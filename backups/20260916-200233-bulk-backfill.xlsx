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tables/table2.xml" ContentType="application/vnd.openxmlformats-officedocument.spreadsheetml.table+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ashboard" sheetId="1" state="visible" r:id="rId1"/>
    <sheet name="Collection" sheetId="2" state="visible" r:id="rId2"/>
    <sheet name="Wishlist" sheetId="3" state="visible" r:id="rId3"/>
    <sheet name="Franchise Tracker" sheetId="4" state="visible" r:id="rId4"/>
    <sheet name="Actors" sheetId="5" state="visible" r:id="rId5"/>
    <sheet name="Directors" sheetId="6" state="visible" r:id="rId6"/>
    <sheet name="Awards" sheetId="7" state="visible" r:id="rId7"/>
    <sheet name="Ratings" sheetId="8" state="visible" r:id="rId8"/>
    <sheet name="Watch Log" sheetId="9" state="visible" r:id="rId9"/>
  </sheets>
  <definedNames/>
  <calcPr calcId="124519" fullCalcOnLoad="1"/>
</workbook>
</file>

<file path=xl/styles.xml><?xml version="1.0" encoding="utf-8"?>
<styleSheet xmlns="http://schemas.openxmlformats.org/spreadsheetml/2006/main">
  <numFmts count="4">
    <numFmt numFmtId="164" formatCode="\£0.00"/>
    <numFmt numFmtId="165" formatCode="dd\-mmm\-yyyy"/>
    <numFmt numFmtId="166" formatCode="0.0"/>
    <numFmt numFmtId="167" formatCode="0.0%"/>
  </numFmts>
  <fonts count="24">
    <font>
      <name val="Calibri"/>
      <color theme="1"/>
      <sz val="11"/>
      <scheme val="minor"/>
    </font>
    <font>
      <name val="Arial"/>
      <b val="1"/>
      <color rgb="FFFFFFFF"/>
      <sz val="18"/>
    </font>
    <font/>
    <font>
      <name val="Calibri"/>
      <color theme="1"/>
      <sz val="11"/>
    </font>
    <font>
      <name val="Arial"/>
      <i val="1"/>
      <color rgb="FFDCE6F1"/>
      <sz val="10"/>
    </font>
    <font>
      <name val="Calibri"/>
      <b val="1"/>
      <color rgb="FFFFFFFF"/>
      <sz val="18"/>
    </font>
    <font>
      <name val="Arial"/>
      <b val="1"/>
      <color rgb="FF0B1F33"/>
      <sz val="11"/>
    </font>
    <font>
      <name val="Arial"/>
      <color theme="1"/>
      <sz val="10"/>
    </font>
    <font>
      <name val="Calibri"/>
      <i val="1"/>
      <color rgb="FFDCE6F1"/>
      <sz val="10"/>
    </font>
    <font>
      <name val="Calibri"/>
      <b val="1"/>
      <color rgb="FF0B1F33"/>
      <sz val="11"/>
    </font>
    <font>
      <name val="Arial"/>
      <i val="1"/>
      <color rgb="FF9CA3AF"/>
      <sz val="11"/>
    </font>
    <font>
      <name val="Arial"/>
      <color rgb="FF0000FF"/>
      <sz val="11"/>
    </font>
    <font>
      <name val="Calibri"/>
      <color theme="1"/>
      <scheme val="minor"/>
    </font>
    <font>
      <name val="Arial"/>
      <b val="1"/>
      <color rgb="FFFFFFFF"/>
      <sz val="20"/>
    </font>
    <font>
      <name val="Arial"/>
      <i val="1"/>
      <color rgb="FF6B7280"/>
      <sz val="9"/>
    </font>
    <font>
      <name val="Arial"/>
      <color rgb="FF1F2937"/>
      <sz val="10"/>
    </font>
    <font>
      <name val="Arial"/>
      <b val="1"/>
      <color rgb="FF0B1F33"/>
      <sz val="12"/>
    </font>
    <font>
      <name val="Calibri"/>
      <color rgb="FF1F2937"/>
      <sz val="11"/>
    </font>
    <font>
      <name val="Calibri"/>
      <b val="1"/>
      <color rgb="FF0B1F33"/>
      <sz val="12"/>
    </font>
    <font>
      <name val="Arial"/>
      <b val="1"/>
      <color rgb="FF1F2937"/>
      <sz val="11"/>
    </font>
    <font>
      <name val="Arial"/>
      <b val="1"/>
      <color rgb="FF0B1F33"/>
      <sz val="10"/>
    </font>
    <font>
      <name val="Arial"/>
      <i val="1"/>
      <color rgb="FF1F2937"/>
      <sz val="9"/>
    </font>
    <font>
      <name val="Calibri"/>
      <b val="1"/>
      <color rgb="FFFFFFFF"/>
      <sz val="14"/>
    </font>
    <font>
      <name val="Calibri"/>
      <i val="1"/>
      <color rgb="FFDCE6F1"/>
      <sz val="11"/>
    </font>
  </fonts>
  <fills count="7">
    <fill>
      <patternFill/>
    </fill>
    <fill>
      <patternFill patternType="lightGray"/>
    </fill>
    <fill>
      <patternFill patternType="solid">
        <fgColor rgb="FF0B1F33"/>
        <bgColor rgb="FF0B1F33"/>
      </patternFill>
    </fill>
    <fill>
      <patternFill patternType="solid">
        <fgColor rgb="FF163A5F"/>
        <bgColor rgb="FF163A5F"/>
      </patternFill>
    </fill>
    <fill>
      <patternFill patternType="solid">
        <fgColor rgb="FFD7B56D"/>
        <bgColor rgb="FFD7B56D"/>
      </patternFill>
    </fill>
    <fill>
      <patternFill patternType="solid">
        <fgColor rgb="FFEAF2F8"/>
        <bgColor rgb="FFEAF2F8"/>
      </patternFill>
    </fill>
    <fill>
      <patternFill patternType="solid">
        <fgColor rgb="FFF7F3E8"/>
        <bgColor rgb="FFF7F3E8"/>
      </patternFill>
    </fill>
  </fills>
  <borders count="32">
    <border/>
    <border>
      <left/>
      <top/>
      <bottom/>
    </border>
    <border>
      <top/>
      <bottom/>
    </border>
    <border>
      <right/>
      <top/>
      <bottom/>
    </border>
    <border>
      <left style="thin">
        <color rgb="FFD1D5DB"/>
      </left>
      <right style="thin">
        <color rgb="FFD1D5DB"/>
      </right>
      <top style="thin">
        <color rgb="FFD1D5DB"/>
      </top>
      <bottom style="thin">
        <color rgb="FFD1D5DB"/>
      </bottom>
    </border>
    <border>
      <left/>
      <right/>
      <top/>
      <bottom/>
    </border>
    <border>
      <left style="thin">
        <color rgb="FFD1D5DB"/>
      </left>
    </border>
    <border>
      <right style="thin">
        <color rgb="FFD1D5DB"/>
      </right>
    </border>
    <border>
      <left style="thin">
        <color rgb="FFD1D5DB"/>
      </left>
      <right style="thin">
        <color rgb="FFD1D5DB"/>
      </right>
      <top style="thin">
        <color rgb="FFD1D5DB"/>
      </top>
      <bottom style="thin">
        <color rgb="FF0B1F33"/>
      </bottom>
    </border>
    <border>
      <left/>
      <right/>
      <top/>
      <bottom style="thin">
        <color rgb="FF0B1F33"/>
      </bottom>
    </border>
    <border>
      <left style="hair">
        <color rgb="FFD6D3C9"/>
      </left>
      <right style="thin">
        <color rgb="FFD1D5DB"/>
      </right>
      <top style="hair">
        <color rgb="FFD6D3C9"/>
      </top>
      <bottom style="thin">
        <color rgb="FFD1D5DB"/>
      </bottom>
    </border>
    <border>
      <left style="thin">
        <color rgb="FFD1D5DB"/>
      </left>
      <right style="hair">
        <color rgb="FFD6D3C9"/>
      </right>
      <top style="hair">
        <color rgb="FFD6D3C9"/>
      </top>
      <bottom style="thin">
        <color rgb="FFD1D5DB"/>
      </bottom>
    </border>
    <border>
      <left style="hair">
        <color rgb="FFD6D3C9"/>
      </left>
      <right/>
      <top style="hair">
        <color rgb="FFD6D3C9"/>
      </top>
      <bottom/>
    </border>
    <border>
      <left/>
      <right style="hair">
        <color rgb="FFD6D3C9"/>
      </right>
      <top style="hair">
        <color rgb="FFD6D3C9"/>
      </top>
      <bottom/>
    </border>
    <border>
      <left style="hair">
        <color rgb="FFD6D3C9"/>
      </left>
      <right style="thin">
        <color rgb="FFD1D5DB"/>
      </right>
      <top style="thin">
        <color rgb="FFD1D5DB"/>
      </top>
      <bottom style="thin">
        <color rgb="FFD1D5DB"/>
      </bottom>
    </border>
    <border>
      <left style="thin">
        <color rgb="FFD1D5DB"/>
      </left>
      <right style="hair">
        <color rgb="FFD6D3C9"/>
      </right>
      <top style="thin">
        <color rgb="FFD1D5DB"/>
      </top>
      <bottom style="thin">
        <color rgb="FFD1D5DB"/>
      </bottom>
    </border>
    <border>
      <left style="hair">
        <color rgb="FFD6D3C9"/>
      </left>
      <right/>
      <top/>
      <bottom/>
    </border>
    <border>
      <left/>
      <right style="hair">
        <color rgb="FFD6D3C9"/>
      </right>
      <top/>
      <bottom/>
    </border>
    <border>
      <left style="thin">
        <color rgb="FFD1D5DB"/>
      </left>
      <bottom style="hair">
        <color rgb="FFE5E7EB"/>
      </bottom>
    </border>
    <border>
      <bottom style="hair">
        <color rgb="FFE5E7EB"/>
      </bottom>
    </border>
    <border>
      <left/>
      <right/>
      <top/>
      <bottom style="hair">
        <color rgb="FFE5E7EB"/>
      </bottom>
    </border>
    <border>
      <right style="thin">
        <color rgb="FFD1D5DB"/>
      </right>
      <bottom style="hair">
        <color rgb="FFE5E7EB"/>
      </bottom>
    </border>
    <border>
      <left style="hair">
        <color rgb="FFD6D3C9"/>
      </left>
      <right style="thin">
        <color rgb="FFD1D5DB"/>
      </right>
      <top style="thin">
        <color rgb="FFD1D5DB"/>
      </top>
      <bottom style="hair">
        <color rgb="FFD6D3C9"/>
      </bottom>
    </border>
    <border>
      <left style="thin">
        <color rgb="FFD1D5DB"/>
      </left>
      <right style="hair">
        <color rgb="FFD6D3C9"/>
      </right>
      <top style="thin">
        <color rgb="FFD1D5DB"/>
      </top>
      <bottom style="hair">
        <color rgb="FFD6D3C9"/>
      </bottom>
    </border>
    <border>
      <left style="hair">
        <color rgb="FFD6D3C9"/>
      </left>
      <right/>
      <top/>
      <bottom style="hair">
        <color rgb="FFD6D3C9"/>
      </bottom>
    </border>
    <border>
      <left/>
      <right style="hair">
        <color rgb="FFD6D3C9"/>
      </right>
      <top/>
      <bottom style="hair">
        <color rgb="FFD6D3C9"/>
      </bottom>
    </border>
    <border>
      <left/>
      <right/>
      <top style="thin">
        <color rgb="FFD1D5DB"/>
      </top>
      <bottom style="thin">
        <color rgb="FF0B1F33"/>
      </bottom>
    </border>
    <border>
      <left/>
      <right style="thin">
        <color rgb="FFD1D5DB"/>
      </right>
      <top style="thin">
        <color rgb="FFD1D5DB"/>
      </top>
      <bottom style="thin">
        <color rgb="FF0B1F33"/>
      </bottom>
    </border>
    <border>
      <left/>
      <right/>
      <top style="hair">
        <color rgb="FFD6D3C9"/>
      </top>
      <bottom/>
    </border>
    <border>
      <left style="hair">
        <color rgb="FFD6D3C9"/>
      </left>
      <top/>
      <bottom/>
    </border>
    <border>
      <left/>
      <right/>
      <top/>
      <bottom style="hair">
        <color rgb="FFD6D3C9"/>
      </bottom>
    </border>
    <border>
      <left style="thin">
        <color rgb="FFD1D5DB"/>
      </left>
      <right style="thin">
        <color rgb="FFD1D5DB"/>
      </right>
    </border>
  </borders>
  <cellStyleXfs count="1">
    <xf numFmtId="0" fontId="0" fillId="0" borderId="0"/>
  </cellStyleXfs>
  <cellXfs count="121">
    <xf numFmtId="0" fontId="0" fillId="0" borderId="0" applyAlignment="1" pivotButton="0" quotePrefix="0" xfId="0">
      <alignment vertical="bottom"/>
    </xf>
    <xf numFmtId="0" fontId="1" fillId="2" borderId="1" applyAlignment="1" pivotButton="0" quotePrefix="0" xfId="0">
      <alignment horizontal="center"/>
    </xf>
    <xf numFmtId="0" fontId="2" fillId="0" borderId="2" pivotButton="0" quotePrefix="0" xfId="0"/>
    <xf numFmtId="0" fontId="2" fillId="0" borderId="3" pivotButton="0" quotePrefix="0" xfId="0"/>
    <xf numFmtId="0" fontId="3" fillId="0" borderId="0" pivotButton="0" quotePrefix="0" xfId="0"/>
    <xf numFmtId="0" fontId="4" fillId="3" borderId="1" applyAlignment="1" pivotButton="0" quotePrefix="0" xfId="0">
      <alignment horizontal="center"/>
    </xf>
    <xf numFmtId="0" fontId="4" fillId="3" borderId="1" applyAlignment="1" pivotButton="0" quotePrefix="0" xfId="0">
      <alignment horizontal="center" wrapText="1"/>
    </xf>
    <xf numFmtId="0" fontId="5" fillId="2" borderId="1" applyAlignment="1" pivotButton="0" quotePrefix="0" xfId="0">
      <alignment horizontal="center" vertical="center"/>
    </xf>
    <xf numFmtId="0" fontId="6" fillId="4" borderId="4" applyAlignment="1" pivotButton="0" quotePrefix="0" xfId="0">
      <alignment horizontal="center" vertical="center" wrapText="1"/>
    </xf>
    <xf numFmtId="0" fontId="7" fillId="0" borderId="4" pivotButton="0" quotePrefix="0" xfId="0"/>
    <xf numFmtId="0" fontId="8" fillId="3" borderId="1" applyAlignment="1" pivotButton="0" quotePrefix="0" xfId="0">
      <alignment horizontal="center" vertical="center"/>
    </xf>
    <xf numFmtId="0" fontId="9" fillId="4" borderId="5" applyAlignment="1" pivotButton="0" quotePrefix="0" xfId="0">
      <alignment horizontal="center" wrapText="1"/>
    </xf>
    <xf numFmtId="0" fontId="10" fillId="0" borderId="0" pivotButton="0" quotePrefix="0" xfId="0"/>
    <xf numFmtId="0" fontId="11" fillId="5" borderId="4" pivotButton="0" quotePrefix="0" xfId="0"/>
    <xf numFmtId="0" fontId="9" fillId="4" borderId="5" applyAlignment="1" pivotButton="0" quotePrefix="0" xfId="0">
      <alignment horizontal="center" vertical="center" wrapText="1"/>
    </xf>
    <xf numFmtId="164" fontId="10" fillId="0" borderId="0" pivotButton="0" quotePrefix="0" xfId="0"/>
    <xf numFmtId="9" fontId="7" fillId="0" borderId="4" pivotButton="0" quotePrefix="0" xfId="0"/>
    <xf numFmtId="165" fontId="10" fillId="0" borderId="0" pivotButton="0" quotePrefix="0" xfId="0"/>
    <xf numFmtId="0" fontId="12" fillId="0" borderId="0" pivotButton="0" quotePrefix="0" xfId="0"/>
    <xf numFmtId="0" fontId="3" fillId="0" borderId="0" applyAlignment="1" pivotButton="0" quotePrefix="0" xfId="0">
      <alignment wrapText="1"/>
    </xf>
    <xf numFmtId="49" fontId="3" fillId="0" borderId="0" pivotButton="0" quotePrefix="0" xfId="0"/>
    <xf numFmtId="0" fontId="3" fillId="0" borderId="4" pivotButton="0" quotePrefix="0" xfId="0"/>
    <xf numFmtId="164" fontId="3" fillId="0" borderId="4" pivotButton="0" quotePrefix="0" xfId="0"/>
    <xf numFmtId="165" fontId="3" fillId="0" borderId="4" pivotButton="0" quotePrefix="0" xfId="0"/>
    <xf numFmtId="1" fontId="3" fillId="0" borderId="0" pivotButton="0" quotePrefix="0" xfId="0"/>
    <xf numFmtId="166" fontId="3" fillId="0" borderId="0" pivotButton="0" quotePrefix="0" xfId="0"/>
    <xf numFmtId="2" fontId="3" fillId="0" borderId="0" pivotButton="0" quotePrefix="0" xfId="0"/>
    <xf numFmtId="0" fontId="13" fillId="2" borderId="1" applyAlignment="1" pivotButton="0" quotePrefix="0" xfId="0">
      <alignment horizontal="center" vertical="center"/>
    </xf>
    <xf numFmtId="0" fontId="3" fillId="0" borderId="6" pivotButton="0" quotePrefix="0" xfId="0"/>
    <xf numFmtId="0" fontId="3" fillId="5" borderId="5" pivotButton="0" quotePrefix="0" xfId="0"/>
    <xf numFmtId="9" fontId="3" fillId="0" borderId="7" pivotButton="0" quotePrefix="0" xfId="0"/>
    <xf numFmtId="0" fontId="6" fillId="4" borderId="8" applyAlignment="1" pivotButton="0" quotePrefix="0" xfId="0">
      <alignment horizontal="center" vertical="center" wrapText="1"/>
    </xf>
    <xf numFmtId="0" fontId="14" fillId="0" borderId="6" pivotButton="0" quotePrefix="0" xfId="0"/>
    <xf numFmtId="0" fontId="2" fillId="0" borderId="7" pivotButton="0" quotePrefix="0" xfId="0"/>
    <xf numFmtId="0" fontId="9" fillId="4" borderId="9" applyAlignment="1" pivotButton="0" quotePrefix="0" xfId="0">
      <alignment horizontal="center" vertical="center"/>
    </xf>
    <xf numFmtId="0" fontId="15" fillId="6" borderId="10" pivotButton="0" quotePrefix="0" xfId="0"/>
    <xf numFmtId="0" fontId="16" fillId="6" borderId="11" pivotButton="0" quotePrefix="0" xfId="0"/>
    <xf numFmtId="0" fontId="17" fillId="6" borderId="12" pivotButton="0" quotePrefix="0" xfId="0"/>
    <xf numFmtId="0" fontId="18" fillId="6" borderId="13" pivotButton="0" quotePrefix="0" xfId="0"/>
    <xf numFmtId="166" fontId="18" fillId="6" borderId="13" pivotButton="0" quotePrefix="0" xfId="0"/>
    <xf numFmtId="0" fontId="15" fillId="6" borderId="14" pivotButton="0" quotePrefix="0" xfId="0"/>
    <xf numFmtId="0" fontId="16" fillId="6" borderId="15" pivotButton="0" quotePrefix="0" xfId="0"/>
    <xf numFmtId="0" fontId="17" fillId="6" borderId="16" pivotButton="0" quotePrefix="0" xfId="0"/>
    <xf numFmtId="0" fontId="18" fillId="6" borderId="17" pivotButton="0" quotePrefix="0" xfId="0"/>
    <xf numFmtId="0" fontId="3" fillId="0" borderId="18" pivotButton="0" quotePrefix="0" xfId="0"/>
    <xf numFmtId="0" fontId="3" fillId="0" borderId="19" pivotButton="0" quotePrefix="0" xfId="0"/>
    <xf numFmtId="0" fontId="3" fillId="5" borderId="20" pivotButton="0" quotePrefix="0" xfId="0"/>
    <xf numFmtId="9" fontId="3" fillId="0" borderId="21" pivotButton="0" quotePrefix="0" xfId="0"/>
    <xf numFmtId="0" fontId="15" fillId="6" borderId="22" pivotButton="0" quotePrefix="0" xfId="0"/>
    <xf numFmtId="164" fontId="3" fillId="0" borderId="0" pivotButton="0" quotePrefix="0" xfId="0"/>
    <xf numFmtId="0" fontId="16" fillId="6" borderId="23" pivotButton="0" quotePrefix="0" xfId="0"/>
    <xf numFmtId="165" fontId="3" fillId="0" borderId="0" pivotButton="0" quotePrefix="0" xfId="0"/>
    <xf numFmtId="0" fontId="17" fillId="6" borderId="24" pivotButton="0" quotePrefix="0" xfId="0"/>
    <xf numFmtId="0" fontId="18" fillId="6" borderId="25" pivotButton="0" quotePrefix="0" xfId="0"/>
    <xf numFmtId="0" fontId="19" fillId="0" borderId="4" pivotButton="0" quotePrefix="0" xfId="0"/>
    <xf numFmtId="166" fontId="19" fillId="0" borderId="4" pivotButton="0" quotePrefix="0" xfId="0"/>
    <xf numFmtId="0" fontId="20" fillId="4" borderId="8" applyAlignment="1" pivotButton="0" quotePrefix="0" xfId="0">
      <alignment horizontal="center" vertical="center"/>
    </xf>
    <xf numFmtId="0" fontId="6" fillId="4" borderId="8" applyAlignment="1" pivotButton="0" quotePrefix="0" xfId="0">
      <alignment horizontal="center" vertical="center"/>
    </xf>
    <xf numFmtId="164" fontId="3" fillId="0" borderId="19" pivotButton="0" quotePrefix="0" xfId="0"/>
    <xf numFmtId="0" fontId="9" fillId="4" borderId="26" applyAlignment="1" pivotButton="0" quotePrefix="0" xfId="0">
      <alignment horizontal="center" vertical="center"/>
    </xf>
    <xf numFmtId="165" fontId="3" fillId="0" borderId="19" pivotButton="0" quotePrefix="0" xfId="0"/>
    <xf numFmtId="0" fontId="9" fillId="4" borderId="27" applyAlignment="1" pivotButton="0" quotePrefix="0" xfId="0">
      <alignment horizontal="center" vertical="center"/>
    </xf>
    <xf numFmtId="0" fontId="9" fillId="4" borderId="5" applyAlignment="1" pivotButton="0" quotePrefix="0" xfId="0">
      <alignment horizontal="center"/>
    </xf>
    <xf numFmtId="0" fontId="3" fillId="0" borderId="19" applyAlignment="1" pivotButton="0" quotePrefix="0" xfId="0">
      <alignment wrapText="1"/>
    </xf>
    <xf numFmtId="0" fontId="17" fillId="6" borderId="28" pivotButton="0" quotePrefix="0" xfId="0"/>
    <xf numFmtId="9" fontId="17" fillId="6" borderId="13" pivotButton="0" quotePrefix="0" xfId="0"/>
    <xf numFmtId="0" fontId="9" fillId="6" borderId="13" pivotButton="0" quotePrefix="0" xfId="0"/>
    <xf numFmtId="0" fontId="21" fillId="6" borderId="29" pivotButton="0" quotePrefix="0" xfId="0"/>
    <xf numFmtId="0" fontId="17" fillId="6" borderId="5" pivotButton="0" quotePrefix="0" xfId="0"/>
    <xf numFmtId="9" fontId="17" fillId="6" borderId="17" pivotButton="0" quotePrefix="0" xfId="0"/>
    <xf numFmtId="0" fontId="9" fillId="6" borderId="17" pivotButton="0" quotePrefix="0" xfId="0"/>
    <xf numFmtId="1" fontId="9" fillId="6" borderId="17" pivotButton="0" quotePrefix="0" xfId="0"/>
    <xf numFmtId="167" fontId="9" fillId="6" borderId="17" pivotButton="0" quotePrefix="0" xfId="0"/>
    <xf numFmtId="0" fontId="17" fillId="6" borderId="30" pivotButton="0" quotePrefix="0" xfId="0"/>
    <xf numFmtId="9" fontId="17" fillId="6" borderId="25" pivotButton="0" quotePrefix="0" xfId="0"/>
    <xf numFmtId="0" fontId="9" fillId="6" borderId="25" pivotButton="0" quotePrefix="0" xfId="0"/>
    <xf numFmtId="0" fontId="22" fillId="2" borderId="1" applyAlignment="1" pivotButton="0" quotePrefix="0" xfId="0">
      <alignment horizontal="center"/>
    </xf>
    <xf numFmtId="0" fontId="9" fillId="6" borderId="5" pivotButton="0" quotePrefix="0" xfId="0"/>
    <xf numFmtId="166" fontId="9" fillId="6" borderId="5" pivotButton="0" quotePrefix="0" xfId="0"/>
    <xf numFmtId="0" fontId="9" fillId="6" borderId="30" pivotButton="0" quotePrefix="0" xfId="0"/>
    <xf numFmtId="0" fontId="5" fillId="2" borderId="1" applyAlignment="1" pivotButton="0" quotePrefix="0" xfId="0">
      <alignment horizontal="center"/>
    </xf>
    <xf numFmtId="0" fontId="23" fillId="3" borderId="1" applyAlignment="1" pivotButton="0" quotePrefix="0" xfId="0">
      <alignment horizontal="center"/>
    </xf>
    <xf numFmtId="0" fontId="9" fillId="4" borderId="5" applyAlignment="1" pivotButton="0" quotePrefix="0" xfId="0">
      <alignment horizontal="center" vertical="center" wrapText="1"/>
    </xf>
    <xf numFmtId="0" fontId="12"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wrapText="1"/>
    </xf>
    <xf numFmtId="49" fontId="3" fillId="0" borderId="19" pivotButton="0" quotePrefix="0" xfId="0"/>
    <xf numFmtId="1" fontId="3" fillId="0" borderId="19" pivotButton="0" quotePrefix="0" xfId="0"/>
    <xf numFmtId="49" fontId="3" fillId="0" borderId="0" applyAlignment="1" pivotButton="0" quotePrefix="0" xfId="0">
      <alignment vertical="center"/>
    </xf>
    <xf numFmtId="166" fontId="3" fillId="0" borderId="0" applyAlignment="1" pivotButton="0" quotePrefix="0" xfId="0">
      <alignment vertical="center"/>
    </xf>
    <xf numFmtId="3" fontId="3" fillId="0" borderId="0" applyAlignment="1" pivotButton="0" quotePrefix="0" xfId="0">
      <alignment vertical="center"/>
    </xf>
    <xf numFmtId="1" fontId="3" fillId="0" borderId="0" applyAlignment="1" pivotButton="0" quotePrefix="0" xfId="0">
      <alignment vertical="center"/>
    </xf>
    <xf numFmtId="2" fontId="3" fillId="0" borderId="0" applyAlignment="1" pivotButton="0" quotePrefix="0" xfId="0">
      <alignment vertical="center"/>
    </xf>
    <xf numFmtId="0" fontId="17" fillId="0" borderId="6" pivotButton="0" quotePrefix="0" xfId="0"/>
    <xf numFmtId="0" fontId="17" fillId="0" borderId="0" pivotButton="0" quotePrefix="0" xfId="0"/>
    <xf numFmtId="0" fontId="17" fillId="0" borderId="7" pivotButton="0" quotePrefix="0" xfId="0"/>
    <xf numFmtId="165" fontId="3" fillId="0" borderId="0" applyAlignment="1" pivotButton="0" quotePrefix="0" xfId="0">
      <alignment vertical="center"/>
    </xf>
    <xf numFmtId="0" fontId="17" fillId="0" borderId="18" pivotButton="0" quotePrefix="0" xfId="0"/>
    <xf numFmtId="0" fontId="17" fillId="0" borderId="19" pivotButton="0" quotePrefix="0" xfId="0"/>
    <xf numFmtId="0" fontId="17" fillId="0" borderId="21" pivotButton="0" quotePrefix="0" xfId="0"/>
    <xf numFmtId="0" fontId="3" fillId="0" borderId="19" applyAlignment="1" pivotButton="0" quotePrefix="0" xfId="0">
      <alignment vertical="center"/>
    </xf>
    <xf numFmtId="0" fontId="3" fillId="0" borderId="19" applyAlignment="1" pivotButton="0" quotePrefix="0" xfId="0">
      <alignment vertical="center" wrapText="1"/>
    </xf>
    <xf numFmtId="49" fontId="3" fillId="0" borderId="19" applyAlignment="1" pivotButton="0" quotePrefix="0" xfId="0">
      <alignment vertical="center"/>
    </xf>
    <xf numFmtId="166" fontId="3" fillId="0" borderId="19" applyAlignment="1" pivotButton="0" quotePrefix="0" xfId="0">
      <alignment vertical="center"/>
    </xf>
    <xf numFmtId="3" fontId="3" fillId="0" borderId="19" applyAlignment="1" pivotButton="0" quotePrefix="0" xfId="0">
      <alignment vertical="center"/>
    </xf>
    <xf numFmtId="1" fontId="3" fillId="0" borderId="19" applyAlignment="1" pivotButton="0" quotePrefix="0" xfId="0">
      <alignment vertical="center"/>
    </xf>
    <xf numFmtId="2" fontId="3" fillId="0" borderId="19" applyAlignment="1" pivotButton="0" quotePrefix="0" xfId="0">
      <alignment vertical="center"/>
    </xf>
    <xf numFmtId="165" fontId="3" fillId="0" borderId="19" applyAlignment="1" pivotButton="0" quotePrefix="0" xfId="0">
      <alignment vertical="center"/>
    </xf>
    <xf numFmtId="0" fontId="0" fillId="0" borderId="0" pivotButton="0" quotePrefix="0" xfId="0"/>
    <xf numFmtId="0" fontId="13" fillId="2" borderId="5" applyAlignment="1" pivotButton="0" quotePrefix="0" xfId="0">
      <alignment horizontal="center" vertical="center"/>
    </xf>
    <xf numFmtId="0" fontId="4" fillId="3" borderId="5" applyAlignment="1" pivotButton="0" quotePrefix="0" xfId="0">
      <alignment horizontal="center"/>
    </xf>
    <xf numFmtId="0" fontId="21" fillId="6" borderId="16" pivotButton="0" quotePrefix="0" xfId="0"/>
    <xf numFmtId="0" fontId="22" fillId="2" borderId="5" applyAlignment="1" pivotButton="0" quotePrefix="0" xfId="0">
      <alignment horizontal="center"/>
    </xf>
    <xf numFmtId="0" fontId="5" fillId="2" borderId="5" applyAlignment="1" pivotButton="0" quotePrefix="0" xfId="0">
      <alignment horizontal="center" vertical="center"/>
    </xf>
    <xf numFmtId="0" fontId="8" fillId="3" borderId="5" applyAlignment="1" pivotButton="0" quotePrefix="0" xfId="0">
      <alignment horizontal="center" vertical="center"/>
    </xf>
    <xf numFmtId="0" fontId="1" fillId="2" borderId="5" applyAlignment="1" pivotButton="0" quotePrefix="0" xfId="0">
      <alignment horizontal="center"/>
    </xf>
    <xf numFmtId="0" fontId="4" fillId="3" borderId="5" applyAlignment="1" pivotButton="0" quotePrefix="0" xfId="0">
      <alignment horizontal="center" wrapText="1"/>
    </xf>
    <xf numFmtId="0" fontId="14" fillId="0" borderId="31" pivotButton="0" quotePrefix="0" xfId="0"/>
    <xf numFmtId="0" fontId="0" fillId="0" borderId="7" pivotButton="0" quotePrefix="0" xfId="0"/>
    <xf numFmtId="0" fontId="5" fillId="2" borderId="5" applyAlignment="1" pivotButton="0" quotePrefix="0" xfId="0">
      <alignment horizontal="center"/>
    </xf>
    <xf numFmtId="0" fontId="23" fillId="3" borderId="5" applyAlignment="1" pivotButton="0" quotePrefix="0" xfId="0">
      <alignment horizontal="center"/>
    </xf>
  </cellXfs>
  <cellStyles count="1">
    <cellStyle name="Normal" xfId="0" builtinId="0"/>
  </cellStyles>
  <dxfs count="14">
    <dxf>
      <font>
        <b val="1"/>
        <color rgb="FF1F4E78"/>
      </font>
      <fill>
        <patternFill patternType="solid">
          <fgColor rgb="FFDDEBF7"/>
          <bgColor rgb="FFDDEBF7"/>
        </patternFill>
      </fill>
      <border/>
    </dxf>
    <dxf>
      <font>
        <b val="1"/>
        <color rgb="FF5B3A7A"/>
      </font>
      <fill>
        <patternFill patternType="solid">
          <fgColor rgb="FFEEE5F6"/>
          <bgColor rgb="FFEEE5F6"/>
        </patternFill>
      </fill>
      <border/>
    </dxf>
    <dxf>
      <font>
        <b val="1"/>
        <color rgb="FF245B36"/>
      </font>
      <fill>
        <patternFill patternType="solid">
          <fgColor rgb="FFDDEFE2"/>
          <bgColor rgb="FFDDEFE2"/>
        </patternFill>
      </fill>
      <border/>
    </dxf>
    <dxf>
      <font/>
      <fill>
        <patternFill/>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color rgb="FF25613B"/>
      </font>
      <fill>
        <patternFill patternType="solid">
          <fgColor rgb="FFE5F4E9"/>
          <bgColor rgb="FFE5F4E9"/>
        </patternFill>
      </fill>
      <border/>
    </dxf>
    <dxf>
      <font>
        <color rgb="FF315B7D"/>
      </font>
      <fill>
        <patternFill patternType="solid">
          <fgColor rgb="FFEEF4FA"/>
          <bgColor rgb="FFEEF4FA"/>
        </patternFill>
      </fill>
      <border/>
    </dxf>
    <dxf>
      <font>
        <b val="1"/>
        <color rgb="FF7A5A00"/>
      </font>
      <fill>
        <patternFill patternType="solid">
          <fgColor rgb="FFFFF1CC"/>
          <bgColor rgb="FFFFF1CC"/>
        </patternFill>
      </fill>
      <border/>
    </dxf>
    <dxf>
      <font>
        <color rgb="FF7A5A00"/>
      </font>
      <fill>
        <patternFill patternType="solid">
          <fgColor rgb="FFFFF1CC"/>
          <bgColor rgb="FFFFF1CC"/>
        </patternFill>
      </fill>
      <border/>
    </dxf>
    <dxf>
      <font>
        <color rgb="FF315B7D"/>
      </font>
      <fill>
        <patternFill patternType="solid">
          <fgColor rgb="FFEAF0F6"/>
          <bgColor rgb="FFEAF0F6"/>
        </patternFill>
      </fill>
      <border/>
    </dxf>
    <dxf>
      <font>
        <color rgb="FF8A1C15"/>
      </font>
      <fill>
        <patternFill patternType="solid">
          <fgColor rgb="FFFCE4D6"/>
          <bgColor rgb="FFFCE4D6"/>
        </patternFill>
      </fill>
      <border/>
    </dxf>
  </dxfs>
  <tableStyles count="2" defaultTableStyle="TableStyleMedium9" defaultPivotStyle="PivotStyleLight16">
    <tableStyle name="Awards-style" pivot="0" count="4">
      <tableStyleElement type="headerRow" dxfId="4"/>
      <tableStyleElement type="firstRowStripe" dxfId="5"/>
      <tableStyleElement type="secondRowStripe" dxfId="6"/>
      <tableStyleElement type="wholeTable" size="0" dxfId="7"/>
    </tableStyle>
    <tableStyle name="Ratings-style" pivot="0" count="4">
      <tableStyleElement type="headerRow" dxfId="4"/>
      <tableStyleElement type="firstRowStripe" dxfId="5"/>
      <tableStyleElement type="secondRowStripe" dxfId="6"/>
      <tableStyleElement type="wholeTable" size="0"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Owned films in key collections</a:t>
            </a:r>
          </a:p>
        </rich>
      </tx>
      <overlay val="0"/>
    </title>
    <plotArea>
      <layout/>
      <barChart>
        <barDir val="col"/>
        <grouping val="clustered"/>
        <ser>
          <idx val="0"/>
          <order val="0"/>
          <spPr>
            <a:solidFill>
              <a:schemeClr val="accent1"/>
            </a:solidFill>
            <a:ln cmpd="sng">
              <a:noFill/>
              <a:prstDash val="solid"/>
            </a:ln>
          </spPr>
          <val>
            <numRef>
              <f>Dashboard!$B$13:$B$22</f>
              <numCache/>
            </numRef>
          </val>
        </ser>
        <gapWidth val="150"/>
        <axId val="1186522357"/>
        <axId val="1572862961"/>
      </barChart>
      <catAx>
        <axId val="1186522357"/>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a:noFill/>
            <a:prstDash val="solid"/>
          </a:ln>
        </spPr>
        <txPr>
          <a:bodyPr/>
          <a:lstStyle/>
          <a:p>
            <a:pPr lvl="0">
              <a:defRPr b="0" i="0">
                <a:solidFill>
                  <a:srgbClr val="000000"/>
                </a:solidFill>
                <a:latin typeface="Calibri"/>
              </a:defRPr>
            </a:pPr>
            <a:r>
              <a:t>None</a:t>
            </a:r>
          </a:p>
        </txPr>
        <crossAx val="1572862961"/>
        <lblOffset val="100"/>
      </catAx>
      <valAx>
        <axId val="1572862961"/>
        <scaling>
          <orientation val="minMax"/>
        </scaling>
        <delete val="0"/>
        <axPos val="l"/>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tickLblPos val="nextTo"/>
        <spPr>
          <a:ln>
            <a:noFill/>
            <a:prstDash val="solid"/>
          </a:ln>
        </spPr>
        <txPr>
          <a:bodyPr/>
          <a:lstStyle/>
          <a:p>
            <a:pPr lvl="0">
              <a:defRPr b="0" i="0">
                <a:solidFill>
                  <a:srgbClr val="000000"/>
                </a:solidFill>
                <a:latin typeface="Calibri"/>
              </a:defRPr>
            </a:pPr>
            <a:r>
              <a:t>None</a:t>
            </a:r>
          </a:p>
        </txPr>
        <crossAx val="1186522357"/>
      </valAx>
    </plotArea>
    <plotVisOnly val="1"/>
    <dispBlanksAs val="gap"/>
  </chart>
</chartSpace>
</file>

<file path=xl/charts/chart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Collection progress: owned vs target</a:t>
            </a:r>
          </a:p>
        </rich>
      </tx>
      <overlay val="0"/>
    </title>
    <plotArea>
      <layout/>
      <barChart>
        <barDir val="col"/>
        <grouping val="clustered"/>
        <ser>
          <idx val="0"/>
          <order val="0"/>
          <tx>
            <v>OWNED</v>
          </tx>
          <spPr>
            <a:solidFill>
              <a:schemeClr val="accent1"/>
            </a:solidFill>
            <a:ln cmpd="sng">
              <a:noFill/>
              <a:prstDash val="solid"/>
            </a:ln>
          </spPr>
          <val>
            <numRef>
              <f>Dashboard!$B$13:$B$22</f>
              <numCache/>
            </numRef>
          </val>
        </ser>
        <ser>
          <idx val="1"/>
          <order val="1"/>
          <spPr>
            <a:solidFill>
              <a:schemeClr val="accent2"/>
            </a:solidFill>
            <a:ln cmpd="sng">
              <a:noFill/>
              <a:prstDash val="solid"/>
            </a:ln>
          </spPr>
          <val>
            <numRef>
              <f>Dashboard!$C$13:$C$22</f>
              <numCache/>
            </numRef>
          </val>
        </ser>
        <gapWidth val="150"/>
        <axId val="668214287"/>
        <axId val="1089536396"/>
      </barChart>
      <catAx>
        <axId val="668214287"/>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a:noFill/>
            <a:prstDash val="solid"/>
          </a:ln>
        </spPr>
        <txPr>
          <a:bodyPr/>
          <a:lstStyle/>
          <a:p>
            <a:pPr lvl="0">
              <a:defRPr b="0" i="0">
                <a:solidFill>
                  <a:srgbClr val="000000"/>
                </a:solidFill>
                <a:latin typeface="Calibri"/>
              </a:defRPr>
            </a:pPr>
            <a:r>
              <a:t>None</a:t>
            </a:r>
          </a:p>
        </txPr>
        <crossAx val="1089536396"/>
        <lblOffset val="100"/>
      </catAx>
      <valAx>
        <axId val="1089536396"/>
        <scaling>
          <orientation val="minMax"/>
        </scaling>
        <delete val="0"/>
        <axPos val="l"/>
        <majorGridlines>
          <spPr>
            <a:ln>
              <a:solidFill>
                <a:srgbClr val="B7B7B7"/>
              </a:solidFill>
              <a:prstDash val="solid"/>
            </a:ln>
          </spPr>
        </maj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tickLblPos val="nextTo"/>
        <spPr>
          <a:ln>
            <a:noFill/>
            <a:prstDash val="solid"/>
          </a:ln>
        </spPr>
        <txPr>
          <a:bodyPr/>
          <a:lstStyle/>
          <a:p>
            <a:pPr lvl="0">
              <a:defRPr b="0" i="0">
                <a:solidFill>
                  <a:srgbClr val="000000"/>
                </a:solidFill>
                <a:latin typeface="Calibri"/>
              </a:defRPr>
            </a:pPr>
            <a:r>
              <a:t>None</a:t>
            </a:r>
          </a:p>
        </txPr>
        <crossAx val="668214287"/>
      </valAx>
    </plotArea>
    <legend>
      <legendPos val="b"/>
      <overlay val="0"/>
      <txPr>
        <a:bodyPr/>
        <a:lstStyle/>
        <a:p>
          <a:pPr lvl="0">
            <a:defRPr b="0" i="0">
              <a:solidFill>
                <a:srgbClr val="1A1A1A"/>
              </a:solidFill>
              <a:latin typeface="Calibri"/>
            </a:defRPr>
          </a:pPr>
          <a:r>
            <a:t>None</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409575</colOff>
      <row>22</row>
      <rowOff>114300</rowOff>
    </from>
    <ext cx="2324100" cy="32004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0</col>
      <colOff>0</colOff>
      <row>24</row>
      <rowOff>0</rowOff>
    </from>
    <ext cx="5124450" cy="3600450"/>
    <graphicFrame>
      <nvGraphicFramePr>
        <cNvPr id="2" name="Chart 2"/>
        <cNvGraphicFramePr/>
      </nvGraphicFramePr>
      <xfrm/>
      <a:graphic>
        <a:graphicData uri="http://schemas.openxmlformats.org/drawingml/2006/chart">
          <c:chart r:id="rId2"/>
        </a:graphicData>
      </a:graphic>
    </graphicFrame>
    <clientData fLocksWithSheet="0"/>
  </oneCellAnchor>
</wsDr>
</file>

<file path=xl/tables/table1.xml><?xml version="1.0" encoding="utf-8"?>
<table xmlns="http://schemas.openxmlformats.org/spreadsheetml/2006/main" id="1" name="AwardsTable" displayName="AwardsTable" ref="A4:R354" headerRowCount="1">
  <tableColumns count="18">
    <tableColumn id="1" name="Film ID"/>
    <tableColumn id="2" name="Title"/>
    <tableColumn id="3" name="Year"/>
    <tableColumn id="4" name="Nominations"/>
    <tableColumn id="5" name="Wins"/>
    <tableColumn id="6" name="Best Picture"/>
    <tableColumn id="7" name="Acting Noms"/>
    <tableColumn id="8" name="Acting Wins"/>
    <tableColumn id="9" name="Acting Winner(s)"/>
    <tableColumn id="10" name="Directing Noms"/>
    <tableColumn id="11" name="Directing Wins"/>
    <tableColumn id="12" name="Director Winner(s)"/>
    <tableColumn id="13" name="Writing Noms"/>
    <tableColumn id="14" name="Writing Wins"/>
    <tableColumn id="15" name="Animated Feature"/>
    <tableColumn id="16" name="Winning Categories"/>
    <tableColumn id="17" name="All Nominated Categories"/>
    <tableColumn id="18" name="Source"/>
  </tableColumns>
  <tableStyleInfo name="Awards-style" showFirstColumn="1" showLastColumn="1" showRowStripes="1" showColumnStripes="0"/>
</table>
</file>

<file path=xl/tables/table2.xml><?xml version="1.0" encoding="utf-8"?>
<table xmlns="http://schemas.openxmlformats.org/spreadsheetml/2006/main" id="2" name="RatingsTable" displayName="RatingsTable" ref="A4:R354" headerRowCount="1">
  <tableColumns count="18">
    <tableColumn id="1" name="Film ID"/>
    <tableColumn id="2" name="Title"/>
    <tableColumn id="3" name="Year"/>
    <tableColumn id="4" name="Your Rating /5"/>
    <tableColumn id="5" name="IMDb /10"/>
    <tableColumn id="6" name="IMDb Votes"/>
    <tableColumn id="7" name="RT Critics %"/>
    <tableColumn id="8" name="RT Audience %"/>
    <tableColumn id="9" name="Letterboxd /5"/>
    <tableColumn id="10" name="Metacritic /100"/>
    <tableColumn id="11" name="TMDb /10"/>
    <tableColumn id="12" name="Consensus /100"/>
    <tableColumn id="13" name="Rating Status"/>
    <tableColumn id="14" name="Last Checked"/>
    <tableColumn id="15" name="IMDb Lookup"/>
    <tableColumn id="16" name="Rotten Tomatoes Lookup"/>
    <tableColumn id="17" name="Letterboxd Lookup"/>
    <tableColumn id="18" name="Metacritic Lookup"/>
  </tableColumns>
  <tableStyleInfo name="Rating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table" Target="/xl/tables/table1.xml" Id="rId1" /></Relationships>
</file>

<file path=xl/worksheets/_rels/sheet8.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H1000"/>
  <sheetViews>
    <sheetView workbookViewId="0">
      <selection activeCell="A1" sqref="A1"/>
    </sheetView>
  </sheetViews>
  <sheetFormatPr baseColWidth="8" defaultColWidth="14.43" defaultRowHeight="15" customHeight="1"/>
  <cols>
    <col width="28" customWidth="1" style="108" min="1" max="1"/>
    <col width="16" customWidth="1" style="108" min="2" max="2"/>
    <col width="8.710000000000001" customWidth="1" style="108" min="3" max="3"/>
    <col width="28" customWidth="1" style="108" min="4" max="4"/>
    <col width="16" customWidth="1" style="108" min="5" max="5"/>
    <col width="8.710000000000001" customWidth="1" style="108" min="6" max="6"/>
    <col width="26" customWidth="1" style="108" min="7" max="7"/>
    <col width="18" customWidth="1" style="108" min="8" max="8"/>
  </cols>
  <sheetData>
    <row r="1" ht="33.75" customHeight="1" s="108">
      <c r="A1" s="109" t="inlineStr">
        <is>
          <t>🎬 CONOR'S BLU-RAY COLLECTION</t>
        </is>
      </c>
    </row>
    <row r="2" ht="21.75" customHeight="1" s="108">
      <c r="A2" s="110" t="inlineStr">
        <is>
          <t>Physical media tracker • collection progress • wishlist • franchise completion</t>
        </is>
      </c>
    </row>
    <row r="3">
      <c r="A3" s="4" t="n"/>
      <c r="B3" s="4" t="n"/>
      <c r="C3" s="4" t="n"/>
      <c r="D3" s="4" t="n"/>
      <c r="E3" s="4" t="n"/>
      <c r="F3" s="4" t="n"/>
      <c r="G3" s="4" t="n"/>
      <c r="H3" s="4" t="n"/>
    </row>
    <row r="4">
      <c r="A4" s="31" t="inlineStr">
        <is>
          <t>COLLECTION</t>
        </is>
      </c>
      <c r="B4" s="31" t="inlineStr">
        <is>
          <t>VALUE</t>
        </is>
      </c>
      <c r="C4" s="4" t="n"/>
      <c r="D4" s="34" t="inlineStr">
        <is>
          <t>FOUNDATION</t>
        </is>
      </c>
      <c r="E4" s="34" t="inlineStr">
        <is>
          <t>VALUE</t>
        </is>
      </c>
      <c r="F4" s="4" t="n"/>
      <c r="G4" s="34" t="inlineStr">
        <is>
          <t>WISHLIST</t>
        </is>
      </c>
      <c r="H4" s="34" t="inlineStr">
        <is>
          <t>VALUE</t>
        </is>
      </c>
    </row>
    <row r="5" ht="15.75" customHeight="1" s="108">
      <c r="A5" s="35" t="inlineStr">
        <is>
          <t>Individual films</t>
        </is>
      </c>
      <c r="B5" s="36">
        <f>COUNTIF(Collection!B5:B500,"&lt;&gt;")</f>
        <v/>
      </c>
      <c r="C5" s="4" t="n"/>
      <c r="D5" s="37" t="inlineStr">
        <is>
          <t>Film IDs</t>
        </is>
      </c>
      <c r="E5" s="38">
        <f>COUNTA(Collection!A5:A500)</f>
        <v/>
      </c>
      <c r="F5" s="4" t="n"/>
      <c r="G5" s="37" t="inlineStr">
        <is>
          <t>Total wishlist</t>
        </is>
      </c>
      <c r="H5" s="39">
        <f>COUNTA(Wishlist!A5:A100)</f>
        <v/>
      </c>
    </row>
    <row r="6" ht="15.75" customHeight="1" s="108">
      <c r="A6" s="40" t="inlineStr">
        <is>
          <t>Blu-ray entries</t>
        </is>
      </c>
      <c r="B6" s="41">
        <f>COUNTIF(Collection!D5:D500,"Blu-ray")</f>
        <v/>
      </c>
      <c r="C6" s="4" t="n"/>
      <c r="D6" s="42" t="inlineStr">
        <is>
          <t>Years filled</t>
        </is>
      </c>
      <c r="E6" s="43">
        <f>COUNTA(Collection!C5:C500)</f>
        <v/>
      </c>
      <c r="F6" s="4" t="n"/>
      <c r="G6" s="42" t="inlineStr">
        <is>
          <t>Your requested films</t>
        </is>
      </c>
      <c r="H6" s="43">
        <f>COUNTIF(Wishlist!B5:B100,"Your list")</f>
        <v/>
      </c>
    </row>
    <row r="7" ht="15.75" customHeight="1" s="108">
      <c r="A7" s="40" t="inlineStr">
        <is>
          <t>4K UHD entries</t>
        </is>
      </c>
      <c r="B7" s="41">
        <f>COUNTIF(Collection!D5:D500,"4K UHD")</f>
        <v/>
      </c>
      <c r="C7" s="4" t="n"/>
      <c r="D7" s="42" t="inlineStr">
        <is>
          <t>Directors filled</t>
        </is>
      </c>
      <c r="E7" s="43">
        <f>COUNTIF(Collection!J5:J500,"&lt;&gt;")</f>
        <v/>
      </c>
      <c r="F7" s="4" t="n"/>
      <c r="G7" s="42" t="inlineStr">
        <is>
          <t>Recommendations</t>
        </is>
      </c>
      <c r="H7" s="43">
        <f>COUNTIF(Wishlist!B5:B100,"Recommended")</f>
        <v/>
      </c>
    </row>
    <row r="8" ht="15.75" customHeight="1" s="108">
      <c r="A8" s="40" t="inlineStr">
        <is>
          <t>Watched</t>
        </is>
      </c>
      <c r="B8" s="41">
        <f>COUNTIF(Collection!G5:G500,"Yes")</f>
        <v/>
      </c>
      <c r="C8" s="4" t="n"/>
      <c r="D8" s="42" t="inlineStr">
        <is>
          <t>Box-set films</t>
        </is>
      </c>
      <c r="E8" s="43">
        <f>COUNTIF(Collection!F5:F500,"Back to the Future Trilogy (Box Set)")+COUNTIF(Collection!F5:F500,"Bad Boys I &amp; II (Box Set)")+COUNTIF(Collection!F5:F500,"Cornetto Trilogy (Box Set)")+COUNTIF(Collection!F5:F500,"Jurassic Park / World: 7-Film Collection")+COUNTIF(Collection!F5:F500,"The Lord of the Rings Trilogy (Box Set)")+COUNTIF(Collection!F5:F500,"Star Wars Episodes I–VI (Box Set)")+COUNTIF(Collection!F5:F500,"X-Men Trilogy (Box Set)")</f>
        <v/>
      </c>
      <c r="F8" s="4" t="n"/>
      <c r="G8" s="42" t="inlineStr">
        <is>
          <t>Already owned</t>
        </is>
      </c>
      <c r="H8" s="43">
        <f>COUNTIF(Wishlist!H5:H100,"Yes")</f>
        <v/>
      </c>
    </row>
    <row r="9" ht="15.75" customHeight="1" s="108">
      <c r="A9" s="48" t="inlineStr">
        <is>
          <t>Rated</t>
        </is>
      </c>
      <c r="B9" s="50">
        <f>COUNT(Collection!H5:H500)</f>
        <v/>
      </c>
      <c r="C9" s="4" t="n"/>
      <c r="D9" s="52" t="inlineStr">
        <is>
          <t>Collections tracked</t>
        </is>
      </c>
      <c r="E9" s="53">
        <f>COUNTA('Franchise Tracker'!A5:A47)</f>
        <v/>
      </c>
      <c r="F9" s="4" t="n"/>
      <c r="G9" s="52" t="inlineStr">
        <is>
          <t>Still to buy</t>
        </is>
      </c>
      <c r="H9" s="53">
        <f>COUNTIF(Wishlist!H5:H100,"No")</f>
        <v/>
      </c>
    </row>
    <row r="10">
      <c r="A10" s="9" t="n"/>
      <c r="B10" s="54" t="n"/>
      <c r="C10" s="4" t="n"/>
      <c r="D10" s="4" t="n"/>
      <c r="E10" s="4" t="n"/>
      <c r="F10" s="4" t="n"/>
      <c r="G10" s="4" t="n"/>
      <c r="H10" s="4" t="n"/>
    </row>
    <row r="11">
      <c r="A11" s="9" t="n"/>
      <c r="B11" s="55" t="n"/>
      <c r="C11" s="4" t="n"/>
      <c r="D11" s="4" t="n"/>
      <c r="E11" s="4" t="n"/>
      <c r="F11" s="4" t="n"/>
      <c r="G11" s="4" t="n"/>
      <c r="H11" s="4" t="n"/>
    </row>
    <row r="12">
      <c r="A12" s="56" t="inlineStr">
        <is>
          <t>COLLECTION</t>
        </is>
      </c>
      <c r="B12" s="57" t="inlineStr">
        <is>
          <t>OWNED</t>
        </is>
      </c>
      <c r="C12" s="59" t="inlineStr">
        <is>
          <t>TARGET</t>
        </is>
      </c>
      <c r="D12" s="59" t="inlineStr">
        <is>
          <t>MISSING</t>
        </is>
      </c>
      <c r="E12" s="61" t="inlineStr">
        <is>
          <t>COMPLETE</t>
        </is>
      </c>
      <c r="F12" s="4" t="n"/>
      <c r="G12" s="62" t="inlineStr">
        <is>
          <t>AWARDS</t>
        </is>
      </c>
      <c r="H12" s="62" t="inlineStr">
        <is>
          <t>VALUE</t>
        </is>
      </c>
    </row>
    <row r="13">
      <c r="A13" s="37">
        <f>'Franchise Tracker'!A5</f>
        <v/>
      </c>
      <c r="B13" s="64">
        <f>'Franchise Tracker'!B5</f>
        <v/>
      </c>
      <c r="C13" s="64">
        <f>'Franchise Tracker'!C5</f>
        <v/>
      </c>
      <c r="D13" s="64">
        <f>'Franchise Tracker'!D5</f>
        <v/>
      </c>
      <c r="E13" s="65">
        <f>'Franchise Tracker'!E5</f>
        <v/>
      </c>
      <c r="F13" s="4" t="n"/>
      <c r="G13" s="37" t="inlineStr">
        <is>
          <t>Oscar-nominated films</t>
        </is>
      </c>
      <c r="H13" s="66">
        <f>COUNTIF(Collection!U5:U500,"&gt;0")</f>
        <v/>
      </c>
    </row>
    <row r="14">
      <c r="A14" s="111">
        <f>'Franchise Tracker'!A6</f>
        <v/>
      </c>
      <c r="C14" s="68">
        <f>'Franchise Tracker'!C6</f>
        <v/>
      </c>
      <c r="D14" s="68">
        <f>'Franchise Tracker'!D6</f>
        <v/>
      </c>
      <c r="E14" s="69">
        <f>'Franchise Tracker'!E6</f>
        <v/>
      </c>
      <c r="F14" s="4" t="n"/>
      <c r="G14" s="42" t="inlineStr">
        <is>
          <t>Oscar-winning films</t>
        </is>
      </c>
      <c r="H14" s="70">
        <f>COUNTIF(Collection!V5:V500,"&gt;0")</f>
        <v/>
      </c>
    </row>
    <row r="15">
      <c r="A15" s="42">
        <f>'Franchise Tracker'!A7</f>
        <v/>
      </c>
      <c r="B15" s="68">
        <f>'Franchise Tracker'!B7</f>
        <v/>
      </c>
      <c r="C15" s="68">
        <f>'Franchise Tracker'!C7</f>
        <v/>
      </c>
      <c r="D15" s="68">
        <f>'Franchise Tracker'!D7</f>
        <v/>
      </c>
      <c r="E15" s="69">
        <f>'Franchise Tracker'!E7</f>
        <v/>
      </c>
      <c r="F15" s="4" t="n"/>
      <c r="G15" s="42" t="inlineStr">
        <is>
          <t>Total nominations</t>
        </is>
      </c>
      <c r="H15" s="71">
        <f>SUM(Collection!U5:U500)</f>
        <v/>
      </c>
    </row>
    <row r="16">
      <c r="A16" s="42">
        <f>'Franchise Tracker'!A8</f>
        <v/>
      </c>
      <c r="B16" s="68">
        <f>'Franchise Tracker'!B8</f>
        <v/>
      </c>
      <c r="C16" s="68">
        <f>'Franchise Tracker'!C8</f>
        <v/>
      </c>
      <c r="D16" s="68">
        <f>'Franchise Tracker'!D8</f>
        <v/>
      </c>
      <c r="E16" s="69">
        <f>'Franchise Tracker'!E8</f>
        <v/>
      </c>
      <c r="F16" s="4" t="n"/>
      <c r="G16" s="42" t="inlineStr">
        <is>
          <t>Total wins</t>
        </is>
      </c>
      <c r="H16" s="71">
        <f>SUM(Collection!V5:V500)</f>
        <v/>
      </c>
    </row>
    <row r="17">
      <c r="A17" s="42">
        <f>'Franchise Tracker'!A9</f>
        <v/>
      </c>
      <c r="B17" s="68">
        <f>'Franchise Tracker'!B9</f>
        <v/>
      </c>
      <c r="C17" s="68">
        <f>'Franchise Tracker'!C9</f>
        <v/>
      </c>
      <c r="D17" s="68">
        <f>'Franchise Tracker'!D9</f>
        <v/>
      </c>
      <c r="E17" s="69">
        <f>'Franchise Tracker'!E9</f>
        <v/>
      </c>
      <c r="F17" s="4" t="n"/>
      <c r="G17" s="42" t="inlineStr">
        <is>
          <t>Best Picture winners</t>
        </is>
      </c>
      <c r="H17" s="70">
        <f>COUNTIF(Collection!W5:W500,"Winner")</f>
        <v/>
      </c>
    </row>
    <row r="18">
      <c r="A18" s="42">
        <f>'Franchise Tracker'!A10</f>
        <v/>
      </c>
      <c r="B18" s="68">
        <f>'Franchise Tracker'!B10</f>
        <v/>
      </c>
      <c r="C18" s="68">
        <f>'Franchise Tracker'!C10</f>
        <v/>
      </c>
      <c r="D18" s="68">
        <f>'Franchise Tracker'!D10</f>
        <v/>
      </c>
      <c r="E18" s="69">
        <f>'Franchise Tracker'!E10</f>
        <v/>
      </c>
      <c r="F18" s="4" t="n"/>
      <c r="G18" s="42" t="inlineStr">
        <is>
          <t>Best Picture nominees</t>
        </is>
      </c>
      <c r="H18" s="70">
        <f>COUNTIF(Collection!W5:W500,"Winner")+COUNTIF(Collection!W5:W500,"Nominated")</f>
        <v/>
      </c>
    </row>
    <row r="19">
      <c r="A19" s="42">
        <f>'Franchise Tracker'!A11</f>
        <v/>
      </c>
      <c r="B19" s="68">
        <f>'Franchise Tracker'!B11</f>
        <v/>
      </c>
      <c r="C19" s="68">
        <f>'Franchise Tracker'!C11</f>
        <v/>
      </c>
      <c r="D19" s="68">
        <f>'Franchise Tracker'!D11</f>
        <v/>
      </c>
      <c r="E19" s="69">
        <f>'Franchise Tracker'!E11</f>
        <v/>
      </c>
      <c r="F19" s="4" t="n"/>
      <c r="G19" s="42" t="inlineStr">
        <is>
          <t>Best Picture progress</t>
        </is>
      </c>
      <c r="H19" s="72">
        <f>H17/98</f>
        <v/>
      </c>
    </row>
    <row r="20">
      <c r="A20" s="42">
        <f>'Franchise Tracker'!A12</f>
        <v/>
      </c>
      <c r="B20" s="68">
        <f>'Franchise Tracker'!B12</f>
        <v/>
      </c>
      <c r="C20" s="68">
        <f>'Franchise Tracker'!C12</f>
        <v/>
      </c>
      <c r="D20" s="68">
        <f>'Franchise Tracker'!D12</f>
        <v/>
      </c>
      <c r="E20" s="69">
        <f>'Franchise Tracker'!E12</f>
        <v/>
      </c>
      <c r="F20" s="4" t="n"/>
      <c r="G20" s="42" t="inlineStr">
        <is>
          <t>Animated Feature winners</t>
        </is>
      </c>
      <c r="H20" s="70">
        <f>COUNTIF(Awards!O5:O500,"Winner")</f>
        <v/>
      </c>
    </row>
    <row r="21" ht="15.75" customHeight="1" s="108">
      <c r="A21" s="42">
        <f>'Franchise Tracker'!A13</f>
        <v/>
      </c>
      <c r="B21" s="68">
        <f>'Franchise Tracker'!B13</f>
        <v/>
      </c>
      <c r="C21" s="68">
        <f>'Franchise Tracker'!C13</f>
        <v/>
      </c>
      <c r="D21" s="68">
        <f>'Franchise Tracker'!D13</f>
        <v/>
      </c>
      <c r="E21" s="69">
        <f>'Franchise Tracker'!E13</f>
        <v/>
      </c>
      <c r="F21" s="4" t="n"/>
      <c r="G21" s="42" t="inlineStr">
        <is>
          <t>Acting-winning films</t>
        </is>
      </c>
      <c r="H21" s="70">
        <f>COUNTIF(Awards!H5:H500,"&gt;0")</f>
        <v/>
      </c>
    </row>
    <row r="22" ht="15.75" customHeight="1" s="108">
      <c r="A22" s="52">
        <f>'Franchise Tracker'!A14</f>
        <v/>
      </c>
      <c r="B22" s="73">
        <f>'Franchise Tracker'!B14</f>
        <v/>
      </c>
      <c r="C22" s="73">
        <f>'Franchise Tracker'!C14</f>
        <v/>
      </c>
      <c r="D22" s="73">
        <f>'Franchise Tracker'!D14</f>
        <v/>
      </c>
      <c r="E22" s="74">
        <f>'Franchise Tracker'!E14</f>
        <v/>
      </c>
      <c r="F22" s="4" t="n"/>
      <c r="G22" s="52" t="inlineStr">
        <is>
          <t>Directing-winning films</t>
        </is>
      </c>
      <c r="H22" s="75">
        <f>COUNTIF(Awards!K5:K500,"&gt;0")</f>
        <v/>
      </c>
    </row>
    <row r="23" ht="15.75" customHeight="1" s="108">
      <c r="A23" s="4" t="n"/>
      <c r="B23" s="4" t="n"/>
      <c r="C23" s="4" t="n"/>
      <c r="D23" s="4" t="n"/>
      <c r="E23" s="4" t="n"/>
      <c r="F23" s="4" t="n"/>
      <c r="G23" s="4" t="n"/>
      <c r="H23" s="4" t="n"/>
    </row>
    <row r="24" ht="15.75" customHeight="1" s="108">
      <c r="A24" s="4" t="n"/>
      <c r="B24" s="4" t="n"/>
      <c r="C24" s="4" t="n"/>
      <c r="D24" s="4" t="n"/>
      <c r="E24" s="4" t="n"/>
      <c r="F24" s="4" t="n"/>
      <c r="G24" s="4" t="n"/>
      <c r="H24" s="4" t="n"/>
    </row>
    <row r="25" ht="15.75" customHeight="1" s="108">
      <c r="A25" s="112" t="inlineStr">
        <is>
          <t>⭐ RATINGS OVERVIEW</t>
        </is>
      </c>
    </row>
    <row r="26" ht="15.75" customHeight="1" s="108">
      <c r="A26" s="4" t="n"/>
      <c r="B26" s="4" t="n"/>
      <c r="C26" s="4" t="n"/>
      <c r="D26" s="4" t="n"/>
      <c r="E26" s="4" t="n"/>
      <c r="F26" s="4" t="n"/>
      <c r="G26" s="4" t="n"/>
      <c r="H26" s="4" t="n"/>
    </row>
    <row r="27" ht="15.75" customHeight="1" s="108">
      <c r="A27" s="62" t="inlineStr">
        <is>
          <t>RATINGS</t>
        </is>
      </c>
      <c r="B27" s="62" t="inlineStr">
        <is>
          <t>VALUE</t>
        </is>
      </c>
      <c r="C27" s="4" t="n"/>
      <c r="D27" s="62" t="inlineStr">
        <is>
          <t>SOURCE COVERAGE</t>
        </is>
      </c>
      <c r="E27" s="62" t="inlineStr">
        <is>
          <t>FILMS</t>
        </is>
      </c>
      <c r="F27" s="4" t="n"/>
      <c r="G27" s="4" t="n"/>
      <c r="H27" s="4" t="n"/>
    </row>
    <row r="28" ht="15.75" customHeight="1" s="108">
      <c r="A28" s="68" t="inlineStr">
        <is>
          <t>Your films rated</t>
        </is>
      </c>
      <c r="B28" s="77">
        <f>COUNT(Ratings!D5:D500)</f>
        <v/>
      </c>
      <c r="C28" s="4" t="n"/>
      <c r="D28" s="68" t="inlineStr">
        <is>
          <t>IMDb</t>
        </is>
      </c>
      <c r="E28" s="77">
        <f>COUNT(Ratings!E5:E500)</f>
        <v/>
      </c>
      <c r="F28" s="4" t="n"/>
      <c r="G28" s="4" t="n"/>
      <c r="H28" s="4" t="n"/>
    </row>
    <row r="29" ht="15.75" customHeight="1" s="108">
      <c r="A29" s="68" t="inlineStr">
        <is>
          <t>External ratings entered</t>
        </is>
      </c>
      <c r="B29" s="77">
        <f>COUNT(Ratings!L5:L500)</f>
        <v/>
      </c>
      <c r="C29" s="4" t="n"/>
      <c r="D29" s="68" t="inlineStr">
        <is>
          <t>Rotten Tomatoes critics</t>
        </is>
      </c>
      <c r="E29" s="77">
        <f>COUNT(Ratings!G5:G500)</f>
        <v/>
      </c>
      <c r="F29" s="4" t="n"/>
      <c r="G29" s="4" t="n"/>
      <c r="H29" s="4" t="n"/>
    </row>
    <row r="30" ht="15.75" customHeight="1" s="108">
      <c r="A30" s="68" t="inlineStr">
        <is>
          <t>Average consensus</t>
        </is>
      </c>
      <c r="B30" s="78">
        <f>IFERROR(AVERAGE(Ratings!L5:L500),0)</f>
        <v/>
      </c>
      <c r="C30" s="4" t="n"/>
      <c r="D30" s="68" t="inlineStr">
        <is>
          <t>Rotten Tomatoes audience</t>
        </is>
      </c>
      <c r="E30" s="77">
        <f>COUNT(Ratings!H5:H500)</f>
        <v/>
      </c>
      <c r="F30" s="4" t="n"/>
      <c r="G30" s="4" t="n"/>
      <c r="H30" s="4" t="n"/>
    </row>
    <row r="31" ht="15.75" customHeight="1" s="108">
      <c r="A31" s="68" t="inlineStr">
        <is>
          <t>Excellent (85+)</t>
        </is>
      </c>
      <c r="B31" s="77">
        <f>COUNTIF(Ratings!M5:M500,"Excellent")</f>
        <v/>
      </c>
      <c r="C31" s="4" t="n"/>
      <c r="D31" s="68" t="inlineStr">
        <is>
          <t>Letterboxd</t>
        </is>
      </c>
      <c r="E31" s="77">
        <f>COUNT(Ratings!I5:I500)</f>
        <v/>
      </c>
      <c r="F31" s="4" t="n"/>
      <c r="G31" s="4" t="n"/>
      <c r="H31" s="4" t="n"/>
    </row>
    <row r="32" ht="15.75" customHeight="1" s="108">
      <c r="A32" s="68" t="inlineStr">
        <is>
          <t>Good (70–84.9)</t>
        </is>
      </c>
      <c r="B32" s="77">
        <f>COUNTIF(Ratings!M5:M500,"Good")</f>
        <v/>
      </c>
      <c r="C32" s="4" t="n"/>
      <c r="D32" s="68" t="inlineStr">
        <is>
          <t>Metacritic</t>
        </is>
      </c>
      <c r="E32" s="77">
        <f>COUNT(Ratings!J5:J500)</f>
        <v/>
      </c>
      <c r="F32" s="4" t="n"/>
      <c r="G32" s="4" t="n"/>
      <c r="H32" s="4" t="n"/>
    </row>
    <row r="33" ht="15.75" customHeight="1" s="108">
      <c r="A33" s="68" t="inlineStr">
        <is>
          <t>Mixed (55–69.9)</t>
        </is>
      </c>
      <c r="B33" s="77">
        <f>COUNTIF(Ratings!M5:M500,"Mixed")</f>
        <v/>
      </c>
      <c r="C33" s="4" t="n"/>
      <c r="D33" s="68" t="inlineStr">
        <is>
          <t>TMDb</t>
        </is>
      </c>
      <c r="E33" s="77">
        <f>COUNT(Ratings!K5:K500)</f>
        <v/>
      </c>
      <c r="F33" s="4" t="n"/>
      <c r="G33" s="4" t="n"/>
      <c r="H33" s="4" t="n"/>
    </row>
    <row r="34" ht="15.75" customHeight="1" s="108">
      <c r="A34" s="73" t="inlineStr">
        <is>
          <t>Poor (&lt;55)</t>
        </is>
      </c>
      <c r="B34" s="79">
        <f>COUNTIF(Ratings!M5:M500,"Poor")</f>
        <v/>
      </c>
      <c r="C34" s="4" t="n"/>
      <c r="D34" s="73" t="inlineStr">
        <is>
          <t>Consensus</t>
        </is>
      </c>
      <c r="E34" s="79">
        <f>COUNT(Ratings!L5:L500)</f>
        <v/>
      </c>
      <c r="F34" s="4" t="n"/>
      <c r="G34" s="4" t="n"/>
      <c r="H34" s="4" t="n"/>
    </row>
    <row r="35" ht="15.75" customHeight="1" s="108">
      <c r="A35" s="4" t="n"/>
      <c r="B35" s="4" t="n"/>
      <c r="C35" s="4" t="n"/>
      <c r="D35" s="4" t="n"/>
      <c r="E35" s="4" t="n"/>
      <c r="F35" s="4" t="n"/>
      <c r="G35" s="4" t="n"/>
      <c r="H35" s="4" t="n"/>
    </row>
    <row r="36" ht="15.75" customHeight="1" s="108">
      <c r="A36" s="4" t="n"/>
      <c r="B36" s="4" t="n"/>
      <c r="C36" s="4" t="n"/>
      <c r="D36" s="4" t="n"/>
      <c r="E36" s="4" t="n"/>
      <c r="F36" s="4" t="n"/>
      <c r="G36" s="4" t="n"/>
      <c r="H36" s="4" t="n"/>
    </row>
    <row r="37" ht="15.75" customHeight="1" s="108">
      <c r="A37" s="4" t="n"/>
      <c r="B37" s="4" t="n"/>
      <c r="C37" s="4" t="n"/>
      <c r="D37" s="4" t="n"/>
      <c r="E37" s="4" t="n"/>
      <c r="F37" s="4" t="n"/>
      <c r="G37" s="4" t="n"/>
      <c r="H37" s="4" t="n"/>
    </row>
    <row r="38" ht="15.75" customHeight="1" s="108">
      <c r="A38" s="4" t="n"/>
      <c r="B38" s="4" t="n"/>
      <c r="C38" s="4" t="n"/>
      <c r="D38" s="4" t="n"/>
      <c r="E38" s="4" t="n"/>
      <c r="F38" s="4" t="n"/>
      <c r="G38" s="4" t="n"/>
      <c r="H38" s="4" t="n"/>
    </row>
    <row r="39" ht="15.75" customHeight="1" s="108">
      <c r="A39" s="4" t="n"/>
      <c r="B39" s="4" t="n"/>
      <c r="C39" s="4" t="n"/>
      <c r="D39" s="4" t="n"/>
      <c r="E39" s="4" t="n"/>
      <c r="F39" s="4" t="n"/>
      <c r="G39" s="4" t="n"/>
      <c r="H39" s="4" t="n"/>
    </row>
    <row r="40" ht="15.75" customHeight="1" s="108">
      <c r="A40" s="4" t="n"/>
      <c r="B40" s="4" t="n"/>
      <c r="C40" s="4" t="n"/>
      <c r="D40" s="4" t="n"/>
      <c r="E40" s="4" t="n"/>
      <c r="F40" s="4" t="n"/>
      <c r="G40" s="4" t="n"/>
      <c r="H40" s="4" t="n"/>
    </row>
    <row r="41" ht="15.75" customHeight="1" s="108">
      <c r="A41" s="4" t="n"/>
      <c r="B41" s="4" t="n"/>
      <c r="C41" s="4" t="n"/>
      <c r="D41" s="4" t="n"/>
      <c r="E41" s="4" t="n"/>
      <c r="F41" s="4" t="n"/>
      <c r="G41" s="4" t="n"/>
      <c r="H41" s="4" t="n"/>
    </row>
    <row r="42" ht="15.75" customHeight="1" s="108">
      <c r="A42" s="4" t="n"/>
      <c r="B42" s="4" t="n"/>
      <c r="C42" s="4" t="n"/>
      <c r="D42" s="4" t="n"/>
      <c r="E42" s="4" t="n"/>
      <c r="F42" s="4" t="n"/>
      <c r="G42" s="4" t="n"/>
      <c r="H42" s="4" t="n"/>
    </row>
    <row r="43" ht="15.75" customHeight="1" s="108">
      <c r="A43" s="4" t="n"/>
      <c r="B43" s="4" t="n"/>
      <c r="C43" s="4" t="n"/>
      <c r="D43" s="4" t="n"/>
      <c r="E43" s="4" t="n"/>
      <c r="F43" s="4" t="n"/>
      <c r="G43" s="4" t="n"/>
      <c r="H43" s="4" t="n"/>
    </row>
    <row r="44" ht="15.75" customHeight="1" s="108">
      <c r="A44" s="4" t="n"/>
      <c r="B44" s="4" t="n"/>
      <c r="C44" s="4" t="n"/>
      <c r="D44" s="4" t="n"/>
      <c r="E44" s="4" t="n"/>
      <c r="F44" s="4" t="n"/>
      <c r="G44" s="4" t="n"/>
      <c r="H44" s="4" t="n"/>
    </row>
    <row r="45" ht="15.75" customHeight="1" s="108">
      <c r="A45" s="4" t="n"/>
      <c r="B45" s="4" t="n"/>
      <c r="C45" s="4" t="n"/>
      <c r="D45" s="4" t="n"/>
      <c r="E45" s="4" t="n"/>
      <c r="F45" s="4" t="n"/>
      <c r="G45" s="4" t="n"/>
      <c r="H45" s="4" t="n"/>
    </row>
    <row r="46" ht="15.75" customHeight="1" s="108">
      <c r="A46" s="4" t="n"/>
      <c r="B46" s="4" t="n"/>
      <c r="C46" s="4" t="n"/>
      <c r="D46" s="4" t="n"/>
      <c r="E46" s="4" t="n"/>
      <c r="F46" s="4" t="n"/>
      <c r="G46" s="4" t="n"/>
      <c r="H46" s="4" t="n"/>
    </row>
    <row r="47" ht="15.75" customHeight="1" s="108">
      <c r="A47" s="4" t="n"/>
      <c r="B47" s="4" t="n"/>
      <c r="C47" s="4" t="n"/>
      <c r="D47" s="4" t="n"/>
      <c r="E47" s="4" t="n"/>
      <c r="F47" s="4" t="n"/>
      <c r="G47" s="4" t="n"/>
      <c r="H47" s="4" t="n"/>
    </row>
    <row r="48" ht="15.75" customHeight="1" s="108">
      <c r="A48" s="4" t="n"/>
      <c r="B48" s="4" t="n"/>
      <c r="C48" s="4" t="n"/>
      <c r="D48" s="4" t="n"/>
      <c r="E48" s="4" t="n"/>
      <c r="F48" s="4" t="n"/>
      <c r="G48" s="4" t="n"/>
      <c r="H48" s="4" t="n"/>
    </row>
    <row r="49" ht="15.75" customHeight="1" s="108">
      <c r="A49" s="4" t="n"/>
      <c r="B49" s="4" t="n"/>
      <c r="C49" s="4" t="n"/>
      <c r="D49" s="4" t="n"/>
      <c r="E49" s="4" t="n"/>
      <c r="F49" s="4" t="n"/>
      <c r="G49" s="4" t="n"/>
      <c r="H49" s="4" t="n"/>
    </row>
    <row r="50" ht="15.75" customHeight="1" s="108">
      <c r="A50" s="4" t="n"/>
      <c r="B50" s="4" t="n"/>
      <c r="C50" s="4" t="n"/>
      <c r="D50" s="4" t="n"/>
      <c r="E50" s="4" t="n"/>
      <c r="F50" s="4" t="n"/>
      <c r="G50" s="4" t="n"/>
      <c r="H50" s="4" t="n"/>
    </row>
    <row r="51" ht="15.75" customHeight="1" s="108">
      <c r="A51" s="4" t="n"/>
      <c r="B51" s="4" t="n"/>
      <c r="C51" s="4" t="n"/>
      <c r="D51" s="4" t="n"/>
      <c r="E51" s="4" t="n"/>
      <c r="F51" s="4" t="n"/>
      <c r="G51" s="4" t="n"/>
      <c r="H51" s="4" t="n"/>
    </row>
    <row r="52" ht="15.75" customHeight="1" s="108">
      <c r="A52" s="4" t="n"/>
      <c r="B52" s="4" t="n"/>
      <c r="C52" s="4" t="n"/>
      <c r="D52" s="4" t="n"/>
      <c r="E52" s="4" t="n"/>
      <c r="F52" s="4" t="n"/>
      <c r="G52" s="4" t="n"/>
      <c r="H52" s="4" t="n"/>
    </row>
    <row r="53" ht="15.75" customHeight="1" s="108">
      <c r="A53" s="4" t="n"/>
      <c r="B53" s="4" t="n"/>
      <c r="C53" s="4" t="n"/>
      <c r="D53" s="4" t="n"/>
      <c r="E53" s="4" t="n"/>
      <c r="F53" s="4" t="n"/>
      <c r="G53" s="4" t="n"/>
      <c r="H53" s="4" t="n"/>
    </row>
    <row r="54" ht="15.75" customHeight="1" s="108">
      <c r="A54" s="4" t="n"/>
      <c r="B54" s="4" t="n"/>
      <c r="C54" s="4" t="n"/>
      <c r="D54" s="4" t="n"/>
      <c r="E54" s="4" t="n"/>
      <c r="F54" s="4" t="n"/>
      <c r="G54" s="4" t="n"/>
      <c r="H54" s="4" t="n"/>
    </row>
    <row r="55" ht="15.75" customHeight="1" s="108">
      <c r="A55" s="4" t="n"/>
      <c r="B55" s="4" t="n"/>
      <c r="C55" s="4" t="n"/>
      <c r="D55" s="4" t="n"/>
      <c r="E55" s="4" t="n"/>
      <c r="F55" s="4" t="n"/>
      <c r="G55" s="4" t="n"/>
      <c r="H55" s="4" t="n"/>
    </row>
    <row r="56" ht="15.75" customHeight="1" s="108">
      <c r="A56" s="4" t="n"/>
      <c r="B56" s="4" t="n"/>
      <c r="C56" s="4" t="n"/>
      <c r="D56" s="4" t="n"/>
      <c r="E56" s="4" t="n"/>
      <c r="F56" s="4" t="n"/>
      <c r="G56" s="4" t="n"/>
      <c r="H56" s="4" t="n"/>
    </row>
    <row r="57" ht="15.75" customHeight="1" s="108">
      <c r="A57" s="4" t="n"/>
      <c r="B57" s="4" t="n"/>
      <c r="C57" s="4" t="n"/>
      <c r="D57" s="4" t="n"/>
      <c r="E57" s="4" t="n"/>
      <c r="F57" s="4" t="n"/>
      <c r="G57" s="4" t="n"/>
      <c r="H57" s="4" t="n"/>
    </row>
    <row r="58" ht="15.75" customHeight="1" s="108">
      <c r="A58" s="4" t="n"/>
      <c r="B58" s="4" t="n"/>
      <c r="C58" s="4" t="n"/>
      <c r="D58" s="4" t="n"/>
      <c r="E58" s="4" t="n"/>
      <c r="F58" s="4" t="n"/>
      <c r="G58" s="4" t="n"/>
      <c r="H58" s="4" t="n"/>
    </row>
    <row r="59" ht="15.75" customHeight="1" s="108">
      <c r="A59" s="4" t="n"/>
      <c r="B59" s="4" t="n"/>
      <c r="C59" s="4" t="n"/>
      <c r="D59" s="4" t="n"/>
      <c r="E59" s="4" t="n"/>
      <c r="F59" s="4" t="n"/>
      <c r="G59" s="4" t="n"/>
      <c r="H59" s="4" t="n"/>
    </row>
    <row r="60" ht="15.75" customHeight="1" s="108">
      <c r="A60" s="4" t="n"/>
      <c r="B60" s="4" t="n"/>
      <c r="C60" s="4" t="n"/>
      <c r="D60" s="4" t="n"/>
      <c r="E60" s="4" t="n"/>
      <c r="F60" s="4" t="n"/>
      <c r="G60" s="4" t="n"/>
      <c r="H60" s="4" t="n"/>
    </row>
    <row r="61" ht="15.75" customHeight="1" s="108">
      <c r="A61" s="4" t="n"/>
      <c r="B61" s="4" t="n"/>
      <c r="C61" s="4" t="n"/>
      <c r="D61" s="4" t="n"/>
      <c r="E61" s="4" t="n"/>
      <c r="F61" s="4" t="n"/>
      <c r="G61" s="4" t="n"/>
      <c r="H61" s="4" t="n"/>
    </row>
    <row r="62" ht="15.75" customHeight="1" s="108">
      <c r="A62" s="4" t="n"/>
      <c r="B62" s="4" t="n"/>
      <c r="C62" s="4" t="n"/>
      <c r="D62" s="4" t="n"/>
      <c r="E62" s="4" t="n"/>
      <c r="F62" s="4" t="n"/>
      <c r="G62" s="4" t="n"/>
      <c r="H62" s="4" t="n"/>
    </row>
    <row r="63" ht="15.75" customHeight="1" s="108">
      <c r="A63" s="4" t="n"/>
      <c r="B63" s="4" t="n"/>
      <c r="C63" s="4" t="n"/>
      <c r="D63" s="4" t="n"/>
      <c r="E63" s="4" t="n"/>
      <c r="F63" s="4" t="n"/>
      <c r="G63" s="4" t="n"/>
      <c r="H63" s="4" t="n"/>
    </row>
    <row r="64" ht="15.75" customHeight="1" s="108">
      <c r="A64" s="4" t="n"/>
      <c r="B64" s="4" t="n"/>
      <c r="C64" s="4" t="n"/>
      <c r="D64" s="4" t="n"/>
      <c r="E64" s="4" t="n"/>
      <c r="F64" s="4" t="n"/>
      <c r="G64" s="4" t="n"/>
      <c r="H64" s="4" t="n"/>
    </row>
    <row r="65" ht="15.75" customHeight="1" s="108">
      <c r="A65" s="4" t="n"/>
      <c r="B65" s="4" t="n"/>
      <c r="C65" s="4" t="n"/>
      <c r="D65" s="4" t="n"/>
      <c r="E65" s="4" t="n"/>
      <c r="F65" s="4" t="n"/>
      <c r="G65" s="4" t="n"/>
      <c r="H65" s="4" t="n"/>
    </row>
    <row r="66" ht="15.75" customHeight="1" s="108">
      <c r="A66" s="4" t="n"/>
      <c r="B66" s="4" t="n"/>
      <c r="C66" s="4" t="n"/>
      <c r="D66" s="4" t="n"/>
      <c r="E66" s="4" t="n"/>
      <c r="F66" s="4" t="n"/>
      <c r="G66" s="4" t="n"/>
      <c r="H66" s="4" t="n"/>
    </row>
    <row r="67" ht="15.75" customHeight="1" s="108">
      <c r="A67" s="4" t="n"/>
      <c r="B67" s="4" t="n"/>
      <c r="C67" s="4" t="n"/>
      <c r="D67" s="4" t="n"/>
      <c r="E67" s="4" t="n"/>
      <c r="F67" s="4" t="n"/>
      <c r="G67" s="4" t="n"/>
      <c r="H67" s="4" t="n"/>
    </row>
    <row r="68" ht="15.75" customHeight="1" s="108">
      <c r="A68" s="4" t="n"/>
      <c r="B68" s="4" t="n"/>
      <c r="C68" s="4" t="n"/>
      <c r="D68" s="4" t="n"/>
      <c r="E68" s="4" t="n"/>
      <c r="F68" s="4" t="n"/>
      <c r="G68" s="4" t="n"/>
      <c r="H68" s="4" t="n"/>
    </row>
    <row r="69" ht="15.75" customHeight="1" s="108">
      <c r="A69" s="4" t="n"/>
      <c r="B69" s="4" t="n"/>
      <c r="C69" s="4" t="n"/>
      <c r="D69" s="4" t="n"/>
      <c r="E69" s="4" t="n"/>
      <c r="F69" s="4" t="n"/>
      <c r="G69" s="4" t="n"/>
      <c r="H69" s="4" t="n"/>
    </row>
    <row r="70" ht="15.75" customHeight="1" s="108">
      <c r="A70" s="4" t="n"/>
      <c r="B70" s="4" t="n"/>
      <c r="C70" s="4" t="n"/>
      <c r="D70" s="4" t="n"/>
      <c r="E70" s="4" t="n"/>
      <c r="F70" s="4" t="n"/>
      <c r="G70" s="4" t="n"/>
      <c r="H70" s="4" t="n"/>
    </row>
    <row r="71" ht="15.75" customHeight="1" s="108">
      <c r="A71" s="4" t="n"/>
      <c r="B71" s="4" t="n"/>
      <c r="C71" s="4" t="n"/>
      <c r="D71" s="4" t="n"/>
      <c r="E71" s="4" t="n"/>
      <c r="F71" s="4" t="n"/>
      <c r="G71" s="4" t="n"/>
      <c r="H71" s="4" t="n"/>
    </row>
    <row r="72" ht="15.75" customHeight="1" s="108">
      <c r="A72" s="4" t="n"/>
      <c r="B72" s="4" t="n"/>
      <c r="C72" s="4" t="n"/>
      <c r="D72" s="4" t="n"/>
      <c r="E72" s="4" t="n"/>
      <c r="F72" s="4" t="n"/>
      <c r="G72" s="4" t="n"/>
      <c r="H72" s="4" t="n"/>
    </row>
    <row r="73" ht="15.75" customHeight="1" s="108">
      <c r="A73" s="4" t="n"/>
      <c r="B73" s="4" t="n"/>
      <c r="C73" s="4" t="n"/>
      <c r="D73" s="4" t="n"/>
      <c r="E73" s="4" t="n"/>
      <c r="F73" s="4" t="n"/>
      <c r="G73" s="4" t="n"/>
      <c r="H73" s="4" t="n"/>
    </row>
    <row r="74" ht="15.75" customHeight="1" s="108">
      <c r="A74" s="4" t="n"/>
      <c r="B74" s="4" t="n"/>
      <c r="C74" s="4" t="n"/>
      <c r="D74" s="4" t="n"/>
      <c r="E74" s="4" t="n"/>
      <c r="F74" s="4" t="n"/>
      <c r="G74" s="4" t="n"/>
      <c r="H74" s="4" t="n"/>
    </row>
    <row r="75" ht="15.75" customHeight="1" s="108">
      <c r="A75" s="4" t="n"/>
      <c r="B75" s="4" t="n"/>
      <c r="C75" s="4" t="n"/>
      <c r="D75" s="4" t="n"/>
      <c r="E75" s="4" t="n"/>
      <c r="F75" s="4" t="n"/>
      <c r="G75" s="4" t="n"/>
      <c r="H75" s="4" t="n"/>
    </row>
    <row r="76" ht="15.75" customHeight="1" s="108">
      <c r="A76" s="4" t="n"/>
      <c r="B76" s="4" t="n"/>
      <c r="C76" s="4" t="n"/>
      <c r="D76" s="4" t="n"/>
      <c r="E76" s="4" t="n"/>
      <c r="F76" s="4" t="n"/>
      <c r="G76" s="4" t="n"/>
      <c r="H76" s="4" t="n"/>
    </row>
    <row r="77" ht="15.75" customHeight="1" s="108">
      <c r="A77" s="4" t="n"/>
      <c r="B77" s="4" t="n"/>
      <c r="C77" s="4" t="n"/>
      <c r="D77" s="4" t="n"/>
      <c r="E77" s="4" t="n"/>
      <c r="F77" s="4" t="n"/>
      <c r="G77" s="4" t="n"/>
      <c r="H77" s="4" t="n"/>
    </row>
    <row r="78" ht="15.75" customHeight="1" s="108">
      <c r="A78" s="4" t="n"/>
      <c r="B78" s="4" t="n"/>
      <c r="C78" s="4" t="n"/>
      <c r="D78" s="4" t="n"/>
      <c r="E78" s="4" t="n"/>
      <c r="F78" s="4" t="n"/>
      <c r="G78" s="4" t="n"/>
      <c r="H78" s="4" t="n"/>
    </row>
    <row r="79" ht="15.75" customHeight="1" s="108">
      <c r="A79" s="4" t="n"/>
      <c r="B79" s="4" t="n"/>
      <c r="C79" s="4" t="n"/>
      <c r="D79" s="4" t="n"/>
      <c r="E79" s="4" t="n"/>
      <c r="F79" s="4" t="n"/>
      <c r="G79" s="4" t="n"/>
      <c r="H79" s="4" t="n"/>
    </row>
    <row r="80" ht="15.75" customHeight="1" s="108">
      <c r="A80" s="4" t="n"/>
      <c r="B80" s="4" t="n"/>
      <c r="C80" s="4" t="n"/>
      <c r="D80" s="4" t="n"/>
      <c r="E80" s="4" t="n"/>
      <c r="F80" s="4" t="n"/>
      <c r="G80" s="4" t="n"/>
      <c r="H80" s="4" t="n"/>
    </row>
    <row r="81" ht="15.75" customHeight="1" s="108">
      <c r="A81" s="4" t="n"/>
      <c r="B81" s="4" t="n"/>
      <c r="C81" s="4" t="n"/>
      <c r="D81" s="4" t="n"/>
      <c r="E81" s="4" t="n"/>
      <c r="F81" s="4" t="n"/>
      <c r="G81" s="4" t="n"/>
      <c r="H81" s="4" t="n"/>
    </row>
    <row r="82" ht="15.75" customHeight="1" s="108">
      <c r="A82" s="4" t="n"/>
      <c r="B82" s="4" t="n"/>
      <c r="C82" s="4" t="n"/>
      <c r="D82" s="4" t="n"/>
      <c r="E82" s="4" t="n"/>
      <c r="F82" s="4" t="n"/>
      <c r="G82" s="4" t="n"/>
      <c r="H82" s="4" t="n"/>
    </row>
    <row r="83" ht="15.75" customHeight="1" s="108">
      <c r="A83" s="4" t="n"/>
      <c r="B83" s="4" t="n"/>
      <c r="C83" s="4" t="n"/>
      <c r="D83" s="4" t="n"/>
      <c r="E83" s="4" t="n"/>
      <c r="F83" s="4" t="n"/>
      <c r="G83" s="4" t="n"/>
      <c r="H83" s="4" t="n"/>
    </row>
    <row r="84" ht="15.75" customHeight="1" s="108">
      <c r="A84" s="4" t="n"/>
      <c r="B84" s="4" t="n"/>
      <c r="C84" s="4" t="n"/>
      <c r="D84" s="4" t="n"/>
      <c r="E84" s="4" t="n"/>
      <c r="F84" s="4" t="n"/>
      <c r="G84" s="4" t="n"/>
      <c r="H84" s="4" t="n"/>
    </row>
    <row r="85" ht="15.75" customHeight="1" s="108">
      <c r="A85" s="4" t="n"/>
      <c r="B85" s="4" t="n"/>
      <c r="C85" s="4" t="n"/>
      <c r="D85" s="4" t="n"/>
      <c r="E85" s="4" t="n"/>
      <c r="F85" s="4" t="n"/>
      <c r="G85" s="4" t="n"/>
      <c r="H85" s="4" t="n"/>
    </row>
    <row r="86" ht="15.75" customHeight="1" s="108">
      <c r="A86" s="4" t="n"/>
      <c r="B86" s="4" t="n"/>
      <c r="C86" s="4" t="n"/>
      <c r="D86" s="4" t="n"/>
      <c r="E86" s="4" t="n"/>
      <c r="F86" s="4" t="n"/>
      <c r="G86" s="4" t="n"/>
      <c r="H86" s="4" t="n"/>
    </row>
    <row r="87" ht="15.75" customHeight="1" s="108">
      <c r="A87" s="4" t="n"/>
      <c r="B87" s="4" t="n"/>
      <c r="C87" s="4" t="n"/>
      <c r="D87" s="4" t="n"/>
      <c r="E87" s="4" t="n"/>
      <c r="F87" s="4" t="n"/>
      <c r="G87" s="4" t="n"/>
      <c r="H87" s="4" t="n"/>
    </row>
    <row r="88" ht="15.75" customHeight="1" s="108">
      <c r="A88" s="4" t="n"/>
      <c r="B88" s="4" t="n"/>
      <c r="C88" s="4" t="n"/>
      <c r="D88" s="4" t="n"/>
      <c r="E88" s="4" t="n"/>
      <c r="F88" s="4" t="n"/>
      <c r="G88" s="4" t="n"/>
      <c r="H88" s="4" t="n"/>
    </row>
    <row r="89" ht="15.75" customHeight="1" s="108">
      <c r="A89" s="4" t="n"/>
      <c r="B89" s="4" t="n"/>
      <c r="C89" s="4" t="n"/>
      <c r="D89" s="4" t="n"/>
      <c r="E89" s="4" t="n"/>
      <c r="F89" s="4" t="n"/>
      <c r="G89" s="4" t="n"/>
      <c r="H89" s="4" t="n"/>
    </row>
    <row r="90" ht="15.75" customHeight="1" s="108">
      <c r="A90" s="4" t="n"/>
      <c r="B90" s="4" t="n"/>
      <c r="C90" s="4" t="n"/>
      <c r="D90" s="4" t="n"/>
      <c r="E90" s="4" t="n"/>
      <c r="F90" s="4" t="n"/>
      <c r="G90" s="4" t="n"/>
      <c r="H90" s="4" t="n"/>
    </row>
    <row r="91" ht="15.75" customHeight="1" s="108">
      <c r="A91" s="4" t="n"/>
      <c r="B91" s="4" t="n"/>
      <c r="C91" s="4" t="n"/>
      <c r="D91" s="4" t="n"/>
      <c r="E91" s="4" t="n"/>
      <c r="F91" s="4" t="n"/>
      <c r="G91" s="4" t="n"/>
      <c r="H91" s="4" t="n"/>
    </row>
    <row r="92" ht="15.75" customHeight="1" s="108">
      <c r="A92" s="4" t="n"/>
      <c r="B92" s="4" t="n"/>
      <c r="C92" s="4" t="n"/>
      <c r="D92" s="4" t="n"/>
      <c r="E92" s="4" t="n"/>
      <c r="F92" s="4" t="n"/>
      <c r="G92" s="4" t="n"/>
      <c r="H92" s="4" t="n"/>
    </row>
    <row r="93" ht="15.75" customHeight="1" s="108">
      <c r="A93" s="4" t="n"/>
      <c r="B93" s="4" t="n"/>
      <c r="C93" s="4" t="n"/>
      <c r="D93" s="4" t="n"/>
      <c r="E93" s="4" t="n"/>
      <c r="F93" s="4" t="n"/>
      <c r="G93" s="4" t="n"/>
      <c r="H93" s="4" t="n"/>
    </row>
    <row r="94" ht="15.75" customHeight="1" s="108">
      <c r="A94" s="4" t="n"/>
      <c r="B94" s="4" t="n"/>
      <c r="C94" s="4" t="n"/>
      <c r="D94" s="4" t="n"/>
      <c r="E94" s="4" t="n"/>
      <c r="F94" s="4" t="n"/>
      <c r="G94" s="4" t="n"/>
      <c r="H94" s="4" t="n"/>
    </row>
    <row r="95" ht="15.75" customHeight="1" s="108">
      <c r="A95" s="4" t="n"/>
      <c r="B95" s="4" t="n"/>
      <c r="C95" s="4" t="n"/>
      <c r="D95" s="4" t="n"/>
      <c r="E95" s="4" t="n"/>
      <c r="F95" s="4" t="n"/>
      <c r="G95" s="4" t="n"/>
      <c r="H95" s="4" t="n"/>
    </row>
    <row r="96" ht="15.75" customHeight="1" s="108">
      <c r="A96" s="4" t="n"/>
      <c r="B96" s="4" t="n"/>
      <c r="C96" s="4" t="n"/>
      <c r="D96" s="4" t="n"/>
      <c r="E96" s="4" t="n"/>
      <c r="F96" s="4" t="n"/>
      <c r="G96" s="4" t="n"/>
      <c r="H96" s="4" t="n"/>
    </row>
    <row r="97" ht="15.75" customHeight="1" s="108">
      <c r="A97" s="4" t="n"/>
      <c r="B97" s="4" t="n"/>
      <c r="C97" s="4" t="n"/>
      <c r="D97" s="4" t="n"/>
      <c r="E97" s="4" t="n"/>
      <c r="F97" s="4" t="n"/>
      <c r="G97" s="4" t="n"/>
      <c r="H97" s="4" t="n"/>
    </row>
    <row r="98" ht="15.75" customHeight="1" s="108">
      <c r="A98" s="4" t="n"/>
      <c r="B98" s="4" t="n"/>
      <c r="C98" s="4" t="n"/>
      <c r="D98" s="4" t="n"/>
      <c r="E98" s="4" t="n"/>
      <c r="F98" s="4" t="n"/>
      <c r="G98" s="4" t="n"/>
      <c r="H98" s="4" t="n"/>
    </row>
    <row r="99" ht="15.75" customHeight="1" s="108">
      <c r="A99" s="4" t="n"/>
      <c r="B99" s="4" t="n"/>
      <c r="C99" s="4" t="n"/>
      <c r="D99" s="4" t="n"/>
      <c r="E99" s="4" t="n"/>
      <c r="F99" s="4" t="n"/>
      <c r="G99" s="4" t="n"/>
      <c r="H99" s="4" t="n"/>
    </row>
    <row r="100" ht="15.75" customHeight="1" s="108">
      <c r="A100" s="4" t="n"/>
      <c r="B100" s="4" t="n"/>
      <c r="C100" s="4" t="n"/>
      <c r="D100" s="4" t="n"/>
      <c r="E100" s="4" t="n"/>
      <c r="F100" s="4" t="n"/>
      <c r="G100" s="4" t="n"/>
      <c r="H100" s="4" t="n"/>
    </row>
    <row r="101" ht="15.75" customHeight="1" s="108">
      <c r="A101" s="4" t="n"/>
      <c r="B101" s="4" t="n"/>
      <c r="C101" s="4" t="n"/>
      <c r="D101" s="4" t="n"/>
      <c r="E101" s="4" t="n"/>
      <c r="F101" s="4" t="n"/>
      <c r="G101" s="4" t="n"/>
      <c r="H101" s="4" t="n"/>
    </row>
    <row r="102" ht="15.75" customHeight="1" s="108">
      <c r="A102" s="4" t="n"/>
      <c r="B102" s="4" t="n"/>
      <c r="C102" s="4" t="n"/>
      <c r="D102" s="4" t="n"/>
      <c r="E102" s="4" t="n"/>
      <c r="F102" s="4" t="n"/>
      <c r="G102" s="4" t="n"/>
      <c r="H102" s="4" t="n"/>
    </row>
    <row r="103" ht="15.75" customHeight="1" s="108">
      <c r="A103" s="4" t="n"/>
      <c r="B103" s="4" t="n"/>
      <c r="C103" s="4" t="n"/>
      <c r="D103" s="4" t="n"/>
      <c r="E103" s="4" t="n"/>
      <c r="F103" s="4" t="n"/>
      <c r="G103" s="4" t="n"/>
      <c r="H103" s="4" t="n"/>
    </row>
    <row r="104" ht="15.75" customHeight="1" s="108">
      <c r="A104" s="4" t="n"/>
      <c r="B104" s="4" t="n"/>
      <c r="C104" s="4" t="n"/>
      <c r="D104" s="4" t="n"/>
      <c r="E104" s="4" t="n"/>
      <c r="F104" s="4" t="n"/>
      <c r="G104" s="4" t="n"/>
      <c r="H104" s="4" t="n"/>
    </row>
    <row r="105" ht="15.75" customHeight="1" s="108">
      <c r="A105" s="4" t="n"/>
      <c r="B105" s="4" t="n"/>
      <c r="C105" s="4" t="n"/>
      <c r="D105" s="4" t="n"/>
      <c r="E105" s="4" t="n"/>
      <c r="F105" s="4" t="n"/>
      <c r="G105" s="4" t="n"/>
      <c r="H105" s="4" t="n"/>
    </row>
    <row r="106" ht="15.75" customHeight="1" s="108">
      <c r="A106" s="4" t="n"/>
      <c r="B106" s="4" t="n"/>
      <c r="C106" s="4" t="n"/>
      <c r="D106" s="4" t="n"/>
      <c r="E106" s="4" t="n"/>
      <c r="F106" s="4" t="n"/>
      <c r="G106" s="4" t="n"/>
      <c r="H106" s="4" t="n"/>
    </row>
    <row r="107" ht="15.75" customHeight="1" s="108">
      <c r="A107" s="4" t="n"/>
      <c r="B107" s="4" t="n"/>
      <c r="C107" s="4" t="n"/>
      <c r="D107" s="4" t="n"/>
      <c r="E107" s="4" t="n"/>
      <c r="F107" s="4" t="n"/>
      <c r="G107" s="4" t="n"/>
      <c r="H107" s="4" t="n"/>
    </row>
    <row r="108" ht="15.75" customHeight="1" s="108">
      <c r="A108" s="4" t="n"/>
      <c r="B108" s="4" t="n"/>
      <c r="C108" s="4" t="n"/>
      <c r="D108" s="4" t="n"/>
      <c r="E108" s="4" t="n"/>
      <c r="F108" s="4" t="n"/>
      <c r="G108" s="4" t="n"/>
      <c r="H108" s="4" t="n"/>
    </row>
    <row r="109" ht="15.75" customHeight="1" s="108">
      <c r="A109" s="4" t="n"/>
      <c r="B109" s="4" t="n"/>
      <c r="C109" s="4" t="n"/>
      <c r="D109" s="4" t="n"/>
      <c r="E109" s="4" t="n"/>
      <c r="F109" s="4" t="n"/>
      <c r="G109" s="4" t="n"/>
      <c r="H109" s="4" t="n"/>
    </row>
    <row r="110" ht="15.75" customHeight="1" s="108">
      <c r="A110" s="4" t="n"/>
      <c r="B110" s="4" t="n"/>
      <c r="C110" s="4" t="n"/>
      <c r="D110" s="4" t="n"/>
      <c r="E110" s="4" t="n"/>
      <c r="F110" s="4" t="n"/>
      <c r="G110" s="4" t="n"/>
      <c r="H110" s="4" t="n"/>
    </row>
    <row r="111" ht="15.75" customHeight="1" s="108">
      <c r="A111" s="4" t="n"/>
      <c r="B111" s="4" t="n"/>
      <c r="C111" s="4" t="n"/>
      <c r="D111" s="4" t="n"/>
      <c r="E111" s="4" t="n"/>
      <c r="F111" s="4" t="n"/>
      <c r="G111" s="4" t="n"/>
      <c r="H111" s="4" t="n"/>
    </row>
    <row r="112" ht="15.75" customHeight="1" s="108">
      <c r="A112" s="4" t="n"/>
      <c r="B112" s="4" t="n"/>
      <c r="C112" s="4" t="n"/>
      <c r="D112" s="4" t="n"/>
      <c r="E112" s="4" t="n"/>
      <c r="F112" s="4" t="n"/>
      <c r="G112" s="4" t="n"/>
      <c r="H112" s="4" t="n"/>
    </row>
    <row r="113" ht="15.75" customHeight="1" s="108">
      <c r="A113" s="4" t="n"/>
      <c r="B113" s="4" t="n"/>
      <c r="C113" s="4" t="n"/>
      <c r="D113" s="4" t="n"/>
      <c r="E113" s="4" t="n"/>
      <c r="F113" s="4" t="n"/>
      <c r="G113" s="4" t="n"/>
      <c r="H113" s="4" t="n"/>
    </row>
    <row r="114" ht="15.75" customHeight="1" s="108">
      <c r="A114" s="4" t="n"/>
      <c r="B114" s="4" t="n"/>
      <c r="C114" s="4" t="n"/>
      <c r="D114" s="4" t="n"/>
      <c r="E114" s="4" t="n"/>
      <c r="F114" s="4" t="n"/>
      <c r="G114" s="4" t="n"/>
      <c r="H114" s="4" t="n"/>
    </row>
    <row r="115" ht="15.75" customHeight="1" s="108">
      <c r="A115" s="4" t="n"/>
      <c r="B115" s="4" t="n"/>
      <c r="C115" s="4" t="n"/>
      <c r="D115" s="4" t="n"/>
      <c r="E115" s="4" t="n"/>
      <c r="F115" s="4" t="n"/>
      <c r="G115" s="4" t="n"/>
      <c r="H115" s="4" t="n"/>
    </row>
    <row r="116" ht="15.75" customHeight="1" s="108">
      <c r="A116" s="4" t="n"/>
      <c r="B116" s="4" t="n"/>
      <c r="C116" s="4" t="n"/>
      <c r="D116" s="4" t="n"/>
      <c r="E116" s="4" t="n"/>
      <c r="F116" s="4" t="n"/>
      <c r="G116" s="4" t="n"/>
      <c r="H116" s="4" t="n"/>
    </row>
    <row r="117" ht="15.75" customHeight="1" s="108">
      <c r="A117" s="4" t="n"/>
      <c r="B117" s="4" t="n"/>
      <c r="C117" s="4" t="n"/>
      <c r="D117" s="4" t="n"/>
      <c r="E117" s="4" t="n"/>
      <c r="F117" s="4" t="n"/>
      <c r="G117" s="4" t="n"/>
      <c r="H117" s="4" t="n"/>
    </row>
    <row r="118" ht="15.75" customHeight="1" s="108">
      <c r="A118" s="4" t="n"/>
      <c r="B118" s="4" t="n"/>
      <c r="C118" s="4" t="n"/>
      <c r="D118" s="4" t="n"/>
      <c r="E118" s="4" t="n"/>
      <c r="F118" s="4" t="n"/>
      <c r="G118" s="4" t="n"/>
      <c r="H118" s="4" t="n"/>
    </row>
    <row r="119" ht="15.75" customHeight="1" s="108">
      <c r="A119" s="4" t="n"/>
      <c r="B119" s="4" t="n"/>
      <c r="C119" s="4" t="n"/>
      <c r="D119" s="4" t="n"/>
      <c r="E119" s="4" t="n"/>
      <c r="F119" s="4" t="n"/>
      <c r="G119" s="4" t="n"/>
      <c r="H119" s="4" t="n"/>
    </row>
    <row r="120" ht="15.75" customHeight="1" s="108">
      <c r="A120" s="4" t="n"/>
      <c r="B120" s="4" t="n"/>
      <c r="C120" s="4" t="n"/>
      <c r="D120" s="4" t="n"/>
      <c r="E120" s="4" t="n"/>
      <c r="F120" s="4" t="n"/>
      <c r="G120" s="4" t="n"/>
      <c r="H120" s="4" t="n"/>
    </row>
    <row r="121" ht="15.75" customHeight="1" s="108">
      <c r="A121" s="4" t="n"/>
      <c r="B121" s="4" t="n"/>
      <c r="C121" s="4" t="n"/>
      <c r="D121" s="4" t="n"/>
      <c r="E121" s="4" t="n"/>
      <c r="F121" s="4" t="n"/>
      <c r="G121" s="4" t="n"/>
      <c r="H121" s="4" t="n"/>
    </row>
    <row r="122" ht="15.75" customHeight="1" s="108">
      <c r="A122" s="4" t="n"/>
      <c r="B122" s="4" t="n"/>
      <c r="C122" s="4" t="n"/>
      <c r="D122" s="4" t="n"/>
      <c r="E122" s="4" t="n"/>
      <c r="F122" s="4" t="n"/>
      <c r="G122" s="4" t="n"/>
      <c r="H122" s="4" t="n"/>
    </row>
    <row r="123" ht="15.75" customHeight="1" s="108">
      <c r="A123" s="4" t="n"/>
      <c r="B123" s="4" t="n"/>
      <c r="C123" s="4" t="n"/>
      <c r="D123" s="4" t="n"/>
      <c r="E123" s="4" t="n"/>
      <c r="F123" s="4" t="n"/>
      <c r="G123" s="4" t="n"/>
      <c r="H123" s="4" t="n"/>
    </row>
    <row r="124" ht="15.75" customHeight="1" s="108">
      <c r="A124" s="4" t="n"/>
      <c r="B124" s="4" t="n"/>
      <c r="C124" s="4" t="n"/>
      <c r="D124" s="4" t="n"/>
      <c r="E124" s="4" t="n"/>
      <c r="F124" s="4" t="n"/>
      <c r="G124" s="4" t="n"/>
      <c r="H124" s="4" t="n"/>
    </row>
    <row r="125" ht="15.75" customHeight="1" s="108">
      <c r="A125" s="4" t="n"/>
      <c r="B125" s="4" t="n"/>
      <c r="C125" s="4" t="n"/>
      <c r="D125" s="4" t="n"/>
      <c r="E125" s="4" t="n"/>
      <c r="F125" s="4" t="n"/>
      <c r="G125" s="4" t="n"/>
      <c r="H125" s="4" t="n"/>
    </row>
    <row r="126" ht="15.75" customHeight="1" s="108">
      <c r="A126" s="4" t="n"/>
      <c r="B126" s="4" t="n"/>
      <c r="C126" s="4" t="n"/>
      <c r="D126" s="4" t="n"/>
      <c r="E126" s="4" t="n"/>
      <c r="F126" s="4" t="n"/>
      <c r="G126" s="4" t="n"/>
      <c r="H126" s="4" t="n"/>
    </row>
    <row r="127" ht="15.75" customHeight="1" s="108">
      <c r="A127" s="4" t="n"/>
      <c r="B127" s="4" t="n"/>
      <c r="C127" s="4" t="n"/>
      <c r="D127" s="4" t="n"/>
      <c r="E127" s="4" t="n"/>
      <c r="F127" s="4" t="n"/>
      <c r="G127" s="4" t="n"/>
      <c r="H127" s="4" t="n"/>
    </row>
    <row r="128" ht="15.75" customHeight="1" s="108">
      <c r="A128" s="4" t="n"/>
      <c r="B128" s="4" t="n"/>
      <c r="C128" s="4" t="n"/>
      <c r="D128" s="4" t="n"/>
      <c r="E128" s="4" t="n"/>
      <c r="F128" s="4" t="n"/>
      <c r="G128" s="4" t="n"/>
      <c r="H128" s="4" t="n"/>
    </row>
    <row r="129" ht="15.75" customHeight="1" s="108">
      <c r="A129" s="4" t="n"/>
      <c r="B129" s="4" t="n"/>
      <c r="C129" s="4" t="n"/>
      <c r="D129" s="4" t="n"/>
      <c r="E129" s="4" t="n"/>
      <c r="F129" s="4" t="n"/>
      <c r="G129" s="4" t="n"/>
      <c r="H129" s="4" t="n"/>
    </row>
    <row r="130" ht="15.75" customHeight="1" s="108">
      <c r="A130" s="4" t="n"/>
      <c r="B130" s="4" t="n"/>
      <c r="C130" s="4" t="n"/>
      <c r="D130" s="4" t="n"/>
      <c r="E130" s="4" t="n"/>
      <c r="F130" s="4" t="n"/>
      <c r="G130" s="4" t="n"/>
      <c r="H130" s="4" t="n"/>
    </row>
    <row r="131" ht="15.75" customHeight="1" s="108">
      <c r="A131" s="4" t="n"/>
      <c r="B131" s="4" t="n"/>
      <c r="C131" s="4" t="n"/>
      <c r="D131" s="4" t="n"/>
      <c r="E131" s="4" t="n"/>
      <c r="F131" s="4" t="n"/>
      <c r="G131" s="4" t="n"/>
      <c r="H131" s="4" t="n"/>
    </row>
    <row r="132" ht="15.75" customHeight="1" s="108">
      <c r="A132" s="4" t="n"/>
      <c r="B132" s="4" t="n"/>
      <c r="C132" s="4" t="n"/>
      <c r="D132" s="4" t="n"/>
      <c r="E132" s="4" t="n"/>
      <c r="F132" s="4" t="n"/>
      <c r="G132" s="4" t="n"/>
      <c r="H132" s="4" t="n"/>
    </row>
    <row r="133" ht="15.75" customHeight="1" s="108">
      <c r="A133" s="4" t="n"/>
      <c r="B133" s="4" t="n"/>
      <c r="C133" s="4" t="n"/>
      <c r="D133" s="4" t="n"/>
      <c r="E133" s="4" t="n"/>
      <c r="F133" s="4" t="n"/>
      <c r="G133" s="4" t="n"/>
      <c r="H133" s="4" t="n"/>
    </row>
    <row r="134" ht="15.75" customHeight="1" s="108">
      <c r="A134" s="4" t="n"/>
      <c r="B134" s="4" t="n"/>
      <c r="C134" s="4" t="n"/>
      <c r="D134" s="4" t="n"/>
      <c r="E134" s="4" t="n"/>
      <c r="F134" s="4" t="n"/>
      <c r="G134" s="4" t="n"/>
      <c r="H134" s="4" t="n"/>
    </row>
    <row r="135" ht="15.75" customHeight="1" s="108">
      <c r="A135" s="4" t="n"/>
      <c r="B135" s="4" t="n"/>
      <c r="C135" s="4" t="n"/>
      <c r="D135" s="4" t="n"/>
      <c r="E135" s="4" t="n"/>
      <c r="F135" s="4" t="n"/>
      <c r="G135" s="4" t="n"/>
      <c r="H135" s="4" t="n"/>
    </row>
    <row r="136" ht="15.75" customHeight="1" s="108">
      <c r="A136" s="4" t="n"/>
      <c r="B136" s="4" t="n"/>
      <c r="C136" s="4" t="n"/>
      <c r="D136" s="4" t="n"/>
      <c r="E136" s="4" t="n"/>
      <c r="F136" s="4" t="n"/>
      <c r="G136" s="4" t="n"/>
      <c r="H136" s="4" t="n"/>
    </row>
    <row r="137" ht="15.75" customHeight="1" s="108">
      <c r="A137" s="4" t="n"/>
      <c r="B137" s="4" t="n"/>
      <c r="C137" s="4" t="n"/>
      <c r="D137" s="4" t="n"/>
      <c r="E137" s="4" t="n"/>
      <c r="F137" s="4" t="n"/>
      <c r="G137" s="4" t="n"/>
      <c r="H137" s="4" t="n"/>
    </row>
    <row r="138" ht="15.75" customHeight="1" s="108">
      <c r="A138" s="4" t="n"/>
      <c r="B138" s="4" t="n"/>
      <c r="C138" s="4" t="n"/>
      <c r="D138" s="4" t="n"/>
      <c r="E138" s="4" t="n"/>
      <c r="F138" s="4" t="n"/>
      <c r="G138" s="4" t="n"/>
      <c r="H138" s="4" t="n"/>
    </row>
    <row r="139" ht="15.75" customHeight="1" s="108">
      <c r="A139" s="4" t="n"/>
      <c r="B139" s="4" t="n"/>
      <c r="C139" s="4" t="n"/>
      <c r="D139" s="4" t="n"/>
      <c r="E139" s="4" t="n"/>
      <c r="F139" s="4" t="n"/>
      <c r="G139" s="4" t="n"/>
      <c r="H139" s="4" t="n"/>
    </row>
    <row r="140" ht="15.75" customHeight="1" s="108">
      <c r="A140" s="4" t="n"/>
      <c r="B140" s="4" t="n"/>
      <c r="C140" s="4" t="n"/>
      <c r="D140" s="4" t="n"/>
      <c r="E140" s="4" t="n"/>
      <c r="F140" s="4" t="n"/>
      <c r="G140" s="4" t="n"/>
      <c r="H140" s="4" t="n"/>
    </row>
    <row r="141" ht="15.75" customHeight="1" s="108">
      <c r="A141" s="4" t="n"/>
      <c r="B141" s="4" t="n"/>
      <c r="C141" s="4" t="n"/>
      <c r="D141" s="4" t="n"/>
      <c r="E141" s="4" t="n"/>
      <c r="F141" s="4" t="n"/>
      <c r="G141" s="4" t="n"/>
      <c r="H141" s="4" t="n"/>
    </row>
    <row r="142" ht="15.75" customHeight="1" s="108">
      <c r="A142" s="4" t="n"/>
      <c r="B142" s="4" t="n"/>
      <c r="C142" s="4" t="n"/>
      <c r="D142" s="4" t="n"/>
      <c r="E142" s="4" t="n"/>
      <c r="F142" s="4" t="n"/>
      <c r="G142" s="4" t="n"/>
      <c r="H142" s="4" t="n"/>
    </row>
    <row r="143" ht="15.75" customHeight="1" s="108">
      <c r="A143" s="4" t="n"/>
      <c r="B143" s="4" t="n"/>
      <c r="C143" s="4" t="n"/>
      <c r="D143" s="4" t="n"/>
      <c r="E143" s="4" t="n"/>
      <c r="F143" s="4" t="n"/>
      <c r="G143" s="4" t="n"/>
      <c r="H143" s="4" t="n"/>
    </row>
    <row r="144" ht="15.75" customHeight="1" s="108">
      <c r="A144" s="4" t="n"/>
      <c r="B144" s="4" t="n"/>
      <c r="C144" s="4" t="n"/>
      <c r="D144" s="4" t="n"/>
      <c r="E144" s="4" t="n"/>
      <c r="F144" s="4" t="n"/>
      <c r="G144" s="4" t="n"/>
      <c r="H144" s="4" t="n"/>
    </row>
    <row r="145" ht="15.75" customHeight="1" s="108">
      <c r="A145" s="4" t="n"/>
      <c r="B145" s="4" t="n"/>
      <c r="C145" s="4" t="n"/>
      <c r="D145" s="4" t="n"/>
      <c r="E145" s="4" t="n"/>
      <c r="F145" s="4" t="n"/>
      <c r="G145" s="4" t="n"/>
      <c r="H145" s="4" t="n"/>
    </row>
    <row r="146" ht="15.75" customHeight="1" s="108">
      <c r="A146" s="4" t="n"/>
      <c r="B146" s="4" t="n"/>
      <c r="C146" s="4" t="n"/>
      <c r="D146" s="4" t="n"/>
      <c r="E146" s="4" t="n"/>
      <c r="F146" s="4" t="n"/>
      <c r="G146" s="4" t="n"/>
      <c r="H146" s="4" t="n"/>
    </row>
    <row r="147" ht="15.75" customHeight="1" s="108">
      <c r="A147" s="4" t="n"/>
      <c r="B147" s="4" t="n"/>
      <c r="C147" s="4" t="n"/>
      <c r="D147" s="4" t="n"/>
      <c r="E147" s="4" t="n"/>
      <c r="F147" s="4" t="n"/>
      <c r="G147" s="4" t="n"/>
      <c r="H147" s="4" t="n"/>
    </row>
    <row r="148" ht="15.75" customHeight="1" s="108">
      <c r="A148" s="4" t="n"/>
      <c r="B148" s="4" t="n"/>
      <c r="C148" s="4" t="n"/>
      <c r="D148" s="4" t="n"/>
      <c r="E148" s="4" t="n"/>
      <c r="F148" s="4" t="n"/>
      <c r="G148" s="4" t="n"/>
      <c r="H148" s="4" t="n"/>
    </row>
    <row r="149" ht="15.75" customHeight="1" s="108">
      <c r="A149" s="4" t="n"/>
      <c r="B149" s="4" t="n"/>
      <c r="C149" s="4" t="n"/>
      <c r="D149" s="4" t="n"/>
      <c r="E149" s="4" t="n"/>
      <c r="F149" s="4" t="n"/>
      <c r="G149" s="4" t="n"/>
      <c r="H149" s="4" t="n"/>
    </row>
    <row r="150" ht="15.75" customHeight="1" s="108">
      <c r="A150" s="4" t="n"/>
      <c r="B150" s="4" t="n"/>
      <c r="C150" s="4" t="n"/>
      <c r="D150" s="4" t="n"/>
      <c r="E150" s="4" t="n"/>
      <c r="F150" s="4" t="n"/>
      <c r="G150" s="4" t="n"/>
      <c r="H150" s="4" t="n"/>
    </row>
    <row r="151" ht="15.75" customHeight="1" s="108">
      <c r="A151" s="4" t="n"/>
      <c r="B151" s="4" t="n"/>
      <c r="C151" s="4" t="n"/>
      <c r="D151" s="4" t="n"/>
      <c r="E151" s="4" t="n"/>
      <c r="F151" s="4" t="n"/>
      <c r="G151" s="4" t="n"/>
      <c r="H151" s="4" t="n"/>
    </row>
    <row r="152" ht="15.75" customHeight="1" s="108">
      <c r="A152" s="4" t="n"/>
      <c r="B152" s="4" t="n"/>
      <c r="C152" s="4" t="n"/>
      <c r="D152" s="4" t="n"/>
      <c r="E152" s="4" t="n"/>
      <c r="F152" s="4" t="n"/>
      <c r="G152" s="4" t="n"/>
      <c r="H152" s="4" t="n"/>
    </row>
    <row r="153" ht="15.75" customHeight="1" s="108">
      <c r="A153" s="4" t="n"/>
      <c r="B153" s="4" t="n"/>
      <c r="C153" s="4" t="n"/>
      <c r="D153" s="4" t="n"/>
      <c r="E153" s="4" t="n"/>
      <c r="F153" s="4" t="n"/>
      <c r="G153" s="4" t="n"/>
      <c r="H153" s="4" t="n"/>
    </row>
    <row r="154" ht="15.75" customHeight="1" s="108">
      <c r="A154" s="4" t="n"/>
      <c r="B154" s="4" t="n"/>
      <c r="C154" s="4" t="n"/>
      <c r="D154" s="4" t="n"/>
      <c r="E154" s="4" t="n"/>
      <c r="F154" s="4" t="n"/>
      <c r="G154" s="4" t="n"/>
      <c r="H154" s="4" t="n"/>
    </row>
    <row r="155" ht="15.75" customHeight="1" s="108">
      <c r="A155" s="4" t="n"/>
      <c r="B155" s="4" t="n"/>
      <c r="C155" s="4" t="n"/>
      <c r="D155" s="4" t="n"/>
      <c r="E155" s="4" t="n"/>
      <c r="F155" s="4" t="n"/>
      <c r="G155" s="4" t="n"/>
      <c r="H155" s="4" t="n"/>
    </row>
    <row r="156" ht="15.75" customHeight="1" s="108">
      <c r="A156" s="4" t="n"/>
      <c r="B156" s="4" t="n"/>
      <c r="C156" s="4" t="n"/>
      <c r="D156" s="4" t="n"/>
      <c r="E156" s="4" t="n"/>
      <c r="F156" s="4" t="n"/>
      <c r="G156" s="4" t="n"/>
      <c r="H156" s="4" t="n"/>
    </row>
    <row r="157" ht="15.75" customHeight="1" s="108">
      <c r="A157" s="4" t="n"/>
      <c r="B157" s="4" t="n"/>
      <c r="C157" s="4" t="n"/>
      <c r="D157" s="4" t="n"/>
      <c r="E157" s="4" t="n"/>
      <c r="F157" s="4" t="n"/>
      <c r="G157" s="4" t="n"/>
      <c r="H157" s="4" t="n"/>
    </row>
    <row r="158" ht="15.75" customHeight="1" s="108">
      <c r="A158" s="4" t="n"/>
      <c r="B158" s="4" t="n"/>
      <c r="C158" s="4" t="n"/>
      <c r="D158" s="4" t="n"/>
      <c r="E158" s="4" t="n"/>
      <c r="F158" s="4" t="n"/>
      <c r="G158" s="4" t="n"/>
      <c r="H158" s="4" t="n"/>
    </row>
    <row r="159" ht="15.75" customHeight="1" s="108">
      <c r="A159" s="4" t="n"/>
      <c r="B159" s="4" t="n"/>
      <c r="C159" s="4" t="n"/>
      <c r="D159" s="4" t="n"/>
      <c r="E159" s="4" t="n"/>
      <c r="F159" s="4" t="n"/>
      <c r="G159" s="4" t="n"/>
      <c r="H159" s="4" t="n"/>
    </row>
    <row r="160" ht="15.75" customHeight="1" s="108">
      <c r="A160" s="4" t="n"/>
      <c r="B160" s="4" t="n"/>
      <c r="C160" s="4" t="n"/>
      <c r="D160" s="4" t="n"/>
      <c r="E160" s="4" t="n"/>
      <c r="F160" s="4" t="n"/>
      <c r="G160" s="4" t="n"/>
      <c r="H160" s="4" t="n"/>
    </row>
    <row r="161" ht="15.75" customHeight="1" s="108">
      <c r="A161" s="4" t="n"/>
      <c r="B161" s="4" t="n"/>
      <c r="C161" s="4" t="n"/>
      <c r="D161" s="4" t="n"/>
      <c r="E161" s="4" t="n"/>
      <c r="F161" s="4" t="n"/>
      <c r="G161" s="4" t="n"/>
      <c r="H161" s="4" t="n"/>
    </row>
    <row r="162" ht="15.75" customHeight="1" s="108">
      <c r="A162" s="4" t="n"/>
      <c r="B162" s="4" t="n"/>
      <c r="C162" s="4" t="n"/>
      <c r="D162" s="4" t="n"/>
      <c r="E162" s="4" t="n"/>
      <c r="F162" s="4" t="n"/>
      <c r="G162" s="4" t="n"/>
      <c r="H162" s="4" t="n"/>
    </row>
    <row r="163" ht="15.75" customHeight="1" s="108">
      <c r="A163" s="4" t="n"/>
      <c r="B163" s="4" t="n"/>
      <c r="C163" s="4" t="n"/>
      <c r="D163" s="4" t="n"/>
      <c r="E163" s="4" t="n"/>
      <c r="F163" s="4" t="n"/>
      <c r="G163" s="4" t="n"/>
      <c r="H163" s="4" t="n"/>
    </row>
    <row r="164" ht="15.75" customHeight="1" s="108">
      <c r="A164" s="4" t="n"/>
      <c r="B164" s="4" t="n"/>
      <c r="C164" s="4" t="n"/>
      <c r="D164" s="4" t="n"/>
      <c r="E164" s="4" t="n"/>
      <c r="F164" s="4" t="n"/>
      <c r="G164" s="4" t="n"/>
      <c r="H164" s="4" t="n"/>
    </row>
    <row r="165" ht="15.75" customHeight="1" s="108">
      <c r="A165" s="4" t="n"/>
      <c r="B165" s="4" t="n"/>
      <c r="C165" s="4" t="n"/>
      <c r="D165" s="4" t="n"/>
      <c r="E165" s="4" t="n"/>
      <c r="F165" s="4" t="n"/>
      <c r="G165" s="4" t="n"/>
      <c r="H165" s="4" t="n"/>
    </row>
    <row r="166" ht="15.75" customHeight="1" s="108">
      <c r="A166" s="4" t="n"/>
      <c r="B166" s="4" t="n"/>
      <c r="C166" s="4" t="n"/>
      <c r="D166" s="4" t="n"/>
      <c r="E166" s="4" t="n"/>
      <c r="F166" s="4" t="n"/>
      <c r="G166" s="4" t="n"/>
      <c r="H166" s="4" t="n"/>
    </row>
    <row r="167" ht="15.75" customHeight="1" s="108">
      <c r="A167" s="4" t="n"/>
      <c r="B167" s="4" t="n"/>
      <c r="C167" s="4" t="n"/>
      <c r="D167" s="4" t="n"/>
      <c r="E167" s="4" t="n"/>
      <c r="F167" s="4" t="n"/>
      <c r="G167" s="4" t="n"/>
      <c r="H167" s="4" t="n"/>
    </row>
    <row r="168" ht="15.75" customHeight="1" s="108">
      <c r="A168" s="4" t="n"/>
      <c r="B168" s="4" t="n"/>
      <c r="C168" s="4" t="n"/>
      <c r="D168" s="4" t="n"/>
      <c r="E168" s="4" t="n"/>
      <c r="F168" s="4" t="n"/>
      <c r="G168" s="4" t="n"/>
      <c r="H168" s="4" t="n"/>
    </row>
    <row r="169" ht="15.75" customHeight="1" s="108">
      <c r="A169" s="4" t="n"/>
      <c r="B169" s="4" t="n"/>
      <c r="C169" s="4" t="n"/>
      <c r="D169" s="4" t="n"/>
      <c r="E169" s="4" t="n"/>
      <c r="F169" s="4" t="n"/>
      <c r="G169" s="4" t="n"/>
      <c r="H169" s="4" t="n"/>
    </row>
    <row r="170" ht="15.75" customHeight="1" s="108">
      <c r="A170" s="4" t="n"/>
      <c r="B170" s="4" t="n"/>
      <c r="C170" s="4" t="n"/>
      <c r="D170" s="4" t="n"/>
      <c r="E170" s="4" t="n"/>
      <c r="F170" s="4" t="n"/>
      <c r="G170" s="4" t="n"/>
      <c r="H170" s="4" t="n"/>
    </row>
    <row r="171" ht="15.75" customHeight="1" s="108">
      <c r="A171" s="4" t="n"/>
      <c r="B171" s="4" t="n"/>
      <c r="C171" s="4" t="n"/>
      <c r="D171" s="4" t="n"/>
      <c r="E171" s="4" t="n"/>
      <c r="F171" s="4" t="n"/>
      <c r="G171" s="4" t="n"/>
      <c r="H171" s="4" t="n"/>
    </row>
    <row r="172" ht="15.75" customHeight="1" s="108">
      <c r="A172" s="4" t="n"/>
      <c r="B172" s="4" t="n"/>
      <c r="C172" s="4" t="n"/>
      <c r="D172" s="4" t="n"/>
      <c r="E172" s="4" t="n"/>
      <c r="F172" s="4" t="n"/>
      <c r="G172" s="4" t="n"/>
      <c r="H172" s="4" t="n"/>
    </row>
    <row r="173" ht="15.75" customHeight="1" s="108">
      <c r="A173" s="4" t="n"/>
      <c r="B173" s="4" t="n"/>
      <c r="C173" s="4" t="n"/>
      <c r="D173" s="4" t="n"/>
      <c r="E173" s="4" t="n"/>
      <c r="F173" s="4" t="n"/>
      <c r="G173" s="4" t="n"/>
      <c r="H173" s="4" t="n"/>
    </row>
    <row r="174" ht="15.75" customHeight="1" s="108">
      <c r="A174" s="4" t="n"/>
      <c r="B174" s="4" t="n"/>
      <c r="C174" s="4" t="n"/>
      <c r="D174" s="4" t="n"/>
      <c r="E174" s="4" t="n"/>
      <c r="F174" s="4" t="n"/>
      <c r="G174" s="4" t="n"/>
      <c r="H174" s="4" t="n"/>
    </row>
    <row r="175" ht="15.75" customHeight="1" s="108">
      <c r="A175" s="4" t="n"/>
      <c r="B175" s="4" t="n"/>
      <c r="C175" s="4" t="n"/>
      <c r="D175" s="4" t="n"/>
      <c r="E175" s="4" t="n"/>
      <c r="F175" s="4" t="n"/>
      <c r="G175" s="4" t="n"/>
      <c r="H175" s="4" t="n"/>
    </row>
    <row r="176" ht="15.75" customHeight="1" s="108">
      <c r="A176" s="4" t="n"/>
      <c r="B176" s="4" t="n"/>
      <c r="C176" s="4" t="n"/>
      <c r="D176" s="4" t="n"/>
      <c r="E176" s="4" t="n"/>
      <c r="F176" s="4" t="n"/>
      <c r="G176" s="4" t="n"/>
      <c r="H176" s="4" t="n"/>
    </row>
    <row r="177" ht="15.75" customHeight="1" s="108">
      <c r="A177" s="4" t="n"/>
      <c r="B177" s="4" t="n"/>
      <c r="C177" s="4" t="n"/>
      <c r="D177" s="4" t="n"/>
      <c r="E177" s="4" t="n"/>
      <c r="F177" s="4" t="n"/>
      <c r="G177" s="4" t="n"/>
      <c r="H177" s="4" t="n"/>
    </row>
    <row r="178" ht="15.75" customHeight="1" s="108">
      <c r="A178" s="4" t="n"/>
      <c r="B178" s="4" t="n"/>
      <c r="C178" s="4" t="n"/>
      <c r="D178" s="4" t="n"/>
      <c r="E178" s="4" t="n"/>
      <c r="F178" s="4" t="n"/>
      <c r="G178" s="4" t="n"/>
      <c r="H178" s="4" t="n"/>
    </row>
    <row r="179" ht="15.75" customHeight="1" s="108">
      <c r="A179" s="4" t="n"/>
      <c r="B179" s="4" t="n"/>
      <c r="C179" s="4" t="n"/>
      <c r="D179" s="4" t="n"/>
      <c r="E179" s="4" t="n"/>
      <c r="F179" s="4" t="n"/>
      <c r="G179" s="4" t="n"/>
      <c r="H179" s="4" t="n"/>
    </row>
    <row r="180" ht="15.75" customHeight="1" s="108">
      <c r="A180" s="4" t="n"/>
      <c r="B180" s="4" t="n"/>
      <c r="C180" s="4" t="n"/>
      <c r="D180" s="4" t="n"/>
      <c r="E180" s="4" t="n"/>
      <c r="F180" s="4" t="n"/>
      <c r="G180" s="4" t="n"/>
      <c r="H180" s="4" t="n"/>
    </row>
    <row r="181" ht="15.75" customHeight="1" s="108">
      <c r="A181" s="4" t="n"/>
      <c r="B181" s="4" t="n"/>
      <c r="C181" s="4" t="n"/>
      <c r="D181" s="4" t="n"/>
      <c r="E181" s="4" t="n"/>
      <c r="F181" s="4" t="n"/>
      <c r="G181" s="4" t="n"/>
      <c r="H181" s="4" t="n"/>
    </row>
    <row r="182" ht="15.75" customHeight="1" s="108">
      <c r="A182" s="4" t="n"/>
      <c r="B182" s="4" t="n"/>
      <c r="C182" s="4" t="n"/>
      <c r="D182" s="4" t="n"/>
      <c r="E182" s="4" t="n"/>
      <c r="F182" s="4" t="n"/>
      <c r="G182" s="4" t="n"/>
      <c r="H182" s="4" t="n"/>
    </row>
    <row r="183" ht="15.75" customHeight="1" s="108">
      <c r="A183" s="4" t="n"/>
      <c r="B183" s="4" t="n"/>
      <c r="C183" s="4" t="n"/>
      <c r="D183" s="4" t="n"/>
      <c r="E183" s="4" t="n"/>
      <c r="F183" s="4" t="n"/>
      <c r="G183" s="4" t="n"/>
      <c r="H183" s="4" t="n"/>
    </row>
    <row r="184" ht="15.75" customHeight="1" s="108">
      <c r="A184" s="4" t="n"/>
      <c r="B184" s="4" t="n"/>
      <c r="C184" s="4" t="n"/>
      <c r="D184" s="4" t="n"/>
      <c r="E184" s="4" t="n"/>
      <c r="F184" s="4" t="n"/>
      <c r="G184" s="4" t="n"/>
      <c r="H184" s="4" t="n"/>
    </row>
    <row r="185" ht="15.75" customHeight="1" s="108">
      <c r="A185" s="4" t="n"/>
      <c r="B185" s="4" t="n"/>
      <c r="C185" s="4" t="n"/>
      <c r="D185" s="4" t="n"/>
      <c r="E185" s="4" t="n"/>
      <c r="F185" s="4" t="n"/>
      <c r="G185" s="4" t="n"/>
      <c r="H185" s="4" t="n"/>
    </row>
    <row r="186" ht="15.75" customHeight="1" s="108">
      <c r="A186" s="4" t="n"/>
      <c r="B186" s="4" t="n"/>
      <c r="C186" s="4" t="n"/>
      <c r="D186" s="4" t="n"/>
      <c r="E186" s="4" t="n"/>
      <c r="F186" s="4" t="n"/>
      <c r="G186" s="4" t="n"/>
      <c r="H186" s="4" t="n"/>
    </row>
    <row r="187" ht="15.75" customHeight="1" s="108">
      <c r="A187" s="4" t="n"/>
      <c r="B187" s="4" t="n"/>
      <c r="C187" s="4" t="n"/>
      <c r="D187" s="4" t="n"/>
      <c r="E187" s="4" t="n"/>
      <c r="F187" s="4" t="n"/>
      <c r="G187" s="4" t="n"/>
      <c r="H187" s="4" t="n"/>
    </row>
    <row r="188" ht="15.75" customHeight="1" s="108">
      <c r="A188" s="4" t="n"/>
      <c r="B188" s="4" t="n"/>
      <c r="C188" s="4" t="n"/>
      <c r="D188" s="4" t="n"/>
      <c r="E188" s="4" t="n"/>
      <c r="F188" s="4" t="n"/>
      <c r="G188" s="4" t="n"/>
      <c r="H188" s="4" t="n"/>
    </row>
    <row r="189" ht="15.75" customHeight="1" s="108">
      <c r="A189" s="4" t="n"/>
      <c r="B189" s="4" t="n"/>
      <c r="C189" s="4" t="n"/>
      <c r="D189" s="4" t="n"/>
      <c r="E189" s="4" t="n"/>
      <c r="F189" s="4" t="n"/>
      <c r="G189" s="4" t="n"/>
      <c r="H189" s="4" t="n"/>
    </row>
    <row r="190" ht="15.75" customHeight="1" s="108">
      <c r="A190" s="4" t="n"/>
      <c r="B190" s="4" t="n"/>
      <c r="C190" s="4" t="n"/>
      <c r="D190" s="4" t="n"/>
      <c r="E190" s="4" t="n"/>
      <c r="F190" s="4" t="n"/>
      <c r="G190" s="4" t="n"/>
      <c r="H190" s="4" t="n"/>
    </row>
    <row r="191" ht="15.75" customHeight="1" s="108">
      <c r="A191" s="4" t="n"/>
      <c r="B191" s="4" t="n"/>
      <c r="C191" s="4" t="n"/>
      <c r="D191" s="4" t="n"/>
      <c r="E191" s="4" t="n"/>
      <c r="F191" s="4" t="n"/>
      <c r="G191" s="4" t="n"/>
      <c r="H191" s="4" t="n"/>
    </row>
    <row r="192" ht="15.75" customHeight="1" s="108">
      <c r="A192" s="4" t="n"/>
      <c r="B192" s="4" t="n"/>
      <c r="C192" s="4" t="n"/>
      <c r="D192" s="4" t="n"/>
      <c r="E192" s="4" t="n"/>
      <c r="F192" s="4" t="n"/>
      <c r="G192" s="4" t="n"/>
      <c r="H192" s="4" t="n"/>
    </row>
    <row r="193" ht="15.75" customHeight="1" s="108">
      <c r="A193" s="4" t="n"/>
      <c r="B193" s="4" t="n"/>
      <c r="C193" s="4" t="n"/>
      <c r="D193" s="4" t="n"/>
      <c r="E193" s="4" t="n"/>
      <c r="F193" s="4" t="n"/>
      <c r="G193" s="4" t="n"/>
      <c r="H193" s="4" t="n"/>
    </row>
    <row r="194" ht="15.75" customHeight="1" s="108">
      <c r="A194" s="4" t="n"/>
      <c r="B194" s="4" t="n"/>
      <c r="C194" s="4" t="n"/>
      <c r="D194" s="4" t="n"/>
      <c r="E194" s="4" t="n"/>
      <c r="F194" s="4" t="n"/>
      <c r="G194" s="4" t="n"/>
      <c r="H194" s="4" t="n"/>
    </row>
    <row r="195" ht="15.75" customHeight="1" s="108">
      <c r="A195" s="4" t="n"/>
      <c r="B195" s="4" t="n"/>
      <c r="C195" s="4" t="n"/>
      <c r="D195" s="4" t="n"/>
      <c r="E195" s="4" t="n"/>
      <c r="F195" s="4" t="n"/>
      <c r="G195" s="4" t="n"/>
      <c r="H195" s="4" t="n"/>
    </row>
    <row r="196" ht="15.75" customHeight="1" s="108">
      <c r="A196" s="4" t="n"/>
      <c r="B196" s="4" t="n"/>
      <c r="C196" s="4" t="n"/>
      <c r="D196" s="4" t="n"/>
      <c r="E196" s="4" t="n"/>
      <c r="F196" s="4" t="n"/>
      <c r="G196" s="4" t="n"/>
      <c r="H196" s="4" t="n"/>
    </row>
    <row r="197" ht="15.75" customHeight="1" s="108">
      <c r="A197" s="4" t="n"/>
      <c r="B197" s="4" t="n"/>
      <c r="C197" s="4" t="n"/>
      <c r="D197" s="4" t="n"/>
      <c r="E197" s="4" t="n"/>
      <c r="F197" s="4" t="n"/>
      <c r="G197" s="4" t="n"/>
      <c r="H197" s="4" t="n"/>
    </row>
    <row r="198" ht="15.75" customHeight="1" s="108">
      <c r="A198" s="4" t="n"/>
      <c r="B198" s="4" t="n"/>
      <c r="C198" s="4" t="n"/>
      <c r="D198" s="4" t="n"/>
      <c r="E198" s="4" t="n"/>
      <c r="F198" s="4" t="n"/>
      <c r="G198" s="4" t="n"/>
      <c r="H198" s="4" t="n"/>
    </row>
    <row r="199" ht="15.75" customHeight="1" s="108">
      <c r="A199" s="4" t="n"/>
      <c r="B199" s="4" t="n"/>
      <c r="C199" s="4" t="n"/>
      <c r="D199" s="4" t="n"/>
      <c r="E199" s="4" t="n"/>
      <c r="F199" s="4" t="n"/>
      <c r="G199" s="4" t="n"/>
      <c r="H199" s="4" t="n"/>
    </row>
    <row r="200" ht="15.75" customHeight="1" s="108">
      <c r="A200" s="4" t="n"/>
      <c r="B200" s="4" t="n"/>
      <c r="C200" s="4" t="n"/>
      <c r="D200" s="4" t="n"/>
      <c r="E200" s="4" t="n"/>
      <c r="F200" s="4" t="n"/>
      <c r="G200" s="4" t="n"/>
      <c r="H200" s="4" t="n"/>
    </row>
    <row r="201" ht="15.75" customHeight="1" s="108">
      <c r="A201" s="4" t="n"/>
      <c r="B201" s="4" t="n"/>
      <c r="C201" s="4" t="n"/>
      <c r="D201" s="4" t="n"/>
      <c r="E201" s="4" t="n"/>
      <c r="F201" s="4" t="n"/>
      <c r="G201" s="4" t="n"/>
      <c r="H201" s="4" t="n"/>
    </row>
    <row r="202" ht="15.75" customHeight="1" s="108">
      <c r="A202" s="4" t="n"/>
      <c r="B202" s="4" t="n"/>
      <c r="C202" s="4" t="n"/>
      <c r="D202" s="4" t="n"/>
      <c r="E202" s="4" t="n"/>
      <c r="F202" s="4" t="n"/>
      <c r="G202" s="4" t="n"/>
      <c r="H202" s="4" t="n"/>
    </row>
    <row r="203" ht="15.75" customHeight="1" s="108">
      <c r="A203" s="4" t="n"/>
      <c r="B203" s="4" t="n"/>
      <c r="C203" s="4" t="n"/>
      <c r="D203" s="4" t="n"/>
      <c r="E203" s="4" t="n"/>
      <c r="F203" s="4" t="n"/>
      <c r="G203" s="4" t="n"/>
      <c r="H203" s="4" t="n"/>
    </row>
    <row r="204" ht="15.75" customHeight="1" s="108">
      <c r="A204" s="4" t="n"/>
      <c r="B204" s="4" t="n"/>
      <c r="C204" s="4" t="n"/>
      <c r="D204" s="4" t="n"/>
      <c r="E204" s="4" t="n"/>
      <c r="F204" s="4" t="n"/>
      <c r="G204" s="4" t="n"/>
      <c r="H204" s="4" t="n"/>
    </row>
    <row r="205" ht="15.75" customHeight="1" s="108">
      <c r="A205" s="4" t="n"/>
      <c r="B205" s="4" t="n"/>
      <c r="C205" s="4" t="n"/>
      <c r="D205" s="4" t="n"/>
      <c r="E205" s="4" t="n"/>
      <c r="F205" s="4" t="n"/>
      <c r="G205" s="4" t="n"/>
      <c r="H205" s="4" t="n"/>
    </row>
    <row r="206" ht="15.75" customHeight="1" s="108">
      <c r="A206" s="4" t="n"/>
      <c r="B206" s="4" t="n"/>
      <c r="C206" s="4" t="n"/>
      <c r="D206" s="4" t="n"/>
      <c r="E206" s="4" t="n"/>
      <c r="F206" s="4" t="n"/>
      <c r="G206" s="4" t="n"/>
      <c r="H206" s="4" t="n"/>
    </row>
    <row r="207" ht="15.75" customHeight="1" s="108">
      <c r="A207" s="4" t="n"/>
      <c r="B207" s="4" t="n"/>
      <c r="C207" s="4" t="n"/>
      <c r="D207" s="4" t="n"/>
      <c r="E207" s="4" t="n"/>
      <c r="F207" s="4" t="n"/>
      <c r="G207" s="4" t="n"/>
      <c r="H207" s="4" t="n"/>
    </row>
    <row r="208" ht="15.75" customHeight="1" s="108">
      <c r="A208" s="4" t="n"/>
      <c r="B208" s="4" t="n"/>
      <c r="C208" s="4" t="n"/>
      <c r="D208" s="4" t="n"/>
      <c r="E208" s="4" t="n"/>
      <c r="F208" s="4" t="n"/>
      <c r="G208" s="4" t="n"/>
      <c r="H208" s="4" t="n"/>
    </row>
    <row r="209" ht="15.75" customHeight="1" s="108">
      <c r="A209" s="4" t="n"/>
      <c r="B209" s="4" t="n"/>
      <c r="C209" s="4" t="n"/>
      <c r="D209" s="4" t="n"/>
      <c r="E209" s="4" t="n"/>
      <c r="F209" s="4" t="n"/>
      <c r="G209" s="4" t="n"/>
      <c r="H209" s="4" t="n"/>
    </row>
    <row r="210" ht="15.75" customHeight="1" s="108">
      <c r="A210" s="4" t="n"/>
      <c r="B210" s="4" t="n"/>
      <c r="C210" s="4" t="n"/>
      <c r="D210" s="4" t="n"/>
      <c r="E210" s="4" t="n"/>
      <c r="F210" s="4" t="n"/>
      <c r="G210" s="4" t="n"/>
      <c r="H210" s="4" t="n"/>
    </row>
    <row r="211" ht="15.75" customHeight="1" s="108">
      <c r="A211" s="4" t="n"/>
      <c r="B211" s="4" t="n"/>
      <c r="C211" s="4" t="n"/>
      <c r="D211" s="4" t="n"/>
      <c r="E211" s="4" t="n"/>
      <c r="F211" s="4" t="n"/>
      <c r="G211" s="4" t="n"/>
      <c r="H211" s="4" t="n"/>
    </row>
    <row r="212" ht="15.75" customHeight="1" s="108">
      <c r="A212" s="4" t="n"/>
      <c r="B212" s="4" t="n"/>
      <c r="C212" s="4" t="n"/>
      <c r="D212" s="4" t="n"/>
      <c r="E212" s="4" t="n"/>
      <c r="F212" s="4" t="n"/>
      <c r="G212" s="4" t="n"/>
      <c r="H212" s="4" t="n"/>
    </row>
    <row r="213" ht="15.75" customHeight="1" s="108">
      <c r="A213" s="4" t="n"/>
      <c r="B213" s="4" t="n"/>
      <c r="C213" s="4" t="n"/>
      <c r="D213" s="4" t="n"/>
      <c r="E213" s="4" t="n"/>
      <c r="F213" s="4" t="n"/>
      <c r="G213" s="4" t="n"/>
      <c r="H213" s="4" t="n"/>
    </row>
    <row r="214" ht="15.75" customHeight="1" s="108">
      <c r="A214" s="4" t="n"/>
      <c r="B214" s="4" t="n"/>
      <c r="C214" s="4" t="n"/>
      <c r="D214" s="4" t="n"/>
      <c r="E214" s="4" t="n"/>
      <c r="F214" s="4" t="n"/>
      <c r="G214" s="4" t="n"/>
      <c r="H214" s="4" t="n"/>
    </row>
    <row r="215" ht="15.75" customHeight="1" s="108">
      <c r="A215" s="4" t="n"/>
      <c r="B215" s="4" t="n"/>
      <c r="C215" s="4" t="n"/>
      <c r="D215" s="4" t="n"/>
      <c r="E215" s="4" t="n"/>
      <c r="F215" s="4" t="n"/>
      <c r="G215" s="4" t="n"/>
      <c r="H215" s="4" t="n"/>
    </row>
    <row r="216" ht="15.75" customHeight="1" s="108">
      <c r="A216" s="4" t="n"/>
      <c r="B216" s="4" t="n"/>
      <c r="C216" s="4" t="n"/>
      <c r="D216" s="4" t="n"/>
      <c r="E216" s="4" t="n"/>
      <c r="F216" s="4" t="n"/>
      <c r="G216" s="4" t="n"/>
      <c r="H216" s="4" t="n"/>
    </row>
    <row r="217" ht="15.75" customHeight="1" s="108">
      <c r="A217" s="4" t="n"/>
      <c r="B217" s="4" t="n"/>
      <c r="C217" s="4" t="n"/>
      <c r="D217" s="4" t="n"/>
      <c r="E217" s="4" t="n"/>
      <c r="F217" s="4" t="n"/>
      <c r="G217" s="4" t="n"/>
      <c r="H217" s="4" t="n"/>
    </row>
    <row r="218" ht="15.75" customHeight="1" s="108">
      <c r="A218" s="4" t="n"/>
      <c r="B218" s="4" t="n"/>
      <c r="C218" s="4" t="n"/>
      <c r="D218" s="4" t="n"/>
      <c r="E218" s="4" t="n"/>
      <c r="F218" s="4" t="n"/>
      <c r="G218" s="4" t="n"/>
      <c r="H218" s="4" t="n"/>
    </row>
    <row r="219" ht="15.75" customHeight="1" s="108">
      <c r="A219" s="4" t="n"/>
      <c r="B219" s="4" t="n"/>
      <c r="C219" s="4" t="n"/>
      <c r="D219" s="4" t="n"/>
      <c r="E219" s="4" t="n"/>
      <c r="F219" s="4" t="n"/>
      <c r="G219" s="4" t="n"/>
      <c r="H219" s="4" t="n"/>
    </row>
    <row r="220" ht="15.75" customHeight="1" s="108">
      <c r="A220" s="4" t="n"/>
      <c r="B220" s="4" t="n"/>
      <c r="C220" s="4" t="n"/>
      <c r="D220" s="4" t="n"/>
      <c r="E220" s="4" t="n"/>
      <c r="F220" s="4" t="n"/>
      <c r="G220" s="4" t="n"/>
      <c r="H220" s="4" t="n"/>
    </row>
    <row r="221" ht="15.75" customHeight="1" s="108">
      <c r="A221" s="4" t="n"/>
      <c r="B221" s="4" t="n"/>
      <c r="C221" s="4" t="n"/>
      <c r="D221" s="4" t="n"/>
      <c r="E221" s="4" t="n"/>
      <c r="F221" s="4" t="n"/>
      <c r="G221" s="4" t="n"/>
      <c r="H221" s="4" t="n"/>
    </row>
    <row r="222" ht="15.75" customHeight="1" s="108">
      <c r="A222" s="4" t="n"/>
      <c r="B222" s="4" t="n"/>
      <c r="C222" s="4" t="n"/>
      <c r="D222" s="4" t="n"/>
      <c r="E222" s="4" t="n"/>
      <c r="F222" s="4" t="n"/>
      <c r="G222" s="4" t="n"/>
      <c r="H222" s="4" t="n"/>
    </row>
    <row r="223" ht="15.75" customHeight="1" s="108">
      <c r="A223" s="4" t="n"/>
      <c r="B223" s="4" t="n"/>
      <c r="C223" s="4" t="n"/>
      <c r="D223" s="4" t="n"/>
      <c r="E223" s="4" t="n"/>
      <c r="F223" s="4" t="n"/>
      <c r="G223" s="4" t="n"/>
      <c r="H223" s="4" t="n"/>
    </row>
    <row r="224" ht="15.75" customHeight="1" s="108">
      <c r="A224" s="4" t="n"/>
      <c r="B224" s="4" t="n"/>
      <c r="C224" s="4" t="n"/>
      <c r="D224" s="4" t="n"/>
      <c r="E224" s="4" t="n"/>
      <c r="F224" s="4" t="n"/>
      <c r="G224" s="4" t="n"/>
      <c r="H224" s="4" t="n"/>
    </row>
    <row r="225" ht="15.75" customHeight="1" s="108">
      <c r="A225" s="4" t="n"/>
      <c r="B225" s="4" t="n"/>
      <c r="C225" s="4" t="n"/>
      <c r="D225" s="4" t="n"/>
      <c r="E225" s="4" t="n"/>
      <c r="F225" s="4" t="n"/>
      <c r="G225" s="4" t="n"/>
      <c r="H225" s="4" t="n"/>
    </row>
    <row r="226" ht="15.75" customHeight="1" s="108">
      <c r="A226" s="4" t="n"/>
      <c r="B226" s="4" t="n"/>
      <c r="C226" s="4" t="n"/>
      <c r="D226" s="4" t="n"/>
      <c r="E226" s="4" t="n"/>
      <c r="F226" s="4" t="n"/>
      <c r="G226" s="4" t="n"/>
      <c r="H226" s="4" t="n"/>
    </row>
    <row r="227" ht="15.75" customHeight="1" s="108">
      <c r="A227" s="4" t="n"/>
      <c r="B227" s="4" t="n"/>
      <c r="C227" s="4" t="n"/>
      <c r="D227" s="4" t="n"/>
      <c r="E227" s="4" t="n"/>
      <c r="F227" s="4" t="n"/>
      <c r="G227" s="4" t="n"/>
      <c r="H227" s="4" t="n"/>
    </row>
    <row r="228" ht="15.75" customHeight="1" s="108">
      <c r="A228" s="4" t="n"/>
      <c r="B228" s="4" t="n"/>
      <c r="C228" s="4" t="n"/>
      <c r="D228" s="4" t="n"/>
      <c r="E228" s="4" t="n"/>
      <c r="F228" s="4" t="n"/>
      <c r="G228" s="4" t="n"/>
      <c r="H228" s="4" t="n"/>
    </row>
    <row r="229" ht="15.75" customHeight="1" s="108">
      <c r="A229" s="4" t="n"/>
      <c r="B229" s="4" t="n"/>
      <c r="C229" s="4" t="n"/>
      <c r="D229" s="4" t="n"/>
      <c r="E229" s="4" t="n"/>
      <c r="F229" s="4" t="n"/>
      <c r="G229" s="4" t="n"/>
      <c r="H229" s="4" t="n"/>
    </row>
    <row r="230" ht="15.75" customHeight="1" s="108">
      <c r="A230" s="4" t="n"/>
      <c r="B230" s="4" t="n"/>
      <c r="C230" s="4" t="n"/>
      <c r="D230" s="4" t="n"/>
      <c r="E230" s="4" t="n"/>
      <c r="F230" s="4" t="n"/>
      <c r="G230" s="4" t="n"/>
      <c r="H230" s="4" t="n"/>
    </row>
    <row r="231" ht="15.75" customHeight="1" s="108">
      <c r="A231" s="4" t="n"/>
      <c r="B231" s="4" t="n"/>
      <c r="C231" s="4" t="n"/>
      <c r="D231" s="4" t="n"/>
      <c r="E231" s="4" t="n"/>
      <c r="F231" s="4" t="n"/>
      <c r="G231" s="4" t="n"/>
      <c r="H231" s="4" t="n"/>
    </row>
    <row r="232" ht="15.75" customHeight="1" s="108">
      <c r="A232" s="4" t="n"/>
      <c r="B232" s="4" t="n"/>
      <c r="C232" s="4" t="n"/>
      <c r="D232" s="4" t="n"/>
      <c r="E232" s="4" t="n"/>
      <c r="F232" s="4" t="n"/>
      <c r="G232" s="4" t="n"/>
      <c r="H232" s="4" t="n"/>
    </row>
    <row r="233" ht="15.75" customHeight="1" s="108">
      <c r="A233" s="4" t="n"/>
      <c r="B233" s="4" t="n"/>
      <c r="C233" s="4" t="n"/>
      <c r="D233" s="4" t="n"/>
      <c r="E233" s="4" t="n"/>
      <c r="F233" s="4" t="n"/>
      <c r="G233" s="4" t="n"/>
      <c r="H233" s="4" t="n"/>
    </row>
    <row r="234" ht="15.75" customHeight="1" s="108">
      <c r="A234" s="4" t="n"/>
      <c r="B234" s="4" t="n"/>
      <c r="C234" s="4" t="n"/>
      <c r="D234" s="4" t="n"/>
      <c r="E234" s="4" t="n"/>
      <c r="F234" s="4" t="n"/>
      <c r="G234" s="4" t="n"/>
      <c r="H234" s="4" t="n"/>
    </row>
    <row r="235" ht="15.75" customHeight="1" s="108">
      <c r="A235" s="4" t="n"/>
      <c r="B235" s="4" t="n"/>
      <c r="C235" s="4" t="n"/>
      <c r="D235" s="4" t="n"/>
      <c r="E235" s="4" t="n"/>
      <c r="F235" s="4" t="n"/>
      <c r="G235" s="4" t="n"/>
      <c r="H235" s="4" t="n"/>
    </row>
    <row r="236" ht="15.75" customHeight="1" s="108">
      <c r="A236" s="4" t="n"/>
      <c r="B236" s="4" t="n"/>
      <c r="C236" s="4" t="n"/>
      <c r="D236" s="4" t="n"/>
      <c r="E236" s="4" t="n"/>
      <c r="F236" s="4" t="n"/>
      <c r="G236" s="4" t="n"/>
      <c r="H236" s="4" t="n"/>
    </row>
    <row r="237" ht="15.75" customHeight="1" s="108">
      <c r="A237" s="4" t="n"/>
      <c r="B237" s="4" t="n"/>
      <c r="C237" s="4" t="n"/>
      <c r="D237" s="4" t="n"/>
      <c r="E237" s="4" t="n"/>
      <c r="F237" s="4" t="n"/>
      <c r="G237" s="4" t="n"/>
      <c r="H237" s="4" t="n"/>
    </row>
    <row r="238" ht="15.75" customHeight="1" s="108">
      <c r="A238" s="4" t="n"/>
      <c r="B238" s="4" t="n"/>
      <c r="C238" s="4" t="n"/>
      <c r="D238" s="4" t="n"/>
      <c r="E238" s="4" t="n"/>
      <c r="F238" s="4" t="n"/>
      <c r="G238" s="4" t="n"/>
      <c r="H238" s="4" t="n"/>
    </row>
    <row r="239" ht="15.75" customHeight="1" s="108">
      <c r="A239" s="4" t="n"/>
      <c r="B239" s="4" t="n"/>
      <c r="C239" s="4" t="n"/>
      <c r="D239" s="4" t="n"/>
      <c r="E239" s="4" t="n"/>
      <c r="F239" s="4" t="n"/>
      <c r="G239" s="4" t="n"/>
      <c r="H239" s="4" t="n"/>
    </row>
    <row r="240" ht="15.75" customHeight="1" s="108">
      <c r="A240" s="4" t="n"/>
      <c r="B240" s="4" t="n"/>
      <c r="C240" s="4" t="n"/>
      <c r="D240" s="4" t="n"/>
      <c r="E240" s="4" t="n"/>
      <c r="F240" s="4" t="n"/>
      <c r="G240" s="4" t="n"/>
      <c r="H240" s="4" t="n"/>
    </row>
    <row r="241" ht="15.75" customHeight="1" s="108">
      <c r="A241" s="4" t="n"/>
      <c r="B241" s="4" t="n"/>
      <c r="C241" s="4" t="n"/>
      <c r="D241" s="4" t="n"/>
      <c r="E241" s="4" t="n"/>
      <c r="F241" s="4" t="n"/>
      <c r="G241" s="4" t="n"/>
      <c r="H241" s="4" t="n"/>
    </row>
    <row r="242" ht="15.75" customHeight="1" s="108">
      <c r="A242" s="4" t="n"/>
      <c r="B242" s="4" t="n"/>
      <c r="C242" s="4" t="n"/>
      <c r="D242" s="4" t="n"/>
      <c r="E242" s="4" t="n"/>
      <c r="F242" s="4" t="n"/>
      <c r="G242" s="4" t="n"/>
      <c r="H242" s="4" t="n"/>
    </row>
    <row r="243" ht="15.75" customHeight="1" s="108">
      <c r="A243" s="4" t="n"/>
      <c r="B243" s="4" t="n"/>
      <c r="C243" s="4" t="n"/>
      <c r="D243" s="4" t="n"/>
      <c r="E243" s="4" t="n"/>
      <c r="F243" s="4" t="n"/>
      <c r="G243" s="4" t="n"/>
      <c r="H243" s="4" t="n"/>
    </row>
    <row r="244" ht="15.75" customHeight="1" s="108">
      <c r="A244" s="4" t="n"/>
      <c r="B244" s="4" t="n"/>
      <c r="C244" s="4" t="n"/>
      <c r="D244" s="4" t="n"/>
      <c r="E244" s="4" t="n"/>
      <c r="F244" s="4" t="n"/>
      <c r="G244" s="4" t="n"/>
      <c r="H244" s="4" t="n"/>
    </row>
    <row r="245" ht="15.75" customHeight="1" s="108">
      <c r="A245" s="4" t="n"/>
      <c r="B245" s="4" t="n"/>
      <c r="C245" s="4" t="n"/>
      <c r="D245" s="4" t="n"/>
      <c r="E245" s="4" t="n"/>
      <c r="F245" s="4" t="n"/>
      <c r="G245" s="4" t="n"/>
      <c r="H245" s="4" t="n"/>
    </row>
    <row r="246" ht="15.75" customHeight="1" s="108">
      <c r="A246" s="4" t="n"/>
      <c r="B246" s="4" t="n"/>
      <c r="C246" s="4" t="n"/>
      <c r="D246" s="4" t="n"/>
      <c r="E246" s="4" t="n"/>
      <c r="F246" s="4" t="n"/>
      <c r="G246" s="4" t="n"/>
      <c r="H246" s="4" t="n"/>
    </row>
    <row r="247" ht="15.75" customHeight="1" s="108">
      <c r="A247" s="4" t="n"/>
      <c r="B247" s="4" t="n"/>
      <c r="C247" s="4" t="n"/>
      <c r="D247" s="4" t="n"/>
      <c r="E247" s="4" t="n"/>
      <c r="F247" s="4" t="n"/>
      <c r="G247" s="4" t="n"/>
      <c r="H247" s="4" t="n"/>
    </row>
    <row r="248" ht="15.75" customHeight="1" s="108">
      <c r="A248" s="4" t="n"/>
      <c r="B248" s="4" t="n"/>
      <c r="C248" s="4" t="n"/>
      <c r="D248" s="4" t="n"/>
      <c r="E248" s="4" t="n"/>
      <c r="F248" s="4" t="n"/>
      <c r="G248" s="4" t="n"/>
      <c r="H248" s="4" t="n"/>
    </row>
    <row r="249" ht="15.75" customHeight="1" s="108">
      <c r="A249" s="4" t="n"/>
      <c r="B249" s="4" t="n"/>
      <c r="C249" s="4" t="n"/>
      <c r="D249" s="4" t="n"/>
      <c r="E249" s="4" t="n"/>
      <c r="F249" s="4" t="n"/>
      <c r="G249" s="4" t="n"/>
      <c r="H249" s="4" t="n"/>
    </row>
    <row r="250" ht="15.75" customHeight="1" s="108">
      <c r="A250" s="4" t="n"/>
      <c r="B250" s="4" t="n"/>
      <c r="C250" s="4" t="n"/>
      <c r="D250" s="4" t="n"/>
      <c r="E250" s="4" t="n"/>
      <c r="F250" s="4" t="n"/>
      <c r="G250" s="4" t="n"/>
      <c r="H250" s="4" t="n"/>
    </row>
    <row r="251" ht="15.75" customHeight="1" s="108">
      <c r="A251" s="4" t="n"/>
      <c r="B251" s="4" t="n"/>
      <c r="C251" s="4" t="n"/>
      <c r="D251" s="4" t="n"/>
      <c r="E251" s="4" t="n"/>
      <c r="F251" s="4" t="n"/>
      <c r="G251" s="4" t="n"/>
      <c r="H251" s="4" t="n"/>
    </row>
    <row r="252" ht="15.75" customHeight="1" s="108">
      <c r="A252" s="4" t="n"/>
      <c r="B252" s="4" t="n"/>
      <c r="C252" s="4" t="n"/>
      <c r="D252" s="4" t="n"/>
      <c r="E252" s="4" t="n"/>
      <c r="F252" s="4" t="n"/>
      <c r="G252" s="4" t="n"/>
      <c r="H252" s="4" t="n"/>
    </row>
    <row r="253" ht="15.75" customHeight="1" s="108">
      <c r="A253" s="4" t="n"/>
      <c r="B253" s="4" t="n"/>
      <c r="C253" s="4" t="n"/>
      <c r="D253" s="4" t="n"/>
      <c r="E253" s="4" t="n"/>
      <c r="F253" s="4" t="n"/>
      <c r="G253" s="4" t="n"/>
      <c r="H253" s="4" t="n"/>
    </row>
    <row r="254" ht="15.75" customHeight="1" s="108">
      <c r="A254" s="4" t="n"/>
      <c r="B254" s="4" t="n"/>
      <c r="C254" s="4" t="n"/>
      <c r="D254" s="4" t="n"/>
      <c r="E254" s="4" t="n"/>
      <c r="F254" s="4" t="n"/>
      <c r="G254" s="4" t="n"/>
      <c r="H254" s="4" t="n"/>
    </row>
    <row r="255" ht="15.75" customHeight="1" s="108">
      <c r="A255" s="4" t="n"/>
      <c r="B255" s="4" t="n"/>
      <c r="C255" s="4" t="n"/>
      <c r="D255" s="4" t="n"/>
      <c r="E255" s="4" t="n"/>
      <c r="F255" s="4" t="n"/>
      <c r="G255" s="4" t="n"/>
      <c r="H255" s="4" t="n"/>
    </row>
    <row r="256" ht="15.75" customHeight="1" s="108">
      <c r="A256" s="4" t="n"/>
      <c r="B256" s="4" t="n"/>
      <c r="C256" s="4" t="n"/>
      <c r="D256" s="4" t="n"/>
      <c r="E256" s="4" t="n"/>
      <c r="F256" s="4" t="n"/>
      <c r="G256" s="4" t="n"/>
      <c r="H256" s="4" t="n"/>
    </row>
    <row r="257" ht="15.75" customHeight="1" s="108">
      <c r="A257" s="4" t="n"/>
      <c r="B257" s="4" t="n"/>
      <c r="C257" s="4" t="n"/>
      <c r="D257" s="4" t="n"/>
      <c r="E257" s="4" t="n"/>
      <c r="F257" s="4" t="n"/>
      <c r="G257" s="4" t="n"/>
      <c r="H257" s="4" t="n"/>
    </row>
    <row r="258" ht="15.75" customHeight="1" s="108">
      <c r="A258" s="4" t="n"/>
      <c r="B258" s="4" t="n"/>
      <c r="C258" s="4" t="n"/>
      <c r="D258" s="4" t="n"/>
      <c r="E258" s="4" t="n"/>
      <c r="F258" s="4" t="n"/>
      <c r="G258" s="4" t="n"/>
      <c r="H258" s="4" t="n"/>
    </row>
    <row r="259" ht="15.75" customHeight="1" s="108">
      <c r="A259" s="4" t="n"/>
      <c r="B259" s="4" t="n"/>
      <c r="C259" s="4" t="n"/>
      <c r="D259" s="4" t="n"/>
      <c r="E259" s="4" t="n"/>
      <c r="F259" s="4" t="n"/>
      <c r="G259" s="4" t="n"/>
      <c r="H259" s="4" t="n"/>
    </row>
    <row r="260" ht="15.75" customHeight="1" s="108">
      <c r="A260" s="4" t="n"/>
      <c r="B260" s="4" t="n"/>
      <c r="C260" s="4" t="n"/>
      <c r="D260" s="4" t="n"/>
      <c r="E260" s="4" t="n"/>
      <c r="F260" s="4" t="n"/>
      <c r="G260" s="4" t="n"/>
      <c r="H260" s="4" t="n"/>
    </row>
    <row r="261" ht="15.75" customHeight="1" s="108">
      <c r="A261" s="4" t="n"/>
      <c r="B261" s="4" t="n"/>
      <c r="C261" s="4" t="n"/>
      <c r="D261" s="4" t="n"/>
      <c r="E261" s="4" t="n"/>
      <c r="F261" s="4" t="n"/>
      <c r="G261" s="4" t="n"/>
      <c r="H261" s="4" t="n"/>
    </row>
    <row r="262" ht="15.75" customHeight="1" s="108">
      <c r="A262" s="4" t="n"/>
      <c r="B262" s="4" t="n"/>
      <c r="C262" s="4" t="n"/>
      <c r="D262" s="4" t="n"/>
      <c r="E262" s="4" t="n"/>
      <c r="F262" s="4" t="n"/>
      <c r="G262" s="4" t="n"/>
      <c r="H262" s="4" t="n"/>
    </row>
    <row r="263" ht="15.75" customHeight="1" s="108">
      <c r="A263" s="4" t="n"/>
      <c r="B263" s="4" t="n"/>
      <c r="C263" s="4" t="n"/>
      <c r="D263" s="4" t="n"/>
      <c r="E263" s="4" t="n"/>
      <c r="F263" s="4" t="n"/>
      <c r="G263" s="4" t="n"/>
      <c r="H263" s="4" t="n"/>
    </row>
    <row r="264" ht="15.75" customHeight="1" s="108">
      <c r="A264" s="4" t="n"/>
      <c r="B264" s="4" t="n"/>
      <c r="C264" s="4" t="n"/>
      <c r="D264" s="4" t="n"/>
      <c r="E264" s="4" t="n"/>
      <c r="F264" s="4" t="n"/>
      <c r="G264" s="4" t="n"/>
      <c r="H264" s="4" t="n"/>
    </row>
    <row r="265" ht="15.75" customHeight="1" s="108">
      <c r="A265" s="4" t="n"/>
      <c r="B265" s="4" t="n"/>
      <c r="C265" s="4" t="n"/>
      <c r="D265" s="4" t="n"/>
      <c r="E265" s="4" t="n"/>
      <c r="F265" s="4" t="n"/>
      <c r="G265" s="4" t="n"/>
      <c r="H265" s="4" t="n"/>
    </row>
    <row r="266" ht="15.75" customHeight="1" s="108">
      <c r="A266" s="4" t="n"/>
      <c r="B266" s="4" t="n"/>
      <c r="C266" s="4" t="n"/>
      <c r="D266" s="4" t="n"/>
      <c r="E266" s="4" t="n"/>
      <c r="F266" s="4" t="n"/>
      <c r="G266" s="4" t="n"/>
      <c r="H266" s="4" t="n"/>
    </row>
    <row r="267" ht="15.75" customHeight="1" s="108">
      <c r="A267" s="4" t="n"/>
      <c r="B267" s="4" t="n"/>
      <c r="C267" s="4" t="n"/>
      <c r="D267" s="4" t="n"/>
      <c r="E267" s="4" t="n"/>
      <c r="F267" s="4" t="n"/>
      <c r="G267" s="4" t="n"/>
      <c r="H267" s="4" t="n"/>
    </row>
    <row r="268" ht="15.75" customHeight="1" s="108">
      <c r="A268" s="4" t="n"/>
      <c r="B268" s="4" t="n"/>
      <c r="C268" s="4" t="n"/>
      <c r="D268" s="4" t="n"/>
      <c r="E268" s="4" t="n"/>
      <c r="F268" s="4" t="n"/>
      <c r="G268" s="4" t="n"/>
      <c r="H268" s="4" t="n"/>
    </row>
    <row r="269" ht="15.75" customHeight="1" s="108">
      <c r="A269" s="4" t="n"/>
      <c r="B269" s="4" t="n"/>
      <c r="C269" s="4" t="n"/>
      <c r="D269" s="4" t="n"/>
      <c r="E269" s="4" t="n"/>
      <c r="F269" s="4" t="n"/>
      <c r="G269" s="4" t="n"/>
      <c r="H269" s="4" t="n"/>
    </row>
    <row r="270" ht="15.75" customHeight="1" s="108">
      <c r="A270" s="4" t="n"/>
      <c r="B270" s="4" t="n"/>
      <c r="C270" s="4" t="n"/>
      <c r="D270" s="4" t="n"/>
      <c r="E270" s="4" t="n"/>
      <c r="F270" s="4" t="n"/>
      <c r="G270" s="4" t="n"/>
      <c r="H270" s="4" t="n"/>
    </row>
    <row r="271" ht="15.75" customHeight="1" s="108">
      <c r="A271" s="4" t="n"/>
      <c r="B271" s="4" t="n"/>
      <c r="C271" s="4" t="n"/>
      <c r="D271" s="4" t="n"/>
      <c r="E271" s="4" t="n"/>
      <c r="F271" s="4" t="n"/>
      <c r="G271" s="4" t="n"/>
      <c r="H271" s="4" t="n"/>
    </row>
    <row r="272" ht="15.75" customHeight="1" s="108">
      <c r="A272" s="4" t="n"/>
      <c r="B272" s="4" t="n"/>
      <c r="C272" s="4" t="n"/>
      <c r="D272" s="4" t="n"/>
      <c r="E272" s="4" t="n"/>
      <c r="F272" s="4" t="n"/>
      <c r="G272" s="4" t="n"/>
      <c r="H272" s="4" t="n"/>
    </row>
    <row r="273" ht="15.75" customHeight="1" s="108">
      <c r="A273" s="4" t="n"/>
      <c r="B273" s="4" t="n"/>
      <c r="C273" s="4" t="n"/>
      <c r="D273" s="4" t="n"/>
      <c r="E273" s="4" t="n"/>
      <c r="F273" s="4" t="n"/>
      <c r="G273" s="4" t="n"/>
      <c r="H273" s="4" t="n"/>
    </row>
    <row r="274" ht="15.75" customHeight="1" s="108">
      <c r="A274" s="4" t="n"/>
      <c r="B274" s="4" t="n"/>
      <c r="C274" s="4" t="n"/>
      <c r="D274" s="4" t="n"/>
      <c r="E274" s="4" t="n"/>
      <c r="F274" s="4" t="n"/>
      <c r="G274" s="4" t="n"/>
      <c r="H274" s="4" t="n"/>
    </row>
    <row r="275" ht="15.75" customHeight="1" s="108">
      <c r="A275" s="4" t="n"/>
      <c r="B275" s="4" t="n"/>
      <c r="C275" s="4" t="n"/>
      <c r="D275" s="4" t="n"/>
      <c r="E275" s="4" t="n"/>
      <c r="F275" s="4" t="n"/>
      <c r="G275" s="4" t="n"/>
      <c r="H275" s="4" t="n"/>
    </row>
    <row r="276" ht="15.75" customHeight="1" s="108">
      <c r="A276" s="4" t="n"/>
      <c r="B276" s="4" t="n"/>
      <c r="C276" s="4" t="n"/>
      <c r="D276" s="4" t="n"/>
      <c r="E276" s="4" t="n"/>
      <c r="F276" s="4" t="n"/>
      <c r="G276" s="4" t="n"/>
      <c r="H276" s="4" t="n"/>
    </row>
    <row r="277" ht="15.75" customHeight="1" s="108">
      <c r="A277" s="4" t="n"/>
      <c r="B277" s="4" t="n"/>
      <c r="C277" s="4" t="n"/>
      <c r="D277" s="4" t="n"/>
      <c r="E277" s="4" t="n"/>
      <c r="F277" s="4" t="n"/>
      <c r="G277" s="4" t="n"/>
      <c r="H277" s="4" t="n"/>
    </row>
    <row r="278" ht="15.75" customHeight="1" s="108">
      <c r="A278" s="4" t="n"/>
      <c r="B278" s="4" t="n"/>
      <c r="C278" s="4" t="n"/>
      <c r="D278" s="4" t="n"/>
      <c r="E278" s="4" t="n"/>
      <c r="F278" s="4" t="n"/>
      <c r="G278" s="4" t="n"/>
      <c r="H278" s="4" t="n"/>
    </row>
    <row r="279" ht="15.75" customHeight="1" s="108">
      <c r="A279" s="4" t="n"/>
      <c r="B279" s="4" t="n"/>
      <c r="C279" s="4" t="n"/>
      <c r="D279" s="4" t="n"/>
      <c r="E279" s="4" t="n"/>
      <c r="F279" s="4" t="n"/>
      <c r="G279" s="4" t="n"/>
      <c r="H279" s="4" t="n"/>
    </row>
    <row r="280" ht="15.75" customHeight="1" s="108">
      <c r="A280" s="4" t="n"/>
      <c r="B280" s="4" t="n"/>
      <c r="C280" s="4" t="n"/>
      <c r="D280" s="4" t="n"/>
      <c r="E280" s="4" t="n"/>
      <c r="F280" s="4" t="n"/>
      <c r="G280" s="4" t="n"/>
      <c r="H280" s="4" t="n"/>
    </row>
    <row r="281" ht="15.75" customHeight="1" s="108">
      <c r="A281" s="4" t="n"/>
      <c r="B281" s="4" t="n"/>
      <c r="C281" s="4" t="n"/>
      <c r="D281" s="4" t="n"/>
      <c r="E281" s="4" t="n"/>
      <c r="F281" s="4" t="n"/>
      <c r="G281" s="4" t="n"/>
      <c r="H281" s="4" t="n"/>
    </row>
    <row r="282" ht="15.75" customHeight="1" s="108">
      <c r="A282" s="4" t="n"/>
      <c r="B282" s="4" t="n"/>
      <c r="C282" s="4" t="n"/>
      <c r="D282" s="4" t="n"/>
      <c r="E282" s="4" t="n"/>
      <c r="F282" s="4" t="n"/>
      <c r="G282" s="4" t="n"/>
      <c r="H282" s="4" t="n"/>
    </row>
    <row r="283" ht="15.75" customHeight="1" s="108">
      <c r="A283" s="4" t="n"/>
      <c r="B283" s="4" t="n"/>
      <c r="C283" s="4" t="n"/>
      <c r="D283" s="4" t="n"/>
      <c r="E283" s="4" t="n"/>
      <c r="F283" s="4" t="n"/>
      <c r="G283" s="4" t="n"/>
      <c r="H283" s="4" t="n"/>
    </row>
    <row r="284" ht="15.75" customHeight="1" s="108">
      <c r="A284" s="4" t="n"/>
      <c r="B284" s="4" t="n"/>
      <c r="C284" s="4" t="n"/>
      <c r="D284" s="4" t="n"/>
      <c r="E284" s="4" t="n"/>
      <c r="F284" s="4" t="n"/>
      <c r="G284" s="4" t="n"/>
      <c r="H284" s="4" t="n"/>
    </row>
    <row r="285" ht="15.75" customHeight="1" s="108">
      <c r="A285" s="4" t="n"/>
      <c r="B285" s="4" t="n"/>
      <c r="C285" s="4" t="n"/>
      <c r="D285" s="4" t="n"/>
      <c r="E285" s="4" t="n"/>
      <c r="F285" s="4" t="n"/>
      <c r="G285" s="4" t="n"/>
      <c r="H285" s="4" t="n"/>
    </row>
    <row r="286" ht="15.75" customHeight="1" s="108">
      <c r="A286" s="4" t="n"/>
      <c r="B286" s="4" t="n"/>
      <c r="C286" s="4" t="n"/>
      <c r="D286" s="4" t="n"/>
      <c r="E286" s="4" t="n"/>
      <c r="F286" s="4" t="n"/>
      <c r="G286" s="4" t="n"/>
      <c r="H286" s="4" t="n"/>
    </row>
    <row r="287" ht="15.75" customHeight="1" s="108">
      <c r="A287" s="4" t="n"/>
      <c r="B287" s="4" t="n"/>
      <c r="C287" s="4" t="n"/>
      <c r="D287" s="4" t="n"/>
      <c r="E287" s="4" t="n"/>
      <c r="F287" s="4" t="n"/>
      <c r="G287" s="4" t="n"/>
      <c r="H287" s="4" t="n"/>
    </row>
    <row r="288" ht="15.75" customHeight="1" s="108">
      <c r="A288" s="4" t="n"/>
      <c r="B288" s="4" t="n"/>
      <c r="C288" s="4" t="n"/>
      <c r="D288" s="4" t="n"/>
      <c r="E288" s="4" t="n"/>
      <c r="F288" s="4" t="n"/>
      <c r="G288" s="4" t="n"/>
      <c r="H288" s="4" t="n"/>
    </row>
    <row r="289" ht="15.75" customHeight="1" s="108">
      <c r="A289" s="4" t="n"/>
      <c r="B289" s="4" t="n"/>
      <c r="C289" s="4" t="n"/>
      <c r="D289" s="4" t="n"/>
      <c r="E289" s="4" t="n"/>
      <c r="F289" s="4" t="n"/>
      <c r="G289" s="4" t="n"/>
      <c r="H289" s="4" t="n"/>
    </row>
    <row r="290" ht="15.75" customHeight="1" s="108">
      <c r="A290" s="4" t="n"/>
      <c r="B290" s="4" t="n"/>
      <c r="C290" s="4" t="n"/>
      <c r="D290" s="4" t="n"/>
      <c r="E290" s="4" t="n"/>
      <c r="F290" s="4" t="n"/>
      <c r="G290" s="4" t="n"/>
      <c r="H290" s="4" t="n"/>
    </row>
    <row r="291" ht="15.75" customHeight="1" s="108">
      <c r="A291" s="4" t="n"/>
      <c r="B291" s="4" t="n"/>
      <c r="C291" s="4" t="n"/>
      <c r="D291" s="4" t="n"/>
      <c r="E291" s="4" t="n"/>
      <c r="F291" s="4" t="n"/>
      <c r="G291" s="4" t="n"/>
      <c r="H291" s="4" t="n"/>
    </row>
    <row r="292" ht="15.75" customHeight="1" s="108">
      <c r="A292" s="4" t="n"/>
      <c r="B292" s="4" t="n"/>
      <c r="C292" s="4" t="n"/>
      <c r="D292" s="4" t="n"/>
      <c r="E292" s="4" t="n"/>
      <c r="F292" s="4" t="n"/>
      <c r="G292" s="4" t="n"/>
      <c r="H292" s="4" t="n"/>
    </row>
    <row r="293" ht="15.75" customHeight="1" s="108">
      <c r="A293" s="4" t="n"/>
      <c r="B293" s="4" t="n"/>
      <c r="C293" s="4" t="n"/>
      <c r="D293" s="4" t="n"/>
      <c r="E293" s="4" t="n"/>
      <c r="F293" s="4" t="n"/>
      <c r="G293" s="4" t="n"/>
      <c r="H293" s="4" t="n"/>
    </row>
    <row r="294" ht="15.75" customHeight="1" s="108">
      <c r="A294" s="4" t="n"/>
      <c r="B294" s="4" t="n"/>
      <c r="C294" s="4" t="n"/>
      <c r="D294" s="4" t="n"/>
      <c r="E294" s="4" t="n"/>
      <c r="F294" s="4" t="n"/>
      <c r="G294" s="4" t="n"/>
      <c r="H294" s="4" t="n"/>
    </row>
    <row r="295" ht="15.75" customHeight="1" s="108">
      <c r="A295" s="4" t="n"/>
      <c r="B295" s="4" t="n"/>
      <c r="C295" s="4" t="n"/>
      <c r="D295" s="4" t="n"/>
      <c r="E295" s="4" t="n"/>
      <c r="F295" s="4" t="n"/>
      <c r="G295" s="4" t="n"/>
      <c r="H295" s="4" t="n"/>
    </row>
    <row r="296" ht="15.75" customHeight="1" s="108">
      <c r="A296" s="4" t="n"/>
      <c r="B296" s="4" t="n"/>
      <c r="C296" s="4" t="n"/>
      <c r="D296" s="4" t="n"/>
      <c r="E296" s="4" t="n"/>
      <c r="F296" s="4" t="n"/>
      <c r="G296" s="4" t="n"/>
      <c r="H296" s="4" t="n"/>
    </row>
    <row r="297" ht="15.75" customHeight="1" s="108">
      <c r="A297" s="4" t="n"/>
      <c r="B297" s="4" t="n"/>
      <c r="C297" s="4" t="n"/>
      <c r="D297" s="4" t="n"/>
      <c r="E297" s="4" t="n"/>
      <c r="F297" s="4" t="n"/>
      <c r="G297" s="4" t="n"/>
      <c r="H297" s="4" t="n"/>
    </row>
    <row r="298" ht="15.75" customHeight="1" s="108">
      <c r="A298" s="4" t="n"/>
      <c r="B298" s="4" t="n"/>
      <c r="C298" s="4" t="n"/>
      <c r="D298" s="4" t="n"/>
      <c r="E298" s="4" t="n"/>
      <c r="F298" s="4" t="n"/>
      <c r="G298" s="4" t="n"/>
      <c r="H298" s="4" t="n"/>
    </row>
    <row r="299" ht="15.75" customHeight="1" s="108">
      <c r="A299" s="4" t="n"/>
      <c r="B299" s="4" t="n"/>
      <c r="C299" s="4" t="n"/>
      <c r="D299" s="4" t="n"/>
      <c r="E299" s="4" t="n"/>
      <c r="F299" s="4" t="n"/>
      <c r="G299" s="4" t="n"/>
      <c r="H299" s="4" t="n"/>
    </row>
    <row r="300" ht="15.75" customHeight="1" s="108">
      <c r="A300" s="4" t="n"/>
      <c r="B300" s="4" t="n"/>
      <c r="C300" s="4" t="n"/>
      <c r="D300" s="4" t="n"/>
      <c r="E300" s="4" t="n"/>
      <c r="F300" s="4" t="n"/>
      <c r="G300" s="4" t="n"/>
      <c r="H300" s="4" t="n"/>
    </row>
    <row r="301" ht="15.75" customHeight="1" s="108">
      <c r="A301" s="4" t="n"/>
      <c r="B301" s="4" t="n"/>
      <c r="C301" s="4" t="n"/>
      <c r="D301" s="4" t="n"/>
      <c r="E301" s="4" t="n"/>
      <c r="F301" s="4" t="n"/>
      <c r="G301" s="4" t="n"/>
      <c r="H301" s="4" t="n"/>
    </row>
    <row r="302" ht="15.75" customHeight="1" s="108">
      <c r="A302" s="4" t="n"/>
      <c r="B302" s="4" t="n"/>
      <c r="C302" s="4" t="n"/>
      <c r="D302" s="4" t="n"/>
      <c r="E302" s="4" t="n"/>
      <c r="F302" s="4" t="n"/>
      <c r="G302" s="4" t="n"/>
      <c r="H302" s="4" t="n"/>
    </row>
    <row r="303" ht="15.75" customHeight="1" s="108">
      <c r="A303" s="4" t="n"/>
      <c r="B303" s="4" t="n"/>
      <c r="C303" s="4" t="n"/>
      <c r="D303" s="4" t="n"/>
      <c r="E303" s="4" t="n"/>
      <c r="F303" s="4" t="n"/>
      <c r="G303" s="4" t="n"/>
      <c r="H303" s="4" t="n"/>
    </row>
    <row r="304" ht="15.75" customHeight="1" s="108">
      <c r="A304" s="4" t="n"/>
      <c r="B304" s="4" t="n"/>
      <c r="C304" s="4" t="n"/>
      <c r="D304" s="4" t="n"/>
      <c r="E304" s="4" t="n"/>
      <c r="F304" s="4" t="n"/>
      <c r="G304" s="4" t="n"/>
      <c r="H304" s="4" t="n"/>
    </row>
    <row r="305" ht="15.75" customHeight="1" s="108">
      <c r="A305" s="4" t="n"/>
      <c r="B305" s="4" t="n"/>
      <c r="C305" s="4" t="n"/>
      <c r="D305" s="4" t="n"/>
      <c r="E305" s="4" t="n"/>
      <c r="F305" s="4" t="n"/>
      <c r="G305" s="4" t="n"/>
      <c r="H305" s="4" t="n"/>
    </row>
    <row r="306" ht="15.75" customHeight="1" s="108">
      <c r="A306" s="4" t="n"/>
      <c r="B306" s="4" t="n"/>
      <c r="C306" s="4" t="n"/>
      <c r="D306" s="4" t="n"/>
      <c r="E306" s="4" t="n"/>
      <c r="F306" s="4" t="n"/>
      <c r="G306" s="4" t="n"/>
      <c r="H306" s="4" t="n"/>
    </row>
    <row r="307" ht="15.75" customHeight="1" s="108">
      <c r="A307" s="4" t="n"/>
      <c r="B307" s="4" t="n"/>
      <c r="C307" s="4" t="n"/>
      <c r="D307" s="4" t="n"/>
      <c r="E307" s="4" t="n"/>
      <c r="F307" s="4" t="n"/>
      <c r="G307" s="4" t="n"/>
      <c r="H307" s="4" t="n"/>
    </row>
    <row r="308" ht="15.75" customHeight="1" s="108">
      <c r="A308" s="4" t="n"/>
      <c r="B308" s="4" t="n"/>
      <c r="C308" s="4" t="n"/>
      <c r="D308" s="4" t="n"/>
      <c r="E308" s="4" t="n"/>
      <c r="F308" s="4" t="n"/>
      <c r="G308" s="4" t="n"/>
      <c r="H308" s="4" t="n"/>
    </row>
    <row r="309" ht="15.75" customHeight="1" s="108">
      <c r="A309" s="4" t="n"/>
      <c r="B309" s="4" t="n"/>
      <c r="C309" s="4" t="n"/>
      <c r="D309" s="4" t="n"/>
      <c r="E309" s="4" t="n"/>
      <c r="F309" s="4" t="n"/>
      <c r="G309" s="4" t="n"/>
      <c r="H309" s="4" t="n"/>
    </row>
    <row r="310" ht="15.75" customHeight="1" s="108">
      <c r="A310" s="4" t="n"/>
      <c r="B310" s="4" t="n"/>
      <c r="C310" s="4" t="n"/>
      <c r="D310" s="4" t="n"/>
      <c r="E310" s="4" t="n"/>
      <c r="F310" s="4" t="n"/>
      <c r="G310" s="4" t="n"/>
      <c r="H310" s="4" t="n"/>
    </row>
    <row r="311" ht="15.75" customHeight="1" s="108">
      <c r="A311" s="4" t="n"/>
      <c r="B311" s="4" t="n"/>
      <c r="C311" s="4" t="n"/>
      <c r="D311" s="4" t="n"/>
      <c r="E311" s="4" t="n"/>
      <c r="F311" s="4" t="n"/>
      <c r="G311" s="4" t="n"/>
      <c r="H311" s="4" t="n"/>
    </row>
    <row r="312" ht="15.75" customHeight="1" s="108">
      <c r="A312" s="4" t="n"/>
      <c r="B312" s="4" t="n"/>
      <c r="C312" s="4" t="n"/>
      <c r="D312" s="4" t="n"/>
      <c r="E312" s="4" t="n"/>
      <c r="F312" s="4" t="n"/>
      <c r="G312" s="4" t="n"/>
      <c r="H312" s="4" t="n"/>
    </row>
    <row r="313" ht="15.75" customHeight="1" s="108">
      <c r="A313" s="4" t="n"/>
      <c r="B313" s="4" t="n"/>
      <c r="C313" s="4" t="n"/>
      <c r="D313" s="4" t="n"/>
      <c r="E313" s="4" t="n"/>
      <c r="F313" s="4" t="n"/>
      <c r="G313" s="4" t="n"/>
      <c r="H313" s="4" t="n"/>
    </row>
    <row r="314" ht="15.75" customHeight="1" s="108">
      <c r="A314" s="4" t="n"/>
      <c r="B314" s="4" t="n"/>
      <c r="C314" s="4" t="n"/>
      <c r="D314" s="4" t="n"/>
      <c r="E314" s="4" t="n"/>
      <c r="F314" s="4" t="n"/>
      <c r="G314" s="4" t="n"/>
      <c r="H314" s="4" t="n"/>
    </row>
    <row r="315" ht="15.75" customHeight="1" s="108">
      <c r="A315" s="4" t="n"/>
      <c r="B315" s="4" t="n"/>
      <c r="C315" s="4" t="n"/>
      <c r="D315" s="4" t="n"/>
      <c r="E315" s="4" t="n"/>
      <c r="F315" s="4" t="n"/>
      <c r="G315" s="4" t="n"/>
      <c r="H315" s="4" t="n"/>
    </row>
    <row r="316" ht="15.75" customHeight="1" s="108">
      <c r="A316" s="4" t="n"/>
      <c r="B316" s="4" t="n"/>
      <c r="C316" s="4" t="n"/>
      <c r="D316" s="4" t="n"/>
      <c r="E316" s="4" t="n"/>
      <c r="F316" s="4" t="n"/>
      <c r="G316" s="4" t="n"/>
      <c r="H316" s="4" t="n"/>
    </row>
    <row r="317" ht="15.75" customHeight="1" s="108">
      <c r="A317" s="4" t="n"/>
      <c r="B317" s="4" t="n"/>
      <c r="C317" s="4" t="n"/>
      <c r="D317" s="4" t="n"/>
      <c r="E317" s="4" t="n"/>
      <c r="F317" s="4" t="n"/>
      <c r="G317" s="4" t="n"/>
      <c r="H317" s="4" t="n"/>
    </row>
    <row r="318" ht="15.75" customHeight="1" s="108">
      <c r="A318" s="4" t="n"/>
      <c r="B318" s="4" t="n"/>
      <c r="C318" s="4" t="n"/>
      <c r="D318" s="4" t="n"/>
      <c r="E318" s="4" t="n"/>
      <c r="F318" s="4" t="n"/>
      <c r="G318" s="4" t="n"/>
      <c r="H318" s="4" t="n"/>
    </row>
    <row r="319" ht="15.75" customHeight="1" s="108">
      <c r="A319" s="4" t="n"/>
      <c r="B319" s="4" t="n"/>
      <c r="C319" s="4" t="n"/>
      <c r="D319" s="4" t="n"/>
      <c r="E319" s="4" t="n"/>
      <c r="F319" s="4" t="n"/>
      <c r="G319" s="4" t="n"/>
      <c r="H319" s="4" t="n"/>
    </row>
    <row r="320" ht="15.75" customHeight="1" s="108">
      <c r="A320" s="4" t="n"/>
      <c r="B320" s="4" t="n"/>
      <c r="C320" s="4" t="n"/>
      <c r="D320" s="4" t="n"/>
      <c r="E320" s="4" t="n"/>
      <c r="F320" s="4" t="n"/>
      <c r="G320" s="4" t="n"/>
      <c r="H320" s="4" t="n"/>
    </row>
    <row r="321" ht="15.75" customHeight="1" s="108">
      <c r="A321" s="4" t="n"/>
      <c r="B321" s="4" t="n"/>
      <c r="C321" s="4" t="n"/>
      <c r="D321" s="4" t="n"/>
      <c r="E321" s="4" t="n"/>
      <c r="F321" s="4" t="n"/>
      <c r="G321" s="4" t="n"/>
      <c r="H321" s="4" t="n"/>
    </row>
    <row r="322" ht="15.75" customHeight="1" s="108">
      <c r="A322" s="4" t="n"/>
      <c r="B322" s="4" t="n"/>
      <c r="C322" s="4" t="n"/>
      <c r="D322" s="4" t="n"/>
      <c r="E322" s="4" t="n"/>
      <c r="F322" s="4" t="n"/>
      <c r="G322" s="4" t="n"/>
      <c r="H322" s="4" t="n"/>
    </row>
    <row r="323" ht="15.75" customHeight="1" s="108">
      <c r="A323" s="4" t="n"/>
      <c r="B323" s="4" t="n"/>
      <c r="C323" s="4" t="n"/>
      <c r="D323" s="4" t="n"/>
      <c r="E323" s="4" t="n"/>
      <c r="F323" s="4" t="n"/>
      <c r="G323" s="4" t="n"/>
      <c r="H323" s="4" t="n"/>
    </row>
    <row r="324" ht="15.75" customHeight="1" s="108">
      <c r="A324" s="4" t="n"/>
      <c r="B324" s="4" t="n"/>
      <c r="C324" s="4" t="n"/>
      <c r="D324" s="4" t="n"/>
      <c r="E324" s="4" t="n"/>
      <c r="F324" s="4" t="n"/>
      <c r="G324" s="4" t="n"/>
      <c r="H324" s="4" t="n"/>
    </row>
    <row r="325" ht="15.75" customHeight="1" s="108">
      <c r="A325" s="4" t="n"/>
      <c r="B325" s="4" t="n"/>
      <c r="C325" s="4" t="n"/>
      <c r="D325" s="4" t="n"/>
      <c r="E325" s="4" t="n"/>
      <c r="F325" s="4" t="n"/>
      <c r="G325" s="4" t="n"/>
      <c r="H325" s="4" t="n"/>
    </row>
    <row r="326" ht="15.75" customHeight="1" s="108">
      <c r="A326" s="4" t="n"/>
      <c r="B326" s="4" t="n"/>
      <c r="C326" s="4" t="n"/>
      <c r="D326" s="4" t="n"/>
      <c r="E326" s="4" t="n"/>
      <c r="F326" s="4" t="n"/>
      <c r="G326" s="4" t="n"/>
      <c r="H326" s="4" t="n"/>
    </row>
    <row r="327" ht="15.75" customHeight="1" s="108">
      <c r="A327" s="4" t="n"/>
      <c r="B327" s="4" t="n"/>
      <c r="C327" s="4" t="n"/>
      <c r="D327" s="4" t="n"/>
      <c r="E327" s="4" t="n"/>
      <c r="F327" s="4" t="n"/>
      <c r="G327" s="4" t="n"/>
      <c r="H327" s="4" t="n"/>
    </row>
    <row r="328" ht="15.75" customHeight="1" s="108">
      <c r="A328" s="4" t="n"/>
      <c r="B328" s="4" t="n"/>
      <c r="C328" s="4" t="n"/>
      <c r="D328" s="4" t="n"/>
      <c r="E328" s="4" t="n"/>
      <c r="F328" s="4" t="n"/>
      <c r="G328" s="4" t="n"/>
      <c r="H328" s="4" t="n"/>
    </row>
    <row r="329" ht="15.75" customHeight="1" s="108">
      <c r="A329" s="4" t="n"/>
      <c r="B329" s="4" t="n"/>
      <c r="C329" s="4" t="n"/>
      <c r="D329" s="4" t="n"/>
      <c r="E329" s="4" t="n"/>
      <c r="F329" s="4" t="n"/>
      <c r="G329" s="4" t="n"/>
      <c r="H329" s="4" t="n"/>
    </row>
    <row r="330" ht="15.75" customHeight="1" s="108">
      <c r="A330" s="4" t="n"/>
      <c r="B330" s="4" t="n"/>
      <c r="C330" s="4" t="n"/>
      <c r="D330" s="4" t="n"/>
      <c r="E330" s="4" t="n"/>
      <c r="F330" s="4" t="n"/>
      <c r="G330" s="4" t="n"/>
      <c r="H330" s="4" t="n"/>
    </row>
    <row r="331" ht="15.75" customHeight="1" s="108">
      <c r="A331" s="4" t="n"/>
      <c r="B331" s="4" t="n"/>
      <c r="C331" s="4" t="n"/>
      <c r="D331" s="4" t="n"/>
      <c r="E331" s="4" t="n"/>
      <c r="F331" s="4" t="n"/>
      <c r="G331" s="4" t="n"/>
      <c r="H331" s="4" t="n"/>
    </row>
    <row r="332" ht="15.75" customHeight="1" s="108">
      <c r="A332" s="4" t="n"/>
      <c r="B332" s="4" t="n"/>
      <c r="C332" s="4" t="n"/>
      <c r="D332" s="4" t="n"/>
      <c r="E332" s="4" t="n"/>
      <c r="F332" s="4" t="n"/>
      <c r="G332" s="4" t="n"/>
      <c r="H332" s="4" t="n"/>
    </row>
    <row r="333" ht="15.75" customHeight="1" s="108">
      <c r="A333" s="4" t="n"/>
      <c r="B333" s="4" t="n"/>
      <c r="C333" s="4" t="n"/>
      <c r="D333" s="4" t="n"/>
      <c r="E333" s="4" t="n"/>
      <c r="F333" s="4" t="n"/>
      <c r="G333" s="4" t="n"/>
      <c r="H333" s="4" t="n"/>
    </row>
    <row r="334" ht="15.75" customHeight="1" s="108">
      <c r="A334" s="4" t="n"/>
      <c r="B334" s="4" t="n"/>
      <c r="C334" s="4" t="n"/>
      <c r="D334" s="4" t="n"/>
      <c r="E334" s="4" t="n"/>
      <c r="F334" s="4" t="n"/>
      <c r="G334" s="4" t="n"/>
      <c r="H334" s="4" t="n"/>
    </row>
    <row r="335" ht="15.75" customHeight="1" s="108">
      <c r="A335" s="4" t="n"/>
      <c r="B335" s="4" t="n"/>
      <c r="C335" s="4" t="n"/>
      <c r="D335" s="4" t="n"/>
      <c r="E335" s="4" t="n"/>
      <c r="F335" s="4" t="n"/>
      <c r="G335" s="4" t="n"/>
      <c r="H335" s="4" t="n"/>
    </row>
    <row r="336" ht="15.75" customHeight="1" s="108">
      <c r="A336" s="4" t="n"/>
      <c r="B336" s="4" t="n"/>
      <c r="C336" s="4" t="n"/>
      <c r="D336" s="4" t="n"/>
      <c r="E336" s="4" t="n"/>
      <c r="F336" s="4" t="n"/>
      <c r="G336" s="4" t="n"/>
      <c r="H336" s="4" t="n"/>
    </row>
    <row r="337" ht="15.75" customHeight="1" s="108">
      <c r="A337" s="4" t="n"/>
      <c r="B337" s="4" t="n"/>
      <c r="C337" s="4" t="n"/>
      <c r="D337" s="4" t="n"/>
      <c r="E337" s="4" t="n"/>
      <c r="F337" s="4" t="n"/>
      <c r="G337" s="4" t="n"/>
      <c r="H337" s="4" t="n"/>
    </row>
    <row r="338" ht="15.75" customHeight="1" s="108">
      <c r="A338" s="4" t="n"/>
      <c r="B338" s="4" t="n"/>
      <c r="C338" s="4" t="n"/>
      <c r="D338" s="4" t="n"/>
      <c r="E338" s="4" t="n"/>
      <c r="F338" s="4" t="n"/>
      <c r="G338" s="4" t="n"/>
      <c r="H338" s="4" t="n"/>
    </row>
    <row r="339" ht="15.75" customHeight="1" s="108">
      <c r="A339" s="4" t="n"/>
      <c r="B339" s="4" t="n"/>
      <c r="C339" s="4" t="n"/>
      <c r="D339" s="4" t="n"/>
      <c r="E339" s="4" t="n"/>
      <c r="F339" s="4" t="n"/>
      <c r="G339" s="4" t="n"/>
      <c r="H339" s="4" t="n"/>
    </row>
    <row r="340" ht="15.75" customHeight="1" s="108">
      <c r="A340" s="4" t="n"/>
      <c r="B340" s="4" t="n"/>
      <c r="C340" s="4" t="n"/>
      <c r="D340" s="4" t="n"/>
      <c r="E340" s="4" t="n"/>
      <c r="F340" s="4" t="n"/>
      <c r="G340" s="4" t="n"/>
      <c r="H340" s="4" t="n"/>
    </row>
    <row r="341" ht="15.75" customHeight="1" s="108">
      <c r="A341" s="4" t="n"/>
      <c r="B341" s="4" t="n"/>
      <c r="C341" s="4" t="n"/>
      <c r="D341" s="4" t="n"/>
      <c r="E341" s="4" t="n"/>
      <c r="F341" s="4" t="n"/>
      <c r="G341" s="4" t="n"/>
      <c r="H341" s="4" t="n"/>
    </row>
    <row r="342" ht="15.75" customHeight="1" s="108">
      <c r="A342" s="4" t="n"/>
      <c r="B342" s="4" t="n"/>
      <c r="C342" s="4" t="n"/>
      <c r="D342" s="4" t="n"/>
      <c r="E342" s="4" t="n"/>
      <c r="F342" s="4" t="n"/>
      <c r="G342" s="4" t="n"/>
      <c r="H342" s="4" t="n"/>
    </row>
    <row r="343" ht="15.75" customHeight="1" s="108">
      <c r="A343" s="4" t="n"/>
      <c r="B343" s="4" t="n"/>
      <c r="C343" s="4" t="n"/>
      <c r="D343" s="4" t="n"/>
      <c r="E343" s="4" t="n"/>
      <c r="F343" s="4" t="n"/>
      <c r="G343" s="4" t="n"/>
      <c r="H343" s="4" t="n"/>
    </row>
    <row r="344" ht="15.75" customHeight="1" s="108">
      <c r="A344" s="4" t="n"/>
      <c r="B344" s="4" t="n"/>
      <c r="C344" s="4" t="n"/>
      <c r="D344" s="4" t="n"/>
      <c r="E344" s="4" t="n"/>
      <c r="F344" s="4" t="n"/>
      <c r="G344" s="4" t="n"/>
      <c r="H344" s="4" t="n"/>
    </row>
    <row r="345" ht="15.75" customHeight="1" s="108">
      <c r="A345" s="4" t="n"/>
      <c r="B345" s="4" t="n"/>
      <c r="C345" s="4" t="n"/>
      <c r="D345" s="4" t="n"/>
      <c r="E345" s="4" t="n"/>
      <c r="F345" s="4" t="n"/>
      <c r="G345" s="4" t="n"/>
      <c r="H345" s="4" t="n"/>
    </row>
    <row r="346" ht="15.75" customHeight="1" s="108">
      <c r="A346" s="4" t="n"/>
      <c r="B346" s="4" t="n"/>
      <c r="C346" s="4" t="n"/>
      <c r="D346" s="4" t="n"/>
      <c r="E346" s="4" t="n"/>
      <c r="F346" s="4" t="n"/>
      <c r="G346" s="4" t="n"/>
      <c r="H346" s="4" t="n"/>
    </row>
    <row r="347" ht="15.75" customHeight="1" s="108">
      <c r="A347" s="4" t="n"/>
      <c r="B347" s="4" t="n"/>
      <c r="C347" s="4" t="n"/>
      <c r="D347" s="4" t="n"/>
      <c r="E347" s="4" t="n"/>
      <c r="F347" s="4" t="n"/>
      <c r="G347" s="4" t="n"/>
      <c r="H347" s="4" t="n"/>
    </row>
    <row r="348" ht="15.75" customHeight="1" s="108">
      <c r="A348" s="4" t="n"/>
      <c r="B348" s="4" t="n"/>
      <c r="C348" s="4" t="n"/>
      <c r="D348" s="4" t="n"/>
      <c r="E348" s="4" t="n"/>
      <c r="F348" s="4" t="n"/>
      <c r="G348" s="4" t="n"/>
      <c r="H348" s="4" t="n"/>
    </row>
    <row r="349" ht="15.75" customHeight="1" s="108">
      <c r="A349" s="4" t="n"/>
      <c r="B349" s="4" t="n"/>
      <c r="C349" s="4" t="n"/>
      <c r="D349" s="4" t="n"/>
      <c r="E349" s="4" t="n"/>
      <c r="F349" s="4" t="n"/>
      <c r="G349" s="4" t="n"/>
      <c r="H349" s="4" t="n"/>
    </row>
    <row r="350" ht="15.75" customHeight="1" s="108">
      <c r="A350" s="4" t="n"/>
      <c r="B350" s="4" t="n"/>
      <c r="C350" s="4" t="n"/>
      <c r="D350" s="4" t="n"/>
      <c r="E350" s="4" t="n"/>
      <c r="F350" s="4" t="n"/>
      <c r="G350" s="4" t="n"/>
      <c r="H350" s="4" t="n"/>
    </row>
    <row r="351" ht="15.75" customHeight="1" s="108">
      <c r="A351" s="4" t="n"/>
      <c r="B351" s="4" t="n"/>
      <c r="C351" s="4" t="n"/>
      <c r="D351" s="4" t="n"/>
      <c r="E351" s="4" t="n"/>
      <c r="F351" s="4" t="n"/>
      <c r="G351" s="4" t="n"/>
      <c r="H351" s="4" t="n"/>
    </row>
    <row r="352" ht="15.75" customHeight="1" s="108">
      <c r="A352" s="4" t="n"/>
      <c r="B352" s="4" t="n"/>
      <c r="C352" s="4" t="n"/>
      <c r="D352" s="4" t="n"/>
      <c r="E352" s="4" t="n"/>
      <c r="F352" s="4" t="n"/>
      <c r="G352" s="4" t="n"/>
      <c r="H352" s="4" t="n"/>
    </row>
    <row r="353" ht="15.75" customHeight="1" s="108">
      <c r="A353" s="4" t="n"/>
      <c r="B353" s="4" t="n"/>
      <c r="C353" s="4" t="n"/>
      <c r="D353" s="4" t="n"/>
      <c r="E353" s="4" t="n"/>
      <c r="F353" s="4" t="n"/>
      <c r="G353" s="4" t="n"/>
      <c r="H353" s="4" t="n"/>
    </row>
    <row r="354" ht="15.75" customHeight="1" s="108">
      <c r="A354" s="4" t="n"/>
      <c r="B354" s="4" t="n"/>
      <c r="C354" s="4" t="n"/>
      <c r="D354" s="4" t="n"/>
      <c r="E354" s="4" t="n"/>
      <c r="F354" s="4" t="n"/>
      <c r="G354" s="4" t="n"/>
      <c r="H354" s="4" t="n"/>
    </row>
    <row r="355" ht="15.75" customHeight="1" s="108">
      <c r="A355" s="4" t="n"/>
      <c r="B355" s="4" t="n"/>
      <c r="C355" s="4" t="n"/>
      <c r="D355" s="4" t="n"/>
      <c r="E355" s="4" t="n"/>
      <c r="F355" s="4" t="n"/>
      <c r="G355" s="4" t="n"/>
      <c r="H355" s="4" t="n"/>
    </row>
    <row r="356" ht="15.75" customHeight="1" s="108">
      <c r="A356" s="4" t="n"/>
      <c r="B356" s="4" t="n"/>
      <c r="C356" s="4" t="n"/>
      <c r="D356" s="4" t="n"/>
      <c r="E356" s="4" t="n"/>
      <c r="F356" s="4" t="n"/>
      <c r="G356" s="4" t="n"/>
      <c r="H356" s="4" t="n"/>
    </row>
    <row r="357" ht="15.75" customHeight="1" s="108">
      <c r="A357" s="4" t="n"/>
      <c r="B357" s="4" t="n"/>
      <c r="C357" s="4" t="n"/>
      <c r="D357" s="4" t="n"/>
      <c r="E357" s="4" t="n"/>
      <c r="F357" s="4" t="n"/>
      <c r="G357" s="4" t="n"/>
      <c r="H357" s="4" t="n"/>
    </row>
    <row r="358" ht="15.75" customHeight="1" s="108">
      <c r="A358" s="4" t="n"/>
      <c r="B358" s="4" t="n"/>
      <c r="C358" s="4" t="n"/>
      <c r="D358" s="4" t="n"/>
      <c r="E358" s="4" t="n"/>
      <c r="F358" s="4" t="n"/>
      <c r="G358" s="4" t="n"/>
      <c r="H358" s="4" t="n"/>
    </row>
    <row r="359" ht="15.75" customHeight="1" s="108">
      <c r="A359" s="4" t="n"/>
      <c r="B359" s="4" t="n"/>
      <c r="C359" s="4" t="n"/>
      <c r="D359" s="4" t="n"/>
      <c r="E359" s="4" t="n"/>
      <c r="F359" s="4" t="n"/>
      <c r="G359" s="4" t="n"/>
      <c r="H359" s="4" t="n"/>
    </row>
    <row r="360" ht="15.75" customHeight="1" s="108">
      <c r="A360" s="4" t="n"/>
      <c r="B360" s="4" t="n"/>
      <c r="C360" s="4" t="n"/>
      <c r="D360" s="4" t="n"/>
      <c r="E360" s="4" t="n"/>
      <c r="F360" s="4" t="n"/>
      <c r="G360" s="4" t="n"/>
      <c r="H360" s="4" t="n"/>
    </row>
    <row r="361" ht="15.75" customHeight="1" s="108">
      <c r="A361" s="4" t="n"/>
      <c r="B361" s="4" t="n"/>
      <c r="C361" s="4" t="n"/>
      <c r="D361" s="4" t="n"/>
      <c r="E361" s="4" t="n"/>
      <c r="F361" s="4" t="n"/>
      <c r="G361" s="4" t="n"/>
      <c r="H361" s="4" t="n"/>
    </row>
    <row r="362" ht="15.75" customHeight="1" s="108">
      <c r="A362" s="4" t="n"/>
      <c r="B362" s="4" t="n"/>
      <c r="C362" s="4" t="n"/>
      <c r="D362" s="4" t="n"/>
      <c r="E362" s="4" t="n"/>
      <c r="F362" s="4" t="n"/>
      <c r="G362" s="4" t="n"/>
      <c r="H362" s="4" t="n"/>
    </row>
    <row r="363" ht="15.75" customHeight="1" s="108">
      <c r="A363" s="4" t="n"/>
      <c r="B363" s="4" t="n"/>
      <c r="C363" s="4" t="n"/>
      <c r="D363" s="4" t="n"/>
      <c r="E363" s="4" t="n"/>
      <c r="F363" s="4" t="n"/>
      <c r="G363" s="4" t="n"/>
      <c r="H363" s="4" t="n"/>
    </row>
    <row r="364" ht="15.75" customHeight="1" s="108">
      <c r="A364" s="4" t="n"/>
      <c r="B364" s="4" t="n"/>
      <c r="C364" s="4" t="n"/>
      <c r="D364" s="4" t="n"/>
      <c r="E364" s="4" t="n"/>
      <c r="F364" s="4" t="n"/>
      <c r="G364" s="4" t="n"/>
      <c r="H364" s="4" t="n"/>
    </row>
    <row r="365" ht="15.75" customHeight="1" s="108">
      <c r="A365" s="4" t="n"/>
      <c r="B365" s="4" t="n"/>
      <c r="C365" s="4" t="n"/>
      <c r="D365" s="4" t="n"/>
      <c r="E365" s="4" t="n"/>
      <c r="F365" s="4" t="n"/>
      <c r="G365" s="4" t="n"/>
      <c r="H365" s="4" t="n"/>
    </row>
    <row r="366" ht="15.75" customHeight="1" s="108">
      <c r="A366" s="4" t="n"/>
      <c r="B366" s="4" t="n"/>
      <c r="C366" s="4" t="n"/>
      <c r="D366" s="4" t="n"/>
      <c r="E366" s="4" t="n"/>
      <c r="F366" s="4" t="n"/>
      <c r="G366" s="4" t="n"/>
      <c r="H366" s="4" t="n"/>
    </row>
    <row r="367" ht="15.75" customHeight="1" s="108">
      <c r="A367" s="4" t="n"/>
      <c r="B367" s="4" t="n"/>
      <c r="C367" s="4" t="n"/>
      <c r="D367" s="4" t="n"/>
      <c r="E367" s="4" t="n"/>
      <c r="F367" s="4" t="n"/>
      <c r="G367" s="4" t="n"/>
      <c r="H367" s="4" t="n"/>
    </row>
    <row r="368" ht="15.75" customHeight="1" s="108">
      <c r="A368" s="4" t="n"/>
      <c r="B368" s="4" t="n"/>
      <c r="C368" s="4" t="n"/>
      <c r="D368" s="4" t="n"/>
      <c r="E368" s="4" t="n"/>
      <c r="F368" s="4" t="n"/>
      <c r="G368" s="4" t="n"/>
      <c r="H368" s="4" t="n"/>
    </row>
    <row r="369" ht="15.75" customHeight="1" s="108">
      <c r="A369" s="4" t="n"/>
      <c r="B369" s="4" t="n"/>
      <c r="C369" s="4" t="n"/>
      <c r="D369" s="4" t="n"/>
      <c r="E369" s="4" t="n"/>
      <c r="F369" s="4" t="n"/>
      <c r="G369" s="4" t="n"/>
      <c r="H369" s="4" t="n"/>
    </row>
    <row r="370" ht="15.75" customHeight="1" s="108">
      <c r="A370" s="4" t="n"/>
      <c r="B370" s="4" t="n"/>
      <c r="C370" s="4" t="n"/>
      <c r="D370" s="4" t="n"/>
      <c r="E370" s="4" t="n"/>
      <c r="F370" s="4" t="n"/>
      <c r="G370" s="4" t="n"/>
      <c r="H370" s="4" t="n"/>
    </row>
    <row r="371" ht="15.75" customHeight="1" s="108">
      <c r="A371" s="4" t="n"/>
      <c r="B371" s="4" t="n"/>
      <c r="C371" s="4" t="n"/>
      <c r="D371" s="4" t="n"/>
      <c r="E371" s="4" t="n"/>
      <c r="F371" s="4" t="n"/>
      <c r="G371" s="4" t="n"/>
      <c r="H371" s="4" t="n"/>
    </row>
    <row r="372" ht="15.75" customHeight="1" s="108">
      <c r="A372" s="4" t="n"/>
      <c r="B372" s="4" t="n"/>
      <c r="C372" s="4" t="n"/>
      <c r="D372" s="4" t="n"/>
      <c r="E372" s="4" t="n"/>
      <c r="F372" s="4" t="n"/>
      <c r="G372" s="4" t="n"/>
      <c r="H372" s="4" t="n"/>
    </row>
    <row r="373" ht="15.75" customHeight="1" s="108">
      <c r="A373" s="4" t="n"/>
      <c r="B373" s="4" t="n"/>
      <c r="C373" s="4" t="n"/>
      <c r="D373" s="4" t="n"/>
      <c r="E373" s="4" t="n"/>
      <c r="F373" s="4" t="n"/>
      <c r="G373" s="4" t="n"/>
      <c r="H373" s="4" t="n"/>
    </row>
    <row r="374" ht="15.75" customHeight="1" s="108">
      <c r="A374" s="4" t="n"/>
      <c r="B374" s="4" t="n"/>
      <c r="C374" s="4" t="n"/>
      <c r="D374" s="4" t="n"/>
      <c r="E374" s="4" t="n"/>
      <c r="F374" s="4" t="n"/>
      <c r="G374" s="4" t="n"/>
      <c r="H374" s="4" t="n"/>
    </row>
    <row r="375" ht="15.75" customHeight="1" s="108">
      <c r="A375" s="4" t="n"/>
      <c r="B375" s="4" t="n"/>
      <c r="C375" s="4" t="n"/>
      <c r="D375" s="4" t="n"/>
      <c r="E375" s="4" t="n"/>
      <c r="F375" s="4" t="n"/>
      <c r="G375" s="4" t="n"/>
      <c r="H375" s="4" t="n"/>
    </row>
    <row r="376" ht="15.75" customHeight="1" s="108">
      <c r="A376" s="4" t="n"/>
      <c r="B376" s="4" t="n"/>
      <c r="C376" s="4" t="n"/>
      <c r="D376" s="4" t="n"/>
      <c r="E376" s="4" t="n"/>
      <c r="F376" s="4" t="n"/>
      <c r="G376" s="4" t="n"/>
      <c r="H376" s="4" t="n"/>
    </row>
    <row r="377" ht="15.75" customHeight="1" s="108">
      <c r="A377" s="4" t="n"/>
      <c r="B377" s="4" t="n"/>
      <c r="C377" s="4" t="n"/>
      <c r="D377" s="4" t="n"/>
      <c r="E377" s="4" t="n"/>
      <c r="F377" s="4" t="n"/>
      <c r="G377" s="4" t="n"/>
      <c r="H377" s="4" t="n"/>
    </row>
    <row r="378" ht="15.75" customHeight="1" s="108">
      <c r="A378" s="4" t="n"/>
      <c r="B378" s="4" t="n"/>
      <c r="C378" s="4" t="n"/>
      <c r="D378" s="4" t="n"/>
      <c r="E378" s="4" t="n"/>
      <c r="F378" s="4" t="n"/>
      <c r="G378" s="4" t="n"/>
      <c r="H378" s="4" t="n"/>
    </row>
    <row r="379" ht="15.75" customHeight="1" s="108">
      <c r="A379" s="4" t="n"/>
      <c r="B379" s="4" t="n"/>
      <c r="C379" s="4" t="n"/>
      <c r="D379" s="4" t="n"/>
      <c r="E379" s="4" t="n"/>
      <c r="F379" s="4" t="n"/>
      <c r="G379" s="4" t="n"/>
      <c r="H379" s="4" t="n"/>
    </row>
    <row r="380" ht="15.75" customHeight="1" s="108">
      <c r="A380" s="4" t="n"/>
      <c r="B380" s="4" t="n"/>
      <c r="C380" s="4" t="n"/>
      <c r="D380" s="4" t="n"/>
      <c r="E380" s="4" t="n"/>
      <c r="F380" s="4" t="n"/>
      <c r="G380" s="4" t="n"/>
      <c r="H380" s="4" t="n"/>
    </row>
    <row r="381" ht="15.75" customHeight="1" s="108">
      <c r="A381" s="4" t="n"/>
      <c r="B381" s="4" t="n"/>
      <c r="C381" s="4" t="n"/>
      <c r="D381" s="4" t="n"/>
      <c r="E381" s="4" t="n"/>
      <c r="F381" s="4" t="n"/>
      <c r="G381" s="4" t="n"/>
      <c r="H381" s="4" t="n"/>
    </row>
    <row r="382" ht="15.75" customHeight="1" s="108">
      <c r="A382" s="4" t="n"/>
      <c r="B382" s="4" t="n"/>
      <c r="C382" s="4" t="n"/>
      <c r="D382" s="4" t="n"/>
      <c r="E382" s="4" t="n"/>
      <c r="F382" s="4" t="n"/>
      <c r="G382" s="4" t="n"/>
      <c r="H382" s="4" t="n"/>
    </row>
    <row r="383" ht="15.75" customHeight="1" s="108">
      <c r="A383" s="4" t="n"/>
      <c r="B383" s="4" t="n"/>
      <c r="C383" s="4" t="n"/>
      <c r="D383" s="4" t="n"/>
      <c r="E383" s="4" t="n"/>
      <c r="F383" s="4" t="n"/>
      <c r="G383" s="4" t="n"/>
      <c r="H383" s="4" t="n"/>
    </row>
    <row r="384" ht="15.75" customHeight="1" s="108">
      <c r="A384" s="4" t="n"/>
      <c r="B384" s="4" t="n"/>
      <c r="C384" s="4" t="n"/>
      <c r="D384" s="4" t="n"/>
      <c r="E384" s="4" t="n"/>
      <c r="F384" s="4" t="n"/>
      <c r="G384" s="4" t="n"/>
      <c r="H384" s="4" t="n"/>
    </row>
    <row r="385" ht="15.75" customHeight="1" s="108">
      <c r="A385" s="4" t="n"/>
      <c r="B385" s="4" t="n"/>
      <c r="C385" s="4" t="n"/>
      <c r="D385" s="4" t="n"/>
      <c r="E385" s="4" t="n"/>
      <c r="F385" s="4" t="n"/>
      <c r="G385" s="4" t="n"/>
      <c r="H385" s="4" t="n"/>
    </row>
    <row r="386" ht="15.75" customHeight="1" s="108">
      <c r="A386" s="4" t="n"/>
      <c r="B386" s="4" t="n"/>
      <c r="C386" s="4" t="n"/>
      <c r="D386" s="4" t="n"/>
      <c r="E386" s="4" t="n"/>
      <c r="F386" s="4" t="n"/>
      <c r="G386" s="4" t="n"/>
      <c r="H386" s="4" t="n"/>
    </row>
    <row r="387" ht="15.75" customHeight="1" s="108">
      <c r="A387" s="4" t="n"/>
      <c r="B387" s="4" t="n"/>
      <c r="C387" s="4" t="n"/>
      <c r="D387" s="4" t="n"/>
      <c r="E387" s="4" t="n"/>
      <c r="F387" s="4" t="n"/>
      <c r="G387" s="4" t="n"/>
      <c r="H387" s="4" t="n"/>
    </row>
    <row r="388" ht="15.75" customHeight="1" s="108">
      <c r="A388" s="4" t="n"/>
      <c r="B388" s="4" t="n"/>
      <c r="C388" s="4" t="n"/>
      <c r="D388" s="4" t="n"/>
      <c r="E388" s="4" t="n"/>
      <c r="F388" s="4" t="n"/>
      <c r="G388" s="4" t="n"/>
      <c r="H388" s="4" t="n"/>
    </row>
    <row r="389" ht="15.75" customHeight="1" s="108">
      <c r="A389" s="4" t="n"/>
      <c r="B389" s="4" t="n"/>
      <c r="C389" s="4" t="n"/>
      <c r="D389" s="4" t="n"/>
      <c r="E389" s="4" t="n"/>
      <c r="F389" s="4" t="n"/>
      <c r="G389" s="4" t="n"/>
      <c r="H389" s="4" t="n"/>
    </row>
    <row r="390" ht="15.75" customHeight="1" s="108">
      <c r="A390" s="4" t="n"/>
      <c r="B390" s="4" t="n"/>
      <c r="C390" s="4" t="n"/>
      <c r="D390" s="4" t="n"/>
      <c r="E390" s="4" t="n"/>
      <c r="F390" s="4" t="n"/>
      <c r="G390" s="4" t="n"/>
      <c r="H390" s="4" t="n"/>
    </row>
    <row r="391" ht="15.75" customHeight="1" s="108">
      <c r="A391" s="4" t="n"/>
      <c r="B391" s="4" t="n"/>
      <c r="C391" s="4" t="n"/>
      <c r="D391" s="4" t="n"/>
      <c r="E391" s="4" t="n"/>
      <c r="F391" s="4" t="n"/>
      <c r="G391" s="4" t="n"/>
      <c r="H391" s="4" t="n"/>
    </row>
    <row r="392" ht="15.75" customHeight="1" s="108">
      <c r="A392" s="4" t="n"/>
      <c r="B392" s="4" t="n"/>
      <c r="C392" s="4" t="n"/>
      <c r="D392" s="4" t="n"/>
      <c r="E392" s="4" t="n"/>
      <c r="F392" s="4" t="n"/>
      <c r="G392" s="4" t="n"/>
      <c r="H392" s="4" t="n"/>
    </row>
    <row r="393" ht="15.75" customHeight="1" s="108">
      <c r="A393" s="4" t="n"/>
      <c r="B393" s="4" t="n"/>
      <c r="C393" s="4" t="n"/>
      <c r="D393" s="4" t="n"/>
      <c r="E393" s="4" t="n"/>
      <c r="F393" s="4" t="n"/>
      <c r="G393" s="4" t="n"/>
      <c r="H393" s="4" t="n"/>
    </row>
    <row r="394" ht="15.75" customHeight="1" s="108">
      <c r="A394" s="4" t="n"/>
      <c r="B394" s="4" t="n"/>
      <c r="C394" s="4" t="n"/>
      <c r="D394" s="4" t="n"/>
      <c r="E394" s="4" t="n"/>
      <c r="F394" s="4" t="n"/>
      <c r="G394" s="4" t="n"/>
      <c r="H394" s="4" t="n"/>
    </row>
    <row r="395" ht="15.75" customHeight="1" s="108">
      <c r="A395" s="4" t="n"/>
      <c r="B395" s="4" t="n"/>
      <c r="C395" s="4" t="n"/>
      <c r="D395" s="4" t="n"/>
      <c r="E395" s="4" t="n"/>
      <c r="F395" s="4" t="n"/>
      <c r="G395" s="4" t="n"/>
      <c r="H395" s="4" t="n"/>
    </row>
    <row r="396" ht="15.75" customHeight="1" s="108">
      <c r="A396" s="4" t="n"/>
      <c r="B396" s="4" t="n"/>
      <c r="C396" s="4" t="n"/>
      <c r="D396" s="4" t="n"/>
      <c r="E396" s="4" t="n"/>
      <c r="F396" s="4" t="n"/>
      <c r="G396" s="4" t="n"/>
      <c r="H396" s="4" t="n"/>
    </row>
    <row r="397" ht="15.75" customHeight="1" s="108">
      <c r="A397" s="4" t="n"/>
      <c r="B397" s="4" t="n"/>
      <c r="C397" s="4" t="n"/>
      <c r="D397" s="4" t="n"/>
      <c r="E397" s="4" t="n"/>
      <c r="F397" s="4" t="n"/>
      <c r="G397" s="4" t="n"/>
      <c r="H397" s="4" t="n"/>
    </row>
    <row r="398" ht="15.75" customHeight="1" s="108">
      <c r="A398" s="4" t="n"/>
      <c r="B398" s="4" t="n"/>
      <c r="C398" s="4" t="n"/>
      <c r="D398" s="4" t="n"/>
      <c r="E398" s="4" t="n"/>
      <c r="F398" s="4" t="n"/>
      <c r="G398" s="4" t="n"/>
      <c r="H398" s="4" t="n"/>
    </row>
    <row r="399" ht="15.75" customHeight="1" s="108">
      <c r="A399" s="4" t="n"/>
      <c r="B399" s="4" t="n"/>
      <c r="C399" s="4" t="n"/>
      <c r="D399" s="4" t="n"/>
      <c r="E399" s="4" t="n"/>
      <c r="F399" s="4" t="n"/>
      <c r="G399" s="4" t="n"/>
      <c r="H399" s="4" t="n"/>
    </row>
    <row r="400" ht="15.75" customHeight="1" s="108">
      <c r="A400" s="4" t="n"/>
      <c r="B400" s="4" t="n"/>
      <c r="C400" s="4" t="n"/>
      <c r="D400" s="4" t="n"/>
      <c r="E400" s="4" t="n"/>
      <c r="F400" s="4" t="n"/>
      <c r="G400" s="4" t="n"/>
      <c r="H400" s="4" t="n"/>
    </row>
    <row r="401" ht="15.75" customHeight="1" s="108">
      <c r="A401" s="4" t="n"/>
      <c r="B401" s="4" t="n"/>
      <c r="C401" s="4" t="n"/>
      <c r="D401" s="4" t="n"/>
      <c r="E401" s="4" t="n"/>
      <c r="F401" s="4" t="n"/>
      <c r="G401" s="4" t="n"/>
      <c r="H401" s="4" t="n"/>
    </row>
    <row r="402" ht="15.75" customHeight="1" s="108">
      <c r="A402" s="4" t="n"/>
      <c r="B402" s="4" t="n"/>
      <c r="C402" s="4" t="n"/>
      <c r="D402" s="4" t="n"/>
      <c r="E402" s="4" t="n"/>
      <c r="F402" s="4" t="n"/>
      <c r="G402" s="4" t="n"/>
      <c r="H402" s="4" t="n"/>
    </row>
    <row r="403" ht="15.75" customHeight="1" s="108">
      <c r="A403" s="4" t="n"/>
      <c r="B403" s="4" t="n"/>
      <c r="C403" s="4" t="n"/>
      <c r="D403" s="4" t="n"/>
      <c r="E403" s="4" t="n"/>
      <c r="F403" s="4" t="n"/>
      <c r="G403" s="4" t="n"/>
      <c r="H403" s="4" t="n"/>
    </row>
    <row r="404" ht="15.75" customHeight="1" s="108">
      <c r="A404" s="4" t="n"/>
      <c r="B404" s="4" t="n"/>
      <c r="C404" s="4" t="n"/>
      <c r="D404" s="4" t="n"/>
      <c r="E404" s="4" t="n"/>
      <c r="F404" s="4" t="n"/>
      <c r="G404" s="4" t="n"/>
      <c r="H404" s="4" t="n"/>
    </row>
    <row r="405" ht="15.75" customHeight="1" s="108">
      <c r="A405" s="4" t="n"/>
      <c r="B405" s="4" t="n"/>
      <c r="C405" s="4" t="n"/>
      <c r="D405" s="4" t="n"/>
      <c r="E405" s="4" t="n"/>
      <c r="F405" s="4" t="n"/>
      <c r="G405" s="4" t="n"/>
      <c r="H405" s="4" t="n"/>
    </row>
    <row r="406" ht="15.75" customHeight="1" s="108">
      <c r="A406" s="4" t="n"/>
      <c r="B406" s="4" t="n"/>
      <c r="C406" s="4" t="n"/>
      <c r="D406" s="4" t="n"/>
      <c r="E406" s="4" t="n"/>
      <c r="F406" s="4" t="n"/>
      <c r="G406" s="4" t="n"/>
      <c r="H406" s="4" t="n"/>
    </row>
    <row r="407" ht="15.75" customHeight="1" s="108">
      <c r="A407" s="4" t="n"/>
      <c r="B407" s="4" t="n"/>
      <c r="C407" s="4" t="n"/>
      <c r="D407" s="4" t="n"/>
      <c r="E407" s="4" t="n"/>
      <c r="F407" s="4" t="n"/>
      <c r="G407" s="4" t="n"/>
      <c r="H407" s="4" t="n"/>
    </row>
    <row r="408" ht="15.75" customHeight="1" s="108">
      <c r="A408" s="4" t="n"/>
      <c r="B408" s="4" t="n"/>
      <c r="C408" s="4" t="n"/>
      <c r="D408" s="4" t="n"/>
      <c r="E408" s="4" t="n"/>
      <c r="F408" s="4" t="n"/>
      <c r="G408" s="4" t="n"/>
      <c r="H408" s="4" t="n"/>
    </row>
    <row r="409" ht="15.75" customHeight="1" s="108">
      <c r="A409" s="4" t="n"/>
      <c r="B409" s="4" t="n"/>
      <c r="C409" s="4" t="n"/>
      <c r="D409" s="4" t="n"/>
      <c r="E409" s="4" t="n"/>
      <c r="F409" s="4" t="n"/>
      <c r="G409" s="4" t="n"/>
      <c r="H409" s="4" t="n"/>
    </row>
    <row r="410" ht="15.75" customHeight="1" s="108">
      <c r="A410" s="4" t="n"/>
      <c r="B410" s="4" t="n"/>
      <c r="C410" s="4" t="n"/>
      <c r="D410" s="4" t="n"/>
      <c r="E410" s="4" t="n"/>
      <c r="F410" s="4" t="n"/>
      <c r="G410" s="4" t="n"/>
      <c r="H410" s="4" t="n"/>
    </row>
    <row r="411" ht="15.75" customHeight="1" s="108">
      <c r="A411" s="4" t="n"/>
      <c r="B411" s="4" t="n"/>
      <c r="C411" s="4" t="n"/>
      <c r="D411" s="4" t="n"/>
      <c r="E411" s="4" t="n"/>
      <c r="F411" s="4" t="n"/>
      <c r="G411" s="4" t="n"/>
      <c r="H411" s="4" t="n"/>
    </row>
    <row r="412" ht="15.75" customHeight="1" s="108">
      <c r="A412" s="4" t="n"/>
      <c r="B412" s="4" t="n"/>
      <c r="C412" s="4" t="n"/>
      <c r="D412" s="4" t="n"/>
      <c r="E412" s="4" t="n"/>
      <c r="F412" s="4" t="n"/>
      <c r="G412" s="4" t="n"/>
      <c r="H412" s="4" t="n"/>
    </row>
    <row r="413" ht="15.75" customHeight="1" s="108">
      <c r="A413" s="4" t="n"/>
      <c r="B413" s="4" t="n"/>
      <c r="C413" s="4" t="n"/>
      <c r="D413" s="4" t="n"/>
      <c r="E413" s="4" t="n"/>
      <c r="F413" s="4" t="n"/>
      <c r="G413" s="4" t="n"/>
      <c r="H413" s="4" t="n"/>
    </row>
    <row r="414" ht="15.75" customHeight="1" s="108">
      <c r="A414" s="4" t="n"/>
      <c r="B414" s="4" t="n"/>
      <c r="C414" s="4" t="n"/>
      <c r="D414" s="4" t="n"/>
      <c r="E414" s="4" t="n"/>
      <c r="F414" s="4" t="n"/>
      <c r="G414" s="4" t="n"/>
      <c r="H414" s="4" t="n"/>
    </row>
    <row r="415" ht="15.75" customHeight="1" s="108">
      <c r="A415" s="4" t="n"/>
      <c r="B415" s="4" t="n"/>
      <c r="C415" s="4" t="n"/>
      <c r="D415" s="4" t="n"/>
      <c r="E415" s="4" t="n"/>
      <c r="F415" s="4" t="n"/>
      <c r="G415" s="4" t="n"/>
      <c r="H415" s="4" t="n"/>
    </row>
    <row r="416" ht="15.75" customHeight="1" s="108">
      <c r="A416" s="4" t="n"/>
      <c r="B416" s="4" t="n"/>
      <c r="C416" s="4" t="n"/>
      <c r="D416" s="4" t="n"/>
      <c r="E416" s="4" t="n"/>
      <c r="F416" s="4" t="n"/>
      <c r="G416" s="4" t="n"/>
      <c r="H416" s="4" t="n"/>
    </row>
    <row r="417" ht="15.75" customHeight="1" s="108">
      <c r="A417" s="4" t="n"/>
      <c r="B417" s="4" t="n"/>
      <c r="C417" s="4" t="n"/>
      <c r="D417" s="4" t="n"/>
      <c r="E417" s="4" t="n"/>
      <c r="F417" s="4" t="n"/>
      <c r="G417" s="4" t="n"/>
      <c r="H417" s="4" t="n"/>
    </row>
    <row r="418" ht="15.75" customHeight="1" s="108">
      <c r="A418" s="4" t="n"/>
      <c r="B418" s="4" t="n"/>
      <c r="C418" s="4" t="n"/>
      <c r="D418" s="4" t="n"/>
      <c r="E418" s="4" t="n"/>
      <c r="F418" s="4" t="n"/>
      <c r="G418" s="4" t="n"/>
      <c r="H418" s="4" t="n"/>
    </row>
    <row r="419" ht="15.75" customHeight="1" s="108">
      <c r="A419" s="4" t="n"/>
      <c r="B419" s="4" t="n"/>
      <c r="C419" s="4" t="n"/>
      <c r="D419" s="4" t="n"/>
      <c r="E419" s="4" t="n"/>
      <c r="F419" s="4" t="n"/>
      <c r="G419" s="4" t="n"/>
      <c r="H419" s="4" t="n"/>
    </row>
    <row r="420" ht="15.75" customHeight="1" s="108">
      <c r="A420" s="4" t="n"/>
      <c r="B420" s="4" t="n"/>
      <c r="C420" s="4" t="n"/>
      <c r="D420" s="4" t="n"/>
      <c r="E420" s="4" t="n"/>
      <c r="F420" s="4" t="n"/>
      <c r="G420" s="4" t="n"/>
      <c r="H420" s="4" t="n"/>
    </row>
    <row r="421" ht="15.75" customHeight="1" s="108">
      <c r="A421" s="4" t="n"/>
      <c r="B421" s="4" t="n"/>
      <c r="C421" s="4" t="n"/>
      <c r="D421" s="4" t="n"/>
      <c r="E421" s="4" t="n"/>
      <c r="F421" s="4" t="n"/>
      <c r="G421" s="4" t="n"/>
      <c r="H421" s="4" t="n"/>
    </row>
    <row r="422" ht="15.75" customHeight="1" s="108">
      <c r="A422" s="4" t="n"/>
      <c r="B422" s="4" t="n"/>
      <c r="C422" s="4" t="n"/>
      <c r="D422" s="4" t="n"/>
      <c r="E422" s="4" t="n"/>
      <c r="F422" s="4" t="n"/>
      <c r="G422" s="4" t="n"/>
      <c r="H422" s="4" t="n"/>
    </row>
    <row r="423" ht="15.75" customHeight="1" s="108">
      <c r="A423" s="4" t="n"/>
      <c r="B423" s="4" t="n"/>
      <c r="C423" s="4" t="n"/>
      <c r="D423" s="4" t="n"/>
      <c r="E423" s="4" t="n"/>
      <c r="F423" s="4" t="n"/>
      <c r="G423" s="4" t="n"/>
      <c r="H423" s="4" t="n"/>
    </row>
    <row r="424" ht="15.75" customHeight="1" s="108">
      <c r="A424" s="4" t="n"/>
      <c r="B424" s="4" t="n"/>
      <c r="C424" s="4" t="n"/>
      <c r="D424" s="4" t="n"/>
      <c r="E424" s="4" t="n"/>
      <c r="F424" s="4" t="n"/>
      <c r="G424" s="4" t="n"/>
      <c r="H424" s="4" t="n"/>
    </row>
    <row r="425" ht="15.75" customHeight="1" s="108">
      <c r="A425" s="4" t="n"/>
      <c r="B425" s="4" t="n"/>
      <c r="C425" s="4" t="n"/>
      <c r="D425" s="4" t="n"/>
      <c r="E425" s="4" t="n"/>
      <c r="F425" s="4" t="n"/>
      <c r="G425" s="4" t="n"/>
      <c r="H425" s="4" t="n"/>
    </row>
    <row r="426" ht="15.75" customHeight="1" s="108">
      <c r="A426" s="4" t="n"/>
      <c r="B426" s="4" t="n"/>
      <c r="C426" s="4" t="n"/>
      <c r="D426" s="4" t="n"/>
      <c r="E426" s="4" t="n"/>
      <c r="F426" s="4" t="n"/>
      <c r="G426" s="4" t="n"/>
      <c r="H426" s="4" t="n"/>
    </row>
    <row r="427" ht="15.75" customHeight="1" s="108">
      <c r="A427" s="4" t="n"/>
      <c r="B427" s="4" t="n"/>
      <c r="C427" s="4" t="n"/>
      <c r="D427" s="4" t="n"/>
      <c r="E427" s="4" t="n"/>
      <c r="F427" s="4" t="n"/>
      <c r="G427" s="4" t="n"/>
      <c r="H427" s="4" t="n"/>
    </row>
    <row r="428" ht="15.75" customHeight="1" s="108">
      <c r="A428" s="4" t="n"/>
      <c r="B428" s="4" t="n"/>
      <c r="C428" s="4" t="n"/>
      <c r="D428" s="4" t="n"/>
      <c r="E428" s="4" t="n"/>
      <c r="F428" s="4" t="n"/>
      <c r="G428" s="4" t="n"/>
      <c r="H428" s="4" t="n"/>
    </row>
    <row r="429" ht="15.75" customHeight="1" s="108">
      <c r="A429" s="4" t="n"/>
      <c r="B429" s="4" t="n"/>
      <c r="C429" s="4" t="n"/>
      <c r="D429" s="4" t="n"/>
      <c r="E429" s="4" t="n"/>
      <c r="F429" s="4" t="n"/>
      <c r="G429" s="4" t="n"/>
      <c r="H429" s="4" t="n"/>
    </row>
    <row r="430" ht="15.75" customHeight="1" s="108">
      <c r="A430" s="4" t="n"/>
      <c r="B430" s="4" t="n"/>
      <c r="C430" s="4" t="n"/>
      <c r="D430" s="4" t="n"/>
      <c r="E430" s="4" t="n"/>
      <c r="F430" s="4" t="n"/>
      <c r="G430" s="4" t="n"/>
      <c r="H430" s="4" t="n"/>
    </row>
    <row r="431" ht="15.75" customHeight="1" s="108">
      <c r="A431" s="4" t="n"/>
      <c r="B431" s="4" t="n"/>
      <c r="C431" s="4" t="n"/>
      <c r="D431" s="4" t="n"/>
      <c r="E431" s="4" t="n"/>
      <c r="F431" s="4" t="n"/>
      <c r="G431" s="4" t="n"/>
      <c r="H431" s="4" t="n"/>
    </row>
    <row r="432" ht="15.75" customHeight="1" s="108">
      <c r="A432" s="4" t="n"/>
      <c r="B432" s="4" t="n"/>
      <c r="C432" s="4" t="n"/>
      <c r="D432" s="4" t="n"/>
      <c r="E432" s="4" t="n"/>
      <c r="F432" s="4" t="n"/>
      <c r="G432" s="4" t="n"/>
      <c r="H432" s="4" t="n"/>
    </row>
    <row r="433" ht="15.75" customHeight="1" s="108">
      <c r="A433" s="4" t="n"/>
      <c r="B433" s="4" t="n"/>
      <c r="C433" s="4" t="n"/>
      <c r="D433" s="4" t="n"/>
      <c r="E433" s="4" t="n"/>
      <c r="F433" s="4" t="n"/>
      <c r="G433" s="4" t="n"/>
      <c r="H433" s="4" t="n"/>
    </row>
    <row r="434" ht="15.75" customHeight="1" s="108">
      <c r="A434" s="4" t="n"/>
      <c r="B434" s="4" t="n"/>
      <c r="C434" s="4" t="n"/>
      <c r="D434" s="4" t="n"/>
      <c r="E434" s="4" t="n"/>
      <c r="F434" s="4" t="n"/>
      <c r="G434" s="4" t="n"/>
      <c r="H434" s="4" t="n"/>
    </row>
    <row r="435" ht="15.75" customHeight="1" s="108">
      <c r="A435" s="4" t="n"/>
      <c r="B435" s="4" t="n"/>
      <c r="C435" s="4" t="n"/>
      <c r="D435" s="4" t="n"/>
      <c r="E435" s="4" t="n"/>
      <c r="F435" s="4" t="n"/>
      <c r="G435" s="4" t="n"/>
      <c r="H435" s="4" t="n"/>
    </row>
    <row r="436" ht="15.75" customHeight="1" s="108">
      <c r="A436" s="4" t="n"/>
      <c r="B436" s="4" t="n"/>
      <c r="C436" s="4" t="n"/>
      <c r="D436" s="4" t="n"/>
      <c r="E436" s="4" t="n"/>
      <c r="F436" s="4" t="n"/>
      <c r="G436" s="4" t="n"/>
      <c r="H436" s="4" t="n"/>
    </row>
    <row r="437" ht="15.75" customHeight="1" s="108">
      <c r="A437" s="4" t="n"/>
      <c r="B437" s="4" t="n"/>
      <c r="C437" s="4" t="n"/>
      <c r="D437" s="4" t="n"/>
      <c r="E437" s="4" t="n"/>
      <c r="F437" s="4" t="n"/>
      <c r="G437" s="4" t="n"/>
      <c r="H437" s="4" t="n"/>
    </row>
    <row r="438" ht="15.75" customHeight="1" s="108">
      <c r="A438" s="4" t="n"/>
      <c r="B438" s="4" t="n"/>
      <c r="C438" s="4" t="n"/>
      <c r="D438" s="4" t="n"/>
      <c r="E438" s="4" t="n"/>
      <c r="F438" s="4" t="n"/>
      <c r="G438" s="4" t="n"/>
      <c r="H438" s="4" t="n"/>
    </row>
    <row r="439" ht="15.75" customHeight="1" s="108">
      <c r="A439" s="4" t="n"/>
      <c r="B439" s="4" t="n"/>
      <c r="C439" s="4" t="n"/>
      <c r="D439" s="4" t="n"/>
      <c r="E439" s="4" t="n"/>
      <c r="F439" s="4" t="n"/>
      <c r="G439" s="4" t="n"/>
      <c r="H439" s="4" t="n"/>
    </row>
    <row r="440" ht="15.75" customHeight="1" s="108">
      <c r="A440" s="4" t="n"/>
      <c r="B440" s="4" t="n"/>
      <c r="C440" s="4" t="n"/>
      <c r="D440" s="4" t="n"/>
      <c r="E440" s="4" t="n"/>
      <c r="F440" s="4" t="n"/>
      <c r="G440" s="4" t="n"/>
      <c r="H440" s="4" t="n"/>
    </row>
    <row r="441" ht="15.75" customHeight="1" s="108">
      <c r="A441" s="4" t="n"/>
      <c r="B441" s="4" t="n"/>
      <c r="C441" s="4" t="n"/>
      <c r="D441" s="4" t="n"/>
      <c r="E441" s="4" t="n"/>
      <c r="F441" s="4" t="n"/>
      <c r="G441" s="4" t="n"/>
      <c r="H441" s="4" t="n"/>
    </row>
    <row r="442" ht="15.75" customHeight="1" s="108">
      <c r="A442" s="4" t="n"/>
      <c r="B442" s="4" t="n"/>
      <c r="C442" s="4" t="n"/>
      <c r="D442" s="4" t="n"/>
      <c r="E442" s="4" t="n"/>
      <c r="F442" s="4" t="n"/>
      <c r="G442" s="4" t="n"/>
      <c r="H442" s="4" t="n"/>
    </row>
    <row r="443" ht="15.75" customHeight="1" s="108">
      <c r="A443" s="4" t="n"/>
      <c r="B443" s="4" t="n"/>
      <c r="C443" s="4" t="n"/>
      <c r="D443" s="4" t="n"/>
      <c r="E443" s="4" t="n"/>
      <c r="F443" s="4" t="n"/>
      <c r="G443" s="4" t="n"/>
      <c r="H443" s="4" t="n"/>
    </row>
    <row r="444" ht="15.75" customHeight="1" s="108">
      <c r="A444" s="4" t="n"/>
      <c r="B444" s="4" t="n"/>
      <c r="C444" s="4" t="n"/>
      <c r="D444" s="4" t="n"/>
      <c r="E444" s="4" t="n"/>
      <c r="F444" s="4" t="n"/>
      <c r="G444" s="4" t="n"/>
      <c r="H444" s="4" t="n"/>
    </row>
    <row r="445" ht="15.75" customHeight="1" s="108">
      <c r="A445" s="4" t="n"/>
      <c r="B445" s="4" t="n"/>
      <c r="C445" s="4" t="n"/>
      <c r="D445" s="4" t="n"/>
      <c r="E445" s="4" t="n"/>
      <c r="F445" s="4" t="n"/>
      <c r="G445" s="4" t="n"/>
      <c r="H445" s="4" t="n"/>
    </row>
    <row r="446" ht="15.75" customHeight="1" s="108">
      <c r="A446" s="4" t="n"/>
      <c r="B446" s="4" t="n"/>
      <c r="C446" s="4" t="n"/>
      <c r="D446" s="4" t="n"/>
      <c r="E446" s="4" t="n"/>
      <c r="F446" s="4" t="n"/>
      <c r="G446" s="4" t="n"/>
      <c r="H446" s="4" t="n"/>
    </row>
    <row r="447" ht="15.75" customHeight="1" s="108">
      <c r="A447" s="4" t="n"/>
      <c r="B447" s="4" t="n"/>
      <c r="C447" s="4" t="n"/>
      <c r="D447" s="4" t="n"/>
      <c r="E447" s="4" t="n"/>
      <c r="F447" s="4" t="n"/>
      <c r="G447" s="4" t="n"/>
      <c r="H447" s="4" t="n"/>
    </row>
    <row r="448" ht="15.75" customHeight="1" s="108">
      <c r="A448" s="4" t="n"/>
      <c r="B448" s="4" t="n"/>
      <c r="C448" s="4" t="n"/>
      <c r="D448" s="4" t="n"/>
      <c r="E448" s="4" t="n"/>
      <c r="F448" s="4" t="n"/>
      <c r="G448" s="4" t="n"/>
      <c r="H448" s="4" t="n"/>
    </row>
    <row r="449" ht="15.75" customHeight="1" s="108">
      <c r="A449" s="4" t="n"/>
      <c r="B449" s="4" t="n"/>
      <c r="C449" s="4" t="n"/>
      <c r="D449" s="4" t="n"/>
      <c r="E449" s="4" t="n"/>
      <c r="F449" s="4" t="n"/>
      <c r="G449" s="4" t="n"/>
      <c r="H449" s="4" t="n"/>
    </row>
    <row r="450" ht="15.75" customHeight="1" s="108">
      <c r="A450" s="4" t="n"/>
      <c r="B450" s="4" t="n"/>
      <c r="C450" s="4" t="n"/>
      <c r="D450" s="4" t="n"/>
      <c r="E450" s="4" t="n"/>
      <c r="F450" s="4" t="n"/>
      <c r="G450" s="4" t="n"/>
      <c r="H450" s="4" t="n"/>
    </row>
    <row r="451" ht="15.75" customHeight="1" s="108">
      <c r="A451" s="4" t="n"/>
      <c r="B451" s="4" t="n"/>
      <c r="C451" s="4" t="n"/>
      <c r="D451" s="4" t="n"/>
      <c r="E451" s="4" t="n"/>
      <c r="F451" s="4" t="n"/>
      <c r="G451" s="4" t="n"/>
      <c r="H451" s="4" t="n"/>
    </row>
    <row r="452" ht="15.75" customHeight="1" s="108">
      <c r="A452" s="4" t="n"/>
      <c r="B452" s="4" t="n"/>
      <c r="C452" s="4" t="n"/>
      <c r="D452" s="4" t="n"/>
      <c r="E452" s="4" t="n"/>
      <c r="F452" s="4" t="n"/>
      <c r="G452" s="4" t="n"/>
      <c r="H452" s="4" t="n"/>
    </row>
    <row r="453" ht="15.75" customHeight="1" s="108">
      <c r="A453" s="4" t="n"/>
      <c r="B453" s="4" t="n"/>
      <c r="C453" s="4" t="n"/>
      <c r="D453" s="4" t="n"/>
      <c r="E453" s="4" t="n"/>
      <c r="F453" s="4" t="n"/>
      <c r="G453" s="4" t="n"/>
      <c r="H453" s="4" t="n"/>
    </row>
    <row r="454" ht="15.75" customHeight="1" s="108">
      <c r="A454" s="4" t="n"/>
      <c r="B454" s="4" t="n"/>
      <c r="C454" s="4" t="n"/>
      <c r="D454" s="4" t="n"/>
      <c r="E454" s="4" t="n"/>
      <c r="F454" s="4" t="n"/>
      <c r="G454" s="4" t="n"/>
      <c r="H454" s="4" t="n"/>
    </row>
    <row r="455" ht="15.75" customHeight="1" s="108">
      <c r="A455" s="4" t="n"/>
      <c r="B455" s="4" t="n"/>
      <c r="C455" s="4" t="n"/>
      <c r="D455" s="4" t="n"/>
      <c r="E455" s="4" t="n"/>
      <c r="F455" s="4" t="n"/>
      <c r="G455" s="4" t="n"/>
      <c r="H455" s="4" t="n"/>
    </row>
    <row r="456" ht="15.75" customHeight="1" s="108">
      <c r="A456" s="4" t="n"/>
      <c r="B456" s="4" t="n"/>
      <c r="C456" s="4" t="n"/>
      <c r="D456" s="4" t="n"/>
      <c r="E456" s="4" t="n"/>
      <c r="F456" s="4" t="n"/>
      <c r="G456" s="4" t="n"/>
      <c r="H456" s="4" t="n"/>
    </row>
    <row r="457" ht="15.75" customHeight="1" s="108">
      <c r="A457" s="4" t="n"/>
      <c r="B457" s="4" t="n"/>
      <c r="C457" s="4" t="n"/>
      <c r="D457" s="4" t="n"/>
      <c r="E457" s="4" t="n"/>
      <c r="F457" s="4" t="n"/>
      <c r="G457" s="4" t="n"/>
      <c r="H457" s="4" t="n"/>
    </row>
    <row r="458" ht="15.75" customHeight="1" s="108">
      <c r="A458" s="4" t="n"/>
      <c r="B458" s="4" t="n"/>
      <c r="C458" s="4" t="n"/>
      <c r="D458" s="4" t="n"/>
      <c r="E458" s="4" t="n"/>
      <c r="F458" s="4" t="n"/>
      <c r="G458" s="4" t="n"/>
      <c r="H458" s="4" t="n"/>
    </row>
    <row r="459" ht="15.75" customHeight="1" s="108">
      <c r="A459" s="4" t="n"/>
      <c r="B459" s="4" t="n"/>
      <c r="C459" s="4" t="n"/>
      <c r="D459" s="4" t="n"/>
      <c r="E459" s="4" t="n"/>
      <c r="F459" s="4" t="n"/>
      <c r="G459" s="4" t="n"/>
      <c r="H459" s="4" t="n"/>
    </row>
    <row r="460" ht="15.75" customHeight="1" s="108">
      <c r="A460" s="4" t="n"/>
      <c r="B460" s="4" t="n"/>
      <c r="C460" s="4" t="n"/>
      <c r="D460" s="4" t="n"/>
      <c r="E460" s="4" t="n"/>
      <c r="F460" s="4" t="n"/>
      <c r="G460" s="4" t="n"/>
      <c r="H460" s="4" t="n"/>
    </row>
    <row r="461" ht="15.75" customHeight="1" s="108">
      <c r="A461" s="4" t="n"/>
      <c r="B461" s="4" t="n"/>
      <c r="C461" s="4" t="n"/>
      <c r="D461" s="4" t="n"/>
      <c r="E461" s="4" t="n"/>
      <c r="F461" s="4" t="n"/>
      <c r="G461" s="4" t="n"/>
      <c r="H461" s="4" t="n"/>
    </row>
    <row r="462" ht="15.75" customHeight="1" s="108">
      <c r="A462" s="4" t="n"/>
      <c r="B462" s="4" t="n"/>
      <c r="C462" s="4" t="n"/>
      <c r="D462" s="4" t="n"/>
      <c r="E462" s="4" t="n"/>
      <c r="F462" s="4" t="n"/>
      <c r="G462" s="4" t="n"/>
      <c r="H462" s="4" t="n"/>
    </row>
    <row r="463" ht="15.75" customHeight="1" s="108">
      <c r="A463" s="4" t="n"/>
      <c r="B463" s="4" t="n"/>
      <c r="C463" s="4" t="n"/>
      <c r="D463" s="4" t="n"/>
      <c r="E463" s="4" t="n"/>
      <c r="F463" s="4" t="n"/>
      <c r="G463" s="4" t="n"/>
      <c r="H463" s="4" t="n"/>
    </row>
    <row r="464" ht="15.75" customHeight="1" s="108">
      <c r="A464" s="4" t="n"/>
      <c r="B464" s="4" t="n"/>
      <c r="C464" s="4" t="n"/>
      <c r="D464" s="4" t="n"/>
      <c r="E464" s="4" t="n"/>
      <c r="F464" s="4" t="n"/>
      <c r="G464" s="4" t="n"/>
      <c r="H464" s="4" t="n"/>
    </row>
    <row r="465" ht="15.75" customHeight="1" s="108">
      <c r="A465" s="4" t="n"/>
      <c r="B465" s="4" t="n"/>
      <c r="C465" s="4" t="n"/>
      <c r="D465" s="4" t="n"/>
      <c r="E465" s="4" t="n"/>
      <c r="F465" s="4" t="n"/>
      <c r="G465" s="4" t="n"/>
      <c r="H465" s="4" t="n"/>
    </row>
    <row r="466" ht="15.75" customHeight="1" s="108">
      <c r="A466" s="4" t="n"/>
      <c r="B466" s="4" t="n"/>
      <c r="C466" s="4" t="n"/>
      <c r="D466" s="4" t="n"/>
      <c r="E466" s="4" t="n"/>
      <c r="F466" s="4" t="n"/>
      <c r="G466" s="4" t="n"/>
      <c r="H466" s="4" t="n"/>
    </row>
    <row r="467" ht="15.75" customHeight="1" s="108">
      <c r="A467" s="4" t="n"/>
      <c r="B467" s="4" t="n"/>
      <c r="C467" s="4" t="n"/>
      <c r="D467" s="4" t="n"/>
      <c r="E467" s="4" t="n"/>
      <c r="F467" s="4" t="n"/>
      <c r="G467" s="4" t="n"/>
      <c r="H467" s="4" t="n"/>
    </row>
    <row r="468" ht="15.75" customHeight="1" s="108">
      <c r="A468" s="4" t="n"/>
      <c r="B468" s="4" t="n"/>
      <c r="C468" s="4" t="n"/>
      <c r="D468" s="4" t="n"/>
      <c r="E468" s="4" t="n"/>
      <c r="F468" s="4" t="n"/>
      <c r="G468" s="4" t="n"/>
      <c r="H468" s="4" t="n"/>
    </row>
    <row r="469" ht="15.75" customHeight="1" s="108">
      <c r="A469" s="4" t="n"/>
      <c r="B469" s="4" t="n"/>
      <c r="C469" s="4" t="n"/>
      <c r="D469" s="4" t="n"/>
      <c r="E469" s="4" t="n"/>
      <c r="F469" s="4" t="n"/>
      <c r="G469" s="4" t="n"/>
      <c r="H469" s="4" t="n"/>
    </row>
    <row r="470" ht="15.75" customHeight="1" s="108">
      <c r="A470" s="4" t="n"/>
      <c r="B470" s="4" t="n"/>
      <c r="C470" s="4" t="n"/>
      <c r="D470" s="4" t="n"/>
      <c r="E470" s="4" t="n"/>
      <c r="F470" s="4" t="n"/>
      <c r="G470" s="4" t="n"/>
      <c r="H470" s="4" t="n"/>
    </row>
    <row r="471" ht="15.75" customHeight="1" s="108">
      <c r="A471" s="4" t="n"/>
      <c r="B471" s="4" t="n"/>
      <c r="C471" s="4" t="n"/>
      <c r="D471" s="4" t="n"/>
      <c r="E471" s="4" t="n"/>
      <c r="F471" s="4" t="n"/>
      <c r="G471" s="4" t="n"/>
      <c r="H471" s="4" t="n"/>
    </row>
    <row r="472" ht="15.75" customHeight="1" s="108">
      <c r="A472" s="4" t="n"/>
      <c r="B472" s="4" t="n"/>
      <c r="C472" s="4" t="n"/>
      <c r="D472" s="4" t="n"/>
      <c r="E472" s="4" t="n"/>
      <c r="F472" s="4" t="n"/>
      <c r="G472" s="4" t="n"/>
      <c r="H472" s="4" t="n"/>
    </row>
    <row r="473" ht="15.75" customHeight="1" s="108">
      <c r="A473" s="4" t="n"/>
      <c r="B473" s="4" t="n"/>
      <c r="C473" s="4" t="n"/>
      <c r="D473" s="4" t="n"/>
      <c r="E473" s="4" t="n"/>
      <c r="F473" s="4" t="n"/>
      <c r="G473" s="4" t="n"/>
      <c r="H473" s="4" t="n"/>
    </row>
    <row r="474" ht="15.75" customHeight="1" s="108">
      <c r="A474" s="4" t="n"/>
      <c r="B474" s="4" t="n"/>
      <c r="C474" s="4" t="n"/>
      <c r="D474" s="4" t="n"/>
      <c r="E474" s="4" t="n"/>
      <c r="F474" s="4" t="n"/>
      <c r="G474" s="4" t="n"/>
      <c r="H474" s="4" t="n"/>
    </row>
    <row r="475" ht="15.75" customHeight="1" s="108">
      <c r="A475" s="4" t="n"/>
      <c r="B475" s="4" t="n"/>
      <c r="C475" s="4" t="n"/>
      <c r="D475" s="4" t="n"/>
      <c r="E475" s="4" t="n"/>
      <c r="F475" s="4" t="n"/>
      <c r="G475" s="4" t="n"/>
      <c r="H475" s="4" t="n"/>
    </row>
    <row r="476" ht="15.75" customHeight="1" s="108">
      <c r="A476" s="4" t="n"/>
      <c r="B476" s="4" t="n"/>
      <c r="C476" s="4" t="n"/>
      <c r="D476" s="4" t="n"/>
      <c r="E476" s="4" t="n"/>
      <c r="F476" s="4" t="n"/>
      <c r="G476" s="4" t="n"/>
      <c r="H476" s="4" t="n"/>
    </row>
    <row r="477" ht="15.75" customHeight="1" s="108">
      <c r="A477" s="4" t="n"/>
      <c r="B477" s="4" t="n"/>
      <c r="C477" s="4" t="n"/>
      <c r="D477" s="4" t="n"/>
      <c r="E477" s="4" t="n"/>
      <c r="F477" s="4" t="n"/>
      <c r="G477" s="4" t="n"/>
      <c r="H477" s="4" t="n"/>
    </row>
    <row r="478" ht="15.75" customHeight="1" s="108">
      <c r="A478" s="4" t="n"/>
      <c r="B478" s="4" t="n"/>
      <c r="C478" s="4" t="n"/>
      <c r="D478" s="4" t="n"/>
      <c r="E478" s="4" t="n"/>
      <c r="F478" s="4" t="n"/>
      <c r="G478" s="4" t="n"/>
      <c r="H478" s="4" t="n"/>
    </row>
    <row r="479" ht="15.75" customHeight="1" s="108">
      <c r="A479" s="4" t="n"/>
      <c r="B479" s="4" t="n"/>
      <c r="C479" s="4" t="n"/>
      <c r="D479" s="4" t="n"/>
      <c r="E479" s="4" t="n"/>
      <c r="F479" s="4" t="n"/>
      <c r="G479" s="4" t="n"/>
      <c r="H479" s="4" t="n"/>
    </row>
    <row r="480" ht="15.75" customHeight="1" s="108">
      <c r="A480" s="4" t="n"/>
      <c r="B480" s="4" t="n"/>
      <c r="C480" s="4" t="n"/>
      <c r="D480" s="4" t="n"/>
      <c r="E480" s="4" t="n"/>
      <c r="F480" s="4" t="n"/>
      <c r="G480" s="4" t="n"/>
      <c r="H480" s="4" t="n"/>
    </row>
    <row r="481" ht="15.75" customHeight="1" s="108">
      <c r="A481" s="4" t="n"/>
      <c r="B481" s="4" t="n"/>
      <c r="C481" s="4" t="n"/>
      <c r="D481" s="4" t="n"/>
      <c r="E481" s="4" t="n"/>
      <c r="F481" s="4" t="n"/>
      <c r="G481" s="4" t="n"/>
      <c r="H481" s="4" t="n"/>
    </row>
    <row r="482" ht="15.75" customHeight="1" s="108">
      <c r="A482" s="4" t="n"/>
      <c r="B482" s="4" t="n"/>
      <c r="C482" s="4" t="n"/>
      <c r="D482" s="4" t="n"/>
      <c r="E482" s="4" t="n"/>
      <c r="F482" s="4" t="n"/>
      <c r="G482" s="4" t="n"/>
      <c r="H482" s="4" t="n"/>
    </row>
    <row r="483" ht="15.75" customHeight="1" s="108">
      <c r="A483" s="4" t="n"/>
      <c r="B483" s="4" t="n"/>
      <c r="C483" s="4" t="n"/>
      <c r="D483" s="4" t="n"/>
      <c r="E483" s="4" t="n"/>
      <c r="F483" s="4" t="n"/>
      <c r="G483" s="4" t="n"/>
      <c r="H483" s="4" t="n"/>
    </row>
    <row r="484" ht="15.75" customHeight="1" s="108">
      <c r="A484" s="4" t="n"/>
      <c r="B484" s="4" t="n"/>
      <c r="C484" s="4" t="n"/>
      <c r="D484" s="4" t="n"/>
      <c r="E484" s="4" t="n"/>
      <c r="F484" s="4" t="n"/>
      <c r="G484" s="4" t="n"/>
      <c r="H484" s="4" t="n"/>
    </row>
    <row r="485" ht="15.75" customHeight="1" s="108">
      <c r="A485" s="4" t="n"/>
      <c r="B485" s="4" t="n"/>
      <c r="C485" s="4" t="n"/>
      <c r="D485" s="4" t="n"/>
      <c r="E485" s="4" t="n"/>
      <c r="F485" s="4" t="n"/>
      <c r="G485" s="4" t="n"/>
      <c r="H485" s="4" t="n"/>
    </row>
    <row r="486" ht="15.75" customHeight="1" s="108">
      <c r="A486" s="4" t="n"/>
      <c r="B486" s="4" t="n"/>
      <c r="C486" s="4" t="n"/>
      <c r="D486" s="4" t="n"/>
      <c r="E486" s="4" t="n"/>
      <c r="F486" s="4" t="n"/>
      <c r="G486" s="4" t="n"/>
      <c r="H486" s="4" t="n"/>
    </row>
    <row r="487" ht="15.75" customHeight="1" s="108">
      <c r="A487" s="4" t="n"/>
      <c r="B487" s="4" t="n"/>
      <c r="C487" s="4" t="n"/>
      <c r="D487" s="4" t="n"/>
      <c r="E487" s="4" t="n"/>
      <c r="F487" s="4" t="n"/>
      <c r="G487" s="4" t="n"/>
      <c r="H487" s="4" t="n"/>
    </row>
    <row r="488" ht="15.75" customHeight="1" s="108">
      <c r="A488" s="4" t="n"/>
      <c r="B488" s="4" t="n"/>
      <c r="C488" s="4" t="n"/>
      <c r="D488" s="4" t="n"/>
      <c r="E488" s="4" t="n"/>
      <c r="F488" s="4" t="n"/>
      <c r="G488" s="4" t="n"/>
      <c r="H488" s="4" t="n"/>
    </row>
    <row r="489" ht="15.75" customHeight="1" s="108">
      <c r="A489" s="4" t="n"/>
      <c r="B489" s="4" t="n"/>
      <c r="C489" s="4" t="n"/>
      <c r="D489" s="4" t="n"/>
      <c r="E489" s="4" t="n"/>
      <c r="F489" s="4" t="n"/>
      <c r="G489" s="4" t="n"/>
      <c r="H489" s="4" t="n"/>
    </row>
    <row r="490" ht="15.75" customHeight="1" s="108">
      <c r="A490" s="4" t="n"/>
      <c r="B490" s="4" t="n"/>
      <c r="C490" s="4" t="n"/>
      <c r="D490" s="4" t="n"/>
      <c r="E490" s="4" t="n"/>
      <c r="F490" s="4" t="n"/>
      <c r="G490" s="4" t="n"/>
      <c r="H490" s="4" t="n"/>
    </row>
    <row r="491" ht="15.75" customHeight="1" s="108">
      <c r="A491" s="4" t="n"/>
      <c r="B491" s="4" t="n"/>
      <c r="C491" s="4" t="n"/>
      <c r="D491" s="4" t="n"/>
      <c r="E491" s="4" t="n"/>
      <c r="F491" s="4" t="n"/>
      <c r="G491" s="4" t="n"/>
      <c r="H491" s="4" t="n"/>
    </row>
    <row r="492" ht="15.75" customHeight="1" s="108">
      <c r="A492" s="4" t="n"/>
      <c r="B492" s="4" t="n"/>
      <c r="C492" s="4" t="n"/>
      <c r="D492" s="4" t="n"/>
      <c r="E492" s="4" t="n"/>
      <c r="F492" s="4" t="n"/>
      <c r="G492" s="4" t="n"/>
      <c r="H492" s="4" t="n"/>
    </row>
    <row r="493" ht="15.75" customHeight="1" s="108">
      <c r="A493" s="4" t="n"/>
      <c r="B493" s="4" t="n"/>
      <c r="C493" s="4" t="n"/>
      <c r="D493" s="4" t="n"/>
      <c r="E493" s="4" t="n"/>
      <c r="F493" s="4" t="n"/>
      <c r="G493" s="4" t="n"/>
      <c r="H493" s="4" t="n"/>
    </row>
    <row r="494" ht="15.75" customHeight="1" s="108">
      <c r="A494" s="4" t="n"/>
      <c r="B494" s="4" t="n"/>
      <c r="C494" s="4" t="n"/>
      <c r="D494" s="4" t="n"/>
      <c r="E494" s="4" t="n"/>
      <c r="F494" s="4" t="n"/>
      <c r="G494" s="4" t="n"/>
      <c r="H494" s="4" t="n"/>
    </row>
    <row r="495" ht="15.75" customHeight="1" s="108">
      <c r="A495" s="4" t="n"/>
      <c r="B495" s="4" t="n"/>
      <c r="C495" s="4" t="n"/>
      <c r="D495" s="4" t="n"/>
      <c r="E495" s="4" t="n"/>
      <c r="F495" s="4" t="n"/>
      <c r="G495" s="4" t="n"/>
      <c r="H495" s="4" t="n"/>
    </row>
    <row r="496" ht="15.75" customHeight="1" s="108">
      <c r="A496" s="4" t="n"/>
      <c r="B496" s="4" t="n"/>
      <c r="C496" s="4" t="n"/>
      <c r="D496" s="4" t="n"/>
      <c r="E496" s="4" t="n"/>
      <c r="F496" s="4" t="n"/>
      <c r="G496" s="4" t="n"/>
      <c r="H496" s="4" t="n"/>
    </row>
    <row r="497" ht="15.75" customHeight="1" s="108">
      <c r="A497" s="4" t="n"/>
      <c r="B497" s="4" t="n"/>
      <c r="C497" s="4" t="n"/>
      <c r="D497" s="4" t="n"/>
      <c r="E497" s="4" t="n"/>
      <c r="F497" s="4" t="n"/>
      <c r="G497" s="4" t="n"/>
      <c r="H497" s="4" t="n"/>
    </row>
    <row r="498" ht="15.75" customHeight="1" s="108">
      <c r="A498" s="4" t="n"/>
      <c r="B498" s="4" t="n"/>
      <c r="C498" s="4" t="n"/>
      <c r="D498" s="4" t="n"/>
      <c r="E498" s="4" t="n"/>
      <c r="F498" s="4" t="n"/>
      <c r="G498" s="4" t="n"/>
      <c r="H498" s="4" t="n"/>
    </row>
    <row r="499" ht="15.75" customHeight="1" s="108">
      <c r="A499" s="4" t="n"/>
      <c r="B499" s="4" t="n"/>
      <c r="C499" s="4" t="n"/>
      <c r="D499" s="4" t="n"/>
      <c r="E499" s="4" t="n"/>
      <c r="F499" s="4" t="n"/>
      <c r="G499" s="4" t="n"/>
      <c r="H499" s="4" t="n"/>
    </row>
    <row r="500" ht="15.75" customHeight="1" s="108">
      <c r="A500" s="4" t="n"/>
      <c r="B500" s="4" t="n"/>
      <c r="C500" s="4" t="n"/>
      <c r="D500" s="4" t="n"/>
      <c r="E500" s="4" t="n"/>
      <c r="F500" s="4" t="n"/>
      <c r="G500" s="4" t="n"/>
      <c r="H500" s="4" t="n"/>
    </row>
    <row r="501" ht="15.75" customHeight="1" s="108">
      <c r="A501" s="4" t="n"/>
      <c r="B501" s="4" t="n"/>
      <c r="C501" s="4" t="n"/>
      <c r="D501" s="4" t="n"/>
      <c r="E501" s="4" t="n"/>
      <c r="F501" s="4" t="n"/>
      <c r="G501" s="4" t="n"/>
      <c r="H501" s="4" t="n"/>
    </row>
    <row r="502" ht="15.75" customHeight="1" s="108">
      <c r="A502" s="4" t="n"/>
      <c r="B502" s="4" t="n"/>
      <c r="C502" s="4" t="n"/>
      <c r="D502" s="4" t="n"/>
      <c r="E502" s="4" t="n"/>
      <c r="F502" s="4" t="n"/>
      <c r="G502" s="4" t="n"/>
      <c r="H502" s="4" t="n"/>
    </row>
    <row r="503" ht="15.75" customHeight="1" s="108">
      <c r="A503" s="4" t="n"/>
      <c r="B503" s="4" t="n"/>
      <c r="C503" s="4" t="n"/>
      <c r="D503" s="4" t="n"/>
      <c r="E503" s="4" t="n"/>
      <c r="F503" s="4" t="n"/>
      <c r="G503" s="4" t="n"/>
      <c r="H503" s="4" t="n"/>
    </row>
    <row r="504" ht="15.75" customHeight="1" s="108">
      <c r="A504" s="4" t="n"/>
      <c r="B504" s="4" t="n"/>
      <c r="C504" s="4" t="n"/>
      <c r="D504" s="4" t="n"/>
      <c r="E504" s="4" t="n"/>
      <c r="F504" s="4" t="n"/>
      <c r="G504" s="4" t="n"/>
      <c r="H504" s="4" t="n"/>
    </row>
    <row r="505" ht="15.75" customHeight="1" s="108">
      <c r="A505" s="4" t="n"/>
      <c r="B505" s="4" t="n"/>
      <c r="C505" s="4" t="n"/>
      <c r="D505" s="4" t="n"/>
      <c r="E505" s="4" t="n"/>
      <c r="F505" s="4" t="n"/>
      <c r="G505" s="4" t="n"/>
      <c r="H505" s="4" t="n"/>
    </row>
    <row r="506" ht="15.75" customHeight="1" s="108">
      <c r="A506" s="4" t="n"/>
      <c r="B506" s="4" t="n"/>
      <c r="C506" s="4" t="n"/>
      <c r="D506" s="4" t="n"/>
      <c r="E506" s="4" t="n"/>
      <c r="F506" s="4" t="n"/>
      <c r="G506" s="4" t="n"/>
      <c r="H506" s="4" t="n"/>
    </row>
    <row r="507" ht="15.75" customHeight="1" s="108">
      <c r="A507" s="4" t="n"/>
      <c r="B507" s="4" t="n"/>
      <c r="C507" s="4" t="n"/>
      <c r="D507" s="4" t="n"/>
      <c r="E507" s="4" t="n"/>
      <c r="F507" s="4" t="n"/>
      <c r="G507" s="4" t="n"/>
      <c r="H507" s="4" t="n"/>
    </row>
    <row r="508" ht="15.75" customHeight="1" s="108">
      <c r="A508" s="4" t="n"/>
      <c r="B508" s="4" t="n"/>
      <c r="C508" s="4" t="n"/>
      <c r="D508" s="4" t="n"/>
      <c r="E508" s="4" t="n"/>
      <c r="F508" s="4" t="n"/>
      <c r="G508" s="4" t="n"/>
      <c r="H508" s="4" t="n"/>
    </row>
    <row r="509" ht="15.75" customHeight="1" s="108">
      <c r="A509" s="4" t="n"/>
      <c r="B509" s="4" t="n"/>
      <c r="C509" s="4" t="n"/>
      <c r="D509" s="4" t="n"/>
      <c r="E509" s="4" t="n"/>
      <c r="F509" s="4" t="n"/>
      <c r="G509" s="4" t="n"/>
      <c r="H509" s="4" t="n"/>
    </row>
    <row r="510" ht="15.75" customHeight="1" s="108">
      <c r="A510" s="4" t="n"/>
      <c r="B510" s="4" t="n"/>
      <c r="C510" s="4" t="n"/>
      <c r="D510" s="4" t="n"/>
      <c r="E510" s="4" t="n"/>
      <c r="F510" s="4" t="n"/>
      <c r="G510" s="4" t="n"/>
      <c r="H510" s="4" t="n"/>
    </row>
    <row r="511" ht="15.75" customHeight="1" s="108">
      <c r="A511" s="4" t="n"/>
      <c r="B511" s="4" t="n"/>
      <c r="C511" s="4" t="n"/>
      <c r="D511" s="4" t="n"/>
      <c r="E511" s="4" t="n"/>
      <c r="F511" s="4" t="n"/>
      <c r="G511" s="4" t="n"/>
      <c r="H511" s="4" t="n"/>
    </row>
    <row r="512" ht="15.75" customHeight="1" s="108">
      <c r="A512" s="4" t="n"/>
      <c r="B512" s="4" t="n"/>
      <c r="C512" s="4" t="n"/>
      <c r="D512" s="4" t="n"/>
      <c r="E512" s="4" t="n"/>
      <c r="F512" s="4" t="n"/>
      <c r="G512" s="4" t="n"/>
      <c r="H512" s="4" t="n"/>
    </row>
    <row r="513" ht="15.75" customHeight="1" s="108">
      <c r="A513" s="4" t="n"/>
      <c r="B513" s="4" t="n"/>
      <c r="C513" s="4" t="n"/>
      <c r="D513" s="4" t="n"/>
      <c r="E513" s="4" t="n"/>
      <c r="F513" s="4" t="n"/>
      <c r="G513" s="4" t="n"/>
      <c r="H513" s="4" t="n"/>
    </row>
    <row r="514" ht="15.75" customHeight="1" s="108">
      <c r="A514" s="4" t="n"/>
      <c r="B514" s="4" t="n"/>
      <c r="C514" s="4" t="n"/>
      <c r="D514" s="4" t="n"/>
      <c r="E514" s="4" t="n"/>
      <c r="F514" s="4" t="n"/>
      <c r="G514" s="4" t="n"/>
      <c r="H514" s="4" t="n"/>
    </row>
    <row r="515" ht="15.75" customHeight="1" s="108">
      <c r="A515" s="4" t="n"/>
      <c r="B515" s="4" t="n"/>
      <c r="C515" s="4" t="n"/>
      <c r="D515" s="4" t="n"/>
      <c r="E515" s="4" t="n"/>
      <c r="F515" s="4" t="n"/>
      <c r="G515" s="4" t="n"/>
      <c r="H515" s="4" t="n"/>
    </row>
    <row r="516" ht="15.75" customHeight="1" s="108">
      <c r="A516" s="4" t="n"/>
      <c r="B516" s="4" t="n"/>
      <c r="C516" s="4" t="n"/>
      <c r="D516" s="4" t="n"/>
      <c r="E516" s="4" t="n"/>
      <c r="F516" s="4" t="n"/>
      <c r="G516" s="4" t="n"/>
      <c r="H516" s="4" t="n"/>
    </row>
    <row r="517" ht="15.75" customHeight="1" s="108">
      <c r="A517" s="4" t="n"/>
      <c r="B517" s="4" t="n"/>
      <c r="C517" s="4" t="n"/>
      <c r="D517" s="4" t="n"/>
      <c r="E517" s="4" t="n"/>
      <c r="F517" s="4" t="n"/>
      <c r="G517" s="4" t="n"/>
      <c r="H517" s="4" t="n"/>
    </row>
    <row r="518" ht="15.75" customHeight="1" s="108">
      <c r="A518" s="4" t="n"/>
      <c r="B518" s="4" t="n"/>
      <c r="C518" s="4" t="n"/>
      <c r="D518" s="4" t="n"/>
      <c r="E518" s="4" t="n"/>
      <c r="F518" s="4" t="n"/>
      <c r="G518" s="4" t="n"/>
      <c r="H518" s="4" t="n"/>
    </row>
    <row r="519" ht="15.75" customHeight="1" s="108">
      <c r="A519" s="4" t="n"/>
      <c r="B519" s="4" t="n"/>
      <c r="C519" s="4" t="n"/>
      <c r="D519" s="4" t="n"/>
      <c r="E519" s="4" t="n"/>
      <c r="F519" s="4" t="n"/>
      <c r="G519" s="4" t="n"/>
      <c r="H519" s="4" t="n"/>
    </row>
    <row r="520" ht="15.75" customHeight="1" s="108">
      <c r="A520" s="4" t="n"/>
      <c r="B520" s="4" t="n"/>
      <c r="C520" s="4" t="n"/>
      <c r="D520" s="4" t="n"/>
      <c r="E520" s="4" t="n"/>
      <c r="F520" s="4" t="n"/>
      <c r="G520" s="4" t="n"/>
      <c r="H520" s="4" t="n"/>
    </row>
    <row r="521" ht="15.75" customHeight="1" s="108">
      <c r="A521" s="4" t="n"/>
      <c r="B521" s="4" t="n"/>
      <c r="C521" s="4" t="n"/>
      <c r="D521" s="4" t="n"/>
      <c r="E521" s="4" t="n"/>
      <c r="F521" s="4" t="n"/>
      <c r="G521" s="4" t="n"/>
      <c r="H521" s="4" t="n"/>
    </row>
    <row r="522" ht="15.75" customHeight="1" s="108">
      <c r="A522" s="4" t="n"/>
      <c r="B522" s="4" t="n"/>
      <c r="C522" s="4" t="n"/>
      <c r="D522" s="4" t="n"/>
      <c r="E522" s="4" t="n"/>
      <c r="F522" s="4" t="n"/>
      <c r="G522" s="4" t="n"/>
      <c r="H522" s="4" t="n"/>
    </row>
    <row r="523" ht="15.75" customHeight="1" s="108">
      <c r="A523" s="4" t="n"/>
      <c r="B523" s="4" t="n"/>
      <c r="C523" s="4" t="n"/>
      <c r="D523" s="4" t="n"/>
      <c r="E523" s="4" t="n"/>
      <c r="F523" s="4" t="n"/>
      <c r="G523" s="4" t="n"/>
      <c r="H523" s="4" t="n"/>
    </row>
    <row r="524" ht="15.75" customHeight="1" s="108">
      <c r="A524" s="4" t="n"/>
      <c r="B524" s="4" t="n"/>
      <c r="C524" s="4" t="n"/>
      <c r="D524" s="4" t="n"/>
      <c r="E524" s="4" t="n"/>
      <c r="F524" s="4" t="n"/>
      <c r="G524" s="4" t="n"/>
      <c r="H524" s="4" t="n"/>
    </row>
    <row r="525" ht="15.75" customHeight="1" s="108">
      <c r="A525" s="4" t="n"/>
      <c r="B525" s="4" t="n"/>
      <c r="C525" s="4" t="n"/>
      <c r="D525" s="4" t="n"/>
      <c r="E525" s="4" t="n"/>
      <c r="F525" s="4" t="n"/>
      <c r="G525" s="4" t="n"/>
      <c r="H525" s="4" t="n"/>
    </row>
    <row r="526" ht="15.75" customHeight="1" s="108">
      <c r="A526" s="4" t="n"/>
      <c r="B526" s="4" t="n"/>
      <c r="C526" s="4" t="n"/>
      <c r="D526" s="4" t="n"/>
      <c r="E526" s="4" t="n"/>
      <c r="F526" s="4" t="n"/>
      <c r="G526" s="4" t="n"/>
      <c r="H526" s="4" t="n"/>
    </row>
    <row r="527" ht="15.75" customHeight="1" s="108">
      <c r="A527" s="4" t="n"/>
      <c r="B527" s="4" t="n"/>
      <c r="C527" s="4" t="n"/>
      <c r="D527" s="4" t="n"/>
      <c r="E527" s="4" t="n"/>
      <c r="F527" s="4" t="n"/>
      <c r="G527" s="4" t="n"/>
      <c r="H527" s="4" t="n"/>
    </row>
    <row r="528" ht="15.75" customHeight="1" s="108">
      <c r="A528" s="4" t="n"/>
      <c r="B528" s="4" t="n"/>
      <c r="C528" s="4" t="n"/>
      <c r="D528" s="4" t="n"/>
      <c r="E528" s="4" t="n"/>
      <c r="F528" s="4" t="n"/>
      <c r="G528" s="4" t="n"/>
      <c r="H528" s="4" t="n"/>
    </row>
    <row r="529" ht="15.75" customHeight="1" s="108">
      <c r="A529" s="4" t="n"/>
      <c r="B529" s="4" t="n"/>
      <c r="C529" s="4" t="n"/>
      <c r="D529" s="4" t="n"/>
      <c r="E529" s="4" t="n"/>
      <c r="F529" s="4" t="n"/>
      <c r="G529" s="4" t="n"/>
      <c r="H529" s="4" t="n"/>
    </row>
    <row r="530" ht="15.75" customHeight="1" s="108">
      <c r="A530" s="4" t="n"/>
      <c r="B530" s="4" t="n"/>
      <c r="C530" s="4" t="n"/>
      <c r="D530" s="4" t="n"/>
      <c r="E530" s="4" t="n"/>
      <c r="F530" s="4" t="n"/>
      <c r="G530" s="4" t="n"/>
      <c r="H530" s="4" t="n"/>
    </row>
    <row r="531" ht="15.75" customHeight="1" s="108">
      <c r="A531" s="4" t="n"/>
      <c r="B531" s="4" t="n"/>
      <c r="C531" s="4" t="n"/>
      <c r="D531" s="4" t="n"/>
      <c r="E531" s="4" t="n"/>
      <c r="F531" s="4" t="n"/>
      <c r="G531" s="4" t="n"/>
      <c r="H531" s="4" t="n"/>
    </row>
    <row r="532" ht="15.75" customHeight="1" s="108">
      <c r="A532" s="4" t="n"/>
      <c r="B532" s="4" t="n"/>
      <c r="C532" s="4" t="n"/>
      <c r="D532" s="4" t="n"/>
      <c r="E532" s="4" t="n"/>
      <c r="F532" s="4" t="n"/>
      <c r="G532" s="4" t="n"/>
      <c r="H532" s="4" t="n"/>
    </row>
    <row r="533" ht="15.75" customHeight="1" s="108">
      <c r="A533" s="4" t="n"/>
      <c r="B533" s="4" t="n"/>
      <c r="C533" s="4" t="n"/>
      <c r="D533" s="4" t="n"/>
      <c r="E533" s="4" t="n"/>
      <c r="F533" s="4" t="n"/>
      <c r="G533" s="4" t="n"/>
      <c r="H533" s="4" t="n"/>
    </row>
    <row r="534" ht="15.75" customHeight="1" s="108">
      <c r="A534" s="4" t="n"/>
      <c r="B534" s="4" t="n"/>
      <c r="C534" s="4" t="n"/>
      <c r="D534" s="4" t="n"/>
      <c r="E534" s="4" t="n"/>
      <c r="F534" s="4" t="n"/>
      <c r="G534" s="4" t="n"/>
      <c r="H534" s="4" t="n"/>
    </row>
    <row r="535" ht="15.75" customHeight="1" s="108">
      <c r="A535" s="4" t="n"/>
      <c r="B535" s="4" t="n"/>
      <c r="C535" s="4" t="n"/>
      <c r="D535" s="4" t="n"/>
      <c r="E535" s="4" t="n"/>
      <c r="F535" s="4" t="n"/>
      <c r="G535" s="4" t="n"/>
      <c r="H535" s="4" t="n"/>
    </row>
    <row r="536" ht="15.75" customHeight="1" s="108">
      <c r="A536" s="4" t="n"/>
      <c r="B536" s="4" t="n"/>
      <c r="C536" s="4" t="n"/>
      <c r="D536" s="4" t="n"/>
      <c r="E536" s="4" t="n"/>
      <c r="F536" s="4" t="n"/>
      <c r="G536" s="4" t="n"/>
      <c r="H536" s="4" t="n"/>
    </row>
    <row r="537" ht="15.75" customHeight="1" s="108">
      <c r="A537" s="4" t="n"/>
      <c r="B537" s="4" t="n"/>
      <c r="C537" s="4" t="n"/>
      <c r="D537" s="4" t="n"/>
      <c r="E537" s="4" t="n"/>
      <c r="F537" s="4" t="n"/>
      <c r="G537" s="4" t="n"/>
      <c r="H537" s="4" t="n"/>
    </row>
    <row r="538" ht="15.75" customHeight="1" s="108">
      <c r="A538" s="4" t="n"/>
      <c r="B538" s="4" t="n"/>
      <c r="C538" s="4" t="n"/>
      <c r="D538" s="4" t="n"/>
      <c r="E538" s="4" t="n"/>
      <c r="F538" s="4" t="n"/>
      <c r="G538" s="4" t="n"/>
      <c r="H538" s="4" t="n"/>
    </row>
    <row r="539" ht="15.75" customHeight="1" s="108">
      <c r="A539" s="4" t="n"/>
      <c r="B539" s="4" t="n"/>
      <c r="C539" s="4" t="n"/>
      <c r="D539" s="4" t="n"/>
      <c r="E539" s="4" t="n"/>
      <c r="F539" s="4" t="n"/>
      <c r="G539" s="4" t="n"/>
      <c r="H539" s="4" t="n"/>
    </row>
    <row r="540" ht="15.75" customHeight="1" s="108">
      <c r="A540" s="4" t="n"/>
      <c r="B540" s="4" t="n"/>
      <c r="C540" s="4" t="n"/>
      <c r="D540" s="4" t="n"/>
      <c r="E540" s="4" t="n"/>
      <c r="F540" s="4" t="n"/>
      <c r="G540" s="4" t="n"/>
      <c r="H540" s="4" t="n"/>
    </row>
    <row r="541" ht="15.75" customHeight="1" s="108">
      <c r="A541" s="4" t="n"/>
      <c r="B541" s="4" t="n"/>
      <c r="C541" s="4" t="n"/>
      <c r="D541" s="4" t="n"/>
      <c r="E541" s="4" t="n"/>
      <c r="F541" s="4" t="n"/>
      <c r="G541" s="4" t="n"/>
      <c r="H541" s="4" t="n"/>
    </row>
    <row r="542" ht="15.75" customHeight="1" s="108">
      <c r="A542" s="4" t="n"/>
      <c r="B542" s="4" t="n"/>
      <c r="C542" s="4" t="n"/>
      <c r="D542" s="4" t="n"/>
      <c r="E542" s="4" t="n"/>
      <c r="F542" s="4" t="n"/>
      <c r="G542" s="4" t="n"/>
      <c r="H542" s="4" t="n"/>
    </row>
    <row r="543" ht="15.75" customHeight="1" s="108">
      <c r="A543" s="4" t="n"/>
      <c r="B543" s="4" t="n"/>
      <c r="C543" s="4" t="n"/>
      <c r="D543" s="4" t="n"/>
      <c r="E543" s="4" t="n"/>
      <c r="F543" s="4" t="n"/>
      <c r="G543" s="4" t="n"/>
      <c r="H543" s="4" t="n"/>
    </row>
    <row r="544" ht="15.75" customHeight="1" s="108">
      <c r="A544" s="4" t="n"/>
      <c r="B544" s="4" t="n"/>
      <c r="C544" s="4" t="n"/>
      <c r="D544" s="4" t="n"/>
      <c r="E544" s="4" t="n"/>
      <c r="F544" s="4" t="n"/>
      <c r="G544" s="4" t="n"/>
      <c r="H544" s="4" t="n"/>
    </row>
    <row r="545" ht="15.75" customHeight="1" s="108">
      <c r="A545" s="4" t="n"/>
      <c r="B545" s="4" t="n"/>
      <c r="C545" s="4" t="n"/>
      <c r="D545" s="4" t="n"/>
      <c r="E545" s="4" t="n"/>
      <c r="F545" s="4" t="n"/>
      <c r="G545" s="4" t="n"/>
      <c r="H545" s="4" t="n"/>
    </row>
    <row r="546" ht="15.75" customHeight="1" s="108">
      <c r="A546" s="4" t="n"/>
      <c r="B546" s="4" t="n"/>
      <c r="C546" s="4" t="n"/>
      <c r="D546" s="4" t="n"/>
      <c r="E546" s="4" t="n"/>
      <c r="F546" s="4" t="n"/>
      <c r="G546" s="4" t="n"/>
      <c r="H546" s="4" t="n"/>
    </row>
    <row r="547" ht="15.75" customHeight="1" s="108">
      <c r="A547" s="4" t="n"/>
      <c r="B547" s="4" t="n"/>
      <c r="C547" s="4" t="n"/>
      <c r="D547" s="4" t="n"/>
      <c r="E547" s="4" t="n"/>
      <c r="F547" s="4" t="n"/>
      <c r="G547" s="4" t="n"/>
      <c r="H547" s="4" t="n"/>
    </row>
    <row r="548" ht="15.75" customHeight="1" s="108">
      <c r="A548" s="4" t="n"/>
      <c r="B548" s="4" t="n"/>
      <c r="C548" s="4" t="n"/>
      <c r="D548" s="4" t="n"/>
      <c r="E548" s="4" t="n"/>
      <c r="F548" s="4" t="n"/>
      <c r="G548" s="4" t="n"/>
      <c r="H548" s="4" t="n"/>
    </row>
    <row r="549" ht="15.75" customHeight="1" s="108">
      <c r="A549" s="4" t="n"/>
      <c r="B549" s="4" t="n"/>
      <c r="C549" s="4" t="n"/>
      <c r="D549" s="4" t="n"/>
      <c r="E549" s="4" t="n"/>
      <c r="F549" s="4" t="n"/>
      <c r="G549" s="4" t="n"/>
      <c r="H549" s="4" t="n"/>
    </row>
    <row r="550" ht="15.75" customHeight="1" s="108">
      <c r="A550" s="4" t="n"/>
      <c r="B550" s="4" t="n"/>
      <c r="C550" s="4" t="n"/>
      <c r="D550" s="4" t="n"/>
      <c r="E550" s="4" t="n"/>
      <c r="F550" s="4" t="n"/>
      <c r="G550" s="4" t="n"/>
      <c r="H550" s="4" t="n"/>
    </row>
    <row r="551" ht="15.75" customHeight="1" s="108">
      <c r="A551" s="4" t="n"/>
      <c r="B551" s="4" t="n"/>
      <c r="C551" s="4" t="n"/>
      <c r="D551" s="4" t="n"/>
      <c r="E551" s="4" t="n"/>
      <c r="F551" s="4" t="n"/>
      <c r="G551" s="4" t="n"/>
      <c r="H551" s="4" t="n"/>
    </row>
    <row r="552" ht="15.75" customHeight="1" s="108">
      <c r="A552" s="4" t="n"/>
      <c r="B552" s="4" t="n"/>
      <c r="C552" s="4" t="n"/>
      <c r="D552" s="4" t="n"/>
      <c r="E552" s="4" t="n"/>
      <c r="F552" s="4" t="n"/>
      <c r="G552" s="4" t="n"/>
      <c r="H552" s="4" t="n"/>
    </row>
    <row r="553" ht="15.75" customHeight="1" s="108">
      <c r="A553" s="4" t="n"/>
      <c r="B553" s="4" t="n"/>
      <c r="C553" s="4" t="n"/>
      <c r="D553" s="4" t="n"/>
      <c r="E553" s="4" t="n"/>
      <c r="F553" s="4" t="n"/>
      <c r="G553" s="4" t="n"/>
      <c r="H553" s="4" t="n"/>
    </row>
    <row r="554" ht="15.75" customHeight="1" s="108">
      <c r="A554" s="4" t="n"/>
      <c r="B554" s="4" t="n"/>
      <c r="C554" s="4" t="n"/>
      <c r="D554" s="4" t="n"/>
      <c r="E554" s="4" t="n"/>
      <c r="F554" s="4" t="n"/>
      <c r="G554" s="4" t="n"/>
      <c r="H554" s="4" t="n"/>
    </row>
    <row r="555" ht="15.75" customHeight="1" s="108">
      <c r="A555" s="4" t="n"/>
      <c r="B555" s="4" t="n"/>
      <c r="C555" s="4" t="n"/>
      <c r="D555" s="4" t="n"/>
      <c r="E555" s="4" t="n"/>
      <c r="F555" s="4" t="n"/>
      <c r="G555" s="4" t="n"/>
      <c r="H555" s="4" t="n"/>
    </row>
    <row r="556" ht="15.75" customHeight="1" s="108">
      <c r="A556" s="4" t="n"/>
      <c r="B556" s="4" t="n"/>
      <c r="C556" s="4" t="n"/>
      <c r="D556" s="4" t="n"/>
      <c r="E556" s="4" t="n"/>
      <c r="F556" s="4" t="n"/>
      <c r="G556" s="4" t="n"/>
      <c r="H556" s="4" t="n"/>
    </row>
    <row r="557" ht="15.75" customHeight="1" s="108">
      <c r="A557" s="4" t="n"/>
      <c r="B557" s="4" t="n"/>
      <c r="C557" s="4" t="n"/>
      <c r="D557" s="4" t="n"/>
      <c r="E557" s="4" t="n"/>
      <c r="F557" s="4" t="n"/>
      <c r="G557" s="4" t="n"/>
      <c r="H557" s="4" t="n"/>
    </row>
    <row r="558" ht="15.75" customHeight="1" s="108">
      <c r="A558" s="4" t="n"/>
      <c r="B558" s="4" t="n"/>
      <c r="C558" s="4" t="n"/>
      <c r="D558" s="4" t="n"/>
      <c r="E558" s="4" t="n"/>
      <c r="F558" s="4" t="n"/>
      <c r="G558" s="4" t="n"/>
      <c r="H558" s="4" t="n"/>
    </row>
    <row r="559" ht="15.75" customHeight="1" s="108">
      <c r="A559" s="4" t="n"/>
      <c r="B559" s="4" t="n"/>
      <c r="C559" s="4" t="n"/>
      <c r="D559" s="4" t="n"/>
      <c r="E559" s="4" t="n"/>
      <c r="F559" s="4" t="n"/>
      <c r="G559" s="4" t="n"/>
      <c r="H559" s="4" t="n"/>
    </row>
    <row r="560" ht="15.75" customHeight="1" s="108">
      <c r="A560" s="4" t="n"/>
      <c r="B560" s="4" t="n"/>
      <c r="C560" s="4" t="n"/>
      <c r="D560" s="4" t="n"/>
      <c r="E560" s="4" t="n"/>
      <c r="F560" s="4" t="n"/>
      <c r="G560" s="4" t="n"/>
      <c r="H560" s="4" t="n"/>
    </row>
    <row r="561" ht="15.75" customHeight="1" s="108">
      <c r="A561" s="4" t="n"/>
      <c r="B561" s="4" t="n"/>
      <c r="C561" s="4" t="n"/>
      <c r="D561" s="4" t="n"/>
      <c r="E561" s="4" t="n"/>
      <c r="F561" s="4" t="n"/>
      <c r="G561" s="4" t="n"/>
      <c r="H561" s="4" t="n"/>
    </row>
    <row r="562" ht="15.75" customHeight="1" s="108">
      <c r="A562" s="4" t="n"/>
      <c r="B562" s="4" t="n"/>
      <c r="C562" s="4" t="n"/>
      <c r="D562" s="4" t="n"/>
      <c r="E562" s="4" t="n"/>
      <c r="F562" s="4" t="n"/>
      <c r="G562" s="4" t="n"/>
      <c r="H562" s="4" t="n"/>
    </row>
    <row r="563" ht="15.75" customHeight="1" s="108">
      <c r="A563" s="4" t="n"/>
      <c r="B563" s="4" t="n"/>
      <c r="C563" s="4" t="n"/>
      <c r="D563" s="4" t="n"/>
      <c r="E563" s="4" t="n"/>
      <c r="F563" s="4" t="n"/>
      <c r="G563" s="4" t="n"/>
      <c r="H563" s="4" t="n"/>
    </row>
    <row r="564" ht="15.75" customHeight="1" s="108">
      <c r="A564" s="4" t="n"/>
      <c r="B564" s="4" t="n"/>
      <c r="C564" s="4" t="n"/>
      <c r="D564" s="4" t="n"/>
      <c r="E564" s="4" t="n"/>
      <c r="F564" s="4" t="n"/>
      <c r="G564" s="4" t="n"/>
      <c r="H564" s="4" t="n"/>
    </row>
    <row r="565" ht="15.75" customHeight="1" s="108">
      <c r="A565" s="4" t="n"/>
      <c r="B565" s="4" t="n"/>
      <c r="C565" s="4" t="n"/>
      <c r="D565" s="4" t="n"/>
      <c r="E565" s="4" t="n"/>
      <c r="F565" s="4" t="n"/>
      <c r="G565" s="4" t="n"/>
      <c r="H565" s="4" t="n"/>
    </row>
    <row r="566" ht="15.75" customHeight="1" s="108">
      <c r="A566" s="4" t="n"/>
      <c r="B566" s="4" t="n"/>
      <c r="C566" s="4" t="n"/>
      <c r="D566" s="4" t="n"/>
      <c r="E566" s="4" t="n"/>
      <c r="F566" s="4" t="n"/>
      <c r="G566" s="4" t="n"/>
      <c r="H566" s="4" t="n"/>
    </row>
    <row r="567" ht="15.75" customHeight="1" s="108">
      <c r="A567" s="4" t="n"/>
      <c r="B567" s="4" t="n"/>
      <c r="C567" s="4" t="n"/>
      <c r="D567" s="4" t="n"/>
      <c r="E567" s="4" t="n"/>
      <c r="F567" s="4" t="n"/>
      <c r="G567" s="4" t="n"/>
      <c r="H567" s="4" t="n"/>
    </row>
    <row r="568" ht="15.75" customHeight="1" s="108">
      <c r="A568" s="4" t="n"/>
      <c r="B568" s="4" t="n"/>
      <c r="C568" s="4" t="n"/>
      <c r="D568" s="4" t="n"/>
      <c r="E568" s="4" t="n"/>
      <c r="F568" s="4" t="n"/>
      <c r="G568" s="4" t="n"/>
      <c r="H568" s="4" t="n"/>
    </row>
    <row r="569" ht="15.75" customHeight="1" s="108">
      <c r="A569" s="4" t="n"/>
      <c r="B569" s="4" t="n"/>
      <c r="C569" s="4" t="n"/>
      <c r="D569" s="4" t="n"/>
      <c r="E569" s="4" t="n"/>
      <c r="F569" s="4" t="n"/>
      <c r="G569" s="4" t="n"/>
      <c r="H569" s="4" t="n"/>
    </row>
    <row r="570" ht="15.75" customHeight="1" s="108">
      <c r="A570" s="4" t="n"/>
      <c r="B570" s="4" t="n"/>
      <c r="C570" s="4" t="n"/>
      <c r="D570" s="4" t="n"/>
      <c r="E570" s="4" t="n"/>
      <c r="F570" s="4" t="n"/>
      <c r="G570" s="4" t="n"/>
      <c r="H570" s="4" t="n"/>
    </row>
    <row r="571" ht="15.75" customHeight="1" s="108">
      <c r="A571" s="4" t="n"/>
      <c r="B571" s="4" t="n"/>
      <c r="C571" s="4" t="n"/>
      <c r="D571" s="4" t="n"/>
      <c r="E571" s="4" t="n"/>
      <c r="F571" s="4" t="n"/>
      <c r="G571" s="4" t="n"/>
      <c r="H571" s="4" t="n"/>
    </row>
    <row r="572" ht="15.75" customHeight="1" s="108">
      <c r="A572" s="4" t="n"/>
      <c r="B572" s="4" t="n"/>
      <c r="C572" s="4" t="n"/>
      <c r="D572" s="4" t="n"/>
      <c r="E572" s="4" t="n"/>
      <c r="F572" s="4" t="n"/>
      <c r="G572" s="4" t="n"/>
      <c r="H572" s="4" t="n"/>
    </row>
    <row r="573" ht="15.75" customHeight="1" s="108">
      <c r="A573" s="4" t="n"/>
      <c r="B573" s="4" t="n"/>
      <c r="C573" s="4" t="n"/>
      <c r="D573" s="4" t="n"/>
      <c r="E573" s="4" t="n"/>
      <c r="F573" s="4" t="n"/>
      <c r="G573" s="4" t="n"/>
      <c r="H573" s="4" t="n"/>
    </row>
    <row r="574" ht="15.75" customHeight="1" s="108">
      <c r="A574" s="4" t="n"/>
      <c r="B574" s="4" t="n"/>
      <c r="C574" s="4" t="n"/>
      <c r="D574" s="4" t="n"/>
      <c r="E574" s="4" t="n"/>
      <c r="F574" s="4" t="n"/>
      <c r="G574" s="4" t="n"/>
      <c r="H574" s="4" t="n"/>
    </row>
    <row r="575" ht="15.75" customHeight="1" s="108">
      <c r="A575" s="4" t="n"/>
      <c r="B575" s="4" t="n"/>
      <c r="C575" s="4" t="n"/>
      <c r="D575" s="4" t="n"/>
      <c r="E575" s="4" t="n"/>
      <c r="F575" s="4" t="n"/>
      <c r="G575" s="4" t="n"/>
      <c r="H575" s="4" t="n"/>
    </row>
    <row r="576" ht="15.75" customHeight="1" s="108">
      <c r="A576" s="4" t="n"/>
      <c r="B576" s="4" t="n"/>
      <c r="C576" s="4" t="n"/>
      <c r="D576" s="4" t="n"/>
      <c r="E576" s="4" t="n"/>
      <c r="F576" s="4" t="n"/>
      <c r="G576" s="4" t="n"/>
      <c r="H576" s="4" t="n"/>
    </row>
    <row r="577" ht="15.75" customHeight="1" s="108">
      <c r="A577" s="4" t="n"/>
      <c r="B577" s="4" t="n"/>
      <c r="C577" s="4" t="n"/>
      <c r="D577" s="4" t="n"/>
      <c r="E577" s="4" t="n"/>
      <c r="F577" s="4" t="n"/>
      <c r="G577" s="4" t="n"/>
      <c r="H577" s="4" t="n"/>
    </row>
    <row r="578" ht="15.75" customHeight="1" s="108">
      <c r="A578" s="4" t="n"/>
      <c r="B578" s="4" t="n"/>
      <c r="C578" s="4" t="n"/>
      <c r="D578" s="4" t="n"/>
      <c r="E578" s="4" t="n"/>
      <c r="F578" s="4" t="n"/>
      <c r="G578" s="4" t="n"/>
      <c r="H578" s="4" t="n"/>
    </row>
    <row r="579" ht="15.75" customHeight="1" s="108">
      <c r="A579" s="4" t="n"/>
      <c r="B579" s="4" t="n"/>
      <c r="C579" s="4" t="n"/>
      <c r="D579" s="4" t="n"/>
      <c r="E579" s="4" t="n"/>
      <c r="F579" s="4" t="n"/>
      <c r="G579" s="4" t="n"/>
      <c r="H579" s="4" t="n"/>
    </row>
    <row r="580" ht="15.75" customHeight="1" s="108">
      <c r="A580" s="4" t="n"/>
      <c r="B580" s="4" t="n"/>
      <c r="C580" s="4" t="n"/>
      <c r="D580" s="4" t="n"/>
      <c r="E580" s="4" t="n"/>
      <c r="F580" s="4" t="n"/>
      <c r="G580" s="4" t="n"/>
      <c r="H580" s="4" t="n"/>
    </row>
    <row r="581" ht="15.75" customHeight="1" s="108">
      <c r="A581" s="4" t="n"/>
      <c r="B581" s="4" t="n"/>
      <c r="C581" s="4" t="n"/>
      <c r="D581" s="4" t="n"/>
      <c r="E581" s="4" t="n"/>
      <c r="F581" s="4" t="n"/>
      <c r="G581" s="4" t="n"/>
      <c r="H581" s="4" t="n"/>
    </row>
    <row r="582" ht="15.75" customHeight="1" s="108">
      <c r="A582" s="4" t="n"/>
      <c r="B582" s="4" t="n"/>
      <c r="C582" s="4" t="n"/>
      <c r="D582" s="4" t="n"/>
      <c r="E582" s="4" t="n"/>
      <c r="F582" s="4" t="n"/>
      <c r="G582" s="4" t="n"/>
      <c r="H582" s="4" t="n"/>
    </row>
    <row r="583" ht="15.75" customHeight="1" s="108">
      <c r="A583" s="4" t="n"/>
      <c r="B583" s="4" t="n"/>
      <c r="C583" s="4" t="n"/>
      <c r="D583" s="4" t="n"/>
      <c r="E583" s="4" t="n"/>
      <c r="F583" s="4" t="n"/>
      <c r="G583" s="4" t="n"/>
      <c r="H583" s="4" t="n"/>
    </row>
    <row r="584" ht="15.75" customHeight="1" s="108">
      <c r="A584" s="4" t="n"/>
      <c r="B584" s="4" t="n"/>
      <c r="C584" s="4" t="n"/>
      <c r="D584" s="4" t="n"/>
      <c r="E584" s="4" t="n"/>
      <c r="F584" s="4" t="n"/>
      <c r="G584" s="4" t="n"/>
      <c r="H584" s="4" t="n"/>
    </row>
    <row r="585" ht="15.75" customHeight="1" s="108">
      <c r="A585" s="4" t="n"/>
      <c r="B585" s="4" t="n"/>
      <c r="C585" s="4" t="n"/>
      <c r="D585" s="4" t="n"/>
      <c r="E585" s="4" t="n"/>
      <c r="F585" s="4" t="n"/>
      <c r="G585" s="4" t="n"/>
      <c r="H585" s="4" t="n"/>
    </row>
    <row r="586" ht="15.75" customHeight="1" s="108">
      <c r="A586" s="4" t="n"/>
      <c r="B586" s="4" t="n"/>
      <c r="C586" s="4" t="n"/>
      <c r="D586" s="4" t="n"/>
      <c r="E586" s="4" t="n"/>
      <c r="F586" s="4" t="n"/>
      <c r="G586" s="4" t="n"/>
      <c r="H586" s="4" t="n"/>
    </row>
    <row r="587" ht="15.75" customHeight="1" s="108">
      <c r="A587" s="4" t="n"/>
      <c r="B587" s="4" t="n"/>
      <c r="C587" s="4" t="n"/>
      <c r="D587" s="4" t="n"/>
      <c r="E587" s="4" t="n"/>
      <c r="F587" s="4" t="n"/>
      <c r="G587" s="4" t="n"/>
      <c r="H587" s="4" t="n"/>
    </row>
    <row r="588" ht="15.75" customHeight="1" s="108">
      <c r="A588" s="4" t="n"/>
      <c r="B588" s="4" t="n"/>
      <c r="C588" s="4" t="n"/>
      <c r="D588" s="4" t="n"/>
      <c r="E588" s="4" t="n"/>
      <c r="F588" s="4" t="n"/>
      <c r="G588" s="4" t="n"/>
      <c r="H588" s="4" t="n"/>
    </row>
    <row r="589" ht="15.75" customHeight="1" s="108">
      <c r="A589" s="4" t="n"/>
      <c r="B589" s="4" t="n"/>
      <c r="C589" s="4" t="n"/>
      <c r="D589" s="4" t="n"/>
      <c r="E589" s="4" t="n"/>
      <c r="F589" s="4" t="n"/>
      <c r="G589" s="4" t="n"/>
      <c r="H589" s="4" t="n"/>
    </row>
    <row r="590" ht="15.75" customHeight="1" s="108">
      <c r="A590" s="4" t="n"/>
      <c r="B590" s="4" t="n"/>
      <c r="C590" s="4" t="n"/>
      <c r="D590" s="4" t="n"/>
      <c r="E590" s="4" t="n"/>
      <c r="F590" s="4" t="n"/>
      <c r="G590" s="4" t="n"/>
      <c r="H590" s="4" t="n"/>
    </row>
    <row r="591" ht="15.75" customHeight="1" s="108">
      <c r="A591" s="4" t="n"/>
      <c r="B591" s="4" t="n"/>
      <c r="C591" s="4" t="n"/>
      <c r="D591" s="4" t="n"/>
      <c r="E591" s="4" t="n"/>
      <c r="F591" s="4" t="n"/>
      <c r="G591" s="4" t="n"/>
      <c r="H591" s="4" t="n"/>
    </row>
    <row r="592" ht="15.75" customHeight="1" s="108">
      <c r="A592" s="4" t="n"/>
      <c r="B592" s="4" t="n"/>
      <c r="C592" s="4" t="n"/>
      <c r="D592" s="4" t="n"/>
      <c r="E592" s="4" t="n"/>
      <c r="F592" s="4" t="n"/>
      <c r="G592" s="4" t="n"/>
      <c r="H592" s="4" t="n"/>
    </row>
    <row r="593" ht="15.75" customHeight="1" s="108">
      <c r="A593" s="4" t="n"/>
      <c r="B593" s="4" t="n"/>
      <c r="C593" s="4" t="n"/>
      <c r="D593" s="4" t="n"/>
      <c r="E593" s="4" t="n"/>
      <c r="F593" s="4" t="n"/>
      <c r="G593" s="4" t="n"/>
      <c r="H593" s="4" t="n"/>
    </row>
    <row r="594" ht="15.75" customHeight="1" s="108">
      <c r="A594" s="4" t="n"/>
      <c r="B594" s="4" t="n"/>
      <c r="C594" s="4" t="n"/>
      <c r="D594" s="4" t="n"/>
      <c r="E594" s="4" t="n"/>
      <c r="F594" s="4" t="n"/>
      <c r="G594" s="4" t="n"/>
      <c r="H594" s="4" t="n"/>
    </row>
    <row r="595" ht="15.75" customHeight="1" s="108">
      <c r="A595" s="4" t="n"/>
      <c r="B595" s="4" t="n"/>
      <c r="C595" s="4" t="n"/>
      <c r="D595" s="4" t="n"/>
      <c r="E595" s="4" t="n"/>
      <c r="F595" s="4" t="n"/>
      <c r="G595" s="4" t="n"/>
      <c r="H595" s="4" t="n"/>
    </row>
    <row r="596" ht="15.75" customHeight="1" s="108">
      <c r="A596" s="4" t="n"/>
      <c r="B596" s="4" t="n"/>
      <c r="C596" s="4" t="n"/>
      <c r="D596" s="4" t="n"/>
      <c r="E596" s="4" t="n"/>
      <c r="F596" s="4" t="n"/>
      <c r="G596" s="4" t="n"/>
      <c r="H596" s="4" t="n"/>
    </row>
    <row r="597" ht="15.75" customHeight="1" s="108">
      <c r="A597" s="4" t="n"/>
      <c r="B597" s="4" t="n"/>
      <c r="C597" s="4" t="n"/>
      <c r="D597" s="4" t="n"/>
      <c r="E597" s="4" t="n"/>
      <c r="F597" s="4" t="n"/>
      <c r="G597" s="4" t="n"/>
      <c r="H597" s="4" t="n"/>
    </row>
    <row r="598" ht="15.75" customHeight="1" s="108">
      <c r="A598" s="4" t="n"/>
      <c r="B598" s="4" t="n"/>
      <c r="C598" s="4" t="n"/>
      <c r="D598" s="4" t="n"/>
      <c r="E598" s="4" t="n"/>
      <c r="F598" s="4" t="n"/>
      <c r="G598" s="4" t="n"/>
      <c r="H598" s="4" t="n"/>
    </row>
    <row r="599" ht="15.75" customHeight="1" s="108">
      <c r="A599" s="4" t="n"/>
      <c r="B599" s="4" t="n"/>
      <c r="C599" s="4" t="n"/>
      <c r="D599" s="4" t="n"/>
      <c r="E599" s="4" t="n"/>
      <c r="F599" s="4" t="n"/>
      <c r="G599" s="4" t="n"/>
      <c r="H599" s="4" t="n"/>
    </row>
    <row r="600" ht="15.75" customHeight="1" s="108">
      <c r="A600" s="4" t="n"/>
      <c r="B600" s="4" t="n"/>
      <c r="C600" s="4" t="n"/>
      <c r="D600" s="4" t="n"/>
      <c r="E600" s="4" t="n"/>
      <c r="F600" s="4" t="n"/>
      <c r="G600" s="4" t="n"/>
      <c r="H600" s="4" t="n"/>
    </row>
    <row r="601" ht="15.75" customHeight="1" s="108">
      <c r="A601" s="4" t="n"/>
      <c r="B601" s="4" t="n"/>
      <c r="C601" s="4" t="n"/>
      <c r="D601" s="4" t="n"/>
      <c r="E601" s="4" t="n"/>
      <c r="F601" s="4" t="n"/>
      <c r="G601" s="4" t="n"/>
      <c r="H601" s="4" t="n"/>
    </row>
    <row r="602" ht="15.75" customHeight="1" s="108">
      <c r="A602" s="4" t="n"/>
      <c r="B602" s="4" t="n"/>
      <c r="C602" s="4" t="n"/>
      <c r="D602" s="4" t="n"/>
      <c r="E602" s="4" t="n"/>
      <c r="F602" s="4" t="n"/>
      <c r="G602" s="4" t="n"/>
      <c r="H602" s="4" t="n"/>
    </row>
    <row r="603" ht="15.75" customHeight="1" s="108">
      <c r="A603" s="4" t="n"/>
      <c r="B603" s="4" t="n"/>
      <c r="C603" s="4" t="n"/>
      <c r="D603" s="4" t="n"/>
      <c r="E603" s="4" t="n"/>
      <c r="F603" s="4" t="n"/>
      <c r="G603" s="4" t="n"/>
      <c r="H603" s="4" t="n"/>
    </row>
    <row r="604" ht="15.75" customHeight="1" s="108">
      <c r="A604" s="4" t="n"/>
      <c r="B604" s="4" t="n"/>
      <c r="C604" s="4" t="n"/>
      <c r="D604" s="4" t="n"/>
      <c r="E604" s="4" t="n"/>
      <c r="F604" s="4" t="n"/>
      <c r="G604" s="4" t="n"/>
      <c r="H604" s="4" t="n"/>
    </row>
    <row r="605" ht="15.75" customHeight="1" s="108">
      <c r="A605" s="4" t="n"/>
      <c r="B605" s="4" t="n"/>
      <c r="C605" s="4" t="n"/>
      <c r="D605" s="4" t="n"/>
      <c r="E605" s="4" t="n"/>
      <c r="F605" s="4" t="n"/>
      <c r="G605" s="4" t="n"/>
      <c r="H605" s="4" t="n"/>
    </row>
    <row r="606" ht="15.75" customHeight="1" s="108">
      <c r="A606" s="4" t="n"/>
      <c r="B606" s="4" t="n"/>
      <c r="C606" s="4" t="n"/>
      <c r="D606" s="4" t="n"/>
      <c r="E606" s="4" t="n"/>
      <c r="F606" s="4" t="n"/>
      <c r="G606" s="4" t="n"/>
      <c r="H606" s="4" t="n"/>
    </row>
    <row r="607" ht="15.75" customHeight="1" s="108">
      <c r="A607" s="4" t="n"/>
      <c r="B607" s="4" t="n"/>
      <c r="C607" s="4" t="n"/>
      <c r="D607" s="4" t="n"/>
      <c r="E607" s="4" t="n"/>
      <c r="F607" s="4" t="n"/>
      <c r="G607" s="4" t="n"/>
      <c r="H607" s="4" t="n"/>
    </row>
    <row r="608" ht="15.75" customHeight="1" s="108">
      <c r="A608" s="4" t="n"/>
      <c r="B608" s="4" t="n"/>
      <c r="C608" s="4" t="n"/>
      <c r="D608" s="4" t="n"/>
      <c r="E608" s="4" t="n"/>
      <c r="F608" s="4" t="n"/>
      <c r="G608" s="4" t="n"/>
      <c r="H608" s="4" t="n"/>
    </row>
    <row r="609" ht="15.75" customHeight="1" s="108">
      <c r="A609" s="4" t="n"/>
      <c r="B609" s="4" t="n"/>
      <c r="C609" s="4" t="n"/>
      <c r="D609" s="4" t="n"/>
      <c r="E609" s="4" t="n"/>
      <c r="F609" s="4" t="n"/>
      <c r="G609" s="4" t="n"/>
      <c r="H609" s="4" t="n"/>
    </row>
    <row r="610" ht="15.75" customHeight="1" s="108">
      <c r="A610" s="4" t="n"/>
      <c r="B610" s="4" t="n"/>
      <c r="C610" s="4" t="n"/>
      <c r="D610" s="4" t="n"/>
      <c r="E610" s="4" t="n"/>
      <c r="F610" s="4" t="n"/>
      <c r="G610" s="4" t="n"/>
      <c r="H610" s="4" t="n"/>
    </row>
    <row r="611" ht="15.75" customHeight="1" s="108">
      <c r="A611" s="4" t="n"/>
      <c r="B611" s="4" t="n"/>
      <c r="C611" s="4" t="n"/>
      <c r="D611" s="4" t="n"/>
      <c r="E611" s="4" t="n"/>
      <c r="F611" s="4" t="n"/>
      <c r="G611" s="4" t="n"/>
      <c r="H611" s="4" t="n"/>
    </row>
    <row r="612" ht="15.75" customHeight="1" s="108">
      <c r="A612" s="4" t="n"/>
      <c r="B612" s="4" t="n"/>
      <c r="C612" s="4" t="n"/>
      <c r="D612" s="4" t="n"/>
      <c r="E612" s="4" t="n"/>
      <c r="F612" s="4" t="n"/>
      <c r="G612" s="4" t="n"/>
      <c r="H612" s="4" t="n"/>
    </row>
    <row r="613" ht="15.75" customHeight="1" s="108">
      <c r="A613" s="4" t="n"/>
      <c r="B613" s="4" t="n"/>
      <c r="C613" s="4" t="n"/>
      <c r="D613" s="4" t="n"/>
      <c r="E613" s="4" t="n"/>
      <c r="F613" s="4" t="n"/>
      <c r="G613" s="4" t="n"/>
      <c r="H613" s="4" t="n"/>
    </row>
    <row r="614" ht="15.75" customHeight="1" s="108">
      <c r="A614" s="4" t="n"/>
      <c r="B614" s="4" t="n"/>
      <c r="C614" s="4" t="n"/>
      <c r="D614" s="4" t="n"/>
      <c r="E614" s="4" t="n"/>
      <c r="F614" s="4" t="n"/>
      <c r="G614" s="4" t="n"/>
      <c r="H614" s="4" t="n"/>
    </row>
    <row r="615" ht="15.75" customHeight="1" s="108">
      <c r="A615" s="4" t="n"/>
      <c r="B615" s="4" t="n"/>
      <c r="C615" s="4" t="n"/>
      <c r="D615" s="4" t="n"/>
      <c r="E615" s="4" t="n"/>
      <c r="F615" s="4" t="n"/>
      <c r="G615" s="4" t="n"/>
      <c r="H615" s="4" t="n"/>
    </row>
    <row r="616" ht="15.75" customHeight="1" s="108">
      <c r="A616" s="4" t="n"/>
      <c r="B616" s="4" t="n"/>
      <c r="C616" s="4" t="n"/>
      <c r="D616" s="4" t="n"/>
      <c r="E616" s="4" t="n"/>
      <c r="F616" s="4" t="n"/>
      <c r="G616" s="4" t="n"/>
      <c r="H616" s="4" t="n"/>
    </row>
    <row r="617" ht="15.75" customHeight="1" s="108">
      <c r="A617" s="4" t="n"/>
      <c r="B617" s="4" t="n"/>
      <c r="C617" s="4" t="n"/>
      <c r="D617" s="4" t="n"/>
      <c r="E617" s="4" t="n"/>
      <c r="F617" s="4" t="n"/>
      <c r="G617" s="4" t="n"/>
      <c r="H617" s="4" t="n"/>
    </row>
    <row r="618" ht="15.75" customHeight="1" s="108">
      <c r="A618" s="4" t="n"/>
      <c r="B618" s="4" t="n"/>
      <c r="C618" s="4" t="n"/>
      <c r="D618" s="4" t="n"/>
      <c r="E618" s="4" t="n"/>
      <c r="F618" s="4" t="n"/>
      <c r="G618" s="4" t="n"/>
      <c r="H618" s="4" t="n"/>
    </row>
    <row r="619" ht="15.75" customHeight="1" s="108">
      <c r="A619" s="4" t="n"/>
      <c r="B619" s="4" t="n"/>
      <c r="C619" s="4" t="n"/>
      <c r="D619" s="4" t="n"/>
      <c r="E619" s="4" t="n"/>
      <c r="F619" s="4" t="n"/>
      <c r="G619" s="4" t="n"/>
      <c r="H619" s="4" t="n"/>
    </row>
    <row r="620" ht="15.75" customHeight="1" s="108">
      <c r="A620" s="4" t="n"/>
      <c r="B620" s="4" t="n"/>
      <c r="C620" s="4" t="n"/>
      <c r="D620" s="4" t="n"/>
      <c r="E620" s="4" t="n"/>
      <c r="F620" s="4" t="n"/>
      <c r="G620" s="4" t="n"/>
      <c r="H620" s="4" t="n"/>
    </row>
    <row r="621" ht="15.75" customHeight="1" s="108">
      <c r="A621" s="4" t="n"/>
      <c r="B621" s="4" t="n"/>
      <c r="C621" s="4" t="n"/>
      <c r="D621" s="4" t="n"/>
      <c r="E621" s="4" t="n"/>
      <c r="F621" s="4" t="n"/>
      <c r="G621" s="4" t="n"/>
      <c r="H621" s="4" t="n"/>
    </row>
    <row r="622" ht="15.75" customHeight="1" s="108">
      <c r="A622" s="4" t="n"/>
      <c r="B622" s="4" t="n"/>
      <c r="C622" s="4" t="n"/>
      <c r="D622" s="4" t="n"/>
      <c r="E622" s="4" t="n"/>
      <c r="F622" s="4" t="n"/>
      <c r="G622" s="4" t="n"/>
      <c r="H622" s="4" t="n"/>
    </row>
    <row r="623" ht="15.75" customHeight="1" s="108">
      <c r="A623" s="4" t="n"/>
      <c r="B623" s="4" t="n"/>
      <c r="C623" s="4" t="n"/>
      <c r="D623" s="4" t="n"/>
      <c r="E623" s="4" t="n"/>
      <c r="F623" s="4" t="n"/>
      <c r="G623" s="4" t="n"/>
      <c r="H623" s="4" t="n"/>
    </row>
    <row r="624" ht="15.75" customHeight="1" s="108">
      <c r="A624" s="4" t="n"/>
      <c r="B624" s="4" t="n"/>
      <c r="C624" s="4" t="n"/>
      <c r="D624" s="4" t="n"/>
      <c r="E624" s="4" t="n"/>
      <c r="F624" s="4" t="n"/>
      <c r="G624" s="4" t="n"/>
      <c r="H624" s="4" t="n"/>
    </row>
    <row r="625" ht="15.75" customHeight="1" s="108">
      <c r="A625" s="4" t="n"/>
      <c r="B625" s="4" t="n"/>
      <c r="C625" s="4" t="n"/>
      <c r="D625" s="4" t="n"/>
      <c r="E625" s="4" t="n"/>
      <c r="F625" s="4" t="n"/>
      <c r="G625" s="4" t="n"/>
      <c r="H625" s="4" t="n"/>
    </row>
    <row r="626" ht="15.75" customHeight="1" s="108">
      <c r="A626" s="4" t="n"/>
      <c r="B626" s="4" t="n"/>
      <c r="C626" s="4" t="n"/>
      <c r="D626" s="4" t="n"/>
      <c r="E626" s="4" t="n"/>
      <c r="F626" s="4" t="n"/>
      <c r="G626" s="4" t="n"/>
      <c r="H626" s="4" t="n"/>
    </row>
    <row r="627" ht="15.75" customHeight="1" s="108">
      <c r="A627" s="4" t="n"/>
      <c r="B627" s="4" t="n"/>
      <c r="C627" s="4" t="n"/>
      <c r="D627" s="4" t="n"/>
      <c r="E627" s="4" t="n"/>
      <c r="F627" s="4" t="n"/>
      <c r="G627" s="4" t="n"/>
      <c r="H627" s="4" t="n"/>
    </row>
    <row r="628" ht="15.75" customHeight="1" s="108">
      <c r="A628" s="4" t="n"/>
      <c r="B628" s="4" t="n"/>
      <c r="C628" s="4" t="n"/>
      <c r="D628" s="4" t="n"/>
      <c r="E628" s="4" t="n"/>
      <c r="F628" s="4" t="n"/>
      <c r="G628" s="4" t="n"/>
      <c r="H628" s="4" t="n"/>
    </row>
    <row r="629" ht="15.75" customHeight="1" s="108">
      <c r="A629" s="4" t="n"/>
      <c r="B629" s="4" t="n"/>
      <c r="C629" s="4" t="n"/>
      <c r="D629" s="4" t="n"/>
      <c r="E629" s="4" t="n"/>
      <c r="F629" s="4" t="n"/>
      <c r="G629" s="4" t="n"/>
      <c r="H629" s="4" t="n"/>
    </row>
    <row r="630" ht="15.75" customHeight="1" s="108">
      <c r="A630" s="4" t="n"/>
      <c r="B630" s="4" t="n"/>
      <c r="C630" s="4" t="n"/>
      <c r="D630" s="4" t="n"/>
      <c r="E630" s="4" t="n"/>
      <c r="F630" s="4" t="n"/>
      <c r="G630" s="4" t="n"/>
      <c r="H630" s="4" t="n"/>
    </row>
    <row r="631" ht="15.75" customHeight="1" s="108">
      <c r="A631" s="4" t="n"/>
      <c r="B631" s="4" t="n"/>
      <c r="C631" s="4" t="n"/>
      <c r="D631" s="4" t="n"/>
      <c r="E631" s="4" t="n"/>
      <c r="F631" s="4" t="n"/>
      <c r="G631" s="4" t="n"/>
      <c r="H631" s="4" t="n"/>
    </row>
    <row r="632" ht="15.75" customHeight="1" s="108">
      <c r="A632" s="4" t="n"/>
      <c r="B632" s="4" t="n"/>
      <c r="C632" s="4" t="n"/>
      <c r="D632" s="4" t="n"/>
      <c r="E632" s="4" t="n"/>
      <c r="F632" s="4" t="n"/>
      <c r="G632" s="4" t="n"/>
      <c r="H632" s="4" t="n"/>
    </row>
    <row r="633" ht="15.75" customHeight="1" s="108">
      <c r="A633" s="4" t="n"/>
      <c r="B633" s="4" t="n"/>
      <c r="C633" s="4" t="n"/>
      <c r="D633" s="4" t="n"/>
      <c r="E633" s="4" t="n"/>
      <c r="F633" s="4" t="n"/>
      <c r="G633" s="4" t="n"/>
      <c r="H633" s="4" t="n"/>
    </row>
    <row r="634" ht="15.75" customHeight="1" s="108">
      <c r="A634" s="4" t="n"/>
      <c r="B634" s="4" t="n"/>
      <c r="C634" s="4" t="n"/>
      <c r="D634" s="4" t="n"/>
      <c r="E634" s="4" t="n"/>
      <c r="F634" s="4" t="n"/>
      <c r="G634" s="4" t="n"/>
      <c r="H634" s="4" t="n"/>
    </row>
    <row r="635" ht="15.75" customHeight="1" s="108">
      <c r="A635" s="4" t="n"/>
      <c r="B635" s="4" t="n"/>
      <c r="C635" s="4" t="n"/>
      <c r="D635" s="4" t="n"/>
      <c r="E635" s="4" t="n"/>
      <c r="F635" s="4" t="n"/>
      <c r="G635" s="4" t="n"/>
      <c r="H635" s="4" t="n"/>
    </row>
    <row r="636" ht="15.75" customHeight="1" s="108">
      <c r="A636" s="4" t="n"/>
      <c r="B636" s="4" t="n"/>
      <c r="C636" s="4" t="n"/>
      <c r="D636" s="4" t="n"/>
      <c r="E636" s="4" t="n"/>
      <c r="F636" s="4" t="n"/>
      <c r="G636" s="4" t="n"/>
      <c r="H636" s="4" t="n"/>
    </row>
    <row r="637" ht="15.75" customHeight="1" s="108">
      <c r="A637" s="4" t="n"/>
      <c r="B637" s="4" t="n"/>
      <c r="C637" s="4" t="n"/>
      <c r="D637" s="4" t="n"/>
      <c r="E637" s="4" t="n"/>
      <c r="F637" s="4" t="n"/>
      <c r="G637" s="4" t="n"/>
      <c r="H637" s="4" t="n"/>
    </row>
    <row r="638" ht="15.75" customHeight="1" s="108">
      <c r="A638" s="4" t="n"/>
      <c r="B638" s="4" t="n"/>
      <c r="C638" s="4" t="n"/>
      <c r="D638" s="4" t="n"/>
      <c r="E638" s="4" t="n"/>
      <c r="F638" s="4" t="n"/>
      <c r="G638" s="4" t="n"/>
      <c r="H638" s="4" t="n"/>
    </row>
    <row r="639" ht="15.75" customHeight="1" s="108">
      <c r="A639" s="4" t="n"/>
      <c r="B639" s="4" t="n"/>
      <c r="C639" s="4" t="n"/>
      <c r="D639" s="4" t="n"/>
      <c r="E639" s="4" t="n"/>
      <c r="F639" s="4" t="n"/>
      <c r="G639" s="4" t="n"/>
      <c r="H639" s="4" t="n"/>
    </row>
    <row r="640" ht="15.75" customHeight="1" s="108">
      <c r="A640" s="4" t="n"/>
      <c r="B640" s="4" t="n"/>
      <c r="C640" s="4" t="n"/>
      <c r="D640" s="4" t="n"/>
      <c r="E640" s="4" t="n"/>
      <c r="F640" s="4" t="n"/>
      <c r="G640" s="4" t="n"/>
      <c r="H640" s="4" t="n"/>
    </row>
    <row r="641" ht="15.75" customHeight="1" s="108">
      <c r="A641" s="4" t="n"/>
      <c r="B641" s="4" t="n"/>
      <c r="C641" s="4" t="n"/>
      <c r="D641" s="4" t="n"/>
      <c r="E641" s="4" t="n"/>
      <c r="F641" s="4" t="n"/>
      <c r="G641" s="4" t="n"/>
      <c r="H641" s="4" t="n"/>
    </row>
    <row r="642" ht="15.75" customHeight="1" s="108">
      <c r="A642" s="4" t="n"/>
      <c r="B642" s="4" t="n"/>
      <c r="C642" s="4" t="n"/>
      <c r="D642" s="4" t="n"/>
      <c r="E642" s="4" t="n"/>
      <c r="F642" s="4" t="n"/>
      <c r="G642" s="4" t="n"/>
      <c r="H642" s="4" t="n"/>
    </row>
    <row r="643" ht="15.75" customHeight="1" s="108">
      <c r="A643" s="4" t="n"/>
      <c r="B643" s="4" t="n"/>
      <c r="C643" s="4" t="n"/>
      <c r="D643" s="4" t="n"/>
      <c r="E643" s="4" t="n"/>
      <c r="F643" s="4" t="n"/>
      <c r="G643" s="4" t="n"/>
      <c r="H643" s="4" t="n"/>
    </row>
    <row r="644" ht="15.75" customHeight="1" s="108">
      <c r="A644" s="4" t="n"/>
      <c r="B644" s="4" t="n"/>
      <c r="C644" s="4" t="n"/>
      <c r="D644" s="4" t="n"/>
      <c r="E644" s="4" t="n"/>
      <c r="F644" s="4" t="n"/>
      <c r="G644" s="4" t="n"/>
      <c r="H644" s="4" t="n"/>
    </row>
    <row r="645" ht="15.75" customHeight="1" s="108">
      <c r="A645" s="4" t="n"/>
      <c r="B645" s="4" t="n"/>
      <c r="C645" s="4" t="n"/>
      <c r="D645" s="4" t="n"/>
      <c r="E645" s="4" t="n"/>
      <c r="F645" s="4" t="n"/>
      <c r="G645" s="4" t="n"/>
      <c r="H645" s="4" t="n"/>
    </row>
    <row r="646" ht="15.75" customHeight="1" s="108">
      <c r="A646" s="4" t="n"/>
      <c r="B646" s="4" t="n"/>
      <c r="C646" s="4" t="n"/>
      <c r="D646" s="4" t="n"/>
      <c r="E646" s="4" t="n"/>
      <c r="F646" s="4" t="n"/>
      <c r="G646" s="4" t="n"/>
      <c r="H646" s="4" t="n"/>
    </row>
    <row r="647" ht="15.75" customHeight="1" s="108">
      <c r="A647" s="4" t="n"/>
      <c r="B647" s="4" t="n"/>
      <c r="C647" s="4" t="n"/>
      <c r="D647" s="4" t="n"/>
      <c r="E647" s="4" t="n"/>
      <c r="F647" s="4" t="n"/>
      <c r="G647" s="4" t="n"/>
      <c r="H647" s="4" t="n"/>
    </row>
    <row r="648" ht="15.75" customHeight="1" s="108">
      <c r="A648" s="4" t="n"/>
      <c r="B648" s="4" t="n"/>
      <c r="C648" s="4" t="n"/>
      <c r="D648" s="4" t="n"/>
      <c r="E648" s="4" t="n"/>
      <c r="F648" s="4" t="n"/>
      <c r="G648" s="4" t="n"/>
      <c r="H648" s="4" t="n"/>
    </row>
    <row r="649" ht="15.75" customHeight="1" s="108">
      <c r="A649" s="4" t="n"/>
      <c r="B649" s="4" t="n"/>
      <c r="C649" s="4" t="n"/>
      <c r="D649" s="4" t="n"/>
      <c r="E649" s="4" t="n"/>
      <c r="F649" s="4" t="n"/>
      <c r="G649" s="4" t="n"/>
      <c r="H649" s="4" t="n"/>
    </row>
    <row r="650" ht="15.75" customHeight="1" s="108">
      <c r="A650" s="4" t="n"/>
      <c r="B650" s="4" t="n"/>
      <c r="C650" s="4" t="n"/>
      <c r="D650" s="4" t="n"/>
      <c r="E650" s="4" t="n"/>
      <c r="F650" s="4" t="n"/>
      <c r="G650" s="4" t="n"/>
      <c r="H650" s="4" t="n"/>
    </row>
    <row r="651" ht="15.75" customHeight="1" s="108">
      <c r="A651" s="4" t="n"/>
      <c r="B651" s="4" t="n"/>
      <c r="C651" s="4" t="n"/>
      <c r="D651" s="4" t="n"/>
      <c r="E651" s="4" t="n"/>
      <c r="F651" s="4" t="n"/>
      <c r="G651" s="4" t="n"/>
      <c r="H651" s="4" t="n"/>
    </row>
    <row r="652" ht="15.75" customHeight="1" s="108">
      <c r="A652" s="4" t="n"/>
      <c r="B652" s="4" t="n"/>
      <c r="C652" s="4" t="n"/>
      <c r="D652" s="4" t="n"/>
      <c r="E652" s="4" t="n"/>
      <c r="F652" s="4" t="n"/>
      <c r="G652" s="4" t="n"/>
      <c r="H652" s="4" t="n"/>
    </row>
    <row r="653" ht="15.75" customHeight="1" s="108">
      <c r="A653" s="4" t="n"/>
      <c r="B653" s="4" t="n"/>
      <c r="C653" s="4" t="n"/>
      <c r="D653" s="4" t="n"/>
      <c r="E653" s="4" t="n"/>
      <c r="F653" s="4" t="n"/>
      <c r="G653" s="4" t="n"/>
      <c r="H653" s="4" t="n"/>
    </row>
    <row r="654" ht="15.75" customHeight="1" s="108">
      <c r="A654" s="4" t="n"/>
      <c r="B654" s="4" t="n"/>
      <c r="C654" s="4" t="n"/>
      <c r="D654" s="4" t="n"/>
      <c r="E654" s="4" t="n"/>
      <c r="F654" s="4" t="n"/>
      <c r="G654" s="4" t="n"/>
      <c r="H654" s="4" t="n"/>
    </row>
    <row r="655" ht="15.75" customHeight="1" s="108">
      <c r="A655" s="4" t="n"/>
      <c r="B655" s="4" t="n"/>
      <c r="C655" s="4" t="n"/>
      <c r="D655" s="4" t="n"/>
      <c r="E655" s="4" t="n"/>
      <c r="F655" s="4" t="n"/>
      <c r="G655" s="4" t="n"/>
      <c r="H655" s="4" t="n"/>
    </row>
    <row r="656" ht="15.75" customHeight="1" s="108">
      <c r="A656" s="4" t="n"/>
      <c r="B656" s="4" t="n"/>
      <c r="C656" s="4" t="n"/>
      <c r="D656" s="4" t="n"/>
      <c r="E656" s="4" t="n"/>
      <c r="F656" s="4" t="n"/>
      <c r="G656" s="4" t="n"/>
      <c r="H656" s="4" t="n"/>
    </row>
    <row r="657" ht="15.75" customHeight="1" s="108">
      <c r="A657" s="4" t="n"/>
      <c r="B657" s="4" t="n"/>
      <c r="C657" s="4" t="n"/>
      <c r="D657" s="4" t="n"/>
      <c r="E657" s="4" t="n"/>
      <c r="F657" s="4" t="n"/>
      <c r="G657" s="4" t="n"/>
      <c r="H657" s="4" t="n"/>
    </row>
    <row r="658" ht="15.75" customHeight="1" s="108">
      <c r="A658" s="4" t="n"/>
      <c r="B658" s="4" t="n"/>
      <c r="C658" s="4" t="n"/>
      <c r="D658" s="4" t="n"/>
      <c r="E658" s="4" t="n"/>
      <c r="F658" s="4" t="n"/>
      <c r="G658" s="4" t="n"/>
      <c r="H658" s="4" t="n"/>
    </row>
    <row r="659" ht="15.75" customHeight="1" s="108">
      <c r="A659" s="4" t="n"/>
      <c r="B659" s="4" t="n"/>
      <c r="C659" s="4" t="n"/>
      <c r="D659" s="4" t="n"/>
      <c r="E659" s="4" t="n"/>
      <c r="F659" s="4" t="n"/>
      <c r="G659" s="4" t="n"/>
      <c r="H659" s="4" t="n"/>
    </row>
    <row r="660" ht="15.75" customHeight="1" s="108">
      <c r="A660" s="4" t="n"/>
      <c r="B660" s="4" t="n"/>
      <c r="C660" s="4" t="n"/>
      <c r="D660" s="4" t="n"/>
      <c r="E660" s="4" t="n"/>
      <c r="F660" s="4" t="n"/>
      <c r="G660" s="4" t="n"/>
      <c r="H660" s="4" t="n"/>
    </row>
    <row r="661" ht="15.75" customHeight="1" s="108">
      <c r="A661" s="4" t="n"/>
      <c r="B661" s="4" t="n"/>
      <c r="C661" s="4" t="n"/>
      <c r="D661" s="4" t="n"/>
      <c r="E661" s="4" t="n"/>
      <c r="F661" s="4" t="n"/>
      <c r="G661" s="4" t="n"/>
      <c r="H661" s="4" t="n"/>
    </row>
    <row r="662" ht="15.75" customHeight="1" s="108">
      <c r="A662" s="4" t="n"/>
      <c r="B662" s="4" t="n"/>
      <c r="C662" s="4" t="n"/>
      <c r="D662" s="4" t="n"/>
      <c r="E662" s="4" t="n"/>
      <c r="F662" s="4" t="n"/>
      <c r="G662" s="4" t="n"/>
      <c r="H662" s="4" t="n"/>
    </row>
    <row r="663" ht="15.75" customHeight="1" s="108">
      <c r="A663" s="4" t="n"/>
      <c r="B663" s="4" t="n"/>
      <c r="C663" s="4" t="n"/>
      <c r="D663" s="4" t="n"/>
      <c r="E663" s="4" t="n"/>
      <c r="F663" s="4" t="n"/>
      <c r="G663" s="4" t="n"/>
      <c r="H663" s="4" t="n"/>
    </row>
    <row r="664" ht="15.75" customHeight="1" s="108">
      <c r="A664" s="4" t="n"/>
      <c r="B664" s="4" t="n"/>
      <c r="C664" s="4" t="n"/>
      <c r="D664" s="4" t="n"/>
      <c r="E664" s="4" t="n"/>
      <c r="F664" s="4" t="n"/>
      <c r="G664" s="4" t="n"/>
      <c r="H664" s="4" t="n"/>
    </row>
    <row r="665" ht="15.75" customHeight="1" s="108">
      <c r="A665" s="4" t="n"/>
      <c r="B665" s="4" t="n"/>
      <c r="C665" s="4" t="n"/>
      <c r="D665" s="4" t="n"/>
      <c r="E665" s="4" t="n"/>
      <c r="F665" s="4" t="n"/>
      <c r="G665" s="4" t="n"/>
      <c r="H665" s="4" t="n"/>
    </row>
    <row r="666" ht="15.75" customHeight="1" s="108">
      <c r="A666" s="4" t="n"/>
      <c r="B666" s="4" t="n"/>
      <c r="C666" s="4" t="n"/>
      <c r="D666" s="4" t="n"/>
      <c r="E666" s="4" t="n"/>
      <c r="F666" s="4" t="n"/>
      <c r="G666" s="4" t="n"/>
      <c r="H666" s="4" t="n"/>
    </row>
    <row r="667" ht="15.75" customHeight="1" s="108">
      <c r="A667" s="4" t="n"/>
      <c r="B667" s="4" t="n"/>
      <c r="C667" s="4" t="n"/>
      <c r="D667" s="4" t="n"/>
      <c r="E667" s="4" t="n"/>
      <c r="F667" s="4" t="n"/>
      <c r="G667" s="4" t="n"/>
      <c r="H667" s="4" t="n"/>
    </row>
    <row r="668" ht="15.75" customHeight="1" s="108">
      <c r="A668" s="4" t="n"/>
      <c r="B668" s="4" t="n"/>
      <c r="C668" s="4" t="n"/>
      <c r="D668" s="4" t="n"/>
      <c r="E668" s="4" t="n"/>
      <c r="F668" s="4" t="n"/>
      <c r="G668" s="4" t="n"/>
      <c r="H668" s="4" t="n"/>
    </row>
    <row r="669" ht="15.75" customHeight="1" s="108">
      <c r="A669" s="4" t="n"/>
      <c r="B669" s="4" t="n"/>
      <c r="C669" s="4" t="n"/>
      <c r="D669" s="4" t="n"/>
      <c r="E669" s="4" t="n"/>
      <c r="F669" s="4" t="n"/>
      <c r="G669" s="4" t="n"/>
      <c r="H669" s="4" t="n"/>
    </row>
    <row r="670" ht="15.75" customHeight="1" s="108">
      <c r="A670" s="4" t="n"/>
      <c r="B670" s="4" t="n"/>
      <c r="C670" s="4" t="n"/>
      <c r="D670" s="4" t="n"/>
      <c r="E670" s="4" t="n"/>
      <c r="F670" s="4" t="n"/>
      <c r="G670" s="4" t="n"/>
      <c r="H670" s="4" t="n"/>
    </row>
    <row r="671" ht="15.75" customHeight="1" s="108">
      <c r="A671" s="4" t="n"/>
      <c r="B671" s="4" t="n"/>
      <c r="C671" s="4" t="n"/>
      <c r="D671" s="4" t="n"/>
      <c r="E671" s="4" t="n"/>
      <c r="F671" s="4" t="n"/>
      <c r="G671" s="4" t="n"/>
      <c r="H671" s="4" t="n"/>
    </row>
    <row r="672" ht="15.75" customHeight="1" s="108">
      <c r="A672" s="4" t="n"/>
      <c r="B672" s="4" t="n"/>
      <c r="C672" s="4" t="n"/>
      <c r="D672" s="4" t="n"/>
      <c r="E672" s="4" t="n"/>
      <c r="F672" s="4" t="n"/>
      <c r="G672" s="4" t="n"/>
      <c r="H672" s="4" t="n"/>
    </row>
    <row r="673" ht="15.75" customHeight="1" s="108">
      <c r="A673" s="4" t="n"/>
      <c r="B673" s="4" t="n"/>
      <c r="C673" s="4" t="n"/>
      <c r="D673" s="4" t="n"/>
      <c r="E673" s="4" t="n"/>
      <c r="F673" s="4" t="n"/>
      <c r="G673" s="4" t="n"/>
      <c r="H673" s="4" t="n"/>
    </row>
    <row r="674" ht="15.75" customHeight="1" s="108">
      <c r="A674" s="4" t="n"/>
      <c r="B674" s="4" t="n"/>
      <c r="C674" s="4" t="n"/>
      <c r="D674" s="4" t="n"/>
      <c r="E674" s="4" t="n"/>
      <c r="F674" s="4" t="n"/>
      <c r="G674" s="4" t="n"/>
      <c r="H674" s="4" t="n"/>
    </row>
    <row r="675" ht="15.75" customHeight="1" s="108">
      <c r="A675" s="4" t="n"/>
      <c r="B675" s="4" t="n"/>
      <c r="C675" s="4" t="n"/>
      <c r="D675" s="4" t="n"/>
      <c r="E675" s="4" t="n"/>
      <c r="F675" s="4" t="n"/>
      <c r="G675" s="4" t="n"/>
      <c r="H675" s="4" t="n"/>
    </row>
    <row r="676" ht="15.75" customHeight="1" s="108">
      <c r="A676" s="4" t="n"/>
      <c r="B676" s="4" t="n"/>
      <c r="C676" s="4" t="n"/>
      <c r="D676" s="4" t="n"/>
      <c r="E676" s="4" t="n"/>
      <c r="F676" s="4" t="n"/>
      <c r="G676" s="4" t="n"/>
      <c r="H676" s="4" t="n"/>
    </row>
    <row r="677" ht="15.75" customHeight="1" s="108">
      <c r="A677" s="4" t="n"/>
      <c r="B677" s="4" t="n"/>
      <c r="C677" s="4" t="n"/>
      <c r="D677" s="4" t="n"/>
      <c r="E677" s="4" t="n"/>
      <c r="F677" s="4" t="n"/>
      <c r="G677" s="4" t="n"/>
      <c r="H677" s="4" t="n"/>
    </row>
    <row r="678" ht="15.75" customHeight="1" s="108">
      <c r="A678" s="4" t="n"/>
      <c r="B678" s="4" t="n"/>
      <c r="C678" s="4" t="n"/>
      <c r="D678" s="4" t="n"/>
      <c r="E678" s="4" t="n"/>
      <c r="F678" s="4" t="n"/>
      <c r="G678" s="4" t="n"/>
      <c r="H678" s="4" t="n"/>
    </row>
    <row r="679" ht="15.75" customHeight="1" s="108">
      <c r="A679" s="4" t="n"/>
      <c r="B679" s="4" t="n"/>
      <c r="C679" s="4" t="n"/>
      <c r="D679" s="4" t="n"/>
      <c r="E679" s="4" t="n"/>
      <c r="F679" s="4" t="n"/>
      <c r="G679" s="4" t="n"/>
      <c r="H679" s="4" t="n"/>
    </row>
    <row r="680" ht="15.75" customHeight="1" s="108">
      <c r="A680" s="4" t="n"/>
      <c r="B680" s="4" t="n"/>
      <c r="C680" s="4" t="n"/>
      <c r="D680" s="4" t="n"/>
      <c r="E680" s="4" t="n"/>
      <c r="F680" s="4" t="n"/>
      <c r="G680" s="4" t="n"/>
      <c r="H680" s="4" t="n"/>
    </row>
    <row r="681" ht="15.75" customHeight="1" s="108">
      <c r="A681" s="4" t="n"/>
      <c r="B681" s="4" t="n"/>
      <c r="C681" s="4" t="n"/>
      <c r="D681" s="4" t="n"/>
      <c r="E681" s="4" t="n"/>
      <c r="F681" s="4" t="n"/>
      <c r="G681" s="4" t="n"/>
      <c r="H681" s="4" t="n"/>
    </row>
    <row r="682" ht="15.75" customHeight="1" s="108">
      <c r="A682" s="4" t="n"/>
      <c r="B682" s="4" t="n"/>
      <c r="C682" s="4" t="n"/>
      <c r="D682" s="4" t="n"/>
      <c r="E682" s="4" t="n"/>
      <c r="F682" s="4" t="n"/>
      <c r="G682" s="4" t="n"/>
      <c r="H682" s="4" t="n"/>
    </row>
    <row r="683" ht="15.75" customHeight="1" s="108">
      <c r="A683" s="4" t="n"/>
      <c r="B683" s="4" t="n"/>
      <c r="C683" s="4" t="n"/>
      <c r="D683" s="4" t="n"/>
      <c r="E683" s="4" t="n"/>
      <c r="F683" s="4" t="n"/>
      <c r="G683" s="4" t="n"/>
      <c r="H683" s="4" t="n"/>
    </row>
    <row r="684" ht="15.75" customHeight="1" s="108">
      <c r="A684" s="4" t="n"/>
      <c r="B684" s="4" t="n"/>
      <c r="C684" s="4" t="n"/>
      <c r="D684" s="4" t="n"/>
      <c r="E684" s="4" t="n"/>
      <c r="F684" s="4" t="n"/>
      <c r="G684" s="4" t="n"/>
      <c r="H684" s="4" t="n"/>
    </row>
    <row r="685" ht="15.75" customHeight="1" s="108">
      <c r="A685" s="4" t="n"/>
      <c r="B685" s="4" t="n"/>
      <c r="C685" s="4" t="n"/>
      <c r="D685" s="4" t="n"/>
      <c r="E685" s="4" t="n"/>
      <c r="F685" s="4" t="n"/>
      <c r="G685" s="4" t="n"/>
      <c r="H685" s="4" t="n"/>
    </row>
    <row r="686" ht="15.75" customHeight="1" s="108">
      <c r="A686" s="4" t="n"/>
      <c r="B686" s="4" t="n"/>
      <c r="C686" s="4" t="n"/>
      <c r="D686" s="4" t="n"/>
      <c r="E686" s="4" t="n"/>
      <c r="F686" s="4" t="n"/>
      <c r="G686" s="4" t="n"/>
      <c r="H686" s="4" t="n"/>
    </row>
    <row r="687" ht="15.75" customHeight="1" s="108">
      <c r="A687" s="4" t="n"/>
      <c r="B687" s="4" t="n"/>
      <c r="C687" s="4" t="n"/>
      <c r="D687" s="4" t="n"/>
      <c r="E687" s="4" t="n"/>
      <c r="F687" s="4" t="n"/>
      <c r="G687" s="4" t="n"/>
      <c r="H687" s="4" t="n"/>
    </row>
    <row r="688" ht="15.75" customHeight="1" s="108">
      <c r="A688" s="4" t="n"/>
      <c r="B688" s="4" t="n"/>
      <c r="C688" s="4" t="n"/>
      <c r="D688" s="4" t="n"/>
      <c r="E688" s="4" t="n"/>
      <c r="F688" s="4" t="n"/>
      <c r="G688" s="4" t="n"/>
      <c r="H688" s="4" t="n"/>
    </row>
    <row r="689" ht="15.75" customHeight="1" s="108">
      <c r="A689" s="4" t="n"/>
      <c r="B689" s="4" t="n"/>
      <c r="C689" s="4" t="n"/>
      <c r="D689" s="4" t="n"/>
      <c r="E689" s="4" t="n"/>
      <c r="F689" s="4" t="n"/>
      <c r="G689" s="4" t="n"/>
      <c r="H689" s="4" t="n"/>
    </row>
    <row r="690" ht="15.75" customHeight="1" s="108">
      <c r="A690" s="4" t="n"/>
      <c r="B690" s="4" t="n"/>
      <c r="C690" s="4" t="n"/>
      <c r="D690" s="4" t="n"/>
      <c r="E690" s="4" t="n"/>
      <c r="F690" s="4" t="n"/>
      <c r="G690" s="4" t="n"/>
      <c r="H690" s="4" t="n"/>
    </row>
    <row r="691" ht="15.75" customHeight="1" s="108">
      <c r="A691" s="4" t="n"/>
      <c r="B691" s="4" t="n"/>
      <c r="C691" s="4" t="n"/>
      <c r="D691" s="4" t="n"/>
      <c r="E691" s="4" t="n"/>
      <c r="F691" s="4" t="n"/>
      <c r="G691" s="4" t="n"/>
      <c r="H691" s="4" t="n"/>
    </row>
    <row r="692" ht="15.75" customHeight="1" s="108">
      <c r="A692" s="4" t="n"/>
      <c r="B692" s="4" t="n"/>
      <c r="C692" s="4" t="n"/>
      <c r="D692" s="4" t="n"/>
      <c r="E692" s="4" t="n"/>
      <c r="F692" s="4" t="n"/>
      <c r="G692" s="4" t="n"/>
      <c r="H692" s="4" t="n"/>
    </row>
    <row r="693" ht="15.75" customHeight="1" s="108">
      <c r="A693" s="4" t="n"/>
      <c r="B693" s="4" t="n"/>
      <c r="C693" s="4" t="n"/>
      <c r="D693" s="4" t="n"/>
      <c r="E693" s="4" t="n"/>
      <c r="F693" s="4" t="n"/>
      <c r="G693" s="4" t="n"/>
      <c r="H693" s="4" t="n"/>
    </row>
    <row r="694" ht="15.75" customHeight="1" s="108">
      <c r="A694" s="4" t="n"/>
      <c r="B694" s="4" t="n"/>
      <c r="C694" s="4" t="n"/>
      <c r="D694" s="4" t="n"/>
      <c r="E694" s="4" t="n"/>
      <c r="F694" s="4" t="n"/>
      <c r="G694" s="4" t="n"/>
      <c r="H694" s="4" t="n"/>
    </row>
    <row r="695" ht="15.75" customHeight="1" s="108">
      <c r="A695" s="4" t="n"/>
      <c r="B695" s="4" t="n"/>
      <c r="C695" s="4" t="n"/>
      <c r="D695" s="4" t="n"/>
      <c r="E695" s="4" t="n"/>
      <c r="F695" s="4" t="n"/>
      <c r="G695" s="4" t="n"/>
      <c r="H695" s="4" t="n"/>
    </row>
    <row r="696" ht="15.75" customHeight="1" s="108">
      <c r="A696" s="4" t="n"/>
      <c r="B696" s="4" t="n"/>
      <c r="C696" s="4" t="n"/>
      <c r="D696" s="4" t="n"/>
      <c r="E696" s="4" t="n"/>
      <c r="F696" s="4" t="n"/>
      <c r="G696" s="4" t="n"/>
      <c r="H696" s="4" t="n"/>
    </row>
    <row r="697" ht="15.75" customHeight="1" s="108">
      <c r="A697" s="4" t="n"/>
      <c r="B697" s="4" t="n"/>
      <c r="C697" s="4" t="n"/>
      <c r="D697" s="4" t="n"/>
      <c r="E697" s="4" t="n"/>
      <c r="F697" s="4" t="n"/>
      <c r="G697" s="4" t="n"/>
      <c r="H697" s="4" t="n"/>
    </row>
    <row r="698" ht="15.75" customHeight="1" s="108">
      <c r="A698" s="4" t="n"/>
      <c r="B698" s="4" t="n"/>
      <c r="C698" s="4" t="n"/>
      <c r="D698" s="4" t="n"/>
      <c r="E698" s="4" t="n"/>
      <c r="F698" s="4" t="n"/>
      <c r="G698" s="4" t="n"/>
      <c r="H698" s="4" t="n"/>
    </row>
    <row r="699" ht="15.75" customHeight="1" s="108">
      <c r="A699" s="4" t="n"/>
      <c r="B699" s="4" t="n"/>
      <c r="C699" s="4" t="n"/>
      <c r="D699" s="4" t="n"/>
      <c r="E699" s="4" t="n"/>
      <c r="F699" s="4" t="n"/>
      <c r="G699" s="4" t="n"/>
      <c r="H699" s="4" t="n"/>
    </row>
    <row r="700" ht="15.75" customHeight="1" s="108">
      <c r="A700" s="4" t="n"/>
      <c r="B700" s="4" t="n"/>
      <c r="C700" s="4" t="n"/>
      <c r="D700" s="4" t="n"/>
      <c r="E700" s="4" t="n"/>
      <c r="F700" s="4" t="n"/>
      <c r="G700" s="4" t="n"/>
      <c r="H700" s="4" t="n"/>
    </row>
    <row r="701" ht="15.75" customHeight="1" s="108">
      <c r="A701" s="4" t="n"/>
      <c r="B701" s="4" t="n"/>
      <c r="C701" s="4" t="n"/>
      <c r="D701" s="4" t="n"/>
      <c r="E701" s="4" t="n"/>
      <c r="F701" s="4" t="n"/>
      <c r="G701" s="4" t="n"/>
      <c r="H701" s="4" t="n"/>
    </row>
    <row r="702" ht="15.75" customHeight="1" s="108">
      <c r="A702" s="4" t="n"/>
      <c r="B702" s="4" t="n"/>
      <c r="C702" s="4" t="n"/>
      <c r="D702" s="4" t="n"/>
      <c r="E702" s="4" t="n"/>
      <c r="F702" s="4" t="n"/>
      <c r="G702" s="4" t="n"/>
      <c r="H702" s="4" t="n"/>
    </row>
    <row r="703" ht="15.75" customHeight="1" s="108">
      <c r="A703" s="4" t="n"/>
      <c r="B703" s="4" t="n"/>
      <c r="C703" s="4" t="n"/>
      <c r="D703" s="4" t="n"/>
      <c r="E703" s="4" t="n"/>
      <c r="F703" s="4" t="n"/>
      <c r="G703" s="4" t="n"/>
      <c r="H703" s="4" t="n"/>
    </row>
    <row r="704" ht="15.75" customHeight="1" s="108">
      <c r="A704" s="4" t="n"/>
      <c r="B704" s="4" t="n"/>
      <c r="C704" s="4" t="n"/>
      <c r="D704" s="4" t="n"/>
      <c r="E704" s="4" t="n"/>
      <c r="F704" s="4" t="n"/>
      <c r="G704" s="4" t="n"/>
      <c r="H704" s="4" t="n"/>
    </row>
    <row r="705" ht="15.75" customHeight="1" s="108">
      <c r="A705" s="4" t="n"/>
      <c r="B705" s="4" t="n"/>
      <c r="C705" s="4" t="n"/>
      <c r="D705" s="4" t="n"/>
      <c r="E705" s="4" t="n"/>
      <c r="F705" s="4" t="n"/>
      <c r="G705" s="4" t="n"/>
      <c r="H705" s="4" t="n"/>
    </row>
    <row r="706" ht="15.75" customHeight="1" s="108">
      <c r="A706" s="4" t="n"/>
      <c r="B706" s="4" t="n"/>
      <c r="C706" s="4" t="n"/>
      <c r="D706" s="4" t="n"/>
      <c r="E706" s="4" t="n"/>
      <c r="F706" s="4" t="n"/>
      <c r="G706" s="4" t="n"/>
      <c r="H706" s="4" t="n"/>
    </row>
    <row r="707" ht="15.75" customHeight="1" s="108">
      <c r="A707" s="4" t="n"/>
      <c r="B707" s="4" t="n"/>
      <c r="C707" s="4" t="n"/>
      <c r="D707" s="4" t="n"/>
      <c r="E707" s="4" t="n"/>
      <c r="F707" s="4" t="n"/>
      <c r="G707" s="4" t="n"/>
      <c r="H707" s="4" t="n"/>
    </row>
    <row r="708" ht="15.75" customHeight="1" s="108">
      <c r="A708" s="4" t="n"/>
      <c r="B708" s="4" t="n"/>
      <c r="C708" s="4" t="n"/>
      <c r="D708" s="4" t="n"/>
      <c r="E708" s="4" t="n"/>
      <c r="F708" s="4" t="n"/>
      <c r="G708" s="4" t="n"/>
      <c r="H708" s="4" t="n"/>
    </row>
    <row r="709" ht="15.75" customHeight="1" s="108">
      <c r="A709" s="4" t="n"/>
      <c r="B709" s="4" t="n"/>
      <c r="C709" s="4" t="n"/>
      <c r="D709" s="4" t="n"/>
      <c r="E709" s="4" t="n"/>
      <c r="F709" s="4" t="n"/>
      <c r="G709" s="4" t="n"/>
      <c r="H709" s="4" t="n"/>
    </row>
    <row r="710" ht="15.75" customHeight="1" s="108">
      <c r="A710" s="4" t="n"/>
      <c r="B710" s="4" t="n"/>
      <c r="C710" s="4" t="n"/>
      <c r="D710" s="4" t="n"/>
      <c r="E710" s="4" t="n"/>
      <c r="F710" s="4" t="n"/>
      <c r="G710" s="4" t="n"/>
      <c r="H710" s="4" t="n"/>
    </row>
    <row r="711" ht="15.75" customHeight="1" s="108">
      <c r="A711" s="4" t="n"/>
      <c r="B711" s="4" t="n"/>
      <c r="C711" s="4" t="n"/>
      <c r="D711" s="4" t="n"/>
      <c r="E711" s="4" t="n"/>
      <c r="F711" s="4" t="n"/>
      <c r="G711" s="4" t="n"/>
      <c r="H711" s="4" t="n"/>
    </row>
    <row r="712" ht="15.75" customHeight="1" s="108">
      <c r="A712" s="4" t="n"/>
      <c r="B712" s="4" t="n"/>
      <c r="C712" s="4" t="n"/>
      <c r="D712" s="4" t="n"/>
      <c r="E712" s="4" t="n"/>
      <c r="F712" s="4" t="n"/>
      <c r="G712" s="4" t="n"/>
      <c r="H712" s="4" t="n"/>
    </row>
    <row r="713" ht="15.75" customHeight="1" s="108">
      <c r="A713" s="4" t="n"/>
      <c r="B713" s="4" t="n"/>
      <c r="C713" s="4" t="n"/>
      <c r="D713" s="4" t="n"/>
      <c r="E713" s="4" t="n"/>
      <c r="F713" s="4" t="n"/>
      <c r="G713" s="4" t="n"/>
      <c r="H713" s="4" t="n"/>
    </row>
    <row r="714" ht="15.75" customHeight="1" s="108">
      <c r="A714" s="4" t="n"/>
      <c r="B714" s="4" t="n"/>
      <c r="C714" s="4" t="n"/>
      <c r="D714" s="4" t="n"/>
      <c r="E714" s="4" t="n"/>
      <c r="F714" s="4" t="n"/>
      <c r="G714" s="4" t="n"/>
      <c r="H714" s="4" t="n"/>
    </row>
    <row r="715" ht="15.75" customHeight="1" s="108">
      <c r="A715" s="4" t="n"/>
      <c r="B715" s="4" t="n"/>
      <c r="C715" s="4" t="n"/>
      <c r="D715" s="4" t="n"/>
      <c r="E715" s="4" t="n"/>
      <c r="F715" s="4" t="n"/>
      <c r="G715" s="4" t="n"/>
      <c r="H715" s="4" t="n"/>
    </row>
    <row r="716" ht="15.75" customHeight="1" s="108">
      <c r="A716" s="4" t="n"/>
      <c r="B716" s="4" t="n"/>
      <c r="C716" s="4" t="n"/>
      <c r="D716" s="4" t="n"/>
      <c r="E716" s="4" t="n"/>
      <c r="F716" s="4" t="n"/>
      <c r="G716" s="4" t="n"/>
      <c r="H716" s="4" t="n"/>
    </row>
    <row r="717" ht="15.75" customHeight="1" s="108">
      <c r="A717" s="4" t="n"/>
      <c r="B717" s="4" t="n"/>
      <c r="C717" s="4" t="n"/>
      <c r="D717" s="4" t="n"/>
      <c r="E717" s="4" t="n"/>
      <c r="F717" s="4" t="n"/>
      <c r="G717" s="4" t="n"/>
      <c r="H717" s="4" t="n"/>
    </row>
    <row r="718" ht="15.75" customHeight="1" s="108">
      <c r="A718" s="4" t="n"/>
      <c r="B718" s="4" t="n"/>
      <c r="C718" s="4" t="n"/>
      <c r="D718" s="4" t="n"/>
      <c r="E718" s="4" t="n"/>
      <c r="F718" s="4" t="n"/>
      <c r="G718" s="4" t="n"/>
      <c r="H718" s="4" t="n"/>
    </row>
    <row r="719" ht="15.75" customHeight="1" s="108">
      <c r="A719" s="4" t="n"/>
      <c r="B719" s="4" t="n"/>
      <c r="C719" s="4" t="n"/>
      <c r="D719" s="4" t="n"/>
      <c r="E719" s="4" t="n"/>
      <c r="F719" s="4" t="n"/>
      <c r="G719" s="4" t="n"/>
      <c r="H719" s="4" t="n"/>
    </row>
    <row r="720" ht="15.75" customHeight="1" s="108">
      <c r="A720" s="4" t="n"/>
      <c r="B720" s="4" t="n"/>
      <c r="C720" s="4" t="n"/>
      <c r="D720" s="4" t="n"/>
      <c r="E720" s="4" t="n"/>
      <c r="F720" s="4" t="n"/>
      <c r="G720" s="4" t="n"/>
      <c r="H720" s="4" t="n"/>
    </row>
    <row r="721" ht="15.75" customHeight="1" s="108">
      <c r="A721" s="4" t="n"/>
      <c r="B721" s="4" t="n"/>
      <c r="C721" s="4" t="n"/>
      <c r="D721" s="4" t="n"/>
      <c r="E721" s="4" t="n"/>
      <c r="F721" s="4" t="n"/>
      <c r="G721" s="4" t="n"/>
      <c r="H721" s="4" t="n"/>
    </row>
    <row r="722" ht="15.75" customHeight="1" s="108">
      <c r="A722" s="4" t="n"/>
      <c r="B722" s="4" t="n"/>
      <c r="C722" s="4" t="n"/>
      <c r="D722" s="4" t="n"/>
      <c r="E722" s="4" t="n"/>
      <c r="F722" s="4" t="n"/>
      <c r="G722" s="4" t="n"/>
      <c r="H722" s="4" t="n"/>
    </row>
    <row r="723" ht="15.75" customHeight="1" s="108">
      <c r="A723" s="4" t="n"/>
      <c r="B723" s="4" t="n"/>
      <c r="C723" s="4" t="n"/>
      <c r="D723" s="4" t="n"/>
      <c r="E723" s="4" t="n"/>
      <c r="F723" s="4" t="n"/>
      <c r="G723" s="4" t="n"/>
      <c r="H723" s="4" t="n"/>
    </row>
    <row r="724" ht="15.75" customHeight="1" s="108">
      <c r="A724" s="4" t="n"/>
      <c r="B724" s="4" t="n"/>
      <c r="C724" s="4" t="n"/>
      <c r="D724" s="4" t="n"/>
      <c r="E724" s="4" t="n"/>
      <c r="F724" s="4" t="n"/>
      <c r="G724" s="4" t="n"/>
      <c r="H724" s="4" t="n"/>
    </row>
    <row r="725" ht="15.75" customHeight="1" s="108">
      <c r="A725" s="4" t="n"/>
      <c r="B725" s="4" t="n"/>
      <c r="C725" s="4" t="n"/>
      <c r="D725" s="4" t="n"/>
      <c r="E725" s="4" t="n"/>
      <c r="F725" s="4" t="n"/>
      <c r="G725" s="4" t="n"/>
      <c r="H725" s="4" t="n"/>
    </row>
    <row r="726" ht="15.75" customHeight="1" s="108">
      <c r="A726" s="4" t="n"/>
      <c r="B726" s="4" t="n"/>
      <c r="C726" s="4" t="n"/>
      <c r="D726" s="4" t="n"/>
      <c r="E726" s="4" t="n"/>
      <c r="F726" s="4" t="n"/>
      <c r="G726" s="4" t="n"/>
      <c r="H726" s="4" t="n"/>
    </row>
    <row r="727" ht="15.75" customHeight="1" s="108">
      <c r="A727" s="4" t="n"/>
      <c r="B727" s="4" t="n"/>
      <c r="C727" s="4" t="n"/>
      <c r="D727" s="4" t="n"/>
      <c r="E727" s="4" t="n"/>
      <c r="F727" s="4" t="n"/>
      <c r="G727" s="4" t="n"/>
      <c r="H727" s="4" t="n"/>
    </row>
    <row r="728" ht="15.75" customHeight="1" s="108">
      <c r="A728" s="4" t="n"/>
      <c r="B728" s="4" t="n"/>
      <c r="C728" s="4" t="n"/>
      <c r="D728" s="4" t="n"/>
      <c r="E728" s="4" t="n"/>
      <c r="F728" s="4" t="n"/>
      <c r="G728" s="4" t="n"/>
      <c r="H728" s="4" t="n"/>
    </row>
    <row r="729" ht="15.75" customHeight="1" s="108">
      <c r="A729" s="4" t="n"/>
      <c r="B729" s="4" t="n"/>
      <c r="C729" s="4" t="n"/>
      <c r="D729" s="4" t="n"/>
      <c r="E729" s="4" t="n"/>
      <c r="F729" s="4" t="n"/>
      <c r="G729" s="4" t="n"/>
      <c r="H729" s="4" t="n"/>
    </row>
    <row r="730" ht="15.75" customHeight="1" s="108">
      <c r="A730" s="4" t="n"/>
      <c r="B730" s="4" t="n"/>
      <c r="C730" s="4" t="n"/>
      <c r="D730" s="4" t="n"/>
      <c r="E730" s="4" t="n"/>
      <c r="F730" s="4" t="n"/>
      <c r="G730" s="4" t="n"/>
      <c r="H730" s="4" t="n"/>
    </row>
    <row r="731" ht="15.75" customHeight="1" s="108">
      <c r="A731" s="4" t="n"/>
      <c r="B731" s="4" t="n"/>
      <c r="C731" s="4" t="n"/>
      <c r="D731" s="4" t="n"/>
      <c r="E731" s="4" t="n"/>
      <c r="F731" s="4" t="n"/>
      <c r="G731" s="4" t="n"/>
      <c r="H731" s="4" t="n"/>
    </row>
    <row r="732" ht="15.75" customHeight="1" s="108">
      <c r="A732" s="4" t="n"/>
      <c r="B732" s="4" t="n"/>
      <c r="C732" s="4" t="n"/>
      <c r="D732" s="4" t="n"/>
      <c r="E732" s="4" t="n"/>
      <c r="F732" s="4" t="n"/>
      <c r="G732" s="4" t="n"/>
      <c r="H732" s="4" t="n"/>
    </row>
    <row r="733" ht="15.75" customHeight="1" s="108">
      <c r="A733" s="4" t="n"/>
      <c r="B733" s="4" t="n"/>
      <c r="C733" s="4" t="n"/>
      <c r="D733" s="4" t="n"/>
      <c r="E733" s="4" t="n"/>
      <c r="F733" s="4" t="n"/>
      <c r="G733" s="4" t="n"/>
      <c r="H733" s="4" t="n"/>
    </row>
    <row r="734" ht="15.75" customHeight="1" s="108">
      <c r="A734" s="4" t="n"/>
      <c r="B734" s="4" t="n"/>
      <c r="C734" s="4" t="n"/>
      <c r="D734" s="4" t="n"/>
      <c r="E734" s="4" t="n"/>
      <c r="F734" s="4" t="n"/>
      <c r="G734" s="4" t="n"/>
      <c r="H734" s="4" t="n"/>
    </row>
    <row r="735" ht="15.75" customHeight="1" s="108">
      <c r="A735" s="4" t="n"/>
      <c r="B735" s="4" t="n"/>
      <c r="C735" s="4" t="n"/>
      <c r="D735" s="4" t="n"/>
      <c r="E735" s="4" t="n"/>
      <c r="F735" s="4" t="n"/>
      <c r="G735" s="4" t="n"/>
      <c r="H735" s="4" t="n"/>
    </row>
    <row r="736" ht="15.75" customHeight="1" s="108">
      <c r="A736" s="4" t="n"/>
      <c r="B736" s="4" t="n"/>
      <c r="C736" s="4" t="n"/>
      <c r="D736" s="4" t="n"/>
      <c r="E736" s="4" t="n"/>
      <c r="F736" s="4" t="n"/>
      <c r="G736" s="4" t="n"/>
      <c r="H736" s="4" t="n"/>
    </row>
    <row r="737" ht="15.75" customHeight="1" s="108">
      <c r="A737" s="4" t="n"/>
      <c r="B737" s="4" t="n"/>
      <c r="C737" s="4" t="n"/>
      <c r="D737" s="4" t="n"/>
      <c r="E737" s="4" t="n"/>
      <c r="F737" s="4" t="n"/>
      <c r="G737" s="4" t="n"/>
      <c r="H737" s="4" t="n"/>
    </row>
    <row r="738" ht="15.75" customHeight="1" s="108">
      <c r="A738" s="4" t="n"/>
      <c r="B738" s="4" t="n"/>
      <c r="C738" s="4" t="n"/>
      <c r="D738" s="4" t="n"/>
      <c r="E738" s="4" t="n"/>
      <c r="F738" s="4" t="n"/>
      <c r="G738" s="4" t="n"/>
      <c r="H738" s="4" t="n"/>
    </row>
    <row r="739" ht="15.75" customHeight="1" s="108">
      <c r="A739" s="4" t="n"/>
      <c r="B739" s="4" t="n"/>
      <c r="C739" s="4" t="n"/>
      <c r="D739" s="4" t="n"/>
      <c r="E739" s="4" t="n"/>
      <c r="F739" s="4" t="n"/>
      <c r="G739" s="4" t="n"/>
      <c r="H739" s="4" t="n"/>
    </row>
    <row r="740" ht="15.75" customHeight="1" s="108">
      <c r="A740" s="4" t="n"/>
      <c r="B740" s="4" t="n"/>
      <c r="C740" s="4" t="n"/>
      <c r="D740" s="4" t="n"/>
      <c r="E740" s="4" t="n"/>
      <c r="F740" s="4" t="n"/>
      <c r="G740" s="4" t="n"/>
      <c r="H740" s="4" t="n"/>
    </row>
    <row r="741" ht="15.75" customHeight="1" s="108">
      <c r="A741" s="4" t="n"/>
      <c r="B741" s="4" t="n"/>
      <c r="C741" s="4" t="n"/>
      <c r="D741" s="4" t="n"/>
      <c r="E741" s="4" t="n"/>
      <c r="F741" s="4" t="n"/>
      <c r="G741" s="4" t="n"/>
      <c r="H741" s="4" t="n"/>
    </row>
    <row r="742" ht="15.75" customHeight="1" s="108">
      <c r="A742" s="4" t="n"/>
      <c r="B742" s="4" t="n"/>
      <c r="C742" s="4" t="n"/>
      <c r="D742" s="4" t="n"/>
      <c r="E742" s="4" t="n"/>
      <c r="F742" s="4" t="n"/>
      <c r="G742" s="4" t="n"/>
      <c r="H742" s="4" t="n"/>
    </row>
    <row r="743" ht="15.75" customHeight="1" s="108">
      <c r="A743" s="4" t="n"/>
      <c r="B743" s="4" t="n"/>
      <c r="C743" s="4" t="n"/>
      <c r="D743" s="4" t="n"/>
      <c r="E743" s="4" t="n"/>
      <c r="F743" s="4" t="n"/>
      <c r="G743" s="4" t="n"/>
      <c r="H743" s="4" t="n"/>
    </row>
    <row r="744" ht="15.75" customHeight="1" s="108">
      <c r="A744" s="4" t="n"/>
      <c r="B744" s="4" t="n"/>
      <c r="C744" s="4" t="n"/>
      <c r="D744" s="4" t="n"/>
      <c r="E744" s="4" t="n"/>
      <c r="F744" s="4" t="n"/>
      <c r="G744" s="4" t="n"/>
      <c r="H744" s="4" t="n"/>
    </row>
    <row r="745" ht="15.75" customHeight="1" s="108">
      <c r="A745" s="4" t="n"/>
      <c r="B745" s="4" t="n"/>
      <c r="C745" s="4" t="n"/>
      <c r="D745" s="4" t="n"/>
      <c r="E745" s="4" t="n"/>
      <c r="F745" s="4" t="n"/>
      <c r="G745" s="4" t="n"/>
      <c r="H745" s="4" t="n"/>
    </row>
    <row r="746" ht="15.75" customHeight="1" s="108">
      <c r="A746" s="4" t="n"/>
      <c r="B746" s="4" t="n"/>
      <c r="C746" s="4" t="n"/>
      <c r="D746" s="4" t="n"/>
      <c r="E746" s="4" t="n"/>
      <c r="F746" s="4" t="n"/>
      <c r="G746" s="4" t="n"/>
      <c r="H746" s="4" t="n"/>
    </row>
    <row r="747" ht="15.75" customHeight="1" s="108">
      <c r="A747" s="4" t="n"/>
      <c r="B747" s="4" t="n"/>
      <c r="C747" s="4" t="n"/>
      <c r="D747" s="4" t="n"/>
      <c r="E747" s="4" t="n"/>
      <c r="F747" s="4" t="n"/>
      <c r="G747" s="4" t="n"/>
      <c r="H747" s="4" t="n"/>
    </row>
    <row r="748" ht="15.75" customHeight="1" s="108">
      <c r="A748" s="4" t="n"/>
      <c r="B748" s="4" t="n"/>
      <c r="C748" s="4" t="n"/>
      <c r="D748" s="4" t="n"/>
      <c r="E748" s="4" t="n"/>
      <c r="F748" s="4" t="n"/>
      <c r="G748" s="4" t="n"/>
      <c r="H748" s="4" t="n"/>
    </row>
    <row r="749" ht="15.75" customHeight="1" s="108">
      <c r="A749" s="4" t="n"/>
      <c r="B749" s="4" t="n"/>
      <c r="C749" s="4" t="n"/>
      <c r="D749" s="4" t="n"/>
      <c r="E749" s="4" t="n"/>
      <c r="F749" s="4" t="n"/>
      <c r="G749" s="4" t="n"/>
      <c r="H749" s="4" t="n"/>
    </row>
    <row r="750" ht="15.75" customHeight="1" s="108">
      <c r="A750" s="4" t="n"/>
      <c r="B750" s="4" t="n"/>
      <c r="C750" s="4" t="n"/>
      <c r="D750" s="4" t="n"/>
      <c r="E750" s="4" t="n"/>
      <c r="F750" s="4" t="n"/>
      <c r="G750" s="4" t="n"/>
      <c r="H750" s="4" t="n"/>
    </row>
    <row r="751" ht="15.75" customHeight="1" s="108">
      <c r="A751" s="4" t="n"/>
      <c r="B751" s="4" t="n"/>
      <c r="C751" s="4" t="n"/>
      <c r="D751" s="4" t="n"/>
      <c r="E751" s="4" t="n"/>
      <c r="F751" s="4" t="n"/>
      <c r="G751" s="4" t="n"/>
      <c r="H751" s="4" t="n"/>
    </row>
    <row r="752" ht="15.75" customHeight="1" s="108">
      <c r="A752" s="4" t="n"/>
      <c r="B752" s="4" t="n"/>
      <c r="C752" s="4" t="n"/>
      <c r="D752" s="4" t="n"/>
      <c r="E752" s="4" t="n"/>
      <c r="F752" s="4" t="n"/>
      <c r="G752" s="4" t="n"/>
      <c r="H752" s="4" t="n"/>
    </row>
    <row r="753" ht="15.75" customHeight="1" s="108">
      <c r="A753" s="4" t="n"/>
      <c r="B753" s="4" t="n"/>
      <c r="C753" s="4" t="n"/>
      <c r="D753" s="4" t="n"/>
      <c r="E753" s="4" t="n"/>
      <c r="F753" s="4" t="n"/>
      <c r="G753" s="4" t="n"/>
      <c r="H753" s="4" t="n"/>
    </row>
    <row r="754" ht="15.75" customHeight="1" s="108">
      <c r="A754" s="4" t="n"/>
      <c r="B754" s="4" t="n"/>
      <c r="C754" s="4" t="n"/>
      <c r="D754" s="4" t="n"/>
      <c r="E754" s="4" t="n"/>
      <c r="F754" s="4" t="n"/>
      <c r="G754" s="4" t="n"/>
      <c r="H754" s="4" t="n"/>
    </row>
    <row r="755" ht="15.75" customHeight="1" s="108">
      <c r="A755" s="4" t="n"/>
      <c r="B755" s="4" t="n"/>
      <c r="C755" s="4" t="n"/>
      <c r="D755" s="4" t="n"/>
      <c r="E755" s="4" t="n"/>
      <c r="F755" s="4" t="n"/>
      <c r="G755" s="4" t="n"/>
      <c r="H755" s="4" t="n"/>
    </row>
    <row r="756" ht="15.75" customHeight="1" s="108">
      <c r="A756" s="4" t="n"/>
      <c r="B756" s="4" t="n"/>
      <c r="C756" s="4" t="n"/>
      <c r="D756" s="4" t="n"/>
      <c r="E756" s="4" t="n"/>
      <c r="F756" s="4" t="n"/>
      <c r="G756" s="4" t="n"/>
      <c r="H756" s="4" t="n"/>
    </row>
    <row r="757" ht="15.75" customHeight="1" s="108">
      <c r="A757" s="4" t="n"/>
      <c r="B757" s="4" t="n"/>
      <c r="C757" s="4" t="n"/>
      <c r="D757" s="4" t="n"/>
      <c r="E757" s="4" t="n"/>
      <c r="F757" s="4" t="n"/>
      <c r="G757" s="4" t="n"/>
      <c r="H757" s="4" t="n"/>
    </row>
    <row r="758" ht="15.75" customHeight="1" s="108">
      <c r="A758" s="4" t="n"/>
      <c r="B758" s="4" t="n"/>
      <c r="C758" s="4" t="n"/>
      <c r="D758" s="4" t="n"/>
      <c r="E758" s="4" t="n"/>
      <c r="F758" s="4" t="n"/>
      <c r="G758" s="4" t="n"/>
      <c r="H758" s="4" t="n"/>
    </row>
    <row r="759" ht="15.75" customHeight="1" s="108">
      <c r="A759" s="4" t="n"/>
      <c r="B759" s="4" t="n"/>
      <c r="C759" s="4" t="n"/>
      <c r="D759" s="4" t="n"/>
      <c r="E759" s="4" t="n"/>
      <c r="F759" s="4" t="n"/>
      <c r="G759" s="4" t="n"/>
      <c r="H759" s="4" t="n"/>
    </row>
    <row r="760" ht="15.75" customHeight="1" s="108">
      <c r="A760" s="4" t="n"/>
      <c r="B760" s="4" t="n"/>
      <c r="C760" s="4" t="n"/>
      <c r="D760" s="4" t="n"/>
      <c r="E760" s="4" t="n"/>
      <c r="F760" s="4" t="n"/>
      <c r="G760" s="4" t="n"/>
      <c r="H760" s="4" t="n"/>
    </row>
    <row r="761" ht="15.75" customHeight="1" s="108">
      <c r="A761" s="4" t="n"/>
      <c r="B761" s="4" t="n"/>
      <c r="C761" s="4" t="n"/>
      <c r="D761" s="4" t="n"/>
      <c r="E761" s="4" t="n"/>
      <c r="F761" s="4" t="n"/>
      <c r="G761" s="4" t="n"/>
      <c r="H761" s="4" t="n"/>
    </row>
    <row r="762" ht="15.75" customHeight="1" s="108">
      <c r="A762" s="4" t="n"/>
      <c r="B762" s="4" t="n"/>
      <c r="C762" s="4" t="n"/>
      <c r="D762" s="4" t="n"/>
      <c r="E762" s="4" t="n"/>
      <c r="F762" s="4" t="n"/>
      <c r="G762" s="4" t="n"/>
      <c r="H762" s="4" t="n"/>
    </row>
    <row r="763" ht="15.75" customHeight="1" s="108">
      <c r="A763" s="4" t="n"/>
      <c r="B763" s="4" t="n"/>
      <c r="C763" s="4" t="n"/>
      <c r="D763" s="4" t="n"/>
      <c r="E763" s="4" t="n"/>
      <c r="F763" s="4" t="n"/>
      <c r="G763" s="4" t="n"/>
      <c r="H763" s="4" t="n"/>
    </row>
    <row r="764" ht="15.75" customHeight="1" s="108">
      <c r="A764" s="4" t="n"/>
      <c r="B764" s="4" t="n"/>
      <c r="C764" s="4" t="n"/>
      <c r="D764" s="4" t="n"/>
      <c r="E764" s="4" t="n"/>
      <c r="F764" s="4" t="n"/>
      <c r="G764" s="4" t="n"/>
      <c r="H764" s="4" t="n"/>
    </row>
    <row r="765" ht="15.75" customHeight="1" s="108">
      <c r="A765" s="4" t="n"/>
      <c r="B765" s="4" t="n"/>
      <c r="C765" s="4" t="n"/>
      <c r="D765" s="4" t="n"/>
      <c r="E765" s="4" t="n"/>
      <c r="F765" s="4" t="n"/>
      <c r="G765" s="4" t="n"/>
      <c r="H765" s="4" t="n"/>
    </row>
    <row r="766" ht="15.75" customHeight="1" s="108">
      <c r="A766" s="4" t="n"/>
      <c r="B766" s="4" t="n"/>
      <c r="C766" s="4" t="n"/>
      <c r="D766" s="4" t="n"/>
      <c r="E766" s="4" t="n"/>
      <c r="F766" s="4" t="n"/>
      <c r="G766" s="4" t="n"/>
      <c r="H766" s="4" t="n"/>
    </row>
    <row r="767" ht="15.75" customHeight="1" s="108">
      <c r="A767" s="4" t="n"/>
      <c r="B767" s="4" t="n"/>
      <c r="C767" s="4" t="n"/>
      <c r="D767" s="4" t="n"/>
      <c r="E767" s="4" t="n"/>
      <c r="F767" s="4" t="n"/>
      <c r="G767" s="4" t="n"/>
      <c r="H767" s="4" t="n"/>
    </row>
    <row r="768" ht="15.75" customHeight="1" s="108">
      <c r="A768" s="4" t="n"/>
      <c r="B768" s="4" t="n"/>
      <c r="C768" s="4" t="n"/>
      <c r="D768" s="4" t="n"/>
      <c r="E768" s="4" t="n"/>
      <c r="F768" s="4" t="n"/>
      <c r="G768" s="4" t="n"/>
      <c r="H768" s="4" t="n"/>
    </row>
    <row r="769" ht="15.75" customHeight="1" s="108">
      <c r="A769" s="4" t="n"/>
      <c r="B769" s="4" t="n"/>
      <c r="C769" s="4" t="n"/>
      <c r="D769" s="4" t="n"/>
      <c r="E769" s="4" t="n"/>
      <c r="F769" s="4" t="n"/>
      <c r="G769" s="4" t="n"/>
      <c r="H769" s="4" t="n"/>
    </row>
    <row r="770" ht="15.75" customHeight="1" s="108">
      <c r="A770" s="4" t="n"/>
      <c r="B770" s="4" t="n"/>
      <c r="C770" s="4" t="n"/>
      <c r="D770" s="4" t="n"/>
      <c r="E770" s="4" t="n"/>
      <c r="F770" s="4" t="n"/>
      <c r="G770" s="4" t="n"/>
      <c r="H770" s="4" t="n"/>
    </row>
    <row r="771" ht="15.75" customHeight="1" s="108">
      <c r="A771" s="4" t="n"/>
      <c r="B771" s="4" t="n"/>
      <c r="C771" s="4" t="n"/>
      <c r="D771" s="4" t="n"/>
      <c r="E771" s="4" t="n"/>
      <c r="F771" s="4" t="n"/>
      <c r="G771" s="4" t="n"/>
      <c r="H771" s="4" t="n"/>
    </row>
    <row r="772" ht="15.75" customHeight="1" s="108">
      <c r="A772" s="4" t="n"/>
      <c r="B772" s="4" t="n"/>
      <c r="C772" s="4" t="n"/>
      <c r="D772" s="4" t="n"/>
      <c r="E772" s="4" t="n"/>
      <c r="F772" s="4" t="n"/>
      <c r="G772" s="4" t="n"/>
      <c r="H772" s="4" t="n"/>
    </row>
    <row r="773" ht="15.75" customHeight="1" s="108">
      <c r="A773" s="4" t="n"/>
      <c r="B773" s="4" t="n"/>
      <c r="C773" s="4" t="n"/>
      <c r="D773" s="4" t="n"/>
      <c r="E773" s="4" t="n"/>
      <c r="F773" s="4" t="n"/>
      <c r="G773" s="4" t="n"/>
      <c r="H773" s="4" t="n"/>
    </row>
    <row r="774" ht="15.75" customHeight="1" s="108">
      <c r="A774" s="4" t="n"/>
      <c r="B774" s="4" t="n"/>
      <c r="C774" s="4" t="n"/>
      <c r="D774" s="4" t="n"/>
      <c r="E774" s="4" t="n"/>
      <c r="F774" s="4" t="n"/>
      <c r="G774" s="4" t="n"/>
      <c r="H774" s="4" t="n"/>
    </row>
    <row r="775" ht="15.75" customHeight="1" s="108">
      <c r="A775" s="4" t="n"/>
      <c r="B775" s="4" t="n"/>
      <c r="C775" s="4" t="n"/>
      <c r="D775" s="4" t="n"/>
      <c r="E775" s="4" t="n"/>
      <c r="F775" s="4" t="n"/>
      <c r="G775" s="4" t="n"/>
      <c r="H775" s="4" t="n"/>
    </row>
    <row r="776" ht="15.75" customHeight="1" s="108">
      <c r="A776" s="4" t="n"/>
      <c r="B776" s="4" t="n"/>
      <c r="C776" s="4" t="n"/>
      <c r="D776" s="4" t="n"/>
      <c r="E776" s="4" t="n"/>
      <c r="F776" s="4" t="n"/>
      <c r="G776" s="4" t="n"/>
      <c r="H776" s="4" t="n"/>
    </row>
    <row r="777" ht="15.75" customHeight="1" s="108">
      <c r="A777" s="4" t="n"/>
      <c r="B777" s="4" t="n"/>
      <c r="C777" s="4" t="n"/>
      <c r="D777" s="4" t="n"/>
      <c r="E777" s="4" t="n"/>
      <c r="F777" s="4" t="n"/>
      <c r="G777" s="4" t="n"/>
      <c r="H777" s="4" t="n"/>
    </row>
    <row r="778" ht="15.75" customHeight="1" s="108">
      <c r="A778" s="4" t="n"/>
      <c r="B778" s="4" t="n"/>
      <c r="C778" s="4" t="n"/>
      <c r="D778" s="4" t="n"/>
      <c r="E778" s="4" t="n"/>
      <c r="F778" s="4" t="n"/>
      <c r="G778" s="4" t="n"/>
      <c r="H778" s="4" t="n"/>
    </row>
    <row r="779" ht="15.75" customHeight="1" s="108">
      <c r="A779" s="4" t="n"/>
      <c r="B779" s="4" t="n"/>
      <c r="C779" s="4" t="n"/>
      <c r="D779" s="4" t="n"/>
      <c r="E779" s="4" t="n"/>
      <c r="F779" s="4" t="n"/>
      <c r="G779" s="4" t="n"/>
      <c r="H779" s="4" t="n"/>
    </row>
    <row r="780" ht="15.75" customHeight="1" s="108">
      <c r="A780" s="4" t="n"/>
      <c r="B780" s="4" t="n"/>
      <c r="C780" s="4" t="n"/>
      <c r="D780" s="4" t="n"/>
      <c r="E780" s="4" t="n"/>
      <c r="F780" s="4" t="n"/>
      <c r="G780" s="4" t="n"/>
      <c r="H780" s="4" t="n"/>
    </row>
    <row r="781" ht="15.75" customHeight="1" s="108">
      <c r="A781" s="4" t="n"/>
      <c r="B781" s="4" t="n"/>
      <c r="C781" s="4" t="n"/>
      <c r="D781" s="4" t="n"/>
      <c r="E781" s="4" t="n"/>
      <c r="F781" s="4" t="n"/>
      <c r="G781" s="4" t="n"/>
      <c r="H781" s="4" t="n"/>
    </row>
    <row r="782" ht="15.75" customHeight="1" s="108">
      <c r="A782" s="4" t="n"/>
      <c r="B782" s="4" t="n"/>
      <c r="C782" s="4" t="n"/>
      <c r="D782" s="4" t="n"/>
      <c r="E782" s="4" t="n"/>
      <c r="F782" s="4" t="n"/>
      <c r="G782" s="4" t="n"/>
      <c r="H782" s="4" t="n"/>
    </row>
    <row r="783" ht="15.75" customHeight="1" s="108">
      <c r="A783" s="4" t="n"/>
      <c r="B783" s="4" t="n"/>
      <c r="C783" s="4" t="n"/>
      <c r="D783" s="4" t="n"/>
      <c r="E783" s="4" t="n"/>
      <c r="F783" s="4" t="n"/>
      <c r="G783" s="4" t="n"/>
      <c r="H783" s="4" t="n"/>
    </row>
    <row r="784" ht="15.75" customHeight="1" s="108">
      <c r="A784" s="4" t="n"/>
      <c r="B784" s="4" t="n"/>
      <c r="C784" s="4" t="n"/>
      <c r="D784" s="4" t="n"/>
      <c r="E784" s="4" t="n"/>
      <c r="F784" s="4" t="n"/>
      <c r="G784" s="4" t="n"/>
      <c r="H784" s="4" t="n"/>
    </row>
    <row r="785" ht="15.75" customHeight="1" s="108">
      <c r="A785" s="4" t="n"/>
      <c r="B785" s="4" t="n"/>
      <c r="C785" s="4" t="n"/>
      <c r="D785" s="4" t="n"/>
      <c r="E785" s="4" t="n"/>
      <c r="F785" s="4" t="n"/>
      <c r="G785" s="4" t="n"/>
      <c r="H785" s="4" t="n"/>
    </row>
    <row r="786" ht="15.75" customHeight="1" s="108">
      <c r="A786" s="4" t="n"/>
      <c r="B786" s="4" t="n"/>
      <c r="C786" s="4" t="n"/>
      <c r="D786" s="4" t="n"/>
      <c r="E786" s="4" t="n"/>
      <c r="F786" s="4" t="n"/>
      <c r="G786" s="4" t="n"/>
      <c r="H786" s="4" t="n"/>
    </row>
    <row r="787" ht="15.75" customHeight="1" s="108">
      <c r="A787" s="4" t="n"/>
      <c r="B787" s="4" t="n"/>
      <c r="C787" s="4" t="n"/>
      <c r="D787" s="4" t="n"/>
      <c r="E787" s="4" t="n"/>
      <c r="F787" s="4" t="n"/>
      <c r="G787" s="4" t="n"/>
      <c r="H787" s="4" t="n"/>
    </row>
    <row r="788" ht="15.75" customHeight="1" s="108">
      <c r="A788" s="4" t="n"/>
      <c r="B788" s="4" t="n"/>
      <c r="C788" s="4" t="n"/>
      <c r="D788" s="4" t="n"/>
      <c r="E788" s="4" t="n"/>
      <c r="F788" s="4" t="n"/>
      <c r="G788" s="4" t="n"/>
      <c r="H788" s="4" t="n"/>
    </row>
    <row r="789" ht="15.75" customHeight="1" s="108">
      <c r="A789" s="4" t="n"/>
      <c r="B789" s="4" t="n"/>
      <c r="C789" s="4" t="n"/>
      <c r="D789" s="4" t="n"/>
      <c r="E789" s="4" t="n"/>
      <c r="F789" s="4" t="n"/>
      <c r="G789" s="4" t="n"/>
      <c r="H789" s="4" t="n"/>
    </row>
    <row r="790" ht="15.75" customHeight="1" s="108">
      <c r="A790" s="4" t="n"/>
      <c r="B790" s="4" t="n"/>
      <c r="C790" s="4" t="n"/>
      <c r="D790" s="4" t="n"/>
      <c r="E790" s="4" t="n"/>
      <c r="F790" s="4" t="n"/>
      <c r="G790" s="4" t="n"/>
      <c r="H790" s="4" t="n"/>
    </row>
    <row r="791" ht="15.75" customHeight="1" s="108">
      <c r="A791" s="4" t="n"/>
      <c r="B791" s="4" t="n"/>
      <c r="C791" s="4" t="n"/>
      <c r="D791" s="4" t="n"/>
      <c r="E791" s="4" t="n"/>
      <c r="F791" s="4" t="n"/>
      <c r="G791" s="4" t="n"/>
      <c r="H791" s="4" t="n"/>
    </row>
    <row r="792" ht="15.75" customHeight="1" s="108">
      <c r="A792" s="4" t="n"/>
      <c r="B792" s="4" t="n"/>
      <c r="C792" s="4" t="n"/>
      <c r="D792" s="4" t="n"/>
      <c r="E792" s="4" t="n"/>
      <c r="F792" s="4" t="n"/>
      <c r="G792" s="4" t="n"/>
      <c r="H792" s="4" t="n"/>
    </row>
    <row r="793" ht="15.75" customHeight="1" s="108">
      <c r="A793" s="4" t="n"/>
      <c r="B793" s="4" t="n"/>
      <c r="C793" s="4" t="n"/>
      <c r="D793" s="4" t="n"/>
      <c r="E793" s="4" t="n"/>
      <c r="F793" s="4" t="n"/>
      <c r="G793" s="4" t="n"/>
      <c r="H793" s="4" t="n"/>
    </row>
    <row r="794" ht="15.75" customHeight="1" s="108">
      <c r="A794" s="4" t="n"/>
      <c r="B794" s="4" t="n"/>
      <c r="C794" s="4" t="n"/>
      <c r="D794" s="4" t="n"/>
      <c r="E794" s="4" t="n"/>
      <c r="F794" s="4" t="n"/>
      <c r="G794" s="4" t="n"/>
      <c r="H794" s="4" t="n"/>
    </row>
    <row r="795" ht="15.75" customHeight="1" s="108">
      <c r="A795" s="4" t="n"/>
      <c r="B795" s="4" t="n"/>
      <c r="C795" s="4" t="n"/>
      <c r="D795" s="4" t="n"/>
      <c r="E795" s="4" t="n"/>
      <c r="F795" s="4" t="n"/>
      <c r="G795" s="4" t="n"/>
      <c r="H795" s="4" t="n"/>
    </row>
    <row r="796" ht="15.75" customHeight="1" s="108">
      <c r="A796" s="4" t="n"/>
      <c r="B796" s="4" t="n"/>
      <c r="C796" s="4" t="n"/>
      <c r="D796" s="4" t="n"/>
      <c r="E796" s="4" t="n"/>
      <c r="F796" s="4" t="n"/>
      <c r="G796" s="4" t="n"/>
      <c r="H796" s="4" t="n"/>
    </row>
    <row r="797" ht="15.75" customHeight="1" s="108">
      <c r="A797" s="4" t="n"/>
      <c r="B797" s="4" t="n"/>
      <c r="C797" s="4" t="n"/>
      <c r="D797" s="4" t="n"/>
      <c r="E797" s="4" t="n"/>
      <c r="F797" s="4" t="n"/>
      <c r="G797" s="4" t="n"/>
      <c r="H797" s="4" t="n"/>
    </row>
    <row r="798" ht="15.75" customHeight="1" s="108">
      <c r="A798" s="4" t="n"/>
      <c r="B798" s="4" t="n"/>
      <c r="C798" s="4" t="n"/>
      <c r="D798" s="4" t="n"/>
      <c r="E798" s="4" t="n"/>
      <c r="F798" s="4" t="n"/>
      <c r="G798" s="4" t="n"/>
      <c r="H798" s="4" t="n"/>
    </row>
    <row r="799" ht="15.75" customHeight="1" s="108">
      <c r="A799" s="4" t="n"/>
      <c r="B799" s="4" t="n"/>
      <c r="C799" s="4" t="n"/>
      <c r="D799" s="4" t="n"/>
      <c r="E799" s="4" t="n"/>
      <c r="F799" s="4" t="n"/>
      <c r="G799" s="4" t="n"/>
      <c r="H799" s="4" t="n"/>
    </row>
    <row r="800" ht="15.75" customHeight="1" s="108">
      <c r="A800" s="4" t="n"/>
      <c r="B800" s="4" t="n"/>
      <c r="C800" s="4" t="n"/>
      <c r="D800" s="4" t="n"/>
      <c r="E800" s="4" t="n"/>
      <c r="F800" s="4" t="n"/>
      <c r="G800" s="4" t="n"/>
      <c r="H800" s="4" t="n"/>
    </row>
    <row r="801" ht="15.75" customHeight="1" s="108">
      <c r="A801" s="4" t="n"/>
      <c r="B801" s="4" t="n"/>
      <c r="C801" s="4" t="n"/>
      <c r="D801" s="4" t="n"/>
      <c r="E801" s="4" t="n"/>
      <c r="F801" s="4" t="n"/>
      <c r="G801" s="4" t="n"/>
      <c r="H801" s="4" t="n"/>
    </row>
    <row r="802" ht="15.75" customHeight="1" s="108">
      <c r="A802" s="4" t="n"/>
      <c r="B802" s="4" t="n"/>
      <c r="C802" s="4" t="n"/>
      <c r="D802" s="4" t="n"/>
      <c r="E802" s="4" t="n"/>
      <c r="F802" s="4" t="n"/>
      <c r="G802" s="4" t="n"/>
      <c r="H802" s="4" t="n"/>
    </row>
    <row r="803" ht="15.75" customHeight="1" s="108">
      <c r="A803" s="4" t="n"/>
      <c r="B803" s="4" t="n"/>
      <c r="C803" s="4" t="n"/>
      <c r="D803" s="4" t="n"/>
      <c r="E803" s="4" t="n"/>
      <c r="F803" s="4" t="n"/>
      <c r="G803" s="4" t="n"/>
      <c r="H803" s="4" t="n"/>
    </row>
    <row r="804" ht="15.75" customHeight="1" s="108">
      <c r="A804" s="4" t="n"/>
      <c r="B804" s="4" t="n"/>
      <c r="C804" s="4" t="n"/>
      <c r="D804" s="4" t="n"/>
      <c r="E804" s="4" t="n"/>
      <c r="F804" s="4" t="n"/>
      <c r="G804" s="4" t="n"/>
      <c r="H804" s="4" t="n"/>
    </row>
    <row r="805" ht="15.75" customHeight="1" s="108">
      <c r="A805" s="4" t="n"/>
      <c r="B805" s="4" t="n"/>
      <c r="C805" s="4" t="n"/>
      <c r="D805" s="4" t="n"/>
      <c r="E805" s="4" t="n"/>
      <c r="F805" s="4" t="n"/>
      <c r="G805" s="4" t="n"/>
      <c r="H805" s="4" t="n"/>
    </row>
    <row r="806" ht="15.75" customHeight="1" s="108">
      <c r="A806" s="4" t="n"/>
      <c r="B806" s="4" t="n"/>
      <c r="C806" s="4" t="n"/>
      <c r="D806" s="4" t="n"/>
      <c r="E806" s="4" t="n"/>
      <c r="F806" s="4" t="n"/>
      <c r="G806" s="4" t="n"/>
      <c r="H806" s="4" t="n"/>
    </row>
    <row r="807" ht="15.75" customHeight="1" s="108">
      <c r="A807" s="4" t="n"/>
      <c r="B807" s="4" t="n"/>
      <c r="C807" s="4" t="n"/>
      <c r="D807" s="4" t="n"/>
      <c r="E807" s="4" t="n"/>
      <c r="F807" s="4" t="n"/>
      <c r="G807" s="4" t="n"/>
      <c r="H807" s="4" t="n"/>
    </row>
    <row r="808" ht="15.75" customHeight="1" s="108">
      <c r="A808" s="4" t="n"/>
      <c r="B808" s="4" t="n"/>
      <c r="C808" s="4" t="n"/>
      <c r="D808" s="4" t="n"/>
      <c r="E808" s="4" t="n"/>
      <c r="F808" s="4" t="n"/>
      <c r="G808" s="4" t="n"/>
      <c r="H808" s="4" t="n"/>
    </row>
    <row r="809" ht="15.75" customHeight="1" s="108">
      <c r="A809" s="4" t="n"/>
      <c r="B809" s="4" t="n"/>
      <c r="C809" s="4" t="n"/>
      <c r="D809" s="4" t="n"/>
      <c r="E809" s="4" t="n"/>
      <c r="F809" s="4" t="n"/>
      <c r="G809" s="4" t="n"/>
      <c r="H809" s="4" t="n"/>
    </row>
    <row r="810" ht="15.75" customHeight="1" s="108">
      <c r="A810" s="4" t="n"/>
      <c r="B810" s="4" t="n"/>
      <c r="C810" s="4" t="n"/>
      <c r="D810" s="4" t="n"/>
      <c r="E810" s="4" t="n"/>
      <c r="F810" s="4" t="n"/>
      <c r="G810" s="4" t="n"/>
      <c r="H810" s="4" t="n"/>
    </row>
    <row r="811" ht="15.75" customHeight="1" s="108">
      <c r="A811" s="4" t="n"/>
      <c r="B811" s="4" t="n"/>
      <c r="C811" s="4" t="n"/>
      <c r="D811" s="4" t="n"/>
      <c r="E811" s="4" t="n"/>
      <c r="F811" s="4" t="n"/>
      <c r="G811" s="4" t="n"/>
      <c r="H811" s="4" t="n"/>
    </row>
    <row r="812" ht="15.75" customHeight="1" s="108">
      <c r="A812" s="4" t="n"/>
      <c r="B812" s="4" t="n"/>
      <c r="C812" s="4" t="n"/>
      <c r="D812" s="4" t="n"/>
      <c r="E812" s="4" t="n"/>
      <c r="F812" s="4" t="n"/>
      <c r="G812" s="4" t="n"/>
      <c r="H812" s="4" t="n"/>
    </row>
    <row r="813" ht="15.75" customHeight="1" s="108">
      <c r="A813" s="4" t="n"/>
      <c r="B813" s="4" t="n"/>
      <c r="C813" s="4" t="n"/>
      <c r="D813" s="4" t="n"/>
      <c r="E813" s="4" t="n"/>
      <c r="F813" s="4" t="n"/>
      <c r="G813" s="4" t="n"/>
      <c r="H813" s="4" t="n"/>
    </row>
    <row r="814" ht="15.75" customHeight="1" s="108">
      <c r="A814" s="4" t="n"/>
      <c r="B814" s="4" t="n"/>
      <c r="C814" s="4" t="n"/>
      <c r="D814" s="4" t="n"/>
      <c r="E814" s="4" t="n"/>
      <c r="F814" s="4" t="n"/>
      <c r="G814" s="4" t="n"/>
      <c r="H814" s="4" t="n"/>
    </row>
    <row r="815" ht="15.75" customHeight="1" s="108">
      <c r="A815" s="4" t="n"/>
      <c r="B815" s="4" t="n"/>
      <c r="C815" s="4" t="n"/>
      <c r="D815" s="4" t="n"/>
      <c r="E815" s="4" t="n"/>
      <c r="F815" s="4" t="n"/>
      <c r="G815" s="4" t="n"/>
      <c r="H815" s="4" t="n"/>
    </row>
    <row r="816" ht="15.75" customHeight="1" s="108">
      <c r="A816" s="4" t="n"/>
      <c r="B816" s="4" t="n"/>
      <c r="C816" s="4" t="n"/>
      <c r="D816" s="4" t="n"/>
      <c r="E816" s="4" t="n"/>
      <c r="F816" s="4" t="n"/>
      <c r="G816" s="4" t="n"/>
      <c r="H816" s="4" t="n"/>
    </row>
    <row r="817" ht="15.75" customHeight="1" s="108">
      <c r="A817" s="4" t="n"/>
      <c r="B817" s="4" t="n"/>
      <c r="C817" s="4" t="n"/>
      <c r="D817" s="4" t="n"/>
      <c r="E817" s="4" t="n"/>
      <c r="F817" s="4" t="n"/>
      <c r="G817" s="4" t="n"/>
      <c r="H817" s="4" t="n"/>
    </row>
    <row r="818" ht="15.75" customHeight="1" s="108">
      <c r="A818" s="4" t="n"/>
      <c r="B818" s="4" t="n"/>
      <c r="C818" s="4" t="n"/>
      <c r="D818" s="4" t="n"/>
      <c r="E818" s="4" t="n"/>
      <c r="F818" s="4" t="n"/>
      <c r="G818" s="4" t="n"/>
      <c r="H818" s="4" t="n"/>
    </row>
    <row r="819" ht="15.75" customHeight="1" s="108">
      <c r="A819" s="4" t="n"/>
      <c r="B819" s="4" t="n"/>
      <c r="C819" s="4" t="n"/>
      <c r="D819" s="4" t="n"/>
      <c r="E819" s="4" t="n"/>
      <c r="F819" s="4" t="n"/>
      <c r="G819" s="4" t="n"/>
      <c r="H819" s="4" t="n"/>
    </row>
    <row r="820" ht="15.75" customHeight="1" s="108">
      <c r="A820" s="4" t="n"/>
      <c r="B820" s="4" t="n"/>
      <c r="C820" s="4" t="n"/>
      <c r="D820" s="4" t="n"/>
      <c r="E820" s="4" t="n"/>
      <c r="F820" s="4" t="n"/>
      <c r="G820" s="4" t="n"/>
      <c r="H820" s="4" t="n"/>
    </row>
    <row r="821" ht="15.75" customHeight="1" s="108">
      <c r="A821" s="4" t="n"/>
      <c r="B821" s="4" t="n"/>
      <c r="C821" s="4" t="n"/>
      <c r="D821" s="4" t="n"/>
      <c r="E821" s="4" t="n"/>
      <c r="F821" s="4" t="n"/>
      <c r="G821" s="4" t="n"/>
      <c r="H821" s="4" t="n"/>
    </row>
    <row r="822" ht="15.75" customHeight="1" s="108">
      <c r="A822" s="4" t="n"/>
      <c r="B822" s="4" t="n"/>
      <c r="C822" s="4" t="n"/>
      <c r="D822" s="4" t="n"/>
      <c r="E822" s="4" t="n"/>
      <c r="F822" s="4" t="n"/>
      <c r="G822" s="4" t="n"/>
      <c r="H822" s="4" t="n"/>
    </row>
    <row r="823" ht="15.75" customHeight="1" s="108">
      <c r="A823" s="4" t="n"/>
      <c r="B823" s="4" t="n"/>
      <c r="C823" s="4" t="n"/>
      <c r="D823" s="4" t="n"/>
      <c r="E823" s="4" t="n"/>
      <c r="F823" s="4" t="n"/>
      <c r="G823" s="4" t="n"/>
      <c r="H823" s="4" t="n"/>
    </row>
    <row r="824" ht="15.75" customHeight="1" s="108">
      <c r="A824" s="4" t="n"/>
      <c r="B824" s="4" t="n"/>
      <c r="C824" s="4" t="n"/>
      <c r="D824" s="4" t="n"/>
      <c r="E824" s="4" t="n"/>
      <c r="F824" s="4" t="n"/>
      <c r="G824" s="4" t="n"/>
      <c r="H824" s="4" t="n"/>
    </row>
    <row r="825" ht="15.75" customHeight="1" s="108">
      <c r="A825" s="4" t="n"/>
      <c r="B825" s="4" t="n"/>
      <c r="C825" s="4" t="n"/>
      <c r="D825" s="4" t="n"/>
      <c r="E825" s="4" t="n"/>
      <c r="F825" s="4" t="n"/>
      <c r="G825" s="4" t="n"/>
      <c r="H825" s="4" t="n"/>
    </row>
    <row r="826" ht="15.75" customHeight="1" s="108">
      <c r="A826" s="4" t="n"/>
      <c r="B826" s="4" t="n"/>
      <c r="C826" s="4" t="n"/>
      <c r="D826" s="4" t="n"/>
      <c r="E826" s="4" t="n"/>
      <c r="F826" s="4" t="n"/>
      <c r="G826" s="4" t="n"/>
      <c r="H826" s="4" t="n"/>
    </row>
    <row r="827" ht="15.75" customHeight="1" s="108">
      <c r="A827" s="4" t="n"/>
      <c r="B827" s="4" t="n"/>
      <c r="C827" s="4" t="n"/>
      <c r="D827" s="4" t="n"/>
      <c r="E827" s="4" t="n"/>
      <c r="F827" s="4" t="n"/>
      <c r="G827" s="4" t="n"/>
      <c r="H827" s="4" t="n"/>
    </row>
    <row r="828" ht="15.75" customHeight="1" s="108">
      <c r="A828" s="4" t="n"/>
      <c r="B828" s="4" t="n"/>
      <c r="C828" s="4" t="n"/>
      <c r="D828" s="4" t="n"/>
      <c r="E828" s="4" t="n"/>
      <c r="F828" s="4" t="n"/>
      <c r="G828" s="4" t="n"/>
      <c r="H828" s="4" t="n"/>
    </row>
    <row r="829" ht="15.75" customHeight="1" s="108">
      <c r="A829" s="4" t="n"/>
      <c r="B829" s="4" t="n"/>
      <c r="C829" s="4" t="n"/>
      <c r="D829" s="4" t="n"/>
      <c r="E829" s="4" t="n"/>
      <c r="F829" s="4" t="n"/>
      <c r="G829" s="4" t="n"/>
      <c r="H829" s="4" t="n"/>
    </row>
    <row r="830" ht="15.75" customHeight="1" s="108">
      <c r="A830" s="4" t="n"/>
      <c r="B830" s="4" t="n"/>
      <c r="C830" s="4" t="n"/>
      <c r="D830" s="4" t="n"/>
      <c r="E830" s="4" t="n"/>
      <c r="F830" s="4" t="n"/>
      <c r="G830" s="4" t="n"/>
      <c r="H830" s="4" t="n"/>
    </row>
    <row r="831" ht="15.75" customHeight="1" s="108">
      <c r="A831" s="4" t="n"/>
      <c r="B831" s="4" t="n"/>
      <c r="C831" s="4" t="n"/>
      <c r="D831" s="4" t="n"/>
      <c r="E831" s="4" t="n"/>
      <c r="F831" s="4" t="n"/>
      <c r="G831" s="4" t="n"/>
      <c r="H831" s="4" t="n"/>
    </row>
    <row r="832" ht="15.75" customHeight="1" s="108">
      <c r="A832" s="4" t="n"/>
      <c r="B832" s="4" t="n"/>
      <c r="C832" s="4" t="n"/>
      <c r="D832" s="4" t="n"/>
      <c r="E832" s="4" t="n"/>
      <c r="F832" s="4" t="n"/>
      <c r="G832" s="4" t="n"/>
      <c r="H832" s="4" t="n"/>
    </row>
    <row r="833" ht="15.75" customHeight="1" s="108">
      <c r="A833" s="4" t="n"/>
      <c r="B833" s="4" t="n"/>
      <c r="C833" s="4" t="n"/>
      <c r="D833" s="4" t="n"/>
      <c r="E833" s="4" t="n"/>
      <c r="F833" s="4" t="n"/>
      <c r="G833" s="4" t="n"/>
      <c r="H833" s="4" t="n"/>
    </row>
    <row r="834" ht="15.75" customHeight="1" s="108">
      <c r="A834" s="4" t="n"/>
      <c r="B834" s="4" t="n"/>
      <c r="C834" s="4" t="n"/>
      <c r="D834" s="4" t="n"/>
      <c r="E834" s="4" t="n"/>
      <c r="F834" s="4" t="n"/>
      <c r="G834" s="4" t="n"/>
      <c r="H834" s="4" t="n"/>
    </row>
    <row r="835" ht="15.75" customHeight="1" s="108">
      <c r="A835" s="4" t="n"/>
      <c r="B835" s="4" t="n"/>
      <c r="C835" s="4" t="n"/>
      <c r="D835" s="4" t="n"/>
      <c r="E835" s="4" t="n"/>
      <c r="F835" s="4" t="n"/>
      <c r="G835" s="4" t="n"/>
      <c r="H835" s="4" t="n"/>
    </row>
    <row r="836" ht="15.75" customHeight="1" s="108">
      <c r="A836" s="4" t="n"/>
      <c r="B836" s="4" t="n"/>
      <c r="C836" s="4" t="n"/>
      <c r="D836" s="4" t="n"/>
      <c r="E836" s="4" t="n"/>
      <c r="F836" s="4" t="n"/>
      <c r="G836" s="4" t="n"/>
      <c r="H836" s="4" t="n"/>
    </row>
    <row r="837" ht="15.75" customHeight="1" s="108">
      <c r="A837" s="4" t="n"/>
      <c r="B837" s="4" t="n"/>
      <c r="C837" s="4" t="n"/>
      <c r="D837" s="4" t="n"/>
      <c r="E837" s="4" t="n"/>
      <c r="F837" s="4" t="n"/>
      <c r="G837" s="4" t="n"/>
      <c r="H837" s="4" t="n"/>
    </row>
    <row r="838" ht="15.75" customHeight="1" s="108">
      <c r="A838" s="4" t="n"/>
      <c r="B838" s="4" t="n"/>
      <c r="C838" s="4" t="n"/>
      <c r="D838" s="4" t="n"/>
      <c r="E838" s="4" t="n"/>
      <c r="F838" s="4" t="n"/>
      <c r="G838" s="4" t="n"/>
      <c r="H838" s="4" t="n"/>
    </row>
    <row r="839" ht="15.75" customHeight="1" s="108">
      <c r="A839" s="4" t="n"/>
      <c r="B839" s="4" t="n"/>
      <c r="C839" s="4" t="n"/>
      <c r="D839" s="4" t="n"/>
      <c r="E839" s="4" t="n"/>
      <c r="F839" s="4" t="n"/>
      <c r="G839" s="4" t="n"/>
      <c r="H839" s="4" t="n"/>
    </row>
    <row r="840" ht="15.75" customHeight="1" s="108">
      <c r="A840" s="4" t="n"/>
      <c r="B840" s="4" t="n"/>
      <c r="C840" s="4" t="n"/>
      <c r="D840" s="4" t="n"/>
      <c r="E840" s="4" t="n"/>
      <c r="F840" s="4" t="n"/>
      <c r="G840" s="4" t="n"/>
      <c r="H840" s="4" t="n"/>
    </row>
    <row r="841" ht="15.75" customHeight="1" s="108">
      <c r="A841" s="4" t="n"/>
      <c r="B841" s="4" t="n"/>
      <c r="C841" s="4" t="n"/>
      <c r="D841" s="4" t="n"/>
      <c r="E841" s="4" t="n"/>
      <c r="F841" s="4" t="n"/>
      <c r="G841" s="4" t="n"/>
      <c r="H841" s="4" t="n"/>
    </row>
    <row r="842" ht="15.75" customHeight="1" s="108">
      <c r="A842" s="4" t="n"/>
      <c r="B842" s="4" t="n"/>
      <c r="C842" s="4" t="n"/>
      <c r="D842" s="4" t="n"/>
      <c r="E842" s="4" t="n"/>
      <c r="F842" s="4" t="n"/>
      <c r="G842" s="4" t="n"/>
      <c r="H842" s="4" t="n"/>
    </row>
    <row r="843" ht="15.75" customHeight="1" s="108">
      <c r="A843" s="4" t="n"/>
      <c r="B843" s="4" t="n"/>
      <c r="C843" s="4" t="n"/>
      <c r="D843" s="4" t="n"/>
      <c r="E843" s="4" t="n"/>
      <c r="F843" s="4" t="n"/>
      <c r="G843" s="4" t="n"/>
      <c r="H843" s="4" t="n"/>
    </row>
    <row r="844" ht="15.75" customHeight="1" s="108">
      <c r="A844" s="4" t="n"/>
      <c r="B844" s="4" t="n"/>
      <c r="C844" s="4" t="n"/>
      <c r="D844" s="4" t="n"/>
      <c r="E844" s="4" t="n"/>
      <c r="F844" s="4" t="n"/>
      <c r="G844" s="4" t="n"/>
      <c r="H844" s="4" t="n"/>
    </row>
    <row r="845" ht="15.75" customHeight="1" s="108">
      <c r="A845" s="4" t="n"/>
      <c r="B845" s="4" t="n"/>
      <c r="C845" s="4" t="n"/>
      <c r="D845" s="4" t="n"/>
      <c r="E845" s="4" t="n"/>
      <c r="F845" s="4" t="n"/>
      <c r="G845" s="4" t="n"/>
      <c r="H845" s="4" t="n"/>
    </row>
    <row r="846" ht="15.75" customHeight="1" s="108">
      <c r="A846" s="4" t="n"/>
      <c r="B846" s="4" t="n"/>
      <c r="C846" s="4" t="n"/>
      <c r="D846" s="4" t="n"/>
      <c r="E846" s="4" t="n"/>
      <c r="F846" s="4" t="n"/>
      <c r="G846" s="4" t="n"/>
      <c r="H846" s="4" t="n"/>
    </row>
    <row r="847" ht="15.75" customHeight="1" s="108">
      <c r="A847" s="4" t="n"/>
      <c r="B847" s="4" t="n"/>
      <c r="C847" s="4" t="n"/>
      <c r="D847" s="4" t="n"/>
      <c r="E847" s="4" t="n"/>
      <c r="F847" s="4" t="n"/>
      <c r="G847" s="4" t="n"/>
      <c r="H847" s="4" t="n"/>
    </row>
    <row r="848" ht="15.75" customHeight="1" s="108">
      <c r="A848" s="4" t="n"/>
      <c r="B848" s="4" t="n"/>
      <c r="C848" s="4" t="n"/>
      <c r="D848" s="4" t="n"/>
      <c r="E848" s="4" t="n"/>
      <c r="F848" s="4" t="n"/>
      <c r="G848" s="4" t="n"/>
      <c r="H848" s="4" t="n"/>
    </row>
    <row r="849" ht="15.75" customHeight="1" s="108">
      <c r="A849" s="4" t="n"/>
      <c r="B849" s="4" t="n"/>
      <c r="C849" s="4" t="n"/>
      <c r="D849" s="4" t="n"/>
      <c r="E849" s="4" t="n"/>
      <c r="F849" s="4" t="n"/>
      <c r="G849" s="4" t="n"/>
      <c r="H849" s="4" t="n"/>
    </row>
    <row r="850" ht="15.75" customHeight="1" s="108">
      <c r="A850" s="4" t="n"/>
      <c r="B850" s="4" t="n"/>
      <c r="C850" s="4" t="n"/>
      <c r="D850" s="4" t="n"/>
      <c r="E850" s="4" t="n"/>
      <c r="F850" s="4" t="n"/>
      <c r="G850" s="4" t="n"/>
      <c r="H850" s="4" t="n"/>
    </row>
    <row r="851" ht="15.75" customHeight="1" s="108">
      <c r="A851" s="4" t="n"/>
      <c r="B851" s="4" t="n"/>
      <c r="C851" s="4" t="n"/>
      <c r="D851" s="4" t="n"/>
      <c r="E851" s="4" t="n"/>
      <c r="F851" s="4" t="n"/>
      <c r="G851" s="4" t="n"/>
      <c r="H851" s="4" t="n"/>
    </row>
    <row r="852" ht="15.75" customHeight="1" s="108">
      <c r="A852" s="4" t="n"/>
      <c r="B852" s="4" t="n"/>
      <c r="C852" s="4" t="n"/>
      <c r="D852" s="4" t="n"/>
      <c r="E852" s="4" t="n"/>
      <c r="F852" s="4" t="n"/>
      <c r="G852" s="4" t="n"/>
      <c r="H852" s="4" t="n"/>
    </row>
    <row r="853" ht="15.75" customHeight="1" s="108">
      <c r="A853" s="4" t="n"/>
      <c r="B853" s="4" t="n"/>
      <c r="C853" s="4" t="n"/>
      <c r="D853" s="4" t="n"/>
      <c r="E853" s="4" t="n"/>
      <c r="F853" s="4" t="n"/>
      <c r="G853" s="4" t="n"/>
      <c r="H853" s="4" t="n"/>
    </row>
    <row r="854" ht="15.75" customHeight="1" s="108">
      <c r="A854" s="4" t="n"/>
      <c r="B854" s="4" t="n"/>
      <c r="C854" s="4" t="n"/>
      <c r="D854" s="4" t="n"/>
      <c r="E854" s="4" t="n"/>
      <c r="F854" s="4" t="n"/>
      <c r="G854" s="4" t="n"/>
      <c r="H854" s="4" t="n"/>
    </row>
    <row r="855" ht="15.75" customHeight="1" s="108">
      <c r="A855" s="4" t="n"/>
      <c r="B855" s="4" t="n"/>
      <c r="C855" s="4" t="n"/>
      <c r="D855" s="4" t="n"/>
      <c r="E855" s="4" t="n"/>
      <c r="F855" s="4" t="n"/>
      <c r="G855" s="4" t="n"/>
      <c r="H855" s="4" t="n"/>
    </row>
    <row r="856" ht="15.75" customHeight="1" s="108">
      <c r="A856" s="4" t="n"/>
      <c r="B856" s="4" t="n"/>
      <c r="C856" s="4" t="n"/>
      <c r="D856" s="4" t="n"/>
      <c r="E856" s="4" t="n"/>
      <c r="F856" s="4" t="n"/>
      <c r="G856" s="4" t="n"/>
      <c r="H856" s="4" t="n"/>
    </row>
    <row r="857" ht="15.75" customHeight="1" s="108">
      <c r="A857" s="4" t="n"/>
      <c r="B857" s="4" t="n"/>
      <c r="C857" s="4" t="n"/>
      <c r="D857" s="4" t="n"/>
      <c r="E857" s="4" t="n"/>
      <c r="F857" s="4" t="n"/>
      <c r="G857" s="4" t="n"/>
      <c r="H857" s="4" t="n"/>
    </row>
    <row r="858" ht="15.75" customHeight="1" s="108">
      <c r="A858" s="4" t="n"/>
      <c r="B858" s="4" t="n"/>
      <c r="C858" s="4" t="n"/>
      <c r="D858" s="4" t="n"/>
      <c r="E858" s="4" t="n"/>
      <c r="F858" s="4" t="n"/>
      <c r="G858" s="4" t="n"/>
      <c r="H858" s="4" t="n"/>
    </row>
    <row r="859" ht="15.75" customHeight="1" s="108">
      <c r="A859" s="4" t="n"/>
      <c r="B859" s="4" t="n"/>
      <c r="C859" s="4" t="n"/>
      <c r="D859" s="4" t="n"/>
      <c r="E859" s="4" t="n"/>
      <c r="F859" s="4" t="n"/>
      <c r="G859" s="4" t="n"/>
      <c r="H859" s="4" t="n"/>
    </row>
    <row r="860" ht="15.75" customHeight="1" s="108">
      <c r="A860" s="4" t="n"/>
      <c r="B860" s="4" t="n"/>
      <c r="C860" s="4" t="n"/>
      <c r="D860" s="4" t="n"/>
      <c r="E860" s="4" t="n"/>
      <c r="F860" s="4" t="n"/>
      <c r="G860" s="4" t="n"/>
      <c r="H860" s="4" t="n"/>
    </row>
    <row r="861" ht="15.75" customHeight="1" s="108">
      <c r="A861" s="4" t="n"/>
      <c r="B861" s="4" t="n"/>
      <c r="C861" s="4" t="n"/>
      <c r="D861" s="4" t="n"/>
      <c r="E861" s="4" t="n"/>
      <c r="F861" s="4" t="n"/>
      <c r="G861" s="4" t="n"/>
      <c r="H861" s="4" t="n"/>
    </row>
    <row r="862" ht="15.75" customHeight="1" s="108">
      <c r="A862" s="4" t="n"/>
      <c r="B862" s="4" t="n"/>
      <c r="C862" s="4" t="n"/>
      <c r="D862" s="4" t="n"/>
      <c r="E862" s="4" t="n"/>
      <c r="F862" s="4" t="n"/>
      <c r="G862" s="4" t="n"/>
      <c r="H862" s="4" t="n"/>
    </row>
    <row r="863" ht="15.75" customHeight="1" s="108">
      <c r="A863" s="4" t="n"/>
      <c r="B863" s="4" t="n"/>
      <c r="C863" s="4" t="n"/>
      <c r="D863" s="4" t="n"/>
      <c r="E863" s="4" t="n"/>
      <c r="F863" s="4" t="n"/>
      <c r="G863" s="4" t="n"/>
      <c r="H863" s="4" t="n"/>
    </row>
    <row r="864" ht="15.75" customHeight="1" s="108">
      <c r="A864" s="4" t="n"/>
      <c r="B864" s="4" t="n"/>
      <c r="C864" s="4" t="n"/>
      <c r="D864" s="4" t="n"/>
      <c r="E864" s="4" t="n"/>
      <c r="F864" s="4" t="n"/>
      <c r="G864" s="4" t="n"/>
      <c r="H864" s="4" t="n"/>
    </row>
    <row r="865" ht="15.75" customHeight="1" s="108">
      <c r="A865" s="4" t="n"/>
      <c r="B865" s="4" t="n"/>
      <c r="C865" s="4" t="n"/>
      <c r="D865" s="4" t="n"/>
      <c r="E865" s="4" t="n"/>
      <c r="F865" s="4" t="n"/>
      <c r="G865" s="4" t="n"/>
      <c r="H865" s="4" t="n"/>
    </row>
    <row r="866" ht="15.75" customHeight="1" s="108">
      <c r="A866" s="4" t="n"/>
      <c r="B866" s="4" t="n"/>
      <c r="C866" s="4" t="n"/>
      <c r="D866" s="4" t="n"/>
      <c r="E866" s="4" t="n"/>
      <c r="F866" s="4" t="n"/>
      <c r="G866" s="4" t="n"/>
      <c r="H866" s="4" t="n"/>
    </row>
    <row r="867" ht="15.75" customHeight="1" s="108">
      <c r="A867" s="4" t="n"/>
      <c r="B867" s="4" t="n"/>
      <c r="C867" s="4" t="n"/>
      <c r="D867" s="4" t="n"/>
      <c r="E867" s="4" t="n"/>
      <c r="F867" s="4" t="n"/>
      <c r="G867" s="4" t="n"/>
      <c r="H867" s="4" t="n"/>
    </row>
    <row r="868" ht="15.75" customHeight="1" s="108">
      <c r="A868" s="4" t="n"/>
      <c r="B868" s="4" t="n"/>
      <c r="C868" s="4" t="n"/>
      <c r="D868" s="4" t="n"/>
      <c r="E868" s="4" t="n"/>
      <c r="F868" s="4" t="n"/>
      <c r="G868" s="4" t="n"/>
      <c r="H868" s="4" t="n"/>
    </row>
    <row r="869" ht="15.75" customHeight="1" s="108">
      <c r="A869" s="4" t="n"/>
      <c r="B869" s="4" t="n"/>
      <c r="C869" s="4" t="n"/>
      <c r="D869" s="4" t="n"/>
      <c r="E869" s="4" t="n"/>
      <c r="F869" s="4" t="n"/>
      <c r="G869" s="4" t="n"/>
      <c r="H869" s="4" t="n"/>
    </row>
    <row r="870" ht="15.75" customHeight="1" s="108">
      <c r="A870" s="4" t="n"/>
      <c r="B870" s="4" t="n"/>
      <c r="C870" s="4" t="n"/>
      <c r="D870" s="4" t="n"/>
      <c r="E870" s="4" t="n"/>
      <c r="F870" s="4" t="n"/>
      <c r="G870" s="4" t="n"/>
      <c r="H870" s="4" t="n"/>
    </row>
    <row r="871" ht="15.75" customHeight="1" s="108">
      <c r="A871" s="4" t="n"/>
      <c r="B871" s="4" t="n"/>
      <c r="C871" s="4" t="n"/>
      <c r="D871" s="4" t="n"/>
      <c r="E871" s="4" t="n"/>
      <c r="F871" s="4" t="n"/>
      <c r="G871" s="4" t="n"/>
      <c r="H871" s="4" t="n"/>
    </row>
    <row r="872" ht="15.75" customHeight="1" s="108">
      <c r="A872" s="4" t="n"/>
      <c r="B872" s="4" t="n"/>
      <c r="C872" s="4" t="n"/>
      <c r="D872" s="4" t="n"/>
      <c r="E872" s="4" t="n"/>
      <c r="F872" s="4" t="n"/>
      <c r="G872" s="4" t="n"/>
      <c r="H872" s="4" t="n"/>
    </row>
    <row r="873" ht="15.75" customHeight="1" s="108">
      <c r="A873" s="4" t="n"/>
      <c r="B873" s="4" t="n"/>
      <c r="C873" s="4" t="n"/>
      <c r="D873" s="4" t="n"/>
      <c r="E873" s="4" t="n"/>
      <c r="F873" s="4" t="n"/>
      <c r="G873" s="4" t="n"/>
      <c r="H873" s="4" t="n"/>
    </row>
    <row r="874" ht="15.75" customHeight="1" s="108">
      <c r="A874" s="4" t="n"/>
      <c r="B874" s="4" t="n"/>
      <c r="C874" s="4" t="n"/>
      <c r="D874" s="4" t="n"/>
      <c r="E874" s="4" t="n"/>
      <c r="F874" s="4" t="n"/>
      <c r="G874" s="4" t="n"/>
      <c r="H874" s="4" t="n"/>
    </row>
    <row r="875" ht="15.75" customHeight="1" s="108">
      <c r="A875" s="4" t="n"/>
      <c r="B875" s="4" t="n"/>
      <c r="C875" s="4" t="n"/>
      <c r="D875" s="4" t="n"/>
      <c r="E875" s="4" t="n"/>
      <c r="F875" s="4" t="n"/>
      <c r="G875" s="4" t="n"/>
      <c r="H875" s="4" t="n"/>
    </row>
    <row r="876" ht="15.75" customHeight="1" s="108">
      <c r="A876" s="4" t="n"/>
      <c r="B876" s="4" t="n"/>
      <c r="C876" s="4" t="n"/>
      <c r="D876" s="4" t="n"/>
      <c r="E876" s="4" t="n"/>
      <c r="F876" s="4" t="n"/>
      <c r="G876" s="4" t="n"/>
      <c r="H876" s="4" t="n"/>
    </row>
    <row r="877" ht="15.75" customHeight="1" s="108">
      <c r="A877" s="4" t="n"/>
      <c r="B877" s="4" t="n"/>
      <c r="C877" s="4" t="n"/>
      <c r="D877" s="4" t="n"/>
      <c r="E877" s="4" t="n"/>
      <c r="F877" s="4" t="n"/>
      <c r="G877" s="4" t="n"/>
      <c r="H877" s="4" t="n"/>
    </row>
    <row r="878" ht="15.75" customHeight="1" s="108">
      <c r="A878" s="4" t="n"/>
      <c r="B878" s="4" t="n"/>
      <c r="C878" s="4" t="n"/>
      <c r="D878" s="4" t="n"/>
      <c r="E878" s="4" t="n"/>
      <c r="F878" s="4" t="n"/>
      <c r="G878" s="4" t="n"/>
      <c r="H878" s="4" t="n"/>
    </row>
    <row r="879" ht="15.75" customHeight="1" s="108">
      <c r="A879" s="4" t="n"/>
      <c r="B879" s="4" t="n"/>
      <c r="C879" s="4" t="n"/>
      <c r="D879" s="4" t="n"/>
      <c r="E879" s="4" t="n"/>
      <c r="F879" s="4" t="n"/>
      <c r="G879" s="4" t="n"/>
      <c r="H879" s="4" t="n"/>
    </row>
    <row r="880" ht="15.75" customHeight="1" s="108">
      <c r="A880" s="4" t="n"/>
      <c r="B880" s="4" t="n"/>
      <c r="C880" s="4" t="n"/>
      <c r="D880" s="4" t="n"/>
      <c r="E880" s="4" t="n"/>
      <c r="F880" s="4" t="n"/>
      <c r="G880" s="4" t="n"/>
      <c r="H880" s="4" t="n"/>
    </row>
    <row r="881" ht="15.75" customHeight="1" s="108">
      <c r="A881" s="4" t="n"/>
      <c r="B881" s="4" t="n"/>
      <c r="C881" s="4" t="n"/>
      <c r="D881" s="4" t="n"/>
      <c r="E881" s="4" t="n"/>
      <c r="F881" s="4" t="n"/>
      <c r="G881" s="4" t="n"/>
      <c r="H881" s="4" t="n"/>
    </row>
    <row r="882" ht="15.75" customHeight="1" s="108">
      <c r="A882" s="4" t="n"/>
      <c r="B882" s="4" t="n"/>
      <c r="C882" s="4" t="n"/>
      <c r="D882" s="4" t="n"/>
      <c r="E882" s="4" t="n"/>
      <c r="F882" s="4" t="n"/>
      <c r="G882" s="4" t="n"/>
      <c r="H882" s="4" t="n"/>
    </row>
    <row r="883" ht="15.75" customHeight="1" s="108">
      <c r="A883" s="4" t="n"/>
      <c r="B883" s="4" t="n"/>
      <c r="C883" s="4" t="n"/>
      <c r="D883" s="4" t="n"/>
      <c r="E883" s="4" t="n"/>
      <c r="F883" s="4" t="n"/>
      <c r="G883" s="4" t="n"/>
      <c r="H883" s="4" t="n"/>
    </row>
    <row r="884" ht="15.75" customHeight="1" s="108">
      <c r="A884" s="4" t="n"/>
      <c r="B884" s="4" t="n"/>
      <c r="C884" s="4" t="n"/>
      <c r="D884" s="4" t="n"/>
      <c r="E884" s="4" t="n"/>
      <c r="F884" s="4" t="n"/>
      <c r="G884" s="4" t="n"/>
      <c r="H884" s="4" t="n"/>
    </row>
    <row r="885" ht="15.75" customHeight="1" s="108">
      <c r="A885" s="4" t="n"/>
      <c r="B885" s="4" t="n"/>
      <c r="C885" s="4" t="n"/>
      <c r="D885" s="4" t="n"/>
      <c r="E885" s="4" t="n"/>
      <c r="F885" s="4" t="n"/>
      <c r="G885" s="4" t="n"/>
      <c r="H885" s="4" t="n"/>
    </row>
    <row r="886" ht="15.75" customHeight="1" s="108">
      <c r="A886" s="4" t="n"/>
      <c r="B886" s="4" t="n"/>
      <c r="C886" s="4" t="n"/>
      <c r="D886" s="4" t="n"/>
      <c r="E886" s="4" t="n"/>
      <c r="F886" s="4" t="n"/>
      <c r="G886" s="4" t="n"/>
      <c r="H886" s="4" t="n"/>
    </row>
    <row r="887" ht="15.75" customHeight="1" s="108">
      <c r="A887" s="4" t="n"/>
      <c r="B887" s="4" t="n"/>
      <c r="C887" s="4" t="n"/>
      <c r="D887" s="4" t="n"/>
      <c r="E887" s="4" t="n"/>
      <c r="F887" s="4" t="n"/>
      <c r="G887" s="4" t="n"/>
      <c r="H887" s="4" t="n"/>
    </row>
    <row r="888" ht="15.75" customHeight="1" s="108">
      <c r="A888" s="4" t="n"/>
      <c r="B888" s="4" t="n"/>
      <c r="C888" s="4" t="n"/>
      <c r="D888" s="4" t="n"/>
      <c r="E888" s="4" t="n"/>
      <c r="F888" s="4" t="n"/>
      <c r="G888" s="4" t="n"/>
      <c r="H888" s="4" t="n"/>
    </row>
    <row r="889" ht="15.75" customHeight="1" s="108">
      <c r="A889" s="4" t="n"/>
      <c r="B889" s="4" t="n"/>
      <c r="C889" s="4" t="n"/>
      <c r="D889" s="4" t="n"/>
      <c r="E889" s="4" t="n"/>
      <c r="F889" s="4" t="n"/>
      <c r="G889" s="4" t="n"/>
      <c r="H889" s="4" t="n"/>
    </row>
    <row r="890" ht="15.75" customHeight="1" s="108">
      <c r="A890" s="4" t="n"/>
      <c r="B890" s="4" t="n"/>
      <c r="C890" s="4" t="n"/>
      <c r="D890" s="4" t="n"/>
      <c r="E890" s="4" t="n"/>
      <c r="F890" s="4" t="n"/>
      <c r="G890" s="4" t="n"/>
      <c r="H890" s="4" t="n"/>
    </row>
    <row r="891" ht="15.75" customHeight="1" s="108">
      <c r="A891" s="4" t="n"/>
      <c r="B891" s="4" t="n"/>
      <c r="C891" s="4" t="n"/>
      <c r="D891" s="4" t="n"/>
      <c r="E891" s="4" t="n"/>
      <c r="F891" s="4" t="n"/>
      <c r="G891" s="4" t="n"/>
      <c r="H891" s="4" t="n"/>
    </row>
    <row r="892" ht="15.75" customHeight="1" s="108">
      <c r="A892" s="4" t="n"/>
      <c r="B892" s="4" t="n"/>
      <c r="C892" s="4" t="n"/>
      <c r="D892" s="4" t="n"/>
      <c r="E892" s="4" t="n"/>
      <c r="F892" s="4" t="n"/>
      <c r="G892" s="4" t="n"/>
      <c r="H892" s="4" t="n"/>
    </row>
    <row r="893" ht="15.75" customHeight="1" s="108">
      <c r="A893" s="4" t="n"/>
      <c r="B893" s="4" t="n"/>
      <c r="C893" s="4" t="n"/>
      <c r="D893" s="4" t="n"/>
      <c r="E893" s="4" t="n"/>
      <c r="F893" s="4" t="n"/>
      <c r="G893" s="4" t="n"/>
      <c r="H893" s="4" t="n"/>
    </row>
    <row r="894" ht="15.75" customHeight="1" s="108">
      <c r="A894" s="4" t="n"/>
      <c r="B894" s="4" t="n"/>
      <c r="C894" s="4" t="n"/>
      <c r="D894" s="4" t="n"/>
      <c r="E894" s="4" t="n"/>
      <c r="F894" s="4" t="n"/>
      <c r="G894" s="4" t="n"/>
      <c r="H894" s="4" t="n"/>
    </row>
    <row r="895" ht="15.75" customHeight="1" s="108">
      <c r="A895" s="4" t="n"/>
      <c r="B895" s="4" t="n"/>
      <c r="C895" s="4" t="n"/>
      <c r="D895" s="4" t="n"/>
      <c r="E895" s="4" t="n"/>
      <c r="F895" s="4" t="n"/>
      <c r="G895" s="4" t="n"/>
      <c r="H895" s="4" t="n"/>
    </row>
    <row r="896" ht="15.75" customHeight="1" s="108">
      <c r="A896" s="4" t="n"/>
      <c r="B896" s="4" t="n"/>
      <c r="C896" s="4" t="n"/>
      <c r="D896" s="4" t="n"/>
      <c r="E896" s="4" t="n"/>
      <c r="F896" s="4" t="n"/>
      <c r="G896" s="4" t="n"/>
      <c r="H896" s="4" t="n"/>
    </row>
    <row r="897" ht="15.75" customHeight="1" s="108">
      <c r="A897" s="4" t="n"/>
      <c r="B897" s="4" t="n"/>
      <c r="C897" s="4" t="n"/>
      <c r="D897" s="4" t="n"/>
      <c r="E897" s="4" t="n"/>
      <c r="F897" s="4" t="n"/>
      <c r="G897" s="4" t="n"/>
      <c r="H897" s="4" t="n"/>
    </row>
    <row r="898" ht="15.75" customHeight="1" s="108">
      <c r="A898" s="4" t="n"/>
      <c r="B898" s="4" t="n"/>
      <c r="C898" s="4" t="n"/>
      <c r="D898" s="4" t="n"/>
      <c r="E898" s="4" t="n"/>
      <c r="F898" s="4" t="n"/>
      <c r="G898" s="4" t="n"/>
      <c r="H898" s="4" t="n"/>
    </row>
    <row r="899" ht="15.75" customHeight="1" s="108">
      <c r="A899" s="4" t="n"/>
      <c r="B899" s="4" t="n"/>
      <c r="C899" s="4" t="n"/>
      <c r="D899" s="4" t="n"/>
      <c r="E899" s="4" t="n"/>
      <c r="F899" s="4" t="n"/>
      <c r="G899" s="4" t="n"/>
      <c r="H899" s="4" t="n"/>
    </row>
    <row r="900" ht="15.75" customHeight="1" s="108">
      <c r="A900" s="4" t="n"/>
      <c r="B900" s="4" t="n"/>
      <c r="C900" s="4" t="n"/>
      <c r="D900" s="4" t="n"/>
      <c r="E900" s="4" t="n"/>
      <c r="F900" s="4" t="n"/>
      <c r="G900" s="4" t="n"/>
      <c r="H900" s="4" t="n"/>
    </row>
    <row r="901" ht="15.75" customHeight="1" s="108">
      <c r="A901" s="4" t="n"/>
      <c r="B901" s="4" t="n"/>
      <c r="C901" s="4" t="n"/>
      <c r="D901" s="4" t="n"/>
      <c r="E901" s="4" t="n"/>
      <c r="F901" s="4" t="n"/>
      <c r="G901" s="4" t="n"/>
      <c r="H901" s="4" t="n"/>
    </row>
    <row r="902" ht="15.75" customHeight="1" s="108">
      <c r="A902" s="4" t="n"/>
      <c r="B902" s="4" t="n"/>
      <c r="C902" s="4" t="n"/>
      <c r="D902" s="4" t="n"/>
      <c r="E902" s="4" t="n"/>
      <c r="F902" s="4" t="n"/>
      <c r="G902" s="4" t="n"/>
      <c r="H902" s="4" t="n"/>
    </row>
    <row r="903" ht="15.75" customHeight="1" s="108">
      <c r="A903" s="4" t="n"/>
      <c r="B903" s="4" t="n"/>
      <c r="C903" s="4" t="n"/>
      <c r="D903" s="4" t="n"/>
      <c r="E903" s="4" t="n"/>
      <c r="F903" s="4" t="n"/>
      <c r="G903" s="4" t="n"/>
      <c r="H903" s="4" t="n"/>
    </row>
    <row r="904" ht="15.75" customHeight="1" s="108">
      <c r="A904" s="4" t="n"/>
      <c r="B904" s="4" t="n"/>
      <c r="C904" s="4" t="n"/>
      <c r="D904" s="4" t="n"/>
      <c r="E904" s="4" t="n"/>
      <c r="F904" s="4" t="n"/>
      <c r="G904" s="4" t="n"/>
      <c r="H904" s="4" t="n"/>
    </row>
    <row r="905" ht="15.75" customHeight="1" s="108">
      <c r="A905" s="4" t="n"/>
      <c r="B905" s="4" t="n"/>
      <c r="C905" s="4" t="n"/>
      <c r="D905" s="4" t="n"/>
      <c r="E905" s="4" t="n"/>
      <c r="F905" s="4" t="n"/>
      <c r="G905" s="4" t="n"/>
      <c r="H905" s="4" t="n"/>
    </row>
    <row r="906" ht="15.75" customHeight="1" s="108">
      <c r="A906" s="4" t="n"/>
      <c r="B906" s="4" t="n"/>
      <c r="C906" s="4" t="n"/>
      <c r="D906" s="4" t="n"/>
      <c r="E906" s="4" t="n"/>
      <c r="F906" s="4" t="n"/>
      <c r="G906" s="4" t="n"/>
      <c r="H906" s="4" t="n"/>
    </row>
    <row r="907" ht="15.75" customHeight="1" s="108">
      <c r="A907" s="4" t="n"/>
      <c r="B907" s="4" t="n"/>
      <c r="C907" s="4" t="n"/>
      <c r="D907" s="4" t="n"/>
      <c r="E907" s="4" t="n"/>
      <c r="F907" s="4" t="n"/>
      <c r="G907" s="4" t="n"/>
      <c r="H907" s="4" t="n"/>
    </row>
    <row r="908" ht="15.75" customHeight="1" s="108">
      <c r="A908" s="4" t="n"/>
      <c r="B908" s="4" t="n"/>
      <c r="C908" s="4" t="n"/>
      <c r="D908" s="4" t="n"/>
      <c r="E908" s="4" t="n"/>
      <c r="F908" s="4" t="n"/>
      <c r="G908" s="4" t="n"/>
      <c r="H908" s="4" t="n"/>
    </row>
    <row r="909" ht="15.75" customHeight="1" s="108">
      <c r="A909" s="4" t="n"/>
      <c r="B909" s="4" t="n"/>
      <c r="C909" s="4" t="n"/>
      <c r="D909" s="4" t="n"/>
      <c r="E909" s="4" t="n"/>
      <c r="F909" s="4" t="n"/>
      <c r="G909" s="4" t="n"/>
      <c r="H909" s="4" t="n"/>
    </row>
    <row r="910" ht="15.75" customHeight="1" s="108">
      <c r="A910" s="4" t="n"/>
      <c r="B910" s="4" t="n"/>
      <c r="C910" s="4" t="n"/>
      <c r="D910" s="4" t="n"/>
      <c r="E910" s="4" t="n"/>
      <c r="F910" s="4" t="n"/>
      <c r="G910" s="4" t="n"/>
      <c r="H910" s="4" t="n"/>
    </row>
    <row r="911" ht="15.75" customHeight="1" s="108">
      <c r="A911" s="4" t="n"/>
      <c r="B911" s="4" t="n"/>
      <c r="C911" s="4" t="n"/>
      <c r="D911" s="4" t="n"/>
      <c r="E911" s="4" t="n"/>
      <c r="F911" s="4" t="n"/>
      <c r="G911" s="4" t="n"/>
      <c r="H911" s="4" t="n"/>
    </row>
    <row r="912" ht="15.75" customHeight="1" s="108">
      <c r="A912" s="4" t="n"/>
      <c r="B912" s="4" t="n"/>
      <c r="C912" s="4" t="n"/>
      <c r="D912" s="4" t="n"/>
      <c r="E912" s="4" t="n"/>
      <c r="F912" s="4" t="n"/>
      <c r="G912" s="4" t="n"/>
      <c r="H912" s="4" t="n"/>
    </row>
    <row r="913" ht="15.75" customHeight="1" s="108">
      <c r="A913" s="4" t="n"/>
      <c r="B913" s="4" t="n"/>
      <c r="C913" s="4" t="n"/>
      <c r="D913" s="4" t="n"/>
      <c r="E913" s="4" t="n"/>
      <c r="F913" s="4" t="n"/>
      <c r="G913" s="4" t="n"/>
      <c r="H913" s="4" t="n"/>
    </row>
    <row r="914" ht="15.75" customHeight="1" s="108">
      <c r="A914" s="4" t="n"/>
      <c r="B914" s="4" t="n"/>
      <c r="C914" s="4" t="n"/>
      <c r="D914" s="4" t="n"/>
      <c r="E914" s="4" t="n"/>
      <c r="F914" s="4" t="n"/>
      <c r="G914" s="4" t="n"/>
      <c r="H914" s="4" t="n"/>
    </row>
    <row r="915" ht="15.75" customHeight="1" s="108">
      <c r="A915" s="4" t="n"/>
      <c r="B915" s="4" t="n"/>
      <c r="C915" s="4" t="n"/>
      <c r="D915" s="4" t="n"/>
      <c r="E915" s="4" t="n"/>
      <c r="F915" s="4" t="n"/>
      <c r="G915" s="4" t="n"/>
      <c r="H915" s="4" t="n"/>
    </row>
    <row r="916" ht="15.75" customHeight="1" s="108">
      <c r="A916" s="4" t="n"/>
      <c r="B916" s="4" t="n"/>
      <c r="C916" s="4" t="n"/>
      <c r="D916" s="4" t="n"/>
      <c r="E916" s="4" t="n"/>
      <c r="F916" s="4" t="n"/>
      <c r="G916" s="4" t="n"/>
      <c r="H916" s="4" t="n"/>
    </row>
    <row r="917" ht="15.75" customHeight="1" s="108">
      <c r="A917" s="4" t="n"/>
      <c r="B917" s="4" t="n"/>
      <c r="C917" s="4" t="n"/>
      <c r="D917" s="4" t="n"/>
      <c r="E917" s="4" t="n"/>
      <c r="F917" s="4" t="n"/>
      <c r="G917" s="4" t="n"/>
      <c r="H917" s="4" t="n"/>
    </row>
    <row r="918" ht="15.75" customHeight="1" s="108">
      <c r="A918" s="4" t="n"/>
      <c r="B918" s="4" t="n"/>
      <c r="C918" s="4" t="n"/>
      <c r="D918" s="4" t="n"/>
      <c r="E918" s="4" t="n"/>
      <c r="F918" s="4" t="n"/>
      <c r="G918" s="4" t="n"/>
      <c r="H918" s="4" t="n"/>
    </row>
    <row r="919" ht="15.75" customHeight="1" s="108">
      <c r="A919" s="4" t="n"/>
      <c r="B919" s="4" t="n"/>
      <c r="C919" s="4" t="n"/>
      <c r="D919" s="4" t="n"/>
      <c r="E919" s="4" t="n"/>
      <c r="F919" s="4" t="n"/>
      <c r="G919" s="4" t="n"/>
      <c r="H919" s="4" t="n"/>
    </row>
    <row r="920" ht="15.75" customHeight="1" s="108">
      <c r="A920" s="4" t="n"/>
      <c r="B920" s="4" t="n"/>
      <c r="C920" s="4" t="n"/>
      <c r="D920" s="4" t="n"/>
      <c r="E920" s="4" t="n"/>
      <c r="F920" s="4" t="n"/>
      <c r="G920" s="4" t="n"/>
      <c r="H920" s="4" t="n"/>
    </row>
    <row r="921" ht="15.75" customHeight="1" s="108">
      <c r="A921" s="4" t="n"/>
      <c r="B921" s="4" t="n"/>
      <c r="C921" s="4" t="n"/>
      <c r="D921" s="4" t="n"/>
      <c r="E921" s="4" t="n"/>
      <c r="F921" s="4" t="n"/>
      <c r="G921" s="4" t="n"/>
      <c r="H921" s="4" t="n"/>
    </row>
    <row r="922" ht="15.75" customHeight="1" s="108">
      <c r="A922" s="4" t="n"/>
      <c r="B922" s="4" t="n"/>
      <c r="C922" s="4" t="n"/>
      <c r="D922" s="4" t="n"/>
      <c r="E922" s="4" t="n"/>
      <c r="F922" s="4" t="n"/>
      <c r="G922" s="4" t="n"/>
      <c r="H922" s="4" t="n"/>
    </row>
    <row r="923" ht="15.75" customHeight="1" s="108">
      <c r="A923" s="4" t="n"/>
      <c r="B923" s="4" t="n"/>
      <c r="C923" s="4" t="n"/>
      <c r="D923" s="4" t="n"/>
      <c r="E923" s="4" t="n"/>
      <c r="F923" s="4" t="n"/>
      <c r="G923" s="4" t="n"/>
      <c r="H923" s="4" t="n"/>
    </row>
    <row r="924" ht="15.75" customHeight="1" s="108">
      <c r="A924" s="4" t="n"/>
      <c r="B924" s="4" t="n"/>
      <c r="C924" s="4" t="n"/>
      <c r="D924" s="4" t="n"/>
      <c r="E924" s="4" t="n"/>
      <c r="F924" s="4" t="n"/>
      <c r="G924" s="4" t="n"/>
      <c r="H924" s="4" t="n"/>
    </row>
    <row r="925" ht="15.75" customHeight="1" s="108">
      <c r="A925" s="4" t="n"/>
      <c r="B925" s="4" t="n"/>
      <c r="C925" s="4" t="n"/>
      <c r="D925" s="4" t="n"/>
      <c r="E925" s="4" t="n"/>
      <c r="F925" s="4" t="n"/>
      <c r="G925" s="4" t="n"/>
      <c r="H925" s="4" t="n"/>
    </row>
    <row r="926" ht="15.75" customHeight="1" s="108">
      <c r="A926" s="4" t="n"/>
      <c r="B926" s="4" t="n"/>
      <c r="C926" s="4" t="n"/>
      <c r="D926" s="4" t="n"/>
      <c r="E926" s="4" t="n"/>
      <c r="F926" s="4" t="n"/>
      <c r="G926" s="4" t="n"/>
      <c r="H926" s="4" t="n"/>
    </row>
    <row r="927" ht="15.75" customHeight="1" s="108">
      <c r="A927" s="4" t="n"/>
      <c r="B927" s="4" t="n"/>
      <c r="C927" s="4" t="n"/>
      <c r="D927" s="4" t="n"/>
      <c r="E927" s="4" t="n"/>
      <c r="F927" s="4" t="n"/>
      <c r="G927" s="4" t="n"/>
      <c r="H927" s="4" t="n"/>
    </row>
    <row r="928" ht="15.75" customHeight="1" s="108">
      <c r="A928" s="4" t="n"/>
      <c r="B928" s="4" t="n"/>
      <c r="C928" s="4" t="n"/>
      <c r="D928" s="4" t="n"/>
      <c r="E928" s="4" t="n"/>
      <c r="F928" s="4" t="n"/>
      <c r="G928" s="4" t="n"/>
      <c r="H928" s="4" t="n"/>
    </row>
    <row r="929" ht="15.75" customHeight="1" s="108">
      <c r="A929" s="4" t="n"/>
      <c r="B929" s="4" t="n"/>
      <c r="C929" s="4" t="n"/>
      <c r="D929" s="4" t="n"/>
      <c r="E929" s="4" t="n"/>
      <c r="F929" s="4" t="n"/>
      <c r="G929" s="4" t="n"/>
      <c r="H929" s="4" t="n"/>
    </row>
    <row r="930" ht="15.75" customHeight="1" s="108">
      <c r="A930" s="4" t="n"/>
      <c r="B930" s="4" t="n"/>
      <c r="C930" s="4" t="n"/>
      <c r="D930" s="4" t="n"/>
      <c r="E930" s="4" t="n"/>
      <c r="F930" s="4" t="n"/>
      <c r="G930" s="4" t="n"/>
      <c r="H930" s="4" t="n"/>
    </row>
    <row r="931" ht="15.75" customHeight="1" s="108">
      <c r="A931" s="4" t="n"/>
      <c r="B931" s="4" t="n"/>
      <c r="C931" s="4" t="n"/>
      <c r="D931" s="4" t="n"/>
      <c r="E931" s="4" t="n"/>
      <c r="F931" s="4" t="n"/>
      <c r="G931" s="4" t="n"/>
      <c r="H931" s="4" t="n"/>
    </row>
    <row r="932" ht="15.75" customHeight="1" s="108">
      <c r="A932" s="4" t="n"/>
      <c r="B932" s="4" t="n"/>
      <c r="C932" s="4" t="n"/>
      <c r="D932" s="4" t="n"/>
      <c r="E932" s="4" t="n"/>
      <c r="F932" s="4" t="n"/>
      <c r="G932" s="4" t="n"/>
      <c r="H932" s="4" t="n"/>
    </row>
    <row r="933" ht="15.75" customHeight="1" s="108">
      <c r="A933" s="4" t="n"/>
      <c r="B933" s="4" t="n"/>
      <c r="C933" s="4" t="n"/>
      <c r="D933" s="4" t="n"/>
      <c r="E933" s="4" t="n"/>
      <c r="F933" s="4" t="n"/>
      <c r="G933" s="4" t="n"/>
      <c r="H933" s="4" t="n"/>
    </row>
    <row r="934" ht="15.75" customHeight="1" s="108">
      <c r="A934" s="4" t="n"/>
      <c r="B934" s="4" t="n"/>
      <c r="C934" s="4" t="n"/>
      <c r="D934" s="4" t="n"/>
      <c r="E934" s="4" t="n"/>
      <c r="F934" s="4" t="n"/>
      <c r="G934" s="4" t="n"/>
      <c r="H934" s="4" t="n"/>
    </row>
    <row r="935" ht="15.75" customHeight="1" s="108">
      <c r="A935" s="4" t="n"/>
      <c r="B935" s="4" t="n"/>
      <c r="C935" s="4" t="n"/>
      <c r="D935" s="4" t="n"/>
      <c r="E935" s="4" t="n"/>
      <c r="F935" s="4" t="n"/>
      <c r="G935" s="4" t="n"/>
      <c r="H935" s="4" t="n"/>
    </row>
    <row r="936" ht="15.75" customHeight="1" s="108">
      <c r="A936" s="4" t="n"/>
      <c r="B936" s="4" t="n"/>
      <c r="C936" s="4" t="n"/>
      <c r="D936" s="4" t="n"/>
      <c r="E936" s="4" t="n"/>
      <c r="F936" s="4" t="n"/>
      <c r="G936" s="4" t="n"/>
      <c r="H936" s="4" t="n"/>
    </row>
    <row r="937" ht="15.75" customHeight="1" s="108">
      <c r="A937" s="4" t="n"/>
      <c r="B937" s="4" t="n"/>
      <c r="C937" s="4" t="n"/>
      <c r="D937" s="4" t="n"/>
      <c r="E937" s="4" t="n"/>
      <c r="F937" s="4" t="n"/>
      <c r="G937" s="4" t="n"/>
      <c r="H937" s="4" t="n"/>
    </row>
    <row r="938" ht="15.75" customHeight="1" s="108">
      <c r="A938" s="4" t="n"/>
      <c r="B938" s="4" t="n"/>
      <c r="C938" s="4" t="n"/>
      <c r="D938" s="4" t="n"/>
      <c r="E938" s="4" t="n"/>
      <c r="F938" s="4" t="n"/>
      <c r="G938" s="4" t="n"/>
      <c r="H938" s="4" t="n"/>
    </row>
    <row r="939" ht="15.75" customHeight="1" s="108">
      <c r="A939" s="4" t="n"/>
      <c r="B939" s="4" t="n"/>
      <c r="C939" s="4" t="n"/>
      <c r="D939" s="4" t="n"/>
      <c r="E939" s="4" t="n"/>
      <c r="F939" s="4" t="n"/>
      <c r="G939" s="4" t="n"/>
      <c r="H939" s="4" t="n"/>
    </row>
    <row r="940" ht="15.75" customHeight="1" s="108">
      <c r="A940" s="4" t="n"/>
      <c r="B940" s="4" t="n"/>
      <c r="C940" s="4" t="n"/>
      <c r="D940" s="4" t="n"/>
      <c r="E940" s="4" t="n"/>
      <c r="F940" s="4" t="n"/>
      <c r="G940" s="4" t="n"/>
      <c r="H940" s="4" t="n"/>
    </row>
    <row r="941" ht="15.75" customHeight="1" s="108">
      <c r="A941" s="4" t="n"/>
      <c r="B941" s="4" t="n"/>
      <c r="C941" s="4" t="n"/>
      <c r="D941" s="4" t="n"/>
      <c r="E941" s="4" t="n"/>
      <c r="F941" s="4" t="n"/>
      <c r="G941" s="4" t="n"/>
      <c r="H941" s="4" t="n"/>
    </row>
    <row r="942" ht="15.75" customHeight="1" s="108">
      <c r="A942" s="4" t="n"/>
      <c r="B942" s="4" t="n"/>
      <c r="C942" s="4" t="n"/>
      <c r="D942" s="4" t="n"/>
      <c r="E942" s="4" t="n"/>
      <c r="F942" s="4" t="n"/>
      <c r="G942" s="4" t="n"/>
      <c r="H942" s="4" t="n"/>
    </row>
    <row r="943" ht="15.75" customHeight="1" s="108">
      <c r="A943" s="4" t="n"/>
      <c r="B943" s="4" t="n"/>
      <c r="C943" s="4" t="n"/>
      <c r="D943" s="4" t="n"/>
      <c r="E943" s="4" t="n"/>
      <c r="F943" s="4" t="n"/>
      <c r="G943" s="4" t="n"/>
      <c r="H943" s="4" t="n"/>
    </row>
    <row r="944" ht="15.75" customHeight="1" s="108">
      <c r="A944" s="4" t="n"/>
      <c r="B944" s="4" t="n"/>
      <c r="C944" s="4" t="n"/>
      <c r="D944" s="4" t="n"/>
      <c r="E944" s="4" t="n"/>
      <c r="F944" s="4" t="n"/>
      <c r="G944" s="4" t="n"/>
      <c r="H944" s="4" t="n"/>
    </row>
    <row r="945" ht="15.75" customHeight="1" s="108">
      <c r="A945" s="4" t="n"/>
      <c r="B945" s="4" t="n"/>
      <c r="C945" s="4" t="n"/>
      <c r="D945" s="4" t="n"/>
      <c r="E945" s="4" t="n"/>
      <c r="F945" s="4" t="n"/>
      <c r="G945" s="4" t="n"/>
      <c r="H945" s="4" t="n"/>
    </row>
    <row r="946" ht="15.75" customHeight="1" s="108">
      <c r="A946" s="4" t="n"/>
      <c r="B946" s="4" t="n"/>
      <c r="C946" s="4" t="n"/>
      <c r="D946" s="4" t="n"/>
      <c r="E946" s="4" t="n"/>
      <c r="F946" s="4" t="n"/>
      <c r="G946" s="4" t="n"/>
      <c r="H946" s="4" t="n"/>
    </row>
    <row r="947" ht="15.75" customHeight="1" s="108">
      <c r="A947" s="4" t="n"/>
      <c r="B947" s="4" t="n"/>
      <c r="C947" s="4" t="n"/>
      <c r="D947" s="4" t="n"/>
      <c r="E947" s="4" t="n"/>
      <c r="F947" s="4" t="n"/>
      <c r="G947" s="4" t="n"/>
      <c r="H947" s="4" t="n"/>
    </row>
    <row r="948" ht="15.75" customHeight="1" s="108">
      <c r="A948" s="4" t="n"/>
      <c r="B948" s="4" t="n"/>
      <c r="C948" s="4" t="n"/>
      <c r="D948" s="4" t="n"/>
      <c r="E948" s="4" t="n"/>
      <c r="F948" s="4" t="n"/>
      <c r="G948" s="4" t="n"/>
      <c r="H948" s="4" t="n"/>
    </row>
    <row r="949" ht="15.75" customHeight="1" s="108">
      <c r="A949" s="4" t="n"/>
      <c r="B949" s="4" t="n"/>
      <c r="C949" s="4" t="n"/>
      <c r="D949" s="4" t="n"/>
      <c r="E949" s="4" t="n"/>
      <c r="F949" s="4" t="n"/>
      <c r="G949" s="4" t="n"/>
      <c r="H949" s="4" t="n"/>
    </row>
    <row r="950" ht="15.75" customHeight="1" s="108">
      <c r="A950" s="4" t="n"/>
      <c r="B950" s="4" t="n"/>
      <c r="C950" s="4" t="n"/>
      <c r="D950" s="4" t="n"/>
      <c r="E950" s="4" t="n"/>
      <c r="F950" s="4" t="n"/>
      <c r="G950" s="4" t="n"/>
      <c r="H950" s="4" t="n"/>
    </row>
    <row r="951" ht="15.75" customHeight="1" s="108">
      <c r="A951" s="4" t="n"/>
      <c r="B951" s="4" t="n"/>
      <c r="C951" s="4" t="n"/>
      <c r="D951" s="4" t="n"/>
      <c r="E951" s="4" t="n"/>
      <c r="F951" s="4" t="n"/>
      <c r="G951" s="4" t="n"/>
      <c r="H951" s="4" t="n"/>
    </row>
    <row r="952" ht="15.75" customHeight="1" s="108">
      <c r="A952" s="4" t="n"/>
      <c r="B952" s="4" t="n"/>
      <c r="C952" s="4" t="n"/>
      <c r="D952" s="4" t="n"/>
      <c r="E952" s="4" t="n"/>
      <c r="F952" s="4" t="n"/>
      <c r="G952" s="4" t="n"/>
      <c r="H952" s="4" t="n"/>
    </row>
    <row r="953" ht="15.75" customHeight="1" s="108">
      <c r="A953" s="4" t="n"/>
      <c r="B953" s="4" t="n"/>
      <c r="C953" s="4" t="n"/>
      <c r="D953" s="4" t="n"/>
      <c r="E953" s="4" t="n"/>
      <c r="F953" s="4" t="n"/>
      <c r="G953" s="4" t="n"/>
      <c r="H953" s="4" t="n"/>
    </row>
    <row r="954" ht="15.75" customHeight="1" s="108">
      <c r="A954" s="4" t="n"/>
      <c r="B954" s="4" t="n"/>
      <c r="C954" s="4" t="n"/>
      <c r="D954" s="4" t="n"/>
      <c r="E954" s="4" t="n"/>
      <c r="F954" s="4" t="n"/>
      <c r="G954" s="4" t="n"/>
      <c r="H954" s="4" t="n"/>
    </row>
    <row r="955" ht="15.75" customHeight="1" s="108">
      <c r="A955" s="4" t="n"/>
      <c r="B955" s="4" t="n"/>
      <c r="C955" s="4" t="n"/>
      <c r="D955" s="4" t="n"/>
      <c r="E955" s="4" t="n"/>
      <c r="F955" s="4" t="n"/>
      <c r="G955" s="4" t="n"/>
      <c r="H955" s="4" t="n"/>
    </row>
    <row r="956" ht="15.75" customHeight="1" s="108">
      <c r="A956" s="4" t="n"/>
      <c r="B956" s="4" t="n"/>
      <c r="C956" s="4" t="n"/>
      <c r="D956" s="4" t="n"/>
      <c r="E956" s="4" t="n"/>
      <c r="F956" s="4" t="n"/>
      <c r="G956" s="4" t="n"/>
      <c r="H956" s="4" t="n"/>
    </row>
    <row r="957" ht="15.75" customHeight="1" s="108">
      <c r="A957" s="4" t="n"/>
      <c r="B957" s="4" t="n"/>
      <c r="C957" s="4" t="n"/>
      <c r="D957" s="4" t="n"/>
      <c r="E957" s="4" t="n"/>
      <c r="F957" s="4" t="n"/>
      <c r="G957" s="4" t="n"/>
      <c r="H957" s="4" t="n"/>
    </row>
    <row r="958" ht="15.75" customHeight="1" s="108">
      <c r="A958" s="4" t="n"/>
      <c r="B958" s="4" t="n"/>
      <c r="C958" s="4" t="n"/>
      <c r="D958" s="4" t="n"/>
      <c r="E958" s="4" t="n"/>
      <c r="F958" s="4" t="n"/>
      <c r="G958" s="4" t="n"/>
      <c r="H958" s="4" t="n"/>
    </row>
    <row r="959" ht="15.75" customHeight="1" s="108">
      <c r="A959" s="4" t="n"/>
      <c r="B959" s="4" t="n"/>
      <c r="C959" s="4" t="n"/>
      <c r="D959" s="4" t="n"/>
      <c r="E959" s="4" t="n"/>
      <c r="F959" s="4" t="n"/>
      <c r="G959" s="4" t="n"/>
      <c r="H959" s="4" t="n"/>
    </row>
    <row r="960" ht="15.75" customHeight="1" s="108">
      <c r="A960" s="4" t="n"/>
      <c r="B960" s="4" t="n"/>
      <c r="C960" s="4" t="n"/>
      <c r="D960" s="4" t="n"/>
      <c r="E960" s="4" t="n"/>
      <c r="F960" s="4" t="n"/>
      <c r="G960" s="4" t="n"/>
      <c r="H960" s="4" t="n"/>
    </row>
    <row r="961" ht="15.75" customHeight="1" s="108">
      <c r="A961" s="4" t="n"/>
      <c r="B961" s="4" t="n"/>
      <c r="C961" s="4" t="n"/>
      <c r="D961" s="4" t="n"/>
      <c r="E961" s="4" t="n"/>
      <c r="F961" s="4" t="n"/>
      <c r="G961" s="4" t="n"/>
      <c r="H961" s="4" t="n"/>
    </row>
    <row r="962" ht="15.75" customHeight="1" s="108">
      <c r="A962" s="4" t="n"/>
      <c r="B962" s="4" t="n"/>
      <c r="C962" s="4" t="n"/>
      <c r="D962" s="4" t="n"/>
      <c r="E962" s="4" t="n"/>
      <c r="F962" s="4" t="n"/>
      <c r="G962" s="4" t="n"/>
      <c r="H962" s="4" t="n"/>
    </row>
    <row r="963" ht="15.75" customHeight="1" s="108">
      <c r="A963" s="4" t="n"/>
      <c r="B963" s="4" t="n"/>
      <c r="C963" s="4" t="n"/>
      <c r="D963" s="4" t="n"/>
      <c r="E963" s="4" t="n"/>
      <c r="F963" s="4" t="n"/>
      <c r="G963" s="4" t="n"/>
      <c r="H963" s="4" t="n"/>
    </row>
    <row r="964" ht="15.75" customHeight="1" s="108">
      <c r="A964" s="4" t="n"/>
      <c r="B964" s="4" t="n"/>
      <c r="C964" s="4" t="n"/>
      <c r="D964" s="4" t="n"/>
      <c r="E964" s="4" t="n"/>
      <c r="F964" s="4" t="n"/>
      <c r="G964" s="4" t="n"/>
      <c r="H964" s="4" t="n"/>
    </row>
    <row r="965" ht="15.75" customHeight="1" s="108">
      <c r="A965" s="4" t="n"/>
      <c r="B965" s="4" t="n"/>
      <c r="C965" s="4" t="n"/>
      <c r="D965" s="4" t="n"/>
      <c r="E965" s="4" t="n"/>
      <c r="F965" s="4" t="n"/>
      <c r="G965" s="4" t="n"/>
      <c r="H965" s="4" t="n"/>
    </row>
    <row r="966" ht="15.75" customHeight="1" s="108">
      <c r="A966" s="4" t="n"/>
      <c r="B966" s="4" t="n"/>
      <c r="C966" s="4" t="n"/>
      <c r="D966" s="4" t="n"/>
      <c r="E966" s="4" t="n"/>
      <c r="F966" s="4" t="n"/>
      <c r="G966" s="4" t="n"/>
      <c r="H966" s="4" t="n"/>
    </row>
    <row r="967" ht="15.75" customHeight="1" s="108">
      <c r="A967" s="4" t="n"/>
      <c r="B967" s="4" t="n"/>
      <c r="C967" s="4" t="n"/>
      <c r="D967" s="4" t="n"/>
      <c r="E967" s="4" t="n"/>
      <c r="F967" s="4" t="n"/>
      <c r="G967" s="4" t="n"/>
      <c r="H967" s="4" t="n"/>
    </row>
    <row r="968" ht="15.75" customHeight="1" s="108">
      <c r="A968" s="4" t="n"/>
      <c r="B968" s="4" t="n"/>
      <c r="C968" s="4" t="n"/>
      <c r="D968" s="4" t="n"/>
      <c r="E968" s="4" t="n"/>
      <c r="F968" s="4" t="n"/>
      <c r="G968" s="4" t="n"/>
      <c r="H968" s="4" t="n"/>
    </row>
    <row r="969" ht="15.75" customHeight="1" s="108">
      <c r="A969" s="4" t="n"/>
      <c r="B969" s="4" t="n"/>
      <c r="C969" s="4" t="n"/>
      <c r="D969" s="4" t="n"/>
      <c r="E969" s="4" t="n"/>
      <c r="F969" s="4" t="n"/>
      <c r="G969" s="4" t="n"/>
      <c r="H969" s="4" t="n"/>
    </row>
    <row r="970" ht="15.75" customHeight="1" s="108">
      <c r="A970" s="4" t="n"/>
      <c r="B970" s="4" t="n"/>
      <c r="C970" s="4" t="n"/>
      <c r="D970" s="4" t="n"/>
      <c r="E970" s="4" t="n"/>
      <c r="F970" s="4" t="n"/>
      <c r="G970" s="4" t="n"/>
      <c r="H970" s="4" t="n"/>
    </row>
    <row r="971" ht="15.75" customHeight="1" s="108">
      <c r="A971" s="4" t="n"/>
      <c r="B971" s="4" t="n"/>
      <c r="C971" s="4" t="n"/>
      <c r="D971" s="4" t="n"/>
      <c r="E971" s="4" t="n"/>
      <c r="F971" s="4" t="n"/>
      <c r="G971" s="4" t="n"/>
      <c r="H971" s="4" t="n"/>
    </row>
    <row r="972" ht="15.75" customHeight="1" s="108">
      <c r="A972" s="4" t="n"/>
      <c r="B972" s="4" t="n"/>
      <c r="C972" s="4" t="n"/>
      <c r="D972" s="4" t="n"/>
      <c r="E972" s="4" t="n"/>
      <c r="F972" s="4" t="n"/>
      <c r="G972" s="4" t="n"/>
      <c r="H972" s="4" t="n"/>
    </row>
    <row r="973" ht="15.75" customHeight="1" s="108">
      <c r="A973" s="4" t="n"/>
      <c r="B973" s="4" t="n"/>
      <c r="C973" s="4" t="n"/>
      <c r="D973" s="4" t="n"/>
      <c r="E973" s="4" t="n"/>
      <c r="F973" s="4" t="n"/>
      <c r="G973" s="4" t="n"/>
      <c r="H973" s="4" t="n"/>
    </row>
    <row r="974" ht="15.75" customHeight="1" s="108">
      <c r="A974" s="4" t="n"/>
      <c r="B974" s="4" t="n"/>
      <c r="C974" s="4" t="n"/>
      <c r="D974" s="4" t="n"/>
      <c r="E974" s="4" t="n"/>
      <c r="F974" s="4" t="n"/>
      <c r="G974" s="4" t="n"/>
      <c r="H974" s="4" t="n"/>
    </row>
    <row r="975" ht="15.75" customHeight="1" s="108">
      <c r="A975" s="4" t="n"/>
      <c r="B975" s="4" t="n"/>
      <c r="C975" s="4" t="n"/>
      <c r="D975" s="4" t="n"/>
      <c r="E975" s="4" t="n"/>
      <c r="F975" s="4" t="n"/>
      <c r="G975" s="4" t="n"/>
      <c r="H975" s="4" t="n"/>
    </row>
    <row r="976" ht="15.75" customHeight="1" s="108">
      <c r="A976" s="4" t="n"/>
      <c r="B976" s="4" t="n"/>
      <c r="C976" s="4" t="n"/>
      <c r="D976" s="4" t="n"/>
      <c r="E976" s="4" t="n"/>
      <c r="F976" s="4" t="n"/>
      <c r="G976" s="4" t="n"/>
      <c r="H976" s="4" t="n"/>
    </row>
    <row r="977" ht="15.75" customHeight="1" s="108">
      <c r="A977" s="4" t="n"/>
      <c r="B977" s="4" t="n"/>
      <c r="C977" s="4" t="n"/>
      <c r="D977" s="4" t="n"/>
      <c r="E977" s="4" t="n"/>
      <c r="F977" s="4" t="n"/>
      <c r="G977" s="4" t="n"/>
      <c r="H977" s="4" t="n"/>
    </row>
    <row r="978" ht="15.75" customHeight="1" s="108">
      <c r="A978" s="4" t="n"/>
      <c r="B978" s="4" t="n"/>
      <c r="C978" s="4" t="n"/>
      <c r="D978" s="4" t="n"/>
      <c r="E978" s="4" t="n"/>
      <c r="F978" s="4" t="n"/>
      <c r="G978" s="4" t="n"/>
      <c r="H978" s="4" t="n"/>
    </row>
    <row r="979" ht="15.75" customHeight="1" s="108">
      <c r="A979" s="4" t="n"/>
      <c r="B979" s="4" t="n"/>
      <c r="C979" s="4" t="n"/>
      <c r="D979" s="4" t="n"/>
      <c r="E979" s="4" t="n"/>
      <c r="F979" s="4" t="n"/>
      <c r="G979" s="4" t="n"/>
      <c r="H979" s="4" t="n"/>
    </row>
    <row r="980" ht="15.75" customHeight="1" s="108">
      <c r="A980" s="4" t="n"/>
      <c r="B980" s="4" t="n"/>
      <c r="C980" s="4" t="n"/>
      <c r="D980" s="4" t="n"/>
      <c r="E980" s="4" t="n"/>
      <c r="F980" s="4" t="n"/>
      <c r="G980" s="4" t="n"/>
      <c r="H980" s="4" t="n"/>
    </row>
    <row r="981" ht="15.75" customHeight="1" s="108">
      <c r="A981" s="4" t="n"/>
      <c r="B981" s="4" t="n"/>
      <c r="C981" s="4" t="n"/>
      <c r="D981" s="4" t="n"/>
      <c r="E981" s="4" t="n"/>
      <c r="F981" s="4" t="n"/>
      <c r="G981" s="4" t="n"/>
      <c r="H981" s="4" t="n"/>
    </row>
    <row r="982" ht="15.75" customHeight="1" s="108">
      <c r="A982" s="4" t="n"/>
      <c r="B982" s="4" t="n"/>
      <c r="C982" s="4" t="n"/>
      <c r="D982" s="4" t="n"/>
      <c r="E982" s="4" t="n"/>
      <c r="F982" s="4" t="n"/>
      <c r="G982" s="4" t="n"/>
      <c r="H982" s="4" t="n"/>
    </row>
    <row r="983" ht="15.75" customHeight="1" s="108">
      <c r="A983" s="4" t="n"/>
      <c r="B983" s="4" t="n"/>
      <c r="C983" s="4" t="n"/>
      <c r="D983" s="4" t="n"/>
      <c r="E983" s="4" t="n"/>
      <c r="F983" s="4" t="n"/>
      <c r="G983" s="4" t="n"/>
      <c r="H983" s="4" t="n"/>
    </row>
    <row r="984" ht="15.75" customHeight="1" s="108">
      <c r="A984" s="4" t="n"/>
      <c r="B984" s="4" t="n"/>
      <c r="C984" s="4" t="n"/>
      <c r="D984" s="4" t="n"/>
      <c r="E984" s="4" t="n"/>
      <c r="F984" s="4" t="n"/>
      <c r="G984" s="4" t="n"/>
      <c r="H984" s="4" t="n"/>
    </row>
    <row r="985" ht="15.75" customHeight="1" s="108">
      <c r="A985" s="4" t="n"/>
      <c r="B985" s="4" t="n"/>
      <c r="C985" s="4" t="n"/>
      <c r="D985" s="4" t="n"/>
      <c r="E985" s="4" t="n"/>
      <c r="F985" s="4" t="n"/>
      <c r="G985" s="4" t="n"/>
      <c r="H985" s="4" t="n"/>
    </row>
    <row r="986" ht="15.75" customHeight="1" s="108">
      <c r="A986" s="4" t="n"/>
      <c r="B986" s="4" t="n"/>
      <c r="C986" s="4" t="n"/>
      <c r="D986" s="4" t="n"/>
      <c r="E986" s="4" t="n"/>
      <c r="F986" s="4" t="n"/>
      <c r="G986" s="4" t="n"/>
      <c r="H986" s="4" t="n"/>
    </row>
    <row r="987" ht="15.75" customHeight="1" s="108">
      <c r="A987" s="4" t="n"/>
      <c r="B987" s="4" t="n"/>
      <c r="C987" s="4" t="n"/>
      <c r="D987" s="4" t="n"/>
      <c r="E987" s="4" t="n"/>
      <c r="F987" s="4" t="n"/>
      <c r="G987" s="4" t="n"/>
      <c r="H987" s="4" t="n"/>
    </row>
    <row r="988" ht="15.75" customHeight="1" s="108">
      <c r="A988" s="4" t="n"/>
      <c r="B988" s="4" t="n"/>
      <c r="C988" s="4" t="n"/>
      <c r="D988" s="4" t="n"/>
      <c r="E988" s="4" t="n"/>
      <c r="F988" s="4" t="n"/>
      <c r="G988" s="4" t="n"/>
      <c r="H988" s="4" t="n"/>
    </row>
    <row r="989" ht="15.75" customHeight="1" s="108">
      <c r="A989" s="4" t="n"/>
      <c r="B989" s="4" t="n"/>
      <c r="C989" s="4" t="n"/>
      <c r="D989" s="4" t="n"/>
      <c r="E989" s="4" t="n"/>
      <c r="F989" s="4" t="n"/>
      <c r="G989" s="4" t="n"/>
      <c r="H989" s="4" t="n"/>
    </row>
    <row r="990" ht="15.75" customHeight="1" s="108">
      <c r="A990" s="4" t="n"/>
      <c r="B990" s="4" t="n"/>
      <c r="C990" s="4" t="n"/>
      <c r="D990" s="4" t="n"/>
      <c r="E990" s="4" t="n"/>
      <c r="F990" s="4" t="n"/>
      <c r="G990" s="4" t="n"/>
      <c r="H990" s="4" t="n"/>
    </row>
    <row r="991" ht="15.75" customHeight="1" s="108">
      <c r="A991" s="4" t="n"/>
      <c r="B991" s="4" t="n"/>
      <c r="C991" s="4" t="n"/>
      <c r="D991" s="4" t="n"/>
      <c r="E991" s="4" t="n"/>
      <c r="F991" s="4" t="n"/>
      <c r="G991" s="4" t="n"/>
      <c r="H991" s="4" t="n"/>
    </row>
    <row r="992" ht="15.75" customHeight="1" s="108">
      <c r="A992" s="4" t="n"/>
      <c r="B992" s="4" t="n"/>
      <c r="C992" s="4" t="n"/>
      <c r="D992" s="4" t="n"/>
      <c r="E992" s="4" t="n"/>
      <c r="F992" s="4" t="n"/>
      <c r="G992" s="4" t="n"/>
      <c r="H992" s="4" t="n"/>
    </row>
    <row r="993" ht="15.75" customHeight="1" s="108">
      <c r="A993" s="4" t="n"/>
      <c r="B993" s="4" t="n"/>
      <c r="C993" s="4" t="n"/>
      <c r="D993" s="4" t="n"/>
      <c r="E993" s="4" t="n"/>
      <c r="F993" s="4" t="n"/>
      <c r="G993" s="4" t="n"/>
      <c r="H993" s="4" t="n"/>
    </row>
    <row r="994" ht="15.75" customHeight="1" s="108">
      <c r="A994" s="4" t="n"/>
      <c r="B994" s="4" t="n"/>
      <c r="C994" s="4" t="n"/>
      <c r="D994" s="4" t="n"/>
      <c r="E994" s="4" t="n"/>
      <c r="F994" s="4" t="n"/>
      <c r="G994" s="4" t="n"/>
      <c r="H994" s="4" t="n"/>
    </row>
    <row r="995" ht="15.75" customHeight="1" s="108">
      <c r="A995" s="4" t="n"/>
      <c r="B995" s="4" t="n"/>
      <c r="C995" s="4" t="n"/>
      <c r="D995" s="4" t="n"/>
      <c r="E995" s="4" t="n"/>
      <c r="F995" s="4" t="n"/>
      <c r="G995" s="4" t="n"/>
      <c r="H995" s="4" t="n"/>
    </row>
    <row r="996" ht="15.75" customHeight="1" s="108">
      <c r="A996" s="4" t="n"/>
      <c r="B996" s="4" t="n"/>
      <c r="C996" s="4" t="n"/>
      <c r="D996" s="4" t="n"/>
      <c r="E996" s="4" t="n"/>
      <c r="F996" s="4" t="n"/>
      <c r="G996" s="4" t="n"/>
      <c r="H996" s="4" t="n"/>
    </row>
    <row r="997" ht="15.75" customHeight="1" s="108">
      <c r="A997" s="4" t="n"/>
      <c r="B997" s="4" t="n"/>
      <c r="C997" s="4" t="n"/>
      <c r="D997" s="4" t="n"/>
      <c r="E997" s="4" t="n"/>
      <c r="F997" s="4" t="n"/>
      <c r="G997" s="4" t="n"/>
      <c r="H997" s="4" t="n"/>
    </row>
    <row r="998" ht="15.75" customHeight="1" s="108">
      <c r="A998" s="4" t="n"/>
      <c r="B998" s="4" t="n"/>
      <c r="C998" s="4" t="n"/>
      <c r="D998" s="4" t="n"/>
      <c r="E998" s="4" t="n"/>
      <c r="F998" s="4" t="n"/>
      <c r="G998" s="4" t="n"/>
      <c r="H998" s="4" t="n"/>
    </row>
    <row r="999" ht="15.75" customHeight="1" s="108">
      <c r="A999" s="4" t="n"/>
      <c r="B999" s="4" t="n"/>
      <c r="C999" s="4" t="n"/>
      <c r="D999" s="4" t="n"/>
      <c r="E999" s="4" t="n"/>
      <c r="F999" s="4" t="n"/>
      <c r="G999" s="4" t="n"/>
      <c r="H999" s="4" t="n"/>
    </row>
    <row r="1000" ht="15.75" customHeight="1" s="108">
      <c r="A1000" s="4" t="n"/>
      <c r="B1000" s="4" t="n"/>
      <c r="C1000" s="4" t="n"/>
      <c r="D1000" s="4" t="n"/>
      <c r="E1000" s="4" t="n"/>
      <c r="F1000" s="4" t="n"/>
      <c r="G1000" s="4" t="n"/>
      <c r="H1000" s="4" t="n"/>
    </row>
  </sheetData>
  <mergeCells count="4">
    <mergeCell ref="A25:H25"/>
    <mergeCell ref="A14:B14"/>
    <mergeCell ref="A2:H2"/>
    <mergeCell ref="A1:H1"/>
  </mergeCells>
  <conditionalFormatting sqref="E13:E22">
    <cfRule type="colorScale" priority="1">
      <colorScale>
        <cfvo type="min"/>
        <cfvo type="percentile" val="50"/>
        <cfvo type="max"/>
        <color rgb="FFF7C6C2"/>
        <color rgb="FFFFE59A"/>
        <color rgb="FFC6E0B4"/>
      </colorScale>
    </cfRule>
  </conditionalFormatting>
  <pageMargins left="0.7" right="0.7" top="0.75" bottom="0.75" header="0" footer="0"/>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C1040"/>
  <sheetViews>
    <sheetView workbookViewId="0">
      <selection activeCell="A1" sqref="A1"/>
    </sheetView>
  </sheetViews>
  <sheetFormatPr baseColWidth="8" defaultColWidth="14.43" defaultRowHeight="15" customHeight="1"/>
  <cols>
    <col width="10" customWidth="1" style="108" min="1" max="1"/>
    <col width="40" customWidth="1" style="108" min="2" max="2"/>
    <col width="8" customWidth="1" style="108" min="3" max="3"/>
    <col width="13" customWidth="1" style="108" min="4" max="4"/>
    <col width="25" customWidth="1" style="108" min="5" max="5"/>
    <col width="32" customWidth="1" style="108" min="6" max="6"/>
    <col width="10" customWidth="1" style="108" min="7" max="7"/>
    <col width="12" customWidth="1" style="108" min="8" max="8"/>
    <col width="34" customWidth="1" style="108" min="9" max="9"/>
    <col width="25" customWidth="1" style="108" min="10" max="10"/>
    <col width="13" customWidth="1" style="108" min="11" max="11"/>
    <col width="29" customWidth="1" style="108" min="12" max="12"/>
    <col width="35" customWidth="1" style="108" min="13" max="13"/>
    <col width="39" customWidth="1" style="108" min="14" max="15"/>
    <col width="22" customWidth="1" style="108" min="16" max="20"/>
    <col width="12" customWidth="1" style="108" min="21" max="21"/>
    <col width="11" customWidth="1" style="108" min="22" max="22"/>
    <col width="14" customWidth="1" style="108" min="23" max="23"/>
    <col width="10" customWidth="1" style="108" min="24" max="24"/>
    <col width="11" customWidth="1" style="108" min="25" max="26"/>
  </cols>
  <sheetData>
    <row r="1" ht="31.5" customHeight="1" s="108">
      <c r="A1" s="113" t="inlineStr">
        <is>
          <t>🎬 MY BLU-RAY COLLECTION — v5.0</t>
        </is>
      </c>
    </row>
    <row r="2" ht="21" customHeight="1" s="108">
      <c r="A2" s="114" t="inlineStr">
        <is>
          <t>Ratings edition: dedicated ratings database added with your score, external-rating fields, consensus scoring and one-click source lookups.</t>
        </is>
      </c>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30" customHeight="1" s="108">
      <c r="A4" s="82" t="inlineStr">
        <is>
          <t>Film ID</t>
        </is>
      </c>
      <c r="B4" s="82" t="inlineStr">
        <is>
          <t>Title</t>
        </is>
      </c>
      <c r="C4" s="82" t="inlineStr">
        <is>
          <t>Year</t>
        </is>
      </c>
      <c r="D4" s="82" t="inlineStr">
        <is>
          <t>Format</t>
        </is>
      </c>
      <c r="E4" s="82" t="inlineStr">
        <is>
          <t>Collection</t>
        </is>
      </c>
      <c r="F4" s="82" t="inlineStr">
        <is>
          <t>Physical Release / Box Set</t>
        </is>
      </c>
      <c r="G4" s="82" t="inlineStr">
        <is>
          <t>Watched</t>
        </is>
      </c>
      <c r="H4" s="82" t="inlineStr">
        <is>
          <t>Rating (1-5)</t>
        </is>
      </c>
      <c r="I4" s="82" t="inlineStr">
        <is>
          <t>Notes</t>
        </is>
      </c>
      <c r="J4" s="82" t="inlineStr">
        <is>
          <t>Director</t>
        </is>
      </c>
      <c r="K4" s="82" t="inlineStr">
        <is>
          <t>Runtime (min)</t>
        </is>
      </c>
      <c r="L4" s="82" t="inlineStr">
        <is>
          <t>Genre</t>
        </is>
      </c>
      <c r="M4" s="82" t="inlineStr">
        <is>
          <t>Studio / Production</t>
        </is>
      </c>
      <c r="N4" s="82" t="inlineStr">
        <is>
          <t>Metadata Source</t>
        </is>
      </c>
      <c r="O4" s="82" t="inlineStr">
        <is>
          <t>Cast Source</t>
        </is>
      </c>
      <c r="P4" s="82" t="inlineStr">
        <is>
          <t>Actor 1</t>
        </is>
      </c>
      <c r="Q4" s="82" t="inlineStr">
        <is>
          <t>Actor 2</t>
        </is>
      </c>
      <c r="R4" s="82" t="inlineStr">
        <is>
          <t>Actor 3</t>
        </is>
      </c>
      <c r="S4" s="82" t="inlineStr">
        <is>
          <t>Actor 4</t>
        </is>
      </c>
      <c r="T4" s="82" t="inlineStr">
        <is>
          <t>Actor 5</t>
        </is>
      </c>
      <c r="U4" s="82" t="inlineStr">
        <is>
          <t>Oscar Noms</t>
        </is>
      </c>
      <c r="V4" s="82" t="inlineStr">
        <is>
          <t>Oscar Wins</t>
        </is>
      </c>
      <c r="W4" s="82" t="inlineStr">
        <is>
          <t>Best Picture</t>
        </is>
      </c>
      <c r="X4" s="82" t="inlineStr">
        <is>
          <t>IMDb</t>
        </is>
      </c>
      <c r="Y4" s="82" t="inlineStr">
        <is>
          <t>RT Critics</t>
        </is>
      </c>
      <c r="Z4" s="82" t="inlineStr">
        <is>
          <t>Letterboxd</t>
        </is>
      </c>
      <c r="AA4" s="18" t="inlineStr">
        <is>
          <t>Date Watched</t>
        </is>
      </c>
      <c r="AB4" s="18" t="inlineStr">
        <is>
          <t>BBFC Rating</t>
        </is>
      </c>
      <c r="AC4" s="0" t="inlineStr">
        <is>
          <t>Date Added</t>
        </is>
      </c>
    </row>
    <row r="5" ht="30" customHeight="1" s="108">
      <c r="A5" s="18" t="inlineStr">
        <is>
          <t>F0001</t>
        </is>
      </c>
      <c r="B5" s="18" t="inlineStr">
        <is>
          <t>Casino Royale</t>
        </is>
      </c>
      <c r="C5" s="20" t="inlineStr">
        <is>
          <t>2006</t>
        </is>
      </c>
      <c r="D5" s="18" t="inlineStr">
        <is>
          <t>Blu-ray</t>
        </is>
      </c>
      <c r="E5" s="18" t="inlineStr">
        <is>
          <t>James Bond</t>
        </is>
      </c>
      <c r="F5" s="19" t="n"/>
      <c r="G5" s="4" t="n"/>
      <c r="H5" s="4" t="n"/>
      <c r="I5" s="19" t="inlineStr">
        <is>
          <t>Le Chiffre, a banker to the world's terrorists, is scheduled to participate in a high-stakes poker game in Montenegro, where he intends to use his winnings to establish his financial grip on the terrorist market. M sends Bond—on his maiden mission as a 00 Agent—to attend this game and prevent Le Chiffre from winning. With the help of Vesper Lynd and Felix Leiter, Bond enters the most important poker game in his already dangerous career.</t>
        </is>
      </c>
      <c r="J5" s="19" t="inlineStr">
        <is>
          <t>Martin Campbell</t>
        </is>
      </c>
      <c r="K5" s="19" t="n">
        <v>144</v>
      </c>
      <c r="L5" s="19" t="inlineStr">
        <is>
          <t>Adventure, Action, Thriller</t>
        </is>
      </c>
      <c r="M5" s="19" t="inlineStr">
        <is>
          <t>Eon Productions, Stillking Films, Columbia Pictures</t>
        </is>
      </c>
      <c r="N5" s="19" t="inlineStr">
        <is>
          <t>https://huggingface.co/datasets/HenryWaltson/TMDB-IMDB-Movies-Dataset</t>
        </is>
      </c>
      <c r="O5" s="19" t="inlineStr">
        <is>
          <t>https://huggingface.co/datasets/HenryWaltson/TMDB-IMDB-Movies-Dataset</t>
        </is>
      </c>
      <c r="P5" s="18" t="inlineStr">
        <is>
          <t>Daniel Craig</t>
        </is>
      </c>
      <c r="Q5" s="18" t="inlineStr">
        <is>
          <t>Eva Green</t>
        </is>
      </c>
      <c r="R5" s="18" t="inlineStr">
        <is>
          <t>Mads Mikkelsen</t>
        </is>
      </c>
      <c r="S5" s="18" t="inlineStr">
        <is>
          <t>Judi Dench</t>
        </is>
      </c>
      <c r="T5" s="18" t="inlineStr">
        <is>
          <t>Jeffrey Wright</t>
        </is>
      </c>
      <c r="U5" s="24" t="n">
        <v>0</v>
      </c>
      <c r="V5" s="24" t="n">
        <v>0</v>
      </c>
      <c r="W5" s="4" t="n"/>
      <c r="X5" s="25">
        <f t="array" ref="X5">IFERROR(INDEX(Ratings!$E$5:$E$500,MATCH(A5,Ratings!$A$5:$A$500,0)),"")</f>
        <v/>
      </c>
      <c r="Y5" s="24">
        <f t="array" ref="Y5">IFERROR(INDEX(Ratings!$G$5:$G$500,MATCH(A5,Ratings!$A$5:$A$500,0)),"")</f>
        <v/>
      </c>
      <c r="Z5" s="26">
        <f t="array" ref="Z5">IFERROR(INDEX(Ratings!$I$5:$I$500,MATCH(A5,Ratings!$A$5:$A$500,0)),"")</f>
        <v/>
      </c>
      <c r="AB5" s="18" t="inlineStr">
        <is>
          <t>12A</t>
        </is>
      </c>
    </row>
    <row r="6" ht="30" customHeight="1" s="108">
      <c r="A6" s="18" t="inlineStr">
        <is>
          <t>F0002</t>
        </is>
      </c>
      <c r="B6" s="18" t="inlineStr">
        <is>
          <t>Quantum of Solace</t>
        </is>
      </c>
      <c r="C6" s="20" t="inlineStr">
        <is>
          <t>2008</t>
        </is>
      </c>
      <c r="D6" s="18" t="inlineStr">
        <is>
          <t>Blu-ray</t>
        </is>
      </c>
      <c r="E6" s="18" t="inlineStr">
        <is>
          <t>James Bond</t>
        </is>
      </c>
      <c r="F6" s="19" t="n"/>
      <c r="G6" s="4" t="n"/>
      <c r="H6" s="4" t="n"/>
      <c r="I6" s="19" t="inlineStr">
        <is>
          <t>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is>
      </c>
      <c r="J6" s="19" t="inlineStr">
        <is>
          <t>Marc Forster</t>
        </is>
      </c>
      <c r="K6" s="19" t="n">
        <v>106</v>
      </c>
      <c r="L6" s="19" t="inlineStr">
        <is>
          <t>Adventure, Action, Thriller, Crime</t>
        </is>
      </c>
      <c r="M6" s="19" t="inlineStr">
        <is>
          <t>Eon Productions, Metro-Goldwyn-Mayer, Columbia Pictures</t>
        </is>
      </c>
      <c r="N6" s="19" t="inlineStr">
        <is>
          <t>https://huggingface.co/datasets/HenryWaltson/TMDB-IMDB-Movies-Dataset</t>
        </is>
      </c>
      <c r="O6" s="19" t="inlineStr">
        <is>
          <t>https://huggingface.co/datasets/HenryWaltson/TMDB-IMDB-Movies-Dataset</t>
        </is>
      </c>
      <c r="P6" s="18" t="inlineStr">
        <is>
          <t>Daniel Craig</t>
        </is>
      </c>
      <c r="Q6" s="18" t="inlineStr">
        <is>
          <t>Olga Kurylenko</t>
        </is>
      </c>
      <c r="R6" s="18" t="inlineStr">
        <is>
          <t>Mathieu Amalric</t>
        </is>
      </c>
      <c r="S6" s="18" t="inlineStr">
        <is>
          <t>Judi Dench</t>
        </is>
      </c>
      <c r="T6" s="18" t="inlineStr">
        <is>
          <t>Giancarlo Giannini</t>
        </is>
      </c>
      <c r="U6" s="24" t="n">
        <v>0</v>
      </c>
      <c r="V6" s="24" t="n">
        <v>0</v>
      </c>
      <c r="W6" s="4" t="n"/>
      <c r="X6" s="25">
        <f t="array" ref="X6">IFERROR(INDEX(Ratings!$E$5:$E$500,MATCH(A6,Ratings!$A$5:$A$500,0)),"")</f>
        <v/>
      </c>
      <c r="Y6" s="24">
        <f t="array" ref="Y6">IFERROR(INDEX(Ratings!$G$5:$G$500,MATCH(A6,Ratings!$A$5:$A$500,0)),"")</f>
        <v/>
      </c>
      <c r="Z6" s="26">
        <f t="array" ref="Z6">IFERROR(INDEX(Ratings!$I$5:$I$500,MATCH(A6,Ratings!$A$5:$A$500,0)),"")</f>
        <v/>
      </c>
      <c r="AB6" s="18" t="inlineStr">
        <is>
          <t>12A</t>
        </is>
      </c>
    </row>
    <row r="7" ht="30" customHeight="1" s="108">
      <c r="A7" s="18" t="inlineStr">
        <is>
          <t>F0003</t>
        </is>
      </c>
      <c r="B7" s="18" t="inlineStr">
        <is>
          <t>Skyfall</t>
        </is>
      </c>
      <c r="C7" s="20" t="inlineStr">
        <is>
          <t>2012</t>
        </is>
      </c>
      <c r="D7" s="18" t="inlineStr">
        <is>
          <t>Blu-ray</t>
        </is>
      </c>
      <c r="E7" s="18" t="inlineStr">
        <is>
          <t>James Bond</t>
        </is>
      </c>
      <c r="F7" s="19" t="n"/>
      <c r="G7" s="4" t="n"/>
      <c r="H7" s="4" t="n"/>
      <c r="I7" s="19" t="inlineStr">
        <is>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is>
      </c>
      <c r="J7" s="19" t="inlineStr">
        <is>
          <t>Sam Mendes</t>
        </is>
      </c>
      <c r="K7" s="19" t="n">
        <v>143</v>
      </c>
      <c r="L7" s="19" t="inlineStr">
        <is>
          <t>Action, Adventure, Thriller</t>
        </is>
      </c>
      <c r="M7" s="19" t="inlineStr">
        <is>
          <t>Metro-Goldwyn-Mayer, Eon Productions, Danjaq</t>
        </is>
      </c>
      <c r="N7" s="19" t="inlineStr">
        <is>
          <t>https://huggingface.co/datasets/HenryWaltson/TMDB-IMDB-Movies-Dataset</t>
        </is>
      </c>
      <c r="O7" s="19" t="inlineStr">
        <is>
          <t>https://huggingface.co/datasets/HenryWaltson/TMDB-IMDB-Movies-Dataset</t>
        </is>
      </c>
      <c r="P7" s="18" t="inlineStr">
        <is>
          <t>Daniel Craig</t>
        </is>
      </c>
      <c r="Q7" s="18" t="inlineStr">
        <is>
          <t>Judi Dench</t>
        </is>
      </c>
      <c r="R7" s="18" t="inlineStr">
        <is>
          <t>Javier Bardem</t>
        </is>
      </c>
      <c r="S7" s="18" t="inlineStr">
        <is>
          <t>Ralph Fiennes</t>
        </is>
      </c>
      <c r="T7" s="18" t="inlineStr">
        <is>
          <t>Naomie Harris</t>
        </is>
      </c>
      <c r="U7" s="24" t="n">
        <v>5</v>
      </c>
      <c r="V7" s="24" t="n">
        <v>2</v>
      </c>
      <c r="W7" s="4" t="n"/>
      <c r="X7" s="25">
        <f t="array" ref="X7">IFERROR(INDEX(Ratings!$E$5:$E$500,MATCH(A7,Ratings!$A$5:$A$500,0)),"")</f>
        <v/>
      </c>
      <c r="Y7" s="24">
        <f t="array" ref="Y7">IFERROR(INDEX(Ratings!$G$5:$G$500,MATCH(A7,Ratings!$A$5:$A$500,0)),"")</f>
        <v/>
      </c>
      <c r="Z7" s="26">
        <f t="array" ref="Z7">IFERROR(INDEX(Ratings!$I$5:$I$500,MATCH(A7,Ratings!$A$5:$A$500,0)),"")</f>
        <v/>
      </c>
      <c r="AB7" s="18" t="inlineStr">
        <is>
          <t>12A</t>
        </is>
      </c>
    </row>
    <row r="8" ht="30" customHeight="1" s="108">
      <c r="A8" s="18" t="inlineStr">
        <is>
          <t>F0004</t>
        </is>
      </c>
      <c r="B8" s="18" t="inlineStr">
        <is>
          <t>Spectre</t>
        </is>
      </c>
      <c r="C8" s="20" t="inlineStr">
        <is>
          <t>2015</t>
        </is>
      </c>
      <c r="D8" s="18" t="inlineStr">
        <is>
          <t>Blu-ray</t>
        </is>
      </c>
      <c r="E8" s="18" t="inlineStr">
        <is>
          <t>James Bond</t>
        </is>
      </c>
      <c r="F8" s="19" t="n"/>
      <c r="G8" s="4" t="n"/>
      <c r="H8" s="4" t="n"/>
      <c r="I8" s="19" t="inlineStr">
        <is>
          <t>A cryptic message from Bond’s past sends him on a trail to uncover a sinister organization. While M battles political forces to keep the secret service alive, Bond peels back the layers of deceit to reveal the terrible truth behind SPECTRE.</t>
        </is>
      </c>
      <c r="J8" s="19" t="inlineStr">
        <is>
          <t>Sam Mendes</t>
        </is>
      </c>
      <c r="K8" s="19" t="n">
        <v>148</v>
      </c>
      <c r="L8" s="19" t="inlineStr">
        <is>
          <t>Action, Adventure, Thriller</t>
        </is>
      </c>
      <c r="M8" s="19" t="inlineStr">
        <is>
          <t>Columbia Pictures, Metro-Goldwyn-Mayer, Eon Productions</t>
        </is>
      </c>
      <c r="N8" s="19" t="inlineStr">
        <is>
          <t>https://huggingface.co/datasets/HenryWaltson/TMDB-IMDB-Movies-Dataset</t>
        </is>
      </c>
      <c r="O8" s="19" t="inlineStr">
        <is>
          <t>https://huggingface.co/datasets/HenryWaltson/TMDB-IMDB-Movies-Dataset</t>
        </is>
      </c>
      <c r="P8" s="18" t="inlineStr">
        <is>
          <t>Daniel Craig</t>
        </is>
      </c>
      <c r="Q8" s="18" t="inlineStr">
        <is>
          <t>Christoph Waltz</t>
        </is>
      </c>
      <c r="R8" s="18" t="inlineStr">
        <is>
          <t>Léa Seydoux</t>
        </is>
      </c>
      <c r="S8" s="18" t="inlineStr">
        <is>
          <t>Ralph Fiennes</t>
        </is>
      </c>
      <c r="T8" s="18" t="inlineStr">
        <is>
          <t>Monica Bellucci</t>
        </is>
      </c>
      <c r="U8" s="24" t="n">
        <v>1</v>
      </c>
      <c r="V8" s="24" t="n">
        <v>1</v>
      </c>
      <c r="W8" s="4" t="n"/>
      <c r="X8" s="25">
        <f t="array" ref="X8">IFERROR(INDEX(Ratings!$E$5:$E$500,MATCH(A8,Ratings!$A$5:$A$500,0)),"")</f>
        <v/>
      </c>
      <c r="Y8" s="24">
        <f t="array" ref="Y8">IFERROR(INDEX(Ratings!$G$5:$G$500,MATCH(A8,Ratings!$A$5:$A$500,0)),"")</f>
        <v/>
      </c>
      <c r="Z8" s="26">
        <f t="array" ref="Z8">IFERROR(INDEX(Ratings!$I$5:$I$500,MATCH(A8,Ratings!$A$5:$A$500,0)),"")</f>
        <v/>
      </c>
      <c r="AB8" s="18" t="inlineStr">
        <is>
          <t>12A</t>
        </is>
      </c>
    </row>
    <row r="9" ht="30" customHeight="1" s="108">
      <c r="A9" s="18" t="inlineStr">
        <is>
          <t>F0005</t>
        </is>
      </c>
      <c r="B9" s="18" t="inlineStr">
        <is>
          <t>No Time to Die</t>
        </is>
      </c>
      <c r="C9" s="20" t="inlineStr">
        <is>
          <t>2021</t>
        </is>
      </c>
      <c r="D9" s="18" t="inlineStr">
        <is>
          <t>Blu-ray</t>
        </is>
      </c>
      <c r="E9" s="18" t="inlineStr">
        <is>
          <t>James Bond</t>
        </is>
      </c>
      <c r="F9" s="19" t="n"/>
      <c r="G9" s="4" t="n"/>
      <c r="H9" s="4" t="n"/>
      <c r="I9" s="19" t="inlineStr">
        <is>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is>
      </c>
      <c r="J9" s="19" t="inlineStr">
        <is>
          <t>Cary Joji Fukunaga</t>
        </is>
      </c>
      <c r="K9" s="19" t="n">
        <v>163</v>
      </c>
      <c r="L9" s="19" t="inlineStr">
        <is>
          <t>Action, Thriller, Romance</t>
        </is>
      </c>
      <c r="M9" s="19" t="inlineStr">
        <is>
          <t>Eon Productions, Metro-Goldwyn-Mayer, Universal Pictures</t>
        </is>
      </c>
      <c r="N9" s="19" t="inlineStr">
        <is>
          <t>https://huggingface.co/datasets/HenryWaltson/TMDB-IMDB-Movies-Dataset</t>
        </is>
      </c>
      <c r="O9" s="19" t="inlineStr">
        <is>
          <t>https://huggingface.co/datasets/HenryWaltson/TMDB-IMDB-Movies-Dataset</t>
        </is>
      </c>
      <c r="P9" s="18" t="inlineStr">
        <is>
          <t>Daniel Craig</t>
        </is>
      </c>
      <c r="Q9" s="18" t="inlineStr">
        <is>
          <t>Léa Seydoux</t>
        </is>
      </c>
      <c r="R9" s="18" t="inlineStr">
        <is>
          <t>Rami Malek</t>
        </is>
      </c>
      <c r="S9" s="18" t="inlineStr">
        <is>
          <t>Lashana Lynch</t>
        </is>
      </c>
      <c r="T9" s="18" t="inlineStr">
        <is>
          <t>Ralph Fiennes</t>
        </is>
      </c>
      <c r="U9" s="24" t="n">
        <v>3</v>
      </c>
      <c r="V9" s="24" t="n">
        <v>1</v>
      </c>
      <c r="W9" s="4" t="n"/>
      <c r="X9" s="25">
        <f t="array" ref="X9">IFERROR(INDEX(Ratings!$E$5:$E$500,MATCH(A9,Ratings!$A$5:$A$500,0)),"")</f>
        <v/>
      </c>
      <c r="Y9" s="24">
        <f t="array" ref="Y9">IFERROR(INDEX(Ratings!$G$5:$G$500,MATCH(A9,Ratings!$A$5:$A$500,0)),"")</f>
        <v/>
      </c>
      <c r="Z9" s="26">
        <f t="array" ref="Z9">IFERROR(INDEX(Ratings!$I$5:$I$500,MATCH(A9,Ratings!$A$5:$A$500,0)),"")</f>
        <v/>
      </c>
      <c r="AB9" s="18" t="inlineStr">
        <is>
          <t>12A</t>
        </is>
      </c>
    </row>
    <row r="10" ht="30" customHeight="1" s="108">
      <c r="A10" s="18" t="inlineStr">
        <is>
          <t>F0006</t>
        </is>
      </c>
      <c r="B10" s="18" t="inlineStr">
        <is>
          <t>2012</t>
        </is>
      </c>
      <c r="C10" s="20" t="inlineStr">
        <is>
          <t>2009</t>
        </is>
      </c>
      <c r="D10" s="18" t="inlineStr">
        <is>
          <t>Blu-ray</t>
        </is>
      </c>
      <c r="E10" s="4" t="n"/>
      <c r="F10" s="19" t="n"/>
      <c r="G10" s="4" t="n"/>
      <c r="H10" s="4" t="n"/>
      <c r="I10" s="19" t="inlineStr">
        <is>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is>
      </c>
      <c r="J10" s="19" t="inlineStr">
        <is>
          <t>Roland Emmerich</t>
        </is>
      </c>
      <c r="K10" s="19" t="n">
        <v>158</v>
      </c>
      <c r="L10" s="19" t="inlineStr">
        <is>
          <t>Action, Adventure, Science Fiction</t>
        </is>
      </c>
      <c r="M10" s="19" t="inlineStr">
        <is>
          <t>Columbia Pictures, Centropolis Entertainment, Farewell Productions</t>
        </is>
      </c>
      <c r="N10" s="19" t="inlineStr">
        <is>
          <t>https://huggingface.co/datasets/HenryWaltson/TMDB-IMDB-Movies-Dataset</t>
        </is>
      </c>
      <c r="O10" s="19" t="inlineStr">
        <is>
          <t>https://huggingface.co/datasets/HenryWaltson/TMDB-IMDB-Movies-Dataset</t>
        </is>
      </c>
      <c r="P10" s="18" t="inlineStr">
        <is>
          <t>John Cusack</t>
        </is>
      </c>
      <c r="Q10" s="18" t="inlineStr">
        <is>
          <t>Amanda Peet</t>
        </is>
      </c>
      <c r="R10" s="18" t="inlineStr">
        <is>
          <t>Chiwetel Ejiofor</t>
        </is>
      </c>
      <c r="S10" s="18" t="inlineStr">
        <is>
          <t>Thandiwe Newton</t>
        </is>
      </c>
      <c r="T10" s="18" t="inlineStr">
        <is>
          <t>Oliver Platt</t>
        </is>
      </c>
      <c r="U10" s="24" t="n">
        <v>0</v>
      </c>
      <c r="V10" s="24" t="n">
        <v>0</v>
      </c>
      <c r="W10" s="4" t="n"/>
      <c r="X10" s="25">
        <f t="array" ref="X10">IFERROR(INDEX(Ratings!$E$5:$E$500,MATCH(A10,Ratings!$A$5:$A$500,0)),"")</f>
        <v/>
      </c>
      <c r="Y10" s="24">
        <f t="array" ref="Y10">IFERROR(INDEX(Ratings!$G$5:$G$500,MATCH(A10,Ratings!$A$5:$A$500,0)),"")</f>
        <v/>
      </c>
      <c r="Z10" s="26">
        <f t="array" ref="Z10">IFERROR(INDEX(Ratings!$I$5:$I$500,MATCH(A10,Ratings!$A$5:$A$500,0)),"")</f>
        <v/>
      </c>
      <c r="AB10" s="18" t="inlineStr">
        <is>
          <t>12A</t>
        </is>
      </c>
    </row>
    <row r="11" ht="30" customHeight="1" s="108">
      <c r="A11" s="18" t="inlineStr">
        <is>
          <t>F0007</t>
        </is>
      </c>
      <c r="B11" s="18" t="inlineStr">
        <is>
          <t>21 Jump Street</t>
        </is>
      </c>
      <c r="C11" s="20" t="inlineStr">
        <is>
          <t>2012</t>
        </is>
      </c>
      <c r="D11" s="18" t="inlineStr">
        <is>
          <t>Blu-ray</t>
        </is>
      </c>
      <c r="E11" s="18" t="inlineStr">
        <is>
          <t>Jump Street</t>
        </is>
      </c>
      <c r="F11" s="19" t="n"/>
      <c r="G11" s="18" t="inlineStr">
        <is>
          <t>Yes</t>
        </is>
      </c>
      <c r="H11" s="18" t="inlineStr">
        <is>
          <t>⭐⭐⭐</t>
        </is>
      </c>
      <c r="I11" s="19" t="inlineStr">
        <is>
          <t>When cops Schmidt and Jenko join the secret Jump Street unit, they use their youthful appearances to go undercover as high school students. They trade in their guns and badges for backpacks, and set out to shut down a dangerous drug ring. But, as time goes on, Schmidt and Jenko discover that high school is nothing like it was just a few years earlier -- and, what's more, they must again confront the teenage terror and anxiety they thought they had left behind.</t>
        </is>
      </c>
      <c r="J11" s="19" t="inlineStr">
        <is>
          <t>Phil Lord, Christopher Miller</t>
        </is>
      </c>
      <c r="K11" s="19" t="n">
        <v>109</v>
      </c>
      <c r="L11" s="19" t="inlineStr">
        <is>
          <t>Action, Comedy, Crime</t>
        </is>
      </c>
      <c r="M11" s="19" t="inlineStr">
        <is>
          <t>Columbia Pictures, Relativity Media, Original Film</t>
        </is>
      </c>
      <c r="N11" s="19" t="inlineStr">
        <is>
          <t>https://huggingface.co/datasets/HenryWaltson/TMDB-IMDB-Movies-Dataset</t>
        </is>
      </c>
      <c r="O11" s="19" t="inlineStr">
        <is>
          <t>https://huggingface.co/datasets/HenryWaltson/TMDB-IMDB-Movies-Dataset</t>
        </is>
      </c>
      <c r="P11" s="18" t="inlineStr">
        <is>
          <t>Jonah Hill</t>
        </is>
      </c>
      <c r="Q11" s="18" t="inlineStr">
        <is>
          <t>Channing Tatum</t>
        </is>
      </c>
      <c r="R11" s="18" t="inlineStr">
        <is>
          <t>Brie Larson</t>
        </is>
      </c>
      <c r="S11" s="18" t="inlineStr">
        <is>
          <t>Dave Franco</t>
        </is>
      </c>
      <c r="T11" s="18" t="inlineStr">
        <is>
          <t>Rob Riggle</t>
        </is>
      </c>
      <c r="U11" s="24" t="n">
        <v>0</v>
      </c>
      <c r="V11" s="24" t="n">
        <v>0</v>
      </c>
      <c r="W11" s="4" t="n"/>
      <c r="X11" s="25">
        <f t="array" ref="X11">IFERROR(INDEX(Ratings!$E$5:$E$500,MATCH(A11,Ratings!$A$5:$A$500,0)),"")</f>
        <v/>
      </c>
      <c r="Y11" s="24">
        <f t="array" ref="Y11">IFERROR(INDEX(Ratings!$G$5:$G$500,MATCH(A11,Ratings!$A$5:$A$500,0)),"")</f>
        <v/>
      </c>
      <c r="Z11" s="26">
        <f t="array" ref="Z11">IFERROR(INDEX(Ratings!$I$5:$I$500,MATCH(A11,Ratings!$A$5:$A$500,0)),"")</f>
        <v/>
      </c>
      <c r="AA11" s="0" t="inlineStr">
        <is>
          <t>2026-07-08</t>
        </is>
      </c>
      <c r="AB11" s="18" t="inlineStr">
        <is>
          <t>15</t>
        </is>
      </c>
    </row>
    <row r="12" ht="30" customHeight="1" s="108">
      <c r="A12" s="18" t="inlineStr">
        <is>
          <t>F0008</t>
        </is>
      </c>
      <c r="B12" s="18" t="inlineStr">
        <is>
          <t>22 Jump Street</t>
        </is>
      </c>
      <c r="C12" s="20" t="inlineStr">
        <is>
          <t>2014</t>
        </is>
      </c>
      <c r="D12" s="18" t="inlineStr">
        <is>
          <t>Blu-ray</t>
        </is>
      </c>
      <c r="E12" s="18" t="inlineStr">
        <is>
          <t>Jump Street</t>
        </is>
      </c>
      <c r="F12" s="19" t="n"/>
      <c r="G12" s="4" t="inlineStr">
        <is>
          <t>Yes</t>
        </is>
      </c>
      <c r="H12" s="4" t="inlineStr">
        <is>
          <t>⭐⭐⭐</t>
        </is>
      </c>
      <c r="I12" s="19" t="inlineStr">
        <is>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is>
      </c>
      <c r="J12" s="19" t="inlineStr">
        <is>
          <t>Phil Lord, Christopher Miller</t>
        </is>
      </c>
      <c r="K12" s="19" t="n">
        <v>112</v>
      </c>
      <c r="L12" s="19" t="inlineStr">
        <is>
          <t>Crime, Comedy, Action</t>
        </is>
      </c>
      <c r="M12" s="19" t="inlineStr">
        <is>
          <t>Columbia Pictures, Original Film, MRC</t>
        </is>
      </c>
      <c r="N12" s="19" t="inlineStr">
        <is>
          <t>https://huggingface.co/datasets/HenryWaltson/TMDB-IMDB-Movies-Dataset</t>
        </is>
      </c>
      <c r="O12" s="19" t="inlineStr">
        <is>
          <t>https://huggingface.co/datasets/HenryWaltson/TMDB-IMDB-Movies-Dataset</t>
        </is>
      </c>
      <c r="P12" s="18" t="inlineStr">
        <is>
          <t>Jonah Hill</t>
        </is>
      </c>
      <c r="Q12" s="18" t="inlineStr">
        <is>
          <t>Channing Tatum</t>
        </is>
      </c>
      <c r="R12" s="18" t="inlineStr">
        <is>
          <t>Peter Stormare</t>
        </is>
      </c>
      <c r="S12" s="18" t="inlineStr">
        <is>
          <t>Wyatt Russell</t>
        </is>
      </c>
      <c r="T12" s="18" t="inlineStr">
        <is>
          <t>Amber Stevens West</t>
        </is>
      </c>
      <c r="U12" s="24" t="n">
        <v>0</v>
      </c>
      <c r="V12" s="24" t="n">
        <v>0</v>
      </c>
      <c r="W12" s="4" t="n"/>
      <c r="X12" s="25">
        <f t="array" ref="X12">IFERROR(INDEX(Ratings!$E$5:$E$500,MATCH(A12,Ratings!$A$5:$A$500,0)),"")</f>
        <v/>
      </c>
      <c r="Y12" s="24">
        <f t="array" ref="Y12">IFERROR(INDEX(Ratings!$G$5:$G$500,MATCH(A12,Ratings!$A$5:$A$500,0)),"")</f>
        <v/>
      </c>
      <c r="Z12" s="26">
        <f t="array" ref="Z12">IFERROR(INDEX(Ratings!$I$5:$I$500,MATCH(A12,Ratings!$A$5:$A$500,0)),"")</f>
        <v/>
      </c>
      <c r="AA12" s="0" t="inlineStr">
        <is>
          <t>2026-07-09</t>
        </is>
      </c>
      <c r="AB12" s="18" t="inlineStr">
        <is>
          <t>15</t>
        </is>
      </c>
    </row>
    <row r="13" ht="30" customHeight="1" s="108">
      <c r="A13" s="18" t="inlineStr">
        <is>
          <t>F0009</t>
        </is>
      </c>
      <c r="B13" s="18" t="inlineStr">
        <is>
          <t>30 Minutes or Less</t>
        </is>
      </c>
      <c r="C13" s="20" t="inlineStr">
        <is>
          <t>2011</t>
        </is>
      </c>
      <c r="D13" s="18" t="inlineStr">
        <is>
          <t>Blu-ray</t>
        </is>
      </c>
      <c r="E13" s="4" t="n"/>
      <c r="F13" s="19" t="n"/>
      <c r="G13" s="4" t="n"/>
      <c r="H13" s="4" t="n"/>
      <c r="I13" s="19" t="inlineStr">
        <is>
          <t>Two fledgling criminals kidnap a pizza delivery guy, strap a bomb to his chest, and advise him that he has mere hours to rob a bank or else...</t>
        </is>
      </c>
      <c r="J13" s="19" t="inlineStr">
        <is>
          <t>Ruben Fleischer</t>
        </is>
      </c>
      <c r="K13" s="19" t="n">
        <v>83</v>
      </c>
      <c r="L13" s="19" t="inlineStr">
        <is>
          <t>Action, Adventure, Comedy</t>
        </is>
      </c>
      <c r="M13" s="19" t="inlineStr">
        <is>
          <t>Columbia Pictures</t>
        </is>
      </c>
      <c r="N13" s="19" t="inlineStr">
        <is>
          <t>https://huggingface.co/datasets/HenryWaltson/TMDB-IMDB-Movies-Dataset</t>
        </is>
      </c>
      <c r="O13" s="19" t="inlineStr">
        <is>
          <t>https://huggingface.co/datasets/HenryWaltson/TMDB-IMDB-Movies-Dataset</t>
        </is>
      </c>
      <c r="P13" s="18" t="inlineStr">
        <is>
          <t>Jesse Eisenberg</t>
        </is>
      </c>
      <c r="Q13" s="18" t="inlineStr">
        <is>
          <t>Aziz Ansari</t>
        </is>
      </c>
      <c r="R13" s="18" t="inlineStr">
        <is>
          <t>Danny McBride</t>
        </is>
      </c>
      <c r="S13" s="18" t="inlineStr">
        <is>
          <t>Nick Swardson</t>
        </is>
      </c>
      <c r="T13" s="18" t="inlineStr">
        <is>
          <t>Dilshad Vadsaria</t>
        </is>
      </c>
      <c r="U13" s="24" t="n">
        <v>0</v>
      </c>
      <c r="V13" s="24" t="n">
        <v>0</v>
      </c>
      <c r="W13" s="4" t="n"/>
      <c r="X13" s="25">
        <f t="array" ref="X13">IFERROR(INDEX(Ratings!$E$5:$E$500,MATCH(A13,Ratings!$A$5:$A$500,0)),"")</f>
        <v/>
      </c>
      <c r="Y13" s="24">
        <f t="array" ref="Y13">IFERROR(INDEX(Ratings!$G$5:$G$500,MATCH(A13,Ratings!$A$5:$A$500,0)),"")</f>
        <v/>
      </c>
      <c r="Z13" s="26">
        <f t="array" ref="Z13">IFERROR(INDEX(Ratings!$I$5:$I$500,MATCH(A13,Ratings!$A$5:$A$500,0)),"")</f>
        <v/>
      </c>
      <c r="AB13" s="18" t="inlineStr">
        <is>
          <t>15</t>
        </is>
      </c>
    </row>
    <row r="14" ht="30" customHeight="1" s="108">
      <c r="A14" s="18" t="inlineStr">
        <is>
          <t>F0010</t>
        </is>
      </c>
      <c r="B14" s="18" t="inlineStr">
        <is>
          <t>44 Inch Chest</t>
        </is>
      </c>
      <c r="C14" s="20" t="inlineStr">
        <is>
          <t>2009</t>
        </is>
      </c>
      <c r="D14" s="18" t="inlineStr">
        <is>
          <t>Blu-ray</t>
        </is>
      </c>
      <c r="E14" s="4" t="n"/>
      <c r="F14" s="19" t="n"/>
      <c r="G14" s="4" t="n"/>
      <c r="H14" s="4" t="n"/>
      <c r="I14" s="19" t="inlineStr">
        <is>
          <t>Colin is in agony, shattered by his wife’s infidelity, so his friends kidnap the wife's lover so he can have his revenge.</t>
        </is>
      </c>
      <c r="J14" s="19" t="inlineStr">
        <is>
          <t>Malcolm Venville</t>
        </is>
      </c>
      <c r="K14" s="19" t="n">
        <v>95</v>
      </c>
      <c r="L14" s="19" t="inlineStr">
        <is>
          <t>Drama, Crime</t>
        </is>
      </c>
      <c r="M14" s="19" t="inlineStr">
        <is>
          <t>Omni Films, Prescience Media, Twilight Production &amp; Entertainment</t>
        </is>
      </c>
      <c r="N14" s="19" t="inlineStr">
        <is>
          <t>https://huggingface.co/datasets/HenryWaltson/TMDB-IMDB-Movies-Dataset</t>
        </is>
      </c>
      <c r="O14" s="19" t="inlineStr">
        <is>
          <t>https://huggingface.co/datasets/HenryWaltson/TMDB-IMDB-Movies-Dataset</t>
        </is>
      </c>
      <c r="P14" s="18" t="inlineStr">
        <is>
          <t>Ray Winstone</t>
        </is>
      </c>
      <c r="Q14" s="18" t="inlineStr">
        <is>
          <t>John Hurt</t>
        </is>
      </c>
      <c r="R14" s="18" t="inlineStr">
        <is>
          <t>Ian McShane</t>
        </is>
      </c>
      <c r="S14" s="18" t="inlineStr">
        <is>
          <t>Tom Wilkinson</t>
        </is>
      </c>
      <c r="T14" s="18" t="inlineStr">
        <is>
          <t>Joanne Whalley</t>
        </is>
      </c>
      <c r="U14" s="24" t="n">
        <v>0</v>
      </c>
      <c r="V14" s="24" t="n">
        <v>0</v>
      </c>
      <c r="W14" s="4" t="n"/>
      <c r="X14" s="25">
        <f t="array" ref="X14">IFERROR(INDEX(Ratings!$E$5:$E$500,MATCH(A14,Ratings!$A$5:$A$500,0)),"")</f>
        <v/>
      </c>
      <c r="Y14" s="24">
        <f t="array" ref="Y14">IFERROR(INDEX(Ratings!$G$5:$G$500,MATCH(A14,Ratings!$A$5:$A$500,0)),"")</f>
        <v/>
      </c>
      <c r="Z14" s="26">
        <f t="array" ref="Z14">IFERROR(INDEX(Ratings!$I$5:$I$500,MATCH(A14,Ratings!$A$5:$A$500,0)),"")</f>
        <v/>
      </c>
      <c r="AB14" s="18" t="inlineStr">
        <is>
          <t>18</t>
        </is>
      </c>
    </row>
    <row r="15" ht="30" customHeight="1" s="108">
      <c r="A15" s="18" t="inlineStr">
        <is>
          <t>F0011</t>
        </is>
      </c>
      <c r="B15" s="18" t="inlineStr">
        <is>
          <t>50/50</t>
        </is>
      </c>
      <c r="C15" s="20" t="inlineStr">
        <is>
          <t>2011</t>
        </is>
      </c>
      <c r="D15" s="18" t="inlineStr">
        <is>
          <t>Blu-ray</t>
        </is>
      </c>
      <c r="E15" s="4" t="n"/>
      <c r="F15" s="19" t="n"/>
      <c r="G15" s="4" t="n"/>
      <c r="H15" s="4" t="n"/>
      <c r="I15" s="19" t="inlineStr">
        <is>
          <t>Inspired by a true story, a comedy centered on a 27-year-old guy who learns of his cancer diagnosis and his subsequent struggle to beat the disease.</t>
        </is>
      </c>
      <c r="J15" s="19" t="inlineStr">
        <is>
          <t>Jonathan Levine</t>
        </is>
      </c>
      <c r="K15" s="19" t="n">
        <v>100</v>
      </c>
      <c r="L15" s="19" t="inlineStr">
        <is>
          <t>Comedy, Drama</t>
        </is>
      </c>
      <c r="M15" s="19" t="inlineStr">
        <is>
          <t>Summit Entertainment, Mandate Pictures, Point Grey Pictures</t>
        </is>
      </c>
      <c r="N15" s="19" t="inlineStr">
        <is>
          <t>https://huggingface.co/datasets/HenryWaltson/TMDB-IMDB-Movies-Dataset</t>
        </is>
      </c>
      <c r="O15" s="19" t="inlineStr">
        <is>
          <t>https://huggingface.co/datasets/HenryWaltson/TMDB-IMDB-Movies-Dataset</t>
        </is>
      </c>
      <c r="P15" s="18" t="inlineStr">
        <is>
          <t>Joseph Gordon-Levitt</t>
        </is>
      </c>
      <c r="Q15" s="18" t="inlineStr">
        <is>
          <t>Seth Rogen</t>
        </is>
      </c>
      <c r="R15" s="18" t="inlineStr">
        <is>
          <t>Anna Kendrick</t>
        </is>
      </c>
      <c r="S15" s="18" t="inlineStr">
        <is>
          <t>Bryce Dallas Howard</t>
        </is>
      </c>
      <c r="T15" s="18" t="inlineStr">
        <is>
          <t>Philip Baker Hall</t>
        </is>
      </c>
      <c r="U15" s="24" t="n">
        <v>0</v>
      </c>
      <c r="V15" s="24" t="n">
        <v>0</v>
      </c>
      <c r="W15" s="4" t="n"/>
      <c r="X15" s="25">
        <f t="array" ref="X15">IFERROR(INDEX(Ratings!$E$5:$E$500,MATCH(A15,Ratings!$A$5:$A$500,0)),"")</f>
        <v/>
      </c>
      <c r="Y15" s="24">
        <f t="array" ref="Y15">IFERROR(INDEX(Ratings!$G$5:$G$500,MATCH(A15,Ratings!$A$5:$A$500,0)),"")</f>
        <v/>
      </c>
      <c r="Z15" s="26">
        <f t="array" ref="Z15">IFERROR(INDEX(Ratings!$I$5:$I$500,MATCH(A15,Ratings!$A$5:$A$500,0)),"")</f>
        <v/>
      </c>
      <c r="AB15" s="18" t="inlineStr">
        <is>
          <t>15</t>
        </is>
      </c>
    </row>
    <row r="16" ht="30" customHeight="1" s="108">
      <c r="A16" s="18" t="inlineStr">
        <is>
          <t>F0012</t>
        </is>
      </c>
      <c r="B16" s="18" t="inlineStr">
        <is>
          <t>A Bug's Life</t>
        </is>
      </c>
      <c r="C16" s="20" t="inlineStr">
        <is>
          <t>1998</t>
        </is>
      </c>
      <c r="D16" s="18" t="inlineStr">
        <is>
          <t>Blu-ray</t>
        </is>
      </c>
      <c r="E16" s="4" t="n"/>
      <c r="F16" s="19" t="n"/>
      <c r="G16" s="18" t="inlineStr">
        <is>
          <t>Yes</t>
        </is>
      </c>
      <c r="H16" s="18" t="inlineStr">
        <is>
          <t>⭐⭐⭐⭐</t>
        </is>
      </c>
      <c r="I16" s="19" t="inlineStr">
        <is>
          <t>On behalf of "oppressed bugs everywhere," an inventive ant named Flik hires a troupe of warrior bugs to defend his bustling colony from a horde of freeloading grasshoppers led by the evil-minded Hopper.</t>
        </is>
      </c>
      <c r="J16" s="19" t="inlineStr">
        <is>
          <t>John Lasseter, Andrew Stanton</t>
        </is>
      </c>
      <c r="K16" s="19" t="n">
        <v>95</v>
      </c>
      <c r="L16" s="19" t="inlineStr">
        <is>
          <t>Adventure, Animation, Comedy, Family</t>
        </is>
      </c>
      <c r="M16" s="19" t="inlineStr">
        <is>
          <t>Pixar, Walt Disney Pictures</t>
        </is>
      </c>
      <c r="N16" s="19" t="inlineStr">
        <is>
          <t>https://huggingface.co/datasets/HenryWaltson/TMDB-IMDB-Movies-Dataset</t>
        </is>
      </c>
      <c r="O16" s="19" t="inlineStr">
        <is>
          <t>https://huggingface.co/datasets/HenryWaltson/TMDB-IMDB-Movies-Dataset</t>
        </is>
      </c>
      <c r="P16" s="18" t="inlineStr">
        <is>
          <t>Dave Foley</t>
        </is>
      </c>
      <c r="Q16" s="18" t="inlineStr">
        <is>
          <t>Kevin Spacey</t>
        </is>
      </c>
      <c r="R16" s="18" t="inlineStr">
        <is>
          <t>Julia Louis-Dreyfus</t>
        </is>
      </c>
      <c r="S16" s="18" t="inlineStr">
        <is>
          <t>Hayden Panettiere</t>
        </is>
      </c>
      <c r="T16" s="18" t="inlineStr">
        <is>
          <t>Phyllis Diller</t>
        </is>
      </c>
      <c r="U16" s="24" t="n">
        <v>1</v>
      </c>
      <c r="V16" s="24" t="n">
        <v>0</v>
      </c>
      <c r="W16" s="4" t="n"/>
      <c r="X16" s="25">
        <f t="array" ref="X16">IFERROR(INDEX(Ratings!$E$5:$E$500,MATCH(A16,Ratings!$A$5:$A$500,0)),"")</f>
        <v/>
      </c>
      <c r="Y16" s="24">
        <f t="array" ref="Y16">IFERROR(INDEX(Ratings!$G$5:$G$500,MATCH(A16,Ratings!$A$5:$A$500,0)),"")</f>
        <v/>
      </c>
      <c r="Z16" s="26">
        <f t="array" ref="Z16">IFERROR(INDEX(Ratings!$I$5:$I$500,MATCH(A16,Ratings!$A$5:$A$500,0)),"")</f>
        <v/>
      </c>
      <c r="AB16" s="18" t="inlineStr">
        <is>
          <t>U</t>
        </is>
      </c>
    </row>
    <row r="17" ht="45" customHeight="1" s="108">
      <c r="A17" s="18" t="inlineStr">
        <is>
          <t>F0013</t>
        </is>
      </c>
      <c r="B17" s="18" t="inlineStr">
        <is>
          <t>The Accountant</t>
        </is>
      </c>
      <c r="C17" s="20" t="inlineStr">
        <is>
          <t>2016</t>
        </is>
      </c>
      <c r="D17" s="18" t="inlineStr">
        <is>
          <t>Blu-ray</t>
        </is>
      </c>
      <c r="E17" s="4" t="n"/>
      <c r="F17" s="19" t="n"/>
      <c r="G17" s="4" t="n"/>
      <c r="H17" s="4" t="n"/>
      <c r="I17" s="19" t="inlineStr">
        <is>
          <t>As a math savant uncooks the books for a new client, the Treasury Department closes in on his activities and the body count starts to rise.</t>
        </is>
      </c>
      <c r="J17" s="19" t="inlineStr">
        <is>
          <t>Gavin O'Connor</t>
        </is>
      </c>
      <c r="K17" s="19" t="n">
        <v>128</v>
      </c>
      <c r="L17" s="19" t="inlineStr">
        <is>
          <t>Crime, Thriller, Drama</t>
        </is>
      </c>
      <c r="M17" s="19" t="inlineStr">
        <is>
          <t>Zero Gravity Management, Electric City Entertainment, RatPac Entertainment</t>
        </is>
      </c>
      <c r="N17" s="19" t="inlineStr">
        <is>
          <t>https://huggingface.co/datasets/HenryWaltson/TMDB-IMDB-Movies-Dataset</t>
        </is>
      </c>
      <c r="O17" s="19" t="inlineStr">
        <is>
          <t>https://huggingface.co/datasets/HenryWaltson/TMDB-IMDB-Movies-Dataset</t>
        </is>
      </c>
      <c r="P17" s="18" t="inlineStr">
        <is>
          <t>Ben Affleck</t>
        </is>
      </c>
      <c r="Q17" s="18" t="inlineStr">
        <is>
          <t>Cynthia Addai-Robinson</t>
        </is>
      </c>
      <c r="R17" s="18" t="inlineStr">
        <is>
          <t>Anna Kendrick</t>
        </is>
      </c>
      <c r="S17" s="18" t="inlineStr">
        <is>
          <t>J.K. Simmons</t>
        </is>
      </c>
      <c r="T17" s="18" t="inlineStr">
        <is>
          <t>Jon Bernthal</t>
        </is>
      </c>
      <c r="U17" s="24" t="n">
        <v>0</v>
      </c>
      <c r="V17" s="24" t="n">
        <v>0</v>
      </c>
      <c r="W17" s="4" t="n"/>
      <c r="X17" s="25">
        <f t="array" ref="X17">IFERROR(INDEX(Ratings!$E$5:$E$500,MATCH(A17,Ratings!$A$5:$A$500,0)),"")</f>
        <v/>
      </c>
      <c r="Y17" s="24">
        <f t="array" ref="Y17">IFERROR(INDEX(Ratings!$G$5:$G$500,MATCH(A17,Ratings!$A$5:$A$500,0)),"")</f>
        <v/>
      </c>
      <c r="Z17" s="26">
        <f t="array" ref="Z17">IFERROR(INDEX(Ratings!$I$5:$I$500,MATCH(A17,Ratings!$A$5:$A$500,0)),"")</f>
        <v/>
      </c>
      <c r="AB17" s="18" t="inlineStr">
        <is>
          <t>15</t>
        </is>
      </c>
    </row>
    <row r="18" ht="30" customHeight="1" s="108">
      <c r="A18" s="18" t="inlineStr">
        <is>
          <t>F0014</t>
        </is>
      </c>
      <c r="B18" s="18" t="inlineStr">
        <is>
          <t>Alan Partridge: Alpha Papa</t>
        </is>
      </c>
      <c r="C18" s="20" t="inlineStr">
        <is>
          <t>2013</t>
        </is>
      </c>
      <c r="D18" s="18" t="inlineStr">
        <is>
          <t>Blu-ray</t>
        </is>
      </c>
      <c r="E18" s="4" t="n"/>
      <c r="F18" s="19" t="n"/>
      <c r="G18" s="4" t="n"/>
      <c r="H18" s="4" t="n"/>
      <c r="I18" s="19" t="inlineStr">
        <is>
          <t>When famous DJ Alan Partridge’s radio station is taken over by a new media conglomerate, it sets in motion a chain of events which see Alan having to work with the police to defuse a potentially violent siege.</t>
        </is>
      </c>
      <c r="J18" s="19" t="inlineStr">
        <is>
          <t>Declan Lowney</t>
        </is>
      </c>
      <c r="K18" s="19" t="n">
        <v>90</v>
      </c>
      <c r="L18" s="19" t="inlineStr">
        <is>
          <t>Comedy</t>
        </is>
      </c>
      <c r="M18" s="19" t="inlineStr">
        <is>
          <t>BFI, BBC Film, StudioCanal</t>
        </is>
      </c>
      <c r="N18" s="19" t="inlineStr">
        <is>
          <t>https://huggingface.co/datasets/HenryWaltson/TMDB-IMDB-Movies-Dataset</t>
        </is>
      </c>
      <c r="O18" s="19" t="inlineStr">
        <is>
          <t>https://huggingface.co/datasets/HenryWaltson/TMDB-IMDB-Movies-Dataset</t>
        </is>
      </c>
      <c r="P18" s="18" t="inlineStr">
        <is>
          <t>Steve Coogan</t>
        </is>
      </c>
      <c r="Q18" s="18" t="inlineStr">
        <is>
          <t>Colm Meaney</t>
        </is>
      </c>
      <c r="R18" s="18" t="inlineStr">
        <is>
          <t>Felicity Montagu</t>
        </is>
      </c>
      <c r="S18" s="18" t="inlineStr">
        <is>
          <t>Simon Greenall</t>
        </is>
      </c>
      <c r="T18" s="18" t="inlineStr">
        <is>
          <t>Anna Maxwell Martin</t>
        </is>
      </c>
      <c r="U18" s="24" t="n">
        <v>0</v>
      </c>
      <c r="V18" s="24" t="n">
        <v>0</v>
      </c>
      <c r="W18" s="4" t="n"/>
      <c r="X18" s="25">
        <f t="array" ref="X18">IFERROR(INDEX(Ratings!$E$5:$E$500,MATCH(A18,Ratings!$A$5:$A$500,0)),"")</f>
        <v/>
      </c>
      <c r="Y18" s="24">
        <f t="array" ref="Y18">IFERROR(INDEX(Ratings!$G$5:$G$500,MATCH(A18,Ratings!$A$5:$A$500,0)),"")</f>
        <v/>
      </c>
      <c r="Z18" s="26">
        <f t="array" ref="Z18">IFERROR(INDEX(Ratings!$I$5:$I$500,MATCH(A18,Ratings!$A$5:$A$500,0)),"")</f>
        <v/>
      </c>
      <c r="AB18" s="18" t="inlineStr">
        <is>
          <t>15</t>
        </is>
      </c>
    </row>
    <row r="19" ht="30" customHeight="1" s="108">
      <c r="A19" s="18" t="inlineStr">
        <is>
          <t>F0015</t>
        </is>
      </c>
      <c r="B19" s="18" t="inlineStr">
        <is>
          <t>Alien</t>
        </is>
      </c>
      <c r="C19" s="20" t="inlineStr">
        <is>
          <t>1979</t>
        </is>
      </c>
      <c r="D19" s="18" t="inlineStr">
        <is>
          <t>Blu-ray</t>
        </is>
      </c>
      <c r="E19" s="18" t="inlineStr">
        <is>
          <t>Alien</t>
        </is>
      </c>
      <c r="F19" s="19" t="n"/>
      <c r="G19" s="4" t="n"/>
      <c r="H19" s="4" t="n"/>
      <c r="I19" s="19" t="inlineStr">
        <is>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is>
      </c>
      <c r="J19" s="19" t="inlineStr">
        <is>
          <t>Ridley Scott</t>
        </is>
      </c>
      <c r="K19" s="19" t="n">
        <v>117</v>
      </c>
      <c r="L19" s="19" t="inlineStr">
        <is>
          <t>Horror, Science Fiction</t>
        </is>
      </c>
      <c r="M19" s="19" t="inlineStr">
        <is>
          <t>Brandywine Productions, 20th Century Fox</t>
        </is>
      </c>
      <c r="N19" s="19" t="inlineStr">
        <is>
          <t>https://huggingface.co/datasets/HenryWaltson/TMDB-IMDB-Movies-Dataset</t>
        </is>
      </c>
      <c r="O19" s="19" t="inlineStr">
        <is>
          <t>https://huggingface.co/datasets/HenryWaltson/TMDB-IMDB-Movies-Dataset</t>
        </is>
      </c>
      <c r="P19" s="18" t="inlineStr">
        <is>
          <t>Tom Skerritt</t>
        </is>
      </c>
      <c r="Q19" s="18" t="inlineStr">
        <is>
          <t>Sigourney Weaver</t>
        </is>
      </c>
      <c r="R19" s="18" t="inlineStr">
        <is>
          <t>Veronica Cartwright</t>
        </is>
      </c>
      <c r="S19" s="18" t="inlineStr">
        <is>
          <t>Harry Dean Stanton</t>
        </is>
      </c>
      <c r="T19" s="18" t="inlineStr">
        <is>
          <t>John Hurt</t>
        </is>
      </c>
      <c r="U19" s="24" t="n">
        <v>2</v>
      </c>
      <c r="V19" s="24" t="n">
        <v>1</v>
      </c>
      <c r="W19" s="4" t="n"/>
      <c r="X19" s="25">
        <f t="array" ref="X19">IFERROR(INDEX(Ratings!$E$5:$E$500,MATCH(A19,Ratings!$A$5:$A$500,0)),"")</f>
        <v/>
      </c>
      <c r="Y19" s="24">
        <f t="array" ref="Y19">IFERROR(INDEX(Ratings!$G$5:$G$500,MATCH(A19,Ratings!$A$5:$A$500,0)),"")</f>
        <v/>
      </c>
      <c r="Z19" s="26">
        <f t="array" ref="Z19">IFERROR(INDEX(Ratings!$I$5:$I$500,MATCH(A19,Ratings!$A$5:$A$500,0)),"")</f>
        <v/>
      </c>
      <c r="AB19" s="18" t="inlineStr">
        <is>
          <t>18</t>
        </is>
      </c>
    </row>
    <row r="20" ht="30" customHeight="1" s="108">
      <c r="A20" s="18" t="inlineStr">
        <is>
          <t>F0016</t>
        </is>
      </c>
      <c r="B20" s="18" t="inlineStr">
        <is>
          <t>Aliens</t>
        </is>
      </c>
      <c r="C20" s="20" t="inlineStr">
        <is>
          <t>1986</t>
        </is>
      </c>
      <c r="D20" s="18" t="inlineStr">
        <is>
          <t>Blu-ray</t>
        </is>
      </c>
      <c r="E20" s="18" t="inlineStr">
        <is>
          <t>Alien</t>
        </is>
      </c>
      <c r="F20" s="19" t="n"/>
      <c r="G20" s="4" t="n"/>
      <c r="H20" s="4" t="n"/>
      <c r="I20" s="19" t="inlineStr">
        <is>
          <t>Ripley, the sole survivor of the Nostromo's deadly encounter with the monstrous Alien, returns to Earth after drifting through space in hypersleep for 57 years. Although her story is initially met with skepticism, she agrees to accompany a team of Colonial Marines back to LV-426.</t>
        </is>
      </c>
      <c r="J20" s="19" t="inlineStr">
        <is>
          <t>James Cameron</t>
        </is>
      </c>
      <c r="K20" s="19" t="n">
        <v>137</v>
      </c>
      <c r="L20" s="19" t="inlineStr">
        <is>
          <t>Action, Thriller, Science Fiction</t>
        </is>
      </c>
      <c r="M20" s="19" t="inlineStr">
        <is>
          <t>Brandywine Productions, SLM Production Group, 20th Century Fox</t>
        </is>
      </c>
      <c r="N20" s="19" t="inlineStr">
        <is>
          <t>https://huggingface.co/datasets/HenryWaltson/TMDB-IMDB-Movies-Dataset</t>
        </is>
      </c>
      <c r="O20" s="19" t="inlineStr">
        <is>
          <t>https://huggingface.co/datasets/HenryWaltson/TMDB-IMDB-Movies-Dataset</t>
        </is>
      </c>
      <c r="P20" s="18" t="inlineStr">
        <is>
          <t>Sigourney Weaver</t>
        </is>
      </c>
      <c r="Q20" s="18" t="inlineStr">
        <is>
          <t>Carrie Henn</t>
        </is>
      </c>
      <c r="R20" s="18" t="inlineStr">
        <is>
          <t>Michael Biehn</t>
        </is>
      </c>
      <c r="S20" s="18" t="inlineStr">
        <is>
          <t>Paul Reiser</t>
        </is>
      </c>
      <c r="T20" s="18" t="inlineStr">
        <is>
          <t>Lance Henriksen</t>
        </is>
      </c>
      <c r="U20" s="24" t="n">
        <v>7</v>
      </c>
      <c r="V20" s="24" t="n">
        <v>2</v>
      </c>
      <c r="W20" s="4" t="n"/>
      <c r="X20" s="25">
        <f t="array" ref="X20">IFERROR(INDEX(Ratings!$E$5:$E$500,MATCH(A20,Ratings!$A$5:$A$500,0)),"")</f>
        <v/>
      </c>
      <c r="Y20" s="24">
        <f t="array" ref="Y20">IFERROR(INDEX(Ratings!$G$5:$G$500,MATCH(A20,Ratings!$A$5:$A$500,0)),"")</f>
        <v/>
      </c>
      <c r="Z20" s="26">
        <f t="array" ref="Z20">IFERROR(INDEX(Ratings!$I$5:$I$500,MATCH(A20,Ratings!$A$5:$A$500,0)),"")</f>
        <v/>
      </c>
      <c r="AB20" s="18" t="inlineStr">
        <is>
          <t>18</t>
        </is>
      </c>
    </row>
    <row r="21" ht="15.75" customHeight="1" s="108">
      <c r="A21" s="18" t="inlineStr">
        <is>
          <t>F0017</t>
        </is>
      </c>
      <c r="B21" s="18" t="inlineStr">
        <is>
          <t>Alien³</t>
        </is>
      </c>
      <c r="C21" s="20" t="inlineStr">
        <is>
          <t>1992</t>
        </is>
      </c>
      <c r="D21" s="18" t="inlineStr">
        <is>
          <t>Blu-ray</t>
        </is>
      </c>
      <c r="E21" s="18" t="inlineStr">
        <is>
          <t>Alien</t>
        </is>
      </c>
      <c r="F21" s="19" t="n"/>
      <c r="G21" s="4" t="n"/>
      <c r="H21" s="4" t="n"/>
      <c r="I21" s="19" t="inlineStr">
        <is>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is>
      </c>
      <c r="J21" s="19" t="inlineStr">
        <is>
          <t>David Fincher</t>
        </is>
      </c>
      <c r="K21" s="19" t="n">
        <v>114</v>
      </c>
      <c r="L21" s="19" t="inlineStr">
        <is>
          <t>Science Fiction, Horror, Action</t>
        </is>
      </c>
      <c r="M21" s="19" t="inlineStr">
        <is>
          <t>20th Century Fox, Brandywine Productions</t>
        </is>
      </c>
      <c r="N21" s="19" t="inlineStr">
        <is>
          <t>https://huggingface.co/datasets/HenryWaltson/TMDB-IMDB-Movies-Dataset</t>
        </is>
      </c>
      <c r="O21" s="19" t="inlineStr">
        <is>
          <t>https://huggingface.co/datasets/HenryWaltson/TMDB-IMDB-Movies-Dataset</t>
        </is>
      </c>
      <c r="P21" s="18" t="inlineStr">
        <is>
          <t>Sigourney Weaver</t>
        </is>
      </c>
      <c r="Q21" s="18" t="inlineStr">
        <is>
          <t>Charles S. Dutton</t>
        </is>
      </c>
      <c r="R21" s="18" t="inlineStr">
        <is>
          <t>Charles Dance</t>
        </is>
      </c>
      <c r="S21" s="18" t="inlineStr">
        <is>
          <t>Paul McGann</t>
        </is>
      </c>
      <c r="T21" s="18" t="inlineStr">
        <is>
          <t>Brian Glover</t>
        </is>
      </c>
      <c r="U21" s="24" t="n">
        <v>0</v>
      </c>
      <c r="V21" s="24" t="n">
        <v>0</v>
      </c>
      <c r="W21" s="4" t="n"/>
      <c r="X21" s="25">
        <f t="array" ref="X21">IFERROR(INDEX(Ratings!$E$5:$E$500,MATCH(A21,Ratings!$A$5:$A$500,0)),"")</f>
        <v/>
      </c>
      <c r="Y21" s="24">
        <f t="array" ref="Y21">IFERROR(INDEX(Ratings!$G$5:$G$500,MATCH(A21,Ratings!$A$5:$A$500,0)),"")</f>
        <v/>
      </c>
      <c r="Z21" s="26">
        <f t="array" ref="Z21">IFERROR(INDEX(Ratings!$I$5:$I$500,MATCH(A21,Ratings!$A$5:$A$500,0)),"")</f>
        <v/>
      </c>
      <c r="AB21" s="18" t="inlineStr">
        <is>
          <t>18</t>
        </is>
      </c>
    </row>
    <row r="22" ht="15.75" customHeight="1" s="108">
      <c r="A22" s="18" t="inlineStr">
        <is>
          <t>F0018</t>
        </is>
      </c>
      <c r="B22" s="18" t="inlineStr">
        <is>
          <t>Alien Resurrection</t>
        </is>
      </c>
      <c r="C22" s="20" t="inlineStr">
        <is>
          <t>1997</t>
        </is>
      </c>
      <c r="D22" s="18" t="inlineStr">
        <is>
          <t>Blu-ray</t>
        </is>
      </c>
      <c r="E22" s="18" t="inlineStr">
        <is>
          <t>Alien</t>
        </is>
      </c>
      <c r="F22" s="19" t="n"/>
      <c r="G22" s="4" t="n"/>
      <c r="H22" s="4" t="n"/>
      <c r="I22" s="19" t="inlineStr">
        <is>
          <t>Two hundred years after Lt. Ripley died, a group of scientists clone her, hoping to breed the ultimate weapon. But the new Ripley is full of surprises … as are the new aliens. Ripley must team with a band of smugglers to keep the creatures from reaching Earth.</t>
        </is>
      </c>
      <c r="J22" s="19" t="inlineStr">
        <is>
          <t>Jean-Pierre Jeunet</t>
        </is>
      </c>
      <c r="K22" s="19" t="n">
        <v>109</v>
      </c>
      <c r="L22" s="19" t="inlineStr">
        <is>
          <t>Science Fiction, Horror, Action</t>
        </is>
      </c>
      <c r="M22" s="19" t="inlineStr">
        <is>
          <t>Brandywine Productions, 20th Century Fox</t>
        </is>
      </c>
      <c r="N22" s="19" t="inlineStr">
        <is>
          <t>https://huggingface.co/datasets/HenryWaltson/TMDB-IMDB-Movies-Dataset</t>
        </is>
      </c>
      <c r="O22" s="19" t="inlineStr">
        <is>
          <t>https://huggingface.co/datasets/HenryWaltson/TMDB-IMDB-Movies-Dataset</t>
        </is>
      </c>
      <c r="P22" s="18" t="inlineStr">
        <is>
          <t>Sigourney Weaver</t>
        </is>
      </c>
      <c r="Q22" s="18" t="inlineStr">
        <is>
          <t>Winona Ryder</t>
        </is>
      </c>
      <c r="R22" s="18" t="inlineStr">
        <is>
          <t>Dominique Pinon</t>
        </is>
      </c>
      <c r="S22" s="18" t="inlineStr">
        <is>
          <t>Ron Perlman</t>
        </is>
      </c>
      <c r="T22" s="18" t="inlineStr">
        <is>
          <t>Gary Dourdan</t>
        </is>
      </c>
      <c r="U22" s="24" t="n">
        <v>0</v>
      </c>
      <c r="V22" s="24" t="n">
        <v>0</v>
      </c>
      <c r="W22" s="4" t="n"/>
      <c r="X22" s="25">
        <f t="array" ref="X22">IFERROR(INDEX(Ratings!$E$5:$E$500,MATCH(A22,Ratings!$A$5:$A$500,0)),"")</f>
        <v/>
      </c>
      <c r="Y22" s="24">
        <f t="array" ref="Y22">IFERROR(INDEX(Ratings!$G$5:$G$500,MATCH(A22,Ratings!$A$5:$A$500,0)),"")</f>
        <v/>
      </c>
      <c r="Z22" s="26">
        <f t="array" ref="Z22">IFERROR(INDEX(Ratings!$I$5:$I$500,MATCH(A22,Ratings!$A$5:$A$500,0)),"")</f>
        <v/>
      </c>
      <c r="AB22" s="18" t="inlineStr">
        <is>
          <t>18</t>
        </is>
      </c>
    </row>
    <row r="23" ht="15.75" customHeight="1" s="108">
      <c r="A23" s="18" t="inlineStr">
        <is>
          <t>F0019</t>
        </is>
      </c>
      <c r="B23" s="18" t="inlineStr">
        <is>
          <t>The Amazing Spider-Man</t>
        </is>
      </c>
      <c r="C23" s="20" t="inlineStr">
        <is>
          <t>2012</t>
        </is>
      </c>
      <c r="D23" s="18" t="inlineStr">
        <is>
          <t>Blu-ray</t>
        </is>
      </c>
      <c r="E23" s="18" t="inlineStr">
        <is>
          <t>Spider-Man</t>
        </is>
      </c>
      <c r="F23" s="19" t="n"/>
      <c r="G23" s="4" t="n"/>
      <c r="H23" s="4" t="n"/>
      <c r="I23" s="19" t="inlineStr">
        <is>
          <t>A teenage Peter Parker grapples with both high school and amazing super-human crises as his alter-ego Spider-Man.</t>
        </is>
      </c>
      <c r="J23" s="19" t="inlineStr">
        <is>
          <t>Marc Webb</t>
        </is>
      </c>
      <c r="K23" s="19" t="n">
        <v>136</v>
      </c>
      <c r="L23" s="19" t="inlineStr">
        <is>
          <t>Action, Adventure, Fantasy</t>
        </is>
      </c>
      <c r="M23" s="19" t="inlineStr">
        <is>
          <t>Marvel Entertainment, Laura Ziskin Productions, Columbia Pictures</t>
        </is>
      </c>
      <c r="N23" s="19" t="inlineStr">
        <is>
          <t>https://huggingface.co/datasets/HenryWaltson/TMDB-IMDB-Movies-Dataset</t>
        </is>
      </c>
      <c r="O23" s="19" t="inlineStr">
        <is>
          <t>https://huggingface.co/datasets/HenryWaltson/TMDB-IMDB-Movies-Dataset</t>
        </is>
      </c>
      <c r="P23" s="18" t="inlineStr">
        <is>
          <t>Andrew Garfield</t>
        </is>
      </c>
      <c r="Q23" s="18" t="inlineStr">
        <is>
          <t>Emma Stone</t>
        </is>
      </c>
      <c r="R23" s="18" t="inlineStr">
        <is>
          <t>Rhys Ifans</t>
        </is>
      </c>
      <c r="S23" s="18" t="inlineStr">
        <is>
          <t>Denis Leary</t>
        </is>
      </c>
      <c r="T23" s="18" t="inlineStr">
        <is>
          <t>Martin Sheen</t>
        </is>
      </c>
      <c r="U23" s="24" t="n">
        <v>0</v>
      </c>
      <c r="V23" s="24" t="n">
        <v>0</v>
      </c>
      <c r="W23" s="4" t="n"/>
      <c r="X23" s="25">
        <f t="array" ref="X23">IFERROR(INDEX(Ratings!$E$5:$E$500,MATCH(A23,Ratings!$A$5:$A$500,0)),"")</f>
        <v/>
      </c>
      <c r="Y23" s="24">
        <f t="array" ref="Y23">IFERROR(INDEX(Ratings!$G$5:$G$500,MATCH(A23,Ratings!$A$5:$A$500,0)),"")</f>
        <v/>
      </c>
      <c r="Z23" s="26">
        <f t="array" ref="Z23">IFERROR(INDEX(Ratings!$I$5:$I$500,MATCH(A23,Ratings!$A$5:$A$500,0)),"")</f>
        <v/>
      </c>
      <c r="AB23" s="18" t="inlineStr">
        <is>
          <t>12A</t>
        </is>
      </c>
    </row>
    <row r="24" ht="15.75" customHeight="1" s="108">
      <c r="A24" s="18" t="inlineStr">
        <is>
          <t>F0020</t>
        </is>
      </c>
      <c r="B24" s="18" t="inlineStr">
        <is>
          <t>American Hustle</t>
        </is>
      </c>
      <c r="C24" s="20" t="inlineStr">
        <is>
          <t>2013</t>
        </is>
      </c>
      <c r="D24" s="18" t="inlineStr">
        <is>
          <t>Blu-ray</t>
        </is>
      </c>
      <c r="E24" s="4" t="n"/>
      <c r="F24" s="19" t="n"/>
      <c r="G24" s="4" t="n"/>
      <c r="H24" s="4" t="n"/>
      <c r="I24" s="19" t="inlineStr">
        <is>
          <t>A conman and his seductive partner are forced to work for a wild FBI agent, who pushes them into a world of Jersey power-brokers and the Mafia.</t>
        </is>
      </c>
      <c r="J24" s="19" t="inlineStr">
        <is>
          <t>David O. Russell</t>
        </is>
      </c>
      <c r="K24" s="19" t="n">
        <v>138</v>
      </c>
      <c r="L24" s="19" t="inlineStr">
        <is>
          <t>Drama, Crime</t>
        </is>
      </c>
      <c r="M24" s="19" t="inlineStr">
        <is>
          <t>Annapurna Pictures, Atlas Entertainment, Columbia Pictures</t>
        </is>
      </c>
      <c r="N24" s="19" t="inlineStr">
        <is>
          <t>https://huggingface.co/datasets/HenryWaltson/TMDB-IMDB-Movies-Dataset</t>
        </is>
      </c>
      <c r="O24" s="19" t="inlineStr">
        <is>
          <t>https://huggingface.co/datasets/HenryWaltson/TMDB-IMDB-Movies-Dataset</t>
        </is>
      </c>
      <c r="P24" s="18" t="inlineStr">
        <is>
          <t>Christian Bale</t>
        </is>
      </c>
      <c r="Q24" s="18" t="inlineStr">
        <is>
          <t>Bradley Cooper</t>
        </is>
      </c>
      <c r="R24" s="18" t="inlineStr">
        <is>
          <t>Amy Adams</t>
        </is>
      </c>
      <c r="S24" s="18" t="inlineStr">
        <is>
          <t>Jeremy Renner</t>
        </is>
      </c>
      <c r="T24" s="18" t="inlineStr">
        <is>
          <t>Jennifer Lawrence</t>
        </is>
      </c>
      <c r="U24" s="24" t="n">
        <v>10</v>
      </c>
      <c r="V24" s="24" t="n">
        <v>0</v>
      </c>
      <c r="W24" s="18" t="inlineStr">
        <is>
          <t>Nominated</t>
        </is>
      </c>
      <c r="X24" s="25">
        <f t="array" ref="X24">IFERROR(INDEX(Ratings!$E$5:$E$500,MATCH(A24,Ratings!$A$5:$A$500,0)),"")</f>
        <v/>
      </c>
      <c r="Y24" s="24">
        <f t="array" ref="Y24">IFERROR(INDEX(Ratings!$G$5:$G$500,MATCH(A24,Ratings!$A$5:$A$500,0)),"")</f>
        <v/>
      </c>
      <c r="Z24" s="26">
        <f t="array" ref="Z24">IFERROR(INDEX(Ratings!$I$5:$I$500,MATCH(A24,Ratings!$A$5:$A$500,0)),"")</f>
        <v/>
      </c>
      <c r="AB24" s="18" t="inlineStr">
        <is>
          <t>15</t>
        </is>
      </c>
    </row>
    <row r="25" ht="15.75" customHeight="1" s="108">
      <c r="A25" s="18" t="inlineStr">
        <is>
          <t>F0021</t>
        </is>
      </c>
      <c r="B25" s="18" t="inlineStr">
        <is>
          <t>A Million Ways to Die in the West</t>
        </is>
      </c>
      <c r="C25" s="20" t="inlineStr">
        <is>
          <t>2014</t>
        </is>
      </c>
      <c r="D25" s="18" t="inlineStr">
        <is>
          <t>Blu-ray</t>
        </is>
      </c>
      <c r="E25" s="4" t="n"/>
      <c r="F25" s="19" t="n"/>
      <c r="G25" s="4" t="n"/>
      <c r="H25" s="4" t="n"/>
      <c r="I25" s="19" t="inlineStr">
        <is>
          <t>As a cowardly farmer begins to fall for the mysterious new woman in town, he must put his new-found courage to the test when her husband, a notorious gun-slinger, announces his arrival.</t>
        </is>
      </c>
      <c r="J25" s="19" t="inlineStr">
        <is>
          <t>Seth MacFarlane</t>
        </is>
      </c>
      <c r="K25" s="19" t="n">
        <v>116</v>
      </c>
      <c r="L25" s="19" t="inlineStr">
        <is>
          <t>Comedy, Western</t>
        </is>
      </c>
      <c r="M25" s="19" t="inlineStr">
        <is>
          <t>RGB Media, Fuzzy Door Productions, MRC</t>
        </is>
      </c>
      <c r="N25" s="19" t="inlineStr">
        <is>
          <t>https://huggingface.co/datasets/HenryWaltson/TMDB-IMDB-Movies-Dataset</t>
        </is>
      </c>
      <c r="O25" s="19" t="inlineStr">
        <is>
          <t>https://huggingface.co/datasets/HenryWaltson/TMDB-IMDB-Movies-Dataset</t>
        </is>
      </c>
      <c r="P25" s="18" t="inlineStr">
        <is>
          <t>Seth MacFarlane</t>
        </is>
      </c>
      <c r="Q25" s="18" t="inlineStr">
        <is>
          <t>Charlize Theron</t>
        </is>
      </c>
      <c r="R25" s="18" t="inlineStr">
        <is>
          <t>Amanda Seyfried</t>
        </is>
      </c>
      <c r="S25" s="18" t="inlineStr">
        <is>
          <t>Liam Neeson</t>
        </is>
      </c>
      <c r="T25" s="18" t="inlineStr">
        <is>
          <t>Giovanni Ribisi</t>
        </is>
      </c>
      <c r="U25" s="24" t="n">
        <v>0</v>
      </c>
      <c r="V25" s="24" t="n">
        <v>0</v>
      </c>
      <c r="W25" s="4" t="n"/>
      <c r="X25" s="25">
        <f t="array" ref="X25">IFERROR(INDEX(Ratings!$E$5:$E$500,MATCH(A25,Ratings!$A$5:$A$500,0)),"")</f>
        <v/>
      </c>
      <c r="Y25" s="24">
        <f t="array" ref="Y25">IFERROR(INDEX(Ratings!$G$5:$G$500,MATCH(A25,Ratings!$A$5:$A$500,0)),"")</f>
        <v/>
      </c>
      <c r="Z25" s="26">
        <f t="array" ref="Z25">IFERROR(INDEX(Ratings!$I$5:$I$500,MATCH(A25,Ratings!$A$5:$A$500,0)),"")</f>
        <v/>
      </c>
      <c r="AB25" s="18" t="inlineStr">
        <is>
          <t>15</t>
        </is>
      </c>
    </row>
    <row r="26" ht="15.75" customHeight="1" s="108">
      <c r="A26" s="18" t="inlineStr">
        <is>
          <t>F0022</t>
        </is>
      </c>
      <c r="B26" s="18" t="inlineStr">
        <is>
          <t>Anchorman: The Legend of Ron Burgundy</t>
        </is>
      </c>
      <c r="C26" s="20" t="inlineStr">
        <is>
          <t>2004</t>
        </is>
      </c>
      <c r="D26" s="18" t="inlineStr">
        <is>
          <t>Blu-ray</t>
        </is>
      </c>
      <c r="E26" s="18" t="inlineStr">
        <is>
          <t>Anchorman</t>
        </is>
      </c>
      <c r="F26" s="19" t="n"/>
      <c r="G26" s="4" t="inlineStr">
        <is>
          <t>Yes</t>
        </is>
      </c>
      <c r="H26" s="4" t="inlineStr">
        <is>
          <t>⭐⭐⭐⭐</t>
        </is>
      </c>
      <c r="I26" s="19" t="inlineStr">
        <is>
          <t>It's the 1970s and San Diego anchorman Ron Burgundy is the top dog in local TV, but that's all about to change when ambitious reporter Veronica Corningstone arrives as a new employee at his station.</t>
        </is>
      </c>
      <c r="J26" s="19" t="inlineStr">
        <is>
          <t>Adam McKay</t>
        </is>
      </c>
      <c r="K26" s="19" t="n">
        <v>95</v>
      </c>
      <c r="L26" s="19" t="inlineStr">
        <is>
          <t>Comedy</t>
        </is>
      </c>
      <c r="M26" s="19" t="inlineStr">
        <is>
          <t>DreamWorks Pictures, Apatow Productions</t>
        </is>
      </c>
      <c r="N26" s="19" t="inlineStr">
        <is>
          <t>https://huggingface.co/datasets/HenryWaltson/TMDB-IMDB-Movies-Dataset</t>
        </is>
      </c>
      <c r="O26" s="19" t="inlineStr">
        <is>
          <t>https://huggingface.co/datasets/HenryWaltson/TMDB-IMDB-Movies-Dataset</t>
        </is>
      </c>
      <c r="P26" s="18" t="inlineStr">
        <is>
          <t>Will Ferrell</t>
        </is>
      </c>
      <c r="Q26" s="18" t="inlineStr">
        <is>
          <t>Christina Applegate</t>
        </is>
      </c>
      <c r="R26" s="18" t="inlineStr">
        <is>
          <t>Paul Rudd</t>
        </is>
      </c>
      <c r="S26" s="18" t="inlineStr">
        <is>
          <t>Steve Carell</t>
        </is>
      </c>
      <c r="T26" s="18" t="inlineStr">
        <is>
          <t>David Koechner</t>
        </is>
      </c>
      <c r="U26" s="24" t="n">
        <v>0</v>
      </c>
      <c r="V26" s="24" t="n">
        <v>0</v>
      </c>
      <c r="W26" s="4" t="n"/>
      <c r="X26" s="25">
        <f t="array" ref="X26">IFERROR(INDEX(Ratings!$E$5:$E$500,MATCH(A26,Ratings!$A$5:$A$500,0)),"")</f>
        <v/>
      </c>
      <c r="Y26" s="24">
        <f t="array" ref="Y26">IFERROR(INDEX(Ratings!$G$5:$G$500,MATCH(A26,Ratings!$A$5:$A$500,0)),"")</f>
        <v/>
      </c>
      <c r="Z26" s="26">
        <f t="array" ref="Z26">IFERROR(INDEX(Ratings!$I$5:$I$500,MATCH(A26,Ratings!$A$5:$A$500,0)),"")</f>
        <v/>
      </c>
      <c r="AA26" s="0" t="inlineStr">
        <is>
          <t>2026-09-12</t>
        </is>
      </c>
      <c r="AB26" s="18" t="inlineStr">
        <is>
          <t>15</t>
        </is>
      </c>
    </row>
    <row r="27" ht="17.25" customHeight="1" s="108">
      <c r="A27" s="18" t="inlineStr">
        <is>
          <t>F0023</t>
        </is>
      </c>
      <c r="B27" s="18" t="inlineStr">
        <is>
          <t>Angels &amp; Demons</t>
        </is>
      </c>
      <c r="C27" s="20" t="inlineStr">
        <is>
          <t>2009</t>
        </is>
      </c>
      <c r="D27" s="18" t="inlineStr">
        <is>
          <t>Blu-ray</t>
        </is>
      </c>
      <c r="E27" s="4" t="n"/>
      <c r="F27" s="19" t="n"/>
      <c r="G27" s="4" t="n"/>
      <c r="H27" s="4" t="n"/>
      <c r="I27" s="19" t="inlineStr">
        <is>
          <t>Harvard symbologist Robert Langdon is recruited by the Vatican to investigate the apparent return of the Illuminati – a secret, underground organization – after four cardinals are kidnapped on the night of the papal conclave.</t>
        </is>
      </c>
      <c r="J27" s="19" t="inlineStr">
        <is>
          <t>Ron Howard</t>
        </is>
      </c>
      <c r="K27" s="19" t="n">
        <v>138</v>
      </c>
      <c r="L27" s="19" t="inlineStr">
        <is>
          <t>Thriller, Mystery</t>
        </is>
      </c>
      <c r="M27" s="19" t="inlineStr">
        <is>
          <t>Columbia Pictures, Imagine Entertainment, Skylark Productions</t>
        </is>
      </c>
      <c r="N27" s="19" t="inlineStr">
        <is>
          <t>https://huggingface.co/datasets/HenryWaltson/TMDB-IMDB-Movies-Dataset</t>
        </is>
      </c>
      <c r="O27" s="19" t="inlineStr">
        <is>
          <t>https://huggingface.co/datasets/HenryWaltson/TMDB-IMDB-Movies-Dataset</t>
        </is>
      </c>
      <c r="P27" s="18" t="inlineStr">
        <is>
          <t>Tom Hanks</t>
        </is>
      </c>
      <c r="Q27" s="18" t="inlineStr">
        <is>
          <t>Ewan McGregor</t>
        </is>
      </c>
      <c r="R27" s="18" t="inlineStr">
        <is>
          <t>Ayelet Zurer</t>
        </is>
      </c>
      <c r="S27" s="18" t="inlineStr">
        <is>
          <t>Stellan Skarsgård</t>
        </is>
      </c>
      <c r="T27" s="18" t="inlineStr">
        <is>
          <t>Pierfrancesco Favino</t>
        </is>
      </c>
      <c r="U27" s="24" t="n">
        <v>0</v>
      </c>
      <c r="V27" s="24" t="n">
        <v>0</v>
      </c>
      <c r="W27" s="4" t="n"/>
      <c r="X27" s="25">
        <f t="array" ref="X27">IFERROR(INDEX(Ratings!$E$5:$E$500,MATCH(A27,Ratings!$A$5:$A$500,0)),"")</f>
        <v/>
      </c>
      <c r="Y27" s="24">
        <f t="array" ref="Y27">IFERROR(INDEX(Ratings!$G$5:$G$500,MATCH(A27,Ratings!$A$5:$A$500,0)),"")</f>
        <v/>
      </c>
      <c r="Z27" s="26">
        <f t="array" ref="Z27">IFERROR(INDEX(Ratings!$I$5:$I$500,MATCH(A27,Ratings!$A$5:$A$500,0)),"")</f>
        <v/>
      </c>
      <c r="AB27" s="18" t="inlineStr">
        <is>
          <t>12A</t>
        </is>
      </c>
    </row>
    <row r="28" ht="15.75" customHeight="1" s="108">
      <c r="A28" s="18" t="inlineStr">
        <is>
          <t>F0024</t>
        </is>
      </c>
      <c r="B28" s="18" t="inlineStr">
        <is>
          <t>Anuvahood</t>
        </is>
      </c>
      <c r="C28" s="20" t="inlineStr">
        <is>
          <t>2011</t>
        </is>
      </c>
      <c r="D28" s="18" t="inlineStr">
        <is>
          <t>Blu-ray</t>
        </is>
      </c>
      <c r="E28" s="4" t="n"/>
      <c r="F28" s="19" t="n"/>
      <c r="G28" s="4" t="n"/>
      <c r="H28" s="4" t="n"/>
      <c r="I28" s="19" t="inlineStr">
        <is>
          <t>Kenneth (who likes to call himself Kay) begins to realise he's just another wannabe bad boy... even less than a loser in fact. After quitting his job at Laimsbury's, Kay vows to become a respected gangster... or cry trying. A pulls-no-punches, coming-of-age story, centering on one directionless hopeless "shotter", who finds his true worth in the face of urban adversity.</t>
        </is>
      </c>
      <c r="J28" s="19" t="inlineStr">
        <is>
          <t>Adam Deacon, Daniel Toland</t>
        </is>
      </c>
      <c r="K28" s="19" t="n">
        <v>88</v>
      </c>
      <c r="L28" s="19" t="inlineStr">
        <is>
          <t>Comedy</t>
        </is>
      </c>
      <c r="M28" s="19" t="inlineStr">
        <is>
          <t>Gunslinger, Gateway Films, Cabin Fever Films</t>
        </is>
      </c>
      <c r="N28" s="19" t="inlineStr">
        <is>
          <t>https://huggingface.co/datasets/HenryWaltson/TMDB-IMDB-Movies-Dataset</t>
        </is>
      </c>
      <c r="O28" s="19" t="inlineStr">
        <is>
          <t>https://huggingface.co/datasets/HenryWaltson/TMDB-IMDB-Movies-Dataset</t>
        </is>
      </c>
      <c r="P28" s="18" t="inlineStr">
        <is>
          <t>Adam Deacon</t>
        </is>
      </c>
      <c r="Q28" s="18" t="inlineStr">
        <is>
          <t>Ollie Barbieri</t>
        </is>
      </c>
      <c r="R28" s="18" t="inlineStr">
        <is>
          <t>Jazzie Zonzolo</t>
        </is>
      </c>
      <c r="S28" s="18" t="inlineStr">
        <is>
          <t>Richie Campbell</t>
        </is>
      </c>
      <c r="T28" s="18" t="inlineStr">
        <is>
          <t>Jaime Winstone</t>
        </is>
      </c>
      <c r="U28" s="24" t="n">
        <v>0</v>
      </c>
      <c r="V28" s="24" t="n">
        <v>0</v>
      </c>
      <c r="W28" s="4" t="n"/>
      <c r="X28" s="25">
        <f t="array" ref="X28">IFERROR(INDEX(Ratings!$E$5:$E$500,MATCH(A28,Ratings!$A$5:$A$500,0)),"")</f>
        <v/>
      </c>
      <c r="Y28" s="24">
        <f t="array" ref="Y28">IFERROR(INDEX(Ratings!$G$5:$G$500,MATCH(A28,Ratings!$A$5:$A$500,0)),"")</f>
        <v/>
      </c>
      <c r="Z28" s="26">
        <f t="array" ref="Z28">IFERROR(INDEX(Ratings!$I$5:$I$500,MATCH(A28,Ratings!$A$5:$A$500,0)),"")</f>
        <v/>
      </c>
      <c r="AB28" s="18" t="inlineStr">
        <is>
          <t>15</t>
        </is>
      </c>
    </row>
    <row r="29" ht="15.75" customHeight="1" s="108">
      <c r="A29" s="18" t="inlineStr">
        <is>
          <t>F0025</t>
        </is>
      </c>
      <c r="B29" s="18" t="inlineStr">
        <is>
          <t>Argo</t>
        </is>
      </c>
      <c r="C29" s="20" t="inlineStr">
        <is>
          <t>2012</t>
        </is>
      </c>
      <c r="D29" s="18" t="inlineStr">
        <is>
          <t>Blu-ray</t>
        </is>
      </c>
      <c r="E29" s="4" t="n"/>
      <c r="F29" s="19" t="n"/>
      <c r="G29" s="4" t="n"/>
      <c r="H29" s="4" t="n"/>
      <c r="I29" s="19" t="inlineStr">
        <is>
          <t>As the Iranian revolution reaches a boiling point, a CIA 'exfiltration' specialist concocts a risky plan to free six Americans who have found shelter at the home of the Canadian ambassador.</t>
        </is>
      </c>
      <c r="J29" s="19" t="inlineStr">
        <is>
          <t>Ben Affleck</t>
        </is>
      </c>
      <c r="K29" s="19" t="n">
        <v>120</v>
      </c>
      <c r="L29" s="19" t="inlineStr">
        <is>
          <t>Drama, Thriller</t>
        </is>
      </c>
      <c r="M29" s="19" t="inlineStr">
        <is>
          <t>GK Films, Warner Bros. Pictures, Smoke House Pictures</t>
        </is>
      </c>
      <c r="N29" s="19" t="inlineStr">
        <is>
          <t>https://huggingface.co/datasets/HenryWaltson/TMDB-IMDB-Movies-Dataset</t>
        </is>
      </c>
      <c r="O29" s="19" t="inlineStr">
        <is>
          <t>https://huggingface.co/datasets/HenryWaltson/TMDB-IMDB-Movies-Dataset</t>
        </is>
      </c>
      <c r="P29" s="18" t="inlineStr">
        <is>
          <t>Ben Affleck</t>
        </is>
      </c>
      <c r="Q29" s="18" t="inlineStr">
        <is>
          <t>Bryan Cranston</t>
        </is>
      </c>
      <c r="R29" s="18" t="inlineStr">
        <is>
          <t>Alan Arkin</t>
        </is>
      </c>
      <c r="S29" s="18" t="inlineStr">
        <is>
          <t>John Goodman</t>
        </is>
      </c>
      <c r="T29" s="18" t="inlineStr">
        <is>
          <t>Victor Garber</t>
        </is>
      </c>
      <c r="U29" s="24" t="n">
        <v>7</v>
      </c>
      <c r="V29" s="24" t="n">
        <v>3</v>
      </c>
      <c r="W29" s="18" t="inlineStr">
        <is>
          <t>Winner</t>
        </is>
      </c>
      <c r="X29" s="25">
        <f t="array" ref="X29">IFERROR(INDEX(Ratings!$E$5:$E$500,MATCH(A29,Ratings!$A$5:$A$500,0)),"")</f>
        <v/>
      </c>
      <c r="Y29" s="24">
        <f t="array" ref="Y29">IFERROR(INDEX(Ratings!$G$5:$G$500,MATCH(A29,Ratings!$A$5:$A$500,0)),"")</f>
        <v/>
      </c>
      <c r="Z29" s="26">
        <f t="array" ref="Z29">IFERROR(INDEX(Ratings!$I$5:$I$500,MATCH(A29,Ratings!$A$5:$A$500,0)),"")</f>
        <v/>
      </c>
      <c r="AB29" s="18" t="inlineStr">
        <is>
          <t>15</t>
        </is>
      </c>
    </row>
    <row r="30" ht="15.75" customHeight="1" s="108">
      <c r="A30" s="18" t="inlineStr">
        <is>
          <t>F0026</t>
        </is>
      </c>
      <c r="B30" s="18" t="inlineStr">
        <is>
          <t>The A-Team</t>
        </is>
      </c>
      <c r="C30" s="20" t="inlineStr">
        <is>
          <t>2010</t>
        </is>
      </c>
      <c r="D30" s="18" t="inlineStr">
        <is>
          <t>Blu-ray</t>
        </is>
      </c>
      <c r="E30" s="4" t="n"/>
      <c r="F30" s="19" t="n"/>
      <c r="G30" s="4" t="n"/>
      <c r="H30" s="4" t="n"/>
      <c r="I30" s="19" t="inlineStr">
        <is>
          <t>A man who loves when a plan comes together, Col. Hannibal Smith leads a close-knit team of elite operatives and Iraq War veterans. Framed for a crime they didn't commit, Smith and his men, Capt. H.M. ‘Howling Mad’ Murdock , Sgt. Bosco ‘B.A.’ Baracus, and Lt. Templeton ‘Faceman’ Peck, break out and go rogue, using their special talents to clear their names and find the perpetrator. Hot on their trail is Capt. Charissa Sosa, who was once involved with a member of Smith's team and has sworn to capture them, no matter what it takes.</t>
        </is>
      </c>
      <c r="J30" s="19" t="inlineStr">
        <is>
          <t>Joe Carnahan</t>
        </is>
      </c>
      <c r="K30" s="19" t="n">
        <v>117</v>
      </c>
      <c r="L30" s="19" t="inlineStr">
        <is>
          <t>Thriller, Action, Adventure, Comedy, Crime</t>
        </is>
      </c>
      <c r="M30" s="19" t="inlineStr">
        <is>
          <t>Phoenix Film Partners, Dune Entertainment, Stephen J. Cannell Productions</t>
        </is>
      </c>
      <c r="N30" s="19" t="inlineStr">
        <is>
          <t>https://huggingface.co/datasets/HenryWaltson/TMDB-IMDB-Movies-Dataset</t>
        </is>
      </c>
      <c r="O30" s="19" t="inlineStr">
        <is>
          <t>https://huggingface.co/datasets/HenryWaltson/TMDB-IMDB-Movies-Dataset</t>
        </is>
      </c>
      <c r="P30" s="18" t="inlineStr">
        <is>
          <t>Liam Neeson</t>
        </is>
      </c>
      <c r="Q30" s="18" t="inlineStr">
        <is>
          <t>Bradley Cooper</t>
        </is>
      </c>
      <c r="R30" s="18" t="inlineStr">
        <is>
          <t>Jessica Biel</t>
        </is>
      </c>
      <c r="S30" s="18" t="inlineStr">
        <is>
          <t>Quinton 'Rampage' Jackson</t>
        </is>
      </c>
      <c r="T30" s="18" t="inlineStr">
        <is>
          <t>Sharlto Copley</t>
        </is>
      </c>
      <c r="U30" s="24" t="n">
        <v>0</v>
      </c>
      <c r="V30" s="24" t="n">
        <v>0</v>
      </c>
      <c r="W30" s="4" t="n"/>
      <c r="X30" s="25">
        <f t="array" ref="X30">IFERROR(INDEX(Ratings!$E$5:$E$500,MATCH(A30,Ratings!$A$5:$A$500,0)),"")</f>
        <v/>
      </c>
      <c r="Y30" s="24">
        <f t="array" ref="Y30">IFERROR(INDEX(Ratings!$G$5:$G$500,MATCH(A30,Ratings!$A$5:$A$500,0)),"")</f>
        <v/>
      </c>
      <c r="Z30" s="26">
        <f t="array" ref="Z30">IFERROR(INDEX(Ratings!$I$5:$I$500,MATCH(A30,Ratings!$A$5:$A$500,0)),"")</f>
        <v/>
      </c>
      <c r="AB30" s="18" t="inlineStr">
        <is>
          <t>12A</t>
        </is>
      </c>
    </row>
    <row r="31" ht="15.75" customHeight="1" s="108">
      <c r="A31" s="18" t="inlineStr">
        <is>
          <t>F0027</t>
        </is>
      </c>
      <c r="B31" s="18" t="inlineStr">
        <is>
          <t>Attack the Block</t>
        </is>
      </c>
      <c r="C31" s="20" t="inlineStr">
        <is>
          <t>2011</t>
        </is>
      </c>
      <c r="D31" s="18" t="inlineStr">
        <is>
          <t>Blu-ray</t>
        </is>
      </c>
      <c r="E31" s="4" t="n"/>
      <c r="F31" s="19" t="n"/>
      <c r="G31" s="4" t="n"/>
      <c r="H31" s="4" t="n"/>
      <c r="I31" s="19" t="inlineStr">
        <is>
          <t>A South London teen gang must team up with the other residents of their housing estate to protect the neighbourhood from a terrifying alien invasion.</t>
        </is>
      </c>
      <c r="J31" s="19" t="inlineStr">
        <is>
          <t>Joe Cornish</t>
        </is>
      </c>
      <c r="K31" s="19" t="n">
        <v>88</v>
      </c>
      <c r="L31" s="19" t="inlineStr">
        <is>
          <t>Action, Comedy, Science Fiction</t>
        </is>
      </c>
      <c r="M31" s="19" t="inlineStr">
        <is>
          <t>UK Film Council, Film4 Productions, StudioCanal</t>
        </is>
      </c>
      <c r="N31" s="19" t="inlineStr">
        <is>
          <t>https://huggingface.co/datasets/HenryWaltson/TMDB-IMDB-Movies-Dataset</t>
        </is>
      </c>
      <c r="O31" s="19" t="inlineStr">
        <is>
          <t>https://huggingface.co/datasets/HenryWaltson/TMDB-IMDB-Movies-Dataset</t>
        </is>
      </c>
      <c r="P31" s="18" t="inlineStr">
        <is>
          <t>John Boyega</t>
        </is>
      </c>
      <c r="Q31" s="18" t="inlineStr">
        <is>
          <t>Jodie Whittaker</t>
        </is>
      </c>
      <c r="R31" s="18" t="inlineStr">
        <is>
          <t>Nick Frost</t>
        </is>
      </c>
      <c r="S31" s="18" t="inlineStr">
        <is>
          <t>Alex Esmail</t>
        </is>
      </c>
      <c r="T31" s="18" t="inlineStr">
        <is>
          <t>Luke Treadaway</t>
        </is>
      </c>
      <c r="U31" s="24" t="n">
        <v>0</v>
      </c>
      <c r="V31" s="24" t="n">
        <v>0</v>
      </c>
      <c r="W31" s="4" t="n"/>
      <c r="X31" s="25">
        <f t="array" ref="X31">IFERROR(INDEX(Ratings!$E$5:$E$500,MATCH(A31,Ratings!$A$5:$A$500,0)),"")</f>
        <v/>
      </c>
      <c r="Y31" s="24">
        <f t="array" ref="Y31">IFERROR(INDEX(Ratings!$G$5:$G$500,MATCH(A31,Ratings!$A$5:$A$500,0)),"")</f>
        <v/>
      </c>
      <c r="Z31" s="26">
        <f t="array" ref="Z31">IFERROR(INDEX(Ratings!$I$5:$I$500,MATCH(A31,Ratings!$A$5:$A$500,0)),"")</f>
        <v/>
      </c>
      <c r="AB31" s="18" t="inlineStr">
        <is>
          <t>15</t>
        </is>
      </c>
    </row>
    <row r="32" ht="15.75" customHeight="1" s="108">
      <c r="A32" s="18" t="inlineStr">
        <is>
          <t>F0028</t>
        </is>
      </c>
      <c r="B32" s="18" t="inlineStr">
        <is>
          <t>Avatar</t>
        </is>
      </c>
      <c r="C32" s="20" t="inlineStr">
        <is>
          <t>2009</t>
        </is>
      </c>
      <c r="D32" s="18" t="inlineStr">
        <is>
          <t>Blu-ray</t>
        </is>
      </c>
      <c r="E32" s="18" t="inlineStr">
        <is>
          <t>Avatar</t>
        </is>
      </c>
      <c r="F32" s="19" t="n"/>
      <c r="G32" s="4" t="n"/>
      <c r="H32" s="4" t="n"/>
      <c r="I32" s="19" t="inlineStr">
        <is>
          <t>In the 22nd century, a paraplegic Marine is dispatched to the moon Pandora on a unique mission, but becomes torn between following orders and protecting an alien civilization.</t>
        </is>
      </c>
      <c r="J32" s="19" t="inlineStr">
        <is>
          <t>James Cameron</t>
        </is>
      </c>
      <c r="K32" s="19" t="n">
        <v>162</v>
      </c>
      <c r="L32" s="19" t="inlineStr">
        <is>
          <t>Action, Adventure, Fantasy, Science Fiction</t>
        </is>
      </c>
      <c r="M32" s="19" t="inlineStr">
        <is>
          <t>Dune Entertainment, Lightstorm Entertainment, 20th Century Fox</t>
        </is>
      </c>
      <c r="N32" s="19" t="inlineStr">
        <is>
          <t>https://huggingface.co/datasets/HenryWaltson/TMDB-IMDB-Movies-Dataset</t>
        </is>
      </c>
      <c r="O32" s="19" t="inlineStr">
        <is>
          <t>https://huggingface.co/datasets/HenryWaltson/TMDB-IMDB-Movies-Dataset</t>
        </is>
      </c>
      <c r="P32" s="18" t="inlineStr">
        <is>
          <t>Sam Worthington</t>
        </is>
      </c>
      <c r="Q32" s="18" t="inlineStr">
        <is>
          <t>Zoe Saldaña</t>
        </is>
      </c>
      <c r="R32" s="18" t="inlineStr">
        <is>
          <t>Sigourney Weaver</t>
        </is>
      </c>
      <c r="S32" s="18" t="inlineStr">
        <is>
          <t>Stephen Lang</t>
        </is>
      </c>
      <c r="T32" s="18" t="inlineStr">
        <is>
          <t>Michelle Rodriguez</t>
        </is>
      </c>
      <c r="U32" s="24" t="n">
        <v>9</v>
      </c>
      <c r="V32" s="24" t="n">
        <v>3</v>
      </c>
      <c r="W32" s="18" t="inlineStr">
        <is>
          <t>Nominated</t>
        </is>
      </c>
      <c r="X32" s="25">
        <f t="array" ref="X32">IFERROR(INDEX(Ratings!$E$5:$E$500,MATCH(A32,Ratings!$A$5:$A$500,0)),"")</f>
        <v/>
      </c>
      <c r="Y32" s="24">
        <f t="array" ref="Y32">IFERROR(INDEX(Ratings!$G$5:$G$500,MATCH(A32,Ratings!$A$5:$A$500,0)),"")</f>
        <v/>
      </c>
      <c r="Z32" s="26">
        <f t="array" ref="Z32">IFERROR(INDEX(Ratings!$I$5:$I$500,MATCH(A32,Ratings!$A$5:$A$500,0)),"")</f>
        <v/>
      </c>
      <c r="AB32" s="18" t="inlineStr">
        <is>
          <t>12A</t>
        </is>
      </c>
    </row>
    <row r="33" ht="15.75" customHeight="1" s="108">
      <c r="A33" s="18" t="inlineStr">
        <is>
          <t>F0029</t>
        </is>
      </c>
      <c r="B33" s="18" t="inlineStr">
        <is>
          <t>The Avengers</t>
        </is>
      </c>
      <c r="C33" s="20" t="inlineStr">
        <is>
          <t>2012</t>
        </is>
      </c>
      <c r="D33" s="18" t="inlineStr">
        <is>
          <t>Blu-ray</t>
        </is>
      </c>
      <c r="E33" s="18" t="inlineStr">
        <is>
          <t>MCU</t>
        </is>
      </c>
      <c r="F33" s="19" t="n"/>
      <c r="G33" s="4" t="n"/>
      <c r="H33" s="4" t="n"/>
      <c r="I33" s="19" t="inlineStr">
        <is>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is>
      </c>
      <c r="J33" s="19" t="inlineStr">
        <is>
          <t>Joss Whedon</t>
        </is>
      </c>
      <c r="K33" s="19" t="n">
        <v>143</v>
      </c>
      <c r="L33" s="19" t="inlineStr">
        <is>
          <t>Science Fiction, Action, Adventure</t>
        </is>
      </c>
      <c r="M33" s="19" t="inlineStr">
        <is>
          <t>Marvel Studios</t>
        </is>
      </c>
      <c r="N33" s="19" t="inlineStr">
        <is>
          <t>https://huggingface.co/datasets/HenryWaltson/TMDB-IMDB-Movies-Dataset</t>
        </is>
      </c>
      <c r="O33" s="19" t="inlineStr">
        <is>
          <t>https://huggingface.co/datasets/HenryWaltson/TMDB-IMDB-Movies-Dataset</t>
        </is>
      </c>
      <c r="P33" s="18" t="inlineStr">
        <is>
          <t>Robert Downey Jr.</t>
        </is>
      </c>
      <c r="Q33" s="18" t="inlineStr">
        <is>
          <t>Chris Evans</t>
        </is>
      </c>
      <c r="R33" s="18" t="inlineStr">
        <is>
          <t>Mark Ruffalo</t>
        </is>
      </c>
      <c r="S33" s="18" t="inlineStr">
        <is>
          <t>Chris Hemsworth</t>
        </is>
      </c>
      <c r="T33" s="18" t="inlineStr">
        <is>
          <t>Scarlett Johansson</t>
        </is>
      </c>
      <c r="U33" s="24" t="n">
        <v>1</v>
      </c>
      <c r="V33" s="24" t="n">
        <v>0</v>
      </c>
      <c r="W33" s="4" t="n"/>
      <c r="X33" s="25">
        <f t="array" ref="X33">IFERROR(INDEX(Ratings!$E$5:$E$500,MATCH(A33,Ratings!$A$5:$A$500,0)),"")</f>
        <v/>
      </c>
      <c r="Y33" s="24">
        <f t="array" ref="Y33">IFERROR(INDEX(Ratings!$G$5:$G$500,MATCH(A33,Ratings!$A$5:$A$500,0)),"")</f>
        <v/>
      </c>
      <c r="Z33" s="26">
        <f t="array" ref="Z33">IFERROR(INDEX(Ratings!$I$5:$I$500,MATCH(A33,Ratings!$A$5:$A$500,0)),"")</f>
        <v/>
      </c>
      <c r="AB33" s="18" t="inlineStr">
        <is>
          <t>12A</t>
        </is>
      </c>
    </row>
    <row r="34" ht="15.75" customHeight="1" s="108">
      <c r="A34" s="18" t="inlineStr">
        <is>
          <t>F0030</t>
        </is>
      </c>
      <c r="B34" s="18" t="inlineStr">
        <is>
          <t>Avengers: Infinity War</t>
        </is>
      </c>
      <c r="C34" s="20" t="inlineStr">
        <is>
          <t>2018</t>
        </is>
      </c>
      <c r="D34" s="18" t="inlineStr">
        <is>
          <t>4K UHD</t>
        </is>
      </c>
      <c r="E34" s="18" t="inlineStr">
        <is>
          <t>MCU</t>
        </is>
      </c>
      <c r="F34" s="19" t="n"/>
      <c r="G34" s="4" t="n"/>
      <c r="H34" s="4" t="n"/>
      <c r="I34" s="19" t="inlineStr">
        <is>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is>
      </c>
      <c r="J34" s="19" t="inlineStr">
        <is>
          <t>Anthony Russo, Joe Russo</t>
        </is>
      </c>
      <c r="K34" s="19" t="n">
        <v>149</v>
      </c>
      <c r="L34" s="19" t="inlineStr">
        <is>
          <t>Adventure, Action, Science Fiction</t>
        </is>
      </c>
      <c r="M34" s="19" t="inlineStr">
        <is>
          <t>Marvel Studios</t>
        </is>
      </c>
      <c r="N34" s="19" t="inlineStr">
        <is>
          <t>https://huggingface.co/datasets/HenryWaltson/TMDB-IMDB-Movies-Dataset</t>
        </is>
      </c>
      <c r="O34" s="19" t="inlineStr">
        <is>
          <t>https://huggingface.co/datasets/HenryWaltson/TMDB-IMDB-Movies-Dataset</t>
        </is>
      </c>
      <c r="P34" s="18" t="inlineStr">
        <is>
          <t>Robert Downey Jr.</t>
        </is>
      </c>
      <c r="Q34" s="18" t="inlineStr">
        <is>
          <t>Chris Evans</t>
        </is>
      </c>
      <c r="R34" s="18" t="inlineStr">
        <is>
          <t>Chris Hemsworth</t>
        </is>
      </c>
      <c r="S34" s="18" t="inlineStr">
        <is>
          <t>Josh Brolin</t>
        </is>
      </c>
      <c r="T34" s="18" t="inlineStr">
        <is>
          <t>Mark Ruffalo</t>
        </is>
      </c>
      <c r="U34" s="24" t="n">
        <v>1</v>
      </c>
      <c r="V34" s="24" t="n">
        <v>0</v>
      </c>
      <c r="W34" s="4" t="n"/>
      <c r="X34" s="25">
        <f t="array" ref="X34">IFERROR(INDEX(Ratings!$E$5:$E$500,MATCH(A34,Ratings!$A$5:$A$500,0)),"")</f>
        <v/>
      </c>
      <c r="Y34" s="24">
        <f t="array" ref="Y34">IFERROR(INDEX(Ratings!$G$5:$G$500,MATCH(A34,Ratings!$A$5:$A$500,0)),"")</f>
        <v/>
      </c>
      <c r="Z34" s="26">
        <f t="array" ref="Z34">IFERROR(INDEX(Ratings!$I$5:$I$500,MATCH(A34,Ratings!$A$5:$A$500,0)),"")</f>
        <v/>
      </c>
      <c r="AB34" s="18" t="inlineStr">
        <is>
          <t>12A</t>
        </is>
      </c>
    </row>
    <row r="35" ht="15.75" customHeight="1" s="108">
      <c r="A35" s="18" t="inlineStr">
        <is>
          <t>F0031</t>
        </is>
      </c>
      <c r="B35" s="18" t="inlineStr">
        <is>
          <t>Avengers: Endgame</t>
        </is>
      </c>
      <c r="C35" s="20" t="inlineStr">
        <is>
          <t>2019</t>
        </is>
      </c>
      <c r="D35" s="18" t="inlineStr">
        <is>
          <t>4K UHD</t>
        </is>
      </c>
      <c r="E35" s="18" t="inlineStr">
        <is>
          <t>MCU</t>
        </is>
      </c>
      <c r="F35" s="19" t="n"/>
      <c r="G35" s="4" t="n"/>
      <c r="H35" s="4" t="n"/>
      <c r="I35" s="19" t="inlineStr">
        <is>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is>
      </c>
      <c r="J35" s="19" t="inlineStr">
        <is>
          <t>Anthony Russo, Joe Russo</t>
        </is>
      </c>
      <c r="K35" s="19" t="n">
        <v>181</v>
      </c>
      <c r="L35" s="19" t="inlineStr">
        <is>
          <t>Adventure, Science Fiction, Action</t>
        </is>
      </c>
      <c r="M35" s="19" t="inlineStr">
        <is>
          <t>Marvel Studios</t>
        </is>
      </c>
      <c r="N35" s="19" t="inlineStr">
        <is>
          <t>https://huggingface.co/datasets/HenryWaltson/TMDB-IMDB-Movies-Dataset</t>
        </is>
      </c>
      <c r="O35" s="19" t="inlineStr">
        <is>
          <t>https://huggingface.co/datasets/HenryWaltson/TMDB-IMDB-Movies-Dataset</t>
        </is>
      </c>
      <c r="P35" s="18" t="inlineStr">
        <is>
          <t>Robert Downey Jr.</t>
        </is>
      </c>
      <c r="Q35" s="18" t="inlineStr">
        <is>
          <t>Chris Evans</t>
        </is>
      </c>
      <c r="R35" s="18" t="inlineStr">
        <is>
          <t>Mark Ruffalo</t>
        </is>
      </c>
      <c r="S35" s="18" t="inlineStr">
        <is>
          <t>Chris Hemsworth</t>
        </is>
      </c>
      <c r="T35" s="18" t="inlineStr">
        <is>
          <t>Scarlett Johansson</t>
        </is>
      </c>
      <c r="U35" s="24" t="n">
        <v>1</v>
      </c>
      <c r="V35" s="24" t="n">
        <v>0</v>
      </c>
      <c r="W35" s="4" t="n"/>
      <c r="X35" s="25">
        <f t="array" ref="X35">IFERROR(INDEX(Ratings!$E$5:$E$500,MATCH(A35,Ratings!$A$5:$A$500,0)),"")</f>
        <v/>
      </c>
      <c r="Y35" s="24">
        <f t="array" ref="Y35">IFERROR(INDEX(Ratings!$G$5:$G$500,MATCH(A35,Ratings!$A$5:$A$500,0)),"")</f>
        <v/>
      </c>
      <c r="Z35" s="26">
        <f t="array" ref="Z35">IFERROR(INDEX(Ratings!$I$5:$I$500,MATCH(A35,Ratings!$A$5:$A$500,0)),"")</f>
        <v/>
      </c>
      <c r="AB35" s="18" t="inlineStr">
        <is>
          <t>12A</t>
        </is>
      </c>
    </row>
    <row r="36" ht="15.75" customHeight="1" s="108">
      <c r="A36" s="18" t="inlineStr">
        <is>
          <t>F0032</t>
        </is>
      </c>
      <c r="B36" s="18" t="inlineStr">
        <is>
          <t>Baby Driver</t>
        </is>
      </c>
      <c r="C36" s="20" t="inlineStr">
        <is>
          <t>2017</t>
        </is>
      </c>
      <c r="D36" s="18" t="inlineStr">
        <is>
          <t>Blu-ray</t>
        </is>
      </c>
      <c r="E36" s="4" t="n"/>
      <c r="F36" s="19" t="n"/>
      <c r="G36" s="4" t="n"/>
      <c r="H36" s="4" t="n"/>
      <c r="I36" s="19" t="inlineStr">
        <is>
          <t>After being coerced into working for a crime boss, a young getaway driver finds himself taking part in a heist doomed to fail.</t>
        </is>
      </c>
      <c r="J36" s="19" t="inlineStr">
        <is>
          <t>Edgar Wright</t>
        </is>
      </c>
      <c r="K36" s="19" t="n">
        <v>113</v>
      </c>
      <c r="L36" s="19" t="inlineStr">
        <is>
          <t>Action, Crime</t>
        </is>
      </c>
      <c r="M36" s="19" t="inlineStr">
        <is>
          <t>Big Talk Productions, Working Title Films</t>
        </is>
      </c>
      <c r="N36" s="19" t="inlineStr">
        <is>
          <t>https://huggingface.co/datasets/HenryWaltson/TMDB-IMDB-Movies-Dataset</t>
        </is>
      </c>
      <c r="O36" s="19" t="inlineStr">
        <is>
          <t>https://huggingface.co/datasets/HenryWaltson/TMDB-IMDB-Movies-Dataset</t>
        </is>
      </c>
      <c r="P36" s="18" t="inlineStr">
        <is>
          <t>Ansel Elgort</t>
        </is>
      </c>
      <c r="Q36" s="18" t="inlineStr">
        <is>
          <t>Kevin Spacey</t>
        </is>
      </c>
      <c r="R36" s="18" t="inlineStr">
        <is>
          <t>Lily James</t>
        </is>
      </c>
      <c r="S36" s="18" t="inlineStr">
        <is>
          <t>Jon Hamm</t>
        </is>
      </c>
      <c r="T36" s="18" t="inlineStr">
        <is>
          <t>Jamie Foxx</t>
        </is>
      </c>
      <c r="U36" s="24" t="n">
        <v>3</v>
      </c>
      <c r="V36" s="24" t="n">
        <v>0</v>
      </c>
      <c r="W36" s="4" t="n"/>
      <c r="X36" s="25">
        <f t="array" ref="X36">IFERROR(INDEX(Ratings!$E$5:$E$500,MATCH(A36,Ratings!$A$5:$A$500,0)),"")</f>
        <v/>
      </c>
      <c r="Y36" s="24">
        <f t="array" ref="Y36">IFERROR(INDEX(Ratings!$G$5:$G$500,MATCH(A36,Ratings!$A$5:$A$500,0)),"")</f>
        <v/>
      </c>
      <c r="Z36" s="26">
        <f t="array" ref="Z36">IFERROR(INDEX(Ratings!$I$5:$I$500,MATCH(A36,Ratings!$A$5:$A$500,0)),"")</f>
        <v/>
      </c>
      <c r="AB36" s="18" t="inlineStr">
        <is>
          <t>15</t>
        </is>
      </c>
    </row>
    <row r="37" ht="15.75" customHeight="1" s="108">
      <c r="A37" s="18" t="inlineStr">
        <is>
          <t>F0033</t>
        </is>
      </c>
      <c r="B37" s="18" t="inlineStr">
        <is>
          <t>Back to the Future</t>
        </is>
      </c>
      <c r="C37" s="20" t="inlineStr">
        <is>
          <t>1985</t>
        </is>
      </c>
      <c r="D37" s="18" t="inlineStr">
        <is>
          <t>Blu-ray</t>
        </is>
      </c>
      <c r="E37" s="18" t="inlineStr">
        <is>
          <t>Back to the Future</t>
        </is>
      </c>
      <c r="F37" s="19" t="inlineStr">
        <is>
          <t>Back to the Future Trilogy (Box Set)</t>
        </is>
      </c>
      <c r="G37" s="4" t="n"/>
      <c r="H37" s="4" t="n"/>
      <c r="I37" s="19" t="inlineStr">
        <is>
          <t>Owned via Back to the Future Trilogy (Box Set).</t>
        </is>
      </c>
      <c r="J37" s="19" t="inlineStr">
        <is>
          <t>Robert Zemeckis</t>
        </is>
      </c>
      <c r="K37" s="19" t="n">
        <v>116</v>
      </c>
      <c r="L37" s="19" t="inlineStr">
        <is>
          <t>Adventure, Comedy, Science Fiction</t>
        </is>
      </c>
      <c r="M37" s="19" t="inlineStr">
        <is>
          <t>Universal Pictures, Amblin Entertainment</t>
        </is>
      </c>
      <c r="N37" s="19" t="inlineStr">
        <is>
          <t>https://huggingface.co/datasets/HenryWaltson/TMDB-IMDB-Movies-Dataset</t>
        </is>
      </c>
      <c r="O37" s="19" t="inlineStr">
        <is>
          <t>https://huggingface.co/datasets/HenryWaltson/TMDB-IMDB-Movies-Dataset</t>
        </is>
      </c>
      <c r="P37" s="18" t="inlineStr">
        <is>
          <t>Michael J. Fox</t>
        </is>
      </c>
      <c r="Q37" s="18" t="inlineStr">
        <is>
          <t>Christopher Lloyd</t>
        </is>
      </c>
      <c r="R37" s="18" t="inlineStr">
        <is>
          <t>Crispin Glover</t>
        </is>
      </c>
      <c r="S37" s="18" t="inlineStr">
        <is>
          <t>Lea Thompson</t>
        </is>
      </c>
      <c r="T37" s="18" t="inlineStr">
        <is>
          <t>Claudia Wells</t>
        </is>
      </c>
      <c r="U37" s="24" t="n">
        <v>4</v>
      </c>
      <c r="V37" s="24" t="n">
        <v>1</v>
      </c>
      <c r="W37" s="4" t="n"/>
      <c r="X37" s="25">
        <f t="array" ref="X37">IFERROR(INDEX(Ratings!$E$5:$E$500,MATCH(A37,Ratings!$A$5:$A$500,0)),"")</f>
        <v/>
      </c>
      <c r="Y37" s="24">
        <f t="array" ref="Y37">IFERROR(INDEX(Ratings!$G$5:$G$500,MATCH(A37,Ratings!$A$5:$A$500,0)),"")</f>
        <v/>
      </c>
      <c r="Z37" s="26">
        <f t="array" ref="Z37">IFERROR(INDEX(Ratings!$I$5:$I$500,MATCH(A37,Ratings!$A$5:$A$500,0)),"")</f>
        <v/>
      </c>
      <c r="AB37" s="18" t="inlineStr">
        <is>
          <t>PG</t>
        </is>
      </c>
    </row>
    <row r="38" ht="15.75" customHeight="1" s="108">
      <c r="A38" s="18" t="inlineStr">
        <is>
          <t>F0034</t>
        </is>
      </c>
      <c r="B38" s="18" t="inlineStr">
        <is>
          <t>Back to the Future Part II</t>
        </is>
      </c>
      <c r="C38" s="20" t="inlineStr">
        <is>
          <t>1989</t>
        </is>
      </c>
      <c r="D38" s="18" t="inlineStr">
        <is>
          <t>Blu-ray</t>
        </is>
      </c>
      <c r="E38" s="18" t="inlineStr">
        <is>
          <t>Back to the Future</t>
        </is>
      </c>
      <c r="F38" s="19" t="inlineStr">
        <is>
          <t>Back to the Future Trilogy (Box Set)</t>
        </is>
      </c>
      <c r="G38" s="4" t="n"/>
      <c r="H38" s="4" t="n"/>
      <c r="I38" s="19" t="inlineStr">
        <is>
          <t>Owned via Back to the Future Trilogy (Box Set).</t>
        </is>
      </c>
      <c r="J38" s="19" t="inlineStr">
        <is>
          <t>Robert Zemeckis</t>
        </is>
      </c>
      <c r="K38" s="19" t="n">
        <v>108</v>
      </c>
      <c r="L38" s="19" t="inlineStr">
        <is>
          <t>Adventure, Comedy, Science Fiction</t>
        </is>
      </c>
      <c r="M38" s="19" t="inlineStr">
        <is>
          <t>Universal Pictures, Amblin Entertainment</t>
        </is>
      </c>
      <c r="N38" s="19" t="inlineStr">
        <is>
          <t>https://huggingface.co/datasets/HenryWaltson/TMDB-IMDB-Movies-Dataset</t>
        </is>
      </c>
      <c r="O38" s="19" t="inlineStr">
        <is>
          <t>https://huggingface.co/datasets/HenryWaltson/TMDB-IMDB-Movies-Dataset</t>
        </is>
      </c>
      <c r="P38" s="18" t="inlineStr">
        <is>
          <t>Michael J. Fox</t>
        </is>
      </c>
      <c r="Q38" s="18" t="inlineStr">
        <is>
          <t>Christopher Lloyd</t>
        </is>
      </c>
      <c r="R38" s="18" t="inlineStr">
        <is>
          <t>Lea Thompson</t>
        </is>
      </c>
      <c r="S38" s="18" t="inlineStr">
        <is>
          <t>Thomas F. Wilson</t>
        </is>
      </c>
      <c r="T38" s="18" t="inlineStr">
        <is>
          <t>Elisabeth Shue</t>
        </is>
      </c>
      <c r="U38" s="24" t="n">
        <v>1</v>
      </c>
      <c r="V38" s="24" t="n">
        <v>0</v>
      </c>
      <c r="W38" s="4" t="n"/>
      <c r="X38" s="25">
        <f t="array" ref="X38">IFERROR(INDEX(Ratings!$E$5:$E$500,MATCH(A38,Ratings!$A$5:$A$500,0)),"")</f>
        <v/>
      </c>
      <c r="Y38" s="24">
        <f t="array" ref="Y38">IFERROR(INDEX(Ratings!$G$5:$G$500,MATCH(A38,Ratings!$A$5:$A$500,0)),"")</f>
        <v/>
      </c>
      <c r="Z38" s="26">
        <f t="array" ref="Z38">IFERROR(INDEX(Ratings!$I$5:$I$500,MATCH(A38,Ratings!$A$5:$A$500,0)),"")</f>
        <v/>
      </c>
      <c r="AB38" s="18" t="inlineStr">
        <is>
          <t>PG</t>
        </is>
      </c>
    </row>
    <row r="39" ht="15.75" customHeight="1" s="108">
      <c r="A39" s="18" t="inlineStr">
        <is>
          <t>F0035</t>
        </is>
      </c>
      <c r="B39" s="18" t="inlineStr">
        <is>
          <t>Back to the Future Part III</t>
        </is>
      </c>
      <c r="C39" s="20" t="inlineStr">
        <is>
          <t>1990</t>
        </is>
      </c>
      <c r="D39" s="18" t="inlineStr">
        <is>
          <t>Blu-ray</t>
        </is>
      </c>
      <c r="E39" s="18" t="inlineStr">
        <is>
          <t>Back to the Future</t>
        </is>
      </c>
      <c r="F39" s="19" t="inlineStr">
        <is>
          <t>Back to the Future Trilogy (Box Set)</t>
        </is>
      </c>
      <c r="G39" s="4" t="n"/>
      <c r="H39" s="4" t="n"/>
      <c r="I39" s="19" t="inlineStr">
        <is>
          <t>Owned via Back to the Future Trilogy (Box Set).</t>
        </is>
      </c>
      <c r="J39" s="19" t="inlineStr">
        <is>
          <t>Robert Zemeckis</t>
        </is>
      </c>
      <c r="K39" s="19" t="n">
        <v>118</v>
      </c>
      <c r="L39" s="19" t="inlineStr">
        <is>
          <t>Adventure, Comedy, Science Fiction, Western</t>
        </is>
      </c>
      <c r="M39" s="19" t="inlineStr">
        <is>
          <t>Universal Pictures, Amblin Entertainment</t>
        </is>
      </c>
      <c r="N39" s="19" t="inlineStr">
        <is>
          <t>https://huggingface.co/datasets/HenryWaltson/TMDB-IMDB-Movies-Dataset</t>
        </is>
      </c>
      <c r="O39" s="19" t="inlineStr">
        <is>
          <t>https://huggingface.co/datasets/HenryWaltson/TMDB-IMDB-Movies-Dataset</t>
        </is>
      </c>
      <c r="P39" s="18" t="inlineStr">
        <is>
          <t>Michael J. Fox</t>
        </is>
      </c>
      <c r="Q39" s="18" t="inlineStr">
        <is>
          <t>Christopher Lloyd</t>
        </is>
      </c>
      <c r="R39" s="18" t="inlineStr">
        <is>
          <t>Mary Steenburgen</t>
        </is>
      </c>
      <c r="S39" s="18" t="inlineStr">
        <is>
          <t>Thomas F. Wilson</t>
        </is>
      </c>
      <c r="T39" s="18" t="inlineStr">
        <is>
          <t>Lea Thompson</t>
        </is>
      </c>
      <c r="U39" s="24" t="n">
        <v>0</v>
      </c>
      <c r="V39" s="24" t="n">
        <v>0</v>
      </c>
      <c r="W39" s="4" t="n"/>
      <c r="X39" s="25">
        <f t="array" ref="X39">IFERROR(INDEX(Ratings!$E$5:$E$500,MATCH(A39,Ratings!$A$5:$A$500,0)),"")</f>
        <v/>
      </c>
      <c r="Y39" s="24">
        <f t="array" ref="Y39">IFERROR(INDEX(Ratings!$G$5:$G$500,MATCH(A39,Ratings!$A$5:$A$500,0)),"")</f>
        <v/>
      </c>
      <c r="Z39" s="26">
        <f t="array" ref="Z39">IFERROR(INDEX(Ratings!$I$5:$I$500,MATCH(A39,Ratings!$A$5:$A$500,0)),"")</f>
        <v/>
      </c>
      <c r="AB39" s="18" t="inlineStr">
        <is>
          <t>PG</t>
        </is>
      </c>
    </row>
    <row r="40" ht="15.75" customHeight="1" s="108">
      <c r="A40" s="18" t="inlineStr">
        <is>
          <t>F0036</t>
        </is>
      </c>
      <c r="B40" s="18" t="inlineStr">
        <is>
          <t>Bad Boys</t>
        </is>
      </c>
      <c r="C40" s="20" t="inlineStr">
        <is>
          <t>1995</t>
        </is>
      </c>
      <c r="D40" s="18" t="inlineStr">
        <is>
          <t>Blu-ray</t>
        </is>
      </c>
      <c r="E40" s="18" t="inlineStr">
        <is>
          <t>Bad Boys</t>
        </is>
      </c>
      <c r="F40" s="19" t="inlineStr">
        <is>
          <t>Bad Boys I &amp; II (Box Set)</t>
        </is>
      </c>
      <c r="G40" s="4" t="n"/>
      <c r="H40" s="4" t="n"/>
      <c r="I40" s="19" t="inlineStr">
        <is>
          <t>Owned via Bad Boys I &amp; II (Box Set).</t>
        </is>
      </c>
      <c r="J40" s="19" t="inlineStr">
        <is>
          <t>Michael Bay</t>
        </is>
      </c>
      <c r="K40" s="19" t="n">
        <v>119</v>
      </c>
      <c r="L40" s="19" t="inlineStr">
        <is>
          <t>Action, Comedy, Crime, Thriller</t>
        </is>
      </c>
      <c r="M40" s="19" t="inlineStr">
        <is>
          <t>Columbia Pictures, Don Simpson/Jerry Bruckheimer Films</t>
        </is>
      </c>
      <c r="N40" s="19" t="inlineStr">
        <is>
          <t>https://huggingface.co/datasets/HenryWaltson/TMDB-IMDB-Movies-Dataset</t>
        </is>
      </c>
      <c r="O40" s="19" t="inlineStr">
        <is>
          <t>https://huggingface.co/datasets/HenryWaltson/TMDB-IMDB-Movies-Dataset</t>
        </is>
      </c>
      <c r="P40" s="18" t="inlineStr">
        <is>
          <t>Will Smith</t>
        </is>
      </c>
      <c r="Q40" s="18" t="inlineStr">
        <is>
          <t>Martin Lawrence</t>
        </is>
      </c>
      <c r="R40" s="18" t="inlineStr">
        <is>
          <t>Téa Leoni</t>
        </is>
      </c>
      <c r="S40" s="18" t="inlineStr">
        <is>
          <t>Tchéky Karyo</t>
        </is>
      </c>
      <c r="T40" s="18" t="inlineStr">
        <is>
          <t>Joe Pantoliano</t>
        </is>
      </c>
      <c r="U40" s="24" t="n">
        <v>0</v>
      </c>
      <c r="V40" s="24" t="n">
        <v>0</v>
      </c>
      <c r="W40" s="4" t="n"/>
      <c r="X40" s="25">
        <f t="array" ref="X40">IFERROR(INDEX(Ratings!$E$5:$E$500,MATCH(A40,Ratings!$A$5:$A$500,0)),"")</f>
        <v/>
      </c>
      <c r="Y40" s="24">
        <f t="array" ref="Y40">IFERROR(INDEX(Ratings!$G$5:$G$500,MATCH(A40,Ratings!$A$5:$A$500,0)),"")</f>
        <v/>
      </c>
      <c r="Z40" s="26">
        <f t="array" ref="Z40">IFERROR(INDEX(Ratings!$I$5:$I$500,MATCH(A40,Ratings!$A$5:$A$500,0)),"")</f>
        <v/>
      </c>
      <c r="AB40" s="18" t="inlineStr">
        <is>
          <t>18</t>
        </is>
      </c>
    </row>
    <row r="41" ht="15.75" customHeight="1" s="108">
      <c r="A41" s="18" t="inlineStr">
        <is>
          <t>F0037</t>
        </is>
      </c>
      <c r="B41" s="18" t="inlineStr">
        <is>
          <t>Bad Boys II</t>
        </is>
      </c>
      <c r="C41" s="20" t="inlineStr">
        <is>
          <t>2003</t>
        </is>
      </c>
      <c r="D41" s="18" t="inlineStr">
        <is>
          <t>Blu-ray</t>
        </is>
      </c>
      <c r="E41" s="18" t="inlineStr">
        <is>
          <t>Bad Boys</t>
        </is>
      </c>
      <c r="F41" s="19" t="inlineStr">
        <is>
          <t>Bad Boys I &amp; II (Box Set)</t>
        </is>
      </c>
      <c r="G41" s="4" t="n"/>
      <c r="H41" s="4" t="n"/>
      <c r="I41" s="19" t="inlineStr">
        <is>
          <t>Owned via Bad Boys I &amp; II (Box Set).</t>
        </is>
      </c>
      <c r="J41" s="19" t="inlineStr">
        <is>
          <t>Michael Bay</t>
        </is>
      </c>
      <c r="K41" s="19" t="n">
        <v>147</v>
      </c>
      <c r="L41" s="19" t="inlineStr">
        <is>
          <t>Action, Comedy, Crime, Thriller</t>
        </is>
      </c>
      <c r="M41" s="19" t="inlineStr">
        <is>
          <t>Columbia Pictures, Don Simpson/Jerry Bruckheimer Films</t>
        </is>
      </c>
      <c r="N41" s="19" t="inlineStr">
        <is>
          <t>https://huggingface.co/datasets/HenryWaltson/TMDB-IMDB-Movies-Dataset</t>
        </is>
      </c>
      <c r="O41" s="19" t="inlineStr">
        <is>
          <t>https://huggingface.co/datasets/HenryWaltson/TMDB-IMDB-Movies-Dataset</t>
        </is>
      </c>
      <c r="P41" s="18" t="inlineStr">
        <is>
          <t>Martin Lawrence</t>
        </is>
      </c>
      <c r="Q41" s="18" t="inlineStr">
        <is>
          <t>Will Smith</t>
        </is>
      </c>
      <c r="R41" s="18" t="inlineStr">
        <is>
          <t>Jordi Mollà</t>
        </is>
      </c>
      <c r="S41" s="18" t="inlineStr">
        <is>
          <t>Gabrielle Union</t>
        </is>
      </c>
      <c r="T41" s="18" t="inlineStr">
        <is>
          <t>Peter Stormare</t>
        </is>
      </c>
      <c r="U41" s="24" t="n">
        <v>0</v>
      </c>
      <c r="V41" s="24" t="n">
        <v>0</v>
      </c>
      <c r="W41" s="4" t="n"/>
      <c r="X41" s="25">
        <f t="array" ref="X41">IFERROR(INDEX(Ratings!$E$5:$E$500,MATCH(A41,Ratings!$A$5:$A$500,0)),"")</f>
        <v/>
      </c>
      <c r="Y41" s="24">
        <f t="array" ref="Y41">IFERROR(INDEX(Ratings!$G$5:$G$500,MATCH(A41,Ratings!$A$5:$A$500,0)),"")</f>
        <v/>
      </c>
      <c r="Z41" s="26">
        <f t="array" ref="Z41">IFERROR(INDEX(Ratings!$I$5:$I$500,MATCH(A41,Ratings!$A$5:$A$500,0)),"")</f>
        <v/>
      </c>
      <c r="AB41" s="18" t="inlineStr">
        <is>
          <t>15</t>
        </is>
      </c>
    </row>
    <row r="42" ht="15.75" customHeight="1" s="108">
      <c r="A42" s="18" t="inlineStr">
        <is>
          <t>F0038</t>
        </is>
      </c>
      <c r="B42" s="18" t="inlineStr">
        <is>
          <t>Bad Moms</t>
        </is>
      </c>
      <c r="C42" s="20" t="inlineStr">
        <is>
          <t>2016</t>
        </is>
      </c>
      <c r="D42" s="18" t="inlineStr">
        <is>
          <t>Blu-ray</t>
        </is>
      </c>
      <c r="E42" s="4" t="n"/>
      <c r="F42" s="19" t="n"/>
      <c r="G42" s="4" t="n"/>
      <c r="H42" s="4" t="n"/>
      <c r="I42" s="19" t="inlineStr">
        <is>
          <t>When three overworked and under-appreciated moms are pushed beyond their limits, they ditch their conventional responsibilities for a jolt of long overdue freedom, fun, and comedic self-indulgence.</t>
        </is>
      </c>
      <c r="J42" s="19" t="inlineStr">
        <is>
          <t>Jon Lucas, Scott Moore</t>
        </is>
      </c>
      <c r="K42" s="19" t="n">
        <v>100</v>
      </c>
      <c r="L42" s="19" t="inlineStr">
        <is>
          <t>Comedy</t>
        </is>
      </c>
      <c r="M42" s="19" t="inlineStr">
        <is>
          <t>STX Films, BillBlock Media, Robert Simonds Productions</t>
        </is>
      </c>
      <c r="N42" s="19" t="inlineStr">
        <is>
          <t>https://huggingface.co/datasets/HenryWaltson/TMDB-IMDB-Movies-Dataset</t>
        </is>
      </c>
      <c r="O42" s="19" t="inlineStr">
        <is>
          <t>https://huggingface.co/datasets/HenryWaltson/TMDB-IMDB-Movies-Dataset</t>
        </is>
      </c>
      <c r="P42" s="18" t="inlineStr">
        <is>
          <t>Mila Kunis</t>
        </is>
      </c>
      <c r="Q42" s="18" t="inlineStr">
        <is>
          <t>Kristen Bell</t>
        </is>
      </c>
      <c r="R42" s="18" t="inlineStr">
        <is>
          <t>Kathryn Hahn</t>
        </is>
      </c>
      <c r="S42" s="18" t="inlineStr">
        <is>
          <t>Christina Applegate</t>
        </is>
      </c>
      <c r="T42" s="18" t="inlineStr">
        <is>
          <t>Jada Pinkett Smith</t>
        </is>
      </c>
      <c r="U42" s="24" t="n">
        <v>0</v>
      </c>
      <c r="V42" s="24" t="n">
        <v>0</v>
      </c>
      <c r="W42" s="4" t="n"/>
      <c r="X42" s="25">
        <f t="array" ref="X42">IFERROR(INDEX(Ratings!$E$5:$E$500,MATCH(A42,Ratings!$A$5:$A$500,0)),"")</f>
        <v/>
      </c>
      <c r="Y42" s="24">
        <f t="array" ref="Y42">IFERROR(INDEX(Ratings!$G$5:$G$500,MATCH(A42,Ratings!$A$5:$A$500,0)),"")</f>
        <v/>
      </c>
      <c r="Z42" s="26">
        <f t="array" ref="Z42">IFERROR(INDEX(Ratings!$I$5:$I$500,MATCH(A42,Ratings!$A$5:$A$500,0)),"")</f>
        <v/>
      </c>
      <c r="AB42" s="18" t="inlineStr">
        <is>
          <t>15</t>
        </is>
      </c>
    </row>
    <row r="43" ht="15.75" customHeight="1" s="108">
      <c r="A43" s="18" t="inlineStr">
        <is>
          <t>F0039</t>
        </is>
      </c>
      <c r="B43" s="18" t="inlineStr">
        <is>
          <t>Bad Teacher</t>
        </is>
      </c>
      <c r="C43" s="20" t="inlineStr">
        <is>
          <t>2011</t>
        </is>
      </c>
      <c r="D43" s="18" t="inlineStr">
        <is>
          <t>Blu-ray</t>
        </is>
      </c>
      <c r="E43" s="4" t="n"/>
      <c r="F43" s="19" t="n"/>
      <c r="G43" s="4" t="n"/>
      <c r="H43" s="4" t="n"/>
      <c r="I43" s="19" t="inlineStr">
        <is>
          <t>A lazy, incompetent middle school teacher who hates her job and her students is forced to return to her job to make enough money for a boob job after her rich fiancé dumps her.</t>
        </is>
      </c>
      <c r="J43" s="19" t="inlineStr">
        <is>
          <t>Jake Kasdan</t>
        </is>
      </c>
      <c r="K43" s="19" t="n">
        <v>92</v>
      </c>
      <c r="L43" s="19" t="inlineStr">
        <is>
          <t>Comedy</t>
        </is>
      </c>
      <c r="M43" s="19" t="inlineStr">
        <is>
          <t>Columbia Pictures, Mosaic Media Group</t>
        </is>
      </c>
      <c r="N43" s="19" t="inlineStr">
        <is>
          <t>https://huggingface.co/datasets/HenryWaltson/TMDB-IMDB-Movies-Dataset</t>
        </is>
      </c>
      <c r="O43" s="19" t="inlineStr">
        <is>
          <t>https://huggingface.co/datasets/HenryWaltson/TMDB-IMDB-Movies-Dataset</t>
        </is>
      </c>
      <c r="P43" s="18" t="inlineStr">
        <is>
          <t>Cameron Diaz</t>
        </is>
      </c>
      <c r="Q43" s="18" t="inlineStr">
        <is>
          <t>Jason Segel</t>
        </is>
      </c>
      <c r="R43" s="18" t="inlineStr">
        <is>
          <t>Justin Timberlake</t>
        </is>
      </c>
      <c r="S43" s="18" t="inlineStr">
        <is>
          <t>Lucy Punch</t>
        </is>
      </c>
      <c r="T43" s="18" t="inlineStr">
        <is>
          <t>John Michael Higgins</t>
        </is>
      </c>
      <c r="U43" s="24" t="n">
        <v>0</v>
      </c>
      <c r="V43" s="24" t="n">
        <v>0</v>
      </c>
      <c r="W43" s="4" t="n"/>
      <c r="X43" s="25">
        <f t="array" ref="X43">IFERROR(INDEX(Ratings!$E$5:$E$500,MATCH(A43,Ratings!$A$5:$A$500,0)),"")</f>
        <v/>
      </c>
      <c r="Y43" s="24">
        <f t="array" ref="Y43">IFERROR(INDEX(Ratings!$G$5:$G$500,MATCH(A43,Ratings!$A$5:$A$500,0)),"")</f>
        <v/>
      </c>
      <c r="Z43" s="26">
        <f t="array" ref="Z43">IFERROR(INDEX(Ratings!$I$5:$I$500,MATCH(A43,Ratings!$A$5:$A$500,0)),"")</f>
        <v/>
      </c>
      <c r="AB43" s="18" t="inlineStr">
        <is>
          <t>15</t>
        </is>
      </c>
    </row>
    <row r="44" ht="15.75" customHeight="1" s="108">
      <c r="A44" s="18" t="inlineStr">
        <is>
          <t>F0040</t>
        </is>
      </c>
      <c r="B44" s="18" t="inlineStr">
        <is>
          <t>The Bank Job</t>
        </is>
      </c>
      <c r="C44" s="20" t="inlineStr">
        <is>
          <t>2008</t>
        </is>
      </c>
      <c r="D44" s="18" t="inlineStr">
        <is>
          <t>Blu-ray</t>
        </is>
      </c>
      <c r="E44" s="4" t="n"/>
      <c r="F44" s="19" t="n"/>
      <c r="G44" s="4" t="n"/>
      <c r="H44" s="4" t="n"/>
      <c r="I44" s="19" t="inlineStr">
        <is>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t>
        </is>
      </c>
      <c r="J44" s="19" t="inlineStr">
        <is>
          <t>Roger Donaldson</t>
        </is>
      </c>
      <c r="K44" s="19" t="n">
        <v>112</v>
      </c>
      <c r="L44" s="19" t="inlineStr">
        <is>
          <t>Thriller, Crime, Drama</t>
        </is>
      </c>
      <c r="M44" s="19" t="inlineStr">
        <is>
          <t>Omnilab Media, Mosaic Media Group, Relativity Media</t>
        </is>
      </c>
      <c r="N44" s="19" t="inlineStr">
        <is>
          <t>https://huggingface.co/datasets/HenryWaltson/TMDB-IMDB-Movies-Dataset</t>
        </is>
      </c>
      <c r="O44" s="19" t="inlineStr">
        <is>
          <t>https://huggingface.co/datasets/HenryWaltson/TMDB-IMDB-Movies-Dataset</t>
        </is>
      </c>
      <c r="P44" s="18" t="inlineStr">
        <is>
          <t>Jason Statham</t>
        </is>
      </c>
      <c r="Q44" s="18" t="inlineStr">
        <is>
          <t>Saffron Burrows</t>
        </is>
      </c>
      <c r="R44" s="18" t="inlineStr">
        <is>
          <t>Stephen Campbell Moore</t>
        </is>
      </c>
      <c r="S44" s="18" t="inlineStr">
        <is>
          <t>Daniel Mays</t>
        </is>
      </c>
      <c r="T44" s="18" t="inlineStr">
        <is>
          <t>James Faulkner</t>
        </is>
      </c>
      <c r="U44" s="24" t="n">
        <v>0</v>
      </c>
      <c r="V44" s="24" t="n">
        <v>0</v>
      </c>
      <c r="W44" s="4" t="n"/>
      <c r="X44" s="25">
        <f t="array" ref="X44">IFERROR(INDEX(Ratings!$E$5:$E$500,MATCH(A44,Ratings!$A$5:$A$500,0)),"")</f>
        <v/>
      </c>
      <c r="Y44" s="24">
        <f t="array" ref="Y44">IFERROR(INDEX(Ratings!$G$5:$G$500,MATCH(A44,Ratings!$A$5:$A$500,0)),"")</f>
        <v/>
      </c>
      <c r="Z44" s="26">
        <f t="array" ref="Z44">IFERROR(INDEX(Ratings!$I$5:$I$500,MATCH(A44,Ratings!$A$5:$A$500,0)),"")</f>
        <v/>
      </c>
      <c r="AB44" s="18" t="inlineStr">
        <is>
          <t>15</t>
        </is>
      </c>
    </row>
    <row r="45" ht="15.75" customHeight="1" s="108">
      <c r="A45" s="18" t="inlineStr">
        <is>
          <t>F0041</t>
        </is>
      </c>
      <c r="B45" s="18" t="inlineStr">
        <is>
          <t>Barbie</t>
        </is>
      </c>
      <c r="C45" s="20" t="inlineStr">
        <is>
          <t>2023</t>
        </is>
      </c>
      <c r="D45" s="18" t="inlineStr">
        <is>
          <t>Blu-ray</t>
        </is>
      </c>
      <c r="E45" s="4" t="n"/>
      <c r="F45" s="19" t="n"/>
      <c r="G45" s="4" t="n"/>
      <c r="H45" s="4" t="n"/>
      <c r="I45" s="19" t="inlineStr">
        <is>
          <t>Barbie and Ken are having the time of their lives in the colorful and seemingly perfect world of Barbie Land. However, when they get a chance to go to the real world, they soon discover the joys and perils of living among humans.</t>
        </is>
      </c>
      <c r="J45" s="19" t="inlineStr">
        <is>
          <t>Greta Gerwig</t>
        </is>
      </c>
      <c r="K45" s="19" t="n">
        <v>114</v>
      </c>
      <c r="L45" s="19" t="inlineStr">
        <is>
          <t>Comedy, Adventure, Fantasy</t>
        </is>
      </c>
      <c r="M45" s="19" t="inlineStr">
        <is>
          <t>LuckyChap Entertainment, Heyday Films, NB/GG Pictures</t>
        </is>
      </c>
      <c r="N45" s="19" t="inlineStr">
        <is>
          <t>https://huggingface.co/datasets/HenryWaltson/TMDB-IMDB-Movies-Dataset</t>
        </is>
      </c>
      <c r="O45" s="19" t="inlineStr">
        <is>
          <t>https://huggingface.co/datasets/HenryWaltson/TMDB-IMDB-Movies-Dataset</t>
        </is>
      </c>
      <c r="P45" s="18" t="inlineStr">
        <is>
          <t>Margot Robbie</t>
        </is>
      </c>
      <c r="Q45" s="18" t="inlineStr">
        <is>
          <t>Ryan Gosling</t>
        </is>
      </c>
      <c r="R45" s="18" t="inlineStr">
        <is>
          <t>America Ferrera</t>
        </is>
      </c>
      <c r="S45" s="18" t="inlineStr">
        <is>
          <t>Ariana Greenblatt</t>
        </is>
      </c>
      <c r="T45" s="18" t="inlineStr">
        <is>
          <t>Issa Rae</t>
        </is>
      </c>
      <c r="U45" s="24" t="n">
        <v>8</v>
      </c>
      <c r="V45" s="24" t="n">
        <v>1</v>
      </c>
      <c r="W45" s="18" t="inlineStr">
        <is>
          <t>Nominated</t>
        </is>
      </c>
      <c r="X45" s="25">
        <f t="array" ref="X45">IFERROR(INDEX(Ratings!$E$5:$E$500,MATCH(A45,Ratings!$A$5:$A$500,0)),"")</f>
        <v/>
      </c>
      <c r="Y45" s="24">
        <f t="array" ref="Y45">IFERROR(INDEX(Ratings!$G$5:$G$500,MATCH(A45,Ratings!$A$5:$A$500,0)),"")</f>
        <v/>
      </c>
      <c r="Z45" s="26">
        <f t="array" ref="Z45">IFERROR(INDEX(Ratings!$I$5:$I$500,MATCH(A45,Ratings!$A$5:$A$500,0)),"")</f>
        <v/>
      </c>
      <c r="AB45" s="18" t="inlineStr">
        <is>
          <t>12A</t>
        </is>
      </c>
    </row>
    <row r="46" ht="15.75" customHeight="1" s="108">
      <c r="A46" s="18" t="inlineStr">
        <is>
          <t>F0042</t>
        </is>
      </c>
      <c r="B46" s="18" t="inlineStr">
        <is>
          <t>The Batman</t>
        </is>
      </c>
      <c r="C46" s="20" t="inlineStr">
        <is>
          <t>2022</t>
        </is>
      </c>
      <c r="D46" s="18" t="inlineStr">
        <is>
          <t>4K UHD</t>
        </is>
      </c>
      <c r="E46" s="18" t="inlineStr">
        <is>
          <t>The Batman</t>
        </is>
      </c>
      <c r="F46" s="19" t="n"/>
      <c r="G46" s="4" t="n"/>
      <c r="H46" s="4" t="n"/>
      <c r="I46" s="19" t="inlineStr">
        <is>
          <t>In his second year of fighting crime, Batman uncovers corruption in Gotham City that connects to his own family while facing a serial killer known as the Riddler.</t>
        </is>
      </c>
      <c r="J46" s="19" t="inlineStr">
        <is>
          <t>Matt Reeves</t>
        </is>
      </c>
      <c r="K46" s="19" t="n">
        <v>177</v>
      </c>
      <c r="L46" s="19" t="inlineStr">
        <is>
          <t>Crime, Mystery, Thriller</t>
        </is>
      </c>
      <c r="M46" s="19" t="inlineStr">
        <is>
          <t>6th &amp; Idaho, Dylan Clark Productions, DC Films</t>
        </is>
      </c>
      <c r="N46" s="19" t="inlineStr">
        <is>
          <t>https://huggingface.co/datasets/HenryWaltson/TMDB-IMDB-Movies-Dataset</t>
        </is>
      </c>
      <c r="O46" s="19" t="inlineStr">
        <is>
          <t>https://huggingface.co/datasets/HenryWaltson/TMDB-IMDB-Movies-Dataset</t>
        </is>
      </c>
      <c r="P46" s="18" t="inlineStr">
        <is>
          <t>Robert Pattinson</t>
        </is>
      </c>
      <c r="Q46" s="18" t="inlineStr">
        <is>
          <t>Zoë Kravitz</t>
        </is>
      </c>
      <c r="R46" s="18" t="inlineStr">
        <is>
          <t>Jeffrey Wright</t>
        </is>
      </c>
      <c r="S46" s="18" t="inlineStr">
        <is>
          <t>Colin Farrell</t>
        </is>
      </c>
      <c r="T46" s="18" t="inlineStr">
        <is>
          <t>Paul Dano</t>
        </is>
      </c>
      <c r="U46" s="24" t="n">
        <v>3</v>
      </c>
      <c r="V46" s="24" t="n">
        <v>0</v>
      </c>
      <c r="W46" s="4" t="n"/>
      <c r="X46" s="25">
        <f t="array" ref="X46">IFERROR(INDEX(Ratings!$E$5:$E$500,MATCH(A46,Ratings!$A$5:$A$500,0)),"")</f>
        <v/>
      </c>
      <c r="Y46" s="24">
        <f t="array" ref="Y46">IFERROR(INDEX(Ratings!$G$5:$G$500,MATCH(A46,Ratings!$A$5:$A$500,0)),"")</f>
        <v/>
      </c>
      <c r="Z46" s="26">
        <f t="array" ref="Z46">IFERROR(INDEX(Ratings!$I$5:$I$500,MATCH(A46,Ratings!$A$5:$A$500,0)),"")</f>
        <v/>
      </c>
      <c r="AB46" s="18" t="inlineStr">
        <is>
          <t>15</t>
        </is>
      </c>
    </row>
    <row r="47" ht="15.75" customHeight="1" s="108">
      <c r="A47" s="18" t="inlineStr">
        <is>
          <t>F0043</t>
        </is>
      </c>
      <c r="B47" s="18" t="inlineStr">
        <is>
          <t>Batman Begins</t>
        </is>
      </c>
      <c r="C47" s="20" t="inlineStr">
        <is>
          <t>2005</t>
        </is>
      </c>
      <c r="D47" s="18" t="inlineStr">
        <is>
          <t>Blu-ray</t>
        </is>
      </c>
      <c r="E47" s="18" t="inlineStr">
        <is>
          <t>The Dark Knight Trilogy</t>
        </is>
      </c>
      <c r="F47" s="19" t="n"/>
      <c r="G47" s="4" t="n"/>
      <c r="H47" s="4" t="n"/>
      <c r="I47" s="19" t="inlineStr">
        <is>
          <t>Driven by tragedy, billionaire Bruce Wayne dedicates his life to uncovering and defeating the corruption that plagues his home, Gotham City.  Unable to work within the system, he instead creates a new identity, a symbol of fear for the criminal underworld - The Batman.</t>
        </is>
      </c>
      <c r="J47" s="19" t="inlineStr">
        <is>
          <t>Christopher Nolan</t>
        </is>
      </c>
      <c r="K47" s="19" t="n">
        <v>140</v>
      </c>
      <c r="L47" s="19" t="inlineStr">
        <is>
          <t>Action, Crime, Drama</t>
        </is>
      </c>
      <c r="M47" s="19" t="inlineStr">
        <is>
          <t>Warner Bros. Pictures, DC Comics, Syncopy</t>
        </is>
      </c>
      <c r="N47" s="19" t="inlineStr">
        <is>
          <t>https://huggingface.co/datasets/HenryWaltson/TMDB-IMDB-Movies-Dataset</t>
        </is>
      </c>
      <c r="O47" s="19" t="inlineStr">
        <is>
          <t>https://huggingface.co/datasets/HenryWaltson/TMDB-IMDB-Movies-Dataset</t>
        </is>
      </c>
      <c r="P47" s="18" t="inlineStr">
        <is>
          <t>Christian Bale</t>
        </is>
      </c>
      <c r="Q47" s="18" t="inlineStr">
        <is>
          <t>Michael Caine</t>
        </is>
      </c>
      <c r="R47" s="18" t="inlineStr">
        <is>
          <t>Liam Neeson</t>
        </is>
      </c>
      <c r="S47" s="18" t="inlineStr">
        <is>
          <t>Katie Holmes</t>
        </is>
      </c>
      <c r="T47" s="18" t="inlineStr">
        <is>
          <t>Gary Oldman</t>
        </is>
      </c>
      <c r="U47" s="24" t="n">
        <v>1</v>
      </c>
      <c r="V47" s="24" t="n">
        <v>0</v>
      </c>
      <c r="W47" s="4" t="n"/>
      <c r="X47" s="25">
        <f t="array" ref="X47">IFERROR(INDEX(Ratings!$E$5:$E$500,MATCH(A47,Ratings!$A$5:$A$500,0)),"")</f>
        <v/>
      </c>
      <c r="Y47" s="24">
        <f t="array" ref="Y47">IFERROR(INDEX(Ratings!$G$5:$G$500,MATCH(A47,Ratings!$A$5:$A$500,0)),"")</f>
        <v/>
      </c>
      <c r="Z47" s="26">
        <f t="array" ref="Z47">IFERROR(INDEX(Ratings!$I$5:$I$500,MATCH(A47,Ratings!$A$5:$A$500,0)),"")</f>
        <v/>
      </c>
      <c r="AB47" s="18" t="inlineStr">
        <is>
          <t>12A</t>
        </is>
      </c>
    </row>
    <row r="48" ht="15.75" customHeight="1" s="108">
      <c r="A48" s="18" t="inlineStr">
        <is>
          <t>F0044</t>
        </is>
      </c>
      <c r="B48" s="18" t="inlineStr">
        <is>
          <t>The Dark Knight</t>
        </is>
      </c>
      <c r="C48" s="20" t="inlineStr">
        <is>
          <t>2008</t>
        </is>
      </c>
      <c r="D48" s="18" t="inlineStr">
        <is>
          <t>Blu-ray</t>
        </is>
      </c>
      <c r="E48" s="18" t="inlineStr">
        <is>
          <t>The Dark Knight Trilogy</t>
        </is>
      </c>
      <c r="F48" s="19" t="n"/>
      <c r="G48" s="4" t="n"/>
      <c r="H48" s="4" t="n"/>
      <c r="I48" s="19" t="inlineStr">
        <is>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is>
      </c>
      <c r="J48" s="19" t="inlineStr">
        <is>
          <t>Christopher Nolan</t>
        </is>
      </c>
      <c r="K48" s="19" t="n">
        <v>152</v>
      </c>
      <c r="L48" s="19" t="inlineStr">
        <is>
          <t>Drama, Action, Crime, Thriller</t>
        </is>
      </c>
      <c r="M48" s="19" t="inlineStr">
        <is>
          <t>DC Comics, Legendary Pictures, Syncopy</t>
        </is>
      </c>
      <c r="N48" s="19" t="inlineStr">
        <is>
          <t>https://huggingface.co/datasets/HenryWaltson/TMDB-IMDB-Movies-Dataset</t>
        </is>
      </c>
      <c r="O48" s="19" t="inlineStr">
        <is>
          <t>https://huggingface.co/datasets/HenryWaltson/TMDB-IMDB-Movies-Dataset</t>
        </is>
      </c>
      <c r="P48" s="18" t="inlineStr">
        <is>
          <t>Christian Bale</t>
        </is>
      </c>
      <c r="Q48" s="18" t="inlineStr">
        <is>
          <t>Heath Ledger</t>
        </is>
      </c>
      <c r="R48" s="18" t="inlineStr">
        <is>
          <t>Aaron Eckhart</t>
        </is>
      </c>
      <c r="S48" s="18" t="inlineStr">
        <is>
          <t>Michael Caine</t>
        </is>
      </c>
      <c r="T48" s="18" t="inlineStr">
        <is>
          <t>Maggie Gyllenhaal</t>
        </is>
      </c>
      <c r="U48" s="24" t="n">
        <v>8</v>
      </c>
      <c r="V48" s="24" t="n">
        <v>2</v>
      </c>
      <c r="W48" s="4" t="n"/>
      <c r="X48" s="25">
        <f t="array" ref="X48">IFERROR(INDEX(Ratings!$E$5:$E$500,MATCH(A48,Ratings!$A$5:$A$500,0)),"")</f>
        <v/>
      </c>
      <c r="Y48" s="24">
        <f t="array" ref="Y48">IFERROR(INDEX(Ratings!$G$5:$G$500,MATCH(A48,Ratings!$A$5:$A$500,0)),"")</f>
        <v/>
      </c>
      <c r="Z48" s="26">
        <f t="array" ref="Z48">IFERROR(INDEX(Ratings!$I$5:$I$500,MATCH(A48,Ratings!$A$5:$A$500,0)),"")</f>
        <v/>
      </c>
      <c r="AB48" s="18" t="inlineStr">
        <is>
          <t>12A</t>
        </is>
      </c>
    </row>
    <row r="49" ht="15.75" customHeight="1" s="108">
      <c r="A49" s="18" t="inlineStr">
        <is>
          <t>F0045</t>
        </is>
      </c>
      <c r="B49" s="18" t="inlineStr">
        <is>
          <t>The Dark Knight Rises</t>
        </is>
      </c>
      <c r="C49" s="20" t="inlineStr">
        <is>
          <t>2012</t>
        </is>
      </c>
      <c r="D49" s="18" t="inlineStr">
        <is>
          <t>Blu-ray</t>
        </is>
      </c>
      <c r="E49" s="18" t="inlineStr">
        <is>
          <t>The Dark Knight Trilogy</t>
        </is>
      </c>
      <c r="F49" s="19" t="n"/>
      <c r="G49" s="4" t="n"/>
      <c r="H49" s="4" t="n"/>
      <c r="I49" s="19" t="inlineStr">
        <is>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is>
      </c>
      <c r="J49" s="19" t="inlineStr">
        <is>
          <t>Christopher Nolan</t>
        </is>
      </c>
      <c r="K49" s="19" t="n">
        <v>165</v>
      </c>
      <c r="L49" s="19" t="inlineStr">
        <is>
          <t>Action, Crime, Drama, Thriller</t>
        </is>
      </c>
      <c r="M49" s="19" t="inlineStr">
        <is>
          <t>Syncopy, Legendary Pictures, DC Entertainment</t>
        </is>
      </c>
      <c r="N49" s="19" t="inlineStr">
        <is>
          <t>https://huggingface.co/datasets/HenryWaltson/TMDB-IMDB-Movies-Dataset</t>
        </is>
      </c>
      <c r="O49" s="19" t="inlineStr">
        <is>
          <t>https://huggingface.co/datasets/HenryWaltson/TMDB-IMDB-Movies-Dataset</t>
        </is>
      </c>
      <c r="P49" s="18" t="inlineStr">
        <is>
          <t>Christian Bale</t>
        </is>
      </c>
      <c r="Q49" s="18" t="inlineStr">
        <is>
          <t>Gary Oldman</t>
        </is>
      </c>
      <c r="R49" s="18" t="inlineStr">
        <is>
          <t>Tom Hardy</t>
        </is>
      </c>
      <c r="S49" s="18" t="inlineStr">
        <is>
          <t>Joseph Gordon-Levitt</t>
        </is>
      </c>
      <c r="T49" s="18" t="inlineStr">
        <is>
          <t>Anne Hathaway</t>
        </is>
      </c>
      <c r="U49" s="24" t="n">
        <v>0</v>
      </c>
      <c r="V49" s="24" t="n">
        <v>0</v>
      </c>
      <c r="W49" s="4" t="n"/>
      <c r="X49" s="25">
        <f t="array" ref="X49">IFERROR(INDEX(Ratings!$E$5:$E$500,MATCH(A49,Ratings!$A$5:$A$500,0)),"")</f>
        <v/>
      </c>
      <c r="Y49" s="24">
        <f t="array" ref="Y49">IFERROR(INDEX(Ratings!$G$5:$G$500,MATCH(A49,Ratings!$A$5:$A$500,0)),"")</f>
        <v/>
      </c>
      <c r="Z49" s="26">
        <f t="array" ref="Z49">IFERROR(INDEX(Ratings!$I$5:$I$500,MATCH(A49,Ratings!$A$5:$A$500,0)),"")</f>
        <v/>
      </c>
      <c r="AB49" s="18" t="inlineStr">
        <is>
          <t>12A</t>
        </is>
      </c>
    </row>
    <row r="50" ht="15.75" customHeight="1" s="108">
      <c r="A50" s="18" t="inlineStr">
        <is>
          <t>F0046</t>
        </is>
      </c>
      <c r="B50" s="18" t="inlineStr">
        <is>
          <t>Battle: Los Angeles</t>
        </is>
      </c>
      <c r="C50" s="20" t="inlineStr">
        <is>
          <t>2011</t>
        </is>
      </c>
      <c r="D50" s="18" t="inlineStr">
        <is>
          <t>Blu-ray</t>
        </is>
      </c>
      <c r="E50" s="4" t="n"/>
      <c r="F50" s="19" t="n"/>
      <c r="G50" s="4" t="n"/>
      <c r="H50" s="4" t="n"/>
      <c r="I50" s="19" t="inlineStr">
        <is>
          <t>When once distant UFOs become a terrifying threat and an alien invasion force begins attacking Earths major costal and riverside cities, a U.S Marine staff sergeant and his team are sent into battle only to find they must take it upon themselves to defeat an unknown enemy and protect what remains of Los Angeles.</t>
        </is>
      </c>
      <c r="J50" s="19" t="inlineStr">
        <is>
          <t>Jonathan Liebesman</t>
        </is>
      </c>
      <c r="K50" s="19" t="n">
        <v>116</v>
      </c>
      <c r="L50" s="19" t="inlineStr">
        <is>
          <t>Science Fiction, Action</t>
        </is>
      </c>
      <c r="M50" s="19" t="inlineStr">
        <is>
          <t>Columbia Pictures, Relativity Media, Original Film</t>
        </is>
      </c>
      <c r="N50" s="19" t="inlineStr">
        <is>
          <t>https://huggingface.co/datasets/HenryWaltson/TMDB-IMDB-Movies-Dataset</t>
        </is>
      </c>
      <c r="O50" s="19" t="inlineStr">
        <is>
          <t>https://huggingface.co/datasets/HenryWaltson/TMDB-IMDB-Movies-Dataset</t>
        </is>
      </c>
      <c r="P50" s="18" t="inlineStr">
        <is>
          <t>Aaron Eckhart</t>
        </is>
      </c>
      <c r="Q50" s="18" t="inlineStr">
        <is>
          <t>Ramón Rodríguez</t>
        </is>
      </c>
      <c r="R50" s="18" t="inlineStr">
        <is>
          <t>Will Rothhaar</t>
        </is>
      </c>
      <c r="S50" s="18" t="inlineStr">
        <is>
          <t>Michael Peña</t>
        </is>
      </c>
      <c r="T50" s="18" t="inlineStr">
        <is>
          <t>Bridget Moynahan</t>
        </is>
      </c>
      <c r="U50" s="24" t="n">
        <v>0</v>
      </c>
      <c r="V50" s="24" t="n">
        <v>0</v>
      </c>
      <c r="W50" s="4" t="n"/>
      <c r="X50" s="25">
        <f t="array" ref="X50">IFERROR(INDEX(Ratings!$E$5:$E$500,MATCH(A50,Ratings!$A$5:$A$500,0)),"")</f>
        <v/>
      </c>
      <c r="Y50" s="24">
        <f t="array" ref="Y50">IFERROR(INDEX(Ratings!$G$5:$G$500,MATCH(A50,Ratings!$A$5:$A$500,0)),"")</f>
        <v/>
      </c>
      <c r="Z50" s="26">
        <f t="array" ref="Z50">IFERROR(INDEX(Ratings!$I$5:$I$500,MATCH(A50,Ratings!$A$5:$A$500,0)),"")</f>
        <v/>
      </c>
      <c r="AB50" s="18" t="inlineStr">
        <is>
          <t>12A</t>
        </is>
      </c>
    </row>
    <row r="51" ht="15.75" customHeight="1" s="108">
      <c r="A51" s="18" t="inlineStr">
        <is>
          <t>F0047</t>
        </is>
      </c>
      <c r="B51" s="18" t="inlineStr">
        <is>
          <t>The BFG</t>
        </is>
      </c>
      <c r="C51" s="20" t="inlineStr">
        <is>
          <t>2016</t>
        </is>
      </c>
      <c r="D51" s="18" t="inlineStr">
        <is>
          <t>Blu-ray</t>
        </is>
      </c>
      <c r="E51" s="4" t="n"/>
      <c r="F51" s="19" t="n"/>
      <c r="G51" s="4" t="n"/>
      <c r="H51" s="4" t="n"/>
      <c r="I51" s="19" t="inlineStr">
        <is>
          <t>Best guess: 2016 Spielberg film.</t>
        </is>
      </c>
      <c r="J51" s="19" t="inlineStr">
        <is>
          <t>Steven Spielberg</t>
        </is>
      </c>
      <c r="K51" s="19" t="n">
        <v>117</v>
      </c>
      <c r="L51" s="19" t="inlineStr">
        <is>
          <t>Adventure, Family, Fantasy</t>
        </is>
      </c>
      <c r="M51" s="19" t="inlineStr">
        <is>
          <t>Walt Disney Pictures, Amblin Entertainment, Reliance Entertainment</t>
        </is>
      </c>
      <c r="N51" s="19" t="inlineStr">
        <is>
          <t>https://huggingface.co/datasets/HenryWaltson/TMDB-IMDB-Movies-Dataset</t>
        </is>
      </c>
      <c r="O51" s="19" t="inlineStr">
        <is>
          <t>https://huggingface.co/datasets/HenryWaltson/TMDB-IMDB-Movies-Dataset</t>
        </is>
      </c>
      <c r="P51" s="18" t="inlineStr">
        <is>
          <t>Mark Rylance</t>
        </is>
      </c>
      <c r="Q51" s="18" t="inlineStr">
        <is>
          <t>Ruby Barnhill</t>
        </is>
      </c>
      <c r="R51" s="18" t="inlineStr">
        <is>
          <t>Rebecca Hall</t>
        </is>
      </c>
      <c r="S51" s="18" t="inlineStr">
        <is>
          <t>Jemaine Clement</t>
        </is>
      </c>
      <c r="T51" s="18" t="inlineStr">
        <is>
          <t>Bill Hader</t>
        </is>
      </c>
      <c r="U51" s="24" t="n">
        <v>0</v>
      </c>
      <c r="V51" s="24" t="n">
        <v>0</v>
      </c>
      <c r="W51" s="4" t="n"/>
      <c r="X51" s="25">
        <f t="array" ref="X51">IFERROR(INDEX(Ratings!$E$5:$E$500,MATCH(A51,Ratings!$A$5:$A$500,0)),"")</f>
        <v/>
      </c>
      <c r="Y51" s="24">
        <f t="array" ref="Y51">IFERROR(INDEX(Ratings!$G$5:$G$500,MATCH(A51,Ratings!$A$5:$A$500,0)),"")</f>
        <v/>
      </c>
      <c r="Z51" s="26">
        <f t="array" ref="Z51">IFERROR(INDEX(Ratings!$I$5:$I$500,MATCH(A51,Ratings!$A$5:$A$500,0)),"")</f>
        <v/>
      </c>
      <c r="AB51" s="18" t="inlineStr">
        <is>
          <t>PG</t>
        </is>
      </c>
    </row>
    <row r="52" ht="15.75" customHeight="1" s="108">
      <c r="A52" s="18" t="inlineStr">
        <is>
          <t>F0048</t>
        </is>
      </c>
      <c r="B52" s="18" t="inlineStr">
        <is>
          <t>Big Hero 6</t>
        </is>
      </c>
      <c r="C52" s="20" t="inlineStr">
        <is>
          <t>2014</t>
        </is>
      </c>
      <c r="D52" s="18" t="inlineStr">
        <is>
          <t>Blu-ray</t>
        </is>
      </c>
      <c r="E52" s="4" t="n"/>
      <c r="F52" s="19" t="n"/>
      <c r="G52" s="4" t="n"/>
      <c r="H52" s="4" t="n"/>
      <c r="I52" s="19" t="inlineStr">
        <is>
          <t>A special bond develops between plus-sized inflatable robot Baymax, and prodigy Hiro Hamada, who team up with a group of friends to form a band of high-tech heroes.</t>
        </is>
      </c>
      <c r="J52" s="19" t="inlineStr">
        <is>
          <t>Don Hall, Chris Williams</t>
        </is>
      </c>
      <c r="K52" s="19" t="n">
        <v>102</v>
      </c>
      <c r="L52" s="19" t="inlineStr">
        <is>
          <t>Adventure, Family, Animation, Action, Comedy</t>
        </is>
      </c>
      <c r="M52" s="19" t="inlineStr">
        <is>
          <t>Walt Disney Pictures, Walt Disney Animation Studios</t>
        </is>
      </c>
      <c r="N52" s="19" t="inlineStr">
        <is>
          <t>https://huggingface.co/datasets/HenryWaltson/TMDB-IMDB-Movies-Dataset</t>
        </is>
      </c>
      <c r="O52" s="19" t="inlineStr">
        <is>
          <t>https://huggingface.co/datasets/HenryWaltson/TMDB-IMDB-Movies-Dataset</t>
        </is>
      </c>
      <c r="P52" s="18" t="inlineStr">
        <is>
          <t>Scott Adsit</t>
        </is>
      </c>
      <c r="Q52" s="18" t="inlineStr">
        <is>
          <t>Ryan Potter</t>
        </is>
      </c>
      <c r="R52" s="18" t="inlineStr">
        <is>
          <t>Daniel Henney</t>
        </is>
      </c>
      <c r="S52" s="18" t="inlineStr">
        <is>
          <t>T.J. Miller</t>
        </is>
      </c>
      <c r="T52" s="18" t="inlineStr">
        <is>
          <t>Jamie Chung</t>
        </is>
      </c>
      <c r="U52" s="24" t="n">
        <v>1</v>
      </c>
      <c r="V52" s="24" t="n">
        <v>1</v>
      </c>
      <c r="W52" s="4" t="n"/>
      <c r="X52" s="25">
        <f t="array" ref="X52">IFERROR(INDEX(Ratings!$E$5:$E$500,MATCH(A52,Ratings!$A$5:$A$500,0)),"")</f>
        <v/>
      </c>
      <c r="Y52" s="24">
        <f t="array" ref="Y52">IFERROR(INDEX(Ratings!$G$5:$G$500,MATCH(A52,Ratings!$A$5:$A$500,0)),"")</f>
        <v/>
      </c>
      <c r="Z52" s="26">
        <f t="array" ref="Z52">IFERROR(INDEX(Ratings!$I$5:$I$500,MATCH(A52,Ratings!$A$5:$A$500,0)),"")</f>
        <v/>
      </c>
      <c r="AB52" s="18" t="inlineStr">
        <is>
          <t>PG</t>
        </is>
      </c>
    </row>
    <row r="53" ht="15.75" customHeight="1" s="108">
      <c r="A53" s="18" t="inlineStr">
        <is>
          <t>F0049</t>
        </is>
      </c>
      <c r="B53" s="18" t="inlineStr">
        <is>
          <t>The Big Lebowski</t>
        </is>
      </c>
      <c r="C53" s="20" t="inlineStr">
        <is>
          <t>1998</t>
        </is>
      </c>
      <c r="D53" s="18" t="inlineStr">
        <is>
          <t>Blu-ray</t>
        </is>
      </c>
      <c r="E53" s="4" t="n"/>
      <c r="F53" s="19" t="n"/>
      <c r="G53" s="4" t="n"/>
      <c r="H53" s="4" t="n"/>
      <c r="I53" s="19" t="inlineStr">
        <is>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is>
      </c>
      <c r="J53" s="19" t="inlineStr">
        <is>
          <t>Joel Coen, Ethan Coen</t>
        </is>
      </c>
      <c r="K53" s="19" t="n">
        <v>117</v>
      </c>
      <c r="L53" s="19" t="inlineStr">
        <is>
          <t>Comedy, Crime</t>
        </is>
      </c>
      <c r="M53" s="19" t="inlineStr">
        <is>
          <t>Gramercy Pictures, PolyGram Filmed Entertainment, Working Title Films</t>
        </is>
      </c>
      <c r="N53" s="19" t="inlineStr">
        <is>
          <t>https://huggingface.co/datasets/HenryWaltson/TMDB-IMDB-Movies-Dataset</t>
        </is>
      </c>
      <c r="O53" s="19" t="inlineStr">
        <is>
          <t>https://huggingface.co/datasets/HenryWaltson/TMDB-IMDB-Movies-Dataset</t>
        </is>
      </c>
      <c r="P53" s="18" t="inlineStr">
        <is>
          <t>Jeff Bridges</t>
        </is>
      </c>
      <c r="Q53" s="18" t="inlineStr">
        <is>
          <t>John Goodman</t>
        </is>
      </c>
      <c r="R53" s="18" t="inlineStr">
        <is>
          <t>Julianne Moore</t>
        </is>
      </c>
      <c r="S53" s="18" t="inlineStr">
        <is>
          <t>Steve Buscemi</t>
        </is>
      </c>
      <c r="T53" s="18" t="inlineStr">
        <is>
          <t>David Huddleston</t>
        </is>
      </c>
      <c r="U53" s="24" t="n">
        <v>0</v>
      </c>
      <c r="V53" s="24" t="n">
        <v>0</v>
      </c>
      <c r="W53" s="4" t="n"/>
      <c r="X53" s="25">
        <f t="array" ref="X53">IFERROR(INDEX(Ratings!$E$5:$E$500,MATCH(A53,Ratings!$A$5:$A$500,0)),"")</f>
        <v/>
      </c>
      <c r="Y53" s="24">
        <f t="array" ref="Y53">IFERROR(INDEX(Ratings!$G$5:$G$500,MATCH(A53,Ratings!$A$5:$A$500,0)),"")</f>
        <v/>
      </c>
      <c r="Z53" s="26">
        <f t="array" ref="Z53">IFERROR(INDEX(Ratings!$I$5:$I$500,MATCH(A53,Ratings!$A$5:$A$500,0)),"")</f>
        <v/>
      </c>
      <c r="AB53" s="18" t="inlineStr">
        <is>
          <t>18</t>
        </is>
      </c>
    </row>
    <row r="54" ht="15.75" customHeight="1" s="108">
      <c r="A54" s="18" t="inlineStr">
        <is>
          <t>F0050</t>
        </is>
      </c>
      <c r="B54" s="18" t="inlineStr">
        <is>
          <t>Black Hawk Down</t>
        </is>
      </c>
      <c r="C54" s="20" t="inlineStr">
        <is>
          <t>2001</t>
        </is>
      </c>
      <c r="D54" s="18" t="inlineStr">
        <is>
          <t>Blu-ray</t>
        </is>
      </c>
      <c r="E54" s="4" t="n"/>
      <c r="F54" s="19" t="n"/>
      <c r="G54" s="4" t="n"/>
      <c r="H54" s="4" t="n"/>
      <c r="I54" s="19" t="inlineStr">
        <is>
          <t>When U.S. Rangers and an elite Delta Force team attempt to kidnap two underlings of a Somali warlord, their Black Hawk helicopters are shot down, and the Americans suffer heavy casualties, facing intense fighting from the militia on the ground.</t>
        </is>
      </c>
      <c r="J54" s="19" t="inlineStr">
        <is>
          <t>Ridley Scott</t>
        </is>
      </c>
      <c r="K54" s="19" t="n">
        <v>145</v>
      </c>
      <c r="L54" s="19" t="inlineStr">
        <is>
          <t>Action, History, War</t>
        </is>
      </c>
      <c r="M54" s="19" t="inlineStr">
        <is>
          <t>Jerry Bruckheimer Films, Revolution Studios, Scott Free Productions</t>
        </is>
      </c>
      <c r="N54" s="19" t="inlineStr">
        <is>
          <t>https://huggingface.co/datasets/HenryWaltson/TMDB-IMDB-Movies-Dataset</t>
        </is>
      </c>
      <c r="O54" s="19" t="inlineStr">
        <is>
          <t>https://huggingface.co/datasets/HenryWaltson/TMDB-IMDB-Movies-Dataset</t>
        </is>
      </c>
      <c r="P54" s="18" t="inlineStr">
        <is>
          <t>Josh Hartnett</t>
        </is>
      </c>
      <c r="Q54" s="18" t="inlineStr">
        <is>
          <t>Eric Bana</t>
        </is>
      </c>
      <c r="R54" s="18" t="inlineStr">
        <is>
          <t>Ewan McGregor</t>
        </is>
      </c>
      <c r="S54" s="18" t="inlineStr">
        <is>
          <t>Tom Sizemore</t>
        </is>
      </c>
      <c r="T54" s="18" t="inlineStr">
        <is>
          <t>William Fichtner</t>
        </is>
      </c>
      <c r="U54" s="24" t="n">
        <v>4</v>
      </c>
      <c r="V54" s="24" t="n">
        <v>2</v>
      </c>
      <c r="W54" s="4" t="n"/>
      <c r="X54" s="25">
        <f t="array" ref="X54">IFERROR(INDEX(Ratings!$E$5:$E$500,MATCH(A54,Ratings!$A$5:$A$500,0)),"")</f>
        <v/>
      </c>
      <c r="Y54" s="24">
        <f t="array" ref="Y54">IFERROR(INDEX(Ratings!$G$5:$G$500,MATCH(A54,Ratings!$A$5:$A$500,0)),"")</f>
        <v/>
      </c>
      <c r="Z54" s="26">
        <f t="array" ref="Z54">IFERROR(INDEX(Ratings!$I$5:$I$500,MATCH(A54,Ratings!$A$5:$A$500,0)),"")</f>
        <v/>
      </c>
      <c r="AB54" s="18" t="inlineStr">
        <is>
          <t>15</t>
        </is>
      </c>
    </row>
    <row r="55" ht="15.75" customHeight="1" s="108">
      <c r="A55" s="18" t="inlineStr">
        <is>
          <t>F0051</t>
        </is>
      </c>
      <c r="B55" s="18" t="inlineStr">
        <is>
          <t>Body of Lies</t>
        </is>
      </c>
      <c r="C55" s="20" t="inlineStr">
        <is>
          <t>2008</t>
        </is>
      </c>
      <c r="D55" s="18" t="inlineStr">
        <is>
          <t>Blu-ray</t>
        </is>
      </c>
      <c r="E55" s="4" t="n"/>
      <c r="F55" s="19" t="n"/>
      <c r="G55" s="4" t="n"/>
      <c r="H55" s="4" t="n"/>
      <c r="I55" s="19" t="inlineStr">
        <is>
          <t>The CIA’s hunt is on for the mastermind of a wave of terrorist attacks. Roger Ferris is the agency’s man on the ground, moving from place to place, scrambling to stay ahead of ever-shifting events. An eye in the sky – a satellite link – watches Ferris.  At the other end of that real-time link is the CIA’s Ed Hoffman, strategizing events from thousands of miles away. And as Ferris nears the target, he discovers trust can be just as dangerous as it is necessary for survival.</t>
        </is>
      </c>
      <c r="J55" s="19" t="inlineStr">
        <is>
          <t>Ridley Scott</t>
        </is>
      </c>
      <c r="K55" s="19" t="n">
        <v>128</v>
      </c>
      <c r="L55" s="19" t="inlineStr">
        <is>
          <t>Action, Drama, Thriller</t>
        </is>
      </c>
      <c r="M55" s="19" t="inlineStr">
        <is>
          <t>Scott Free Productions, De Line Pictures, Warner Bros. Pictures</t>
        </is>
      </c>
      <c r="N55" s="19" t="inlineStr">
        <is>
          <t>https://huggingface.co/datasets/HenryWaltson/TMDB-IMDB-Movies-Dataset</t>
        </is>
      </c>
      <c r="O55" s="19" t="inlineStr">
        <is>
          <t>https://huggingface.co/datasets/HenryWaltson/TMDB-IMDB-Movies-Dataset</t>
        </is>
      </c>
      <c r="P55" s="18" t="inlineStr">
        <is>
          <t>Leonardo DiCaprio</t>
        </is>
      </c>
      <c r="Q55" s="18" t="inlineStr">
        <is>
          <t>Russell Crowe</t>
        </is>
      </c>
      <c r="R55" s="18" t="inlineStr">
        <is>
          <t>Mark Strong</t>
        </is>
      </c>
      <c r="S55" s="18" t="inlineStr">
        <is>
          <t>Ali Suliman</t>
        </is>
      </c>
      <c r="T55" s="18" t="inlineStr">
        <is>
          <t>Simon McBurney</t>
        </is>
      </c>
      <c r="U55" s="24" t="n">
        <v>0</v>
      </c>
      <c r="V55" s="24" t="n">
        <v>0</v>
      </c>
      <c r="W55" s="4" t="n"/>
      <c r="X55" s="25">
        <f t="array" ref="X55">IFERROR(INDEX(Ratings!$E$5:$E$500,MATCH(A55,Ratings!$A$5:$A$500,0)),"")</f>
        <v/>
      </c>
      <c r="Y55" s="24">
        <f t="array" ref="Y55">IFERROR(INDEX(Ratings!$G$5:$G$500,MATCH(A55,Ratings!$A$5:$A$500,0)),"")</f>
        <v/>
      </c>
      <c r="Z55" s="26">
        <f t="array" ref="Z55">IFERROR(INDEX(Ratings!$I$5:$I$500,MATCH(A55,Ratings!$A$5:$A$500,0)),"")</f>
        <v/>
      </c>
      <c r="AB55" s="18" t="inlineStr">
        <is>
          <t>15</t>
        </is>
      </c>
    </row>
    <row r="56" ht="15.75" customHeight="1" s="108">
      <c r="A56" s="18" t="inlineStr">
        <is>
          <t>F0052</t>
        </is>
      </c>
      <c r="B56" s="18" t="inlineStr">
        <is>
          <t>Bohemian Rhapsody</t>
        </is>
      </c>
      <c r="C56" s="20" t="inlineStr">
        <is>
          <t>2018</t>
        </is>
      </c>
      <c r="D56" s="18" t="inlineStr">
        <is>
          <t>Blu-ray</t>
        </is>
      </c>
      <c r="E56" s="4" t="n"/>
      <c r="F56" s="19" t="n"/>
      <c r="G56" s="4" t="n"/>
      <c r="H56" s="4" t="n"/>
      <c r="I56" s="19" t="inlineStr">
        <is>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 finding a way to keep the band together amid the success and excess.</t>
        </is>
      </c>
      <c r="J56" s="19" t="inlineStr">
        <is>
          <t>Bryan Singer</t>
        </is>
      </c>
      <c r="K56" s="19" t="n">
        <v>135</v>
      </c>
      <c r="L56" s="19" t="inlineStr">
        <is>
          <t>Music, Drama</t>
        </is>
      </c>
      <c r="M56" s="19" t="inlineStr">
        <is>
          <t>20th Century Fox, New Regency Pictures, GK Films</t>
        </is>
      </c>
      <c r="N56" s="19" t="inlineStr">
        <is>
          <t>https://huggingface.co/datasets/HenryWaltson/TMDB-IMDB-Movies-Dataset</t>
        </is>
      </c>
      <c r="O56" s="19" t="inlineStr">
        <is>
          <t>https://huggingface.co/datasets/HenryWaltson/TMDB-IMDB-Movies-Dataset</t>
        </is>
      </c>
      <c r="P56" s="18" t="inlineStr">
        <is>
          <t>Rami Malek</t>
        </is>
      </c>
      <c r="Q56" s="18" t="inlineStr">
        <is>
          <t>Gwilym Lee</t>
        </is>
      </c>
      <c r="R56" s="18" t="inlineStr">
        <is>
          <t>Ben Hardy</t>
        </is>
      </c>
      <c r="S56" s="18" t="inlineStr">
        <is>
          <t>Joseph Mazzello</t>
        </is>
      </c>
      <c r="T56" s="18" t="inlineStr">
        <is>
          <t>Lucy Boynton</t>
        </is>
      </c>
      <c r="U56" s="24" t="n">
        <v>5</v>
      </c>
      <c r="V56" s="24" t="n">
        <v>4</v>
      </c>
      <c r="W56" s="18" t="inlineStr">
        <is>
          <t>Nominated</t>
        </is>
      </c>
      <c r="X56" s="25">
        <f t="array" ref="X56">IFERROR(INDEX(Ratings!$E$5:$E$500,MATCH(A56,Ratings!$A$5:$A$500,0)),"")</f>
        <v/>
      </c>
      <c r="Y56" s="24">
        <f t="array" ref="Y56">IFERROR(INDEX(Ratings!$G$5:$G$500,MATCH(A56,Ratings!$A$5:$A$500,0)),"")</f>
        <v/>
      </c>
      <c r="Z56" s="26">
        <f t="array" ref="Z56">IFERROR(INDEX(Ratings!$I$5:$I$500,MATCH(A56,Ratings!$A$5:$A$500,0)),"")</f>
        <v/>
      </c>
      <c r="AB56" s="18" t="inlineStr">
        <is>
          <t>12A</t>
        </is>
      </c>
    </row>
    <row r="57" ht="15.75" customHeight="1" s="108">
      <c r="A57" s="18" t="inlineStr">
        <is>
          <t>F0053</t>
        </is>
      </c>
      <c r="B57" s="18" t="inlineStr">
        <is>
          <t>The Bourne Identity</t>
        </is>
      </c>
      <c r="C57" s="20" t="inlineStr">
        <is>
          <t>2002</t>
        </is>
      </c>
      <c r="D57" s="18" t="inlineStr">
        <is>
          <t>Blu-ray</t>
        </is>
      </c>
      <c r="E57" s="18" t="inlineStr">
        <is>
          <t>Bourne</t>
        </is>
      </c>
      <c r="F57" s="19" t="n"/>
      <c r="G57" s="4" t="inlineStr">
        <is>
          <t>Yes</t>
        </is>
      </c>
      <c r="H57" s="4" t="inlineStr">
        <is>
          <t>⭐⭐⭐</t>
        </is>
      </c>
      <c r="I57" s="19" t="inlineStr">
        <is>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spy—but who does he work for?</t>
        </is>
      </c>
      <c r="J57" s="19" t="inlineStr">
        <is>
          <t>Doug Liman</t>
        </is>
      </c>
      <c r="K57" s="19" t="n">
        <v>119</v>
      </c>
      <c r="L57" s="19" t="inlineStr">
        <is>
          <t>Action, Drama, Mystery, Thriller</t>
        </is>
      </c>
      <c r="M57" s="19" t="inlineStr">
        <is>
          <t>Universal Pictures, Hypnotic, Kalima Productions</t>
        </is>
      </c>
      <c r="N57" s="19" t="inlineStr">
        <is>
          <t>https://huggingface.co/datasets/HenryWaltson/TMDB-IMDB-Movies-Dataset</t>
        </is>
      </c>
      <c r="O57" s="19" t="inlineStr">
        <is>
          <t>https://huggingface.co/datasets/HenryWaltson/TMDB-IMDB-Movies-Dataset</t>
        </is>
      </c>
      <c r="P57" s="18" t="inlineStr">
        <is>
          <t>Matt Damon</t>
        </is>
      </c>
      <c r="Q57" s="18" t="inlineStr">
        <is>
          <t>Franka Potente</t>
        </is>
      </c>
      <c r="R57" s="18" t="inlineStr">
        <is>
          <t>Chris Cooper</t>
        </is>
      </c>
      <c r="S57" s="18" t="inlineStr">
        <is>
          <t>Clive Owen</t>
        </is>
      </c>
      <c r="T57" s="18" t="inlineStr">
        <is>
          <t>Brian Cox</t>
        </is>
      </c>
      <c r="U57" s="24" t="n">
        <v>0</v>
      </c>
      <c r="V57" s="24" t="n">
        <v>0</v>
      </c>
      <c r="W57" s="4" t="n"/>
      <c r="X57" s="25">
        <f t="array" ref="X57">IFERROR(INDEX(Ratings!$E$5:$E$500,MATCH(A57,Ratings!$A$5:$A$500,0)),"")</f>
        <v/>
      </c>
      <c r="Y57" s="24">
        <f t="array" ref="Y57">IFERROR(INDEX(Ratings!$G$5:$G$500,MATCH(A57,Ratings!$A$5:$A$500,0)),"")</f>
        <v/>
      </c>
      <c r="Z57" s="26">
        <f t="array" ref="Z57">IFERROR(INDEX(Ratings!$I$5:$I$500,MATCH(A57,Ratings!$A$5:$A$500,0)),"")</f>
        <v/>
      </c>
      <c r="AA57" s="0" t="inlineStr">
        <is>
          <t>2026-08-21</t>
        </is>
      </c>
      <c r="AB57" s="18" t="inlineStr">
        <is>
          <t>12A</t>
        </is>
      </c>
    </row>
    <row r="58" ht="15.75" customHeight="1" s="108">
      <c r="A58" s="18" t="inlineStr">
        <is>
          <t>F0054</t>
        </is>
      </c>
      <c r="B58" s="18" t="inlineStr">
        <is>
          <t>The Bourne Supremacy</t>
        </is>
      </c>
      <c r="C58" s="20" t="inlineStr">
        <is>
          <t>2004</t>
        </is>
      </c>
      <c r="D58" s="18" t="inlineStr">
        <is>
          <t>Blu-ray</t>
        </is>
      </c>
      <c r="E58" s="18" t="inlineStr">
        <is>
          <t>Bourne</t>
        </is>
      </c>
      <c r="F58" s="19" t="n"/>
      <c r="G58" s="4" t="inlineStr">
        <is>
          <t>Yes</t>
        </is>
      </c>
      <c r="H58" s="4" t="inlineStr">
        <is>
          <t>⭐⭐⭐⭐</t>
        </is>
      </c>
      <c r="I58" s="19" t="inlineStr">
        <is>
          <t>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is>
      </c>
      <c r="J58" s="19" t="inlineStr">
        <is>
          <t>Paul Greengrass</t>
        </is>
      </c>
      <c r="K58" s="19" t="n">
        <v>108</v>
      </c>
      <c r="L58" s="19" t="inlineStr">
        <is>
          <t>Action, Drama, Thriller</t>
        </is>
      </c>
      <c r="M58" s="19" t="inlineStr">
        <is>
          <t>Universal Pictures, The Kennedy/Marshall Company, Hypnotic</t>
        </is>
      </c>
      <c r="N58" s="19" t="inlineStr">
        <is>
          <t>https://huggingface.co/datasets/HenryWaltson/TMDB-IMDB-Movies-Dataset</t>
        </is>
      </c>
      <c r="O58" s="19" t="inlineStr">
        <is>
          <t>https://huggingface.co/datasets/HenryWaltson/TMDB-IMDB-Movies-Dataset</t>
        </is>
      </c>
      <c r="P58" s="18" t="inlineStr">
        <is>
          <t>Matt Damon</t>
        </is>
      </c>
      <c r="Q58" s="18" t="inlineStr">
        <is>
          <t>Franka Potente</t>
        </is>
      </c>
      <c r="R58" s="18" t="inlineStr">
        <is>
          <t>Brian Cox</t>
        </is>
      </c>
      <c r="S58" s="18" t="inlineStr">
        <is>
          <t>Julia Stiles</t>
        </is>
      </c>
      <c r="T58" s="18" t="inlineStr">
        <is>
          <t>Karl Urban</t>
        </is>
      </c>
      <c r="U58" s="24" t="n">
        <v>0</v>
      </c>
      <c r="V58" s="24" t="n">
        <v>0</v>
      </c>
      <c r="W58" s="4" t="n"/>
      <c r="X58" s="25">
        <f t="array" ref="X58">IFERROR(INDEX(Ratings!$E$5:$E$500,MATCH(A58,Ratings!$A$5:$A$500,0)),"")</f>
        <v/>
      </c>
      <c r="Y58" s="24">
        <f t="array" ref="Y58">IFERROR(INDEX(Ratings!$G$5:$G$500,MATCH(A58,Ratings!$A$5:$A$500,0)),"")</f>
        <v/>
      </c>
      <c r="Z58" s="26">
        <f t="array" ref="Z58">IFERROR(INDEX(Ratings!$I$5:$I$500,MATCH(A58,Ratings!$A$5:$A$500,0)),"")</f>
        <v/>
      </c>
      <c r="AA58" s="0" t="inlineStr">
        <is>
          <t>2026-09-13</t>
        </is>
      </c>
      <c r="AB58" s="18" t="inlineStr">
        <is>
          <t>12A</t>
        </is>
      </c>
    </row>
    <row r="59" ht="15.75" customHeight="1" s="108">
      <c r="A59" s="18" t="inlineStr">
        <is>
          <t>F0055</t>
        </is>
      </c>
      <c r="B59" s="18" t="inlineStr">
        <is>
          <t>The Bourne Ultimatum</t>
        </is>
      </c>
      <c r="C59" s="20" t="inlineStr">
        <is>
          <t>2007</t>
        </is>
      </c>
      <c r="D59" s="18" t="inlineStr">
        <is>
          <t>Blu-ray</t>
        </is>
      </c>
      <c r="E59" s="18" t="inlineStr">
        <is>
          <t>Bourne</t>
        </is>
      </c>
      <c r="F59" s="19" t="n"/>
      <c r="G59" s="4" t="inlineStr">
        <is>
          <t>Yes</t>
        </is>
      </c>
      <c r="H59" s="4" t="inlineStr">
        <is>
          <t>⭐⭐⭐⭐</t>
        </is>
      </c>
      <c r="I59" s="19" t="inlineStr">
        <is>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is>
      </c>
      <c r="J59" s="19" t="inlineStr">
        <is>
          <t>Paul Greengrass</t>
        </is>
      </c>
      <c r="K59" s="19" t="n">
        <v>115</v>
      </c>
      <c r="L59" s="19" t="inlineStr">
        <is>
          <t>Action, Drama, Mystery, Thriller</t>
        </is>
      </c>
      <c r="M59" s="19" t="inlineStr">
        <is>
          <t>Universal Pictures, The Kennedy/Marshall Company, Ludlum Entertainment</t>
        </is>
      </c>
      <c r="N59" s="19" t="inlineStr">
        <is>
          <t>https://huggingface.co/datasets/HenryWaltson/TMDB-IMDB-Movies-Dataset</t>
        </is>
      </c>
      <c r="O59" s="19" t="inlineStr">
        <is>
          <t>https://huggingface.co/datasets/HenryWaltson/TMDB-IMDB-Movies-Dataset</t>
        </is>
      </c>
      <c r="P59" s="18" t="inlineStr">
        <is>
          <t>Matt Damon</t>
        </is>
      </c>
      <c r="Q59" s="18" t="inlineStr">
        <is>
          <t>Julia Stiles</t>
        </is>
      </c>
      <c r="R59" s="18" t="inlineStr">
        <is>
          <t>David Strathairn</t>
        </is>
      </c>
      <c r="S59" s="18" t="inlineStr">
        <is>
          <t>Scott Glenn</t>
        </is>
      </c>
      <c r="T59" s="18" t="inlineStr">
        <is>
          <t>Paddy Considine</t>
        </is>
      </c>
      <c r="U59" s="24" t="n">
        <v>3</v>
      </c>
      <c r="V59" s="24" t="n">
        <v>3</v>
      </c>
      <c r="W59" s="4" t="n"/>
      <c r="X59" s="25">
        <f t="array" ref="X59">IFERROR(INDEX(Ratings!$E$5:$E$500,MATCH(A59,Ratings!$A$5:$A$500,0)),"")</f>
        <v/>
      </c>
      <c r="Y59" s="24">
        <f t="array" ref="Y59">IFERROR(INDEX(Ratings!$G$5:$G$500,MATCH(A59,Ratings!$A$5:$A$500,0)),"")</f>
        <v/>
      </c>
      <c r="Z59" s="26">
        <f t="array" ref="Z59">IFERROR(INDEX(Ratings!$I$5:$I$500,MATCH(A59,Ratings!$A$5:$A$500,0)),"")</f>
        <v/>
      </c>
      <c r="AA59" s="0" t="inlineStr">
        <is>
          <t>2026-09-14</t>
        </is>
      </c>
      <c r="AB59" s="18" t="inlineStr">
        <is>
          <t>12A</t>
        </is>
      </c>
    </row>
    <row r="60" ht="15.75" customHeight="1" s="108">
      <c r="A60" s="18" t="inlineStr">
        <is>
          <t>F0056</t>
        </is>
      </c>
      <c r="B60" s="18" t="inlineStr">
        <is>
          <t>The Bourne Legacy</t>
        </is>
      </c>
      <c r="C60" s="20" t="inlineStr">
        <is>
          <t>2012</t>
        </is>
      </c>
      <c r="D60" s="18" t="inlineStr">
        <is>
          <t>Blu-ray</t>
        </is>
      </c>
      <c r="E60" s="18" t="inlineStr">
        <is>
          <t>Bourne</t>
        </is>
      </c>
      <c r="F60" s="19" t="n"/>
      <c r="G60" s="4" t="inlineStr">
        <is>
          <t>Yes</t>
        </is>
      </c>
      <c r="H60" s="4" t="inlineStr">
        <is>
          <t>⭐⭐⭐</t>
        </is>
      </c>
      <c r="I60" s="19" t="inlineStr">
        <is>
          <t>New CIA operative Aaron Cross experiences life-or-death stakes that have been triggered by the previous actions of Jason Bourne.</t>
        </is>
      </c>
      <c r="J60" s="19" t="inlineStr">
        <is>
          <t>Tony Gilroy</t>
        </is>
      </c>
      <c r="K60" s="19" t="n">
        <v>135</v>
      </c>
      <c r="L60" s="19" t="inlineStr">
        <is>
          <t>Action, Thriller</t>
        </is>
      </c>
      <c r="M60" s="19" t="inlineStr">
        <is>
          <t>Universal Pictures, Relativity Media, Captivate Entertainment</t>
        </is>
      </c>
      <c r="N60" s="19" t="inlineStr">
        <is>
          <t>https://huggingface.co/datasets/HenryWaltson/TMDB-IMDB-Movies-Dataset</t>
        </is>
      </c>
      <c r="O60" s="19" t="inlineStr">
        <is>
          <t>https://huggingface.co/datasets/HenryWaltson/TMDB-IMDB-Movies-Dataset</t>
        </is>
      </c>
      <c r="P60" s="18" t="inlineStr">
        <is>
          <t>Jeremy Renner</t>
        </is>
      </c>
      <c r="Q60" s="18" t="inlineStr">
        <is>
          <t>Rachel Weisz</t>
        </is>
      </c>
      <c r="R60" s="18" t="inlineStr">
        <is>
          <t>Edward Norton</t>
        </is>
      </c>
      <c r="S60" s="18" t="inlineStr">
        <is>
          <t>Stacy Keach</t>
        </is>
      </c>
      <c r="T60" s="18" t="inlineStr">
        <is>
          <t>Dennis Boutsikaris</t>
        </is>
      </c>
      <c r="U60" s="24" t="n">
        <v>0</v>
      </c>
      <c r="V60" s="24" t="n">
        <v>0</v>
      </c>
      <c r="W60" s="4" t="n"/>
      <c r="X60" s="25">
        <f t="array" ref="X60">IFERROR(INDEX(Ratings!$E$5:$E$500,MATCH(A60,Ratings!$A$5:$A$500,0)),"")</f>
        <v/>
      </c>
      <c r="Y60" s="24">
        <f t="array" ref="Y60">IFERROR(INDEX(Ratings!$G$5:$G$500,MATCH(A60,Ratings!$A$5:$A$500,0)),"")</f>
        <v/>
      </c>
      <c r="Z60" s="26">
        <f t="array" ref="Z60">IFERROR(INDEX(Ratings!$I$5:$I$500,MATCH(A60,Ratings!$A$5:$A$500,0)),"")</f>
        <v/>
      </c>
      <c r="AA60" s="0" t="inlineStr">
        <is>
          <t>2026-09-14</t>
        </is>
      </c>
      <c r="AB60" s="18" t="inlineStr">
        <is>
          <t>12A</t>
        </is>
      </c>
    </row>
    <row r="61" ht="15.75" customHeight="1" s="108">
      <c r="A61" s="18" t="inlineStr">
        <is>
          <t>F0057</t>
        </is>
      </c>
      <c r="B61" s="18" t="inlineStr">
        <is>
          <t>The Breakfast Club</t>
        </is>
      </c>
      <c r="C61" s="20" t="inlineStr">
        <is>
          <t>1985</t>
        </is>
      </c>
      <c r="D61" s="18" t="inlineStr">
        <is>
          <t>Blu-ray</t>
        </is>
      </c>
      <c r="E61" s="4" t="n"/>
      <c r="F61" s="19" t="n"/>
      <c r="G61" s="4" t="n"/>
      <c r="H61" s="4" t="n"/>
      <c r="I61" s="19" t="inlineStr">
        <is>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is>
      </c>
      <c r="J61" s="19" t="inlineStr">
        <is>
          <t>John Hughes</t>
        </is>
      </c>
      <c r="K61" s="19" t="n">
        <v>98</v>
      </c>
      <c r="L61" s="19" t="inlineStr">
        <is>
          <t>Comedy, Drama</t>
        </is>
      </c>
      <c r="M61" s="19" t="inlineStr">
        <is>
          <t>Universal Pictures, A&amp;M Films, Channel Productions</t>
        </is>
      </c>
      <c r="N61" s="19" t="inlineStr">
        <is>
          <t>https://huggingface.co/datasets/HenryWaltson/TMDB-IMDB-Movies-Dataset</t>
        </is>
      </c>
      <c r="O61" s="19" t="inlineStr">
        <is>
          <t>https://huggingface.co/datasets/HenryWaltson/TMDB-IMDB-Movies-Dataset</t>
        </is>
      </c>
      <c r="P61" s="18" t="inlineStr">
        <is>
          <t>Emilio Estevez</t>
        </is>
      </c>
      <c r="Q61" s="18" t="inlineStr">
        <is>
          <t>Judd Nelson</t>
        </is>
      </c>
      <c r="R61" s="18" t="inlineStr">
        <is>
          <t>Molly Ringwald</t>
        </is>
      </c>
      <c r="S61" s="18" t="inlineStr">
        <is>
          <t>Anthony Michael Hall</t>
        </is>
      </c>
      <c r="T61" s="18" t="inlineStr">
        <is>
          <t>Ally Sheedy</t>
        </is>
      </c>
      <c r="U61" s="24" t="n">
        <v>0</v>
      </c>
      <c r="V61" s="24" t="n">
        <v>0</v>
      </c>
      <c r="W61" s="4" t="n"/>
      <c r="X61" s="25">
        <f t="array" ref="X61">IFERROR(INDEX(Ratings!$E$5:$E$500,MATCH(A61,Ratings!$A$5:$A$500,0)),"")</f>
        <v/>
      </c>
      <c r="Y61" s="24">
        <f t="array" ref="Y61">IFERROR(INDEX(Ratings!$G$5:$G$500,MATCH(A61,Ratings!$A$5:$A$500,0)),"")</f>
        <v/>
      </c>
      <c r="Z61" s="26">
        <f t="array" ref="Z61">IFERROR(INDEX(Ratings!$I$5:$I$500,MATCH(A61,Ratings!$A$5:$A$500,0)),"")</f>
        <v/>
      </c>
      <c r="AB61" s="18" t="inlineStr">
        <is>
          <t>15</t>
        </is>
      </c>
    </row>
    <row r="62" ht="15.75" customHeight="1" s="108">
      <c r="A62" s="18" t="inlineStr">
        <is>
          <t>F0058</t>
        </is>
      </c>
      <c r="B62" s="18" t="inlineStr">
        <is>
          <t>Bridesmaids</t>
        </is>
      </c>
      <c r="C62" s="20" t="inlineStr">
        <is>
          <t>2011</t>
        </is>
      </c>
      <c r="D62" s="18" t="inlineStr">
        <is>
          <t>Blu-ray</t>
        </is>
      </c>
      <c r="E62" s="4" t="n"/>
      <c r="F62" s="19" t="n"/>
      <c r="G62" s="4" t="n"/>
      <c r="H62" s="4" t="n"/>
      <c r="I62" s="19" t="inlineStr">
        <is>
          <t>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is>
      </c>
      <c r="J62" s="19" t="inlineStr">
        <is>
          <t>Paul Feig</t>
        </is>
      </c>
      <c r="K62" s="19" t="n">
        <v>125</v>
      </c>
      <c r="L62" s="19" t="inlineStr">
        <is>
          <t>Comedy, Romance</t>
        </is>
      </c>
      <c r="M62" s="19" t="inlineStr">
        <is>
          <t>Apatow Productions, Relativity Media</t>
        </is>
      </c>
      <c r="N62" s="19" t="inlineStr">
        <is>
          <t>https://huggingface.co/datasets/HenryWaltson/TMDB-IMDB-Movies-Dataset</t>
        </is>
      </c>
      <c r="O62" s="19" t="inlineStr">
        <is>
          <t>https://huggingface.co/datasets/HenryWaltson/TMDB-IMDB-Movies-Dataset</t>
        </is>
      </c>
      <c r="P62" s="18" t="inlineStr">
        <is>
          <t>Kristen Wiig</t>
        </is>
      </c>
      <c r="Q62" s="18" t="inlineStr">
        <is>
          <t>Maya Rudolph</t>
        </is>
      </c>
      <c r="R62" s="18" t="inlineStr">
        <is>
          <t>Rose Byrne</t>
        </is>
      </c>
      <c r="S62" s="18" t="inlineStr">
        <is>
          <t>Chris O'Dowd</t>
        </is>
      </c>
      <c r="T62" s="18" t="inlineStr">
        <is>
          <t>Wendi McLendon-Covey</t>
        </is>
      </c>
      <c r="U62" s="24" t="n">
        <v>2</v>
      </c>
      <c r="V62" s="24" t="n">
        <v>0</v>
      </c>
      <c r="W62" s="4" t="n"/>
      <c r="X62" s="25">
        <f t="array" ref="X62">IFERROR(INDEX(Ratings!$E$5:$E$500,MATCH(A62,Ratings!$A$5:$A$500,0)),"")</f>
        <v/>
      </c>
      <c r="Y62" s="24">
        <f t="array" ref="Y62">IFERROR(INDEX(Ratings!$G$5:$G$500,MATCH(A62,Ratings!$A$5:$A$500,0)),"")</f>
        <v/>
      </c>
      <c r="Z62" s="26">
        <f t="array" ref="Z62">IFERROR(INDEX(Ratings!$I$5:$I$500,MATCH(A62,Ratings!$A$5:$A$500,0)),"")</f>
        <v/>
      </c>
      <c r="AB62" s="18" t="inlineStr">
        <is>
          <t>15</t>
        </is>
      </c>
    </row>
    <row r="63" ht="15.75" customHeight="1" s="108">
      <c r="A63" s="18" t="inlineStr">
        <is>
          <t>F0059</t>
        </is>
      </c>
      <c r="B63" s="18" t="inlineStr">
        <is>
          <t>Brüno</t>
        </is>
      </c>
      <c r="C63" s="20" t="inlineStr">
        <is>
          <t>2009</t>
        </is>
      </c>
      <c r="D63" s="18" t="inlineStr">
        <is>
          <t>Blu-ray</t>
        </is>
      </c>
      <c r="E63" s="4" t="n"/>
      <c r="F63" s="19" t="n"/>
      <c r="G63" s="4" t="n"/>
      <c r="H63" s="4" t="n"/>
      <c r="I63" s="19" t="inlineStr">
        <is>
          <t>Flamboyantly gay Austrian television reporter Bruno stirs up trouble with unsuspecting guests and large crowds through brutally frank interviews and painfully hilarious public displays of homosexuality.</t>
        </is>
      </c>
      <c r="J63" s="19" t="inlineStr">
        <is>
          <t>Larry Charles</t>
        </is>
      </c>
      <c r="K63" s="19" t="n">
        <v>83</v>
      </c>
      <c r="L63" s="19" t="inlineStr">
        <is>
          <t>Comedy</t>
        </is>
      </c>
      <c r="M63" s="19" t="inlineStr">
        <is>
          <t>Universal Pictures, MRC, Four by Two</t>
        </is>
      </c>
      <c r="N63" s="19" t="inlineStr">
        <is>
          <t>https://huggingface.co/datasets/HenryWaltson/TMDB-IMDB-Movies-Dataset</t>
        </is>
      </c>
      <c r="O63" s="19" t="inlineStr">
        <is>
          <t>https://huggingface.co/datasets/HenryWaltson/TMDB-IMDB-Movies-Dataset</t>
        </is>
      </c>
      <c r="P63" s="18" t="inlineStr">
        <is>
          <t>Sacha Baron Cohen</t>
        </is>
      </c>
      <c r="Q63" s="18" t="inlineStr">
        <is>
          <t>Gustaf Hammarsten</t>
        </is>
      </c>
      <c r="R63" s="18" t="inlineStr">
        <is>
          <t>Clifford Bañagale</t>
        </is>
      </c>
      <c r="S63" s="18" t="inlineStr">
        <is>
          <t>Josh Meyers</t>
        </is>
      </c>
      <c r="T63" s="18" t="inlineStr">
        <is>
          <t>Robert Huerta</t>
        </is>
      </c>
      <c r="U63" s="24" t="n">
        <v>0</v>
      </c>
      <c r="V63" s="24" t="n">
        <v>0</v>
      </c>
      <c r="W63" s="4" t="n"/>
      <c r="X63" s="25">
        <f t="array" ref="X63">IFERROR(INDEX(Ratings!$E$5:$E$500,MATCH(A63,Ratings!$A$5:$A$500,0)),"")</f>
        <v/>
      </c>
      <c r="Y63" s="24">
        <f t="array" ref="Y63">IFERROR(INDEX(Ratings!$G$5:$G$500,MATCH(A63,Ratings!$A$5:$A$500,0)),"")</f>
        <v/>
      </c>
      <c r="Z63" s="26">
        <f t="array" ref="Z63">IFERROR(INDEX(Ratings!$I$5:$I$500,MATCH(A63,Ratings!$A$5:$A$500,0)),"")</f>
        <v/>
      </c>
      <c r="AB63" s="18" t="inlineStr">
        <is>
          <t>18</t>
        </is>
      </c>
    </row>
    <row r="64" ht="15.75" customHeight="1" s="108">
      <c r="A64" s="18" t="inlineStr">
        <is>
          <t>F0060</t>
        </is>
      </c>
      <c r="B64" s="18" t="inlineStr">
        <is>
          <t>The Bucket List</t>
        </is>
      </c>
      <c r="C64" s="20" t="inlineStr">
        <is>
          <t>2007</t>
        </is>
      </c>
      <c r="D64" s="18" t="inlineStr">
        <is>
          <t>Blu-ray</t>
        </is>
      </c>
      <c r="E64" s="4" t="n"/>
      <c r="F64" s="19" t="n"/>
      <c r="G64" s="4" t="n"/>
      <c r="H64" s="4" t="n"/>
      <c r="I64" s="19" t="inlineStr">
        <is>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is>
      </c>
      <c r="J64" s="19" t="inlineStr">
        <is>
          <t>Rob Reiner</t>
        </is>
      </c>
      <c r="K64" s="19" t="n">
        <v>97</v>
      </c>
      <c r="L64" s="19" t="inlineStr">
        <is>
          <t>Drama, Comedy</t>
        </is>
      </c>
      <c r="M64" s="19" t="inlineStr">
        <is>
          <t>Two Ton Films, Zadan / Meron Productions, Reiner / Greisman Productions</t>
        </is>
      </c>
      <c r="N64" s="19" t="inlineStr">
        <is>
          <t>https://huggingface.co/datasets/HenryWaltson/TMDB-IMDB-Movies-Dataset</t>
        </is>
      </c>
      <c r="O64" s="19" t="inlineStr">
        <is>
          <t>https://huggingface.co/datasets/HenryWaltson/TMDB-IMDB-Movies-Dataset</t>
        </is>
      </c>
      <c r="P64" s="18" t="inlineStr">
        <is>
          <t>Jack Nicholson</t>
        </is>
      </c>
      <c r="Q64" s="18" t="inlineStr">
        <is>
          <t>Morgan Freeman</t>
        </is>
      </c>
      <c r="R64" s="18" t="inlineStr">
        <is>
          <t>Sean Hayes</t>
        </is>
      </c>
      <c r="S64" s="18" t="inlineStr">
        <is>
          <t>Beverly Todd</t>
        </is>
      </c>
      <c r="T64" s="18" t="inlineStr">
        <is>
          <t>Alfonso Freeman</t>
        </is>
      </c>
      <c r="U64" s="24" t="n">
        <v>0</v>
      </c>
      <c r="V64" s="24" t="n">
        <v>0</v>
      </c>
      <c r="W64" s="4" t="n"/>
      <c r="X64" s="25">
        <f t="array" ref="X64">IFERROR(INDEX(Ratings!$E$5:$E$500,MATCH(A64,Ratings!$A$5:$A$500,0)),"")</f>
        <v/>
      </c>
      <c r="Y64" s="24">
        <f t="array" ref="Y64">IFERROR(INDEX(Ratings!$G$5:$G$500,MATCH(A64,Ratings!$A$5:$A$500,0)),"")</f>
        <v/>
      </c>
      <c r="Z64" s="26">
        <f t="array" ref="Z64">IFERROR(INDEX(Ratings!$I$5:$I$500,MATCH(A64,Ratings!$A$5:$A$500,0)),"")</f>
        <v/>
      </c>
      <c r="AB64" s="18" t="inlineStr">
        <is>
          <t>12A</t>
        </is>
      </c>
    </row>
    <row r="65" ht="15.75" customHeight="1" s="108">
      <c r="A65" s="18" t="inlineStr">
        <is>
          <t>F0061</t>
        </is>
      </c>
      <c r="B65" s="18" t="inlineStr">
        <is>
          <t>Bumblebee</t>
        </is>
      </c>
      <c r="C65" s="20" t="inlineStr">
        <is>
          <t>2018</t>
        </is>
      </c>
      <c r="D65" s="18" t="inlineStr">
        <is>
          <t>Blu-ray</t>
        </is>
      </c>
      <c r="E65" s="18" t="inlineStr">
        <is>
          <t>Transformers</t>
        </is>
      </c>
      <c r="F65" s="19" t="n"/>
      <c r="G65" s="4" t="inlineStr">
        <is>
          <t>Yes</t>
        </is>
      </c>
      <c r="H65" s="4" t="inlineStr">
        <is>
          <t>⭐⭐⭐⭐</t>
        </is>
      </c>
      <c r="I65" s="19" t="inlineStr">
        <is>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is>
      </c>
      <c r="J65" s="19" t="inlineStr">
        <is>
          <t>Travis Knight</t>
        </is>
      </c>
      <c r="K65" s="19" t="n">
        <v>113</v>
      </c>
      <c r="L65" s="19" t="inlineStr">
        <is>
          <t>Action, Adventure, Science Fiction</t>
        </is>
      </c>
      <c r="M65" s="19" t="inlineStr">
        <is>
          <t>Paramount, Allspark Pictures, Bay Films</t>
        </is>
      </c>
      <c r="N65" s="19" t="inlineStr">
        <is>
          <t>https://huggingface.co/datasets/HenryWaltson/TMDB-IMDB-Movies-Dataset</t>
        </is>
      </c>
      <c r="O65" s="19" t="inlineStr">
        <is>
          <t>https://huggingface.co/datasets/HenryWaltson/TMDB-IMDB-Movies-Dataset</t>
        </is>
      </c>
      <c r="P65" s="18" t="inlineStr">
        <is>
          <t>Hailee Steinfeld</t>
        </is>
      </c>
      <c r="Q65" s="18" t="inlineStr">
        <is>
          <t>John Cena</t>
        </is>
      </c>
      <c r="R65" s="18" t="inlineStr">
        <is>
          <t>Jorge Lendeborg Jr.</t>
        </is>
      </c>
      <c r="S65" s="18" t="inlineStr">
        <is>
          <t>John Ortiz</t>
        </is>
      </c>
      <c r="T65" s="18" t="inlineStr">
        <is>
          <t>Jason Ian Drucker</t>
        </is>
      </c>
      <c r="U65" s="24" t="n">
        <v>0</v>
      </c>
      <c r="V65" s="24" t="n">
        <v>0</v>
      </c>
      <c r="W65" s="4" t="n"/>
      <c r="X65" s="25">
        <f t="array" ref="X65">IFERROR(INDEX(Ratings!$E$5:$E$500,MATCH(A65,Ratings!$A$5:$A$500,0)),"")</f>
        <v/>
      </c>
      <c r="Y65" s="24">
        <f t="array" ref="Y65">IFERROR(INDEX(Ratings!$G$5:$G$500,MATCH(A65,Ratings!$A$5:$A$500,0)),"")</f>
        <v/>
      </c>
      <c r="Z65" s="26">
        <f t="array" ref="Z65">IFERROR(INDEX(Ratings!$I$5:$I$500,MATCH(A65,Ratings!$A$5:$A$500,0)),"")</f>
        <v/>
      </c>
      <c r="AA65" s="0" t="inlineStr">
        <is>
          <t>2026-09-14</t>
        </is>
      </c>
      <c r="AB65" s="18" t="inlineStr">
        <is>
          <t>12A</t>
        </is>
      </c>
    </row>
    <row r="66" ht="15.75" customHeight="1" s="108">
      <c r="A66" s="18" t="inlineStr">
        <is>
          <t>F0062</t>
        </is>
      </c>
      <c r="B66" s="18" t="inlineStr">
        <is>
          <t>Captain Phillips</t>
        </is>
      </c>
      <c r="C66" s="20" t="inlineStr">
        <is>
          <t>2013</t>
        </is>
      </c>
      <c r="D66" s="18" t="inlineStr">
        <is>
          <t>Blu-ray</t>
        </is>
      </c>
      <c r="E66" s="4" t="n"/>
      <c r="F66" s="19" t="n"/>
      <c r="G66" s="4" t="n"/>
      <c r="H66" s="4" t="n"/>
      <c r="I66" s="19" t="inlineStr">
        <is>
          <t>The true story of Captain Richard Phillips and the 2009 hijacking by Somali pirates of the US-flagged MV Maersk Alabama, the first American cargo ship to be hijacked in two hundred years.</t>
        </is>
      </c>
      <c r="J66" s="19" t="inlineStr">
        <is>
          <t>Paul Greengrass</t>
        </is>
      </c>
      <c r="K66" s="19" t="n">
        <v>134</v>
      </c>
      <c r="L66" s="19" t="inlineStr">
        <is>
          <t>Action, Drama, Thriller</t>
        </is>
      </c>
      <c r="M66" s="19" t="inlineStr">
        <is>
          <t>Columbia Pictures, Michael De Luca Productions, Scott Rudin Productions</t>
        </is>
      </c>
      <c r="N66" s="19" t="inlineStr">
        <is>
          <t>https://huggingface.co/datasets/HenryWaltson/TMDB-IMDB-Movies-Dataset</t>
        </is>
      </c>
      <c r="O66" s="19" t="inlineStr">
        <is>
          <t>https://huggingface.co/datasets/HenryWaltson/TMDB-IMDB-Movies-Dataset</t>
        </is>
      </c>
      <c r="P66" s="18" t="inlineStr">
        <is>
          <t>Tom Hanks</t>
        </is>
      </c>
      <c r="Q66" s="18" t="inlineStr">
        <is>
          <t>Barkhad Abdi</t>
        </is>
      </c>
      <c r="R66" s="18" t="inlineStr">
        <is>
          <t>Barkhad Abdirahman</t>
        </is>
      </c>
      <c r="S66" s="18" t="inlineStr">
        <is>
          <t>Faysal  Ahmed</t>
        </is>
      </c>
      <c r="T66" s="18" t="inlineStr">
        <is>
          <t>Mahat M. Ali</t>
        </is>
      </c>
      <c r="U66" s="24" t="n">
        <v>6</v>
      </c>
      <c r="V66" s="24" t="n">
        <v>0</v>
      </c>
      <c r="W66" s="18" t="inlineStr">
        <is>
          <t>Nominated</t>
        </is>
      </c>
      <c r="X66" s="25">
        <f t="array" ref="X66">IFERROR(INDEX(Ratings!$E$5:$E$500,MATCH(A66,Ratings!$A$5:$A$500,0)),"")</f>
        <v/>
      </c>
      <c r="Y66" s="24">
        <f t="array" ref="Y66">IFERROR(INDEX(Ratings!$G$5:$G$500,MATCH(A66,Ratings!$A$5:$A$500,0)),"")</f>
        <v/>
      </c>
      <c r="Z66" s="26">
        <f t="array" ref="Z66">IFERROR(INDEX(Ratings!$I$5:$I$500,MATCH(A66,Ratings!$A$5:$A$500,0)),"")</f>
        <v/>
      </c>
      <c r="AB66" s="18" t="inlineStr">
        <is>
          <t>12A</t>
        </is>
      </c>
    </row>
    <row r="67" ht="15.75" customHeight="1" s="108">
      <c r="A67" s="18" t="inlineStr">
        <is>
          <t>F0063</t>
        </is>
      </c>
      <c r="B67" s="18" t="inlineStr">
        <is>
          <t>Catch.44</t>
        </is>
      </c>
      <c r="C67" s="20" t="inlineStr">
        <is>
          <t>2011</t>
        </is>
      </c>
      <c r="D67" s="18" t="inlineStr">
        <is>
          <t>Blu-ray</t>
        </is>
      </c>
      <c r="E67" s="4" t="n"/>
      <c r="F67" s="19" t="n"/>
      <c r="G67" s="4" t="n"/>
      <c r="H67" s="4" t="n"/>
      <c r="I67" s="19" t="inlineStr">
        <is>
          <t>The lives of three female assassins take a sudden turn when their charming boss lures them into one last job. They soon find themselves thrust into a bizarre situation involving a psychotic hit man, a grizzled trucker and a delusional line cook.</t>
        </is>
      </c>
      <c r="J67" s="19" t="inlineStr">
        <is>
          <t>Aaron Harvey</t>
        </is>
      </c>
      <c r="K67" s="19" t="n">
        <v>93</v>
      </c>
      <c r="L67" s="19" t="inlineStr">
        <is>
          <t>Drama, Action, Thriller</t>
        </is>
      </c>
      <c r="M67" s="19" t="inlineStr">
        <is>
          <t>Sakonnet Capital Partners, EFO Films, Benaroya Pictures</t>
        </is>
      </c>
      <c r="N67" s="19" t="inlineStr">
        <is>
          <t>https://huggingface.co/datasets/HenryWaltson/TMDB-IMDB-Movies-Dataset</t>
        </is>
      </c>
      <c r="O67" s="19" t="inlineStr">
        <is>
          <t>https://huggingface.co/datasets/HenryWaltson/TMDB-IMDB-Movies-Dataset</t>
        </is>
      </c>
      <c r="P67" s="18" t="inlineStr">
        <is>
          <t>Bruce Willis</t>
        </is>
      </c>
      <c r="Q67" s="18" t="inlineStr">
        <is>
          <t>Malin Åkerman</t>
        </is>
      </c>
      <c r="R67" s="18" t="inlineStr">
        <is>
          <t>Nikki Reed</t>
        </is>
      </c>
      <c r="S67" s="18" t="inlineStr">
        <is>
          <t>Deborah Ann Woll</t>
        </is>
      </c>
      <c r="T67" s="18" t="inlineStr">
        <is>
          <t>Forest Whitaker</t>
        </is>
      </c>
      <c r="U67" s="24" t="n">
        <v>0</v>
      </c>
      <c r="V67" s="24" t="n">
        <v>0</v>
      </c>
      <c r="W67" s="4" t="n"/>
      <c r="X67" s="25">
        <f t="array" ref="X67">IFERROR(INDEX(Ratings!$E$5:$E$500,MATCH(A67,Ratings!$A$5:$A$500,0)),"")</f>
        <v/>
      </c>
      <c r="Y67" s="24">
        <f t="array" ref="Y67">IFERROR(INDEX(Ratings!$G$5:$G$500,MATCH(A67,Ratings!$A$5:$A$500,0)),"")</f>
        <v/>
      </c>
      <c r="Z67" s="26">
        <f t="array" ref="Z67">IFERROR(INDEX(Ratings!$I$5:$I$500,MATCH(A67,Ratings!$A$5:$A$500,0)),"")</f>
        <v/>
      </c>
      <c r="AB67" s="18" t="inlineStr">
        <is>
          <t>15</t>
        </is>
      </c>
    </row>
    <row r="68" ht="15.75" customHeight="1" s="108">
      <c r="A68" s="18" t="inlineStr">
        <is>
          <t>F0064</t>
        </is>
      </c>
      <c r="B68" s="18" t="inlineStr">
        <is>
          <t>Catch Me If You Can</t>
        </is>
      </c>
      <c r="C68" s="20" t="inlineStr">
        <is>
          <t>2002</t>
        </is>
      </c>
      <c r="D68" s="18" t="inlineStr">
        <is>
          <t>Blu-ray</t>
        </is>
      </c>
      <c r="E68" s="4" t="n"/>
      <c r="F68" s="19" t="n"/>
      <c r="G68" s="4" t="n"/>
      <c r="H68" s="4" t="n"/>
      <c r="I68" s="19" t="inlineStr">
        <is>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is>
      </c>
      <c r="J68" s="19" t="inlineStr">
        <is>
          <t>Steven Spielberg</t>
        </is>
      </c>
      <c r="K68" s="19" t="n">
        <v>141</v>
      </c>
      <c r="L68" s="19" t="inlineStr">
        <is>
          <t>Drama, Crime</t>
        </is>
      </c>
      <c r="M68" s="19" t="inlineStr">
        <is>
          <t>Parkes/MacDonald Productions, Kemp Company, Splendid Pictures</t>
        </is>
      </c>
      <c r="N68" s="19" t="inlineStr">
        <is>
          <t>https://huggingface.co/datasets/HenryWaltson/TMDB-IMDB-Movies-Dataset</t>
        </is>
      </c>
      <c r="O68" s="19" t="inlineStr">
        <is>
          <t>https://huggingface.co/datasets/HenryWaltson/TMDB-IMDB-Movies-Dataset</t>
        </is>
      </c>
      <c r="P68" s="18" t="inlineStr">
        <is>
          <t>Leonardo DiCaprio</t>
        </is>
      </c>
      <c r="Q68" s="18" t="inlineStr">
        <is>
          <t>Tom Hanks</t>
        </is>
      </c>
      <c r="R68" s="18" t="inlineStr">
        <is>
          <t>Christopher Walken</t>
        </is>
      </c>
      <c r="S68" s="18" t="inlineStr">
        <is>
          <t>Martin Sheen</t>
        </is>
      </c>
      <c r="T68" s="18" t="inlineStr">
        <is>
          <t>Nathalie Baye</t>
        </is>
      </c>
      <c r="U68" s="24" t="n">
        <v>2</v>
      </c>
      <c r="V68" s="24" t="n">
        <v>0</v>
      </c>
      <c r="W68" s="4" t="n"/>
      <c r="X68" s="25">
        <f t="array" ref="X68">IFERROR(INDEX(Ratings!$E$5:$E$500,MATCH(A68,Ratings!$A$5:$A$500,0)),"")</f>
        <v/>
      </c>
      <c r="Y68" s="24">
        <f t="array" ref="Y68">IFERROR(INDEX(Ratings!$G$5:$G$500,MATCH(A68,Ratings!$A$5:$A$500,0)),"")</f>
        <v/>
      </c>
      <c r="Z68" s="26">
        <f t="array" ref="Z68">IFERROR(INDEX(Ratings!$I$5:$I$500,MATCH(A68,Ratings!$A$5:$A$500,0)),"")</f>
        <v/>
      </c>
      <c r="AB68" s="18" t="inlineStr">
        <is>
          <t>12A</t>
        </is>
      </c>
    </row>
    <row r="69" ht="15.75" customHeight="1" s="108">
      <c r="A69" s="18" t="inlineStr">
        <is>
          <t>F0065</t>
        </is>
      </c>
      <c r="B69" s="18" t="inlineStr">
        <is>
          <t>Chef</t>
        </is>
      </c>
      <c r="C69" s="20" t="inlineStr">
        <is>
          <t>2014</t>
        </is>
      </c>
      <c r="D69" s="18" t="inlineStr">
        <is>
          <t>Blu-ray</t>
        </is>
      </c>
      <c r="E69" s="4" t="n"/>
      <c r="F69" s="19" t="n"/>
      <c r="G69" s="4" t="inlineStr">
        <is>
          <t>Yes</t>
        </is>
      </c>
      <c r="H69" s="4" t="inlineStr">
        <is>
          <t>⭐⭐⭐⭐⭐</t>
        </is>
      </c>
      <c r="I69" s="19" t="inlineStr">
        <is>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is>
      </c>
      <c r="J69" s="19" t="inlineStr">
        <is>
          <t>Jon Favreau</t>
        </is>
      </c>
      <c r="K69" s="19" t="n">
        <v>114</v>
      </c>
      <c r="L69" s="19" t="inlineStr">
        <is>
          <t>Comedy</t>
        </is>
      </c>
      <c r="M69" s="19" t="inlineStr">
        <is>
          <t>Altus Media, Fairview Entertainment, Prescience</t>
        </is>
      </c>
      <c r="N69" s="19" t="inlineStr">
        <is>
          <t>https://huggingface.co/datasets/HenryWaltson/TMDB-IMDB-Movies-Dataset</t>
        </is>
      </c>
      <c r="O69" s="19" t="inlineStr">
        <is>
          <t>https://huggingface.co/datasets/HenryWaltson/TMDB-IMDB-Movies-Dataset</t>
        </is>
      </c>
      <c r="P69" s="18" t="inlineStr">
        <is>
          <t>Jon Favreau</t>
        </is>
      </c>
      <c r="Q69" s="18" t="inlineStr">
        <is>
          <t>John Leguizamo</t>
        </is>
      </c>
      <c r="R69" s="18" t="inlineStr">
        <is>
          <t>Bobby Cannavale</t>
        </is>
      </c>
      <c r="S69" s="18" t="inlineStr">
        <is>
          <t>Emjay Anthony</t>
        </is>
      </c>
      <c r="T69" s="18" t="inlineStr">
        <is>
          <t>Scarlett Johansson</t>
        </is>
      </c>
      <c r="U69" s="24" t="n">
        <v>0</v>
      </c>
      <c r="V69" s="24" t="n">
        <v>0</v>
      </c>
      <c r="W69" s="4" t="n"/>
      <c r="X69" s="25">
        <f t="array" ref="X69">IFERROR(INDEX(Ratings!$E$5:$E$500,MATCH(A69,Ratings!$A$5:$A$500,0)),"")</f>
        <v/>
      </c>
      <c r="Y69" s="24">
        <f t="array" ref="Y69">IFERROR(INDEX(Ratings!$G$5:$G$500,MATCH(A69,Ratings!$A$5:$A$500,0)),"")</f>
        <v/>
      </c>
      <c r="Z69" s="26">
        <f t="array" ref="Z69">IFERROR(INDEX(Ratings!$I$5:$I$500,MATCH(A69,Ratings!$A$5:$A$500,0)),"")</f>
        <v/>
      </c>
      <c r="AA69" s="0" t="inlineStr">
        <is>
          <t>2026-08-18</t>
        </is>
      </c>
      <c r="AB69" s="18" t="inlineStr">
        <is>
          <t>15</t>
        </is>
      </c>
    </row>
    <row r="70" ht="15.75" customHeight="1" s="108">
      <c r="A70" s="18" t="inlineStr">
        <is>
          <t>F0066</t>
        </is>
      </c>
      <c r="B70" s="18" t="inlineStr">
        <is>
          <t>Clash of the Titans</t>
        </is>
      </c>
      <c r="C70" s="20" t="inlineStr">
        <is>
          <t>2010</t>
        </is>
      </c>
      <c r="D70" s="18" t="inlineStr">
        <is>
          <t>Blu-ray</t>
        </is>
      </c>
      <c r="E70" s="4" t="n"/>
      <c r="F70" s="19" t="n"/>
      <c r="G70" s="4" t="n"/>
      <c r="H70" s="4" t="n"/>
      <c r="I70" s="19" t="inlineStr">
        <is>
          <t>Best guess: 2010 remake.</t>
        </is>
      </c>
      <c r="J70" s="19" t="inlineStr">
        <is>
          <t>Louis Leterrier</t>
        </is>
      </c>
      <c r="K70" s="19" t="n">
        <v>106</v>
      </c>
      <c r="L70" s="19" t="inlineStr">
        <is>
          <t>Adventure, Fantasy, Action</t>
        </is>
      </c>
      <c r="M70" s="19" t="inlineStr">
        <is>
          <t>The Zanuck Company, Legendary Pictures, Thunder Road</t>
        </is>
      </c>
      <c r="N70" s="19" t="inlineStr">
        <is>
          <t>https://huggingface.co/datasets/HenryWaltson/TMDB-IMDB-Movies-Dataset</t>
        </is>
      </c>
      <c r="O70" s="19" t="inlineStr">
        <is>
          <t>https://huggingface.co/datasets/HenryWaltson/TMDB-IMDB-Movies-Dataset</t>
        </is>
      </c>
      <c r="P70" s="18" t="inlineStr">
        <is>
          <t>Sam Worthington</t>
        </is>
      </c>
      <c r="Q70" s="18" t="inlineStr">
        <is>
          <t>Gemma Arterton</t>
        </is>
      </c>
      <c r="R70" s="18" t="inlineStr">
        <is>
          <t>Mads Mikkelsen</t>
        </is>
      </c>
      <c r="S70" s="18" t="inlineStr">
        <is>
          <t>Alexa Davalos</t>
        </is>
      </c>
      <c r="T70" s="18" t="inlineStr">
        <is>
          <t>Jason Flemyng</t>
        </is>
      </c>
      <c r="U70" s="24" t="n">
        <v>0</v>
      </c>
      <c r="V70" s="24" t="n">
        <v>0</v>
      </c>
      <c r="W70" s="4" t="n"/>
      <c r="X70" s="25">
        <f t="array" ref="X70">IFERROR(INDEX(Ratings!$E$5:$E$500,MATCH(A70,Ratings!$A$5:$A$500,0)),"")</f>
        <v/>
      </c>
      <c r="Y70" s="24">
        <f t="array" ref="Y70">IFERROR(INDEX(Ratings!$G$5:$G$500,MATCH(A70,Ratings!$A$5:$A$500,0)),"")</f>
        <v/>
      </c>
      <c r="Z70" s="26">
        <f t="array" ref="Z70">IFERROR(INDEX(Ratings!$I$5:$I$500,MATCH(A70,Ratings!$A$5:$A$500,0)),"")</f>
        <v/>
      </c>
      <c r="AB70" s="18" t="inlineStr">
        <is>
          <t>12A</t>
        </is>
      </c>
    </row>
    <row r="71" ht="15.75" customHeight="1" s="108">
      <c r="A71" s="18" t="inlineStr">
        <is>
          <t>F0067</t>
        </is>
      </c>
      <c r="B71" s="18" t="inlineStr">
        <is>
          <t>Cloudy with a Chance of Meatballs 2</t>
        </is>
      </c>
      <c r="C71" s="20" t="inlineStr">
        <is>
          <t>2013</t>
        </is>
      </c>
      <c r="D71" s="18" t="inlineStr">
        <is>
          <t>Blu-ray</t>
        </is>
      </c>
      <c r="E71" s="18" t="inlineStr">
        <is>
          <t>Cloudy with a Chance of Meatballs</t>
        </is>
      </c>
      <c r="F71" s="19" t="n"/>
      <c r="G71" s="4" t="n"/>
      <c r="H71" s="4" t="n"/>
      <c r="I71" s="19" t="inlineStr">
        <is>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is>
      </c>
      <c r="J71" s="19" t="inlineStr">
        <is>
          <t>Cody Cameron, Kris Pearn</t>
        </is>
      </c>
      <c r="K71" s="19" t="n">
        <v>95</v>
      </c>
      <c r="L71" s="19" t="inlineStr">
        <is>
          <t>Animation, Family, Comedy</t>
        </is>
      </c>
      <c r="M71" s="19" t="inlineStr">
        <is>
          <t>Columbia Pictures, Sony Pictures Animation</t>
        </is>
      </c>
      <c r="N71" s="19" t="inlineStr">
        <is>
          <t>https://huggingface.co/datasets/HenryWaltson/TMDB-IMDB-Movies-Dataset</t>
        </is>
      </c>
      <c r="O71" s="19" t="inlineStr">
        <is>
          <t>https://huggingface.co/datasets/HenryWaltson/TMDB-IMDB-Movies-Dataset</t>
        </is>
      </c>
      <c r="P71" s="18" t="inlineStr">
        <is>
          <t>Bill Hader</t>
        </is>
      </c>
      <c r="Q71" s="18" t="inlineStr">
        <is>
          <t>Anna Faris</t>
        </is>
      </c>
      <c r="R71" s="18" t="inlineStr">
        <is>
          <t>James Caan</t>
        </is>
      </c>
      <c r="S71" s="18" t="inlineStr">
        <is>
          <t>Will Forte</t>
        </is>
      </c>
      <c r="T71" s="18" t="inlineStr">
        <is>
          <t>Andy Samberg</t>
        </is>
      </c>
      <c r="U71" s="24" t="n">
        <v>0</v>
      </c>
      <c r="V71" s="24" t="n">
        <v>0</v>
      </c>
      <c r="W71" s="4" t="n"/>
      <c r="X71" s="25">
        <f t="array" ref="X71">IFERROR(INDEX(Ratings!$E$5:$E$500,MATCH(A71,Ratings!$A$5:$A$500,0)),"")</f>
        <v/>
      </c>
      <c r="Y71" s="24">
        <f t="array" ref="Y71">IFERROR(INDEX(Ratings!$G$5:$G$500,MATCH(A71,Ratings!$A$5:$A$500,0)),"")</f>
        <v/>
      </c>
      <c r="Z71" s="26">
        <f t="array" ref="Z71">IFERROR(INDEX(Ratings!$I$5:$I$500,MATCH(A71,Ratings!$A$5:$A$500,0)),"")</f>
        <v/>
      </c>
      <c r="AB71" s="18" t="inlineStr">
        <is>
          <t>U</t>
        </is>
      </c>
    </row>
    <row r="72" ht="15.75" customHeight="1" s="108">
      <c r="A72" s="18" t="inlineStr">
        <is>
          <t>F0068</t>
        </is>
      </c>
      <c r="B72" s="18" t="inlineStr">
        <is>
          <t>Con Air</t>
        </is>
      </c>
      <c r="C72" s="20" t="inlineStr">
        <is>
          <t>1997</t>
        </is>
      </c>
      <c r="D72" s="18" t="inlineStr">
        <is>
          <t>Blu-ray</t>
        </is>
      </c>
      <c r="E72" s="4" t="n"/>
      <c r="F72" s="19" t="n"/>
      <c r="G72" s="4" t="n"/>
      <c r="H72" s="4" t="n"/>
      <c r="I72" s="19" t="inlineStr">
        <is>
          <t>Newly-paroled former US Army ranger Cameron Poe is headed back to his wife, but must fly home aboard a prison transport flight dubbed "Jailbird" taking the “worst of the worst” prisoners, a group described as “pure predators”, to a new super-prison. Poe faces impossible odds when the transport plane is skyjacked mid-flight by the most vicious criminals in the country led by the mastermind — genius serial killer Cyrus "The Virus" Grissom, and backed by black militant Diamond Dog and psychopath Billy Bedlam.</t>
        </is>
      </c>
      <c r="J72" s="19" t="inlineStr">
        <is>
          <t>Simon West</t>
        </is>
      </c>
      <c r="K72" s="19" t="n">
        <v>116</v>
      </c>
      <c r="L72" s="19" t="inlineStr">
        <is>
          <t>Action, Thriller, Crime</t>
        </is>
      </c>
      <c r="M72" s="19" t="inlineStr">
        <is>
          <t>Touchstone Pictures, Jerry Bruckheimer Films</t>
        </is>
      </c>
      <c r="N72" s="19" t="inlineStr">
        <is>
          <t>https://huggingface.co/datasets/HenryWaltson/TMDB-IMDB-Movies-Dataset</t>
        </is>
      </c>
      <c r="O72" s="19" t="inlineStr">
        <is>
          <t>https://huggingface.co/datasets/HenryWaltson/TMDB-IMDB-Movies-Dataset</t>
        </is>
      </c>
      <c r="P72" s="18" t="inlineStr">
        <is>
          <t>Nicolas Cage</t>
        </is>
      </c>
      <c r="Q72" s="18" t="inlineStr">
        <is>
          <t>John Cusack</t>
        </is>
      </c>
      <c r="R72" s="18" t="inlineStr">
        <is>
          <t>John Malkovich</t>
        </is>
      </c>
      <c r="S72" s="18" t="inlineStr">
        <is>
          <t>Ving Rhames</t>
        </is>
      </c>
      <c r="T72" s="18" t="inlineStr">
        <is>
          <t>Mykelti Williamson</t>
        </is>
      </c>
      <c r="U72" s="24" t="n">
        <v>2</v>
      </c>
      <c r="V72" s="24" t="n">
        <v>0</v>
      </c>
      <c r="W72" s="4" t="n"/>
      <c r="X72" s="25">
        <f t="array" ref="X72">IFERROR(INDEX(Ratings!$E$5:$E$500,MATCH(A72,Ratings!$A$5:$A$500,0)),"")</f>
        <v/>
      </c>
      <c r="Y72" s="24">
        <f t="array" ref="Y72">IFERROR(INDEX(Ratings!$G$5:$G$500,MATCH(A72,Ratings!$A$5:$A$500,0)),"")</f>
        <v/>
      </c>
      <c r="Z72" s="26">
        <f t="array" ref="Z72">IFERROR(INDEX(Ratings!$I$5:$I$500,MATCH(A72,Ratings!$A$5:$A$500,0)),"")</f>
        <v/>
      </c>
      <c r="AB72" s="18" t="inlineStr">
        <is>
          <t>15</t>
        </is>
      </c>
    </row>
    <row r="73" ht="15.75" customHeight="1" s="108">
      <c r="A73" s="18" t="inlineStr">
        <is>
          <t>F0069</t>
        </is>
      </c>
      <c r="B73" s="18" t="inlineStr">
        <is>
          <t>Cop Out</t>
        </is>
      </c>
      <c r="C73" s="20" t="inlineStr">
        <is>
          <t>2010</t>
        </is>
      </c>
      <c r="D73" s="18" t="inlineStr">
        <is>
          <t>Blu-ray</t>
        </is>
      </c>
      <c r="E73" s="4" t="n"/>
      <c r="F73" s="19" t="n"/>
      <c r="G73" s="4" t="n"/>
      <c r="H73" s="4" t="n"/>
      <c r="I73" s="19" t="inlineStr">
        <is>
          <t>Detectives Jimmy and Paul, despite nine years as partners, can still sometimes seem like polar opposites—especially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backup—except for each other.</t>
        </is>
      </c>
      <c r="J73" s="19" t="inlineStr">
        <is>
          <t>Kevin Smith</t>
        </is>
      </c>
      <c r="K73" s="19" t="n">
        <v>107</v>
      </c>
      <c r="L73" s="19" t="inlineStr">
        <is>
          <t>Action, Comedy, Crime</t>
        </is>
      </c>
      <c r="M73" s="19" t="inlineStr">
        <is>
          <t>Marc Platt Productions</t>
        </is>
      </c>
      <c r="N73" s="19" t="inlineStr">
        <is>
          <t>https://huggingface.co/datasets/HenryWaltson/TMDB-IMDB-Movies-Dataset</t>
        </is>
      </c>
      <c r="O73" s="19" t="inlineStr">
        <is>
          <t>https://huggingface.co/datasets/HenryWaltson/TMDB-IMDB-Movies-Dataset</t>
        </is>
      </c>
      <c r="P73" s="18" t="inlineStr">
        <is>
          <t>Bruce Willis</t>
        </is>
      </c>
      <c r="Q73" s="18" t="inlineStr">
        <is>
          <t>Tracy Morgan</t>
        </is>
      </c>
      <c r="R73" s="18" t="inlineStr">
        <is>
          <t>Seann William Scott</t>
        </is>
      </c>
      <c r="S73" s="18" t="inlineStr">
        <is>
          <t>Ana de la Reguera</t>
        </is>
      </c>
      <c r="T73" s="18" t="inlineStr">
        <is>
          <t>Adam Brody</t>
        </is>
      </c>
      <c r="U73" s="24" t="n">
        <v>0</v>
      </c>
      <c r="V73" s="24" t="n">
        <v>0</v>
      </c>
      <c r="W73" s="4" t="n"/>
      <c r="X73" s="25">
        <f t="array" ref="X73">IFERROR(INDEX(Ratings!$E$5:$E$500,MATCH(A73,Ratings!$A$5:$A$500,0)),"")</f>
        <v/>
      </c>
      <c r="Y73" s="24">
        <f t="array" ref="Y73">IFERROR(INDEX(Ratings!$G$5:$G$500,MATCH(A73,Ratings!$A$5:$A$500,0)),"")</f>
        <v/>
      </c>
      <c r="Z73" s="26">
        <f t="array" ref="Z73">IFERROR(INDEX(Ratings!$I$5:$I$500,MATCH(A73,Ratings!$A$5:$A$500,0)),"")</f>
        <v/>
      </c>
      <c r="AB73" s="18" t="inlineStr">
        <is>
          <t>15</t>
        </is>
      </c>
    </row>
    <row r="74" ht="15.75" customHeight="1" s="108">
      <c r="A74" s="18" t="inlineStr">
        <is>
          <t>F0070</t>
        </is>
      </c>
      <c r="B74" s="18" t="inlineStr">
        <is>
          <t>Shaun of the Dead</t>
        </is>
      </c>
      <c r="C74" s="20" t="inlineStr">
        <is>
          <t>2004</t>
        </is>
      </c>
      <c r="D74" s="18" t="inlineStr">
        <is>
          <t>Blu-ray</t>
        </is>
      </c>
      <c r="E74" s="18" t="inlineStr">
        <is>
          <t>Cornetto Trilogy</t>
        </is>
      </c>
      <c r="F74" s="19" t="inlineStr">
        <is>
          <t>Cornetto Trilogy (Box Set)</t>
        </is>
      </c>
      <c r="G74" s="4" t="n"/>
      <c r="H74" s="4" t="n"/>
      <c r="I74" s="19" t="inlineStr">
        <is>
          <t>Owned via Cornetto Trilogy (Box Set).</t>
        </is>
      </c>
      <c r="J74" s="19" t="inlineStr">
        <is>
          <t>Edgar Wright</t>
        </is>
      </c>
      <c r="K74" s="19" t="n">
        <v>99</v>
      </c>
      <c r="L74" s="19" t="inlineStr">
        <is>
          <t>Comedy, Horror</t>
        </is>
      </c>
      <c r="M74" s="19" t="inlineStr">
        <is>
          <t>StudioCanal, Working Title Films, Big Talk Productions</t>
        </is>
      </c>
      <c r="N74" s="19" t="inlineStr">
        <is>
          <t>https://huggingface.co/datasets/HenryWaltson/TMDB-IMDB-Movies-Dataset</t>
        </is>
      </c>
      <c r="O74" s="19" t="inlineStr">
        <is>
          <t>https://huggingface.co/datasets/HenryWaltson/TMDB-IMDB-Movies-Dataset</t>
        </is>
      </c>
      <c r="P74" s="18" t="inlineStr">
        <is>
          <t>Simon Pegg</t>
        </is>
      </c>
      <c r="Q74" s="18" t="inlineStr">
        <is>
          <t>Nick Frost</t>
        </is>
      </c>
      <c r="R74" s="18" t="inlineStr">
        <is>
          <t>Kate Ashfield</t>
        </is>
      </c>
      <c r="S74" s="18" t="inlineStr">
        <is>
          <t>Lucy Davis</t>
        </is>
      </c>
      <c r="T74" s="18" t="inlineStr">
        <is>
          <t>Dylan Moran</t>
        </is>
      </c>
      <c r="U74" s="24" t="n">
        <v>0</v>
      </c>
      <c r="V74" s="24" t="n">
        <v>0</v>
      </c>
      <c r="W74" s="4" t="n"/>
      <c r="X74" s="25">
        <f t="array" ref="X74">IFERROR(INDEX(Ratings!$E$5:$E$500,MATCH(A74,Ratings!$A$5:$A$500,0)),"")</f>
        <v/>
      </c>
      <c r="Y74" s="24">
        <f t="array" ref="Y74">IFERROR(INDEX(Ratings!$G$5:$G$500,MATCH(A74,Ratings!$A$5:$A$500,0)),"")</f>
        <v/>
      </c>
      <c r="Z74" s="26">
        <f t="array" ref="Z74">IFERROR(INDEX(Ratings!$I$5:$I$500,MATCH(A74,Ratings!$A$5:$A$500,0)),"")</f>
        <v/>
      </c>
      <c r="AB74" s="18" t="inlineStr">
        <is>
          <t>15</t>
        </is>
      </c>
    </row>
    <row r="75" ht="15.75" customHeight="1" s="108">
      <c r="A75" s="18" t="inlineStr">
        <is>
          <t>F0071</t>
        </is>
      </c>
      <c r="B75" s="18" t="inlineStr">
        <is>
          <t>Hot Fuzz</t>
        </is>
      </c>
      <c r="C75" s="20" t="inlineStr">
        <is>
          <t>2007</t>
        </is>
      </c>
      <c r="D75" s="18" t="inlineStr">
        <is>
          <t>Blu-ray</t>
        </is>
      </c>
      <c r="E75" s="18" t="inlineStr">
        <is>
          <t>Cornetto Trilogy</t>
        </is>
      </c>
      <c r="F75" s="19" t="inlineStr">
        <is>
          <t>Cornetto Trilogy (Box Set)</t>
        </is>
      </c>
      <c r="G75" s="4" t="n"/>
      <c r="H75" s="4" t="n"/>
      <c r="I75" s="19" t="inlineStr">
        <is>
          <t>Owned via Cornetto Trilogy (Box Set).</t>
        </is>
      </c>
      <c r="J75" s="19" t="inlineStr">
        <is>
          <t>Edgar Wright</t>
        </is>
      </c>
      <c r="K75" s="19" t="n">
        <v>121</v>
      </c>
      <c r="L75" s="19" t="inlineStr">
        <is>
          <t>Action, Comedy, Mystery</t>
        </is>
      </c>
      <c r="M75" s="19" t="inlineStr">
        <is>
          <t>Universal Pictures, StudioCanal, Working Title Films</t>
        </is>
      </c>
      <c r="N75" s="19" t="inlineStr">
        <is>
          <t>https://huggingface.co/datasets/HenryWaltson/TMDB-IMDB-Movies-Dataset</t>
        </is>
      </c>
      <c r="O75" s="19" t="inlineStr">
        <is>
          <t>https://huggingface.co/datasets/HenryWaltson/TMDB-IMDB-Movies-Dataset</t>
        </is>
      </c>
      <c r="P75" s="18" t="inlineStr">
        <is>
          <t>Simon Pegg</t>
        </is>
      </c>
      <c r="Q75" s="18" t="inlineStr">
        <is>
          <t>Nick Frost</t>
        </is>
      </c>
      <c r="R75" s="18" t="inlineStr">
        <is>
          <t>Jim Broadbent</t>
        </is>
      </c>
      <c r="S75" s="18" t="inlineStr">
        <is>
          <t>Paddy Considine</t>
        </is>
      </c>
      <c r="T75" s="18" t="inlineStr">
        <is>
          <t>Rafe Spall</t>
        </is>
      </c>
      <c r="U75" s="24" t="n">
        <v>0</v>
      </c>
      <c r="V75" s="24" t="n">
        <v>0</v>
      </c>
      <c r="W75" s="4" t="n"/>
      <c r="X75" s="25">
        <f t="array" ref="X75">IFERROR(INDEX(Ratings!$E$5:$E$500,MATCH(A75,Ratings!$A$5:$A$500,0)),"")</f>
        <v/>
      </c>
      <c r="Y75" s="24">
        <f t="array" ref="Y75">IFERROR(INDEX(Ratings!$G$5:$G$500,MATCH(A75,Ratings!$A$5:$A$500,0)),"")</f>
        <v/>
      </c>
      <c r="Z75" s="26">
        <f t="array" ref="Z75">IFERROR(INDEX(Ratings!$I$5:$I$500,MATCH(A75,Ratings!$A$5:$A$500,0)),"")</f>
        <v/>
      </c>
      <c r="AB75" s="18" t="inlineStr">
        <is>
          <t>15</t>
        </is>
      </c>
    </row>
    <row r="76" ht="15.75" customHeight="1" s="108">
      <c r="A76" s="18" t="inlineStr">
        <is>
          <t>F0072</t>
        </is>
      </c>
      <c r="B76" s="18" t="inlineStr">
        <is>
          <t>The World's End</t>
        </is>
      </c>
      <c r="C76" s="20" t="inlineStr">
        <is>
          <t>2013</t>
        </is>
      </c>
      <c r="D76" s="18" t="inlineStr">
        <is>
          <t>Blu-ray</t>
        </is>
      </c>
      <c r="E76" s="18" t="inlineStr">
        <is>
          <t>Cornetto Trilogy</t>
        </is>
      </c>
      <c r="F76" s="19" t="inlineStr">
        <is>
          <t>Cornetto Trilogy (Box Set)</t>
        </is>
      </c>
      <c r="G76" s="4" t="n"/>
      <c r="H76" s="4" t="n"/>
      <c r="I76" s="19" t="inlineStr">
        <is>
          <t>Owned via Cornetto Trilogy (Box Set).</t>
        </is>
      </c>
      <c r="J76" s="19" t="inlineStr">
        <is>
          <t>Edgar Wright</t>
        </is>
      </c>
      <c r="K76" s="19" t="n">
        <v>109</v>
      </c>
      <c r="L76" s="19" t="inlineStr">
        <is>
          <t>Comedy, Science Fiction</t>
        </is>
      </c>
      <c r="M76" s="19" t="inlineStr">
        <is>
          <t>Universal Pictures, Focus Features, Working Title Films</t>
        </is>
      </c>
      <c r="N76" s="19" t="inlineStr">
        <is>
          <t>https://huggingface.co/datasets/HenryWaltson/TMDB-IMDB-Movies-Dataset</t>
        </is>
      </c>
      <c r="O76" s="19" t="inlineStr">
        <is>
          <t>https://huggingface.co/datasets/HenryWaltson/TMDB-IMDB-Movies-Dataset</t>
        </is>
      </c>
      <c r="P76" s="18" t="inlineStr">
        <is>
          <t>Simon Pegg</t>
        </is>
      </c>
      <c r="Q76" s="18" t="inlineStr">
        <is>
          <t>Nick Frost</t>
        </is>
      </c>
      <c r="R76" s="18" t="inlineStr">
        <is>
          <t>Martin Freeman</t>
        </is>
      </c>
      <c r="S76" s="18" t="inlineStr">
        <is>
          <t>Paddy Considine</t>
        </is>
      </c>
      <c r="T76" s="18" t="inlineStr">
        <is>
          <t>Eddie Marsan</t>
        </is>
      </c>
      <c r="U76" s="24" t="n">
        <v>0</v>
      </c>
      <c r="V76" s="24" t="n">
        <v>0</v>
      </c>
      <c r="W76" s="4" t="n"/>
      <c r="X76" s="25">
        <f t="array" ref="X76">IFERROR(INDEX(Ratings!$E$5:$E$500,MATCH(A76,Ratings!$A$5:$A$500,0)),"")</f>
        <v/>
      </c>
      <c r="Y76" s="24">
        <f t="array" ref="Y76">IFERROR(INDEX(Ratings!$G$5:$G$500,MATCH(A76,Ratings!$A$5:$A$500,0)),"")</f>
        <v/>
      </c>
      <c r="Z76" s="26">
        <f t="array" ref="Z76">IFERROR(INDEX(Ratings!$I$5:$I$500,MATCH(A76,Ratings!$A$5:$A$500,0)),"")</f>
        <v/>
      </c>
      <c r="AB76" s="18" t="inlineStr">
        <is>
          <t>15</t>
        </is>
      </c>
    </row>
    <row r="77" ht="15.75" customHeight="1" s="108">
      <c r="A77" s="18" t="inlineStr">
        <is>
          <t>F0073</t>
        </is>
      </c>
      <c r="B77" s="18" t="inlineStr">
        <is>
          <t>Cowboys &amp; Aliens</t>
        </is>
      </c>
      <c r="C77" s="20" t="inlineStr">
        <is>
          <t>2011</t>
        </is>
      </c>
      <c r="D77" s="18" t="inlineStr">
        <is>
          <t>Blu-ray</t>
        </is>
      </c>
      <c r="E77" s="4" t="n"/>
      <c r="F77" s="19" t="n"/>
      <c r="G77" s="4" t="n"/>
      <c r="H77" s="4" t="n"/>
      <c r="I77" s="19" t="inlineStr">
        <is>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is>
      </c>
      <c r="J77" s="19" t="inlineStr">
        <is>
          <t>Jon Favreau</t>
        </is>
      </c>
      <c r="K77" s="19" t="n">
        <v>119</v>
      </c>
      <c r="L77" s="19" t="inlineStr">
        <is>
          <t>Action, Science Fiction, Thriller, Western</t>
        </is>
      </c>
      <c r="M77" s="19" t="inlineStr">
        <is>
          <t>DreamWorks Pictures, Universal Pictures, Reliance Entertainment</t>
        </is>
      </c>
      <c r="N77" s="19" t="inlineStr">
        <is>
          <t>https://huggingface.co/datasets/HenryWaltson/TMDB-IMDB-Movies-Dataset</t>
        </is>
      </c>
      <c r="O77" s="19" t="inlineStr">
        <is>
          <t>https://huggingface.co/datasets/HenryWaltson/TMDB-IMDB-Movies-Dataset</t>
        </is>
      </c>
      <c r="P77" s="18" t="inlineStr">
        <is>
          <t>Daniel Craig</t>
        </is>
      </c>
      <c r="Q77" s="18" t="inlineStr">
        <is>
          <t>Harrison Ford</t>
        </is>
      </c>
      <c r="R77" s="18" t="inlineStr">
        <is>
          <t>Olivia Wilde</t>
        </is>
      </c>
      <c r="S77" s="18" t="inlineStr">
        <is>
          <t>Sam Rockwell</t>
        </is>
      </c>
      <c r="T77" s="18" t="inlineStr">
        <is>
          <t>Adam Beach</t>
        </is>
      </c>
      <c r="U77" s="24" t="n">
        <v>0</v>
      </c>
      <c r="V77" s="24" t="n">
        <v>0</v>
      </c>
      <c r="W77" s="4" t="n"/>
      <c r="X77" s="25">
        <f t="array" ref="X77">IFERROR(INDEX(Ratings!$E$5:$E$500,MATCH(A77,Ratings!$A$5:$A$500,0)),"")</f>
        <v/>
      </c>
      <c r="Y77" s="24">
        <f t="array" ref="Y77">IFERROR(INDEX(Ratings!$G$5:$G$500,MATCH(A77,Ratings!$A$5:$A$500,0)),"")</f>
        <v/>
      </c>
      <c r="Z77" s="26">
        <f t="array" ref="Z77">IFERROR(INDEX(Ratings!$I$5:$I$500,MATCH(A77,Ratings!$A$5:$A$500,0)),"")</f>
        <v/>
      </c>
      <c r="AB77" s="18" t="inlineStr">
        <is>
          <t>12A</t>
        </is>
      </c>
    </row>
    <row r="78" ht="15.75" customHeight="1" s="108">
      <c r="A78" s="18" t="inlineStr">
        <is>
          <t>F0074</t>
        </is>
      </c>
      <c r="B78" s="18" t="inlineStr">
        <is>
          <t>Creed</t>
        </is>
      </c>
      <c r="C78" s="20" t="inlineStr">
        <is>
          <t>2015</t>
        </is>
      </c>
      <c r="D78" s="18" t="inlineStr">
        <is>
          <t>Blu-ray</t>
        </is>
      </c>
      <c r="E78" s="4" t="n"/>
      <c r="F78" s="19" t="n"/>
      <c r="G78" s="4" t="n"/>
      <c r="H78" s="4" t="n"/>
      <c r="I78" s="19" t="inlineStr">
        <is>
          <t>The former World Heavyweight Champion Rocky Balboa serves as a trainer and mentor to Adonis Johnson, the son of his late friend and former rival Apollo Creed.</t>
        </is>
      </c>
      <c r="J78" s="19" t="inlineStr">
        <is>
          <t>Ryan Coogler</t>
        </is>
      </c>
      <c r="K78" s="19" t="n">
        <v>133</v>
      </c>
      <c r="L78" s="19" t="inlineStr">
        <is>
          <t>Action, Drama</t>
        </is>
      </c>
      <c r="M78" s="19" t="inlineStr">
        <is>
          <t>Metro-Goldwyn-Mayer, New Line Cinema, Chartoff-Winkler Productions</t>
        </is>
      </c>
      <c r="N78" s="19" t="inlineStr">
        <is>
          <t>https://huggingface.co/datasets/HenryWaltson/TMDB-IMDB-Movies-Dataset</t>
        </is>
      </c>
      <c r="O78" s="19" t="inlineStr">
        <is>
          <t>https://huggingface.co/datasets/HenryWaltson/TMDB-IMDB-Movies-Dataset</t>
        </is>
      </c>
      <c r="P78" s="18" t="inlineStr">
        <is>
          <t>Michael B. Jordan</t>
        </is>
      </c>
      <c r="Q78" s="18" t="inlineStr">
        <is>
          <t>Sylvester Stallone</t>
        </is>
      </c>
      <c r="R78" s="18" t="inlineStr">
        <is>
          <t>Tessa Thompson</t>
        </is>
      </c>
      <c r="S78" s="18" t="inlineStr">
        <is>
          <t>Phylicia Rashād</t>
        </is>
      </c>
      <c r="T78" s="18" t="inlineStr">
        <is>
          <t>Andre Ward</t>
        </is>
      </c>
      <c r="U78" s="24" t="n">
        <v>1</v>
      </c>
      <c r="V78" s="24" t="n">
        <v>0</v>
      </c>
      <c r="W78" s="4" t="n"/>
      <c r="X78" s="25">
        <f t="array" ref="X78">IFERROR(INDEX(Ratings!$E$5:$E$500,MATCH(A78,Ratings!$A$5:$A$500,0)),"")</f>
        <v/>
      </c>
      <c r="Y78" s="24">
        <f t="array" ref="Y78">IFERROR(INDEX(Ratings!$G$5:$G$500,MATCH(A78,Ratings!$A$5:$A$500,0)),"")</f>
        <v/>
      </c>
      <c r="Z78" s="26">
        <f t="array" ref="Z78">IFERROR(INDEX(Ratings!$I$5:$I$500,MATCH(A78,Ratings!$A$5:$A$500,0)),"")</f>
        <v/>
      </c>
      <c r="AB78" s="18" t="inlineStr">
        <is>
          <t>12A</t>
        </is>
      </c>
    </row>
    <row r="79" ht="15.75" customHeight="1" s="108">
      <c r="A79" s="18" t="inlineStr">
        <is>
          <t>F0075</t>
        </is>
      </c>
      <c r="B79" s="18" t="inlineStr">
        <is>
          <t>The Croods</t>
        </is>
      </c>
      <c r="C79" s="20" t="inlineStr">
        <is>
          <t>2013</t>
        </is>
      </c>
      <c r="D79" s="18" t="inlineStr">
        <is>
          <t>Blu-ray</t>
        </is>
      </c>
      <c r="E79" s="18" t="inlineStr">
        <is>
          <t>The Croods</t>
        </is>
      </c>
      <c r="F79" s="19" t="n"/>
      <c r="G79" s="4" t="n"/>
      <c r="H79" s="4" t="n"/>
      <c r="I79" s="19" t="inlineStr">
        <is>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is>
      </c>
      <c r="J79" s="19" t="inlineStr">
        <is>
          <t>Kirk DeMicco, Chris Sanders</t>
        </is>
      </c>
      <c r="K79" s="19" t="n">
        <v>98</v>
      </c>
      <c r="L79" s="19" t="inlineStr">
        <is>
          <t>Animation, Adventure, Family, Fantasy, Comedy, Action</t>
        </is>
      </c>
      <c r="M79" s="19" t="inlineStr">
        <is>
          <t>DreamWorks Animation, 20th Century Fox</t>
        </is>
      </c>
      <c r="N79" s="19" t="inlineStr">
        <is>
          <t>https://huggingface.co/datasets/HenryWaltson/TMDB-IMDB-Movies-Dataset</t>
        </is>
      </c>
      <c r="O79" s="19" t="inlineStr">
        <is>
          <t>https://huggingface.co/datasets/HenryWaltson/TMDB-IMDB-Movies-Dataset</t>
        </is>
      </c>
      <c r="P79" s="18" t="inlineStr">
        <is>
          <t>Nicolas Cage</t>
        </is>
      </c>
      <c r="Q79" s="18" t="inlineStr">
        <is>
          <t>Emma Stone</t>
        </is>
      </c>
      <c r="R79" s="18" t="inlineStr">
        <is>
          <t>Ryan Reynolds</t>
        </is>
      </c>
      <c r="S79" s="18" t="inlineStr">
        <is>
          <t>Catherine Keener</t>
        </is>
      </c>
      <c r="T79" s="18" t="inlineStr">
        <is>
          <t>Cloris Leachman</t>
        </is>
      </c>
      <c r="U79" s="24" t="n">
        <v>1</v>
      </c>
      <c r="V79" s="24" t="n">
        <v>0</v>
      </c>
      <c r="W79" s="4" t="n"/>
      <c r="X79" s="25">
        <f t="array" ref="X79">IFERROR(INDEX(Ratings!$E$5:$E$500,MATCH(A79,Ratings!$A$5:$A$500,0)),"")</f>
        <v/>
      </c>
      <c r="Y79" s="24">
        <f t="array" ref="Y79">IFERROR(INDEX(Ratings!$G$5:$G$500,MATCH(A79,Ratings!$A$5:$A$500,0)),"")</f>
        <v/>
      </c>
      <c r="Z79" s="26">
        <f t="array" ref="Z79">IFERROR(INDEX(Ratings!$I$5:$I$500,MATCH(A79,Ratings!$A$5:$A$500,0)),"")</f>
        <v/>
      </c>
      <c r="AB79" s="18" t="inlineStr">
        <is>
          <t>U</t>
        </is>
      </c>
    </row>
    <row r="80" ht="15.75" customHeight="1" s="108">
      <c r="A80" s="18" t="inlineStr">
        <is>
          <t>F0076</t>
        </is>
      </c>
      <c r="B80" s="18" t="inlineStr">
        <is>
          <t>Deadpool</t>
        </is>
      </c>
      <c r="C80" s="20" t="inlineStr">
        <is>
          <t>2016</t>
        </is>
      </c>
      <c r="D80" s="18" t="inlineStr">
        <is>
          <t>Blu-ray</t>
        </is>
      </c>
      <c r="E80" s="18" t="inlineStr">
        <is>
          <t>Deadpool / X-Men</t>
        </is>
      </c>
      <c r="F80" s="19" t="n"/>
      <c r="G80" s="4" t="inlineStr">
        <is>
          <t>Yes</t>
        </is>
      </c>
      <c r="H80" s="4" t="inlineStr">
        <is>
          <t>⭐⭐⭐⭐⭐</t>
        </is>
      </c>
      <c r="I80" s="19" t="inlineStr">
        <is>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is>
      </c>
      <c r="J80" s="19" t="inlineStr">
        <is>
          <t>Tim Miller</t>
        </is>
      </c>
      <c r="K80" s="19" t="n">
        <v>108</v>
      </c>
      <c r="L80" s="19" t="inlineStr">
        <is>
          <t>Action, Adventure, Comedy</t>
        </is>
      </c>
      <c r="M80" s="19" t="inlineStr">
        <is>
          <t>20th Century Fox, The Donners' Company, Genre Films</t>
        </is>
      </c>
      <c r="N80" s="19" t="inlineStr">
        <is>
          <t>https://huggingface.co/datasets/HenryWaltson/TMDB-IMDB-Movies-Dataset</t>
        </is>
      </c>
      <c r="O80" s="19" t="inlineStr">
        <is>
          <t>https://huggingface.co/datasets/HenryWaltson/TMDB-IMDB-Movies-Dataset</t>
        </is>
      </c>
      <c r="P80" s="18" t="inlineStr">
        <is>
          <t>Ryan Reynolds</t>
        </is>
      </c>
      <c r="Q80" s="18" t="inlineStr">
        <is>
          <t>Morena Baccarin</t>
        </is>
      </c>
      <c r="R80" s="18" t="inlineStr">
        <is>
          <t>Ed Skrein</t>
        </is>
      </c>
      <c r="S80" s="18" t="inlineStr">
        <is>
          <t>T.J. Miller</t>
        </is>
      </c>
      <c r="T80" s="18" t="inlineStr">
        <is>
          <t>Gina Carano</t>
        </is>
      </c>
      <c r="U80" s="24" t="n">
        <v>0</v>
      </c>
      <c r="V80" s="24" t="n">
        <v>0</v>
      </c>
      <c r="W80" s="4" t="n"/>
      <c r="X80" s="25">
        <f t="array" ref="X80">IFERROR(INDEX(Ratings!$E$5:$E$500,MATCH(A80,Ratings!$A$5:$A$500,0)),"")</f>
        <v/>
      </c>
      <c r="Y80" s="24">
        <f t="array" ref="Y80">IFERROR(INDEX(Ratings!$G$5:$G$500,MATCH(A80,Ratings!$A$5:$A$500,0)),"")</f>
        <v/>
      </c>
      <c r="Z80" s="26">
        <f t="array" ref="Z80">IFERROR(INDEX(Ratings!$I$5:$I$500,MATCH(A80,Ratings!$A$5:$A$500,0)),"")</f>
        <v/>
      </c>
      <c r="AA80" s="0" t="inlineStr">
        <is>
          <t>2026-09-03</t>
        </is>
      </c>
      <c r="AB80" s="18" t="inlineStr">
        <is>
          <t>15</t>
        </is>
      </c>
    </row>
    <row r="81" ht="15.75" customHeight="1" s="108">
      <c r="A81" s="18" t="inlineStr">
        <is>
          <t>F0077</t>
        </is>
      </c>
      <c r="B81" s="18" t="inlineStr">
        <is>
          <t>Deadpool 2</t>
        </is>
      </c>
      <c r="C81" s="20" t="inlineStr">
        <is>
          <t>2018</t>
        </is>
      </c>
      <c r="D81" s="18" t="inlineStr">
        <is>
          <t>4K UHD</t>
        </is>
      </c>
      <c r="E81" s="18" t="inlineStr">
        <is>
          <t>Deadpool / X-Men</t>
        </is>
      </c>
      <c r="F81" s="19" t="n"/>
      <c r="G81" s="4" t="inlineStr">
        <is>
          <t>Yes</t>
        </is>
      </c>
      <c r="H81" s="4" t="inlineStr">
        <is>
          <t>⭐⭐⭐⭐⭐</t>
        </is>
      </c>
      <c r="I81" s="19" t="inlineStr">
        <is>
          <t>Wisecracking mercenary Deadpool battles the evil and powerful Cable and other bad guys to save a boy's life.</t>
        </is>
      </c>
      <c r="J81" s="19" t="inlineStr">
        <is>
          <t>David Leitch</t>
        </is>
      </c>
      <c r="K81" s="19" t="n">
        <v>120</v>
      </c>
      <c r="L81" s="19" t="inlineStr">
        <is>
          <t>Action, Comedy, Adventure</t>
        </is>
      </c>
      <c r="M81" s="19" t="inlineStr">
        <is>
          <t>Maximum Effort, Genre Films, 20th Century Fox</t>
        </is>
      </c>
      <c r="N81" s="19" t="inlineStr">
        <is>
          <t>https://huggingface.co/datasets/HenryWaltson/TMDB-IMDB-Movies-Dataset</t>
        </is>
      </c>
      <c r="O81" s="19" t="inlineStr">
        <is>
          <t>https://huggingface.co/datasets/HenryWaltson/TMDB-IMDB-Movies-Dataset</t>
        </is>
      </c>
      <c r="P81" s="18" t="inlineStr">
        <is>
          <t>Ryan Reynolds</t>
        </is>
      </c>
      <c r="Q81" s="18" t="inlineStr">
        <is>
          <t>Josh Brolin</t>
        </is>
      </c>
      <c r="R81" s="18" t="inlineStr">
        <is>
          <t>Morena Baccarin</t>
        </is>
      </c>
      <c r="S81" s="18" t="inlineStr">
        <is>
          <t>Julian Dennison</t>
        </is>
      </c>
      <c r="T81" s="18" t="inlineStr">
        <is>
          <t>Zazie Beetz</t>
        </is>
      </c>
      <c r="U81" s="24" t="n">
        <v>0</v>
      </c>
      <c r="V81" s="24" t="n">
        <v>0</v>
      </c>
      <c r="W81" s="4" t="n"/>
      <c r="X81" s="25">
        <f t="array" ref="X81">IFERROR(INDEX(Ratings!$E$5:$E$500,MATCH(A81,Ratings!$A$5:$A$500,0)),"")</f>
        <v/>
      </c>
      <c r="Y81" s="24">
        <f t="array" ref="Y81">IFERROR(INDEX(Ratings!$G$5:$G$500,MATCH(A81,Ratings!$A$5:$A$500,0)),"")</f>
        <v/>
      </c>
      <c r="Z81" s="26">
        <f t="array" ref="Z81">IFERROR(INDEX(Ratings!$I$5:$I$500,MATCH(A81,Ratings!$A$5:$A$500,0)),"")</f>
        <v/>
      </c>
      <c r="AA81" s="0" t="inlineStr">
        <is>
          <t>2026-09-05</t>
        </is>
      </c>
      <c r="AB81" s="18" t="inlineStr">
        <is>
          <t>15</t>
        </is>
      </c>
    </row>
    <row r="82" ht="15.75" customHeight="1" s="108">
      <c r="A82" s="18" t="inlineStr">
        <is>
          <t>F0078</t>
        </is>
      </c>
      <c r="B82" s="18" t="inlineStr">
        <is>
          <t>Deadpool &amp; Wolverine</t>
        </is>
      </c>
      <c r="C82" s="20" t="inlineStr">
        <is>
          <t>2024</t>
        </is>
      </c>
      <c r="D82" s="18" t="inlineStr">
        <is>
          <t>4K UHD</t>
        </is>
      </c>
      <c r="E82" s="18" t="inlineStr">
        <is>
          <t>X-Men</t>
        </is>
      </c>
      <c r="F82" s="19" t="n"/>
      <c r="G82" s="4" t="inlineStr">
        <is>
          <t>Yes</t>
        </is>
      </c>
      <c r="H82" s="4" t="inlineStr">
        <is>
          <t>⭐⭐⭐⭐⭐</t>
        </is>
      </c>
      <c r="I82" s="19" t="inlineStr">
        <is>
          <t>A listless Wade Wilson toils away in civilian life with his days as the morally flexible mercenary, Deadpool, behind him. But when his homeworld faces an existential threat, Wade must reluctantly suit-up again with an even more reluctant Wolverine.</t>
        </is>
      </c>
      <c r="J82" s="19" t="inlineStr">
        <is>
          <t>Shawn Levy</t>
        </is>
      </c>
      <c r="K82" s="19" t="n">
        <v>128</v>
      </c>
      <c r="L82" s="19" t="inlineStr">
        <is>
          <t>Action, Comedy, Science Fiction</t>
        </is>
      </c>
      <c r="M82" s="19" t="inlineStr">
        <is>
          <t>Marvel Studios, Maximum Effort, 21 Laps Entertainment</t>
        </is>
      </c>
      <c r="N82" s="19" t="inlineStr">
        <is>
          <t>https://huggingface.co/datasets/HenryWaltson/TMDB-IMDB-Movies-Dataset</t>
        </is>
      </c>
      <c r="O82" s="19" t="inlineStr">
        <is>
          <t>https://huggingface.co/datasets/HenryWaltson/TMDB-IMDB-Movies-Dataset</t>
        </is>
      </c>
      <c r="P82" s="18" t="inlineStr">
        <is>
          <t>Ryan Reynolds</t>
        </is>
      </c>
      <c r="Q82" s="18" t="inlineStr">
        <is>
          <t>Hugh Jackman</t>
        </is>
      </c>
      <c r="R82" s="18" t="inlineStr">
        <is>
          <t>Emma Corrin</t>
        </is>
      </c>
      <c r="S82" s="18" t="inlineStr">
        <is>
          <t>Matthew Macfadyen</t>
        </is>
      </c>
      <c r="T82" s="18" t="inlineStr">
        <is>
          <t>Dafne Keen</t>
        </is>
      </c>
      <c r="U82" s="24" t="n">
        <v>0</v>
      </c>
      <c r="V82" s="24" t="n">
        <v>0</v>
      </c>
      <c r="W82" s="4" t="n"/>
      <c r="X82" s="25">
        <f t="array" ref="X82">IFERROR(INDEX(Ratings!$E$5:$E$500,MATCH(A82,Ratings!$A$5:$A$500,0)),"")</f>
        <v/>
      </c>
      <c r="Y82" s="24">
        <f t="array" ref="Y82">IFERROR(INDEX(Ratings!$G$5:$G$500,MATCH(A82,Ratings!$A$5:$A$500,0)),"")</f>
        <v/>
      </c>
      <c r="Z82" s="26">
        <f t="array" ref="Z82">IFERROR(INDEX(Ratings!$I$5:$I$500,MATCH(A82,Ratings!$A$5:$A$500,0)),"")</f>
        <v/>
      </c>
      <c r="AA82" s="0" t="inlineStr">
        <is>
          <t>2026-09-06</t>
        </is>
      </c>
      <c r="AB82" s="18" t="inlineStr">
        <is>
          <t>15</t>
        </is>
      </c>
    </row>
    <row r="83" ht="15.75" customHeight="1" s="108">
      <c r="A83" s="18" t="inlineStr">
        <is>
          <t>F0079</t>
        </is>
      </c>
      <c r="B83" s="18" t="inlineStr">
        <is>
          <t>Dear John</t>
        </is>
      </c>
      <c r="C83" s="20" t="inlineStr">
        <is>
          <t>2010</t>
        </is>
      </c>
      <c r="D83" s="18" t="inlineStr">
        <is>
          <t>Blu-ray</t>
        </is>
      </c>
      <c r="E83" s="4" t="n"/>
      <c r="F83" s="19" t="n"/>
      <c r="G83" s="4" t="n"/>
      <c r="H83" s="4" t="n"/>
      <c r="I83" s="19" t="inlineStr">
        <is>
          <t>While Sergeant John Tyree is home on two weeks leave from Germany, he meets Savannah after he dives into the ocean to retrieve Savannah's purse that had fallen off a pier. John eventually falls in love with Savannah, who promises to write to him until he returns from overseas.</t>
        </is>
      </c>
      <c r="J83" s="19" t="inlineStr">
        <is>
          <t>Lasse Hallström</t>
        </is>
      </c>
      <c r="K83" s="19" t="n">
        <v>108</v>
      </c>
      <c r="L83" s="19" t="inlineStr">
        <is>
          <t>Drama, Romance, War</t>
        </is>
      </c>
      <c r="M83" s="19" t="inlineStr">
        <is>
          <t>Screen Gems, Relativity Media, Temple Hill Entertainment</t>
        </is>
      </c>
      <c r="N83" s="19" t="inlineStr">
        <is>
          <t>https://huggingface.co/datasets/HenryWaltson/TMDB-IMDB-Movies-Dataset</t>
        </is>
      </c>
      <c r="O83" s="19" t="inlineStr">
        <is>
          <t>https://huggingface.co/datasets/HenryWaltson/TMDB-IMDB-Movies-Dataset</t>
        </is>
      </c>
      <c r="P83" s="18" t="inlineStr">
        <is>
          <t>Amanda Seyfried</t>
        </is>
      </c>
      <c r="Q83" s="18" t="inlineStr">
        <is>
          <t>Channing Tatum</t>
        </is>
      </c>
      <c r="R83" s="18" t="inlineStr">
        <is>
          <t>Richard Jenkins</t>
        </is>
      </c>
      <c r="S83" s="18" t="inlineStr">
        <is>
          <t>Henry Thomas</t>
        </is>
      </c>
      <c r="T83" s="18" t="inlineStr">
        <is>
          <t>D.J. Cotrona</t>
        </is>
      </c>
      <c r="U83" s="24" t="n">
        <v>0</v>
      </c>
      <c r="V83" s="24" t="n">
        <v>0</v>
      </c>
      <c r="W83" s="4" t="n"/>
      <c r="X83" s="25">
        <f t="array" ref="X83">IFERROR(INDEX(Ratings!$E$5:$E$500,MATCH(A83,Ratings!$A$5:$A$500,0)),"")</f>
        <v/>
      </c>
      <c r="Y83" s="24">
        <f t="array" ref="Y83">IFERROR(INDEX(Ratings!$G$5:$G$500,MATCH(A83,Ratings!$A$5:$A$500,0)),"")</f>
        <v/>
      </c>
      <c r="Z83" s="26">
        <f t="array" ref="Z83">IFERROR(INDEX(Ratings!$I$5:$I$500,MATCH(A83,Ratings!$A$5:$A$500,0)),"")</f>
        <v/>
      </c>
      <c r="AB83" s="18" t="inlineStr">
        <is>
          <t>12A</t>
        </is>
      </c>
    </row>
    <row r="84" ht="15.75" customHeight="1" s="108">
      <c r="A84" s="18" t="inlineStr">
        <is>
          <t>F0080</t>
        </is>
      </c>
      <c r="B84" s="18" t="inlineStr">
        <is>
          <t>Delivery Man</t>
        </is>
      </c>
      <c r="C84" s="20" t="inlineStr">
        <is>
          <t>2013</t>
        </is>
      </c>
      <c r="D84" s="18" t="inlineStr">
        <is>
          <t>Blu-ray</t>
        </is>
      </c>
      <c r="E84" s="4" t="n"/>
      <c r="F84" s="19" t="n"/>
      <c r="G84" s="4" t="n"/>
      <c r="H84" s="4" t="n"/>
      <c r="I84" s="19" t="inlineStr">
        <is>
          <t>An affable underachiever finds out he's fathered 533 children through anonymous donations to a fertility clinic 20 years ago. Now he must decide whether or not to come forward when 142 of them file a lawsuit to reveal his identity.</t>
        </is>
      </c>
      <c r="J84" s="19" t="inlineStr">
        <is>
          <t>Ken Scott</t>
        </is>
      </c>
      <c r="K84" s="19" t="n">
        <v>105</v>
      </c>
      <c r="L84" s="19" t="inlineStr">
        <is>
          <t>Comedy</t>
        </is>
      </c>
      <c r="M84" s="19" t="inlineStr">
        <is>
          <t>Touchstone Pictures, DreamWorks Pictures, Reliance Entertainment</t>
        </is>
      </c>
      <c r="N84" s="19" t="inlineStr">
        <is>
          <t>https://huggingface.co/datasets/HenryWaltson/TMDB-IMDB-Movies-Dataset</t>
        </is>
      </c>
      <c r="O84" s="19" t="inlineStr">
        <is>
          <t>https://huggingface.co/datasets/HenryWaltson/TMDB-IMDB-Movies-Dataset</t>
        </is>
      </c>
      <c r="P84" s="18" t="inlineStr">
        <is>
          <t>Vince Vaughn</t>
        </is>
      </c>
      <c r="Q84" s="18" t="inlineStr">
        <is>
          <t>Cobie Smulders</t>
        </is>
      </c>
      <c r="R84" s="18" t="inlineStr">
        <is>
          <t>Chris Pratt</t>
        </is>
      </c>
      <c r="S84" s="18" t="inlineStr">
        <is>
          <t>Britt Robertson</t>
        </is>
      </c>
      <c r="T84" s="18" t="inlineStr">
        <is>
          <t>Jack Reynor</t>
        </is>
      </c>
      <c r="U84" s="24" t="n">
        <v>0</v>
      </c>
      <c r="V84" s="24" t="n">
        <v>0</v>
      </c>
      <c r="W84" s="4" t="n"/>
      <c r="X84" s="25">
        <f t="array" ref="X84">IFERROR(INDEX(Ratings!$E$5:$E$500,MATCH(A84,Ratings!$A$5:$A$500,0)),"")</f>
        <v/>
      </c>
      <c r="Y84" s="24">
        <f t="array" ref="Y84">IFERROR(INDEX(Ratings!$G$5:$G$500,MATCH(A84,Ratings!$A$5:$A$500,0)),"")</f>
        <v/>
      </c>
      <c r="Z84" s="26">
        <f t="array" ref="Z84">IFERROR(INDEX(Ratings!$I$5:$I$500,MATCH(A84,Ratings!$A$5:$A$500,0)),"")</f>
        <v/>
      </c>
      <c r="AB84" s="18" t="inlineStr">
        <is>
          <t>12A</t>
        </is>
      </c>
    </row>
    <row r="85" ht="15.75" customHeight="1" s="108">
      <c r="A85" s="18" t="inlineStr">
        <is>
          <t>F0081</t>
        </is>
      </c>
      <c r="B85" s="18" t="inlineStr">
        <is>
          <t>The Departed</t>
        </is>
      </c>
      <c r="C85" s="20" t="inlineStr">
        <is>
          <t>2006</t>
        </is>
      </c>
      <c r="D85" s="18" t="inlineStr">
        <is>
          <t>Blu-ray</t>
        </is>
      </c>
      <c r="E85" s="4" t="n"/>
      <c r="F85" s="19" t="n"/>
      <c r="G85" s="4" t="n"/>
      <c r="H85" s="4" t="n"/>
      <c r="I85" s="19" t="inlineStr">
        <is>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is>
      </c>
      <c r="J85" s="19" t="inlineStr">
        <is>
          <t>Martin Scorsese</t>
        </is>
      </c>
      <c r="K85" s="19" t="n">
        <v>151</v>
      </c>
      <c r="L85" s="19" t="inlineStr">
        <is>
          <t>Drama, Thriller, Crime</t>
        </is>
      </c>
      <c r="M85" s="19" t="inlineStr">
        <is>
          <t>Vertigo Entertainment, Media Asia Films, Initial Entertainment Group</t>
        </is>
      </c>
      <c r="N85" s="19" t="inlineStr">
        <is>
          <t>https://huggingface.co/datasets/HenryWaltson/TMDB-IMDB-Movies-Dataset</t>
        </is>
      </c>
      <c r="O85" s="19" t="inlineStr">
        <is>
          <t>https://huggingface.co/datasets/HenryWaltson/TMDB-IMDB-Movies-Dataset</t>
        </is>
      </c>
      <c r="P85" s="18" t="inlineStr">
        <is>
          <t>Leonardo DiCaprio</t>
        </is>
      </c>
      <c r="Q85" s="18" t="inlineStr">
        <is>
          <t>Matt Damon</t>
        </is>
      </c>
      <c r="R85" s="18" t="inlineStr">
        <is>
          <t>Jack Nicholson</t>
        </is>
      </c>
      <c r="S85" s="18" t="inlineStr">
        <is>
          <t>Mark Wahlberg</t>
        </is>
      </c>
      <c r="T85" s="18" t="inlineStr">
        <is>
          <t>Martin Sheen</t>
        </is>
      </c>
      <c r="U85" s="24" t="n">
        <v>5</v>
      </c>
      <c r="V85" s="24" t="n">
        <v>4</v>
      </c>
      <c r="W85" s="18" t="inlineStr">
        <is>
          <t>Winner</t>
        </is>
      </c>
      <c r="X85" s="25">
        <f t="array" ref="X85">IFERROR(INDEX(Ratings!$E$5:$E$500,MATCH(A85,Ratings!$A$5:$A$500,0)),"")</f>
        <v/>
      </c>
      <c r="Y85" s="24">
        <f t="array" ref="Y85">IFERROR(INDEX(Ratings!$G$5:$G$500,MATCH(A85,Ratings!$A$5:$A$500,0)),"")</f>
        <v/>
      </c>
      <c r="Z85" s="26">
        <f t="array" ref="Z85">IFERROR(INDEX(Ratings!$I$5:$I$500,MATCH(A85,Ratings!$A$5:$A$500,0)),"")</f>
        <v/>
      </c>
      <c r="AB85" s="18" t="inlineStr">
        <is>
          <t>18</t>
        </is>
      </c>
    </row>
    <row r="86" ht="15.75" customHeight="1" s="108">
      <c r="A86" s="18" t="inlineStr">
        <is>
          <t>F0082</t>
        </is>
      </c>
      <c r="B86" s="18" t="inlineStr">
        <is>
          <t>Despicable Me</t>
        </is>
      </c>
      <c r="C86" s="20" t="inlineStr">
        <is>
          <t>2010</t>
        </is>
      </c>
      <c r="D86" s="18" t="inlineStr">
        <is>
          <t>Blu-ray</t>
        </is>
      </c>
      <c r="E86" s="18" t="inlineStr">
        <is>
          <t>Despicable Me / Minions</t>
        </is>
      </c>
      <c r="F86" s="19" t="n"/>
      <c r="G86" s="4" t="n"/>
      <c r="H86" s="4" t="n"/>
      <c r="I86" s="19" t="inlineStr">
        <is>
          <t>Determined to prove he's the world's greatest supervillain, Gru hatches an audacious plan to steal the Moon. To pull it off, he adopts three orphaned girls—Margo, Edith, and Agnes—intending to use them as pawns in his scheme. But the unexpected bond they form forces him to question the criminal life he's always known.</t>
        </is>
      </c>
      <c r="J86" s="19" t="inlineStr">
        <is>
          <t>Pierre Coffin, Chris Renaud</t>
        </is>
      </c>
      <c r="K86" s="19" t="n">
        <v>95</v>
      </c>
      <c r="L86" s="19" t="inlineStr">
        <is>
          <t>Family, Animation, Comedy</t>
        </is>
      </c>
      <c r="M86" s="19" t="inlineStr">
        <is>
          <t>Illumination, Universal Pictures</t>
        </is>
      </c>
      <c r="N86" s="19" t="inlineStr">
        <is>
          <t>https://huggingface.co/datasets/HenryWaltson/TMDB-IMDB-Movies-Dataset</t>
        </is>
      </c>
      <c r="O86" s="19" t="inlineStr">
        <is>
          <t>https://huggingface.co/datasets/HenryWaltson/TMDB-IMDB-Movies-Dataset</t>
        </is>
      </c>
      <c r="P86" s="18" t="inlineStr">
        <is>
          <t>Steve Carell</t>
        </is>
      </c>
      <c r="Q86" s="18" t="inlineStr">
        <is>
          <t>Jason Segel</t>
        </is>
      </c>
      <c r="R86" s="18" t="inlineStr">
        <is>
          <t>Miranda Cosgrove</t>
        </is>
      </c>
      <c r="S86" s="18" t="inlineStr">
        <is>
          <t>Elsie Fisher</t>
        </is>
      </c>
      <c r="T86" s="18" t="inlineStr">
        <is>
          <t>Dana Gaier</t>
        </is>
      </c>
      <c r="U86" s="24" t="n">
        <v>0</v>
      </c>
      <c r="V86" s="24" t="n">
        <v>0</v>
      </c>
      <c r="W86" s="4" t="n"/>
      <c r="X86" s="25">
        <f t="array" ref="X86">IFERROR(INDEX(Ratings!$E$5:$E$500,MATCH(A86,Ratings!$A$5:$A$500,0)),"")</f>
        <v/>
      </c>
      <c r="Y86" s="24">
        <f t="array" ref="Y86">IFERROR(INDEX(Ratings!$G$5:$G$500,MATCH(A86,Ratings!$A$5:$A$500,0)),"")</f>
        <v/>
      </c>
      <c r="Z86" s="26">
        <f t="array" ref="Z86">IFERROR(INDEX(Ratings!$I$5:$I$500,MATCH(A86,Ratings!$A$5:$A$500,0)),"")</f>
        <v/>
      </c>
      <c r="AB86" s="18" t="inlineStr">
        <is>
          <t>U</t>
        </is>
      </c>
    </row>
    <row r="87" ht="15.75" customHeight="1" s="108">
      <c r="A87" s="18" t="inlineStr">
        <is>
          <t>F0083</t>
        </is>
      </c>
      <c r="B87" s="18" t="inlineStr">
        <is>
          <t>Despicable Me 2</t>
        </is>
      </c>
      <c r="C87" s="20" t="inlineStr">
        <is>
          <t>2013</t>
        </is>
      </c>
      <c r="D87" s="18" t="inlineStr">
        <is>
          <t>Blu-ray</t>
        </is>
      </c>
      <c r="E87" s="18" t="inlineStr">
        <is>
          <t>Despicable Me / Minions</t>
        </is>
      </c>
      <c r="F87" s="19" t="n"/>
      <c r="G87" s="4" t="n"/>
      <c r="H87" s="4" t="n"/>
      <c r="I87" s="19" t="inlineStr">
        <is>
          <t>Gru is recruited by the Anti-Villain League to help deal with a powerful new super criminal.</t>
        </is>
      </c>
      <c r="J87" s="19" t="inlineStr">
        <is>
          <t>Pierre Coffin, Chris Renaud</t>
        </is>
      </c>
      <c r="K87" s="19" t="n">
        <v>98</v>
      </c>
      <c r="L87" s="19" t="inlineStr">
        <is>
          <t>Animation, Comedy, Family</t>
        </is>
      </c>
      <c r="M87" s="19" t="inlineStr">
        <is>
          <t>Illumination, Universal Pictures</t>
        </is>
      </c>
      <c r="N87" s="19" t="inlineStr">
        <is>
          <t>https://huggingface.co/datasets/HenryWaltson/TMDB-IMDB-Movies-Dataset</t>
        </is>
      </c>
      <c r="O87" s="19" t="inlineStr">
        <is>
          <t>https://huggingface.co/datasets/HenryWaltson/TMDB-IMDB-Movies-Dataset</t>
        </is>
      </c>
      <c r="P87" s="18" t="inlineStr">
        <is>
          <t>Steve Carell</t>
        </is>
      </c>
      <c r="Q87" s="18" t="inlineStr">
        <is>
          <t>Kristen Wiig</t>
        </is>
      </c>
      <c r="R87" s="18" t="inlineStr">
        <is>
          <t>Benjamin Bratt</t>
        </is>
      </c>
      <c r="S87" s="18" t="inlineStr">
        <is>
          <t>Miranda Cosgrove</t>
        </is>
      </c>
      <c r="T87" s="18" t="inlineStr">
        <is>
          <t>Russell Brand</t>
        </is>
      </c>
      <c r="U87" s="24" t="n">
        <v>2</v>
      </c>
      <c r="V87" s="24" t="n">
        <v>0</v>
      </c>
      <c r="W87" s="4" t="n"/>
      <c r="X87" s="25">
        <f t="array" ref="X87">IFERROR(INDEX(Ratings!$E$5:$E$500,MATCH(A87,Ratings!$A$5:$A$500,0)),"")</f>
        <v/>
      </c>
      <c r="Y87" s="24">
        <f t="array" ref="Y87">IFERROR(INDEX(Ratings!$G$5:$G$500,MATCH(A87,Ratings!$A$5:$A$500,0)),"")</f>
        <v/>
      </c>
      <c r="Z87" s="26">
        <f t="array" ref="Z87">IFERROR(INDEX(Ratings!$I$5:$I$500,MATCH(A87,Ratings!$A$5:$A$500,0)),"")</f>
        <v/>
      </c>
      <c r="AB87" s="18" t="inlineStr">
        <is>
          <t>U</t>
        </is>
      </c>
    </row>
    <row r="88" ht="15.75" customHeight="1" s="108">
      <c r="A88" s="18" t="inlineStr">
        <is>
          <t>F0084</t>
        </is>
      </c>
      <c r="B88" s="18" t="inlineStr">
        <is>
          <t>Despicable Me 3</t>
        </is>
      </c>
      <c r="C88" s="20" t="inlineStr">
        <is>
          <t>2017</t>
        </is>
      </c>
      <c r="D88" s="18" t="inlineStr">
        <is>
          <t>Blu-ray</t>
        </is>
      </c>
      <c r="E88" s="18" t="inlineStr">
        <is>
          <t>Despicable Me / Minions</t>
        </is>
      </c>
      <c r="F88" s="19" t="n"/>
      <c r="G88" s="4" t="n"/>
      <c r="H88" s="4" t="n"/>
      <c r="I88" s="19" t="inlineStr">
        <is>
          <t>Gru and his wife Lucy must stop former '80s child star Balthazar Bratt from achieving world domination.</t>
        </is>
      </c>
      <c r="J88" s="19" t="inlineStr">
        <is>
          <t>Kyle Balda, Pierre Coffin, Eric Guillon</t>
        </is>
      </c>
      <c r="K88" s="19" t="n">
        <v>90</v>
      </c>
      <c r="L88" s="19" t="inlineStr">
        <is>
          <t>Action, Animation, Comedy, Family, Adventure</t>
        </is>
      </c>
      <c r="M88" s="19" t="inlineStr">
        <is>
          <t>Illumination, Universal Pictures</t>
        </is>
      </c>
      <c r="N88" s="19" t="inlineStr">
        <is>
          <t>https://huggingface.co/datasets/HenryWaltson/TMDB-IMDB-Movies-Dataset</t>
        </is>
      </c>
      <c r="O88" s="19" t="inlineStr">
        <is>
          <t>https://huggingface.co/datasets/HenryWaltson/TMDB-IMDB-Movies-Dataset</t>
        </is>
      </c>
      <c r="P88" s="18" t="inlineStr">
        <is>
          <t>Steve Carell</t>
        </is>
      </c>
      <c r="Q88" s="18" t="inlineStr">
        <is>
          <t>Kristen Wiig</t>
        </is>
      </c>
      <c r="R88" s="18" t="inlineStr">
        <is>
          <t>Miranda Cosgrove</t>
        </is>
      </c>
      <c r="S88" s="18" t="inlineStr">
        <is>
          <t>Dana Gaier</t>
        </is>
      </c>
      <c r="T88" s="18" t="inlineStr">
        <is>
          <t>Nev Scharrel</t>
        </is>
      </c>
      <c r="U88" s="24" t="n">
        <v>0</v>
      </c>
      <c r="V88" s="24" t="n">
        <v>0</v>
      </c>
      <c r="W88" s="4" t="n"/>
      <c r="X88" s="25">
        <f t="array" ref="X88">IFERROR(INDEX(Ratings!$E$5:$E$500,MATCH(A88,Ratings!$A$5:$A$500,0)),"")</f>
        <v/>
      </c>
      <c r="Y88" s="24">
        <f t="array" ref="Y88">IFERROR(INDEX(Ratings!$G$5:$G$500,MATCH(A88,Ratings!$A$5:$A$500,0)),"")</f>
        <v/>
      </c>
      <c r="Z88" s="26">
        <f t="array" ref="Z88">IFERROR(INDEX(Ratings!$I$5:$I$500,MATCH(A88,Ratings!$A$5:$A$500,0)),"")</f>
        <v/>
      </c>
      <c r="AB88" s="18" t="inlineStr">
        <is>
          <t>U</t>
        </is>
      </c>
    </row>
    <row r="89" ht="15.75" customHeight="1" s="108">
      <c r="A89" s="18" t="inlineStr">
        <is>
          <t>F0085</t>
        </is>
      </c>
      <c r="B89" s="18" t="inlineStr">
        <is>
          <t>The Dictator</t>
        </is>
      </c>
      <c r="C89" s="20" t="inlineStr">
        <is>
          <t>2012</t>
        </is>
      </c>
      <c r="D89" s="18" t="inlineStr">
        <is>
          <t>Blu-ray</t>
        </is>
      </c>
      <c r="E89" s="4" t="n"/>
      <c r="F89" s="19" t="n"/>
      <c r="G89" s="4" t="n"/>
      <c r="H89" s="4" t="n"/>
      <c r="I89" s="19" t="inlineStr">
        <is>
          <t>The heroic story of a dictator who risks his life to ensure that democracy would never come to the country he so lovingly oppressed.</t>
        </is>
      </c>
      <c r="J89" s="19" t="inlineStr">
        <is>
          <t>Larry Charles</t>
        </is>
      </c>
      <c r="K89" s="19" t="n">
        <v>83</v>
      </c>
      <c r="L89" s="19" t="inlineStr">
        <is>
          <t>Comedy</t>
        </is>
      </c>
      <c r="M89" s="19" t="inlineStr">
        <is>
          <t>Four By Two Productions, Paramount</t>
        </is>
      </c>
      <c r="N89" s="19" t="inlineStr">
        <is>
          <t>https://huggingface.co/datasets/HenryWaltson/TMDB-IMDB-Movies-Dataset</t>
        </is>
      </c>
      <c r="O89" s="19" t="inlineStr">
        <is>
          <t>https://huggingface.co/datasets/HenryWaltson/TMDB-IMDB-Movies-Dataset</t>
        </is>
      </c>
      <c r="P89" s="18" t="inlineStr">
        <is>
          <t>Sacha Baron Cohen</t>
        </is>
      </c>
      <c r="Q89" s="18" t="inlineStr">
        <is>
          <t>Ben Kingsley</t>
        </is>
      </c>
      <c r="R89" s="18" t="inlineStr">
        <is>
          <t>Anna Faris</t>
        </is>
      </c>
      <c r="S89" s="18" t="inlineStr">
        <is>
          <t>Jason Mantzoukas</t>
        </is>
      </c>
      <c r="T89" s="18" t="inlineStr">
        <is>
          <t>Sayed Badreya</t>
        </is>
      </c>
      <c r="U89" s="24" t="n">
        <v>0</v>
      </c>
      <c r="V89" s="24" t="n">
        <v>0</v>
      </c>
      <c r="W89" s="4" t="n"/>
      <c r="X89" s="25">
        <f t="array" ref="X89">IFERROR(INDEX(Ratings!$E$5:$E$500,MATCH(A89,Ratings!$A$5:$A$500,0)),"")</f>
        <v/>
      </c>
      <c r="Y89" s="24">
        <f t="array" ref="Y89">IFERROR(INDEX(Ratings!$G$5:$G$500,MATCH(A89,Ratings!$A$5:$A$500,0)),"")</f>
        <v/>
      </c>
      <c r="Z89" s="26">
        <f t="array" ref="Z89">IFERROR(INDEX(Ratings!$I$5:$I$500,MATCH(A89,Ratings!$A$5:$A$500,0)),"")</f>
        <v/>
      </c>
      <c r="AB89" s="18" t="inlineStr">
        <is>
          <t>15</t>
        </is>
      </c>
    </row>
    <row r="90" ht="15.75" customHeight="1" s="108">
      <c r="A90" s="18" t="inlineStr">
        <is>
          <t>F0086</t>
        </is>
      </c>
      <c r="B90" s="18" t="inlineStr">
        <is>
          <t>Live Free or Die Hard</t>
        </is>
      </c>
      <c r="C90" s="20" t="inlineStr">
        <is>
          <t>2007</t>
        </is>
      </c>
      <c r="D90" s="18" t="inlineStr">
        <is>
          <t>Blu-ray</t>
        </is>
      </c>
      <c r="E90" s="4" t="n"/>
      <c r="F90" s="19" t="n"/>
      <c r="G90" s="4" t="n"/>
      <c r="H90" s="4" t="n"/>
      <c r="I90" s="19" t="inlineStr">
        <is>
          <t>John McClane is back and badder than ever, and this time he calls on the services of a young hacker in his bid to stop a ring of Internet terrorists intent on taking control of America's computer infrastructure.</t>
        </is>
      </c>
      <c r="J90" s="19" t="inlineStr">
        <is>
          <t>Len Wiseman</t>
        </is>
      </c>
      <c r="K90" s="19" t="n">
        <v>128</v>
      </c>
      <c r="L90" s="19" t="inlineStr">
        <is>
          <t>Action, Thriller</t>
        </is>
      </c>
      <c r="M90" s="19" t="inlineStr">
        <is>
          <t>Dune Entertainment, Cheyenne Enterprises, Wintergreen Productions</t>
        </is>
      </c>
      <c r="N90" s="19" t="inlineStr">
        <is>
          <t>https://huggingface.co/datasets/HenryWaltson/TMDB-IMDB-Movies-Dataset</t>
        </is>
      </c>
      <c r="O90" s="19" t="inlineStr">
        <is>
          <t>https://huggingface.co/datasets/HenryWaltson/TMDB-IMDB-Movies-Dataset</t>
        </is>
      </c>
      <c r="P90" s="18" t="inlineStr">
        <is>
          <t>Bruce Willis</t>
        </is>
      </c>
      <c r="Q90" s="18" t="inlineStr">
        <is>
          <t>Justin Long</t>
        </is>
      </c>
      <c r="R90" s="18" t="inlineStr">
        <is>
          <t>Timothy Olyphant</t>
        </is>
      </c>
      <c r="S90" s="18" t="inlineStr">
        <is>
          <t>Cliff Curtis</t>
        </is>
      </c>
      <c r="T90" s="18" t="inlineStr">
        <is>
          <t>Maggie Q</t>
        </is>
      </c>
      <c r="U90" s="24" t="n">
        <v>0</v>
      </c>
      <c r="V90" s="24" t="n">
        <v>0</v>
      </c>
      <c r="W90" s="4" t="n"/>
      <c r="X90" s="25">
        <f t="array" ref="X90">IFERROR(INDEX(Ratings!$E$5:$E$500,MATCH(A90,Ratings!$A$5:$A$500,0)),"")</f>
        <v/>
      </c>
      <c r="Y90" s="24">
        <f t="array" ref="Y90">IFERROR(INDEX(Ratings!$G$5:$G$500,MATCH(A90,Ratings!$A$5:$A$500,0)),"")</f>
        <v/>
      </c>
      <c r="Z90" s="26">
        <f t="array" ref="Z90">IFERROR(INDEX(Ratings!$I$5:$I$500,MATCH(A90,Ratings!$A$5:$A$500,0)),"")</f>
        <v/>
      </c>
      <c r="AB90" s="18" t="inlineStr">
        <is>
          <t>15</t>
        </is>
      </c>
    </row>
    <row r="91" ht="15.75" customHeight="1" s="108">
      <c r="A91" s="18" t="inlineStr">
        <is>
          <t>F0087</t>
        </is>
      </c>
      <c r="B91" s="18" t="inlineStr">
        <is>
          <t>Dirty Grandpa</t>
        </is>
      </c>
      <c r="C91" s="20" t="inlineStr">
        <is>
          <t>2016</t>
        </is>
      </c>
      <c r="D91" s="18" t="inlineStr">
        <is>
          <t>Blu-ray</t>
        </is>
      </c>
      <c r="E91" s="4" t="n"/>
      <c r="F91" s="19" t="n"/>
      <c r="G91" s="4" t="n"/>
      <c r="H91" s="4" t="n"/>
      <c r="I91" s="19" t="inlineStr">
        <is>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is>
      </c>
      <c r="J91" s="19" t="inlineStr">
        <is>
          <t>Dan Mazer</t>
        </is>
      </c>
      <c r="K91" s="19" t="n">
        <v>102</v>
      </c>
      <c r="L91" s="19" t="inlineStr">
        <is>
          <t>Comedy</t>
        </is>
      </c>
      <c r="M91" s="19" t="inlineStr">
        <is>
          <t>Covert Media, Lionsgate, BillBlock Media</t>
        </is>
      </c>
      <c r="N91" s="19" t="inlineStr">
        <is>
          <t>https://huggingface.co/datasets/HenryWaltson/TMDB-IMDB-Movies-Dataset</t>
        </is>
      </c>
      <c r="O91" s="19" t="inlineStr">
        <is>
          <t>https://huggingface.co/datasets/HenryWaltson/TMDB-IMDB-Movies-Dataset</t>
        </is>
      </c>
      <c r="P91" s="18" t="inlineStr">
        <is>
          <t>Robert De Niro</t>
        </is>
      </c>
      <c r="Q91" s="18" t="inlineStr">
        <is>
          <t>Zac Efron</t>
        </is>
      </c>
      <c r="R91" s="18" t="inlineStr">
        <is>
          <t>Aubrey Plaza</t>
        </is>
      </c>
      <c r="S91" s="18" t="inlineStr">
        <is>
          <t>Zoey Deutch</t>
        </is>
      </c>
      <c r="T91" s="18" t="inlineStr">
        <is>
          <t>Julianne Hough</t>
        </is>
      </c>
      <c r="U91" s="24" t="n">
        <v>0</v>
      </c>
      <c r="V91" s="24" t="n">
        <v>0</v>
      </c>
      <c r="W91" s="4" t="n"/>
      <c r="X91" s="25">
        <f t="array" ref="X91">IFERROR(INDEX(Ratings!$E$5:$E$500,MATCH(A91,Ratings!$A$5:$A$500,0)),"")</f>
        <v/>
      </c>
      <c r="Y91" s="24">
        <f t="array" ref="Y91">IFERROR(INDEX(Ratings!$G$5:$G$500,MATCH(A91,Ratings!$A$5:$A$500,0)),"")</f>
        <v/>
      </c>
      <c r="Z91" s="26">
        <f t="array" ref="Z91">IFERROR(INDEX(Ratings!$I$5:$I$500,MATCH(A91,Ratings!$A$5:$A$500,0)),"")</f>
        <v/>
      </c>
      <c r="AB91" s="18" t="inlineStr">
        <is>
          <t>15</t>
        </is>
      </c>
    </row>
    <row r="92" ht="15.75" customHeight="1" s="108">
      <c r="A92" s="18" t="inlineStr">
        <is>
          <t>F0088</t>
        </is>
      </c>
      <c r="B92" s="18" t="inlineStr">
        <is>
          <t>District 9</t>
        </is>
      </c>
      <c r="C92" s="20" t="inlineStr">
        <is>
          <t>2009</t>
        </is>
      </c>
      <c r="D92" s="18" t="inlineStr">
        <is>
          <t>Blu-ray</t>
        </is>
      </c>
      <c r="E92" s="4" t="n"/>
      <c r="F92" s="19" t="n"/>
      <c r="G92" s="4" t="n"/>
      <c r="H92" s="4" t="n"/>
      <c r="I92" s="19" t="inlineStr">
        <is>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is>
      </c>
      <c r="J92" s="19" t="inlineStr">
        <is>
          <t>Neill Blomkamp</t>
        </is>
      </c>
      <c r="K92" s="19" t="n">
        <v>112</v>
      </c>
      <c r="L92" s="19" t="inlineStr">
        <is>
          <t>Science Fiction</t>
        </is>
      </c>
      <c r="M92" s="19" t="inlineStr">
        <is>
          <t>TriStar Pictures, Block / Hanson, WingNut Films</t>
        </is>
      </c>
      <c r="N92" s="19" t="inlineStr">
        <is>
          <t>https://huggingface.co/datasets/HenryWaltson/TMDB-IMDB-Movies-Dataset</t>
        </is>
      </c>
      <c r="O92" s="19" t="inlineStr">
        <is>
          <t>https://huggingface.co/datasets/HenryWaltson/TMDB-IMDB-Movies-Dataset</t>
        </is>
      </c>
      <c r="P92" s="18" t="inlineStr">
        <is>
          <t>Sharlto Copley</t>
        </is>
      </c>
      <c r="Q92" s="18" t="inlineStr">
        <is>
          <t>Jason Cope</t>
        </is>
      </c>
      <c r="R92" s="18" t="inlineStr">
        <is>
          <t>Nathalie Boltt</t>
        </is>
      </c>
      <c r="S92" s="18" t="inlineStr">
        <is>
          <t>Sylvaine Strike</t>
        </is>
      </c>
      <c r="T92" s="18" t="inlineStr">
        <is>
          <t>Elizabeth Mkandawie</t>
        </is>
      </c>
      <c r="U92" s="24" t="n">
        <v>4</v>
      </c>
      <c r="V92" s="24" t="n">
        <v>0</v>
      </c>
      <c r="W92" s="18" t="inlineStr">
        <is>
          <t>Nominated</t>
        </is>
      </c>
      <c r="X92" s="25">
        <f t="array" ref="X92">IFERROR(INDEX(Ratings!$E$5:$E$500,MATCH(A92,Ratings!$A$5:$A$500,0)),"")</f>
        <v/>
      </c>
      <c r="Y92" s="24">
        <f t="array" ref="Y92">IFERROR(INDEX(Ratings!$G$5:$G$500,MATCH(A92,Ratings!$A$5:$A$500,0)),"")</f>
        <v/>
      </c>
      <c r="Z92" s="26">
        <f t="array" ref="Z92">IFERROR(INDEX(Ratings!$I$5:$I$500,MATCH(A92,Ratings!$A$5:$A$500,0)),"")</f>
        <v/>
      </c>
      <c r="AB92" s="18" t="inlineStr">
        <is>
          <t>15</t>
        </is>
      </c>
    </row>
    <row r="93" ht="15.75" customHeight="1" s="108">
      <c r="A93" s="18" t="inlineStr">
        <is>
          <t>F0089</t>
        </is>
      </c>
      <c r="B93" s="18" t="inlineStr">
        <is>
          <t>Divergent</t>
        </is>
      </c>
      <c r="C93" s="20" t="inlineStr">
        <is>
          <t>2014</t>
        </is>
      </c>
      <c r="D93" s="18" t="inlineStr">
        <is>
          <t>Blu-ray</t>
        </is>
      </c>
      <c r="E93" s="18" t="inlineStr">
        <is>
          <t>Divergent</t>
        </is>
      </c>
      <c r="F93" s="19" t="n"/>
      <c r="G93" s="4" t="n"/>
      <c r="H93" s="4" t="n"/>
      <c r="I93" s="19" t="inlineStr">
        <is>
          <t>In a world divided into factions based on personality types, Tris learns that she's been classified as Divergent and won't fit in. When she discovers a plot to destroy Divergents, Tris and the mysterious Four must find out what makes Divergents dangerous before it's too late.</t>
        </is>
      </c>
      <c r="J93" s="19" t="inlineStr">
        <is>
          <t>Neil Burger</t>
        </is>
      </c>
      <c r="K93" s="19" t="n">
        <v>139</v>
      </c>
      <c r="L93" s="19" t="inlineStr">
        <is>
          <t>Action, Adventure, Science Fiction</t>
        </is>
      </c>
      <c r="M93" s="19" t="inlineStr">
        <is>
          <t>Summit Entertainment, Red Wagon Entertainment</t>
        </is>
      </c>
      <c r="N93" s="19" t="inlineStr">
        <is>
          <t>https://huggingface.co/datasets/HenryWaltson/TMDB-IMDB-Movies-Dataset</t>
        </is>
      </c>
      <c r="O93" s="19" t="inlineStr">
        <is>
          <t>https://huggingface.co/datasets/HenryWaltson/TMDB-IMDB-Movies-Dataset</t>
        </is>
      </c>
      <c r="P93" s="18" t="inlineStr">
        <is>
          <t>Shailene Woodley</t>
        </is>
      </c>
      <c r="Q93" s="18" t="inlineStr">
        <is>
          <t>Theo James</t>
        </is>
      </c>
      <c r="R93" s="18" t="inlineStr">
        <is>
          <t>Zoë Kravitz</t>
        </is>
      </c>
      <c r="S93" s="18" t="inlineStr">
        <is>
          <t>Miles Teller</t>
        </is>
      </c>
      <c r="T93" s="18" t="inlineStr">
        <is>
          <t>Jai Courtney</t>
        </is>
      </c>
      <c r="U93" s="24" t="n">
        <v>0</v>
      </c>
      <c r="V93" s="24" t="n">
        <v>0</v>
      </c>
      <c r="W93" s="4" t="n"/>
      <c r="X93" s="25">
        <f t="array" ref="X93">IFERROR(INDEX(Ratings!$E$5:$E$500,MATCH(A93,Ratings!$A$5:$A$500,0)),"")</f>
        <v/>
      </c>
      <c r="Y93" s="24">
        <f t="array" ref="Y93">IFERROR(INDEX(Ratings!$G$5:$G$500,MATCH(A93,Ratings!$A$5:$A$500,0)),"")</f>
        <v/>
      </c>
      <c r="Z93" s="26">
        <f t="array" ref="Z93">IFERROR(INDEX(Ratings!$I$5:$I$500,MATCH(A93,Ratings!$A$5:$A$500,0)),"")</f>
        <v/>
      </c>
      <c r="AB93" s="18" t="inlineStr">
        <is>
          <t>12A</t>
        </is>
      </c>
    </row>
    <row r="94" ht="15.75" customHeight="1" s="108">
      <c r="A94" s="18" t="inlineStr">
        <is>
          <t>F0090</t>
        </is>
      </c>
      <c r="B94" s="18" t="inlineStr">
        <is>
          <t>Django Unchained</t>
        </is>
      </c>
      <c r="C94" s="20" t="inlineStr">
        <is>
          <t>2012</t>
        </is>
      </c>
      <c r="D94" s="18" t="inlineStr">
        <is>
          <t>Blu-ray</t>
        </is>
      </c>
      <c r="E94" s="4" t="n"/>
      <c r="F94" s="19" t="n"/>
      <c r="G94" s="4" t="n"/>
      <c r="H94" s="4" t="n"/>
      <c r="I94" s="19" t="inlineStr">
        <is>
          <t>With the help of a German bounty hunter, a freed slave sets out to rescue his wife from a brutal Mississippi plantation owner.</t>
        </is>
      </c>
      <c r="J94" s="19" t="inlineStr">
        <is>
          <t>Quentin Tarantino</t>
        </is>
      </c>
      <c r="K94" s="19" t="n">
        <v>165</v>
      </c>
      <c r="L94" s="19" t="inlineStr">
        <is>
          <t>Drama, Western</t>
        </is>
      </c>
      <c r="M94" s="19" t="inlineStr">
        <is>
          <t>The Weinstein Company, Columbia Pictures</t>
        </is>
      </c>
      <c r="N94" s="19" t="inlineStr">
        <is>
          <t>https://huggingface.co/datasets/HenryWaltson/TMDB-IMDB-Movies-Dataset</t>
        </is>
      </c>
      <c r="O94" s="19" t="inlineStr">
        <is>
          <t>https://huggingface.co/datasets/HenryWaltson/TMDB-IMDB-Movies-Dataset</t>
        </is>
      </c>
      <c r="P94" s="18" t="inlineStr">
        <is>
          <t>Jamie Foxx</t>
        </is>
      </c>
      <c r="Q94" s="18" t="inlineStr">
        <is>
          <t>Christoph Waltz</t>
        </is>
      </c>
      <c r="R94" s="18" t="inlineStr">
        <is>
          <t>Leonardo DiCaprio</t>
        </is>
      </c>
      <c r="S94" s="18" t="inlineStr">
        <is>
          <t>Kerry Washington</t>
        </is>
      </c>
      <c r="T94" s="18" t="inlineStr">
        <is>
          <t>Samuel L. Jackson</t>
        </is>
      </c>
      <c r="U94" s="24" t="n">
        <v>5</v>
      </c>
      <c r="V94" s="24" t="n">
        <v>2</v>
      </c>
      <c r="W94" s="18" t="inlineStr">
        <is>
          <t>Nominated</t>
        </is>
      </c>
      <c r="X94" s="25">
        <f t="array" ref="X94">IFERROR(INDEX(Ratings!$E$5:$E$500,MATCH(A94,Ratings!$A$5:$A$500,0)),"")</f>
        <v/>
      </c>
      <c r="Y94" s="24">
        <f t="array" ref="Y94">IFERROR(INDEX(Ratings!$G$5:$G$500,MATCH(A94,Ratings!$A$5:$A$500,0)),"")</f>
        <v/>
      </c>
      <c r="Z94" s="26">
        <f t="array" ref="Z94">IFERROR(INDEX(Ratings!$I$5:$I$500,MATCH(A94,Ratings!$A$5:$A$500,0)),"")</f>
        <v/>
      </c>
      <c r="AB94" s="18" t="inlineStr">
        <is>
          <t>18</t>
        </is>
      </c>
    </row>
    <row r="95" ht="15.75" customHeight="1" s="108">
      <c r="A95" s="18" t="inlineStr">
        <is>
          <t>F0091</t>
        </is>
      </c>
      <c r="B95" s="18" t="inlineStr">
        <is>
          <t>Due Date</t>
        </is>
      </c>
      <c r="C95" s="20" t="inlineStr">
        <is>
          <t>2010</t>
        </is>
      </c>
      <c r="D95" s="18" t="inlineStr">
        <is>
          <t>Blu-ray</t>
        </is>
      </c>
      <c r="E95" s="4" t="n"/>
      <c r="F95" s="19" t="n"/>
      <c r="G95" s="18" t="inlineStr">
        <is>
          <t>Yes</t>
        </is>
      </c>
      <c r="H95" s="18" t="inlineStr">
        <is>
          <t>⭐⭐⭐⭐</t>
        </is>
      </c>
      <c r="I95" s="19" t="inlineStr">
        <is>
          <t>Peter Highman must scramble across the US in five days to be present for the birth of his first child. He gets off to a bad start when his wallet and luggage are stolen, and put on the 'no-fly' list. Peter embarks on a terrifying journey when he accepts a ride from an actor.</t>
        </is>
      </c>
      <c r="J95" s="19" t="inlineStr">
        <is>
          <t>Todd Phillips</t>
        </is>
      </c>
      <c r="K95" s="19" t="n">
        <v>95</v>
      </c>
      <c r="L95" s="19" t="inlineStr">
        <is>
          <t>Comedy, Drama</t>
        </is>
      </c>
      <c r="M95" s="19" t="inlineStr">
        <is>
          <t>Legendary Pictures, Green Hat Films, Warner Bros. Pictures</t>
        </is>
      </c>
      <c r="N95" s="19" t="inlineStr">
        <is>
          <t>https://huggingface.co/datasets/HenryWaltson/TMDB-IMDB-Movies-Dataset</t>
        </is>
      </c>
      <c r="O95" s="19" t="inlineStr">
        <is>
          <t>https://huggingface.co/datasets/HenryWaltson/TMDB-IMDB-Movies-Dataset</t>
        </is>
      </c>
      <c r="P95" s="18" t="inlineStr">
        <is>
          <t>Robert Downey Jr.</t>
        </is>
      </c>
      <c r="Q95" s="18" t="inlineStr">
        <is>
          <t>Zach Galifianakis</t>
        </is>
      </c>
      <c r="R95" s="18" t="inlineStr">
        <is>
          <t>Michelle Monaghan</t>
        </is>
      </c>
      <c r="S95" s="18" t="inlineStr">
        <is>
          <t>Jamie Foxx</t>
        </is>
      </c>
      <c r="T95" s="18" t="inlineStr">
        <is>
          <t>Juliette Lewis</t>
        </is>
      </c>
      <c r="U95" s="24" t="n">
        <v>0</v>
      </c>
      <c r="V95" s="24" t="n">
        <v>0</v>
      </c>
      <c r="W95" s="4" t="n"/>
      <c r="X95" s="25">
        <f t="array" ref="X95">IFERROR(INDEX(Ratings!$E$5:$E$500,MATCH(A95,Ratings!$A$5:$A$500,0)),"")</f>
        <v/>
      </c>
      <c r="Y95" s="24">
        <f t="array" ref="Y95">IFERROR(INDEX(Ratings!$G$5:$G$500,MATCH(A95,Ratings!$A$5:$A$500,0)),"")</f>
        <v/>
      </c>
      <c r="Z95" s="26">
        <f t="array" ref="Z95">IFERROR(INDEX(Ratings!$I$5:$I$500,MATCH(A95,Ratings!$A$5:$A$500,0)),"")</f>
        <v/>
      </c>
      <c r="AA95" s="18" t="inlineStr">
        <is>
          <t>2026-08-08</t>
        </is>
      </c>
      <c r="AB95" s="18" t="inlineStr">
        <is>
          <t>15</t>
        </is>
      </c>
    </row>
    <row r="96" ht="15.75" customHeight="1" s="108">
      <c r="A96" s="18" t="inlineStr">
        <is>
          <t>F0092</t>
        </is>
      </c>
      <c r="B96" s="18" t="inlineStr">
        <is>
          <t>Elf</t>
        </is>
      </c>
      <c r="C96" s="20" t="inlineStr">
        <is>
          <t>2003</t>
        </is>
      </c>
      <c r="D96" s="18" t="inlineStr">
        <is>
          <t>4K UHD</t>
        </is>
      </c>
      <c r="E96" s="4" t="n"/>
      <c r="F96" s="19" t="n"/>
      <c r="G96" s="4" t="n"/>
      <c r="H96" s="4" t="n"/>
      <c r="I96" s="19" t="inlineStr">
        <is>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t>
        </is>
      </c>
      <c r="J96" s="19" t="inlineStr">
        <is>
          <t>Jon Favreau</t>
        </is>
      </c>
      <c r="K96" s="19" t="n">
        <v>97</v>
      </c>
      <c r="L96" s="19" t="inlineStr">
        <is>
          <t>Comedy, Family, Fantasy</t>
        </is>
      </c>
      <c r="M96" s="19" t="inlineStr">
        <is>
          <t>New Line Cinema, Guy Walks into a Bar Productions</t>
        </is>
      </c>
      <c r="N96" s="19" t="inlineStr">
        <is>
          <t>https://huggingface.co/datasets/HenryWaltson/TMDB-IMDB-Movies-Dataset</t>
        </is>
      </c>
      <c r="O96" s="19" t="inlineStr">
        <is>
          <t>https://huggingface.co/datasets/HenryWaltson/TMDB-IMDB-Movies-Dataset</t>
        </is>
      </c>
      <c r="P96" s="18" t="inlineStr">
        <is>
          <t>Will Ferrell</t>
        </is>
      </c>
      <c r="Q96" s="18" t="inlineStr">
        <is>
          <t>James Caan</t>
        </is>
      </c>
      <c r="R96" s="18" t="inlineStr">
        <is>
          <t>Bob Newhart</t>
        </is>
      </c>
      <c r="S96" s="18" t="inlineStr">
        <is>
          <t>Ed Asner</t>
        </is>
      </c>
      <c r="T96" s="18" t="inlineStr">
        <is>
          <t>Mary Steenburgen</t>
        </is>
      </c>
      <c r="U96" s="24" t="n">
        <v>0</v>
      </c>
      <c r="V96" s="24" t="n">
        <v>0</v>
      </c>
      <c r="W96" s="4" t="n"/>
      <c r="X96" s="25">
        <f t="array" ref="X96">IFERROR(INDEX(Ratings!$E$5:$E$500,MATCH(A96,Ratings!$A$5:$A$500,0)),"")</f>
        <v/>
      </c>
      <c r="Y96" s="24">
        <f t="array" ref="Y96">IFERROR(INDEX(Ratings!$G$5:$G$500,MATCH(A96,Ratings!$A$5:$A$500,0)),"")</f>
        <v/>
      </c>
      <c r="Z96" s="26">
        <f t="array" ref="Z96">IFERROR(INDEX(Ratings!$I$5:$I$500,MATCH(A96,Ratings!$A$5:$A$500,0)),"")</f>
        <v/>
      </c>
      <c r="AB96" s="18" t="inlineStr">
        <is>
          <t>PG</t>
        </is>
      </c>
    </row>
    <row r="97" ht="15.75" customHeight="1" s="108">
      <c r="A97" s="18" t="inlineStr">
        <is>
          <t>F0093</t>
        </is>
      </c>
      <c r="B97" s="18" t="inlineStr">
        <is>
          <t>Elysium</t>
        </is>
      </c>
      <c r="C97" s="20" t="inlineStr">
        <is>
          <t>2013</t>
        </is>
      </c>
      <c r="D97" s="18" t="inlineStr">
        <is>
          <t>Blu-ray</t>
        </is>
      </c>
      <c r="E97" s="4" t="n"/>
      <c r="F97" s="19" t="n"/>
      <c r="G97" s="4" t="n"/>
      <c r="H97" s="4" t="n"/>
      <c r="I97" s="19" t="inlineStr">
        <is>
          <t>In the year 2159, two classes of people exist: the very wealthy who live on a pristine man-made space station called Elysium, and the rest, who live on an overpopulated, ruined Earth. Secretary Rhodes, a hard line government official, will stop at nothing to enforce anti-immigration laws and preserve the luxurious lifestyle of the citizens of Elysium. That doesn’t stop the people of Earth from trying to get in, by any means they can. When unlucky Max is backed into a corner, he agrees to take on a daunting mission that, if successful, will not only save his life, but could bring equality to these polarized worlds.</t>
        </is>
      </c>
      <c r="J97" s="19" t="inlineStr">
        <is>
          <t>Neill Blomkamp</t>
        </is>
      </c>
      <c r="K97" s="19" t="n">
        <v>109</v>
      </c>
      <c r="L97" s="19" t="inlineStr">
        <is>
          <t>Science Fiction, Action, Drama, Thriller</t>
        </is>
      </c>
      <c r="M97" s="19" t="inlineStr">
        <is>
          <t>Genre Films, TriStar Pictures, MRC</t>
        </is>
      </c>
      <c r="N97" s="19" t="inlineStr">
        <is>
          <t>https://huggingface.co/datasets/HenryWaltson/TMDB-IMDB-Movies-Dataset</t>
        </is>
      </c>
      <c r="O97" s="19" t="inlineStr">
        <is>
          <t>https://huggingface.co/datasets/HenryWaltson/TMDB-IMDB-Movies-Dataset</t>
        </is>
      </c>
      <c r="P97" s="18" t="inlineStr">
        <is>
          <t>Matt Damon</t>
        </is>
      </c>
      <c r="Q97" s="18" t="inlineStr">
        <is>
          <t>Jodie Foster</t>
        </is>
      </c>
      <c r="R97" s="18" t="inlineStr">
        <is>
          <t>Sharlto Copley</t>
        </is>
      </c>
      <c r="S97" s="18" t="inlineStr">
        <is>
          <t>Diego Luna</t>
        </is>
      </c>
      <c r="T97" s="18" t="inlineStr">
        <is>
          <t>Wagner Moura</t>
        </is>
      </c>
      <c r="U97" s="24" t="n">
        <v>0</v>
      </c>
      <c r="V97" s="24" t="n">
        <v>0</v>
      </c>
      <c r="W97" s="4" t="n"/>
      <c r="X97" s="25">
        <f t="array" ref="X97">IFERROR(INDEX(Ratings!$E$5:$E$500,MATCH(A97,Ratings!$A$5:$A$500,0)),"")</f>
        <v/>
      </c>
      <c r="Y97" s="24">
        <f t="array" ref="Y97">IFERROR(INDEX(Ratings!$G$5:$G$500,MATCH(A97,Ratings!$A$5:$A$500,0)),"")</f>
        <v/>
      </c>
      <c r="Z97" s="26">
        <f t="array" ref="Z97">IFERROR(INDEX(Ratings!$I$5:$I$500,MATCH(A97,Ratings!$A$5:$A$500,0)),"")</f>
        <v/>
      </c>
      <c r="AB97" s="18" t="inlineStr">
        <is>
          <t>15</t>
        </is>
      </c>
    </row>
    <row r="98" ht="15.75" customHeight="1" s="108">
      <c r="A98" s="18" t="inlineStr">
        <is>
          <t>F0094</t>
        </is>
      </c>
      <c r="B98" s="18" t="inlineStr">
        <is>
          <t>Enemy of the State</t>
        </is>
      </c>
      <c r="C98" s="20" t="inlineStr">
        <is>
          <t>1998</t>
        </is>
      </c>
      <c r="D98" s="18" t="inlineStr">
        <is>
          <t>Blu-ray</t>
        </is>
      </c>
      <c r="E98" s="4" t="n"/>
      <c r="F98" s="19" t="n"/>
      <c r="G98" s="4" t="n"/>
      <c r="H98" s="4" t="n"/>
      <c r="I98" s="19" t="inlineStr">
        <is>
          <t>When the videotape of the murder of a congressman unknowingly ends up in the hands of labor lawyer and dedicated family man Robert Clayton Dean, he is framed for the murder. With the help of the mysterious Brill, Dean attempts to throw the NSA off his trail and prove his innocence.</t>
        </is>
      </c>
      <c r="J98" s="19" t="inlineStr">
        <is>
          <t>Tony Scott</t>
        </is>
      </c>
      <c r="K98" s="19" t="n">
        <v>132</v>
      </c>
      <c r="L98" s="19" t="inlineStr">
        <is>
          <t>Action, Drama, Thriller</t>
        </is>
      </c>
      <c r="M98" s="19" t="inlineStr">
        <is>
          <t>Touchstone Pictures, Jerry Bruckheimer Films, Don Simpson/Jerry Bruckheimer Films</t>
        </is>
      </c>
      <c r="N98" s="19" t="inlineStr">
        <is>
          <t>https://huggingface.co/datasets/HenryWaltson/TMDB-IMDB-Movies-Dataset</t>
        </is>
      </c>
      <c r="O98" s="19" t="inlineStr">
        <is>
          <t>https://huggingface.co/datasets/HenryWaltson/TMDB-IMDB-Movies-Dataset</t>
        </is>
      </c>
      <c r="P98" s="18" t="inlineStr">
        <is>
          <t>Will Smith</t>
        </is>
      </c>
      <c r="Q98" s="18" t="inlineStr">
        <is>
          <t>Gene Hackman</t>
        </is>
      </c>
      <c r="R98" s="18" t="inlineStr">
        <is>
          <t>Jon Voight</t>
        </is>
      </c>
      <c r="S98" s="18" t="inlineStr">
        <is>
          <t>Regina King</t>
        </is>
      </c>
      <c r="T98" s="18" t="inlineStr">
        <is>
          <t>Loren Dean</t>
        </is>
      </c>
      <c r="U98" s="24" t="n">
        <v>0</v>
      </c>
      <c r="V98" s="24" t="n">
        <v>0</v>
      </c>
      <c r="W98" s="4" t="n"/>
      <c r="X98" s="25">
        <f t="array" ref="X98">IFERROR(INDEX(Ratings!$E$5:$E$500,MATCH(A98,Ratings!$A$5:$A$500,0)),"")</f>
        <v/>
      </c>
      <c r="Y98" s="24">
        <f t="array" ref="Y98">IFERROR(INDEX(Ratings!$G$5:$G$500,MATCH(A98,Ratings!$A$5:$A$500,0)),"")</f>
        <v/>
      </c>
      <c r="Z98" s="26">
        <f t="array" ref="Z98">IFERROR(INDEX(Ratings!$I$5:$I$500,MATCH(A98,Ratings!$A$5:$A$500,0)),"")</f>
        <v/>
      </c>
      <c r="AB98" s="18" t="inlineStr">
        <is>
          <t>15</t>
        </is>
      </c>
    </row>
    <row r="99" ht="15.75" customHeight="1" s="108">
      <c r="A99" s="18" t="inlineStr">
        <is>
          <t>F0095</t>
        </is>
      </c>
      <c r="B99" s="18" t="inlineStr">
        <is>
          <t>The Expendables</t>
        </is>
      </c>
      <c r="C99" s="20" t="inlineStr">
        <is>
          <t>2010</t>
        </is>
      </c>
      <c r="D99" s="18" t="inlineStr">
        <is>
          <t>Blu-ray</t>
        </is>
      </c>
      <c r="E99" s="18" t="inlineStr">
        <is>
          <t>Expendables</t>
        </is>
      </c>
      <c r="F99" s="19" t="n"/>
      <c r="G99" s="4" t="n"/>
      <c r="H99" s="4" t="n"/>
      <c r="I99" s="19" t="inlineStr">
        <is>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is>
      </c>
      <c r="J99" s="19" t="inlineStr">
        <is>
          <t>Sylvester Stallone</t>
        </is>
      </c>
      <c r="K99" s="19" t="n">
        <v>103</v>
      </c>
      <c r="L99" s="19" t="inlineStr">
        <is>
          <t>Thriller, Adventure, Action</t>
        </is>
      </c>
      <c r="M99" s="19" t="inlineStr">
        <is>
          <t>Nimar Studios, Rogue Marble, Millennium Media</t>
        </is>
      </c>
      <c r="N99" s="19" t="inlineStr">
        <is>
          <t>https://huggingface.co/datasets/HenryWaltson/TMDB-IMDB-Movies-Dataset</t>
        </is>
      </c>
      <c r="O99" s="19" t="inlineStr">
        <is>
          <t>https://huggingface.co/datasets/HenryWaltson/TMDB-IMDB-Movies-Dataset</t>
        </is>
      </c>
      <c r="P99" s="18" t="inlineStr">
        <is>
          <t>Sylvester Stallone</t>
        </is>
      </c>
      <c r="Q99" s="18" t="inlineStr">
        <is>
          <t>Jason Statham</t>
        </is>
      </c>
      <c r="R99" s="18" t="inlineStr">
        <is>
          <t>Jet Li</t>
        </is>
      </c>
      <c r="S99" s="18" t="inlineStr">
        <is>
          <t>Dolph Lundgren</t>
        </is>
      </c>
      <c r="T99" s="18" t="inlineStr">
        <is>
          <t>Eric Roberts</t>
        </is>
      </c>
      <c r="U99" s="24" t="n">
        <v>0</v>
      </c>
      <c r="V99" s="24" t="n">
        <v>0</v>
      </c>
      <c r="W99" s="4" t="n"/>
      <c r="X99" s="25">
        <f t="array" ref="X99">IFERROR(INDEX(Ratings!$E$5:$E$500,MATCH(A99,Ratings!$A$5:$A$500,0)),"")</f>
        <v/>
      </c>
      <c r="Y99" s="24">
        <f t="array" ref="Y99">IFERROR(INDEX(Ratings!$G$5:$G$500,MATCH(A99,Ratings!$A$5:$A$500,0)),"")</f>
        <v/>
      </c>
      <c r="Z99" s="26">
        <f t="array" ref="Z99">IFERROR(INDEX(Ratings!$I$5:$I$500,MATCH(A99,Ratings!$A$5:$A$500,0)),"")</f>
        <v/>
      </c>
      <c r="AB99" s="18" t="inlineStr">
        <is>
          <t>18</t>
        </is>
      </c>
    </row>
    <row r="100" ht="15.75" customHeight="1" s="108">
      <c r="A100" s="18" t="inlineStr">
        <is>
          <t>F0096</t>
        </is>
      </c>
      <c r="B100" s="18" t="inlineStr">
        <is>
          <t>The Expendables 2</t>
        </is>
      </c>
      <c r="C100" s="20" t="inlineStr">
        <is>
          <t>2012</t>
        </is>
      </c>
      <c r="D100" s="18" t="inlineStr">
        <is>
          <t>Blu-ray</t>
        </is>
      </c>
      <c r="E100" s="18" t="inlineStr">
        <is>
          <t>Expendables</t>
        </is>
      </c>
      <c r="F100" s="19" t="n"/>
      <c r="G100" s="4" t="n"/>
      <c r="H100" s="4" t="n"/>
      <c r="I100" s="19" t="inlineStr">
        <is>
          <t>Mr. Church reunites the Expendables for what should be an easy paycheck, but when one of their men is murdered on the job, their quest for revenge puts them deep in enemy territory and up against an unexpected threat.</t>
        </is>
      </c>
      <c r="J100" s="19" t="inlineStr">
        <is>
          <t>Simon West</t>
        </is>
      </c>
      <c r="K100" s="19" t="n">
        <v>103</v>
      </c>
      <c r="L100" s="19" t="inlineStr">
        <is>
          <t>Action, Adventure, Thriller</t>
        </is>
      </c>
      <c r="M100" s="19" t="inlineStr">
        <is>
          <t>Nu Image, Millennium Media, Lionsgate</t>
        </is>
      </c>
      <c r="N100" s="19" t="inlineStr">
        <is>
          <t>https://huggingface.co/datasets/HenryWaltson/TMDB-IMDB-Movies-Dataset</t>
        </is>
      </c>
      <c r="O100" s="19" t="inlineStr">
        <is>
          <t>https://huggingface.co/datasets/HenryWaltson/TMDB-IMDB-Movies-Dataset</t>
        </is>
      </c>
      <c r="P100" s="18" t="inlineStr">
        <is>
          <t>Sylvester Stallone</t>
        </is>
      </c>
      <c r="Q100" s="18" t="inlineStr">
        <is>
          <t>Jason Statham</t>
        </is>
      </c>
      <c r="R100" s="18" t="inlineStr">
        <is>
          <t>Jet Li</t>
        </is>
      </c>
      <c r="S100" s="18" t="inlineStr">
        <is>
          <t>Dolph Lundgren</t>
        </is>
      </c>
      <c r="T100" s="18" t="inlineStr">
        <is>
          <t>Chuck Norris</t>
        </is>
      </c>
      <c r="U100" s="24" t="n">
        <v>0</v>
      </c>
      <c r="V100" s="24" t="n">
        <v>0</v>
      </c>
      <c r="W100" s="4" t="n"/>
      <c r="X100" s="25">
        <f t="array" ref="X100">IFERROR(INDEX(Ratings!$E$5:$E$500,MATCH(A100,Ratings!$A$5:$A$500,0)),"")</f>
        <v/>
      </c>
      <c r="Y100" s="24">
        <f t="array" ref="Y100">IFERROR(INDEX(Ratings!$G$5:$G$500,MATCH(A100,Ratings!$A$5:$A$500,0)),"")</f>
        <v/>
      </c>
      <c r="Z100" s="26">
        <f t="array" ref="Z100">IFERROR(INDEX(Ratings!$I$5:$I$500,MATCH(A100,Ratings!$A$5:$A$500,0)),"")</f>
        <v/>
      </c>
      <c r="AB100" s="18" t="inlineStr">
        <is>
          <t>15</t>
        </is>
      </c>
    </row>
    <row r="101" ht="15.75" customHeight="1" s="108">
      <c r="A101" s="18" t="inlineStr">
        <is>
          <t>F0097</t>
        </is>
      </c>
      <c r="B101" s="18" t="inlineStr">
        <is>
          <t>The Expendables 3</t>
        </is>
      </c>
      <c r="C101" s="20" t="inlineStr">
        <is>
          <t>2014</t>
        </is>
      </c>
      <c r="D101" s="18" t="inlineStr">
        <is>
          <t>Blu-ray</t>
        </is>
      </c>
      <c r="E101" s="18" t="inlineStr">
        <is>
          <t>Expendables</t>
        </is>
      </c>
      <c r="F101" s="19" t="n"/>
      <c r="G101" s="4" t="n"/>
      <c r="H101" s="4" t="n"/>
      <c r="I101" s="19" t="inlineStr">
        <is>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is>
      </c>
      <c r="J101" s="19" t="inlineStr">
        <is>
          <t>Patrick Hughes</t>
        </is>
      </c>
      <c r="K101" s="19" t="n">
        <v>126</v>
      </c>
      <c r="L101" s="19" t="inlineStr">
        <is>
          <t>Action, Adventure, Thriller</t>
        </is>
      </c>
      <c r="M101" s="19" t="inlineStr">
        <is>
          <t>Davis Films, Nu Image, Ex3 Productions</t>
        </is>
      </c>
      <c r="N101" s="19" t="inlineStr">
        <is>
          <t>https://huggingface.co/datasets/HenryWaltson/TMDB-IMDB-Movies-Dataset</t>
        </is>
      </c>
      <c r="O101" s="19" t="inlineStr">
        <is>
          <t>https://huggingface.co/datasets/HenryWaltson/TMDB-IMDB-Movies-Dataset</t>
        </is>
      </c>
      <c r="P101" s="18" t="inlineStr">
        <is>
          <t>Sylvester Stallone</t>
        </is>
      </c>
      <c r="Q101" s="18" t="inlineStr">
        <is>
          <t>Jason Statham</t>
        </is>
      </c>
      <c r="R101" s="18" t="inlineStr">
        <is>
          <t>Harrison Ford</t>
        </is>
      </c>
      <c r="S101" s="18" t="inlineStr">
        <is>
          <t>Mel Gibson</t>
        </is>
      </c>
      <c r="T101" s="18" t="inlineStr">
        <is>
          <t>Arnold Schwarzenegger</t>
        </is>
      </c>
      <c r="U101" s="24" t="n">
        <v>0</v>
      </c>
      <c r="V101" s="24" t="n">
        <v>0</v>
      </c>
      <c r="W101" s="4" t="n"/>
      <c r="X101" s="25">
        <f t="array" ref="X101">IFERROR(INDEX(Ratings!$E$5:$E$500,MATCH(A101,Ratings!$A$5:$A$500,0)),"")</f>
        <v/>
      </c>
      <c r="Y101" s="24">
        <f t="array" ref="Y101">IFERROR(INDEX(Ratings!$G$5:$G$500,MATCH(A101,Ratings!$A$5:$A$500,0)),"")</f>
        <v/>
      </c>
      <c r="Z101" s="26">
        <f t="array" ref="Z101">IFERROR(INDEX(Ratings!$I$5:$I$500,MATCH(A101,Ratings!$A$5:$A$500,0)),"")</f>
        <v/>
      </c>
      <c r="AB101" s="18" t="inlineStr">
        <is>
          <t>12A</t>
        </is>
      </c>
    </row>
    <row r="102" ht="15.75" customHeight="1" s="108">
      <c r="A102" s="18" t="inlineStr">
        <is>
          <t>F0098</t>
        </is>
      </c>
      <c r="B102" s="18" t="inlineStr">
        <is>
          <t>F1</t>
        </is>
      </c>
      <c r="C102" s="20" t="inlineStr">
        <is>
          <t>2025</t>
        </is>
      </c>
      <c r="D102" s="18" t="inlineStr">
        <is>
          <t>Blu-ray</t>
        </is>
      </c>
      <c r="E102" s="4" t="n"/>
      <c r="F102" s="19" t="n"/>
      <c r="G102" s="4" t="n"/>
      <c r="H102" s="4" t="n"/>
      <c r="I102" s="19" t="inlineStr">
        <is>
          <t>Racing legend Sonny Hayes is coaxed out of retirement to lead a struggling Formula 1 team—and mentor a young hotshot driver—while chasing one more chance at glory.</t>
        </is>
      </c>
      <c r="J102" s="19" t="inlineStr">
        <is>
          <t>Joseph Kosinski</t>
        </is>
      </c>
      <c r="K102" s="19" t="n">
        <v>155</v>
      </c>
      <c r="L102" s="19" t="inlineStr">
        <is>
          <t>Action, Drama, Sport</t>
        </is>
      </c>
      <c r="M102" s="19" t="inlineStr">
        <is>
          <t>Apple Original Films, Jerry Bruckheimer Films, Plan B Entertainment</t>
        </is>
      </c>
      <c r="N102" s="19" t="inlineStr">
        <is>
          <t>https://huggingface.co/datasets/HenryWaltson/TMDB-IMDB-Movies-Dataset</t>
        </is>
      </c>
      <c r="O102" s="19" t="inlineStr">
        <is>
          <t>https://www.formula1.com/en/latest/article/all-the-key-f1-the-movie-cast-members-and-the-characters-they-play.7gTzQ326rBLko6fiVTjvRH.7gTzQ326rBLko6fiVTjvRH</t>
        </is>
      </c>
      <c r="P102" s="18" t="inlineStr">
        <is>
          <t>Brad Pitt</t>
        </is>
      </c>
      <c r="Q102" s="18" t="inlineStr">
        <is>
          <t>Damson Idris</t>
        </is>
      </c>
      <c r="R102" s="18" t="inlineStr">
        <is>
          <t>Javier Bardem</t>
        </is>
      </c>
      <c r="S102" s="18" t="inlineStr">
        <is>
          <t>Kerry Condon</t>
        </is>
      </c>
      <c r="T102" s="18" t="inlineStr">
        <is>
          <t>Tobias Menzies</t>
        </is>
      </c>
      <c r="U102" s="24" t="n">
        <v>4</v>
      </c>
      <c r="V102" s="24" t="n">
        <v>1</v>
      </c>
      <c r="W102" s="18" t="inlineStr">
        <is>
          <t>Nominated</t>
        </is>
      </c>
      <c r="X102" s="25">
        <f t="array" ref="X102">IFERROR(INDEX(Ratings!$E$5:$E$500,MATCH(A102,Ratings!$A$5:$A$500,0)),"")</f>
        <v/>
      </c>
      <c r="Y102" s="24">
        <f t="array" ref="Y102">IFERROR(INDEX(Ratings!$G$5:$G$500,MATCH(A102,Ratings!$A$5:$A$500,0)),"")</f>
        <v/>
      </c>
      <c r="Z102" s="26">
        <f t="array" ref="Z102">IFERROR(INDEX(Ratings!$I$5:$I$500,MATCH(A102,Ratings!$A$5:$A$500,0)),"")</f>
        <v/>
      </c>
      <c r="AB102" s="18" t="inlineStr">
        <is>
          <t>12A</t>
        </is>
      </c>
    </row>
    <row r="103" ht="15.75" customHeight="1" s="108">
      <c r="A103" s="18" t="inlineStr">
        <is>
          <t>F0099</t>
        </is>
      </c>
      <c r="B103" s="18" t="inlineStr">
        <is>
          <t>The Fall Guy</t>
        </is>
      </c>
      <c r="C103" s="20" t="inlineStr">
        <is>
          <t>2024</t>
        </is>
      </c>
      <c r="D103" s="18" t="inlineStr">
        <is>
          <t>Blu-ray</t>
        </is>
      </c>
      <c r="E103" s="4" t="n"/>
      <c r="F103" s="19" t="n"/>
      <c r="G103" s="4" t="n"/>
      <c r="H103" s="4" t="n"/>
      <c r="I103" s="19" t="inlineStr">
        <is>
          <t>Fresh off an almost career-ending accident, stuntman Colt Seavers has to track down a missing movie star, solve a conspiracy and try to win back the love of his life while still doing his day job.</t>
        </is>
      </c>
      <c r="J103" s="19" t="inlineStr">
        <is>
          <t>David Leitch</t>
        </is>
      </c>
      <c r="K103" s="19" t="n">
        <v>127</v>
      </c>
      <c r="L103" s="19" t="inlineStr">
        <is>
          <t>Action, Adventure, Thriller</t>
        </is>
      </c>
      <c r="M103" s="19" t="inlineStr">
        <is>
          <t>Universal Pictures, 87North Productions, Entertainment 360</t>
        </is>
      </c>
      <c r="N103" s="19" t="inlineStr">
        <is>
          <t>https://huggingface.co/datasets/HenryWaltson/TMDB-IMDB-Movies-Dataset</t>
        </is>
      </c>
      <c r="O103" s="19" t="inlineStr">
        <is>
          <t>https://huggingface.co/datasets/HenryWaltson/TMDB-IMDB-Movies-Dataset</t>
        </is>
      </c>
      <c r="P103" s="18" t="inlineStr">
        <is>
          <t>Ryan Gosling</t>
        </is>
      </c>
      <c r="Q103" s="18" t="inlineStr">
        <is>
          <t>Emily Blunt</t>
        </is>
      </c>
      <c r="R103" s="18" t="inlineStr">
        <is>
          <t>Aaron Taylor-Johnson</t>
        </is>
      </c>
      <c r="S103" s="18" t="inlineStr">
        <is>
          <t>Hannah Waddingham</t>
        </is>
      </c>
      <c r="T103" s="18" t="inlineStr">
        <is>
          <t>Teresa Palmer</t>
        </is>
      </c>
      <c r="U103" s="24" t="n">
        <v>0</v>
      </c>
      <c r="V103" s="24" t="n">
        <v>0</v>
      </c>
      <c r="W103" s="4" t="n"/>
      <c r="X103" s="25">
        <f t="array" ref="X103">IFERROR(INDEX(Ratings!$E$5:$E$500,MATCH(A103,Ratings!$A$5:$A$500,0)),"")</f>
        <v/>
      </c>
      <c r="Y103" s="24">
        <f t="array" ref="Y103">IFERROR(INDEX(Ratings!$G$5:$G$500,MATCH(A103,Ratings!$A$5:$A$500,0)),"")</f>
        <v/>
      </c>
      <c r="Z103" s="26">
        <f t="array" ref="Z103">IFERROR(INDEX(Ratings!$I$5:$I$500,MATCH(A103,Ratings!$A$5:$A$500,0)),"")</f>
        <v/>
      </c>
      <c r="AB103" s="18" t="inlineStr">
        <is>
          <t>12A</t>
        </is>
      </c>
    </row>
    <row r="104" ht="15.75" customHeight="1" s="108">
      <c r="A104" s="18" t="inlineStr">
        <is>
          <t>F0100</t>
        </is>
      </c>
      <c r="B104" s="18" t="inlineStr">
        <is>
          <t>Fantastic Beasts and Where to Find Them</t>
        </is>
      </c>
      <c r="C104" s="20" t="inlineStr">
        <is>
          <t>2016</t>
        </is>
      </c>
      <c r="D104" s="18" t="inlineStr">
        <is>
          <t>Blu-ray</t>
        </is>
      </c>
      <c r="E104" s="18" t="inlineStr">
        <is>
          <t>Wizarding World</t>
        </is>
      </c>
      <c r="F104" s="19" t="n"/>
      <c r="G104" s="4" t="n"/>
      <c r="H104" s="4" t="n"/>
      <c r="I104" s="19" t="inlineStr">
        <is>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is>
      </c>
      <c r="J104" s="19" t="inlineStr">
        <is>
          <t>David Yates</t>
        </is>
      </c>
      <c r="K104" s="19" t="n">
        <v>132</v>
      </c>
      <c r="L104" s="19" t="inlineStr">
        <is>
          <t>Fantasy, Adventure, Family</t>
        </is>
      </c>
      <c r="M104" s="19" t="inlineStr">
        <is>
          <t>Heyday Films, Warner Bros. Pictures</t>
        </is>
      </c>
      <c r="N104" s="19" t="inlineStr">
        <is>
          <t>https://huggingface.co/datasets/HenryWaltson/TMDB-IMDB-Movies-Dataset</t>
        </is>
      </c>
      <c r="O104" s="19" t="inlineStr">
        <is>
          <t>https://huggingface.co/datasets/HenryWaltson/TMDB-IMDB-Movies-Dataset</t>
        </is>
      </c>
      <c r="P104" s="18" t="inlineStr">
        <is>
          <t>Eddie Redmayne</t>
        </is>
      </c>
      <c r="Q104" s="18" t="inlineStr">
        <is>
          <t>Katherine Waterston</t>
        </is>
      </c>
      <c r="R104" s="18" t="inlineStr">
        <is>
          <t>Dan Fogler</t>
        </is>
      </c>
      <c r="S104" s="18" t="inlineStr">
        <is>
          <t>Alison Sudol</t>
        </is>
      </c>
      <c r="T104" s="18" t="inlineStr">
        <is>
          <t>Colin Farrell</t>
        </is>
      </c>
      <c r="U104" s="24" t="n">
        <v>2</v>
      </c>
      <c r="V104" s="24" t="n">
        <v>1</v>
      </c>
      <c r="W104" s="4" t="n"/>
      <c r="X104" s="25">
        <f t="array" ref="X104">IFERROR(INDEX(Ratings!$E$5:$E$500,MATCH(A104,Ratings!$A$5:$A$500,0)),"")</f>
        <v/>
      </c>
      <c r="Y104" s="24">
        <f t="array" ref="Y104">IFERROR(INDEX(Ratings!$G$5:$G$500,MATCH(A104,Ratings!$A$5:$A$500,0)),"")</f>
        <v/>
      </c>
      <c r="Z104" s="26">
        <f t="array" ref="Z104">IFERROR(INDEX(Ratings!$I$5:$I$500,MATCH(A104,Ratings!$A$5:$A$500,0)),"")</f>
        <v/>
      </c>
      <c r="AB104" s="18" t="inlineStr">
        <is>
          <t>12A</t>
        </is>
      </c>
    </row>
    <row r="105" ht="15.75" customHeight="1" s="108">
      <c r="A105" s="18" t="inlineStr">
        <is>
          <t>F0101</t>
        </is>
      </c>
      <c r="B105" s="18" t="inlineStr">
        <is>
          <t>The Fast and the Furious</t>
        </is>
      </c>
      <c r="C105" s="20" t="inlineStr">
        <is>
          <t>2001</t>
        </is>
      </c>
      <c r="D105" s="18" t="inlineStr">
        <is>
          <t>Blu-ray</t>
        </is>
      </c>
      <c r="E105" s="18" t="inlineStr">
        <is>
          <t>Fast &amp; Furious</t>
        </is>
      </c>
      <c r="F105" s="19" t="n"/>
      <c r="G105" s="4" t="n"/>
      <c r="H105" s="4" t="n"/>
      <c r="I105" s="19" t="inlineStr">
        <is>
          <t>Dominic Toretto is a Los Angeles street racer suspected of masterminding a series of big-rig hijackings. When undercover cop Brian O'Conner infiltrates Toretto's iconoclastic crew, he falls for Toretto's sister and must choose a side: the gang or the LAPD.</t>
        </is>
      </c>
      <c r="J105" s="19" t="inlineStr">
        <is>
          <t>Rob Cohen</t>
        </is>
      </c>
      <c r="K105" s="19" t="n">
        <v>106</v>
      </c>
      <c r="L105" s="19" t="inlineStr">
        <is>
          <t>Action, Crime, Thriller</t>
        </is>
      </c>
      <c r="M105" s="19" t="inlineStr">
        <is>
          <t>Ardustry Entertainment, Universal Pictures, Original Film</t>
        </is>
      </c>
      <c r="N105" s="19" t="inlineStr">
        <is>
          <t>https://huggingface.co/datasets/HenryWaltson/TMDB-IMDB-Movies-Dataset</t>
        </is>
      </c>
      <c r="O105" s="19" t="inlineStr">
        <is>
          <t>https://huggingface.co/datasets/HenryWaltson/TMDB-IMDB-Movies-Dataset</t>
        </is>
      </c>
      <c r="P105" s="18" t="inlineStr">
        <is>
          <t>Paul Walker</t>
        </is>
      </c>
      <c r="Q105" s="18" t="inlineStr">
        <is>
          <t>Vin Diesel</t>
        </is>
      </c>
      <c r="R105" s="18" t="inlineStr">
        <is>
          <t>Michelle Rodriguez</t>
        </is>
      </c>
      <c r="S105" s="18" t="inlineStr">
        <is>
          <t>Jordana Brewster</t>
        </is>
      </c>
      <c r="T105" s="18" t="inlineStr">
        <is>
          <t>Rick Yune</t>
        </is>
      </c>
      <c r="U105" s="24" t="n">
        <v>0</v>
      </c>
      <c r="V105" s="24" t="n">
        <v>0</v>
      </c>
      <c r="W105" s="4" t="n"/>
      <c r="X105" s="25">
        <f t="array" ref="X105">IFERROR(INDEX(Ratings!$E$5:$E$500,MATCH(A105,Ratings!$A$5:$A$500,0)),"")</f>
        <v/>
      </c>
      <c r="Y105" s="24">
        <f t="array" ref="Y105">IFERROR(INDEX(Ratings!$G$5:$G$500,MATCH(A105,Ratings!$A$5:$A$500,0)),"")</f>
        <v/>
      </c>
      <c r="Z105" s="26">
        <f t="array" ref="Z105">IFERROR(INDEX(Ratings!$I$5:$I$500,MATCH(A105,Ratings!$A$5:$A$500,0)),"")</f>
        <v/>
      </c>
      <c r="AB105" s="18" t="inlineStr">
        <is>
          <t>15</t>
        </is>
      </c>
    </row>
    <row r="106" ht="15.75" customHeight="1" s="108">
      <c r="A106" s="18" t="inlineStr">
        <is>
          <t>F0102</t>
        </is>
      </c>
      <c r="B106" s="18" t="inlineStr">
        <is>
          <t>2 Fast 2 Furious</t>
        </is>
      </c>
      <c r="C106" s="20" t="inlineStr">
        <is>
          <t>2003</t>
        </is>
      </c>
      <c r="D106" s="18" t="inlineStr">
        <is>
          <t>Blu-ray</t>
        </is>
      </c>
      <c r="E106" s="18" t="inlineStr">
        <is>
          <t>Fast &amp; Furious</t>
        </is>
      </c>
      <c r="F106" s="19" t="n"/>
      <c r="G106" s="18" t="inlineStr">
        <is>
          <t>Yes</t>
        </is>
      </c>
      <c r="H106" s="18" t="inlineStr">
        <is>
          <t>⭐⭐⭐</t>
        </is>
      </c>
      <c r="I106" s="19" t="inlineStr">
        <is>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is>
      </c>
      <c r="J106" s="19" t="inlineStr">
        <is>
          <t>John Singleton</t>
        </is>
      </c>
      <c r="K106" s="19" t="n">
        <v>108</v>
      </c>
      <c r="L106" s="19" t="inlineStr">
        <is>
          <t>Action, Crime, Thriller</t>
        </is>
      </c>
      <c r="M106" s="19" t="inlineStr">
        <is>
          <t>Ardustry Entertainment, Mikona Productions, Original Film</t>
        </is>
      </c>
      <c r="N106" s="19" t="inlineStr">
        <is>
          <t>https://huggingface.co/datasets/HenryWaltson/TMDB-IMDB-Movies-Dataset</t>
        </is>
      </c>
      <c r="O106" s="19" t="inlineStr">
        <is>
          <t>https://huggingface.co/datasets/HenryWaltson/TMDB-IMDB-Movies-Dataset</t>
        </is>
      </c>
      <c r="P106" s="18" t="inlineStr">
        <is>
          <t>Paul Walker</t>
        </is>
      </c>
      <c r="Q106" s="18" t="inlineStr">
        <is>
          <t>Tyrese Gibson</t>
        </is>
      </c>
      <c r="R106" s="18" t="inlineStr">
        <is>
          <t>Eva Mendes</t>
        </is>
      </c>
      <c r="S106" s="18" t="inlineStr">
        <is>
          <t>Cole Hauser</t>
        </is>
      </c>
      <c r="T106" s="18" t="inlineStr">
        <is>
          <t>Ludacris</t>
        </is>
      </c>
      <c r="U106" s="24" t="n">
        <v>0</v>
      </c>
      <c r="V106" s="24" t="n">
        <v>0</v>
      </c>
      <c r="W106" s="4" t="n"/>
      <c r="X106" s="25">
        <f t="array" ref="X106">IFERROR(INDEX(Ratings!$E$5:$E$500,MATCH(A106,Ratings!$A$5:$A$500,0)),"")</f>
        <v/>
      </c>
      <c r="Y106" s="24">
        <f t="array" ref="Y106">IFERROR(INDEX(Ratings!$G$5:$G$500,MATCH(A106,Ratings!$A$5:$A$500,0)),"")</f>
        <v/>
      </c>
      <c r="Z106" s="26">
        <f t="array" ref="Z106">IFERROR(INDEX(Ratings!$I$5:$I$500,MATCH(A106,Ratings!$A$5:$A$500,0)),"")</f>
        <v/>
      </c>
      <c r="AB106" s="18" t="inlineStr">
        <is>
          <t>12A</t>
        </is>
      </c>
    </row>
    <row r="107" ht="15.75" customHeight="1" s="108">
      <c r="A107" s="18" t="inlineStr">
        <is>
          <t>F0103</t>
        </is>
      </c>
      <c r="B107" s="18" t="inlineStr">
        <is>
          <t>The Fast and the Furious: Tokyo Drift</t>
        </is>
      </c>
      <c r="C107" s="20" t="inlineStr">
        <is>
          <t>2006</t>
        </is>
      </c>
      <c r="D107" s="18" t="inlineStr">
        <is>
          <t>Blu-ray</t>
        </is>
      </c>
      <c r="E107" s="18" t="inlineStr">
        <is>
          <t>Fast &amp; Furious</t>
        </is>
      </c>
      <c r="F107" s="19" t="n"/>
      <c r="G107" s="4" t="n"/>
      <c r="H107" s="4" t="n"/>
      <c r="I107" s="19" t="inlineStr">
        <is>
          <t>In order to avoid a jail sentence, Sean Boswell heads to Tokyo to live with his military father. In a low-rent section of the city, Sean gets caught up in the underground world of drift racing</t>
        </is>
      </c>
      <c r="J107" s="19" t="inlineStr">
        <is>
          <t>Justin Lin</t>
        </is>
      </c>
      <c r="K107" s="19" t="n">
        <v>104</v>
      </c>
      <c r="L107" s="19" t="inlineStr">
        <is>
          <t>Action, Crime, Drama, Thriller</t>
        </is>
      </c>
      <c r="M107" s="19" t="inlineStr">
        <is>
          <t>MP Munich Pape Filmproductions, Original Film, Relativity Media</t>
        </is>
      </c>
      <c r="N107" s="19" t="inlineStr">
        <is>
          <t>https://huggingface.co/datasets/HenryWaltson/TMDB-IMDB-Movies-Dataset</t>
        </is>
      </c>
      <c r="O107" s="19" t="inlineStr">
        <is>
          <t>https://huggingface.co/datasets/HenryWaltson/TMDB-IMDB-Movies-Dataset</t>
        </is>
      </c>
      <c r="P107" s="18" t="inlineStr">
        <is>
          <t>Lucas Black</t>
        </is>
      </c>
      <c r="Q107" s="18" t="inlineStr">
        <is>
          <t>Nathalie Kelley</t>
        </is>
      </c>
      <c r="R107" s="18" t="inlineStr">
        <is>
          <t>Sung Kang</t>
        </is>
      </c>
      <c r="S107" s="18" t="inlineStr">
        <is>
          <t>Shad Moss</t>
        </is>
      </c>
      <c r="T107" s="18" t="inlineStr">
        <is>
          <t>Brian Tee</t>
        </is>
      </c>
      <c r="U107" s="24" t="n">
        <v>0</v>
      </c>
      <c r="V107" s="24" t="n">
        <v>0</v>
      </c>
      <c r="W107" s="4" t="n"/>
      <c r="X107" s="25">
        <f t="array" ref="X107">IFERROR(INDEX(Ratings!$E$5:$E$500,MATCH(A107,Ratings!$A$5:$A$500,0)),"")</f>
        <v/>
      </c>
      <c r="Y107" s="24">
        <f t="array" ref="Y107">IFERROR(INDEX(Ratings!$G$5:$G$500,MATCH(A107,Ratings!$A$5:$A$500,0)),"")</f>
        <v/>
      </c>
      <c r="Z107" s="26">
        <f t="array" ref="Z107">IFERROR(INDEX(Ratings!$I$5:$I$500,MATCH(A107,Ratings!$A$5:$A$500,0)),"")</f>
        <v/>
      </c>
      <c r="AB107" s="18" t="inlineStr">
        <is>
          <t>12A</t>
        </is>
      </c>
    </row>
    <row r="108" ht="15.75" customHeight="1" s="108">
      <c r="A108" s="18" t="inlineStr">
        <is>
          <t>F0104</t>
        </is>
      </c>
      <c r="B108" s="18" t="inlineStr">
        <is>
          <t>Fast &amp; Furious</t>
        </is>
      </c>
      <c r="C108" s="20" t="inlineStr">
        <is>
          <t>2009</t>
        </is>
      </c>
      <c r="D108" s="18" t="inlineStr">
        <is>
          <t>Blu-ray</t>
        </is>
      </c>
      <c r="E108" s="18" t="inlineStr">
        <is>
          <t>Fast &amp; Furious</t>
        </is>
      </c>
      <c r="F108" s="19" t="n"/>
      <c r="G108" s="4" t="n"/>
      <c r="H108" s="4" t="n"/>
      <c r="I108" s="19" t="inlineStr">
        <is>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is>
      </c>
      <c r="J108" s="19" t="inlineStr">
        <is>
          <t>Justin Lin</t>
        </is>
      </c>
      <c r="K108" s="19" t="n">
        <v>107</v>
      </c>
      <c r="L108" s="19" t="inlineStr">
        <is>
          <t>Action, Crime, Drama, Thriller</t>
        </is>
      </c>
      <c r="M108" s="19" t="inlineStr">
        <is>
          <t>dentsu, Universal Pictures, Relativity Media</t>
        </is>
      </c>
      <c r="N108" s="19" t="inlineStr">
        <is>
          <t>https://huggingface.co/datasets/HenryWaltson/TMDB-IMDB-Movies-Dataset</t>
        </is>
      </c>
      <c r="O108" s="19" t="inlineStr">
        <is>
          <t>https://huggingface.co/datasets/HenryWaltson/TMDB-IMDB-Movies-Dataset</t>
        </is>
      </c>
      <c r="P108" s="18" t="inlineStr">
        <is>
          <t>Vin Diesel</t>
        </is>
      </c>
      <c r="Q108" s="18" t="inlineStr">
        <is>
          <t>Paul Walker</t>
        </is>
      </c>
      <c r="R108" s="18" t="inlineStr">
        <is>
          <t>Michelle Rodriguez</t>
        </is>
      </c>
      <c r="S108" s="18" t="inlineStr">
        <is>
          <t>Jordana Brewster</t>
        </is>
      </c>
      <c r="T108" s="18" t="inlineStr">
        <is>
          <t>John Ortiz</t>
        </is>
      </c>
      <c r="U108" s="24" t="n">
        <v>0</v>
      </c>
      <c r="V108" s="24" t="n">
        <v>0</v>
      </c>
      <c r="W108" s="4" t="n"/>
      <c r="X108" s="25">
        <f t="array" ref="X108">IFERROR(INDEX(Ratings!$E$5:$E$500,MATCH(A108,Ratings!$A$5:$A$500,0)),"")</f>
        <v/>
      </c>
      <c r="Y108" s="24">
        <f t="array" ref="Y108">IFERROR(INDEX(Ratings!$G$5:$G$500,MATCH(A108,Ratings!$A$5:$A$500,0)),"")</f>
        <v/>
      </c>
      <c r="Z108" s="26">
        <f t="array" ref="Z108">IFERROR(INDEX(Ratings!$I$5:$I$500,MATCH(A108,Ratings!$A$5:$A$500,0)),"")</f>
        <v/>
      </c>
      <c r="AB108" s="18" t="inlineStr">
        <is>
          <t>12A</t>
        </is>
      </c>
    </row>
    <row r="109" ht="15.75" customHeight="1" s="108">
      <c r="A109" s="18" t="inlineStr">
        <is>
          <t>F0105</t>
        </is>
      </c>
      <c r="B109" s="18" t="inlineStr">
        <is>
          <t>Fast Five</t>
        </is>
      </c>
      <c r="C109" s="20" t="inlineStr">
        <is>
          <t>2011</t>
        </is>
      </c>
      <c r="D109" s="18" t="inlineStr">
        <is>
          <t>Blu-ray</t>
        </is>
      </c>
      <c r="E109" s="18" t="inlineStr">
        <is>
          <t>Fast &amp; Furious</t>
        </is>
      </c>
      <c r="F109" s="19" t="n"/>
      <c r="G109" s="4" t="n"/>
      <c r="H109" s="4" t="n"/>
      <c r="I109" s="19" t="inlineStr">
        <is>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is>
      </c>
      <c r="J109" s="19" t="inlineStr">
        <is>
          <t>Justin Lin</t>
        </is>
      </c>
      <c r="K109" s="19" t="n">
        <v>130</v>
      </c>
      <c r="L109" s="19" t="inlineStr">
        <is>
          <t>Action, Thriller, Crime</t>
        </is>
      </c>
      <c r="M109" s="19" t="inlineStr">
        <is>
          <t>Original Film, Universal Pictures, One Race</t>
        </is>
      </c>
      <c r="N109" s="19" t="inlineStr">
        <is>
          <t>https://huggingface.co/datasets/HenryWaltson/TMDB-IMDB-Movies-Dataset</t>
        </is>
      </c>
      <c r="O109" s="19" t="inlineStr">
        <is>
          <t>https://huggingface.co/datasets/HenryWaltson/TMDB-IMDB-Movies-Dataset</t>
        </is>
      </c>
      <c r="P109" s="18" t="inlineStr">
        <is>
          <t>Vin Diesel</t>
        </is>
      </c>
      <c r="Q109" s="18" t="inlineStr">
        <is>
          <t>Paul Walker</t>
        </is>
      </c>
      <c r="R109" s="18" t="inlineStr">
        <is>
          <t>Dwayne Johnson</t>
        </is>
      </c>
      <c r="S109" s="18" t="inlineStr">
        <is>
          <t>Jordana Brewster</t>
        </is>
      </c>
      <c r="T109" s="18" t="inlineStr">
        <is>
          <t>Tyrese Gibson</t>
        </is>
      </c>
      <c r="U109" s="24" t="n">
        <v>0</v>
      </c>
      <c r="V109" s="24" t="n">
        <v>0</v>
      </c>
      <c r="W109" s="4" t="n"/>
      <c r="X109" s="25">
        <f t="array" ref="X109">IFERROR(INDEX(Ratings!$E$5:$E$500,MATCH(A109,Ratings!$A$5:$A$500,0)),"")</f>
        <v/>
      </c>
      <c r="Y109" s="24">
        <f t="array" ref="Y109">IFERROR(INDEX(Ratings!$G$5:$G$500,MATCH(A109,Ratings!$A$5:$A$500,0)),"")</f>
        <v/>
      </c>
      <c r="Z109" s="26">
        <f t="array" ref="Z109">IFERROR(INDEX(Ratings!$I$5:$I$500,MATCH(A109,Ratings!$A$5:$A$500,0)),"")</f>
        <v/>
      </c>
      <c r="AB109" s="18" t="inlineStr">
        <is>
          <t>12A</t>
        </is>
      </c>
    </row>
    <row r="110" ht="15.75" customHeight="1" s="108">
      <c r="A110" s="18" t="inlineStr">
        <is>
          <t>F0106</t>
        </is>
      </c>
      <c r="B110" s="18" t="inlineStr">
        <is>
          <t>Fast &amp; Furious 6</t>
        </is>
      </c>
      <c r="C110" s="20" t="inlineStr">
        <is>
          <t>2013</t>
        </is>
      </c>
      <c r="D110" s="18" t="inlineStr">
        <is>
          <t>Blu-ray</t>
        </is>
      </c>
      <c r="E110" s="18" t="inlineStr">
        <is>
          <t>Fast &amp; Furious</t>
        </is>
      </c>
      <c r="F110" s="19" t="n"/>
      <c r="G110" s="4" t="n"/>
      <c r="H110" s="4" t="n"/>
      <c r="I110" s="19" t="inlineStr">
        <is>
          <t>Hobbs has Dominic and Brian reassemble their crew to take down a team of mercenaries; Dominic unexpectedly gets sidetracked with facing his presumed deceased girlfriend, Letty.</t>
        </is>
      </c>
      <c r="J110" s="19" t="inlineStr">
        <is>
          <t>Justin Lin</t>
        </is>
      </c>
      <c r="K110" s="19" t="n">
        <v>131</v>
      </c>
      <c r="L110" s="19" t="inlineStr">
        <is>
          <t>Action, Thriller, Crime</t>
        </is>
      </c>
      <c r="M110" s="19" t="inlineStr">
        <is>
          <t>Universal Pictures, Relativity Media, Original Film</t>
        </is>
      </c>
      <c r="N110" s="19" t="inlineStr">
        <is>
          <t>https://huggingface.co/datasets/HenryWaltson/TMDB-IMDB-Movies-Dataset</t>
        </is>
      </c>
      <c r="O110" s="19" t="inlineStr">
        <is>
          <t>https://huggingface.co/datasets/HenryWaltson/TMDB-IMDB-Movies-Dataset</t>
        </is>
      </c>
      <c r="P110" s="18" t="inlineStr">
        <is>
          <t>Vin Diesel</t>
        </is>
      </c>
      <c r="Q110" s="18" t="inlineStr">
        <is>
          <t>Paul Walker</t>
        </is>
      </c>
      <c r="R110" s="18" t="inlineStr">
        <is>
          <t>Dwayne Johnson</t>
        </is>
      </c>
      <c r="S110" s="18" t="inlineStr">
        <is>
          <t>Jordana Brewster</t>
        </is>
      </c>
      <c r="T110" s="18" t="inlineStr">
        <is>
          <t>Michelle Rodriguez</t>
        </is>
      </c>
      <c r="U110" s="24" t="n">
        <v>0</v>
      </c>
      <c r="V110" s="24" t="n">
        <v>0</v>
      </c>
      <c r="W110" s="4" t="n"/>
      <c r="X110" s="25">
        <f t="array" ref="X110">IFERROR(INDEX(Ratings!$E$5:$E$500,MATCH(A110,Ratings!$A$5:$A$500,0)),"")</f>
        <v/>
      </c>
      <c r="Y110" s="24">
        <f t="array" ref="Y110">IFERROR(INDEX(Ratings!$G$5:$G$500,MATCH(A110,Ratings!$A$5:$A$500,0)),"")</f>
        <v/>
      </c>
      <c r="Z110" s="26">
        <f t="array" ref="Z110">IFERROR(INDEX(Ratings!$I$5:$I$500,MATCH(A110,Ratings!$A$5:$A$500,0)),"")</f>
        <v/>
      </c>
      <c r="AB110" s="18" t="inlineStr">
        <is>
          <t>12A</t>
        </is>
      </c>
    </row>
    <row r="111" ht="15.75" customHeight="1" s="108">
      <c r="A111" s="18" t="inlineStr">
        <is>
          <t>F0107</t>
        </is>
      </c>
      <c r="B111" s="18" t="inlineStr">
        <is>
          <t>Furious 7</t>
        </is>
      </c>
      <c r="C111" s="20" t="inlineStr">
        <is>
          <t>2015</t>
        </is>
      </c>
      <c r="D111" s="18" t="inlineStr">
        <is>
          <t>Blu-ray</t>
        </is>
      </c>
      <c r="E111" s="18" t="inlineStr">
        <is>
          <t>Fast &amp; Furious</t>
        </is>
      </c>
      <c r="F111" s="19" t="n"/>
      <c r="G111" s="4" t="n"/>
      <c r="H111" s="4" t="n"/>
      <c r="I111" s="19" t="inlineStr">
        <is>
          <t>Deckard Shaw seeks revenge against Dominic Toretto and his family for his comatose brother.</t>
        </is>
      </c>
      <c r="J111" s="19" t="inlineStr">
        <is>
          <t>James Wan</t>
        </is>
      </c>
      <c r="K111" s="19" t="n">
        <v>137</v>
      </c>
      <c r="L111" s="19" t="inlineStr">
        <is>
          <t>Action, Thriller, Crime</t>
        </is>
      </c>
      <c r="M111" s="19" t="inlineStr">
        <is>
          <t>Original Film, One Race, Universal Pictures</t>
        </is>
      </c>
      <c r="N111" s="19" t="inlineStr">
        <is>
          <t>https://huggingface.co/datasets/HenryWaltson/TMDB-IMDB-Movies-Dataset</t>
        </is>
      </c>
      <c r="O111" s="19" t="inlineStr">
        <is>
          <t>https://huggingface.co/datasets/HenryWaltson/TMDB-IMDB-Movies-Dataset</t>
        </is>
      </c>
      <c r="P111" s="18" t="inlineStr">
        <is>
          <t>Vin Diesel</t>
        </is>
      </c>
      <c r="Q111" s="18" t="inlineStr">
        <is>
          <t>Paul Walker</t>
        </is>
      </c>
      <c r="R111" s="18" t="inlineStr">
        <is>
          <t>Jason Statham</t>
        </is>
      </c>
      <c r="S111" s="18" t="inlineStr">
        <is>
          <t>Michelle Rodriguez</t>
        </is>
      </c>
      <c r="T111" s="18" t="inlineStr">
        <is>
          <t>Jordana Brewster</t>
        </is>
      </c>
      <c r="U111" s="24" t="n">
        <v>0</v>
      </c>
      <c r="V111" s="24" t="n">
        <v>0</v>
      </c>
      <c r="W111" s="4" t="n"/>
      <c r="X111" s="25">
        <f t="array" ref="X111">IFERROR(INDEX(Ratings!$E$5:$E$500,MATCH(A111,Ratings!$A$5:$A$500,0)),"")</f>
        <v/>
      </c>
      <c r="Y111" s="24">
        <f t="array" ref="Y111">IFERROR(INDEX(Ratings!$G$5:$G$500,MATCH(A111,Ratings!$A$5:$A$500,0)),"")</f>
        <v/>
      </c>
      <c r="Z111" s="26">
        <f t="array" ref="Z111">IFERROR(INDEX(Ratings!$I$5:$I$500,MATCH(A111,Ratings!$A$5:$A$500,0)),"")</f>
        <v/>
      </c>
      <c r="AB111" s="18" t="inlineStr">
        <is>
          <t>12A</t>
        </is>
      </c>
    </row>
    <row r="112" ht="15.75" customHeight="1" s="108">
      <c r="A112" s="18" t="inlineStr">
        <is>
          <t>F0108</t>
        </is>
      </c>
      <c r="B112" s="18" t="inlineStr">
        <is>
          <t>The Fate of the Furious</t>
        </is>
      </c>
      <c r="C112" s="20" t="inlineStr">
        <is>
          <t>2017</t>
        </is>
      </c>
      <c r="D112" s="18" t="inlineStr">
        <is>
          <t>Blu-ray</t>
        </is>
      </c>
      <c r="E112" s="18" t="inlineStr">
        <is>
          <t>Fast &amp; Furious</t>
        </is>
      </c>
      <c r="F112" s="19" t="n"/>
      <c r="G112" s="4" t="n"/>
      <c r="H112" s="4" t="n"/>
      <c r="I112" s="19" t="inlineStr">
        <is>
          <t>When a mysterious woman seduces Dom into the world of crime and a betrayal of those closest to him, the crew face trials that will test them as never before.</t>
        </is>
      </c>
      <c r="J112" s="19" t="inlineStr">
        <is>
          <t>F. Gary Gray</t>
        </is>
      </c>
      <c r="K112" s="19" t="n">
        <v>136</v>
      </c>
      <c r="L112" s="19" t="inlineStr">
        <is>
          <t>Action, Crime, Thriller</t>
        </is>
      </c>
      <c r="M112" s="19" t="inlineStr">
        <is>
          <t>Original Film, One Race, Universal Pictures</t>
        </is>
      </c>
      <c r="N112" s="19" t="inlineStr">
        <is>
          <t>https://huggingface.co/datasets/HenryWaltson/TMDB-IMDB-Movies-Dataset</t>
        </is>
      </c>
      <c r="O112" s="19" t="inlineStr">
        <is>
          <t>https://huggingface.co/datasets/HenryWaltson/TMDB-IMDB-Movies-Dataset</t>
        </is>
      </c>
      <c r="P112" s="18" t="inlineStr">
        <is>
          <t>Vin Diesel</t>
        </is>
      </c>
      <c r="Q112" s="18" t="inlineStr">
        <is>
          <t>Jason Statham</t>
        </is>
      </c>
      <c r="R112" s="18" t="inlineStr">
        <is>
          <t>Dwayne Johnson</t>
        </is>
      </c>
      <c r="S112" s="18" t="inlineStr">
        <is>
          <t>Michelle Rodriguez</t>
        </is>
      </c>
      <c r="T112" s="18" t="inlineStr">
        <is>
          <t>Tyrese Gibson</t>
        </is>
      </c>
      <c r="U112" s="24" t="n">
        <v>0</v>
      </c>
      <c r="V112" s="24" t="n">
        <v>0</v>
      </c>
      <c r="W112" s="4" t="n"/>
      <c r="X112" s="25">
        <f t="array" ref="X112">IFERROR(INDEX(Ratings!$E$5:$E$500,MATCH(A112,Ratings!$A$5:$A$500,0)),"")</f>
        <v/>
      </c>
      <c r="Y112" s="24">
        <f t="array" ref="Y112">IFERROR(INDEX(Ratings!$G$5:$G$500,MATCH(A112,Ratings!$A$5:$A$500,0)),"")</f>
        <v/>
      </c>
      <c r="Z112" s="26">
        <f t="array" ref="Z112">IFERROR(INDEX(Ratings!$I$5:$I$500,MATCH(A112,Ratings!$A$5:$A$500,0)),"")</f>
        <v/>
      </c>
      <c r="AB112" s="18" t="inlineStr">
        <is>
          <t>12A</t>
        </is>
      </c>
    </row>
    <row r="113" ht="15.75" customHeight="1" s="108">
      <c r="A113" s="18" t="inlineStr">
        <is>
          <t>F0109</t>
        </is>
      </c>
      <c r="B113" s="18" t="inlineStr">
        <is>
          <t>F9: The Fast Saga</t>
        </is>
      </c>
      <c r="C113" s="20" t="inlineStr">
        <is>
          <t>2021</t>
        </is>
      </c>
      <c r="D113" s="18" t="inlineStr">
        <is>
          <t>Blu-ray</t>
        </is>
      </c>
      <c r="E113" s="18" t="inlineStr">
        <is>
          <t>Fast &amp; Furious</t>
        </is>
      </c>
      <c r="F113" s="19" t="n"/>
      <c r="G113" s="4" t="n"/>
      <c r="H113" s="4" t="n"/>
      <c r="I113" s="19" t="inlineStr">
        <is>
          <t>Dominic Toretto and his crew battle the most skilled assassin and high-performance driver they've ever encountered: his forsaken brother.</t>
        </is>
      </c>
      <c r="J113" s="19" t="inlineStr">
        <is>
          <t>Justin Lin</t>
        </is>
      </c>
      <c r="K113" s="19" t="n">
        <v>143</v>
      </c>
      <c r="L113" s="19" t="inlineStr">
        <is>
          <t>Action, Adventure, Crime</t>
        </is>
      </c>
      <c r="M113" s="19" t="inlineStr">
        <is>
          <t>Universal Pictures, Original Film, One Race</t>
        </is>
      </c>
      <c r="N113" s="19" t="inlineStr">
        <is>
          <t>https://huggingface.co/datasets/HenryWaltson/TMDB-IMDB-Movies-Dataset</t>
        </is>
      </c>
      <c r="O113" s="19" t="inlineStr">
        <is>
          <t>https://huggingface.co/datasets/HenryWaltson/TMDB-IMDB-Movies-Dataset</t>
        </is>
      </c>
      <c r="P113" s="18" t="inlineStr">
        <is>
          <t>Vin Diesel</t>
        </is>
      </c>
      <c r="Q113" s="18" t="inlineStr">
        <is>
          <t>Michelle Rodriguez</t>
        </is>
      </c>
      <c r="R113" s="18" t="inlineStr">
        <is>
          <t>Tyrese Gibson</t>
        </is>
      </c>
      <c r="S113" s="18" t="inlineStr">
        <is>
          <t>Ludacris</t>
        </is>
      </c>
      <c r="T113" s="18" t="inlineStr">
        <is>
          <t>John Cena</t>
        </is>
      </c>
      <c r="U113" s="24" t="n">
        <v>0</v>
      </c>
      <c r="V113" s="24" t="n">
        <v>0</v>
      </c>
      <c r="W113" s="4" t="n"/>
      <c r="X113" s="25">
        <f t="array" ref="X113">IFERROR(INDEX(Ratings!$E$5:$E$500,MATCH(A113,Ratings!$A$5:$A$500,0)),"")</f>
        <v/>
      </c>
      <c r="Y113" s="24">
        <f t="array" ref="Y113">IFERROR(INDEX(Ratings!$G$5:$G$500,MATCH(A113,Ratings!$A$5:$A$500,0)),"")</f>
        <v/>
      </c>
      <c r="Z113" s="26">
        <f t="array" ref="Z113">IFERROR(INDEX(Ratings!$I$5:$I$500,MATCH(A113,Ratings!$A$5:$A$500,0)),"")</f>
        <v/>
      </c>
      <c r="AB113" s="18" t="inlineStr">
        <is>
          <t>12A</t>
        </is>
      </c>
    </row>
    <row r="114" ht="15.75" customHeight="1" s="108">
      <c r="A114" s="18" t="inlineStr">
        <is>
          <t>F0110</t>
        </is>
      </c>
      <c r="B114" s="18" t="inlineStr">
        <is>
          <t>Fast X</t>
        </is>
      </c>
      <c r="C114" s="20" t="inlineStr">
        <is>
          <t>2023</t>
        </is>
      </c>
      <c r="D114" s="18" t="inlineStr">
        <is>
          <t>Blu-ray</t>
        </is>
      </c>
      <c r="E114" s="18" t="inlineStr">
        <is>
          <t>Fast &amp; Furious</t>
        </is>
      </c>
      <c r="F114" s="19" t="n"/>
      <c r="G114" s="4" t="n"/>
      <c r="H114" s="4" t="n"/>
      <c r="I114" s="19" t="inlineStr">
        <is>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everything—and everyone—that Dom loves, forever.</t>
        </is>
      </c>
      <c r="J114" s="19" t="inlineStr">
        <is>
          <t>Louis Leterrier</t>
        </is>
      </c>
      <c r="K114" s="19" t="n">
        <v>142</v>
      </c>
      <c r="L114" s="19" t="inlineStr">
        <is>
          <t>Action, Crime, Thriller</t>
        </is>
      </c>
      <c r="M114" s="19" t="inlineStr">
        <is>
          <t>Universal Pictures, Original Film, One Race</t>
        </is>
      </c>
      <c r="N114" s="19" t="inlineStr">
        <is>
          <t>https://huggingface.co/datasets/HenryWaltson/TMDB-IMDB-Movies-Dataset</t>
        </is>
      </c>
      <c r="O114" s="19" t="inlineStr">
        <is>
          <t>https://huggingface.co/datasets/HenryWaltson/TMDB-IMDB-Movies-Dataset</t>
        </is>
      </c>
      <c r="P114" s="18" t="inlineStr">
        <is>
          <t>Vin Diesel</t>
        </is>
      </c>
      <c r="Q114" s="18" t="inlineStr">
        <is>
          <t>Michelle Rodriguez</t>
        </is>
      </c>
      <c r="R114" s="18" t="inlineStr">
        <is>
          <t>Tyrese Gibson</t>
        </is>
      </c>
      <c r="S114" s="18" t="inlineStr">
        <is>
          <t>Ludacris</t>
        </is>
      </c>
      <c r="T114" s="18" t="inlineStr">
        <is>
          <t>John Cena</t>
        </is>
      </c>
      <c r="U114" s="24" t="n">
        <v>0</v>
      </c>
      <c r="V114" s="24" t="n">
        <v>0</v>
      </c>
      <c r="W114" s="4" t="n"/>
      <c r="X114" s="25">
        <f t="array" ref="X114">IFERROR(INDEX(Ratings!$E$5:$E$500,MATCH(A114,Ratings!$A$5:$A$500,0)),"")</f>
        <v/>
      </c>
      <c r="Y114" s="24">
        <f t="array" ref="Y114">IFERROR(INDEX(Ratings!$G$5:$G$500,MATCH(A114,Ratings!$A$5:$A$500,0)),"")</f>
        <v/>
      </c>
      <c r="Z114" s="26">
        <f t="array" ref="Z114">IFERROR(INDEX(Ratings!$I$5:$I$500,MATCH(A114,Ratings!$A$5:$A$500,0)),"")</f>
        <v/>
      </c>
      <c r="AB114" s="18" t="inlineStr">
        <is>
          <t>12A</t>
        </is>
      </c>
    </row>
    <row r="115" ht="15.75" customHeight="1" s="108">
      <c r="A115" s="18" t="inlineStr">
        <is>
          <t>F0111</t>
        </is>
      </c>
      <c r="B115" s="18" t="inlineStr">
        <is>
          <t>Fast &amp; Furious Presents: Hobbs &amp; Shaw</t>
        </is>
      </c>
      <c r="C115" s="20" t="inlineStr">
        <is>
          <t>2019</t>
        </is>
      </c>
      <c r="D115" s="18" t="inlineStr">
        <is>
          <t>Blu-ray</t>
        </is>
      </c>
      <c r="E115" s="18" t="inlineStr">
        <is>
          <t>Fast &amp; Furious</t>
        </is>
      </c>
      <c r="F115" s="19" t="n"/>
      <c r="G115" s="4" t="n"/>
      <c r="H115" s="4" t="n"/>
      <c r="I115" s="19" t="inlineStr">
        <is>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is>
      </c>
      <c r="J115" s="19" t="inlineStr">
        <is>
          <t>David Leitch</t>
        </is>
      </c>
      <c r="K115" s="19" t="n">
        <v>137</v>
      </c>
      <c r="L115" s="19" t="inlineStr">
        <is>
          <t>Action, Adventure, Comedy</t>
        </is>
      </c>
      <c r="M115" s="19" t="inlineStr">
        <is>
          <t>Universal Pictures, Seven Bucks Productions, Chris Morgan Productions</t>
        </is>
      </c>
      <c r="N115" s="19" t="inlineStr">
        <is>
          <t>https://huggingface.co/datasets/HenryWaltson/TMDB-IMDB-Movies-Dataset</t>
        </is>
      </c>
      <c r="O115" s="19" t="inlineStr">
        <is>
          <t>https://huggingface.co/datasets/HenryWaltson/TMDB-IMDB-Movies-Dataset</t>
        </is>
      </c>
      <c r="P115" s="18" t="inlineStr">
        <is>
          <t>Dwayne Johnson</t>
        </is>
      </c>
      <c r="Q115" s="18" t="inlineStr">
        <is>
          <t>Jason Statham</t>
        </is>
      </c>
      <c r="R115" s="18" t="inlineStr">
        <is>
          <t>Idris Elba</t>
        </is>
      </c>
      <c r="S115" s="18" t="inlineStr">
        <is>
          <t>Vanessa Kirby</t>
        </is>
      </c>
      <c r="T115" s="18" t="inlineStr">
        <is>
          <t>Helen Mirren</t>
        </is>
      </c>
      <c r="U115" s="24" t="n">
        <v>0</v>
      </c>
      <c r="V115" s="24" t="n">
        <v>0</v>
      </c>
      <c r="W115" s="4" t="n"/>
      <c r="X115" s="25">
        <f t="array" ref="X115">IFERROR(INDEX(Ratings!$E$5:$E$500,MATCH(A115,Ratings!$A$5:$A$500,0)),"")</f>
        <v/>
      </c>
      <c r="Y115" s="24">
        <f t="array" ref="Y115">IFERROR(INDEX(Ratings!$G$5:$G$500,MATCH(A115,Ratings!$A$5:$A$500,0)),"")</f>
        <v/>
      </c>
      <c r="Z115" s="26">
        <f t="array" ref="Z115">IFERROR(INDEX(Ratings!$I$5:$I$500,MATCH(A115,Ratings!$A$5:$A$500,0)),"")</f>
        <v/>
      </c>
      <c r="AB115" s="18" t="inlineStr">
        <is>
          <t>12A</t>
        </is>
      </c>
    </row>
    <row r="116" ht="15.75" customHeight="1" s="108">
      <c r="A116" s="18" t="inlineStr">
        <is>
          <t>F0112</t>
        </is>
      </c>
      <c r="B116" s="18" t="inlineStr">
        <is>
          <t>Fight Club</t>
        </is>
      </c>
      <c r="C116" s="20" t="inlineStr">
        <is>
          <t>1999</t>
        </is>
      </c>
      <c r="D116" s="18" t="inlineStr">
        <is>
          <t>Blu-ray</t>
        </is>
      </c>
      <c r="E116" s="4" t="n"/>
      <c r="F116" s="19" t="n"/>
      <c r="G116" s="4" t="n"/>
      <c r="H116" s="4" t="n"/>
      <c r="I116" s="19" t="inlineStr">
        <is>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is>
      </c>
      <c r="J116" s="19" t="inlineStr">
        <is>
          <t>David Fincher</t>
        </is>
      </c>
      <c r="K116" s="19" t="n">
        <v>139</v>
      </c>
      <c r="L116" s="19" t="inlineStr">
        <is>
          <t>Drama</t>
        </is>
      </c>
      <c r="M116" s="19" t="inlineStr">
        <is>
          <t>Regency Enterprises, Fox 2000 Pictures, Taurus Film</t>
        </is>
      </c>
      <c r="N116" s="19" t="inlineStr">
        <is>
          <t>https://huggingface.co/datasets/HenryWaltson/TMDB-IMDB-Movies-Dataset</t>
        </is>
      </c>
      <c r="O116" s="19" t="inlineStr">
        <is>
          <t>https://huggingface.co/datasets/HenryWaltson/TMDB-IMDB-Movies-Dataset</t>
        </is>
      </c>
      <c r="P116" s="18" t="inlineStr">
        <is>
          <t>Edward Norton</t>
        </is>
      </c>
      <c r="Q116" s="18" t="inlineStr">
        <is>
          <t>Brad Pitt</t>
        </is>
      </c>
      <c r="R116" s="18" t="inlineStr">
        <is>
          <t>Helena Bonham Carter</t>
        </is>
      </c>
      <c r="S116" s="18" t="inlineStr">
        <is>
          <t>Meat Loaf</t>
        </is>
      </c>
      <c r="T116" s="18" t="inlineStr">
        <is>
          <t>Jared Leto</t>
        </is>
      </c>
      <c r="U116" s="24" t="n">
        <v>1</v>
      </c>
      <c r="V116" s="24" t="n">
        <v>0</v>
      </c>
      <c r="W116" s="4" t="n"/>
      <c r="X116" s="25">
        <f t="array" ref="X116">IFERROR(INDEX(Ratings!$E$5:$E$500,MATCH(A116,Ratings!$A$5:$A$500,0)),"")</f>
        <v/>
      </c>
      <c r="Y116" s="24">
        <f t="array" ref="Y116">IFERROR(INDEX(Ratings!$G$5:$G$500,MATCH(A116,Ratings!$A$5:$A$500,0)),"")</f>
        <v/>
      </c>
      <c r="Z116" s="26">
        <f t="array" ref="Z116">IFERROR(INDEX(Ratings!$I$5:$I$500,MATCH(A116,Ratings!$A$5:$A$500,0)),"")</f>
        <v/>
      </c>
      <c r="AB116" s="18" t="inlineStr">
        <is>
          <t>18</t>
        </is>
      </c>
    </row>
    <row r="117" ht="15.75" customHeight="1" s="108">
      <c r="A117" s="18" t="inlineStr">
        <is>
          <t>F0113</t>
        </is>
      </c>
      <c r="B117" s="18" t="inlineStr">
        <is>
          <t>Finding Dory</t>
        </is>
      </c>
      <c r="C117" s="20" t="inlineStr">
        <is>
          <t>2016</t>
        </is>
      </c>
      <c r="D117" s="18" t="inlineStr">
        <is>
          <t>Blu-ray</t>
        </is>
      </c>
      <c r="E117" s="18" t="inlineStr">
        <is>
          <t>Finding Nemo</t>
        </is>
      </c>
      <c r="F117" s="19" t="n"/>
      <c r="G117" s="4" t="n"/>
      <c r="H117" s="4" t="n"/>
      <c r="I117" s="19" t="inlineStr">
        <is>
          <t>Dory is reunited with her friends Nemo and Marlin in the search for answers about her past. What can she remember? Who are her parents? And where did she learn to speak Whale?</t>
        </is>
      </c>
      <c r="J117" s="19" t="inlineStr">
        <is>
          <t>Andrew Stanton, Angus MacLane</t>
        </is>
      </c>
      <c r="K117" s="19" t="n">
        <v>97</v>
      </c>
      <c r="L117" s="19" t="inlineStr">
        <is>
          <t>Adventure, Animation, Comedy, Family</t>
        </is>
      </c>
      <c r="M117" s="19" t="inlineStr">
        <is>
          <t>Pixar, Walt Disney Pictures</t>
        </is>
      </c>
      <c r="N117" s="19" t="inlineStr">
        <is>
          <t>https://huggingface.co/datasets/HenryWaltson/TMDB-IMDB-Movies-Dataset</t>
        </is>
      </c>
      <c r="O117" s="19" t="inlineStr">
        <is>
          <t>https://huggingface.co/datasets/HenryWaltson/TMDB-IMDB-Movies-Dataset</t>
        </is>
      </c>
      <c r="P117" s="18" t="inlineStr">
        <is>
          <t>Albert Brooks</t>
        </is>
      </c>
      <c r="Q117" s="18" t="inlineStr">
        <is>
          <t>Ellen DeGeneres</t>
        </is>
      </c>
      <c r="R117" s="18" t="inlineStr">
        <is>
          <t>Ed O'Neill</t>
        </is>
      </c>
      <c r="S117" s="18" t="inlineStr">
        <is>
          <t>Hayden Rolence</t>
        </is>
      </c>
      <c r="T117" s="18" t="inlineStr">
        <is>
          <t>Diane Keaton</t>
        </is>
      </c>
      <c r="U117" s="24" t="n">
        <v>0</v>
      </c>
      <c r="V117" s="24" t="n">
        <v>0</v>
      </c>
      <c r="W117" s="4" t="n"/>
      <c r="X117" s="25">
        <f t="array" ref="X117">IFERROR(INDEX(Ratings!$E$5:$E$500,MATCH(A117,Ratings!$A$5:$A$500,0)),"")</f>
        <v/>
      </c>
      <c r="Y117" s="24">
        <f t="array" ref="Y117">IFERROR(INDEX(Ratings!$G$5:$G$500,MATCH(A117,Ratings!$A$5:$A$500,0)),"")</f>
        <v/>
      </c>
      <c r="Z117" s="26">
        <f t="array" ref="Z117">IFERROR(INDEX(Ratings!$I$5:$I$500,MATCH(A117,Ratings!$A$5:$A$500,0)),"")</f>
        <v/>
      </c>
      <c r="AB117" s="18" t="inlineStr">
        <is>
          <t>U</t>
        </is>
      </c>
    </row>
    <row r="118" ht="15.75" customHeight="1" s="108">
      <c r="A118" s="18" t="inlineStr">
        <is>
          <t>F0114</t>
        </is>
      </c>
      <c r="B118" s="18" t="inlineStr">
        <is>
          <t>Firewall</t>
        </is>
      </c>
      <c r="C118" s="20" t="inlineStr">
        <is>
          <t>2006</t>
        </is>
      </c>
      <c r="D118" s="18" t="inlineStr">
        <is>
          <t>Blu-ray</t>
        </is>
      </c>
      <c r="E118" s="4" t="n"/>
      <c r="F118" s="19" t="n"/>
      <c r="G118" s="4" t="n"/>
      <c r="H118" s="4" t="n"/>
      <c r="I118" s="19" t="inlineStr">
        <is>
          <t>State-of-the-art security system creator Jack Stanfield has cemented his reputation as a man who's thought of everything. But when a criminal finds a way into his personal life, everything Jack holds dear is suddenly at stake.</t>
        </is>
      </c>
      <c r="J118" s="19" t="inlineStr">
        <is>
          <t>Richard Loncraine</t>
        </is>
      </c>
      <c r="K118" s="19" t="n">
        <v>105</v>
      </c>
      <c r="L118" s="19" t="inlineStr">
        <is>
          <t>Action, Crime, Thriller</t>
        </is>
      </c>
      <c r="M118" s="19" t="inlineStr">
        <is>
          <t>Village Roadshow Pictures, Beacon Pictures, Thunder Road</t>
        </is>
      </c>
      <c r="N118" s="19" t="inlineStr">
        <is>
          <t>https://huggingface.co/datasets/HenryWaltson/TMDB-IMDB-Movies-Dataset</t>
        </is>
      </c>
      <c r="O118" s="19" t="inlineStr">
        <is>
          <t>https://huggingface.co/datasets/HenryWaltson/TMDB-IMDB-Movies-Dataset</t>
        </is>
      </c>
      <c r="P118" s="18" t="inlineStr">
        <is>
          <t>Harrison Ford</t>
        </is>
      </c>
      <c r="Q118" s="18" t="inlineStr">
        <is>
          <t>Paul Bettany</t>
        </is>
      </c>
      <c r="R118" s="18" t="inlineStr">
        <is>
          <t>Virginia Madsen</t>
        </is>
      </c>
      <c r="S118" s="18" t="inlineStr">
        <is>
          <t>Carly Schroeder</t>
        </is>
      </c>
      <c r="T118" s="18" t="inlineStr">
        <is>
          <t>Jimmy Bennett</t>
        </is>
      </c>
      <c r="U118" s="24" t="n">
        <v>0</v>
      </c>
      <c r="V118" s="24" t="n">
        <v>0</v>
      </c>
      <c r="W118" s="4" t="n"/>
      <c r="X118" s="25">
        <f t="array" ref="X118">IFERROR(INDEX(Ratings!$E$5:$E$500,MATCH(A118,Ratings!$A$5:$A$500,0)),"")</f>
        <v/>
      </c>
      <c r="Y118" s="24">
        <f t="array" ref="Y118">IFERROR(INDEX(Ratings!$G$5:$G$500,MATCH(A118,Ratings!$A$5:$A$500,0)),"")</f>
        <v/>
      </c>
      <c r="Z118" s="26">
        <f t="array" ref="Z118">IFERROR(INDEX(Ratings!$I$5:$I$500,MATCH(A118,Ratings!$A$5:$A$500,0)),"")</f>
        <v/>
      </c>
      <c r="AB118" s="18" t="inlineStr">
        <is>
          <t>12A</t>
        </is>
      </c>
    </row>
    <row r="119" ht="15.75" customHeight="1" s="108">
      <c r="A119" s="18" t="inlineStr">
        <is>
          <t>F0115</t>
        </is>
      </c>
      <c r="B119" s="18" t="inlineStr">
        <is>
          <t>Forgetting Sarah Marshall</t>
        </is>
      </c>
      <c r="C119" s="20" t="inlineStr">
        <is>
          <t>2008</t>
        </is>
      </c>
      <c r="D119" s="18" t="inlineStr">
        <is>
          <t>Blu-ray</t>
        </is>
      </c>
      <c r="E119" s="4" t="n"/>
      <c r="F119" s="19" t="n"/>
      <c r="G119" s="4" t="n"/>
      <c r="H119" s="4" t="n"/>
      <c r="I119" s="19" t="inlineStr">
        <is>
          <t>When actress Sarah Marshall dumps aspiring musician Peter Bretter for rock star Aldous Snow, Peter's world comes crashing down. His best friend Brian suggests that Peter should get away from everything and to fly off to Hawaii to escape all his problems. After arriving in Hawaii and meeting the beautiful receptionist Rachel Jansen, Peter is shocked to see not only Aldous in Hawaii, but also Sarah.</t>
        </is>
      </c>
      <c r="J119" s="19" t="inlineStr">
        <is>
          <t>Nicholas Stoller</t>
        </is>
      </c>
      <c r="K119" s="19" t="n">
        <v>111</v>
      </c>
      <c r="L119" s="19" t="inlineStr">
        <is>
          <t>Comedy, Romance, Drama</t>
        </is>
      </c>
      <c r="M119" s="19" t="inlineStr">
        <is>
          <t>Universal Pictures, Apatow Productions</t>
        </is>
      </c>
      <c r="N119" s="19" t="inlineStr">
        <is>
          <t>https://huggingface.co/datasets/HenryWaltson/TMDB-IMDB-Movies-Dataset</t>
        </is>
      </c>
      <c r="O119" s="19" t="inlineStr">
        <is>
          <t>https://huggingface.co/datasets/HenryWaltson/TMDB-IMDB-Movies-Dataset</t>
        </is>
      </c>
      <c r="P119" s="18" t="inlineStr">
        <is>
          <t>Jason Segel</t>
        </is>
      </c>
      <c r="Q119" s="18" t="inlineStr">
        <is>
          <t>Kristen Bell</t>
        </is>
      </c>
      <c r="R119" s="18" t="inlineStr">
        <is>
          <t>Mila Kunis</t>
        </is>
      </c>
      <c r="S119" s="18" t="inlineStr">
        <is>
          <t>Russell Brand</t>
        </is>
      </c>
      <c r="T119" s="18" t="inlineStr">
        <is>
          <t>Bill Hader</t>
        </is>
      </c>
      <c r="U119" s="24" t="n">
        <v>0</v>
      </c>
      <c r="V119" s="24" t="n">
        <v>0</v>
      </c>
      <c r="W119" s="4" t="n"/>
      <c r="X119" s="25">
        <f t="array" ref="X119">IFERROR(INDEX(Ratings!$E$5:$E$500,MATCH(A119,Ratings!$A$5:$A$500,0)),"")</f>
        <v/>
      </c>
      <c r="Y119" s="24">
        <f t="array" ref="Y119">IFERROR(INDEX(Ratings!$G$5:$G$500,MATCH(A119,Ratings!$A$5:$A$500,0)),"")</f>
        <v/>
      </c>
      <c r="Z119" s="26">
        <f t="array" ref="Z119">IFERROR(INDEX(Ratings!$I$5:$I$500,MATCH(A119,Ratings!$A$5:$A$500,0)),"")</f>
        <v/>
      </c>
      <c r="AB119" s="18" t="inlineStr">
        <is>
          <t>15</t>
        </is>
      </c>
    </row>
    <row r="120" ht="15.75" customHeight="1" s="108">
      <c r="A120" s="18" t="inlineStr">
        <is>
          <t>F0116</t>
        </is>
      </c>
      <c r="B120" s="18" t="inlineStr">
        <is>
          <t>Frozen</t>
        </is>
      </c>
      <c r="C120" s="20" t="inlineStr">
        <is>
          <t>2013</t>
        </is>
      </c>
      <c r="D120" s="18" t="inlineStr">
        <is>
          <t>Blu-ray</t>
        </is>
      </c>
      <c r="E120" s="4" t="n"/>
      <c r="F120" s="19" t="n"/>
      <c r="G120" s="4" t="n"/>
      <c r="H120" s="4" t="n"/>
      <c r="I120" s="19" t="inlineStr">
        <is>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is>
      </c>
      <c r="J120" s="19" t="inlineStr">
        <is>
          <t>Chris Buck, Jennifer Lee</t>
        </is>
      </c>
      <c r="K120" s="19" t="n">
        <v>102</v>
      </c>
      <c r="L120" s="19" t="inlineStr">
        <is>
          <t>Animation, Family, Adventure, Fantasy</t>
        </is>
      </c>
      <c r="M120" s="19" t="inlineStr">
        <is>
          <t>Walt Disney Pictures, Walt Disney Animation Studios</t>
        </is>
      </c>
      <c r="N120" s="19" t="inlineStr">
        <is>
          <t>https://huggingface.co/datasets/HenryWaltson/TMDB-IMDB-Movies-Dataset</t>
        </is>
      </c>
      <c r="O120" s="19" t="inlineStr">
        <is>
          <t>https://huggingface.co/datasets/HenryWaltson/TMDB-IMDB-Movies-Dataset</t>
        </is>
      </c>
      <c r="P120" s="18" t="inlineStr">
        <is>
          <t>Kristen Bell</t>
        </is>
      </c>
      <c r="Q120" s="18" t="inlineStr">
        <is>
          <t>Idina Menzel</t>
        </is>
      </c>
      <c r="R120" s="18" t="inlineStr">
        <is>
          <t>Jonathan Groff</t>
        </is>
      </c>
      <c r="S120" s="18" t="inlineStr">
        <is>
          <t>Josh Gad</t>
        </is>
      </c>
      <c r="T120" s="18" t="inlineStr">
        <is>
          <t>Livvy Stubenrauch</t>
        </is>
      </c>
      <c r="U120" s="24" t="n">
        <v>2</v>
      </c>
      <c r="V120" s="24" t="n">
        <v>2</v>
      </c>
      <c r="W120" s="4" t="n"/>
      <c r="X120" s="25">
        <f t="array" ref="X120">IFERROR(INDEX(Ratings!$E$5:$E$500,MATCH(A120,Ratings!$A$5:$A$500,0)),"")</f>
        <v/>
      </c>
      <c r="Y120" s="24">
        <f t="array" ref="Y120">IFERROR(INDEX(Ratings!$G$5:$G$500,MATCH(A120,Ratings!$A$5:$A$500,0)),"")</f>
        <v/>
      </c>
      <c r="Z120" s="26">
        <f t="array" ref="Z120">IFERROR(INDEX(Ratings!$I$5:$I$500,MATCH(A120,Ratings!$A$5:$A$500,0)),"")</f>
        <v/>
      </c>
      <c r="AB120" s="18" t="inlineStr">
        <is>
          <t>PG</t>
        </is>
      </c>
    </row>
    <row r="121" ht="15.75" customHeight="1" s="108">
      <c r="A121" s="18" t="inlineStr">
        <is>
          <t>F0117</t>
        </is>
      </c>
      <c r="B121" s="18" t="inlineStr">
        <is>
          <t>Fury</t>
        </is>
      </c>
      <c r="C121" s="20" t="inlineStr">
        <is>
          <t>2014</t>
        </is>
      </c>
      <c r="D121" s="18" t="inlineStr">
        <is>
          <t>Blu-ray</t>
        </is>
      </c>
      <c r="E121" s="4" t="n"/>
      <c r="F121" s="19" t="n"/>
      <c r="G121" s="4" t="n"/>
      <c r="H121" s="4" t="n"/>
      <c r="I121" s="19" t="inlineStr">
        <is>
          <t>April, 1945. As the Allies make their final push in the European Theatre, a battle-hardened army sergeant named Wardaddy commands a Sherman tank and her five-man crew on a deadly mission behind enemy lines. Outnumbered and outgunned, and with a rookie soldier thrust into their platoon, Wardaddy and his men face overwhelming odds in their heroic attempts to strike at the heart of Nazi Germany.</t>
        </is>
      </c>
      <c r="J121" s="19" t="inlineStr">
        <is>
          <t>David Ayer</t>
        </is>
      </c>
      <c r="K121" s="19" t="n">
        <v>135</v>
      </c>
      <c r="L121" s="19" t="inlineStr">
        <is>
          <t>War, Drama, Action</t>
        </is>
      </c>
      <c r="M121" s="19" t="inlineStr">
        <is>
          <t>Columbia Pictures, QED International, LStar Capital</t>
        </is>
      </c>
      <c r="N121" s="19" t="inlineStr">
        <is>
          <t>https://huggingface.co/datasets/HenryWaltson/TMDB-IMDB-Movies-Dataset</t>
        </is>
      </c>
      <c r="O121" s="19" t="inlineStr">
        <is>
          <t>https://huggingface.co/datasets/HenryWaltson/TMDB-IMDB-Movies-Dataset</t>
        </is>
      </c>
      <c r="P121" s="18" t="inlineStr">
        <is>
          <t>Brad Pitt</t>
        </is>
      </c>
      <c r="Q121" s="18" t="inlineStr">
        <is>
          <t>Shia LaBeouf</t>
        </is>
      </c>
      <c r="R121" s="18" t="inlineStr">
        <is>
          <t>Logan Lerman</t>
        </is>
      </c>
      <c r="S121" s="18" t="inlineStr">
        <is>
          <t>Michael Peña</t>
        </is>
      </c>
      <c r="T121" s="18" t="inlineStr">
        <is>
          <t>Jon Bernthal</t>
        </is>
      </c>
      <c r="U121" s="24" t="n">
        <v>0</v>
      </c>
      <c r="V121" s="24" t="n">
        <v>0</v>
      </c>
      <c r="W121" s="4" t="n"/>
      <c r="X121" s="25">
        <f t="array" ref="X121">IFERROR(INDEX(Ratings!$E$5:$E$500,MATCH(A121,Ratings!$A$5:$A$500,0)),"")</f>
        <v/>
      </c>
      <c r="Y121" s="24">
        <f t="array" ref="Y121">IFERROR(INDEX(Ratings!$G$5:$G$500,MATCH(A121,Ratings!$A$5:$A$500,0)),"")</f>
        <v/>
      </c>
      <c r="Z121" s="26">
        <f t="array" ref="Z121">IFERROR(INDEX(Ratings!$I$5:$I$500,MATCH(A121,Ratings!$A$5:$A$500,0)),"")</f>
        <v/>
      </c>
      <c r="AB121" s="18" t="inlineStr">
        <is>
          <t>15</t>
        </is>
      </c>
    </row>
    <row r="122" ht="15.75" customHeight="1" s="108">
      <c r="A122" s="18" t="inlineStr">
        <is>
          <t>F0118</t>
        </is>
      </c>
      <c r="B122" s="18" t="inlineStr">
        <is>
          <t>G.I. Joe: The Rise of Cobra</t>
        </is>
      </c>
      <c r="C122" s="20" t="inlineStr">
        <is>
          <t>2009</t>
        </is>
      </c>
      <c r="D122" s="18" t="inlineStr">
        <is>
          <t>Blu-ray</t>
        </is>
      </c>
      <c r="E122" s="4" t="n"/>
      <c r="F122" s="19" t="n"/>
      <c r="G122" s="4" t="n"/>
      <c r="H122" s="4" t="n"/>
      <c r="I122" s="19" t="inlineStr">
        <is>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is>
      </c>
      <c r="J122" s="19" t="inlineStr">
        <is>
          <t>Stephen Sommers</t>
        </is>
      </c>
      <c r="K122" s="19" t="n">
        <v>118</v>
      </c>
      <c r="L122" s="19" t="inlineStr">
        <is>
          <t>Adventure, Action, Thriller</t>
        </is>
      </c>
      <c r="M122" s="19" t="inlineStr">
        <is>
          <t>Paramount, Spyglass Entertainment, di Bonaventura Pictures</t>
        </is>
      </c>
      <c r="N122" s="19" t="inlineStr">
        <is>
          <t>https://huggingface.co/datasets/HenryWaltson/TMDB-IMDB-Movies-Dataset</t>
        </is>
      </c>
      <c r="O122" s="19" t="inlineStr">
        <is>
          <t>https://huggingface.co/datasets/HenryWaltson/TMDB-IMDB-Movies-Dataset</t>
        </is>
      </c>
      <c r="P122" s="18" t="inlineStr">
        <is>
          <t>Adewale Akinnuoye-Agbaje</t>
        </is>
      </c>
      <c r="Q122" s="18" t="inlineStr">
        <is>
          <t>Christopher Eccleston</t>
        </is>
      </c>
      <c r="R122" s="18" t="inlineStr">
        <is>
          <t>Lee Byung-hun</t>
        </is>
      </c>
      <c r="S122" s="18" t="inlineStr">
        <is>
          <t>Joseph Gordon-Levitt</t>
        </is>
      </c>
      <c r="T122" s="18" t="inlineStr">
        <is>
          <t>Sienna Miller</t>
        </is>
      </c>
      <c r="U122" s="24" t="n">
        <v>0</v>
      </c>
      <c r="V122" s="24" t="n">
        <v>0</v>
      </c>
      <c r="W122" s="4" t="n"/>
      <c r="X122" s="25">
        <f t="array" ref="X122">IFERROR(INDEX(Ratings!$E$5:$E$500,MATCH(A122,Ratings!$A$5:$A$500,0)),"")</f>
        <v/>
      </c>
      <c r="Y122" s="24">
        <f t="array" ref="Y122">IFERROR(INDEX(Ratings!$G$5:$G$500,MATCH(A122,Ratings!$A$5:$A$500,0)),"")</f>
        <v/>
      </c>
      <c r="Z122" s="26">
        <f t="array" ref="Z122">IFERROR(INDEX(Ratings!$I$5:$I$500,MATCH(A122,Ratings!$A$5:$A$500,0)),"")</f>
        <v/>
      </c>
      <c r="AB122" s="18" t="inlineStr">
        <is>
          <t>12A</t>
        </is>
      </c>
    </row>
    <row r="123" ht="15.75" customHeight="1" s="108">
      <c r="A123" s="18" t="inlineStr">
        <is>
          <t>F0119</t>
        </is>
      </c>
      <c r="B123" s="18" t="inlineStr">
        <is>
          <t>The Gentlemen</t>
        </is>
      </c>
      <c r="C123" s="20" t="inlineStr">
        <is>
          <t>2020</t>
        </is>
      </c>
      <c r="D123" s="18" t="inlineStr">
        <is>
          <t>Blu-ray</t>
        </is>
      </c>
      <c r="E123" s="4" t="n"/>
      <c r="F123" s="19" t="n"/>
      <c r="G123" s="4" t="n"/>
      <c r="H123" s="4" t="n"/>
      <c r="I123" s="19" t="inlineStr">
        <is>
          <t>American expat Mickey Pearson has built a highly profitable marijuana empire in London. When word gets out that he’s looking to cash out of the business forever it triggers plots, schemes, bribery and blackmail in an attempt to steal his domain out from under him.</t>
        </is>
      </c>
      <c r="J123" s="19" t="inlineStr">
        <is>
          <t>Guy Ritchie</t>
        </is>
      </c>
      <c r="K123" s="19" t="n">
        <v>113</v>
      </c>
      <c r="L123" s="19" t="inlineStr">
        <is>
          <t>Comedy, Crime</t>
        </is>
      </c>
      <c r="M123" s="19" t="inlineStr">
        <is>
          <t>Miramax, Toff Guy Films, STX Films</t>
        </is>
      </c>
      <c r="N123" s="19" t="inlineStr">
        <is>
          <t>https://huggingface.co/datasets/HenryWaltson/TMDB-IMDB-Movies-Dataset</t>
        </is>
      </c>
      <c r="O123" s="19" t="inlineStr">
        <is>
          <t>https://huggingface.co/datasets/HenryWaltson/TMDB-IMDB-Movies-Dataset</t>
        </is>
      </c>
      <c r="P123" s="18" t="inlineStr">
        <is>
          <t>Matthew McConaughey</t>
        </is>
      </c>
      <c r="Q123" s="18" t="inlineStr">
        <is>
          <t>Charlie Hunnam</t>
        </is>
      </c>
      <c r="R123" s="18" t="inlineStr">
        <is>
          <t>Michelle Dockery</t>
        </is>
      </c>
      <c r="S123" s="18" t="inlineStr">
        <is>
          <t>Jeremy Strong</t>
        </is>
      </c>
      <c r="T123" s="18" t="inlineStr">
        <is>
          <t>Lyne Renee</t>
        </is>
      </c>
      <c r="U123" s="24" t="n">
        <v>0</v>
      </c>
      <c r="V123" s="24" t="n">
        <v>0</v>
      </c>
      <c r="W123" s="4" t="n"/>
      <c r="X123" s="25">
        <f t="array" ref="X123">IFERROR(INDEX(Ratings!$E$5:$E$500,MATCH(A123,Ratings!$A$5:$A$500,0)),"")</f>
        <v/>
      </c>
      <c r="Y123" s="24">
        <f t="array" ref="Y123">IFERROR(INDEX(Ratings!$G$5:$G$500,MATCH(A123,Ratings!$A$5:$A$500,0)),"")</f>
        <v/>
      </c>
      <c r="Z123" s="26">
        <f t="array" ref="Z123">IFERROR(INDEX(Ratings!$I$5:$I$500,MATCH(A123,Ratings!$A$5:$A$500,0)),"")</f>
        <v/>
      </c>
      <c r="AB123" s="18" t="inlineStr">
        <is>
          <t>18</t>
        </is>
      </c>
    </row>
    <row r="124" ht="15.75" customHeight="1" s="108">
      <c r="A124" s="18" t="inlineStr">
        <is>
          <t>F0120</t>
        </is>
      </c>
      <c r="B124" s="18" t="inlineStr">
        <is>
          <t>The Girl with the Dragon Tattoo</t>
        </is>
      </c>
      <c r="C124" s="20" t="inlineStr">
        <is>
          <t>2011</t>
        </is>
      </c>
      <c r="D124" s="18" t="inlineStr">
        <is>
          <t>Blu-ray</t>
        </is>
      </c>
      <c r="E124" s="4" t="n"/>
      <c r="F124" s="19" t="n"/>
      <c r="G124" s="4" t="n"/>
      <c r="H124" s="4" t="n"/>
      <c r="I124" s="19" t="inlineStr">
        <is>
          <t>Disgraced journalist Mikael Blomkvist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is>
      </c>
      <c r="J124" s="19" t="inlineStr">
        <is>
          <t>David Fincher</t>
        </is>
      </c>
      <c r="K124" s="19" t="n">
        <v>158</v>
      </c>
      <c r="L124" s="19" t="inlineStr">
        <is>
          <t>Thriller, Crime, Mystery</t>
        </is>
      </c>
      <c r="M124" s="19" t="inlineStr">
        <is>
          <t>Ground Control, Columbia Pictures, Scott Rudin Productions</t>
        </is>
      </c>
      <c r="N124" s="19" t="inlineStr">
        <is>
          <t>https://huggingface.co/datasets/HenryWaltson/TMDB-IMDB-Movies-Dataset</t>
        </is>
      </c>
      <c r="O124" s="19" t="inlineStr">
        <is>
          <t>https://huggingface.co/datasets/HenryWaltson/TMDB-IMDB-Movies-Dataset</t>
        </is>
      </c>
      <c r="P124" s="18" t="inlineStr">
        <is>
          <t>Daniel Craig</t>
        </is>
      </c>
      <c r="Q124" s="18" t="inlineStr">
        <is>
          <t>Rooney Mara</t>
        </is>
      </c>
      <c r="R124" s="18" t="inlineStr">
        <is>
          <t>Christopher Plummer</t>
        </is>
      </c>
      <c r="S124" s="18" t="inlineStr">
        <is>
          <t>Stellan Skarsgård</t>
        </is>
      </c>
      <c r="T124" s="18" t="inlineStr">
        <is>
          <t>Robin Wright</t>
        </is>
      </c>
      <c r="U124" s="24" t="n">
        <v>5</v>
      </c>
      <c r="V124" s="24" t="n">
        <v>1</v>
      </c>
      <c r="W124" s="4" t="n"/>
      <c r="X124" s="25">
        <f t="array" ref="X124">IFERROR(INDEX(Ratings!$E$5:$E$500,MATCH(A124,Ratings!$A$5:$A$500,0)),"")</f>
        <v/>
      </c>
      <c r="Y124" s="24">
        <f t="array" ref="Y124">IFERROR(INDEX(Ratings!$G$5:$G$500,MATCH(A124,Ratings!$A$5:$A$500,0)),"")</f>
        <v/>
      </c>
      <c r="Z124" s="26">
        <f t="array" ref="Z124">IFERROR(INDEX(Ratings!$I$5:$I$500,MATCH(A124,Ratings!$A$5:$A$500,0)),"")</f>
        <v/>
      </c>
      <c r="AB124" s="18" t="inlineStr">
        <is>
          <t>18</t>
        </is>
      </c>
    </row>
    <row r="125" ht="15.75" customHeight="1" s="108">
      <c r="A125" s="18" t="inlineStr">
        <is>
          <t>F0121</t>
        </is>
      </c>
      <c r="B125" s="18" t="inlineStr">
        <is>
          <t>Godzilla</t>
        </is>
      </c>
      <c r="C125" s="20" t="inlineStr">
        <is>
          <t>2014</t>
        </is>
      </c>
      <c r="D125" s="18" t="inlineStr">
        <is>
          <t>Blu-ray</t>
        </is>
      </c>
      <c r="E125" s="18" t="inlineStr">
        <is>
          <t>MonsterVerse</t>
        </is>
      </c>
      <c r="F125" s="19" t="n"/>
      <c r="G125" s="4" t="n"/>
      <c r="H125" s="4" t="n"/>
      <c r="I125" s="19" t="inlineStr">
        <is>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is>
      </c>
      <c r="J125" s="19" t="inlineStr">
        <is>
          <t>Gareth Edwards</t>
        </is>
      </c>
      <c r="K125" s="19" t="n">
        <v>123</v>
      </c>
      <c r="L125" s="19" t="inlineStr">
        <is>
          <t>Action, Drama, Science Fiction</t>
        </is>
      </c>
      <c r="M125" s="19" t="inlineStr">
        <is>
          <t>Legendary Pictures</t>
        </is>
      </c>
      <c r="N125" s="19" t="inlineStr">
        <is>
          <t>https://huggingface.co/datasets/HenryWaltson/TMDB-IMDB-Movies-Dataset</t>
        </is>
      </c>
      <c r="O125" s="19" t="inlineStr">
        <is>
          <t>https://huggingface.co/datasets/HenryWaltson/TMDB-IMDB-Movies-Dataset</t>
        </is>
      </c>
      <c r="P125" s="18" t="inlineStr">
        <is>
          <t>Aaron Taylor-Johnson</t>
        </is>
      </c>
      <c r="Q125" s="18" t="inlineStr">
        <is>
          <t>Elizabeth Olsen</t>
        </is>
      </c>
      <c r="R125" s="18" t="inlineStr">
        <is>
          <t>Juliette Binoche</t>
        </is>
      </c>
      <c r="S125" s="18" t="inlineStr">
        <is>
          <t>Bryan Cranston</t>
        </is>
      </c>
      <c r="T125" s="18" t="inlineStr">
        <is>
          <t>Ken Watanabe</t>
        </is>
      </c>
      <c r="U125" s="24" t="n">
        <v>0</v>
      </c>
      <c r="V125" s="24" t="n">
        <v>0</v>
      </c>
      <c r="W125" s="4" t="n"/>
      <c r="X125" s="25">
        <f t="array" ref="X125">IFERROR(INDEX(Ratings!$E$5:$E$500,MATCH(A125,Ratings!$A$5:$A$500,0)),"")</f>
        <v/>
      </c>
      <c r="Y125" s="24">
        <f t="array" ref="Y125">IFERROR(INDEX(Ratings!$G$5:$G$500,MATCH(A125,Ratings!$A$5:$A$500,0)),"")</f>
        <v/>
      </c>
      <c r="Z125" s="26">
        <f t="array" ref="Z125">IFERROR(INDEX(Ratings!$I$5:$I$500,MATCH(A125,Ratings!$A$5:$A$500,0)),"")</f>
        <v/>
      </c>
      <c r="AB125" s="18" t="inlineStr">
        <is>
          <t>12A</t>
        </is>
      </c>
    </row>
    <row r="126" ht="15.75" customHeight="1" s="108">
      <c r="A126" s="18" t="inlineStr">
        <is>
          <t>F0122</t>
        </is>
      </c>
      <c r="B126" s="18" t="inlineStr">
        <is>
          <t>Godzilla: King of the Monsters</t>
        </is>
      </c>
      <c r="C126" s="20" t="inlineStr">
        <is>
          <t>2019</t>
        </is>
      </c>
      <c r="D126" s="18" t="inlineStr">
        <is>
          <t>Blu-ray</t>
        </is>
      </c>
      <c r="E126" s="18" t="inlineStr">
        <is>
          <t>MonsterVerse</t>
        </is>
      </c>
      <c r="F126" s="19" t="n"/>
      <c r="G126" s="4" t="n"/>
      <c r="H126" s="4" t="n"/>
      <c r="I126" s="19" t="inlineStr">
        <is>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is>
      </c>
      <c r="J126" s="19" t="inlineStr">
        <is>
          <t>Michael Dougherty</t>
        </is>
      </c>
      <c r="K126" s="19" t="n">
        <v>132</v>
      </c>
      <c r="L126" s="19" t="inlineStr">
        <is>
          <t>Science Fiction, Action</t>
        </is>
      </c>
      <c r="M126" s="19" t="inlineStr">
        <is>
          <t>Legendary Pictures, Huahua Media, TOHO</t>
        </is>
      </c>
      <c r="N126" s="19" t="inlineStr">
        <is>
          <t>https://huggingface.co/datasets/HenryWaltson/TMDB-IMDB-Movies-Dataset</t>
        </is>
      </c>
      <c r="O126" s="19" t="inlineStr">
        <is>
          <t>https://huggingface.co/datasets/HenryWaltson/TMDB-IMDB-Movies-Dataset</t>
        </is>
      </c>
      <c r="P126" s="18" t="inlineStr">
        <is>
          <t>Kyle Chandler</t>
        </is>
      </c>
      <c r="Q126" s="18" t="inlineStr">
        <is>
          <t>Vera Farmiga</t>
        </is>
      </c>
      <c r="R126" s="18" t="inlineStr">
        <is>
          <t>Millie Bobby Brown</t>
        </is>
      </c>
      <c r="S126" s="18" t="inlineStr">
        <is>
          <t>Ken Watanabe</t>
        </is>
      </c>
      <c r="T126" s="18" t="inlineStr">
        <is>
          <t>Zhang Ziyi</t>
        </is>
      </c>
      <c r="U126" s="24" t="n">
        <v>0</v>
      </c>
      <c r="V126" s="24" t="n">
        <v>0</v>
      </c>
      <c r="W126" s="4" t="n"/>
      <c r="X126" s="25">
        <f t="array" ref="X126">IFERROR(INDEX(Ratings!$E$5:$E$500,MATCH(A126,Ratings!$A$5:$A$500,0)),"")</f>
        <v/>
      </c>
      <c r="Y126" s="24">
        <f t="array" ref="Y126">IFERROR(INDEX(Ratings!$G$5:$G$500,MATCH(A126,Ratings!$A$5:$A$500,0)),"")</f>
        <v/>
      </c>
      <c r="Z126" s="26">
        <f t="array" ref="Z126">IFERROR(INDEX(Ratings!$I$5:$I$500,MATCH(A126,Ratings!$A$5:$A$500,0)),"")</f>
        <v/>
      </c>
      <c r="AB126" s="18" t="inlineStr">
        <is>
          <t>12A</t>
        </is>
      </c>
    </row>
    <row r="127" ht="15.75" customHeight="1" s="108">
      <c r="A127" s="18" t="inlineStr">
        <is>
          <t>F0123</t>
        </is>
      </c>
      <c r="B127" s="18" t="inlineStr">
        <is>
          <t>Godzilla vs. Kong</t>
        </is>
      </c>
      <c r="C127" s="20" t="inlineStr">
        <is>
          <t>2021</t>
        </is>
      </c>
      <c r="D127" s="18" t="inlineStr">
        <is>
          <t>Blu-ray</t>
        </is>
      </c>
      <c r="E127" s="18" t="inlineStr">
        <is>
          <t>MonsterVerse</t>
        </is>
      </c>
      <c r="F127" s="19" t="n"/>
      <c r="G127" s="4" t="n"/>
      <c r="H127" s="4" t="n"/>
      <c r="I127" s="19" t="inlineStr">
        <is>
          <t>In a time when monsters walk the Earth, humanity’s fight for its future sets Godzilla and Kong on a collision course that will see the two most powerful forces of nature on the planet collide in a spectacular battle for the ages.</t>
        </is>
      </c>
      <c r="J127" s="19" t="inlineStr">
        <is>
          <t>Adam Wingard</t>
        </is>
      </c>
      <c r="K127" s="19" t="n">
        <v>114</v>
      </c>
      <c r="L127" s="19" t="inlineStr">
        <is>
          <t>Action, Science Fiction, Thriller</t>
        </is>
      </c>
      <c r="M127" s="19" t="inlineStr">
        <is>
          <t>Legendary Pictures</t>
        </is>
      </c>
      <c r="N127" s="19" t="inlineStr">
        <is>
          <t>https://huggingface.co/datasets/HenryWaltson/TMDB-IMDB-Movies-Dataset</t>
        </is>
      </c>
      <c r="O127" s="19" t="inlineStr">
        <is>
          <t>https://huggingface.co/datasets/HenryWaltson/TMDB-IMDB-Movies-Dataset</t>
        </is>
      </c>
      <c r="P127" s="18" t="inlineStr">
        <is>
          <t>Alexander Skarsgård</t>
        </is>
      </c>
      <c r="Q127" s="18" t="inlineStr">
        <is>
          <t>Rebecca Hall</t>
        </is>
      </c>
      <c r="R127" s="18" t="inlineStr">
        <is>
          <t>Kaylee Hottle</t>
        </is>
      </c>
      <c r="S127" s="18" t="inlineStr">
        <is>
          <t>Brian Tyree Henry</t>
        </is>
      </c>
      <c r="T127" s="18" t="inlineStr">
        <is>
          <t>Millie Bobby Brown</t>
        </is>
      </c>
      <c r="U127" s="24" t="n">
        <v>0</v>
      </c>
      <c r="V127" s="24" t="n">
        <v>0</v>
      </c>
      <c r="W127" s="4" t="n"/>
      <c r="X127" s="25">
        <f t="array" ref="X127">IFERROR(INDEX(Ratings!$E$5:$E$500,MATCH(A127,Ratings!$A$5:$A$500,0)),"")</f>
        <v/>
      </c>
      <c r="Y127" s="24">
        <f t="array" ref="Y127">IFERROR(INDEX(Ratings!$G$5:$G$500,MATCH(A127,Ratings!$A$5:$A$500,0)),"")</f>
        <v/>
      </c>
      <c r="Z127" s="26">
        <f t="array" ref="Z127">IFERROR(INDEX(Ratings!$I$5:$I$500,MATCH(A127,Ratings!$A$5:$A$500,0)),"")</f>
        <v/>
      </c>
      <c r="AB127" s="18" t="inlineStr">
        <is>
          <t>12</t>
        </is>
      </c>
    </row>
    <row r="128" ht="15.75" customHeight="1" s="108">
      <c r="A128" s="18" t="inlineStr">
        <is>
          <t>F0124</t>
        </is>
      </c>
      <c r="B128" s="18" t="inlineStr">
        <is>
          <t>Good Will Hunting</t>
        </is>
      </c>
      <c r="C128" s="20" t="inlineStr">
        <is>
          <t>1997</t>
        </is>
      </c>
      <c r="D128" s="18" t="inlineStr">
        <is>
          <t>Blu-ray</t>
        </is>
      </c>
      <c r="E128" s="4" t="n"/>
      <c r="F128" s="19" t="n"/>
      <c r="G128" s="4" t="n"/>
      <c r="H128" s="4" t="n"/>
      <c r="I128" s="19" t="inlineStr">
        <is>
          <t>Will Hunting is a headstrong, working-class genius who is failing the lessons of life. After one too many run-ins with the law, Will's last chance is a psychology professor, who might be the only man who can reach him.</t>
        </is>
      </c>
      <c r="J128" s="19" t="inlineStr">
        <is>
          <t>Gus Van Sant</t>
        </is>
      </c>
      <c r="K128" s="19" t="n">
        <v>127</v>
      </c>
      <c r="L128" s="19" t="inlineStr">
        <is>
          <t>Drama</t>
        </is>
      </c>
      <c r="M128" s="19" t="inlineStr">
        <is>
          <t>Miramax, Lawrence Bender Productions, Be Gentlemen Limited Partnership</t>
        </is>
      </c>
      <c r="N128" s="19" t="inlineStr">
        <is>
          <t>https://huggingface.co/datasets/HenryWaltson/TMDB-IMDB-Movies-Dataset</t>
        </is>
      </c>
      <c r="O128" s="19" t="inlineStr">
        <is>
          <t>https://huggingface.co/datasets/HenryWaltson/TMDB-IMDB-Movies-Dataset</t>
        </is>
      </c>
      <c r="P128" s="18" t="inlineStr">
        <is>
          <t>Matt Damon</t>
        </is>
      </c>
      <c r="Q128" s="18" t="inlineStr">
        <is>
          <t>Robin Williams</t>
        </is>
      </c>
      <c r="R128" s="18" t="inlineStr">
        <is>
          <t>Ben Affleck</t>
        </is>
      </c>
      <c r="S128" s="18" t="inlineStr">
        <is>
          <t>Stellan Skarsgård</t>
        </is>
      </c>
      <c r="T128" s="18" t="inlineStr">
        <is>
          <t>Minnie Driver</t>
        </is>
      </c>
      <c r="U128" s="24" t="n">
        <v>9</v>
      </c>
      <c r="V128" s="24" t="n">
        <v>2</v>
      </c>
      <c r="W128" s="18" t="inlineStr">
        <is>
          <t>Nominated</t>
        </is>
      </c>
      <c r="X128" s="25">
        <f t="array" ref="X128">IFERROR(INDEX(Ratings!$E$5:$E$500,MATCH(A128,Ratings!$A$5:$A$500,0)),"")</f>
        <v/>
      </c>
      <c r="Y128" s="24">
        <f t="array" ref="Y128">IFERROR(INDEX(Ratings!$G$5:$G$500,MATCH(A128,Ratings!$A$5:$A$500,0)),"")</f>
        <v/>
      </c>
      <c r="Z128" s="26">
        <f t="array" ref="Z128">IFERROR(INDEX(Ratings!$I$5:$I$500,MATCH(A128,Ratings!$A$5:$A$500,0)),"")</f>
        <v/>
      </c>
      <c r="AB128" s="18" t="inlineStr">
        <is>
          <t>15</t>
        </is>
      </c>
    </row>
    <row r="129" ht="15.75" customHeight="1" s="108">
      <c r="A129" s="18" t="inlineStr">
        <is>
          <t>F0125</t>
        </is>
      </c>
      <c r="B129" s="18" t="inlineStr">
        <is>
          <t>Gran Torino</t>
        </is>
      </c>
      <c r="C129" s="20" t="inlineStr">
        <is>
          <t>2008</t>
        </is>
      </c>
      <c r="D129" s="18" t="inlineStr">
        <is>
          <t>Blu-ray</t>
        </is>
      </c>
      <c r="E129" s="4" t="n"/>
      <c r="F129" s="19" t="n"/>
      <c r="G129" s="4" t="n"/>
      <c r="H129" s="4" t="n"/>
      <c r="I129" s="19" t="inlineStr">
        <is>
          <t>Disgruntled Korean War veteran Walt Kowalski sets out to reform his neighbor, Thao Lor, a Hmong teenager who tried to steal Kowalski's prized possession: a 1972 Gran Torino.</t>
        </is>
      </c>
      <c r="J129" s="19" t="inlineStr">
        <is>
          <t>Clint Eastwood</t>
        </is>
      </c>
      <c r="K129" s="19" t="n">
        <v>116</v>
      </c>
      <c r="L129" s="19" t="inlineStr">
        <is>
          <t>Drama</t>
        </is>
      </c>
      <c r="M129" s="19" t="inlineStr">
        <is>
          <t>Matten Productions, Double Nickel Entertainment, Gerber Pictures</t>
        </is>
      </c>
      <c r="N129" s="19" t="inlineStr">
        <is>
          <t>https://huggingface.co/datasets/HenryWaltson/TMDB-IMDB-Movies-Dataset</t>
        </is>
      </c>
      <c r="O129" s="19" t="inlineStr">
        <is>
          <t>https://huggingface.co/datasets/HenryWaltson/TMDB-IMDB-Movies-Dataset</t>
        </is>
      </c>
      <c r="P129" s="18" t="inlineStr">
        <is>
          <t>Clint Eastwood</t>
        </is>
      </c>
      <c r="Q129" s="18" t="inlineStr">
        <is>
          <t>Christopher Carley</t>
        </is>
      </c>
      <c r="R129" s="18" t="inlineStr">
        <is>
          <t>Bee Vang</t>
        </is>
      </c>
      <c r="S129" s="18" t="inlineStr">
        <is>
          <t>Ahney Her</t>
        </is>
      </c>
      <c r="T129" s="18" t="inlineStr">
        <is>
          <t>Brian Haley</t>
        </is>
      </c>
      <c r="U129" s="24" t="n">
        <v>0</v>
      </c>
      <c r="V129" s="24" t="n">
        <v>0</v>
      </c>
      <c r="W129" s="4" t="n"/>
      <c r="X129" s="25">
        <f t="array" ref="X129">IFERROR(INDEX(Ratings!$E$5:$E$500,MATCH(A129,Ratings!$A$5:$A$500,0)),"")</f>
        <v/>
      </c>
      <c r="Y129" s="24">
        <f t="array" ref="Y129">IFERROR(INDEX(Ratings!$G$5:$G$500,MATCH(A129,Ratings!$A$5:$A$500,0)),"")</f>
        <v/>
      </c>
      <c r="Z129" s="26">
        <f t="array" ref="Z129">IFERROR(INDEX(Ratings!$I$5:$I$500,MATCH(A129,Ratings!$A$5:$A$500,0)),"")</f>
        <v/>
      </c>
      <c r="AB129" s="18" t="inlineStr">
        <is>
          <t>15</t>
        </is>
      </c>
    </row>
    <row r="130" ht="15.75" customHeight="1" s="108">
      <c r="A130" s="18" t="inlineStr">
        <is>
          <t>F0126</t>
        </is>
      </c>
      <c r="B130" s="18" t="inlineStr">
        <is>
          <t>The Great Gatsby</t>
        </is>
      </c>
      <c r="C130" s="20" t="inlineStr">
        <is>
          <t>2013</t>
        </is>
      </c>
      <c r="D130" s="18" t="inlineStr">
        <is>
          <t>Blu-ray</t>
        </is>
      </c>
      <c r="E130" s="4" t="n"/>
      <c r="F130" s="19" t="n"/>
      <c r="G130" s="4" t="n"/>
      <c r="H130" s="4" t="n"/>
      <c r="I130" s="19" t="inlineStr">
        <is>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is>
      </c>
      <c r="J130" s="19" t="inlineStr">
        <is>
          <t>Baz Luhrmann</t>
        </is>
      </c>
      <c r="K130" s="19" t="n">
        <v>143</v>
      </c>
      <c r="L130" s="19" t="inlineStr">
        <is>
          <t>Drama, Romance</t>
        </is>
      </c>
      <c r="M130" s="19" t="inlineStr">
        <is>
          <t>Spectrum Films, Village Roadshow Pictures, Bazmark Films</t>
        </is>
      </c>
      <c r="N130" s="19" t="inlineStr">
        <is>
          <t>https://huggingface.co/datasets/HenryWaltson/TMDB-IMDB-Movies-Dataset</t>
        </is>
      </c>
      <c r="O130" s="19" t="inlineStr">
        <is>
          <t>https://huggingface.co/datasets/HenryWaltson/TMDB-IMDB-Movies-Dataset</t>
        </is>
      </c>
      <c r="P130" s="18" t="inlineStr">
        <is>
          <t>Leonardo DiCaprio</t>
        </is>
      </c>
      <c r="Q130" s="18" t="inlineStr">
        <is>
          <t>Tobey Maguire</t>
        </is>
      </c>
      <c r="R130" s="18" t="inlineStr">
        <is>
          <t>Carey Mulligan</t>
        </is>
      </c>
      <c r="S130" s="18" t="inlineStr">
        <is>
          <t>Joel Edgerton</t>
        </is>
      </c>
      <c r="T130" s="18" t="inlineStr">
        <is>
          <t>Elizabeth Debicki</t>
        </is>
      </c>
      <c r="U130" s="24" t="n">
        <v>2</v>
      </c>
      <c r="V130" s="24" t="n">
        <v>2</v>
      </c>
      <c r="W130" s="4" t="n"/>
      <c r="X130" s="25">
        <f t="array" ref="X130">IFERROR(INDEX(Ratings!$E$5:$E$500,MATCH(A130,Ratings!$A$5:$A$500,0)),"")</f>
        <v/>
      </c>
      <c r="Y130" s="24">
        <f t="array" ref="Y130">IFERROR(INDEX(Ratings!$G$5:$G$500,MATCH(A130,Ratings!$A$5:$A$500,0)),"")</f>
        <v/>
      </c>
      <c r="Z130" s="26">
        <f t="array" ref="Z130">IFERROR(INDEX(Ratings!$I$5:$I$500,MATCH(A130,Ratings!$A$5:$A$500,0)),"")</f>
        <v/>
      </c>
      <c r="AB130" s="18" t="inlineStr">
        <is>
          <t>12A</t>
        </is>
      </c>
    </row>
    <row r="131" ht="15.75" customHeight="1" s="108">
      <c r="A131" s="18" t="inlineStr">
        <is>
          <t>F0127</t>
        </is>
      </c>
      <c r="B131" s="18" t="inlineStr">
        <is>
          <t>The Greatest Showman</t>
        </is>
      </c>
      <c r="C131" s="20" t="inlineStr">
        <is>
          <t>2017</t>
        </is>
      </c>
      <c r="D131" s="18" t="inlineStr">
        <is>
          <t>Blu-ray</t>
        </is>
      </c>
      <c r="E131" s="4" t="n"/>
      <c r="F131" s="19" t="n"/>
      <c r="G131" s="4" t="n"/>
      <c r="H131" s="4" t="n"/>
      <c r="I131" s="19" t="inlineStr">
        <is>
          <t>The story of American showman P.T. Barnum, founder of the circus that became the famous traveling Ringling Bros. and Barnum &amp; Bailey Circus.</t>
        </is>
      </c>
      <c r="J131" s="19" t="inlineStr">
        <is>
          <t>Michael Gracey</t>
        </is>
      </c>
      <c r="K131" s="19" t="n">
        <v>105</v>
      </c>
      <c r="L131" s="19" t="inlineStr">
        <is>
          <t>Drama</t>
        </is>
      </c>
      <c r="M131" s="19" t="inlineStr">
        <is>
          <t>Chernin Entertainment, 20th Century Fox, TSG Entertainment</t>
        </is>
      </c>
      <c r="N131" s="19" t="inlineStr">
        <is>
          <t>https://huggingface.co/datasets/HenryWaltson/TMDB-IMDB-Movies-Dataset</t>
        </is>
      </c>
      <c r="O131" s="19" t="inlineStr">
        <is>
          <t>https://huggingface.co/datasets/HenryWaltson/TMDB-IMDB-Movies-Dataset</t>
        </is>
      </c>
      <c r="P131" s="18" t="inlineStr">
        <is>
          <t>Hugh Jackman</t>
        </is>
      </c>
      <c r="Q131" s="18" t="inlineStr">
        <is>
          <t>Zac Efron</t>
        </is>
      </c>
      <c r="R131" s="18" t="inlineStr">
        <is>
          <t>Michelle Williams</t>
        </is>
      </c>
      <c r="S131" s="18" t="inlineStr">
        <is>
          <t>Rebecca Ferguson</t>
        </is>
      </c>
      <c r="T131" s="18" t="inlineStr">
        <is>
          <t>Zendaya</t>
        </is>
      </c>
      <c r="U131" s="24" t="n">
        <v>1</v>
      </c>
      <c r="V131" s="24" t="n">
        <v>0</v>
      </c>
      <c r="W131" s="4" t="n"/>
      <c r="X131" s="25">
        <f t="array" ref="X131">IFERROR(INDEX(Ratings!$E$5:$E$500,MATCH(A131,Ratings!$A$5:$A$500,0)),"")</f>
        <v/>
      </c>
      <c r="Y131" s="24">
        <f t="array" ref="Y131">IFERROR(INDEX(Ratings!$G$5:$G$500,MATCH(A131,Ratings!$A$5:$A$500,0)),"")</f>
        <v/>
      </c>
      <c r="Z131" s="26">
        <f t="array" ref="Z131">IFERROR(INDEX(Ratings!$I$5:$I$500,MATCH(A131,Ratings!$A$5:$A$500,0)),"")</f>
        <v/>
      </c>
      <c r="AB131" s="18" t="inlineStr">
        <is>
          <t>PG</t>
        </is>
      </c>
    </row>
    <row r="132" ht="15.75" customHeight="1" s="108">
      <c r="A132" s="18" t="inlineStr">
        <is>
          <t>F0128</t>
        </is>
      </c>
      <c r="B132" s="18" t="inlineStr">
        <is>
          <t>Green Lantern</t>
        </is>
      </c>
      <c r="C132" s="20" t="inlineStr">
        <is>
          <t>2011</t>
        </is>
      </c>
      <c r="D132" s="18" t="inlineStr">
        <is>
          <t>Blu-ray</t>
        </is>
      </c>
      <c r="E132" s="4" t="n"/>
      <c r="F132" s="19" t="n"/>
      <c r="G132" s="4" t="n"/>
      <c r="H132" s="4" t="n"/>
      <c r="I132" s="19" t="inlineStr">
        <is>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is>
      </c>
      <c r="J132" s="19" t="inlineStr">
        <is>
          <t>Martin Campbell</t>
        </is>
      </c>
      <c r="K132" s="19" t="n">
        <v>114</v>
      </c>
      <c r="L132" s="19" t="inlineStr">
        <is>
          <t>Adventure, Action, Thriller, Science Fiction</t>
        </is>
      </c>
      <c r="M132" s="19" t="inlineStr">
        <is>
          <t>DC Entertainment, De Line Pictures, Warner Bros. Pictures</t>
        </is>
      </c>
      <c r="N132" s="19" t="inlineStr">
        <is>
          <t>https://huggingface.co/datasets/HenryWaltson/TMDB-IMDB-Movies-Dataset</t>
        </is>
      </c>
      <c r="O132" s="19" t="inlineStr">
        <is>
          <t>https://huggingface.co/datasets/HenryWaltson/TMDB-IMDB-Movies-Dataset</t>
        </is>
      </c>
      <c r="P132" s="18" t="inlineStr">
        <is>
          <t>Ryan Reynolds</t>
        </is>
      </c>
      <c r="Q132" s="18" t="inlineStr">
        <is>
          <t>Blake Lively</t>
        </is>
      </c>
      <c r="R132" s="18" t="inlineStr">
        <is>
          <t>Peter Sarsgaard</t>
        </is>
      </c>
      <c r="S132" s="18" t="inlineStr">
        <is>
          <t>Mark Strong</t>
        </is>
      </c>
      <c r="T132" s="18" t="inlineStr">
        <is>
          <t>Tim Robbins</t>
        </is>
      </c>
      <c r="U132" s="24" t="n">
        <v>0</v>
      </c>
      <c r="V132" s="24" t="n">
        <v>0</v>
      </c>
      <c r="W132" s="4" t="n"/>
      <c r="X132" s="25">
        <f t="array" ref="X132">IFERROR(INDEX(Ratings!$E$5:$E$500,MATCH(A132,Ratings!$A$5:$A$500,0)),"")</f>
        <v/>
      </c>
      <c r="Y132" s="24">
        <f t="array" ref="Y132">IFERROR(INDEX(Ratings!$G$5:$G$500,MATCH(A132,Ratings!$A$5:$A$500,0)),"")</f>
        <v/>
      </c>
      <c r="Z132" s="26">
        <f t="array" ref="Z132">IFERROR(INDEX(Ratings!$I$5:$I$500,MATCH(A132,Ratings!$A$5:$A$500,0)),"")</f>
        <v/>
      </c>
      <c r="AB132" s="18" t="inlineStr">
        <is>
          <t>12A</t>
        </is>
      </c>
    </row>
    <row r="133" ht="15.75" customHeight="1" s="108">
      <c r="A133" s="18" t="inlineStr">
        <is>
          <t>F0129</t>
        </is>
      </c>
      <c r="B133" s="18" t="inlineStr">
        <is>
          <t>Green Zone</t>
        </is>
      </c>
      <c r="C133" s="20" t="inlineStr">
        <is>
          <t>2010</t>
        </is>
      </c>
      <c r="D133" s="18" t="inlineStr">
        <is>
          <t>Blu-ray</t>
        </is>
      </c>
      <c r="E133" s="4" t="n"/>
      <c r="F133" s="19" t="n"/>
      <c r="G133" s="4" t="n"/>
      <c r="H133" s="4" t="n"/>
      <c r="I133" s="19" t="inlineStr">
        <is>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is>
      </c>
      <c r="J133" s="19" t="inlineStr">
        <is>
          <t>Paul Greengrass</t>
        </is>
      </c>
      <c r="K133" s="19" t="n">
        <v>115</v>
      </c>
      <c r="L133" s="19" t="inlineStr">
        <is>
          <t>War, Action, Adventure, Drama, Thriller</t>
        </is>
      </c>
      <c r="M133" s="19" t="inlineStr">
        <is>
          <t>Universal Pictures, StudioCanal, Relativity Media</t>
        </is>
      </c>
      <c r="N133" s="19" t="inlineStr">
        <is>
          <t>https://huggingface.co/datasets/HenryWaltson/TMDB-IMDB-Movies-Dataset</t>
        </is>
      </c>
      <c r="O133" s="19" t="inlineStr">
        <is>
          <t>https://huggingface.co/datasets/HenryWaltson/TMDB-IMDB-Movies-Dataset</t>
        </is>
      </c>
      <c r="P133" s="18" t="inlineStr">
        <is>
          <t>Matt Damon</t>
        </is>
      </c>
      <c r="Q133" s="18" t="inlineStr">
        <is>
          <t>Greg Kinnear</t>
        </is>
      </c>
      <c r="R133" s="18" t="inlineStr">
        <is>
          <t>Brendan Gleeson</t>
        </is>
      </c>
      <c r="S133" s="18" t="inlineStr">
        <is>
          <t>Amy Ryan</t>
        </is>
      </c>
      <c r="T133" s="18" t="inlineStr">
        <is>
          <t>Khalid Abdalla</t>
        </is>
      </c>
      <c r="U133" s="24" t="n">
        <v>0</v>
      </c>
      <c r="V133" s="24" t="n">
        <v>0</v>
      </c>
      <c r="W133" s="4" t="n"/>
      <c r="X133" s="25">
        <f t="array" ref="X133">IFERROR(INDEX(Ratings!$E$5:$E$500,MATCH(A133,Ratings!$A$5:$A$500,0)),"")</f>
        <v/>
      </c>
      <c r="Y133" s="24">
        <f t="array" ref="Y133">IFERROR(INDEX(Ratings!$G$5:$G$500,MATCH(A133,Ratings!$A$5:$A$500,0)),"")</f>
        <v/>
      </c>
      <c r="Z133" s="26">
        <f t="array" ref="Z133">IFERROR(INDEX(Ratings!$I$5:$I$500,MATCH(A133,Ratings!$A$5:$A$500,0)),"")</f>
        <v/>
      </c>
      <c r="AB133" s="18" t="inlineStr">
        <is>
          <t>15</t>
        </is>
      </c>
    </row>
    <row r="134" ht="15.75" customHeight="1" s="108">
      <c r="A134" s="18" t="inlineStr">
        <is>
          <t>F0130</t>
        </is>
      </c>
      <c r="B134" s="18" t="inlineStr">
        <is>
          <t>Grimsby</t>
        </is>
      </c>
      <c r="C134" s="20" t="inlineStr">
        <is>
          <t>2016</t>
        </is>
      </c>
      <c r="D134" s="18" t="inlineStr">
        <is>
          <t>Blu-ray</t>
        </is>
      </c>
      <c r="E134" s="4" t="n"/>
      <c r="F134" s="19" t="n"/>
      <c r="G134" s="4" t="n"/>
      <c r="H134" s="4" t="n"/>
      <c r="I134" s="19" t="inlineStr">
        <is>
          <t>Wrongfully accused and on the run, a top MI6 assassin joins forces with his long-lost, football hooligan brother to save the world from a sinister plot.</t>
        </is>
      </c>
      <c r="J134" s="19" t="inlineStr">
        <is>
          <t>Louis Leterrier</t>
        </is>
      </c>
      <c r="K134" s="19" t="n">
        <v>83</v>
      </c>
      <c r="L134" s="19" t="inlineStr">
        <is>
          <t>Action, Comedy</t>
        </is>
      </c>
      <c r="M134" s="19" t="inlineStr">
        <is>
          <t>Working Title Films, Columbia Pictures, Sony Pictures Releasing</t>
        </is>
      </c>
      <c r="N134" s="19" t="inlineStr">
        <is>
          <t>https://huggingface.co/datasets/HenryWaltson/TMDB-IMDB-Movies-Dataset</t>
        </is>
      </c>
      <c r="O134" s="19" t="inlineStr">
        <is>
          <t>https://huggingface.co/datasets/HenryWaltson/TMDB-IMDB-Movies-Dataset</t>
        </is>
      </c>
      <c r="P134" s="18" t="inlineStr">
        <is>
          <t>Sacha Baron Cohen</t>
        </is>
      </c>
      <c r="Q134" s="18" t="inlineStr">
        <is>
          <t>Mark Strong</t>
        </is>
      </c>
      <c r="R134" s="18" t="inlineStr">
        <is>
          <t>Isla Fisher</t>
        </is>
      </c>
      <c r="S134" s="18" t="inlineStr">
        <is>
          <t>Penélope Cruz</t>
        </is>
      </c>
      <c r="T134" s="18" t="inlineStr">
        <is>
          <t>Rebel Wilson</t>
        </is>
      </c>
      <c r="U134" s="24" t="n">
        <v>0</v>
      </c>
      <c r="V134" s="24" t="n">
        <v>0</v>
      </c>
      <c r="W134" s="4" t="n"/>
      <c r="X134" s="25">
        <f t="array" ref="X134">IFERROR(INDEX(Ratings!$E$5:$E$500,MATCH(A134,Ratings!$A$5:$A$500,0)),"")</f>
        <v/>
      </c>
      <c r="Y134" s="24">
        <f t="array" ref="Y134">IFERROR(INDEX(Ratings!$G$5:$G$500,MATCH(A134,Ratings!$A$5:$A$500,0)),"")</f>
        <v/>
      </c>
      <c r="Z134" s="26">
        <f t="array" ref="Z134">IFERROR(INDEX(Ratings!$I$5:$I$500,MATCH(A134,Ratings!$A$5:$A$500,0)),"")</f>
        <v/>
      </c>
      <c r="AB134" s="18" t="inlineStr">
        <is>
          <t>15</t>
        </is>
      </c>
    </row>
    <row r="135" ht="15.75" customHeight="1" s="108">
      <c r="A135" s="18" t="inlineStr">
        <is>
          <t>F0131</t>
        </is>
      </c>
      <c r="B135" s="18" t="inlineStr">
        <is>
          <t>Grown Ups</t>
        </is>
      </c>
      <c r="C135" s="20" t="inlineStr">
        <is>
          <t>2010</t>
        </is>
      </c>
      <c r="D135" s="18" t="inlineStr">
        <is>
          <t>Blu-ray</t>
        </is>
      </c>
      <c r="E135" s="18" t="inlineStr">
        <is>
          <t>Grown Ups</t>
        </is>
      </c>
      <c r="F135" s="19" t="n"/>
      <c r="G135" s="4" t="n"/>
      <c r="H135" s="4" t="n"/>
      <c r="I135" s="19" t="inlineStr">
        <is>
          <t>After their high school basketball coach passes away, five good friends and former teammates reunite for a Fourth of July holiday weekend.</t>
        </is>
      </c>
      <c r="J135" s="19" t="inlineStr">
        <is>
          <t>Dennis Dugan</t>
        </is>
      </c>
      <c r="K135" s="19" t="n">
        <v>102</v>
      </c>
      <c r="L135" s="19" t="inlineStr">
        <is>
          <t>Comedy</t>
        </is>
      </c>
      <c r="M135" s="19" t="inlineStr">
        <is>
          <t>Columbia Pictures, Relativity Media, Sony Pictures</t>
        </is>
      </c>
      <c r="N135" s="19" t="inlineStr">
        <is>
          <t>https://huggingface.co/datasets/HenryWaltson/TMDB-IMDB-Movies-Dataset</t>
        </is>
      </c>
      <c r="O135" s="19" t="inlineStr">
        <is>
          <t>https://huggingface.co/datasets/HenryWaltson/TMDB-IMDB-Movies-Dataset</t>
        </is>
      </c>
      <c r="P135" s="18" t="inlineStr">
        <is>
          <t>Adam Sandler</t>
        </is>
      </c>
      <c r="Q135" s="18" t="inlineStr">
        <is>
          <t>Kevin James</t>
        </is>
      </c>
      <c r="R135" s="18" t="inlineStr">
        <is>
          <t>Chris Rock</t>
        </is>
      </c>
      <c r="S135" s="18" t="inlineStr">
        <is>
          <t>David Spade</t>
        </is>
      </c>
      <c r="T135" s="18" t="inlineStr">
        <is>
          <t>Rob Schneider</t>
        </is>
      </c>
      <c r="U135" s="24" t="n">
        <v>0</v>
      </c>
      <c r="V135" s="24" t="n">
        <v>0</v>
      </c>
      <c r="W135" s="4" t="n"/>
      <c r="X135" s="25">
        <f t="array" ref="X135">IFERROR(INDEX(Ratings!$E$5:$E$500,MATCH(A135,Ratings!$A$5:$A$500,0)),"")</f>
        <v/>
      </c>
      <c r="Y135" s="24">
        <f t="array" ref="Y135">IFERROR(INDEX(Ratings!$G$5:$G$500,MATCH(A135,Ratings!$A$5:$A$500,0)),"")</f>
        <v/>
      </c>
      <c r="Z135" s="26">
        <f t="array" ref="Z135">IFERROR(INDEX(Ratings!$I$5:$I$500,MATCH(A135,Ratings!$A$5:$A$500,0)),"")</f>
        <v/>
      </c>
      <c r="AB135" s="18" t="inlineStr">
        <is>
          <t>12A</t>
        </is>
      </c>
    </row>
    <row r="136" ht="15.75" customHeight="1" s="108">
      <c r="A136" s="18" t="inlineStr">
        <is>
          <t>F0132</t>
        </is>
      </c>
      <c r="B136" s="18" t="inlineStr">
        <is>
          <t>Grown Ups 2</t>
        </is>
      </c>
      <c r="C136" s="20" t="inlineStr">
        <is>
          <t>2013</t>
        </is>
      </c>
      <c r="D136" s="18" t="inlineStr">
        <is>
          <t>Blu-ray</t>
        </is>
      </c>
      <c r="E136" s="18" t="inlineStr">
        <is>
          <t>Grown Ups</t>
        </is>
      </c>
      <c r="F136" s="19" t="n"/>
      <c r="G136" s="4" t="n"/>
      <c r="H136" s="4" t="n"/>
      <c r="I136" s="19" t="inlineStr">
        <is>
          <t>Lenny has relocated his family back to the small town where he and his friends grew up. This time around, the grown ups are the ones learning lessons from their kids on a day notoriously full of surprises—the last day of school.</t>
        </is>
      </c>
      <c r="J136" s="19" t="inlineStr">
        <is>
          <t>Dennis Dugan</t>
        </is>
      </c>
      <c r="K136" s="19" t="n">
        <v>101</v>
      </c>
      <c r="L136" s="19" t="inlineStr">
        <is>
          <t>Comedy</t>
        </is>
      </c>
      <c r="M136" s="19" t="inlineStr">
        <is>
          <t>Columbia Pictures, Sony Pictures, Happy Madison Productions</t>
        </is>
      </c>
      <c r="N136" s="19" t="inlineStr">
        <is>
          <t>https://huggingface.co/datasets/HenryWaltson/TMDB-IMDB-Movies-Dataset</t>
        </is>
      </c>
      <c r="O136" s="19" t="inlineStr">
        <is>
          <t>https://huggingface.co/datasets/HenryWaltson/TMDB-IMDB-Movies-Dataset</t>
        </is>
      </c>
      <c r="P136" s="18" t="inlineStr">
        <is>
          <t>Adam Sandler</t>
        </is>
      </c>
      <c r="Q136" s="18" t="inlineStr">
        <is>
          <t>Kevin James</t>
        </is>
      </c>
      <c r="R136" s="18" t="inlineStr">
        <is>
          <t>Chris Rock</t>
        </is>
      </c>
      <c r="S136" s="18" t="inlineStr">
        <is>
          <t>David Spade</t>
        </is>
      </c>
      <c r="T136" s="18" t="inlineStr">
        <is>
          <t>Salma Hayek Pinault</t>
        </is>
      </c>
      <c r="U136" s="24" t="n">
        <v>0</v>
      </c>
      <c r="V136" s="24" t="n">
        <v>0</v>
      </c>
      <c r="W136" s="4" t="n"/>
      <c r="X136" s="25">
        <f t="array" ref="X136">IFERROR(INDEX(Ratings!$E$5:$E$500,MATCH(A136,Ratings!$A$5:$A$500,0)),"")</f>
        <v/>
      </c>
      <c r="Y136" s="24">
        <f t="array" ref="Y136">IFERROR(INDEX(Ratings!$G$5:$G$500,MATCH(A136,Ratings!$A$5:$A$500,0)),"")</f>
        <v/>
      </c>
      <c r="Z136" s="26">
        <f t="array" ref="Z136">IFERROR(INDEX(Ratings!$I$5:$I$500,MATCH(A136,Ratings!$A$5:$A$500,0)),"")</f>
        <v/>
      </c>
      <c r="AB136" s="18" t="inlineStr">
        <is>
          <t>12A</t>
        </is>
      </c>
    </row>
    <row r="137" ht="15.75" customHeight="1" s="108">
      <c r="A137" s="18" t="inlineStr">
        <is>
          <t>F0133</t>
        </is>
      </c>
      <c r="B137" s="18" t="inlineStr">
        <is>
          <t>Hacksaw Ridge</t>
        </is>
      </c>
      <c r="C137" s="20" t="inlineStr">
        <is>
          <t>2016</t>
        </is>
      </c>
      <c r="D137" s="18" t="inlineStr">
        <is>
          <t>Blu-ray</t>
        </is>
      </c>
      <c r="E137" s="4" t="n"/>
      <c r="F137" s="19" t="n"/>
      <c r="G137" s="4" t="n"/>
      <c r="H137" s="4" t="n"/>
      <c r="I137" s="19" t="inlineStr">
        <is>
          <t>WWII American Army Medic Desmond T. Doss, who served during the Battle of Okinawa, refuses to kill people and becomes the first Conscientious Objector in American history to receive the Congressional Medal of Honor.</t>
        </is>
      </c>
      <c r="J137" s="19" t="inlineStr">
        <is>
          <t>Mel Gibson</t>
        </is>
      </c>
      <c r="K137" s="19" t="n">
        <v>139</v>
      </c>
      <c r="L137" s="19" t="inlineStr">
        <is>
          <t>Drama, History, War</t>
        </is>
      </c>
      <c r="M137" s="19" t="inlineStr">
        <is>
          <t>Vendian Entertainment, Summit Entertainment, Cross Creek Pictures</t>
        </is>
      </c>
      <c r="N137" s="19" t="inlineStr">
        <is>
          <t>https://huggingface.co/datasets/HenryWaltson/TMDB-IMDB-Movies-Dataset</t>
        </is>
      </c>
      <c r="O137" s="19" t="inlineStr">
        <is>
          <t>https://huggingface.co/datasets/HenryWaltson/TMDB-IMDB-Movies-Dataset</t>
        </is>
      </c>
      <c r="P137" s="18" t="inlineStr">
        <is>
          <t>Andrew Garfield</t>
        </is>
      </c>
      <c r="Q137" s="18" t="inlineStr">
        <is>
          <t>Sam Worthington</t>
        </is>
      </c>
      <c r="R137" s="18" t="inlineStr">
        <is>
          <t>Vince Vaughn</t>
        </is>
      </c>
      <c r="S137" s="18" t="inlineStr">
        <is>
          <t>Teresa Palmer</t>
        </is>
      </c>
      <c r="T137" s="18" t="inlineStr">
        <is>
          <t>Luke Bracey</t>
        </is>
      </c>
      <c r="U137" s="24" t="n">
        <v>6</v>
      </c>
      <c r="V137" s="24" t="n">
        <v>2</v>
      </c>
      <c r="W137" s="18" t="inlineStr">
        <is>
          <t>Nominated</t>
        </is>
      </c>
      <c r="X137" s="25">
        <f t="array" ref="X137">IFERROR(INDEX(Ratings!$E$5:$E$500,MATCH(A137,Ratings!$A$5:$A$500,0)),"")</f>
        <v/>
      </c>
      <c r="Y137" s="24">
        <f t="array" ref="Y137">IFERROR(INDEX(Ratings!$G$5:$G$500,MATCH(A137,Ratings!$A$5:$A$500,0)),"")</f>
        <v/>
      </c>
      <c r="Z137" s="26">
        <f t="array" ref="Z137">IFERROR(INDEX(Ratings!$I$5:$I$500,MATCH(A137,Ratings!$A$5:$A$500,0)),"")</f>
        <v/>
      </c>
      <c r="AB137" s="18" t="inlineStr">
        <is>
          <t>15</t>
        </is>
      </c>
    </row>
    <row r="138" ht="15.75" customHeight="1" s="108">
      <c r="A138" s="18" t="inlineStr">
        <is>
          <t>F0134</t>
        </is>
      </c>
      <c r="B138" s="18" t="inlineStr">
        <is>
          <t>The Hangover</t>
        </is>
      </c>
      <c r="C138" s="20" t="inlineStr">
        <is>
          <t>2009</t>
        </is>
      </c>
      <c r="D138" s="18" t="inlineStr">
        <is>
          <t>Blu-ray</t>
        </is>
      </c>
      <c r="E138" s="18" t="inlineStr">
        <is>
          <t>Hangover</t>
        </is>
      </c>
      <c r="F138" s="19" t="n"/>
      <c r="G138" s="4" t="n"/>
      <c r="H138" s="4" t="n"/>
      <c r="I138" s="19" t="inlineStr">
        <is>
          <t>When three friends finally come to after a raucous night of bachelor-party revelry, they find a baby in the closet and a tiger in the bathroom. But they can't seem to locate their best friend, Doug – who's supposed to be tying the knot. Launching a frantic search for Doug, the trio perseveres through a nasty hangover to try to make it to the church on time.</t>
        </is>
      </c>
      <c r="J138" s="19" t="inlineStr">
        <is>
          <t>Todd Phillips</t>
        </is>
      </c>
      <c r="K138" s="19" t="n">
        <v>100</v>
      </c>
      <c r="L138" s="19" t="inlineStr">
        <is>
          <t>Comedy</t>
        </is>
      </c>
      <c r="M138" s="19" t="inlineStr">
        <is>
          <t>Legendary Pictures, Green Hat Films, Warner Bros. Pictures</t>
        </is>
      </c>
      <c r="N138" s="19" t="inlineStr">
        <is>
          <t>https://huggingface.co/datasets/HenryWaltson/TMDB-IMDB-Movies-Dataset</t>
        </is>
      </c>
      <c r="O138" s="19" t="inlineStr">
        <is>
          <t>https://huggingface.co/datasets/HenryWaltson/TMDB-IMDB-Movies-Dataset</t>
        </is>
      </c>
      <c r="P138" s="18" t="inlineStr">
        <is>
          <t>Bradley Cooper</t>
        </is>
      </c>
      <c r="Q138" s="18" t="inlineStr">
        <is>
          <t>Ed Helms</t>
        </is>
      </c>
      <c r="R138" s="18" t="inlineStr">
        <is>
          <t>Zach Galifianakis</t>
        </is>
      </c>
      <c r="S138" s="18" t="inlineStr">
        <is>
          <t>Justin Bartha</t>
        </is>
      </c>
      <c r="T138" s="18" t="inlineStr">
        <is>
          <t>Heather Graham</t>
        </is>
      </c>
      <c r="U138" s="24" t="n">
        <v>0</v>
      </c>
      <c r="V138" s="24" t="n">
        <v>0</v>
      </c>
      <c r="W138" s="4" t="n"/>
      <c r="X138" s="25">
        <f t="array" ref="X138">IFERROR(INDEX(Ratings!$E$5:$E$500,MATCH(A138,Ratings!$A$5:$A$500,0)),"")</f>
        <v/>
      </c>
      <c r="Y138" s="24">
        <f t="array" ref="Y138">IFERROR(INDEX(Ratings!$G$5:$G$500,MATCH(A138,Ratings!$A$5:$A$500,0)),"")</f>
        <v/>
      </c>
      <c r="Z138" s="26">
        <f t="array" ref="Z138">IFERROR(INDEX(Ratings!$I$5:$I$500,MATCH(A138,Ratings!$A$5:$A$500,0)),"")</f>
        <v/>
      </c>
      <c r="AB138" s="18" t="inlineStr">
        <is>
          <t>15</t>
        </is>
      </c>
    </row>
    <row r="139" ht="15.75" customHeight="1" s="108">
      <c r="A139" s="18" t="inlineStr">
        <is>
          <t>F0135</t>
        </is>
      </c>
      <c r="B139" s="18" t="inlineStr">
        <is>
          <t>The Hangover Part II</t>
        </is>
      </c>
      <c r="C139" s="20" t="inlineStr">
        <is>
          <t>2011</t>
        </is>
      </c>
      <c r="D139" s="18" t="inlineStr">
        <is>
          <t>Blu-ray</t>
        </is>
      </c>
      <c r="E139" s="18" t="inlineStr">
        <is>
          <t>Hangover</t>
        </is>
      </c>
      <c r="F139" s="19" t="n"/>
      <c r="G139" s="4" t="n"/>
      <c r="H139" s="4" t="n"/>
      <c r="I139" s="19" t="inlineStr">
        <is>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is>
      </c>
      <c r="J139" s="19" t="inlineStr">
        <is>
          <t>Todd Phillips</t>
        </is>
      </c>
      <c r="K139" s="19" t="n">
        <v>102</v>
      </c>
      <c r="L139" s="19" t="inlineStr">
        <is>
          <t>Comedy</t>
        </is>
      </c>
      <c r="M139" s="19" t="inlineStr">
        <is>
          <t>Legendary Pictures, Green Hat Films, Warner Bros. Pictures</t>
        </is>
      </c>
      <c r="N139" s="19" t="inlineStr">
        <is>
          <t>https://huggingface.co/datasets/HenryWaltson/TMDB-IMDB-Movies-Dataset</t>
        </is>
      </c>
      <c r="O139" s="19" t="inlineStr">
        <is>
          <t>https://huggingface.co/datasets/HenryWaltson/TMDB-IMDB-Movies-Dataset</t>
        </is>
      </c>
      <c r="P139" s="18" t="inlineStr">
        <is>
          <t>Bradley Cooper</t>
        </is>
      </c>
      <c r="Q139" s="18" t="inlineStr">
        <is>
          <t>Ed Helms</t>
        </is>
      </c>
      <c r="R139" s="18" t="inlineStr">
        <is>
          <t>Zach Galifianakis</t>
        </is>
      </c>
      <c r="S139" s="18" t="inlineStr">
        <is>
          <t>Justin Bartha</t>
        </is>
      </c>
      <c r="T139" s="18" t="inlineStr">
        <is>
          <t>Ken Jeong</t>
        </is>
      </c>
      <c r="U139" s="24" t="n">
        <v>0</v>
      </c>
      <c r="V139" s="24" t="n">
        <v>0</v>
      </c>
      <c r="W139" s="4" t="n"/>
      <c r="X139" s="25">
        <f t="array" ref="X139">IFERROR(INDEX(Ratings!$E$5:$E$500,MATCH(A139,Ratings!$A$5:$A$500,0)),"")</f>
        <v/>
      </c>
      <c r="Y139" s="24">
        <f t="array" ref="Y139">IFERROR(INDEX(Ratings!$G$5:$G$500,MATCH(A139,Ratings!$A$5:$A$500,0)),"")</f>
        <v/>
      </c>
      <c r="Z139" s="26">
        <f t="array" ref="Z139">IFERROR(INDEX(Ratings!$I$5:$I$500,MATCH(A139,Ratings!$A$5:$A$500,0)),"")</f>
        <v/>
      </c>
      <c r="AB139" s="18" t="inlineStr">
        <is>
          <t>15</t>
        </is>
      </c>
    </row>
    <row r="140" ht="15.75" customHeight="1" s="108">
      <c r="A140" s="18" t="inlineStr">
        <is>
          <t>F0136</t>
        </is>
      </c>
      <c r="B140" s="18" t="inlineStr">
        <is>
          <t>The Hangover Part III</t>
        </is>
      </c>
      <c r="C140" s="20" t="inlineStr">
        <is>
          <t>2013</t>
        </is>
      </c>
      <c r="D140" s="18" t="inlineStr">
        <is>
          <t>Blu-ray</t>
        </is>
      </c>
      <c r="E140" s="18" t="inlineStr">
        <is>
          <t>Hangover</t>
        </is>
      </c>
      <c r="F140" s="19" t="n"/>
      <c r="G140" s="4" t="n"/>
      <c r="H140" s="4" t="n"/>
      <c r="I140" s="19" t="inlineStr">
        <is>
          <t>This time, there's no wedding. No bachelor party. What could go wrong, right? But when the Wolfpack hits the road, all bets are off.</t>
        </is>
      </c>
      <c r="J140" s="19" t="inlineStr">
        <is>
          <t>Todd Phillips</t>
        </is>
      </c>
      <c r="K140" s="19" t="n">
        <v>100</v>
      </c>
      <c r="L140" s="19" t="inlineStr">
        <is>
          <t>Comedy</t>
        </is>
      </c>
      <c r="M140" s="19" t="inlineStr">
        <is>
          <t>Green Hat Films, Legendary Pictures, BenderSpink</t>
        </is>
      </c>
      <c r="N140" s="19" t="inlineStr">
        <is>
          <t>https://huggingface.co/datasets/HenryWaltson/TMDB-IMDB-Movies-Dataset</t>
        </is>
      </c>
      <c r="O140" s="19" t="inlineStr">
        <is>
          <t>https://huggingface.co/datasets/HenryWaltson/TMDB-IMDB-Movies-Dataset</t>
        </is>
      </c>
      <c r="P140" s="18" t="inlineStr">
        <is>
          <t>Bradley Cooper</t>
        </is>
      </c>
      <c r="Q140" s="18" t="inlineStr">
        <is>
          <t>Ed Helms</t>
        </is>
      </c>
      <c r="R140" s="18" t="inlineStr">
        <is>
          <t>Zach Galifianakis</t>
        </is>
      </c>
      <c r="S140" s="18" t="inlineStr">
        <is>
          <t>Justin Bartha</t>
        </is>
      </c>
      <c r="T140" s="18" t="inlineStr">
        <is>
          <t>Ken Jeong</t>
        </is>
      </c>
      <c r="U140" s="24" t="n">
        <v>0</v>
      </c>
      <c r="V140" s="24" t="n">
        <v>0</v>
      </c>
      <c r="W140" s="4" t="n"/>
      <c r="X140" s="25">
        <f t="array" ref="X140">IFERROR(INDEX(Ratings!$E$5:$E$500,MATCH(A140,Ratings!$A$5:$A$500,0)),"")</f>
        <v/>
      </c>
      <c r="Y140" s="24">
        <f t="array" ref="Y140">IFERROR(INDEX(Ratings!$G$5:$G$500,MATCH(A140,Ratings!$A$5:$A$500,0)),"")</f>
        <v/>
      </c>
      <c r="Z140" s="26">
        <f t="array" ref="Z140">IFERROR(INDEX(Ratings!$I$5:$I$500,MATCH(A140,Ratings!$A$5:$A$500,0)),"")</f>
        <v/>
      </c>
      <c r="AB140" s="18" t="inlineStr">
        <is>
          <t>15</t>
        </is>
      </c>
    </row>
    <row r="141" ht="15.75" customHeight="1" s="108">
      <c r="A141" s="18" t="inlineStr">
        <is>
          <t>F0137</t>
        </is>
      </c>
      <c r="B141" s="18" t="inlineStr">
        <is>
          <t>Harry Potter and the Philosopher's Stone</t>
        </is>
      </c>
      <c r="C141" s="20" t="inlineStr">
        <is>
          <t>2001</t>
        </is>
      </c>
      <c r="D141" s="18" t="inlineStr">
        <is>
          <t>Blu-ray</t>
        </is>
      </c>
      <c r="E141" s="18" t="inlineStr">
        <is>
          <t>Harry Potter</t>
        </is>
      </c>
      <c r="F141" s="19" t="n"/>
      <c r="G141" s="4" t="n"/>
      <c r="H141" s="4" t="n"/>
      <c r="I141" s="19" t="inlineStr">
        <is>
          <t>Harry Potter has lived under the stairs at his aunt and uncle's house his whole life. But on his 11th birthday, he learns he's a powerful wizard—with a place waiting for him at the Hogwarts School of Witchcraft and Wizardry. As he learns to harness his newfound powers with the help of the school's kindly headmaster, Harry uncovers the truth about his parents' deaths—and about the villain who's to blame.</t>
        </is>
      </c>
      <c r="J141" s="19" t="inlineStr">
        <is>
          <t>Chris Columbus</t>
        </is>
      </c>
      <c r="K141" s="19" t="n">
        <v>152</v>
      </c>
      <c r="L141" s="19" t="inlineStr">
        <is>
          <t>Adventure, Fantasy</t>
        </is>
      </c>
      <c r="M141" s="19" t="inlineStr">
        <is>
          <t>Warner Bros. Pictures, Heyday Films, 1492 Pictures</t>
        </is>
      </c>
      <c r="N141" s="19" t="inlineStr">
        <is>
          <t>https://huggingface.co/datasets/HenryWaltson/TMDB-IMDB-Movies-Dataset</t>
        </is>
      </c>
      <c r="O141" s="19" t="inlineStr">
        <is>
          <t>https://huggingface.co/datasets/HenryWaltson/TMDB-IMDB-Movies-Dataset</t>
        </is>
      </c>
      <c r="P141" s="18" t="inlineStr">
        <is>
          <t>Daniel Radcliffe</t>
        </is>
      </c>
      <c r="Q141" s="18" t="inlineStr">
        <is>
          <t>Rupert Grint</t>
        </is>
      </c>
      <c r="R141" s="18" t="inlineStr">
        <is>
          <t>Emma Watson</t>
        </is>
      </c>
      <c r="S141" s="18" t="inlineStr">
        <is>
          <t>Richard Harris</t>
        </is>
      </c>
      <c r="T141" s="18" t="inlineStr">
        <is>
          <t>Tom Felton</t>
        </is>
      </c>
      <c r="U141" s="24" t="n">
        <v>0</v>
      </c>
      <c r="V141" s="24" t="n">
        <v>0</v>
      </c>
      <c r="W141" s="4" t="n"/>
      <c r="X141" s="25">
        <f t="array" ref="X141">IFERROR(INDEX(Ratings!$E$5:$E$500,MATCH(A141,Ratings!$A$5:$A$500,0)),"")</f>
        <v/>
      </c>
      <c r="Y141" s="24">
        <f t="array" ref="Y141">IFERROR(INDEX(Ratings!$G$5:$G$500,MATCH(A141,Ratings!$A$5:$A$500,0)),"")</f>
        <v/>
      </c>
      <c r="Z141" s="26">
        <f t="array" ref="Z141">IFERROR(INDEX(Ratings!$I$5:$I$500,MATCH(A141,Ratings!$A$5:$A$500,0)),"")</f>
        <v/>
      </c>
      <c r="AB141" s="18" t="inlineStr">
        <is>
          <t>PG</t>
        </is>
      </c>
    </row>
    <row r="142" ht="15.75" customHeight="1" s="108">
      <c r="A142" s="18" t="inlineStr">
        <is>
          <t>F0138</t>
        </is>
      </c>
      <c r="B142" s="18" t="inlineStr">
        <is>
          <t>Harry Potter and the Chamber of Secrets</t>
        </is>
      </c>
      <c r="C142" s="20" t="inlineStr">
        <is>
          <t>2002</t>
        </is>
      </c>
      <c r="D142" s="18" t="inlineStr">
        <is>
          <t>Blu-ray</t>
        </is>
      </c>
      <c r="E142" s="18" t="inlineStr">
        <is>
          <t>Harry Potter</t>
        </is>
      </c>
      <c r="F142" s="19" t="n"/>
      <c r="G142" s="4" t="n"/>
      <c r="H142" s="4" t="n"/>
      <c r="I142" s="19" t="inlineStr">
        <is>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Hermione's magical abilities and courage.</t>
        </is>
      </c>
      <c r="J142" s="19" t="inlineStr">
        <is>
          <t>Chris Columbus</t>
        </is>
      </c>
      <c r="K142" s="19" t="n">
        <v>161</v>
      </c>
      <c r="L142" s="19" t="inlineStr">
        <is>
          <t>Adventure, Fantasy</t>
        </is>
      </c>
      <c r="M142" s="19" t="inlineStr">
        <is>
          <t>Warner Bros. Pictures, Heyday Films, 1492 Pictures</t>
        </is>
      </c>
      <c r="N142" s="19" t="inlineStr">
        <is>
          <t>https://huggingface.co/datasets/HenryWaltson/TMDB-IMDB-Movies-Dataset</t>
        </is>
      </c>
      <c r="O142" s="19" t="inlineStr">
        <is>
          <t>https://huggingface.co/datasets/HenryWaltson/TMDB-IMDB-Movies-Dataset</t>
        </is>
      </c>
      <c r="P142" s="18" t="inlineStr">
        <is>
          <t>Daniel Radcliffe</t>
        </is>
      </c>
      <c r="Q142" s="18" t="inlineStr">
        <is>
          <t>Rupert Grint</t>
        </is>
      </c>
      <c r="R142" s="18" t="inlineStr">
        <is>
          <t>Emma Watson</t>
        </is>
      </c>
      <c r="S142" s="18" t="inlineStr">
        <is>
          <t>Kenneth Branagh</t>
        </is>
      </c>
      <c r="T142" s="18" t="inlineStr">
        <is>
          <t>Toby Jones</t>
        </is>
      </c>
      <c r="U142" s="24" t="n">
        <v>0</v>
      </c>
      <c r="V142" s="24" t="n">
        <v>0</v>
      </c>
      <c r="W142" s="4" t="n"/>
      <c r="X142" s="25">
        <f t="array" ref="X142">IFERROR(INDEX(Ratings!$E$5:$E$500,MATCH(A142,Ratings!$A$5:$A$500,0)),"")</f>
        <v/>
      </c>
      <c r="Y142" s="24">
        <f t="array" ref="Y142">IFERROR(INDEX(Ratings!$G$5:$G$500,MATCH(A142,Ratings!$A$5:$A$500,0)),"")</f>
        <v/>
      </c>
      <c r="Z142" s="26">
        <f t="array" ref="Z142">IFERROR(INDEX(Ratings!$I$5:$I$500,MATCH(A142,Ratings!$A$5:$A$500,0)),"")</f>
        <v/>
      </c>
      <c r="AB142" s="18" t="inlineStr">
        <is>
          <t>PG</t>
        </is>
      </c>
    </row>
    <row r="143" ht="15.75" customHeight="1" s="108">
      <c r="A143" s="18" t="inlineStr">
        <is>
          <t>F0139</t>
        </is>
      </c>
      <c r="B143" s="18" t="inlineStr">
        <is>
          <t>Harry Potter and the Prisoner of Azkaban</t>
        </is>
      </c>
      <c r="C143" s="20" t="inlineStr">
        <is>
          <t>2004</t>
        </is>
      </c>
      <c r="D143" s="18" t="inlineStr">
        <is>
          <t>Blu-ray</t>
        </is>
      </c>
      <c r="E143" s="18" t="inlineStr">
        <is>
          <t>Harry Potter</t>
        </is>
      </c>
      <c r="F143" s="19" t="n"/>
      <c r="G143" s="4" t="n"/>
      <c r="H143" s="4" t="n"/>
      <c r="I143" s="19" t="inlineStr">
        <is>
          <t>Harry Potter's life is in danger once more as dangerous wizard Sirius Black has escaped from Azkaban Prison and is heading to Hogwarts.</t>
        </is>
      </c>
      <c r="J143" s="19" t="inlineStr">
        <is>
          <t>Alfonso Cuarón</t>
        </is>
      </c>
      <c r="K143" s="19" t="n">
        <v>141</v>
      </c>
      <c r="L143" s="19" t="inlineStr">
        <is>
          <t>Adventure, Fantasy</t>
        </is>
      </c>
      <c r="M143" s="19" t="inlineStr">
        <is>
          <t>Warner Bros. Pictures, 1492 Pictures, Heyday Films</t>
        </is>
      </c>
      <c r="N143" s="19" t="inlineStr">
        <is>
          <t>https://huggingface.co/datasets/HenryWaltson/TMDB-IMDB-Movies-Dataset</t>
        </is>
      </c>
      <c r="O143" s="19" t="inlineStr">
        <is>
          <t>https://huggingface.co/datasets/HenryWaltson/TMDB-IMDB-Movies-Dataset</t>
        </is>
      </c>
      <c r="P143" s="18" t="inlineStr">
        <is>
          <t>Daniel Radcliffe</t>
        </is>
      </c>
      <c r="Q143" s="18" t="inlineStr">
        <is>
          <t>Rupert Grint</t>
        </is>
      </c>
      <c r="R143" s="18" t="inlineStr">
        <is>
          <t>Emma Watson</t>
        </is>
      </c>
      <c r="S143" s="18" t="inlineStr">
        <is>
          <t>Robbie Coltrane</t>
        </is>
      </c>
      <c r="T143" s="18" t="inlineStr">
        <is>
          <t>Michael Gambon</t>
        </is>
      </c>
      <c r="U143" s="24" t="n">
        <v>2</v>
      </c>
      <c r="V143" s="24" t="n">
        <v>0</v>
      </c>
      <c r="W143" s="4" t="n"/>
      <c r="X143" s="25">
        <f t="array" ref="X143">IFERROR(INDEX(Ratings!$E$5:$E$500,MATCH(A143,Ratings!$A$5:$A$500,0)),"")</f>
        <v/>
      </c>
      <c r="Y143" s="24">
        <f t="array" ref="Y143">IFERROR(INDEX(Ratings!$G$5:$G$500,MATCH(A143,Ratings!$A$5:$A$500,0)),"")</f>
        <v/>
      </c>
      <c r="Z143" s="26">
        <f t="array" ref="Z143">IFERROR(INDEX(Ratings!$I$5:$I$500,MATCH(A143,Ratings!$A$5:$A$500,0)),"")</f>
        <v/>
      </c>
      <c r="AB143" s="18" t="inlineStr">
        <is>
          <t>PG</t>
        </is>
      </c>
    </row>
    <row r="144" ht="15.75" customHeight="1" s="108">
      <c r="A144" s="18" t="inlineStr">
        <is>
          <t>F0140</t>
        </is>
      </c>
      <c r="B144" s="18" t="inlineStr">
        <is>
          <t>Harry Potter and the Goblet of Fire</t>
        </is>
      </c>
      <c r="C144" s="20" t="inlineStr">
        <is>
          <t>2005</t>
        </is>
      </c>
      <c r="D144" s="18" t="inlineStr">
        <is>
          <t>Blu-ray</t>
        </is>
      </c>
      <c r="E144" s="18" t="inlineStr">
        <is>
          <t>Harry Potter</t>
        </is>
      </c>
      <c r="F144" s="19" t="n"/>
      <c r="G144" s="4" t="n"/>
      <c r="H144" s="4" t="n"/>
      <c r="I144" s="19" t="inlineStr">
        <is>
          <t>When his name emerges from the Goblet of Fire, Harry Potter becomes a competitor in a grueling battle for glory among three wizarding schools. Signs of Voldemort's return emerge as Harry's friends help him prepare for the Triwizard Tournament.</t>
        </is>
      </c>
      <c r="J144" s="19" t="inlineStr">
        <is>
          <t>Mike Newell</t>
        </is>
      </c>
      <c r="K144" s="19" t="n">
        <v>157</v>
      </c>
      <c r="L144" s="19" t="inlineStr">
        <is>
          <t>Adventure, Fantasy</t>
        </is>
      </c>
      <c r="M144" s="19" t="inlineStr">
        <is>
          <t>Warner Bros. Pictures, Heyday Films, Patalex IV Productions Limited</t>
        </is>
      </c>
      <c r="N144" s="19" t="inlineStr">
        <is>
          <t>https://huggingface.co/datasets/HenryWaltson/TMDB-IMDB-Movies-Dataset</t>
        </is>
      </c>
      <c r="O144" s="19" t="inlineStr">
        <is>
          <t>https://huggingface.co/datasets/HenryWaltson/TMDB-IMDB-Movies-Dataset</t>
        </is>
      </c>
      <c r="P144" s="18" t="inlineStr">
        <is>
          <t>Daniel Radcliffe</t>
        </is>
      </c>
      <c r="Q144" s="18" t="inlineStr">
        <is>
          <t>Rupert Grint</t>
        </is>
      </c>
      <c r="R144" s="18" t="inlineStr">
        <is>
          <t>Emma Watson</t>
        </is>
      </c>
      <c r="S144" s="18" t="inlineStr">
        <is>
          <t>Brendan Gleeson</t>
        </is>
      </c>
      <c r="T144" s="18" t="inlineStr">
        <is>
          <t>Michael Gambon</t>
        </is>
      </c>
      <c r="U144" s="24" t="n">
        <v>1</v>
      </c>
      <c r="V144" s="24" t="n">
        <v>0</v>
      </c>
      <c r="W144" s="4" t="n"/>
      <c r="X144" s="25">
        <f t="array" ref="X144">IFERROR(INDEX(Ratings!$E$5:$E$500,MATCH(A144,Ratings!$A$5:$A$500,0)),"")</f>
        <v/>
      </c>
      <c r="Y144" s="24">
        <f t="array" ref="Y144">IFERROR(INDEX(Ratings!$G$5:$G$500,MATCH(A144,Ratings!$A$5:$A$500,0)),"")</f>
        <v/>
      </c>
      <c r="Z144" s="26">
        <f t="array" ref="Z144">IFERROR(INDEX(Ratings!$I$5:$I$500,MATCH(A144,Ratings!$A$5:$A$500,0)),"")</f>
        <v/>
      </c>
      <c r="AB144" s="18" t="inlineStr">
        <is>
          <t>12A</t>
        </is>
      </c>
    </row>
    <row r="145" ht="15.75" customHeight="1" s="108">
      <c r="A145" s="18" t="inlineStr">
        <is>
          <t>F0141</t>
        </is>
      </c>
      <c r="B145" s="18" t="inlineStr">
        <is>
          <t>Harry Potter and the Order of the Phoenix</t>
        </is>
      </c>
      <c r="C145" s="20" t="inlineStr">
        <is>
          <t>2007</t>
        </is>
      </c>
      <c r="D145" s="18" t="inlineStr">
        <is>
          <t>Blu-ray</t>
        </is>
      </c>
      <c r="E145" s="18" t="inlineStr">
        <is>
          <t>Harry Potter</t>
        </is>
      </c>
      <c r="F145" s="19" t="n"/>
      <c r="G145" s="4" t="n"/>
      <c r="H145" s="4" t="n"/>
      <c r="I145" s="19" t="inlineStr">
        <is>
          <t>When a new professor's methods leave Hogwarts unprepared to fight the rising tide of evil, Harry teaches students how to defend against the dark arts.</t>
        </is>
      </c>
      <c r="J145" s="19" t="inlineStr">
        <is>
          <t>David Yates</t>
        </is>
      </c>
      <c r="K145" s="19" t="n">
        <v>138</v>
      </c>
      <c r="L145" s="19" t="inlineStr">
        <is>
          <t>Adventure, Fantasy</t>
        </is>
      </c>
      <c r="M145" s="19" t="inlineStr">
        <is>
          <t>Warner Bros. Pictures, Heyday Films</t>
        </is>
      </c>
      <c r="N145" s="19" t="inlineStr">
        <is>
          <t>https://huggingface.co/datasets/HenryWaltson/TMDB-IMDB-Movies-Dataset</t>
        </is>
      </c>
      <c r="O145" s="19" t="inlineStr">
        <is>
          <t>https://huggingface.co/datasets/HenryWaltson/TMDB-IMDB-Movies-Dataset</t>
        </is>
      </c>
      <c r="P145" s="18" t="inlineStr">
        <is>
          <t>Daniel Radcliffe</t>
        </is>
      </c>
      <c r="Q145" s="18" t="inlineStr">
        <is>
          <t>Rupert Grint</t>
        </is>
      </c>
      <c r="R145" s="18" t="inlineStr">
        <is>
          <t>Emma Watson</t>
        </is>
      </c>
      <c r="S145" s="18" t="inlineStr">
        <is>
          <t>Imelda Staunton</t>
        </is>
      </c>
      <c r="T145" s="18" t="inlineStr">
        <is>
          <t>Helena Bonham Carter</t>
        </is>
      </c>
      <c r="U145" s="24" t="n">
        <v>0</v>
      </c>
      <c r="V145" s="24" t="n">
        <v>0</v>
      </c>
      <c r="W145" s="4" t="n"/>
      <c r="X145" s="25">
        <f t="array" ref="X145">IFERROR(INDEX(Ratings!$E$5:$E$500,MATCH(A145,Ratings!$A$5:$A$500,0)),"")</f>
        <v/>
      </c>
      <c r="Y145" s="24">
        <f t="array" ref="Y145">IFERROR(INDEX(Ratings!$G$5:$G$500,MATCH(A145,Ratings!$A$5:$A$500,0)),"")</f>
        <v/>
      </c>
      <c r="Z145" s="26">
        <f t="array" ref="Z145">IFERROR(INDEX(Ratings!$I$5:$I$500,MATCH(A145,Ratings!$A$5:$A$500,0)),"")</f>
        <v/>
      </c>
      <c r="AB145" s="18" t="inlineStr">
        <is>
          <t>12A</t>
        </is>
      </c>
    </row>
    <row r="146" ht="15.75" customHeight="1" s="108">
      <c r="A146" s="18" t="inlineStr">
        <is>
          <t>F0142</t>
        </is>
      </c>
      <c r="B146" s="18" t="inlineStr">
        <is>
          <t>Harry Potter and the Half-Blood Prince</t>
        </is>
      </c>
      <c r="C146" s="20" t="inlineStr">
        <is>
          <t>2009</t>
        </is>
      </c>
      <c r="D146" s="18" t="inlineStr">
        <is>
          <t>Blu-ray</t>
        </is>
      </c>
      <c r="E146" s="18" t="inlineStr">
        <is>
          <t>Harry Potter</t>
        </is>
      </c>
      <c r="F146" s="19" t="n"/>
      <c r="G146" s="4" t="n"/>
      <c r="H146" s="4" t="n"/>
      <c r="I146" s="19" t="inlineStr">
        <is>
          <t>Dumbledore tries to prepare Harry for the final battle with Voldemort while Death Eaters wreak havoc in both Muggle and Wizard worlds.</t>
        </is>
      </c>
      <c r="J146" s="19" t="inlineStr">
        <is>
          <t>David Yates</t>
        </is>
      </c>
      <c r="K146" s="19" t="n">
        <v>153</v>
      </c>
      <c r="L146" s="19" t="inlineStr">
        <is>
          <t>Adventure, Fantasy</t>
        </is>
      </c>
      <c r="M146" s="19" t="inlineStr">
        <is>
          <t>Warner Bros. Pictures, Heyday Films</t>
        </is>
      </c>
      <c r="N146" s="19" t="inlineStr">
        <is>
          <t>https://huggingface.co/datasets/HenryWaltson/TMDB-IMDB-Movies-Dataset</t>
        </is>
      </c>
      <c r="O146" s="19" t="inlineStr">
        <is>
          <t>https://huggingface.co/datasets/HenryWaltson/TMDB-IMDB-Movies-Dataset</t>
        </is>
      </c>
      <c r="P146" s="18" t="inlineStr">
        <is>
          <t>Daniel Radcliffe</t>
        </is>
      </c>
      <c r="Q146" s="18" t="inlineStr">
        <is>
          <t>Rupert Grint</t>
        </is>
      </c>
      <c r="R146" s="18" t="inlineStr">
        <is>
          <t>Emma Watson</t>
        </is>
      </c>
      <c r="S146" s="18" t="inlineStr">
        <is>
          <t>Jim Broadbent</t>
        </is>
      </c>
      <c r="T146" s="18" t="inlineStr">
        <is>
          <t>Michael Gambon</t>
        </is>
      </c>
      <c r="U146" s="24" t="n">
        <v>1</v>
      </c>
      <c r="V146" s="24" t="n">
        <v>0</v>
      </c>
      <c r="W146" s="4" t="n"/>
      <c r="X146" s="25">
        <f t="array" ref="X146">IFERROR(INDEX(Ratings!$E$5:$E$500,MATCH(A146,Ratings!$A$5:$A$500,0)),"")</f>
        <v/>
      </c>
      <c r="Y146" s="24">
        <f t="array" ref="Y146">IFERROR(INDEX(Ratings!$G$5:$G$500,MATCH(A146,Ratings!$A$5:$A$500,0)),"")</f>
        <v/>
      </c>
      <c r="Z146" s="26">
        <f t="array" ref="Z146">IFERROR(INDEX(Ratings!$I$5:$I$500,MATCH(A146,Ratings!$A$5:$A$500,0)),"")</f>
        <v/>
      </c>
      <c r="AB146" s="18" t="inlineStr">
        <is>
          <t>12A</t>
        </is>
      </c>
    </row>
    <row r="147" ht="15.75" customHeight="1" s="108">
      <c r="A147" s="18" t="inlineStr">
        <is>
          <t>F0143</t>
        </is>
      </c>
      <c r="B147" s="18" t="inlineStr">
        <is>
          <t>Harry Potter and the Deathly Hallows: Part 1</t>
        </is>
      </c>
      <c r="C147" s="20" t="inlineStr">
        <is>
          <t>2010</t>
        </is>
      </c>
      <c r="D147" s="18" t="inlineStr">
        <is>
          <t>Blu-ray</t>
        </is>
      </c>
      <c r="E147" s="18" t="inlineStr">
        <is>
          <t>Harry Potter</t>
        </is>
      </c>
      <c r="F147" s="19" t="n"/>
      <c r="G147" s="4" t="n"/>
      <c r="H147" s="4" t="n"/>
      <c r="I147" s="19" t="inlineStr">
        <is>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is>
      </c>
      <c r="J147" s="19" t="inlineStr">
        <is>
          <t>David Yates</t>
        </is>
      </c>
      <c r="K147" s="19" t="n">
        <v>146</v>
      </c>
      <c r="L147" s="19" t="inlineStr">
        <is>
          <t>Adventure, Fantasy</t>
        </is>
      </c>
      <c r="M147" s="19" t="inlineStr">
        <is>
          <t>Warner Bros. Pictures, Heyday Films</t>
        </is>
      </c>
      <c r="N147" s="19" t="inlineStr">
        <is>
          <t>https://huggingface.co/datasets/HenryWaltson/TMDB-IMDB-Movies-Dataset</t>
        </is>
      </c>
      <c r="O147" s="19" t="inlineStr">
        <is>
          <t>https://huggingface.co/datasets/HenryWaltson/TMDB-IMDB-Movies-Dataset</t>
        </is>
      </c>
      <c r="P147" s="18" t="inlineStr">
        <is>
          <t>Daniel Radcliffe</t>
        </is>
      </c>
      <c r="Q147" s="18" t="inlineStr">
        <is>
          <t>Emma Watson</t>
        </is>
      </c>
      <c r="R147" s="18" t="inlineStr">
        <is>
          <t>Rupert Grint</t>
        </is>
      </c>
      <c r="S147" s="18" t="inlineStr">
        <is>
          <t>Toby Jones</t>
        </is>
      </c>
      <c r="T147" s="18" t="inlineStr">
        <is>
          <t>Helena Bonham Carter</t>
        </is>
      </c>
      <c r="U147" s="24" t="n">
        <v>2</v>
      </c>
      <c r="V147" s="24" t="n">
        <v>0</v>
      </c>
      <c r="W147" s="4" t="n"/>
      <c r="X147" s="25">
        <f t="array" ref="X147">IFERROR(INDEX(Ratings!$E$5:$E$500,MATCH(A147,Ratings!$A$5:$A$500,0)),"")</f>
        <v/>
      </c>
      <c r="Y147" s="24">
        <f t="array" ref="Y147">IFERROR(INDEX(Ratings!$G$5:$G$500,MATCH(A147,Ratings!$A$5:$A$500,0)),"")</f>
        <v/>
      </c>
      <c r="Z147" s="26">
        <f t="array" ref="Z147">IFERROR(INDEX(Ratings!$I$5:$I$500,MATCH(A147,Ratings!$A$5:$A$500,0)),"")</f>
        <v/>
      </c>
      <c r="AB147" s="18" t="inlineStr">
        <is>
          <t>12A</t>
        </is>
      </c>
    </row>
    <row r="148" ht="15.75" customHeight="1" s="108">
      <c r="A148" s="18" t="inlineStr">
        <is>
          <t>F0144</t>
        </is>
      </c>
      <c r="B148" s="18" t="inlineStr">
        <is>
          <t>Harry Potter and the Deathly Hallows: Part 2</t>
        </is>
      </c>
      <c r="C148" s="20" t="inlineStr">
        <is>
          <t>2011</t>
        </is>
      </c>
      <c r="D148" s="18" t="inlineStr">
        <is>
          <t>Blu-ray</t>
        </is>
      </c>
      <c r="E148" s="18" t="inlineStr">
        <is>
          <t>Harry Potter</t>
        </is>
      </c>
      <c r="F148" s="19" t="n"/>
      <c r="G148" s="4" t="n"/>
      <c r="H148" s="4" t="n"/>
      <c r="I148" s="19" t="inlineStr">
        <is>
          <t>Harry, Ron and Hermione continue their quest to vanquish the evil Voldemort once and for all. Just as things begin to look hopeless for the young wizards, Harry discovers a trio of magical objects that endow him with powers to rival Voldemort's formidable skills.</t>
        </is>
      </c>
      <c r="J148" s="19" t="inlineStr">
        <is>
          <t>David Yates</t>
        </is>
      </c>
      <c r="K148" s="19" t="n">
        <v>130</v>
      </c>
      <c r="L148" s="19" t="inlineStr">
        <is>
          <t>Fantasy, Adventure</t>
        </is>
      </c>
      <c r="M148" s="19" t="inlineStr">
        <is>
          <t>Warner Bros. Pictures, Heyday Films</t>
        </is>
      </c>
      <c r="N148" s="19" t="inlineStr">
        <is>
          <t>https://huggingface.co/datasets/HenryWaltson/TMDB-IMDB-Movies-Dataset</t>
        </is>
      </c>
      <c r="O148" s="19" t="inlineStr">
        <is>
          <t>https://huggingface.co/datasets/HenryWaltson/TMDB-IMDB-Movies-Dataset</t>
        </is>
      </c>
      <c r="P148" s="18" t="inlineStr">
        <is>
          <t>Daniel Radcliffe</t>
        </is>
      </c>
      <c r="Q148" s="18" t="inlineStr">
        <is>
          <t>Emma Watson</t>
        </is>
      </c>
      <c r="R148" s="18" t="inlineStr">
        <is>
          <t>Rupert Grint</t>
        </is>
      </c>
      <c r="S148" s="18" t="inlineStr">
        <is>
          <t>Ralph Fiennes</t>
        </is>
      </c>
      <c r="T148" s="18" t="inlineStr">
        <is>
          <t>Alan Rickman</t>
        </is>
      </c>
      <c r="U148" s="24" t="n">
        <v>3</v>
      </c>
      <c r="V148" s="24" t="n">
        <v>0</v>
      </c>
      <c r="W148" s="4" t="n"/>
      <c r="X148" s="25">
        <f t="array" ref="X148">IFERROR(INDEX(Ratings!$E$5:$E$500,MATCH(A148,Ratings!$A$5:$A$500,0)),"")</f>
        <v/>
      </c>
      <c r="Y148" s="24">
        <f t="array" ref="Y148">IFERROR(INDEX(Ratings!$G$5:$G$500,MATCH(A148,Ratings!$A$5:$A$500,0)),"")</f>
        <v/>
      </c>
      <c r="Z148" s="26">
        <f t="array" ref="Z148">IFERROR(INDEX(Ratings!$I$5:$I$500,MATCH(A148,Ratings!$A$5:$A$500,0)),"")</f>
        <v/>
      </c>
      <c r="AB148" s="18" t="inlineStr">
        <is>
          <t>12A</t>
        </is>
      </c>
    </row>
    <row r="149" ht="15.75" customHeight="1" s="108">
      <c r="A149" s="18" t="inlineStr">
        <is>
          <t>F0145</t>
        </is>
      </c>
      <c r="B149" s="18" t="inlineStr">
        <is>
          <t>Happy Feet Two</t>
        </is>
      </c>
      <c r="C149" s="20" t="inlineStr">
        <is>
          <t>2011</t>
        </is>
      </c>
      <c r="D149" s="18" t="inlineStr">
        <is>
          <t>Blu-ray</t>
        </is>
      </c>
      <c r="E149" s="18" t="inlineStr">
        <is>
          <t>Happy Feet</t>
        </is>
      </c>
      <c r="F149" s="19" t="n"/>
      <c r="G149" s="4" t="n"/>
      <c r="H149" s="4" t="n"/>
      <c r="I149" s="19" t="inlineStr">
        <is>
          <t>Mumble the penguin has a problem: his son Erik, who is reluctant to dance, encounters the Mighty Sven — a penguin who can fly! Things get worse for Mumble when the world is shaken by powerful forces, causing him to bring together the penguin nations and their allies to set things right.</t>
        </is>
      </c>
      <c r="J149" s="19" t="inlineStr">
        <is>
          <t>George Miller, Gary Eck, David Peers</t>
        </is>
      </c>
      <c r="K149" s="19" t="n">
        <v>100</v>
      </c>
      <c r="L149" s="19" t="inlineStr">
        <is>
          <t>Animation, Comedy, Family</t>
        </is>
      </c>
      <c r="M149" s="19" t="inlineStr">
        <is>
          <t>Dr D Studios, Village Roadshow Entertainment, Kennedy Miller Productions</t>
        </is>
      </c>
      <c r="N149" s="19" t="inlineStr">
        <is>
          <t>https://huggingface.co/datasets/HenryWaltson/TMDB-IMDB-Movies-Dataset</t>
        </is>
      </c>
      <c r="O149" s="19" t="inlineStr">
        <is>
          <t>https://huggingface.co/datasets/HenryWaltson/TMDB-IMDB-Movies-Dataset</t>
        </is>
      </c>
      <c r="P149" s="18" t="inlineStr">
        <is>
          <t>Elijah Wood</t>
        </is>
      </c>
      <c r="Q149" s="18" t="inlineStr">
        <is>
          <t>Robin Williams</t>
        </is>
      </c>
      <c r="R149" s="18" t="inlineStr">
        <is>
          <t>Pink</t>
        </is>
      </c>
      <c r="S149" s="18" t="inlineStr">
        <is>
          <t>Elizabeth Daily</t>
        </is>
      </c>
      <c r="T149" s="18" t="inlineStr">
        <is>
          <t>Johnny A. Sanchez</t>
        </is>
      </c>
      <c r="U149" s="24" t="n">
        <v>0</v>
      </c>
      <c r="V149" s="24" t="n">
        <v>0</v>
      </c>
      <c r="W149" s="4" t="n"/>
      <c r="X149" s="25">
        <f t="array" ref="X149">IFERROR(INDEX(Ratings!$E$5:$E$500,MATCH(A149,Ratings!$A$5:$A$500,0)),"")</f>
        <v/>
      </c>
      <c r="Y149" s="24">
        <f t="array" ref="Y149">IFERROR(INDEX(Ratings!$G$5:$G$500,MATCH(A149,Ratings!$A$5:$A$500,0)),"")</f>
        <v/>
      </c>
      <c r="Z149" s="26">
        <f t="array" ref="Z149">IFERROR(INDEX(Ratings!$I$5:$I$500,MATCH(A149,Ratings!$A$5:$A$500,0)),"")</f>
        <v/>
      </c>
      <c r="AB149" s="18" t="inlineStr">
        <is>
          <t>U</t>
        </is>
      </c>
    </row>
    <row r="150" ht="15.75" customHeight="1" s="108">
      <c r="A150" s="18" t="inlineStr">
        <is>
          <t>F0146</t>
        </is>
      </c>
      <c r="B150" s="18" t="inlineStr">
        <is>
          <t>The Heat</t>
        </is>
      </c>
      <c r="C150" s="20" t="inlineStr">
        <is>
          <t>2013</t>
        </is>
      </c>
      <c r="D150" s="18" t="inlineStr">
        <is>
          <t>Blu-ray</t>
        </is>
      </c>
      <c r="E150" s="4" t="n"/>
      <c r="F150" s="19" t="n"/>
      <c r="G150" s="4" t="n"/>
      <c r="H150" s="4" t="n"/>
      <c r="I150" s="19" t="inlineStr">
        <is>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is>
      </c>
      <c r="J150" s="19" t="inlineStr">
        <is>
          <t>Paul Feig</t>
        </is>
      </c>
      <c r="K150" s="19" t="n">
        <v>117</v>
      </c>
      <c r="L150" s="19" t="inlineStr">
        <is>
          <t>Action, Comedy, Crime</t>
        </is>
      </c>
      <c r="M150" s="19" t="inlineStr">
        <is>
          <t>Chernin Entertainment, TSG Entertainment, Ingenious Media</t>
        </is>
      </c>
      <c r="N150" s="19" t="inlineStr">
        <is>
          <t>https://huggingface.co/datasets/HenryWaltson/TMDB-IMDB-Movies-Dataset</t>
        </is>
      </c>
      <c r="O150" s="19" t="inlineStr">
        <is>
          <t>https://huggingface.co/datasets/HenryWaltson/TMDB-IMDB-Movies-Dataset</t>
        </is>
      </c>
      <c r="P150" s="18" t="inlineStr">
        <is>
          <t>Sandra Bullock</t>
        </is>
      </c>
      <c r="Q150" s="18" t="inlineStr">
        <is>
          <t>Melissa McCarthy</t>
        </is>
      </c>
      <c r="R150" s="18" t="inlineStr">
        <is>
          <t>Demián Bichir</t>
        </is>
      </c>
      <c r="S150" s="18" t="inlineStr">
        <is>
          <t>Marlon Wayans</t>
        </is>
      </c>
      <c r="T150" s="18" t="inlineStr">
        <is>
          <t>Michael Rapaport</t>
        </is>
      </c>
      <c r="U150" s="24" t="n">
        <v>0</v>
      </c>
      <c r="V150" s="24" t="n">
        <v>0</v>
      </c>
      <c r="W150" s="4" t="n"/>
      <c r="X150" s="25">
        <f t="array" ref="X150">IFERROR(INDEX(Ratings!$E$5:$E$500,MATCH(A150,Ratings!$A$5:$A$500,0)),"")</f>
        <v/>
      </c>
      <c r="Y150" s="24">
        <f t="array" ref="Y150">IFERROR(INDEX(Ratings!$G$5:$G$500,MATCH(A150,Ratings!$A$5:$A$500,0)),"")</f>
        <v/>
      </c>
      <c r="Z150" s="26">
        <f t="array" ref="Z150">IFERROR(INDEX(Ratings!$I$5:$I$500,MATCH(A150,Ratings!$A$5:$A$500,0)),"")</f>
        <v/>
      </c>
      <c r="AB150" s="18" t="inlineStr">
        <is>
          <t>15</t>
        </is>
      </c>
    </row>
    <row r="151" ht="15.75" customHeight="1" s="108">
      <c r="A151" s="18" t="inlineStr">
        <is>
          <t>F0147</t>
        </is>
      </c>
      <c r="B151" s="18" t="inlineStr">
        <is>
          <t>Hercules</t>
        </is>
      </c>
      <c r="C151" s="20" t="inlineStr">
        <is>
          <t>2014</t>
        </is>
      </c>
      <c r="D151" s="18" t="inlineStr">
        <is>
          <t>Blu-ray</t>
        </is>
      </c>
      <c r="E151" s="4" t="n"/>
      <c r="F151" s="19" t="n"/>
      <c r="G151" s="4" t="n"/>
      <c r="H151" s="4" t="n"/>
      <c r="I151" s="19" t="inlineStr">
        <is>
          <t>Best guess: 2014 version.</t>
        </is>
      </c>
      <c r="J151" s="19" t="inlineStr">
        <is>
          <t>Brett Ratner</t>
        </is>
      </c>
      <c r="K151" s="19" t="n">
        <v>99</v>
      </c>
      <c r="L151" s="19" t="inlineStr">
        <is>
          <t>Action, Adventure</t>
        </is>
      </c>
      <c r="M151" s="19" t="inlineStr">
        <is>
          <t>Paramount, Radical Studios, Flynn Picture Company</t>
        </is>
      </c>
      <c r="N151" s="19" t="inlineStr">
        <is>
          <t>https://huggingface.co/datasets/HenryWaltson/TMDB-IMDB-Movies-Dataset</t>
        </is>
      </c>
      <c r="O151" s="19" t="inlineStr">
        <is>
          <t>https://huggingface.co/datasets/HenryWaltson/TMDB-IMDB-Movies-Dataset</t>
        </is>
      </c>
      <c r="P151" s="18" t="inlineStr">
        <is>
          <t>Dwayne Johnson</t>
        </is>
      </c>
      <c r="Q151" s="18" t="inlineStr">
        <is>
          <t>Ian McShane</t>
        </is>
      </c>
      <c r="R151" s="18" t="inlineStr">
        <is>
          <t>John Hurt</t>
        </is>
      </c>
      <c r="S151" s="18" t="inlineStr">
        <is>
          <t>Rufus Sewell</t>
        </is>
      </c>
      <c r="T151" s="18" t="inlineStr">
        <is>
          <t>Aksel Hennie</t>
        </is>
      </c>
      <c r="U151" s="24" t="n">
        <v>0</v>
      </c>
      <c r="V151" s="24" t="n">
        <v>0</v>
      </c>
      <c r="W151" s="4" t="n"/>
      <c r="X151" s="25">
        <f t="array" ref="X151">IFERROR(INDEX(Ratings!$E$5:$E$500,MATCH(A151,Ratings!$A$5:$A$500,0)),"")</f>
        <v/>
      </c>
      <c r="Y151" s="24">
        <f t="array" ref="Y151">IFERROR(INDEX(Ratings!$G$5:$G$500,MATCH(A151,Ratings!$A$5:$A$500,0)),"")</f>
        <v/>
      </c>
      <c r="Z151" s="26">
        <f t="array" ref="Z151">IFERROR(INDEX(Ratings!$I$5:$I$500,MATCH(A151,Ratings!$A$5:$A$500,0)),"")</f>
        <v/>
      </c>
      <c r="AB151" s="18" t="inlineStr">
        <is>
          <t>U</t>
        </is>
      </c>
    </row>
    <row r="152" ht="15.75" customHeight="1" s="108">
      <c r="A152" s="18" t="inlineStr">
        <is>
          <t>F0148</t>
        </is>
      </c>
      <c r="B152" s="18" t="inlineStr">
        <is>
          <t>The Legend of Hercules</t>
        </is>
      </c>
      <c r="C152" s="20" t="inlineStr">
        <is>
          <t>2014</t>
        </is>
      </c>
      <c r="D152" s="18" t="inlineStr">
        <is>
          <t>Blu-ray</t>
        </is>
      </c>
      <c r="E152" s="4" t="n"/>
      <c r="F152" s="19" t="n"/>
      <c r="G152" s="4" t="n"/>
      <c r="H152" s="4" t="n"/>
      <c r="I152" s="19" t="inlineStr">
        <is>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is>
      </c>
      <c r="J152" s="19" t="inlineStr">
        <is>
          <t>Renny Harlin</t>
        </is>
      </c>
      <c r="K152" s="19" t="n">
        <v>99</v>
      </c>
      <c r="L152" s="19" t="inlineStr">
        <is>
          <t>Action, Adventure</t>
        </is>
      </c>
      <c r="M152" s="19" t="inlineStr">
        <is>
          <t>Millennium Media, Summit Entertainment, Nu Boyana Film Studios</t>
        </is>
      </c>
      <c r="N152" s="19" t="inlineStr">
        <is>
          <t>https://huggingface.co/datasets/HenryWaltson/TMDB-IMDB-Movies-Dataset</t>
        </is>
      </c>
      <c r="O152" s="19" t="inlineStr">
        <is>
          <t>https://huggingface.co/datasets/HenryWaltson/TMDB-IMDB-Movies-Dataset</t>
        </is>
      </c>
      <c r="P152" s="18" t="inlineStr">
        <is>
          <t>Kellan Lutz</t>
        </is>
      </c>
      <c r="Q152" s="18" t="inlineStr">
        <is>
          <t>Liam McIntyre</t>
        </is>
      </c>
      <c r="R152" s="18" t="inlineStr">
        <is>
          <t>Gaia Weiss</t>
        </is>
      </c>
      <c r="S152" s="18" t="inlineStr">
        <is>
          <t>Scott Adkins</t>
        </is>
      </c>
      <c r="T152" s="18" t="inlineStr">
        <is>
          <t>Roxanne McKee</t>
        </is>
      </c>
      <c r="U152" s="24" t="n">
        <v>0</v>
      </c>
      <c r="V152" s="24" t="n">
        <v>0</v>
      </c>
      <c r="W152" s="4" t="n"/>
      <c r="X152" s="25">
        <f t="array" ref="X152">IFERROR(INDEX(Ratings!$E$5:$E$500,MATCH(A152,Ratings!$A$5:$A$500,0)),"")</f>
        <v/>
      </c>
      <c r="Y152" s="24">
        <f t="array" ref="Y152">IFERROR(INDEX(Ratings!$G$5:$G$500,MATCH(A152,Ratings!$A$5:$A$500,0)),"")</f>
        <v/>
      </c>
      <c r="Z152" s="26">
        <f t="array" ref="Z152">IFERROR(INDEX(Ratings!$I$5:$I$500,MATCH(A152,Ratings!$A$5:$A$500,0)),"")</f>
        <v/>
      </c>
      <c r="AB152" s="18" t="inlineStr">
        <is>
          <t>12</t>
        </is>
      </c>
    </row>
    <row r="153" ht="15.75" customHeight="1" s="108">
      <c r="A153" s="18" t="inlineStr">
        <is>
          <t>F0149</t>
        </is>
      </c>
      <c r="B153" s="18" t="inlineStr">
        <is>
          <t>The Hitman's Bodyguard</t>
        </is>
      </c>
      <c r="C153" s="20" t="inlineStr">
        <is>
          <t>2017</t>
        </is>
      </c>
      <c r="D153" s="18" t="inlineStr">
        <is>
          <t>Blu-ray</t>
        </is>
      </c>
      <c r="E153" s="4" t="n"/>
      <c r="F153" s="19" t="n"/>
      <c r="G153" s="4" t="n"/>
      <c r="H153" s="4" t="n"/>
      <c r="I153" s="19" t="inlineStr">
        <is>
          <t>The world’s top bodyguard gets a new client, a hitman who must testify at the International Court of Justice. They must put their differences aside and work together to make it to the trial on time.</t>
        </is>
      </c>
      <c r="J153" s="19" t="inlineStr">
        <is>
          <t>Patrick Hughes</t>
        </is>
      </c>
      <c r="K153" s="19" t="n">
        <v>118</v>
      </c>
      <c r="L153" s="19" t="inlineStr">
        <is>
          <t>Action, Comedy</t>
        </is>
      </c>
      <c r="M153" s="19" t="inlineStr">
        <is>
          <t>Campbell Grobman Films, East Light Media, Nu Boyana Film Studios</t>
        </is>
      </c>
      <c r="N153" s="19" t="inlineStr">
        <is>
          <t>https://huggingface.co/datasets/HenryWaltson/TMDB-IMDB-Movies-Dataset</t>
        </is>
      </c>
      <c r="O153" s="19" t="inlineStr">
        <is>
          <t>https://huggingface.co/datasets/HenryWaltson/TMDB-IMDB-Movies-Dataset</t>
        </is>
      </c>
      <c r="P153" s="18" t="inlineStr">
        <is>
          <t>Ryan Reynolds</t>
        </is>
      </c>
      <c r="Q153" s="18" t="inlineStr">
        <is>
          <t>Samuel L. Jackson</t>
        </is>
      </c>
      <c r="R153" s="18" t="inlineStr">
        <is>
          <t>Gary Oldman</t>
        </is>
      </c>
      <c r="S153" s="18" t="inlineStr">
        <is>
          <t>Salma Hayek Pinault</t>
        </is>
      </c>
      <c r="T153" s="18" t="inlineStr">
        <is>
          <t>Elodie Yung</t>
        </is>
      </c>
      <c r="U153" s="24" t="n">
        <v>0</v>
      </c>
      <c r="V153" s="24" t="n">
        <v>0</v>
      </c>
      <c r="W153" s="4" t="n"/>
      <c r="X153" s="25">
        <f t="array" ref="X153">IFERROR(INDEX(Ratings!$E$5:$E$500,MATCH(A153,Ratings!$A$5:$A$500,0)),"")</f>
        <v/>
      </c>
      <c r="Y153" s="24">
        <f t="array" ref="Y153">IFERROR(INDEX(Ratings!$G$5:$G$500,MATCH(A153,Ratings!$A$5:$A$500,0)),"")</f>
        <v/>
      </c>
      <c r="Z153" s="26">
        <f t="array" ref="Z153">IFERROR(INDEX(Ratings!$I$5:$I$500,MATCH(A153,Ratings!$A$5:$A$500,0)),"")</f>
        <v/>
      </c>
      <c r="AB153" s="18" t="inlineStr">
        <is>
          <t>15</t>
        </is>
      </c>
    </row>
    <row r="154" ht="15.75" customHeight="1" s="108">
      <c r="A154" s="18" t="inlineStr">
        <is>
          <t>F0150</t>
        </is>
      </c>
      <c r="B154" s="18" t="inlineStr">
        <is>
          <t>The Hobbit: An Unexpected Journey</t>
        </is>
      </c>
      <c r="C154" s="20" t="inlineStr">
        <is>
          <t>2012</t>
        </is>
      </c>
      <c r="D154" s="18" t="inlineStr">
        <is>
          <t>Blu-ray</t>
        </is>
      </c>
      <c r="E154" s="18" t="inlineStr">
        <is>
          <t>Hobbit</t>
        </is>
      </c>
      <c r="F154" s="19" t="n"/>
      <c r="G154" s="4" t="n"/>
      <c r="H154" s="4" t="n"/>
      <c r="I154" s="19" t="inlineStr">
        <is>
          <t>Bilbo Baggins, a hobbit enjoying his quiet life, is swept into an epic quest by Gandalf the Grey and thirteen dwarves who seek to reclaim their mountain home from Smaug, the dragon.</t>
        </is>
      </c>
      <c r="J154" s="19" t="inlineStr">
        <is>
          <t>Peter Jackson</t>
        </is>
      </c>
      <c r="K154" s="19" t="n">
        <v>169</v>
      </c>
      <c r="L154" s="19" t="inlineStr">
        <is>
          <t>Adventure, Fantasy, Action</t>
        </is>
      </c>
      <c r="M154" s="19" t="inlineStr">
        <is>
          <t>Warner Bros. Pictures, Metro-Goldwyn-Mayer, New Line Cinema</t>
        </is>
      </c>
      <c r="N154" s="19" t="inlineStr">
        <is>
          <t>https://huggingface.co/datasets/HenryWaltson/TMDB-IMDB-Movies-Dataset</t>
        </is>
      </c>
      <c r="O154" s="19" t="inlineStr">
        <is>
          <t>https://huggingface.co/datasets/HenryWaltson/TMDB-IMDB-Movies-Dataset</t>
        </is>
      </c>
      <c r="P154" s="18" t="inlineStr">
        <is>
          <t>Martin Freeman</t>
        </is>
      </c>
      <c r="Q154" s="18" t="inlineStr">
        <is>
          <t>Ian McKellen</t>
        </is>
      </c>
      <c r="R154" s="18" t="inlineStr">
        <is>
          <t>Richard Armitage</t>
        </is>
      </c>
      <c r="S154" s="18" t="inlineStr">
        <is>
          <t>James Nesbitt</t>
        </is>
      </c>
      <c r="T154" s="18" t="inlineStr">
        <is>
          <t>Ken Stott</t>
        </is>
      </c>
      <c r="U154" s="24" t="n">
        <v>3</v>
      </c>
      <c r="V154" s="24" t="n">
        <v>0</v>
      </c>
      <c r="W154" s="4" t="n"/>
      <c r="X154" s="25">
        <f t="array" ref="X154">IFERROR(INDEX(Ratings!$E$5:$E$500,MATCH(A154,Ratings!$A$5:$A$500,0)),"")</f>
        <v/>
      </c>
      <c r="Y154" s="24">
        <f t="array" ref="Y154">IFERROR(INDEX(Ratings!$G$5:$G$500,MATCH(A154,Ratings!$A$5:$A$500,0)),"")</f>
        <v/>
      </c>
      <c r="Z154" s="26">
        <f t="array" ref="Z154">IFERROR(INDEX(Ratings!$I$5:$I$500,MATCH(A154,Ratings!$A$5:$A$500,0)),"")</f>
        <v/>
      </c>
      <c r="AB154" s="18" t="inlineStr">
        <is>
          <t>12A</t>
        </is>
      </c>
    </row>
    <row r="155" ht="15.75" customHeight="1" s="108">
      <c r="A155" s="18" t="inlineStr">
        <is>
          <t>F0151</t>
        </is>
      </c>
      <c r="B155" s="18" t="inlineStr">
        <is>
          <t>The Hobbit: The Desolation of Smaug</t>
        </is>
      </c>
      <c r="C155" s="20" t="inlineStr">
        <is>
          <t>2013</t>
        </is>
      </c>
      <c r="D155" s="18" t="inlineStr">
        <is>
          <t>Blu-ray</t>
        </is>
      </c>
      <c r="E155" s="18" t="inlineStr">
        <is>
          <t>Hobbit</t>
        </is>
      </c>
      <c r="F155" s="19" t="n"/>
      <c r="G155" s="4" t="n"/>
      <c r="H155" s="4" t="n"/>
      <c r="I155" s="19" t="inlineStr">
        <is>
          <t>The Dwarves, Bilbo and Gandalf have successfully escaped the Misty Mountains, and Bilbo has gained the One Ring. They all continue their journey to get their gold back from the Dragon, Smaug.</t>
        </is>
      </c>
      <c r="J155" s="19" t="inlineStr">
        <is>
          <t>Peter Jackson</t>
        </is>
      </c>
      <c r="K155" s="19" t="n">
        <v>161</v>
      </c>
      <c r="L155" s="19" t="inlineStr">
        <is>
          <t>Fantasy, Adventure, Action</t>
        </is>
      </c>
      <c r="M155" s="19" t="inlineStr">
        <is>
          <t>Warner Bros. Pictures, WingNut Films, New Line Cinema</t>
        </is>
      </c>
      <c r="N155" s="19" t="inlineStr">
        <is>
          <t>https://huggingface.co/datasets/HenryWaltson/TMDB-IMDB-Movies-Dataset</t>
        </is>
      </c>
      <c r="O155" s="19" t="inlineStr">
        <is>
          <t>https://huggingface.co/datasets/HenryWaltson/TMDB-IMDB-Movies-Dataset</t>
        </is>
      </c>
      <c r="P155" s="18" t="inlineStr">
        <is>
          <t>Ian McKellen</t>
        </is>
      </c>
      <c r="Q155" s="18" t="inlineStr">
        <is>
          <t>Martin Freeman</t>
        </is>
      </c>
      <c r="R155" s="18" t="inlineStr">
        <is>
          <t>Richard Armitage</t>
        </is>
      </c>
      <c r="S155" s="18" t="inlineStr">
        <is>
          <t>Benedict Cumberbatch</t>
        </is>
      </c>
      <c r="T155" s="18" t="inlineStr">
        <is>
          <t>Orlando Bloom</t>
        </is>
      </c>
      <c r="U155" s="24" t="n">
        <v>3</v>
      </c>
      <c r="V155" s="24" t="n">
        <v>0</v>
      </c>
      <c r="W155" s="4" t="n"/>
      <c r="X155" s="25">
        <f t="array" ref="X155">IFERROR(INDEX(Ratings!$E$5:$E$500,MATCH(A155,Ratings!$A$5:$A$500,0)),"")</f>
        <v/>
      </c>
      <c r="Y155" s="24">
        <f t="array" ref="Y155">IFERROR(INDEX(Ratings!$G$5:$G$500,MATCH(A155,Ratings!$A$5:$A$500,0)),"")</f>
        <v/>
      </c>
      <c r="Z155" s="26">
        <f t="array" ref="Z155">IFERROR(INDEX(Ratings!$I$5:$I$500,MATCH(A155,Ratings!$A$5:$A$500,0)),"")</f>
        <v/>
      </c>
      <c r="AB155" s="18" t="inlineStr">
        <is>
          <t>12A</t>
        </is>
      </c>
    </row>
    <row r="156" ht="15.75" customHeight="1" s="108">
      <c r="A156" s="18" t="inlineStr">
        <is>
          <t>F0152</t>
        </is>
      </c>
      <c r="B156" s="18" t="inlineStr">
        <is>
          <t>The Hobbit: The Battle of the Five Armies</t>
        </is>
      </c>
      <c r="C156" s="20" t="inlineStr">
        <is>
          <t>2014</t>
        </is>
      </c>
      <c r="D156" s="18" t="inlineStr">
        <is>
          <t>Blu-ray</t>
        </is>
      </c>
      <c r="E156" s="18" t="inlineStr">
        <is>
          <t>Hobbit</t>
        </is>
      </c>
      <c r="F156" s="19" t="n"/>
      <c r="G156" s="4" t="n"/>
      <c r="H156" s="4" t="n"/>
      <c r="I156" s="19" t="inlineStr">
        <is>
          <t>Following Smaug's attack on Laketown,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is>
      </c>
      <c r="J156" s="19" t="inlineStr">
        <is>
          <t>Peter Jackson</t>
        </is>
      </c>
      <c r="K156" s="19" t="n">
        <v>144</v>
      </c>
      <c r="L156" s="19" t="inlineStr">
        <is>
          <t>Action, Adventure, Fantasy</t>
        </is>
      </c>
      <c r="M156" s="19" t="inlineStr">
        <is>
          <t>Warner Bros. Pictures, WingNut Films, New Line Cinema</t>
        </is>
      </c>
      <c r="N156" s="19" t="inlineStr">
        <is>
          <t>https://huggingface.co/datasets/HenryWaltson/TMDB-IMDB-Movies-Dataset</t>
        </is>
      </c>
      <c r="O156" s="19" t="inlineStr">
        <is>
          <t>https://huggingface.co/datasets/HenryWaltson/TMDB-IMDB-Movies-Dataset</t>
        </is>
      </c>
      <c r="P156" s="18" t="inlineStr">
        <is>
          <t>Ian McKellen</t>
        </is>
      </c>
      <c r="Q156" s="18" t="inlineStr">
        <is>
          <t>Martin Freeman</t>
        </is>
      </c>
      <c r="R156" s="18" t="inlineStr">
        <is>
          <t>Richard Armitage</t>
        </is>
      </c>
      <c r="S156" s="18" t="inlineStr">
        <is>
          <t>Orlando Bloom</t>
        </is>
      </c>
      <c r="T156" s="18" t="inlineStr">
        <is>
          <t>Evangeline Lilly</t>
        </is>
      </c>
      <c r="U156" s="24" t="n">
        <v>1</v>
      </c>
      <c r="V156" s="24" t="n">
        <v>0</v>
      </c>
      <c r="W156" s="4" t="n"/>
      <c r="X156" s="25">
        <f t="array" ref="X156">IFERROR(INDEX(Ratings!$E$5:$E$500,MATCH(A156,Ratings!$A$5:$A$500,0)),"")</f>
        <v/>
      </c>
      <c r="Y156" s="24">
        <f t="array" ref="Y156">IFERROR(INDEX(Ratings!$G$5:$G$500,MATCH(A156,Ratings!$A$5:$A$500,0)),"")</f>
        <v/>
      </c>
      <c r="Z156" s="26">
        <f t="array" ref="Z156">IFERROR(INDEX(Ratings!$I$5:$I$500,MATCH(A156,Ratings!$A$5:$A$500,0)),"")</f>
        <v/>
      </c>
      <c r="AB156" s="18" t="inlineStr">
        <is>
          <t>12A</t>
        </is>
      </c>
    </row>
    <row r="157" ht="15.75" customHeight="1" s="108">
      <c r="A157" s="18" t="inlineStr">
        <is>
          <t>F0153</t>
        </is>
      </c>
      <c r="B157" s="18" t="inlineStr">
        <is>
          <t>Home</t>
        </is>
      </c>
      <c r="C157" s="20" t="inlineStr">
        <is>
          <t>2015</t>
        </is>
      </c>
      <c r="D157" s="18" t="inlineStr">
        <is>
          <t>Blu-ray</t>
        </is>
      </c>
      <c r="E157" s="4" t="n"/>
      <c r="F157" s="19" t="n"/>
      <c r="G157" s="4" t="n"/>
      <c r="H157" s="4" t="n"/>
      <c r="I157" s="19" t="inlineStr">
        <is>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is>
      </c>
      <c r="J157" s="19" t="inlineStr">
        <is>
          <t>Tim Johnson</t>
        </is>
      </c>
      <c r="K157" s="19" t="n">
        <v>94</v>
      </c>
      <c r="L157" s="19" t="inlineStr">
        <is>
          <t>Fantasy, Comedy, Animation, Science Fiction, Family</t>
        </is>
      </c>
      <c r="M157" s="19" t="inlineStr">
        <is>
          <t>DreamWorks Animation, 20th Century Fox</t>
        </is>
      </c>
      <c r="N157" s="19" t="inlineStr">
        <is>
          <t>https://huggingface.co/datasets/HenryWaltson/TMDB-IMDB-Movies-Dataset</t>
        </is>
      </c>
      <c r="O157" s="19" t="inlineStr">
        <is>
          <t>https://huggingface.co/datasets/HenryWaltson/TMDB-IMDB-Movies-Dataset</t>
        </is>
      </c>
      <c r="P157" s="18" t="inlineStr">
        <is>
          <t>Jim Parsons</t>
        </is>
      </c>
      <c r="Q157" s="18" t="inlineStr">
        <is>
          <t>Rihanna</t>
        </is>
      </c>
      <c r="R157" s="18" t="inlineStr">
        <is>
          <t>Steve Martin</t>
        </is>
      </c>
      <c r="S157" s="18" t="inlineStr">
        <is>
          <t>Jennifer Lopez</t>
        </is>
      </c>
      <c r="T157" s="18" t="inlineStr">
        <is>
          <t>Matt Jones</t>
        </is>
      </c>
      <c r="U157" s="24" t="n">
        <v>0</v>
      </c>
      <c r="V157" s="24" t="n">
        <v>0</v>
      </c>
      <c r="W157" s="4" t="n"/>
      <c r="X157" s="25">
        <f t="array" ref="X157">IFERROR(INDEX(Ratings!$E$5:$E$500,MATCH(A157,Ratings!$A$5:$A$500,0)),"")</f>
        <v/>
      </c>
      <c r="Y157" s="24">
        <f t="array" ref="Y157">IFERROR(INDEX(Ratings!$G$5:$G$500,MATCH(A157,Ratings!$A$5:$A$500,0)),"")</f>
        <v/>
      </c>
      <c r="Z157" s="26">
        <f t="array" ref="Z157">IFERROR(INDEX(Ratings!$I$5:$I$500,MATCH(A157,Ratings!$A$5:$A$500,0)),"")</f>
        <v/>
      </c>
      <c r="AB157" s="18" t="inlineStr">
        <is>
          <t>U</t>
        </is>
      </c>
    </row>
    <row r="158" ht="15.75" customHeight="1" s="108">
      <c r="A158" s="18" t="inlineStr">
        <is>
          <t>F0154</t>
        </is>
      </c>
      <c r="B158" s="18" t="inlineStr">
        <is>
          <t>How to Train Your Dragon</t>
        </is>
      </c>
      <c r="C158" s="20" t="inlineStr">
        <is>
          <t>2010</t>
        </is>
      </c>
      <c r="D158" s="18" t="inlineStr">
        <is>
          <t>Blu-ray</t>
        </is>
      </c>
      <c r="E158" s="18" t="inlineStr">
        <is>
          <t>How to Train Your Dragon</t>
        </is>
      </c>
      <c r="F158" s="19" t="n"/>
      <c r="G158" s="4" t="n"/>
      <c r="H158" s="4" t="n"/>
      <c r="I158" s="19" t="inlineStr">
        <is>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is>
      </c>
      <c r="J158" s="19" t="inlineStr">
        <is>
          <t>Dean DeBlois, Chris Sanders</t>
        </is>
      </c>
      <c r="K158" s="19" t="n">
        <v>98</v>
      </c>
      <c r="L158" s="19" t="inlineStr">
        <is>
          <t>Fantasy, Adventure, Animation, Family</t>
        </is>
      </c>
      <c r="M158" s="19" t="inlineStr">
        <is>
          <t>DreamWorks Animation, Paramount</t>
        </is>
      </c>
      <c r="N158" s="19" t="inlineStr">
        <is>
          <t>https://huggingface.co/datasets/HenryWaltson/TMDB-IMDB-Movies-Dataset</t>
        </is>
      </c>
      <c r="O158" s="19" t="inlineStr">
        <is>
          <t>https://huggingface.co/datasets/HenryWaltson/TMDB-IMDB-Movies-Dataset</t>
        </is>
      </c>
      <c r="P158" s="18" t="inlineStr">
        <is>
          <t>Jay Baruchel</t>
        </is>
      </c>
      <c r="Q158" s="18" t="inlineStr">
        <is>
          <t>Gerard Butler</t>
        </is>
      </c>
      <c r="R158" s="18" t="inlineStr">
        <is>
          <t>Craig Ferguson</t>
        </is>
      </c>
      <c r="S158" s="18" t="inlineStr">
        <is>
          <t>America Ferrera</t>
        </is>
      </c>
      <c r="T158" s="18" t="inlineStr">
        <is>
          <t>Jonah Hill</t>
        </is>
      </c>
      <c r="U158" s="24" t="n">
        <v>2</v>
      </c>
      <c r="V158" s="24" t="n">
        <v>0</v>
      </c>
      <c r="W158" s="4" t="n"/>
      <c r="X158" s="25">
        <f t="array" ref="X158">IFERROR(INDEX(Ratings!$E$5:$E$500,MATCH(A158,Ratings!$A$5:$A$500,0)),"")</f>
        <v/>
      </c>
      <c r="Y158" s="24">
        <f t="array" ref="Y158">IFERROR(INDEX(Ratings!$G$5:$G$500,MATCH(A158,Ratings!$A$5:$A$500,0)),"")</f>
        <v/>
      </c>
      <c r="Z158" s="26">
        <f t="array" ref="Z158">IFERROR(INDEX(Ratings!$I$5:$I$500,MATCH(A158,Ratings!$A$5:$A$500,0)),"")</f>
        <v/>
      </c>
      <c r="AB158" s="18" t="inlineStr">
        <is>
          <t>PG</t>
        </is>
      </c>
    </row>
    <row r="159" ht="15.75" customHeight="1" s="108">
      <c r="A159" s="18" t="inlineStr">
        <is>
          <t>F0155</t>
        </is>
      </c>
      <c r="B159" s="18" t="inlineStr">
        <is>
          <t>How to Train Your Dragon 2</t>
        </is>
      </c>
      <c r="C159" s="20" t="inlineStr">
        <is>
          <t>2014</t>
        </is>
      </c>
      <c r="D159" s="18" t="inlineStr">
        <is>
          <t>Blu-ray</t>
        </is>
      </c>
      <c r="E159" s="18" t="inlineStr">
        <is>
          <t>How to Train Your Dragon</t>
        </is>
      </c>
      <c r="F159" s="19" t="n"/>
      <c r="G159" s="4" t="n"/>
      <c r="H159" s="4" t="n"/>
      <c r="I159" s="19" t="inlineStr">
        <is>
          <t>Five years after uniting the dragons and Vikings of Berk, Hiccup and Toothless soar beyond their homeland, charting the vast unknown. During one of their adventures, the pair discover a secret cave that houses hundreds of wild dragons -- and a mysterious dragon rider with a startling connection to Hiccup. And as the ruthless dragon conqueror Drago Bludvist rises to seize control of both dragons and people alike, Hiccup must step into his role as a true leader and, alongside his friends and Toothless, protect Berk from a devastating war.</t>
        </is>
      </c>
      <c r="J159" s="19" t="inlineStr">
        <is>
          <t>Dean DeBlois</t>
        </is>
      </c>
      <c r="K159" s="19" t="n">
        <v>102</v>
      </c>
      <c r="L159" s="19" t="inlineStr">
        <is>
          <t>Fantasy, Action, Adventure, Animation, Comedy, Family</t>
        </is>
      </c>
      <c r="M159" s="19" t="inlineStr">
        <is>
          <t>DreamWorks Animation, Mad Hatter Entertainment, Vertigo Entertainment</t>
        </is>
      </c>
      <c r="N159" s="19" t="inlineStr">
        <is>
          <t>https://huggingface.co/datasets/HenryWaltson/TMDB-IMDB-Movies-Dataset</t>
        </is>
      </c>
      <c r="O159" s="19" t="inlineStr">
        <is>
          <t>https://huggingface.co/datasets/HenryWaltson/TMDB-IMDB-Movies-Dataset</t>
        </is>
      </c>
      <c r="P159" s="18" t="inlineStr">
        <is>
          <t>Jay Baruchel</t>
        </is>
      </c>
      <c r="Q159" s="18" t="inlineStr">
        <is>
          <t>Cate Blanchett</t>
        </is>
      </c>
      <c r="R159" s="18" t="inlineStr">
        <is>
          <t>Gerard Butler</t>
        </is>
      </c>
      <c r="S159" s="18" t="inlineStr">
        <is>
          <t>Craig Ferguson</t>
        </is>
      </c>
      <c r="T159" s="18" t="inlineStr">
        <is>
          <t>America Ferrera</t>
        </is>
      </c>
      <c r="U159" s="24" t="n">
        <v>1</v>
      </c>
      <c r="V159" s="24" t="n">
        <v>0</v>
      </c>
      <c r="W159" s="4" t="n"/>
      <c r="X159" s="25">
        <f t="array" ref="X159">IFERROR(INDEX(Ratings!$E$5:$E$500,MATCH(A159,Ratings!$A$5:$A$500,0)),"")</f>
        <v/>
      </c>
      <c r="Y159" s="24">
        <f t="array" ref="Y159">IFERROR(INDEX(Ratings!$G$5:$G$500,MATCH(A159,Ratings!$A$5:$A$500,0)),"")</f>
        <v/>
      </c>
      <c r="Z159" s="26">
        <f t="array" ref="Z159">IFERROR(INDEX(Ratings!$I$5:$I$500,MATCH(A159,Ratings!$A$5:$A$500,0)),"")</f>
        <v/>
      </c>
      <c r="AB159" s="18" t="inlineStr">
        <is>
          <t>PG</t>
        </is>
      </c>
    </row>
    <row r="160" ht="15.75" customHeight="1" s="108">
      <c r="A160" s="18" t="inlineStr">
        <is>
          <t>F0156</t>
        </is>
      </c>
      <c r="B160" s="18" t="inlineStr">
        <is>
          <t>Hummingbird</t>
        </is>
      </c>
      <c r="C160" s="20" t="inlineStr">
        <is>
          <t>2013</t>
        </is>
      </c>
      <c r="D160" s="18" t="inlineStr">
        <is>
          <t>Blu-ray</t>
        </is>
      </c>
      <c r="E160" s="4" t="n"/>
      <c r="F160" s="19" t="n"/>
      <c r="G160" s="4" t="n"/>
      <c r="H160" s="4" t="n"/>
      <c r="I160" s="19" t="inlineStr">
        <is>
          <t>Homeless and on the run from a military court martial, a damaged ex-special forces soldier navigating London's criminal underworld seizes an opportunity to assume another man's identity, transforming into an avenging angel in the process.</t>
        </is>
      </c>
      <c r="J160" s="19" t="inlineStr">
        <is>
          <t>Steven Knight</t>
        </is>
      </c>
      <c r="K160" s="19" t="n">
        <v>100</v>
      </c>
      <c r="L160" s="19" t="inlineStr">
        <is>
          <t>Action, Thriller</t>
        </is>
      </c>
      <c r="M160" s="19" t="inlineStr">
        <is>
          <t>Lionsgate, Shoebox Films, IM Global</t>
        </is>
      </c>
      <c r="N160" s="19" t="inlineStr">
        <is>
          <t>https://huggingface.co/datasets/HenryWaltson/TMDB-IMDB-Movies-Dataset</t>
        </is>
      </c>
      <c r="O160" s="19" t="inlineStr">
        <is>
          <t>https://huggingface.co/datasets/HenryWaltson/TMDB-IMDB-Movies-Dataset</t>
        </is>
      </c>
      <c r="P160" s="18" t="inlineStr">
        <is>
          <t>Jason Statham</t>
        </is>
      </c>
      <c r="Q160" s="18" t="inlineStr">
        <is>
          <t>Agata Buzek</t>
        </is>
      </c>
      <c r="R160" s="18" t="inlineStr">
        <is>
          <t>Vicky McClure</t>
        </is>
      </c>
      <c r="S160" s="18" t="inlineStr">
        <is>
          <t>Benedict Wong</t>
        </is>
      </c>
      <c r="T160" s="18" t="inlineStr">
        <is>
          <t>Ger Ryan</t>
        </is>
      </c>
      <c r="U160" s="24" t="n">
        <v>0</v>
      </c>
      <c r="V160" s="24" t="n">
        <v>0</v>
      </c>
      <c r="W160" s="4" t="n"/>
      <c r="X160" s="25">
        <f t="array" ref="X160">IFERROR(INDEX(Ratings!$E$5:$E$500,MATCH(A160,Ratings!$A$5:$A$500,0)),"")</f>
        <v/>
      </c>
      <c r="Y160" s="24">
        <f t="array" ref="Y160">IFERROR(INDEX(Ratings!$G$5:$G$500,MATCH(A160,Ratings!$A$5:$A$500,0)),"")</f>
        <v/>
      </c>
      <c r="Z160" s="26">
        <f t="array" ref="Z160">IFERROR(INDEX(Ratings!$I$5:$I$500,MATCH(A160,Ratings!$A$5:$A$500,0)),"")</f>
        <v/>
      </c>
      <c r="AB160" s="18" t="inlineStr">
        <is>
          <t>15</t>
        </is>
      </c>
    </row>
    <row r="161" ht="15.75" customHeight="1" s="108">
      <c r="A161" s="18" t="inlineStr">
        <is>
          <t>F0157</t>
        </is>
      </c>
      <c r="B161" s="18" t="inlineStr">
        <is>
          <t>The Hunger Games</t>
        </is>
      </c>
      <c r="C161" s="20" t="inlineStr">
        <is>
          <t>2012</t>
        </is>
      </c>
      <c r="D161" s="18" t="inlineStr">
        <is>
          <t>Blu-ray</t>
        </is>
      </c>
      <c r="E161" s="18" t="inlineStr">
        <is>
          <t>The Hunger Games</t>
        </is>
      </c>
      <c r="F161" s="19" t="n"/>
      <c r="G161" s="4" t="n"/>
      <c r="H161" s="4" t="n"/>
      <c r="I161" s="19" t="inlineStr">
        <is>
          <t>In a dystopian society where the Capitol forces each district to send two young tributes to fight to the death in a televised spectacle, a girl volunteers to take her sister’s place, setting the stage for a struggle of survival and defiance.</t>
        </is>
      </c>
      <c r="J161" s="19" t="inlineStr">
        <is>
          <t>Gary Ross</t>
        </is>
      </c>
      <c r="K161" s="19" t="n">
        <v>142</v>
      </c>
      <c r="L161" s="19" t="inlineStr">
        <is>
          <t>Science Fiction, Adventure, Fantasy</t>
        </is>
      </c>
      <c r="M161" s="19" t="inlineStr">
        <is>
          <t>Lionsgate, Color Force</t>
        </is>
      </c>
      <c r="N161" s="19" t="inlineStr">
        <is>
          <t>https://huggingface.co/datasets/HenryWaltson/TMDB-IMDB-Movies-Dataset</t>
        </is>
      </c>
      <c r="O161" s="19" t="inlineStr">
        <is>
          <t>https://huggingface.co/datasets/HenryWaltson/TMDB-IMDB-Movies-Dataset</t>
        </is>
      </c>
      <c r="P161" s="18" t="inlineStr">
        <is>
          <t>Jennifer Lawrence</t>
        </is>
      </c>
      <c r="Q161" s="18" t="inlineStr">
        <is>
          <t>Josh Hutcherson</t>
        </is>
      </c>
      <c r="R161" s="18" t="inlineStr">
        <is>
          <t>Liam Hemsworth</t>
        </is>
      </c>
      <c r="S161" s="18" t="inlineStr">
        <is>
          <t>Woody Harrelson</t>
        </is>
      </c>
      <c r="T161" s="18" t="inlineStr">
        <is>
          <t>Elizabeth Banks</t>
        </is>
      </c>
      <c r="U161" s="24" t="n">
        <v>0</v>
      </c>
      <c r="V161" s="24" t="n">
        <v>0</v>
      </c>
      <c r="W161" s="4" t="n"/>
      <c r="X161" s="25">
        <f t="array" ref="X161">IFERROR(INDEX(Ratings!$E$5:$E$500,MATCH(A161,Ratings!$A$5:$A$500,0)),"")</f>
        <v/>
      </c>
      <c r="Y161" s="24">
        <f t="array" ref="Y161">IFERROR(INDEX(Ratings!$G$5:$G$500,MATCH(A161,Ratings!$A$5:$A$500,0)),"")</f>
        <v/>
      </c>
      <c r="Z161" s="26">
        <f t="array" ref="Z161">IFERROR(INDEX(Ratings!$I$5:$I$500,MATCH(A161,Ratings!$A$5:$A$500,0)),"")</f>
        <v/>
      </c>
      <c r="AB161" s="18" t="inlineStr">
        <is>
          <t>12A</t>
        </is>
      </c>
    </row>
    <row r="162" ht="15.75" customHeight="1" s="108">
      <c r="A162" s="18" t="inlineStr">
        <is>
          <t>F0158</t>
        </is>
      </c>
      <c r="B162" s="18" t="inlineStr">
        <is>
          <t>The Hunger Games: Mockingjay - Part 1</t>
        </is>
      </c>
      <c r="C162" s="20" t="inlineStr">
        <is>
          <t>2014</t>
        </is>
      </c>
      <c r="D162" s="18" t="inlineStr">
        <is>
          <t>Blu-ray</t>
        </is>
      </c>
      <c r="E162" s="18" t="inlineStr">
        <is>
          <t>The Hunger Games</t>
        </is>
      </c>
      <c r="F162" s="19" t="n"/>
      <c r="G162" s="4" t="n"/>
      <c r="H162" s="4" t="n"/>
      <c r="I162" s="19" t="inlineStr">
        <is>
          <t>After surviving the Quarter Quell, Katniss finds herself in the hidden stronghold of District 13, where the rebellion against the Capitol is gaining momentum. Struggling with the weight of becoming the symbol of resistance, she must navigate fragile alliances while trying to protect those she loves. As propaganda battles rage and Panem moves closer to full-scale war, Katniss is forced to confront the true cost of revolution.</t>
        </is>
      </c>
      <c r="J162" s="19" t="inlineStr">
        <is>
          <t>Francis Lawrence</t>
        </is>
      </c>
      <c r="K162" s="19" t="n">
        <v>123</v>
      </c>
      <c r="L162" s="19" t="inlineStr">
        <is>
          <t>Science Fiction, Adventure, Thriller</t>
        </is>
      </c>
      <c r="M162" s="19" t="inlineStr">
        <is>
          <t>Lionsgate, Color Force</t>
        </is>
      </c>
      <c r="N162" s="19" t="inlineStr">
        <is>
          <t>https://huggingface.co/datasets/HenryWaltson/TMDB-IMDB-Movies-Dataset</t>
        </is>
      </c>
      <c r="O162" s="19" t="inlineStr">
        <is>
          <t>https://huggingface.co/datasets/HenryWaltson/TMDB-IMDB-Movies-Dataset</t>
        </is>
      </c>
      <c r="P162" s="18" t="inlineStr">
        <is>
          <t>Jennifer Lawrence</t>
        </is>
      </c>
      <c r="Q162" s="18" t="inlineStr">
        <is>
          <t>Josh Hutcherson</t>
        </is>
      </c>
      <c r="R162" s="18" t="inlineStr">
        <is>
          <t>Liam Hemsworth</t>
        </is>
      </c>
      <c r="S162" s="18" t="inlineStr">
        <is>
          <t>Woody Harrelson</t>
        </is>
      </c>
      <c r="T162" s="18" t="inlineStr">
        <is>
          <t>Elizabeth Banks</t>
        </is>
      </c>
      <c r="U162" s="24" t="n">
        <v>0</v>
      </c>
      <c r="V162" s="24" t="n">
        <v>0</v>
      </c>
      <c r="W162" s="4" t="n"/>
      <c r="X162" s="25">
        <f t="array" ref="X162">IFERROR(INDEX(Ratings!$E$5:$E$500,MATCH(A162,Ratings!$A$5:$A$500,0)),"")</f>
        <v/>
      </c>
      <c r="Y162" s="24">
        <f t="array" ref="Y162">IFERROR(INDEX(Ratings!$G$5:$G$500,MATCH(A162,Ratings!$A$5:$A$500,0)),"")</f>
        <v/>
      </c>
      <c r="Z162" s="26">
        <f t="array" ref="Z162">IFERROR(INDEX(Ratings!$I$5:$I$500,MATCH(A162,Ratings!$A$5:$A$500,0)),"")</f>
        <v/>
      </c>
      <c r="AB162" s="18" t="inlineStr">
        <is>
          <t>12A</t>
        </is>
      </c>
    </row>
    <row r="163" ht="15.75" customHeight="1" s="108">
      <c r="A163" s="18" t="inlineStr">
        <is>
          <t>F0159</t>
        </is>
      </c>
      <c r="B163" s="18" t="inlineStr">
        <is>
          <t>I, Frankenstein</t>
        </is>
      </c>
      <c r="C163" s="20" t="inlineStr">
        <is>
          <t>2014</t>
        </is>
      </c>
      <c r="D163" s="18" t="inlineStr">
        <is>
          <t>Blu-ray</t>
        </is>
      </c>
      <c r="E163" s="4" t="n"/>
      <c r="F163" s="19" t="n"/>
      <c r="G163" s="4" t="n"/>
      <c r="H163" s="4" t="n"/>
      <c r="I163" s="19" t="inlineStr">
        <is>
          <t>200 years after his shocking creation, Dr. Frankenstein's creature, Adam, still walks the earth. But when he finds himself in the middle of a war over the fate of humanity, Adam discovers he holds the key that could destroy humankind.</t>
        </is>
      </c>
      <c r="J163" s="19" t="inlineStr">
        <is>
          <t>Stuart Beattie</t>
        </is>
      </c>
      <c r="K163" s="19" t="n">
        <v>92</v>
      </c>
      <c r="L163" s="19" t="inlineStr">
        <is>
          <t>Horror, Thriller</t>
        </is>
      </c>
      <c r="M163" s="19" t="inlineStr">
        <is>
          <t>Lionsgate, Lakeshore Entertainment, Sidney Kimmel Entertainment</t>
        </is>
      </c>
      <c r="N163" s="19" t="inlineStr">
        <is>
          <t>https://huggingface.co/datasets/HenryWaltson/TMDB-IMDB-Movies-Dataset</t>
        </is>
      </c>
      <c r="O163" s="19" t="inlineStr">
        <is>
          <t>https://huggingface.co/datasets/HenryWaltson/TMDB-IMDB-Movies-Dataset</t>
        </is>
      </c>
      <c r="P163" s="18" t="inlineStr">
        <is>
          <t>Aaron Eckhart</t>
        </is>
      </c>
      <c r="Q163" s="18" t="inlineStr">
        <is>
          <t>Yvonne Strahovski</t>
        </is>
      </c>
      <c r="R163" s="18" t="inlineStr">
        <is>
          <t>Bill Nighy</t>
        </is>
      </c>
      <c r="S163" s="18" t="inlineStr">
        <is>
          <t>Jai Courtney</t>
        </is>
      </c>
      <c r="T163" s="18" t="inlineStr">
        <is>
          <t>Miranda Otto</t>
        </is>
      </c>
      <c r="U163" s="24" t="n">
        <v>0</v>
      </c>
      <c r="V163" s="24" t="n">
        <v>0</v>
      </c>
      <c r="W163" s="4" t="n"/>
      <c r="X163" s="25">
        <f t="array" ref="X163">IFERROR(INDEX(Ratings!$E$5:$E$500,MATCH(A163,Ratings!$A$5:$A$500,0)),"")</f>
        <v/>
      </c>
      <c r="Y163" s="24">
        <f t="array" ref="Y163">IFERROR(INDEX(Ratings!$G$5:$G$500,MATCH(A163,Ratings!$A$5:$A$500,0)),"")</f>
        <v/>
      </c>
      <c r="Z163" s="26">
        <f t="array" ref="Z163">IFERROR(INDEX(Ratings!$I$5:$I$500,MATCH(A163,Ratings!$A$5:$A$500,0)),"")</f>
        <v/>
      </c>
      <c r="AB163" s="18" t="inlineStr">
        <is>
          <t>12</t>
        </is>
      </c>
    </row>
    <row r="164" ht="15.75" customHeight="1" s="108">
      <c r="A164" s="18" t="inlineStr">
        <is>
          <t>F0160</t>
        </is>
      </c>
      <c r="B164" s="18" t="inlineStr">
        <is>
          <t>Ice Age: The Meltdown</t>
        </is>
      </c>
      <c r="C164" s="20" t="inlineStr">
        <is>
          <t>2006</t>
        </is>
      </c>
      <c r="D164" s="18" t="inlineStr">
        <is>
          <t>Blu-ray</t>
        </is>
      </c>
      <c r="E164" s="18" t="inlineStr">
        <is>
          <t>Ice Age</t>
        </is>
      </c>
      <c r="F164" s="19" t="n"/>
      <c r="G164" s="4" t="n"/>
      <c r="H164" s="4" t="n"/>
      <c r="I164" s="19" t="inlineStr">
        <is>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is>
      </c>
      <c r="J164" s="19" t="inlineStr">
        <is>
          <t>Carlos Saldanha</t>
        </is>
      </c>
      <c r="K164" s="19" t="n">
        <v>91</v>
      </c>
      <c r="L164" s="19" t="inlineStr">
        <is>
          <t>Animation, Family, Comedy</t>
        </is>
      </c>
      <c r="M164" s="19" t="inlineStr">
        <is>
          <t>Blue Sky Studios, 20th Century Fox Animation</t>
        </is>
      </c>
      <c r="N164" s="19" t="inlineStr">
        <is>
          <t>https://huggingface.co/datasets/HenryWaltson/TMDB-IMDB-Movies-Dataset</t>
        </is>
      </c>
      <c r="O164" s="19" t="inlineStr">
        <is>
          <t>https://huggingface.co/datasets/HenryWaltson/TMDB-IMDB-Movies-Dataset</t>
        </is>
      </c>
      <c r="P164" s="18" t="inlineStr">
        <is>
          <t>Ray Romano</t>
        </is>
      </c>
      <c r="Q164" s="18" t="inlineStr">
        <is>
          <t>John Leguizamo</t>
        </is>
      </c>
      <c r="R164" s="18" t="inlineStr">
        <is>
          <t>Denis Leary</t>
        </is>
      </c>
      <c r="S164" s="18" t="inlineStr">
        <is>
          <t>Queen Latifah</t>
        </is>
      </c>
      <c r="T164" s="18" t="inlineStr">
        <is>
          <t>Seann William Scott</t>
        </is>
      </c>
      <c r="U164" s="24" t="n">
        <v>0</v>
      </c>
      <c r="V164" s="24" t="n">
        <v>0</v>
      </c>
      <c r="W164" s="4" t="n"/>
      <c r="X164" s="25">
        <f t="array" ref="X164">IFERROR(INDEX(Ratings!$E$5:$E$500,MATCH(A164,Ratings!$A$5:$A$500,0)),"")</f>
        <v/>
      </c>
      <c r="Y164" s="24">
        <f t="array" ref="Y164">IFERROR(INDEX(Ratings!$G$5:$G$500,MATCH(A164,Ratings!$A$5:$A$500,0)),"")</f>
        <v/>
      </c>
      <c r="Z164" s="26">
        <f t="array" ref="Z164">IFERROR(INDEX(Ratings!$I$5:$I$500,MATCH(A164,Ratings!$A$5:$A$500,0)),"")</f>
        <v/>
      </c>
      <c r="AB164" s="18" t="inlineStr">
        <is>
          <t>U</t>
        </is>
      </c>
    </row>
    <row r="165" ht="15.75" customHeight="1" s="108">
      <c r="A165" s="18" t="inlineStr">
        <is>
          <t>F0161</t>
        </is>
      </c>
      <c r="B165" s="18" t="inlineStr">
        <is>
          <t>Ice Age: Dawn of the Dinosaurs</t>
        </is>
      </c>
      <c r="C165" s="20" t="inlineStr">
        <is>
          <t>2009</t>
        </is>
      </c>
      <c r="D165" s="18" t="inlineStr">
        <is>
          <t>Blu-ray</t>
        </is>
      </c>
      <c r="E165" s="18" t="inlineStr">
        <is>
          <t>Ice Age</t>
        </is>
      </c>
      <c r="F165" s="19" t="n"/>
      <c r="G165" s="4" t="n"/>
      <c r="H165" s="4" t="n"/>
      <c r="I165" s="19" t="inlineStr">
        <is>
          <t>Times are changing for Manny the moody mammoth, Sid the motor mouthed sloth and Diego the crafty saber-toothed tiger. Life heats up for our heroes when they meet some new and none-too-friendly neighbors – the mighty dinosaurs.</t>
        </is>
      </c>
      <c r="J165" s="19" t="inlineStr">
        <is>
          <t>Carlos Saldanha, Mike Thurmeier</t>
        </is>
      </c>
      <c r="K165" s="19" t="n">
        <v>94</v>
      </c>
      <c r="L165" s="19" t="inlineStr">
        <is>
          <t>Animation, Comedy, Family</t>
        </is>
      </c>
      <c r="M165" s="19" t="inlineStr">
        <is>
          <t>Blue Sky Studios, 20th Century Fox Animation</t>
        </is>
      </c>
      <c r="N165" s="19" t="inlineStr">
        <is>
          <t>https://huggingface.co/datasets/HenryWaltson/TMDB-IMDB-Movies-Dataset</t>
        </is>
      </c>
      <c r="O165" s="19" t="inlineStr">
        <is>
          <t>https://huggingface.co/datasets/HenryWaltson/TMDB-IMDB-Movies-Dataset</t>
        </is>
      </c>
      <c r="P165" s="18" t="inlineStr">
        <is>
          <t>Ray Romano</t>
        </is>
      </c>
      <c r="Q165" s="18" t="inlineStr">
        <is>
          <t>John Leguizamo</t>
        </is>
      </c>
      <c r="R165" s="18" t="inlineStr">
        <is>
          <t>Denis Leary</t>
        </is>
      </c>
      <c r="S165" s="18" t="inlineStr">
        <is>
          <t>Queen Latifah</t>
        </is>
      </c>
      <c r="T165" s="18" t="inlineStr">
        <is>
          <t>Simon Pegg</t>
        </is>
      </c>
      <c r="U165" s="24" t="n">
        <v>0</v>
      </c>
      <c r="V165" s="24" t="n">
        <v>0</v>
      </c>
      <c r="W165" s="4" t="n"/>
      <c r="X165" s="25">
        <f t="array" ref="X165">IFERROR(INDEX(Ratings!$E$5:$E$500,MATCH(A165,Ratings!$A$5:$A$500,0)),"")</f>
        <v/>
      </c>
      <c r="Y165" s="24">
        <f t="array" ref="Y165">IFERROR(INDEX(Ratings!$G$5:$G$500,MATCH(A165,Ratings!$A$5:$A$500,0)),"")</f>
        <v/>
      </c>
      <c r="Z165" s="26">
        <f t="array" ref="Z165">IFERROR(INDEX(Ratings!$I$5:$I$500,MATCH(A165,Ratings!$A$5:$A$500,0)),"")</f>
        <v/>
      </c>
      <c r="AB165" s="18" t="inlineStr">
        <is>
          <t>U</t>
        </is>
      </c>
    </row>
    <row r="166" ht="15.75" customHeight="1" s="108">
      <c r="A166" s="18" t="inlineStr">
        <is>
          <t>F0162</t>
        </is>
      </c>
      <c r="B166" s="18" t="inlineStr">
        <is>
          <t>The Imitation Game</t>
        </is>
      </c>
      <c r="C166" s="20" t="inlineStr">
        <is>
          <t>2014</t>
        </is>
      </c>
      <c r="D166" s="18" t="inlineStr">
        <is>
          <t>Blu-ray</t>
        </is>
      </c>
      <c r="E166" s="4" t="n"/>
      <c r="F166" s="19" t="n"/>
      <c r="G166" s="4" t="n"/>
      <c r="H166" s="4" t="n"/>
      <c r="I166" s="19" t="inlineStr">
        <is>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is>
      </c>
      <c r="J166" s="19" t="inlineStr">
        <is>
          <t>Morten Tyldum</t>
        </is>
      </c>
      <c r="K166" s="19" t="n">
        <v>113</v>
      </c>
      <c r="L166" s="19" t="inlineStr">
        <is>
          <t>History, Drama, Thriller, War</t>
        </is>
      </c>
      <c r="M166" s="19" t="inlineStr">
        <is>
          <t>Bristol Automotive, Black Bear Pictures, The Weinstein Company</t>
        </is>
      </c>
      <c r="N166" s="19" t="inlineStr">
        <is>
          <t>https://huggingface.co/datasets/HenryWaltson/TMDB-IMDB-Movies-Dataset</t>
        </is>
      </c>
      <c r="O166" s="19" t="inlineStr">
        <is>
          <t>https://huggingface.co/datasets/HenryWaltson/TMDB-IMDB-Movies-Dataset</t>
        </is>
      </c>
      <c r="P166" s="18" t="inlineStr">
        <is>
          <t>Benedict Cumberbatch</t>
        </is>
      </c>
      <c r="Q166" s="18" t="inlineStr">
        <is>
          <t>Keira Knightley</t>
        </is>
      </c>
      <c r="R166" s="18" t="inlineStr">
        <is>
          <t>Matthew Goode</t>
        </is>
      </c>
      <c r="S166" s="18" t="inlineStr">
        <is>
          <t>Rory Kinnear</t>
        </is>
      </c>
      <c r="T166" s="18" t="inlineStr">
        <is>
          <t>Allen Leech</t>
        </is>
      </c>
      <c r="U166" s="24" t="n">
        <v>8</v>
      </c>
      <c r="V166" s="24" t="n">
        <v>1</v>
      </c>
      <c r="W166" s="18" t="inlineStr">
        <is>
          <t>Nominated</t>
        </is>
      </c>
      <c r="X166" s="25">
        <f t="array" ref="X166">IFERROR(INDEX(Ratings!$E$5:$E$500,MATCH(A166,Ratings!$A$5:$A$500,0)),"")</f>
        <v/>
      </c>
      <c r="Y166" s="24">
        <f t="array" ref="Y166">IFERROR(INDEX(Ratings!$G$5:$G$500,MATCH(A166,Ratings!$A$5:$A$500,0)),"")</f>
        <v/>
      </c>
      <c r="Z166" s="26">
        <f t="array" ref="Z166">IFERROR(INDEX(Ratings!$I$5:$I$500,MATCH(A166,Ratings!$A$5:$A$500,0)),"")</f>
        <v/>
      </c>
      <c r="AB166" s="18" t="inlineStr">
        <is>
          <t>12A</t>
        </is>
      </c>
    </row>
    <row r="167" ht="15.75" customHeight="1" s="108">
      <c r="A167" s="18" t="inlineStr">
        <is>
          <t>F0163</t>
        </is>
      </c>
      <c r="B167" s="18" t="inlineStr">
        <is>
          <t>The Inbetweeners Movie</t>
        </is>
      </c>
      <c r="C167" s="20" t="inlineStr">
        <is>
          <t>2011</t>
        </is>
      </c>
      <c r="D167" s="18" t="inlineStr">
        <is>
          <t>Blu-ray</t>
        </is>
      </c>
      <c r="E167" s="18" t="inlineStr">
        <is>
          <t>The Inbetweeners</t>
        </is>
      </c>
      <c r="F167" s="19" t="n"/>
      <c r="G167" s="4" t="n"/>
      <c r="H167" s="4" t="n"/>
      <c r="I167" s="19" t="inlineStr">
        <is>
          <t>High school graduation just wouldn’t be complete without an unchaperoned, uninhibited and unforgettable final holiday. At least that’s what Will, Jay, Simon and Neil think when they book a two-week stay on an exotic Greek island. As their dreams of sun-drenched days and booze-filled nights are left hopelessly unfulfilled, the lads fight their way into the party scene with hilariously humiliating results.</t>
        </is>
      </c>
      <c r="J167" s="19" t="inlineStr">
        <is>
          <t>Ben Palmer</t>
        </is>
      </c>
      <c r="K167" s="19" t="n">
        <v>97</v>
      </c>
      <c r="L167" s="19" t="inlineStr">
        <is>
          <t>Comedy</t>
        </is>
      </c>
      <c r="M167" s="19" t="inlineStr">
        <is>
          <t>Film4 Productions, Bwark Productions</t>
        </is>
      </c>
      <c r="N167" s="19" t="inlineStr">
        <is>
          <t>https://huggingface.co/datasets/HenryWaltson/TMDB-IMDB-Movies-Dataset</t>
        </is>
      </c>
      <c r="O167" s="19" t="inlineStr">
        <is>
          <t>https://huggingface.co/datasets/HenryWaltson/TMDB-IMDB-Movies-Dataset</t>
        </is>
      </c>
      <c r="P167" s="18" t="inlineStr">
        <is>
          <t>Simon Bird</t>
        </is>
      </c>
      <c r="Q167" s="18" t="inlineStr">
        <is>
          <t>James Buckley</t>
        </is>
      </c>
      <c r="R167" s="18" t="inlineStr">
        <is>
          <t>Blake Harrison</t>
        </is>
      </c>
      <c r="S167" s="18" t="inlineStr">
        <is>
          <t>Joe Thomas</t>
        </is>
      </c>
      <c r="T167" s="18" t="inlineStr">
        <is>
          <t>Emily Head</t>
        </is>
      </c>
      <c r="U167" s="24" t="n">
        <v>0</v>
      </c>
      <c r="V167" s="24" t="n">
        <v>0</v>
      </c>
      <c r="W167" s="4" t="n"/>
      <c r="X167" s="25">
        <f t="array" ref="X167">IFERROR(INDEX(Ratings!$E$5:$E$500,MATCH(A167,Ratings!$A$5:$A$500,0)),"")</f>
        <v/>
      </c>
      <c r="Y167" s="24">
        <f t="array" ref="Y167">IFERROR(INDEX(Ratings!$G$5:$G$500,MATCH(A167,Ratings!$A$5:$A$500,0)),"")</f>
        <v/>
      </c>
      <c r="Z167" s="26">
        <f t="array" ref="Z167">IFERROR(INDEX(Ratings!$I$5:$I$500,MATCH(A167,Ratings!$A$5:$A$500,0)),"")</f>
        <v/>
      </c>
      <c r="AB167" s="18" t="inlineStr">
        <is>
          <t>15</t>
        </is>
      </c>
    </row>
    <row r="168" ht="15.75" customHeight="1" s="108">
      <c r="A168" s="18" t="inlineStr">
        <is>
          <t>F0164</t>
        </is>
      </c>
      <c r="B168" s="18" t="inlineStr">
        <is>
          <t>The Inbetweeners 2</t>
        </is>
      </c>
      <c r="C168" s="20" t="inlineStr">
        <is>
          <t>2014</t>
        </is>
      </c>
      <c r="D168" s="18" t="inlineStr">
        <is>
          <t>Blu-ray</t>
        </is>
      </c>
      <c r="E168" s="18" t="inlineStr">
        <is>
          <t>The Inbetweeners</t>
        </is>
      </c>
      <c r="F168" s="19" t="n"/>
      <c r="G168" s="4" t="n"/>
      <c r="H168" s="4" t="n"/>
      <c r="I168" s="19" t="inlineStr">
        <is>
          <t>Neil, Will and Simon receive an invite from Jay to join him in Australia whilst on his gap year, who promises them it’s 'the sex capital of the world'. With their lives now rather dull compared to their hedonistic school days and legendary lads holiday, it’s an offer they can’t refuse.</t>
        </is>
      </c>
      <c r="J168" s="19" t="inlineStr">
        <is>
          <t>Damon Beesley, Iain Morris</t>
        </is>
      </c>
      <c r="K168" s="19" t="n">
        <v>96</v>
      </c>
      <c r="L168" s="19" t="inlineStr">
        <is>
          <t>Comedy</t>
        </is>
      </c>
      <c r="M168" s="19" t="inlineStr">
        <is>
          <t>Film4 Productions, Young Bwark Productions, Zodiak Rights</t>
        </is>
      </c>
      <c r="N168" s="19" t="inlineStr">
        <is>
          <t>https://huggingface.co/datasets/HenryWaltson/TMDB-IMDB-Movies-Dataset</t>
        </is>
      </c>
      <c r="O168" s="19" t="inlineStr">
        <is>
          <t>https://huggingface.co/datasets/HenryWaltson/TMDB-IMDB-Movies-Dataset</t>
        </is>
      </c>
      <c r="P168" s="18" t="inlineStr">
        <is>
          <t>Simon Bird</t>
        </is>
      </c>
      <c r="Q168" s="18" t="inlineStr">
        <is>
          <t>James Buckley</t>
        </is>
      </c>
      <c r="R168" s="18" t="inlineStr">
        <is>
          <t>Blake Harrison</t>
        </is>
      </c>
      <c r="S168" s="18" t="inlineStr">
        <is>
          <t>Joe Thomas</t>
        </is>
      </c>
      <c r="T168" s="18" t="inlineStr">
        <is>
          <t>Emily Berrington</t>
        </is>
      </c>
      <c r="U168" s="24" t="n">
        <v>0</v>
      </c>
      <c r="V168" s="24" t="n">
        <v>0</v>
      </c>
      <c r="W168" s="4" t="n"/>
      <c r="X168" s="25">
        <f t="array" ref="X168">IFERROR(INDEX(Ratings!$E$5:$E$500,MATCH(A168,Ratings!$A$5:$A$500,0)),"")</f>
        <v/>
      </c>
      <c r="Y168" s="24">
        <f t="array" ref="Y168">IFERROR(INDEX(Ratings!$G$5:$G$500,MATCH(A168,Ratings!$A$5:$A$500,0)),"")</f>
        <v/>
      </c>
      <c r="Z168" s="26">
        <f t="array" ref="Z168">IFERROR(INDEX(Ratings!$I$5:$I$500,MATCH(A168,Ratings!$A$5:$A$500,0)),"")</f>
        <v/>
      </c>
      <c r="AB168" s="18" t="inlineStr">
        <is>
          <t>15</t>
        </is>
      </c>
    </row>
    <row r="169" ht="15.75" customHeight="1" s="108">
      <c r="A169" s="18" t="inlineStr">
        <is>
          <t>F0165</t>
        </is>
      </c>
      <c r="B169" s="18" t="inlineStr">
        <is>
          <t>Inception</t>
        </is>
      </c>
      <c r="C169" s="20" t="inlineStr">
        <is>
          <t>2010</t>
        </is>
      </c>
      <c r="D169" s="18" t="inlineStr">
        <is>
          <t>Blu-ray</t>
        </is>
      </c>
      <c r="E169" s="4" t="n"/>
      <c r="F169" s="19" t="n"/>
      <c r="G169" s="4" t="n"/>
      <c r="H169" s="4" t="n"/>
      <c r="I169" s="19" t="inlineStr">
        <is>
          <t>Cobb, a skilled thief who commits corporate espionage by infiltrating the subconscious of his targets is offered a chance to regain his old life as payment for a task considered to be impossible: "inception", the implantation of another person's idea into a target's subconscious.</t>
        </is>
      </c>
      <c r="J169" s="19" t="inlineStr">
        <is>
          <t>Christopher Nolan</t>
        </is>
      </c>
      <c r="K169" s="19" t="n">
        <v>148</v>
      </c>
      <c r="L169" s="19" t="inlineStr">
        <is>
          <t>Action, Science Fiction, Adventure</t>
        </is>
      </c>
      <c r="M169" s="19" t="inlineStr">
        <is>
          <t>Legendary Pictures, Syncopy, Warner Bros. Pictures</t>
        </is>
      </c>
      <c r="N169" s="19" t="inlineStr">
        <is>
          <t>https://huggingface.co/datasets/HenryWaltson/TMDB-IMDB-Movies-Dataset</t>
        </is>
      </c>
      <c r="O169" s="19" t="inlineStr">
        <is>
          <t>https://huggingface.co/datasets/HenryWaltson/TMDB-IMDB-Movies-Dataset</t>
        </is>
      </c>
      <c r="P169" s="18" t="inlineStr">
        <is>
          <t>Leonardo DiCaprio</t>
        </is>
      </c>
      <c r="Q169" s="18" t="inlineStr">
        <is>
          <t>Joseph Gordon-Levitt</t>
        </is>
      </c>
      <c r="R169" s="18" t="inlineStr">
        <is>
          <t>Ken Watanabe</t>
        </is>
      </c>
      <c r="S169" s="18" t="inlineStr">
        <is>
          <t>Tom Hardy</t>
        </is>
      </c>
      <c r="T169" s="18" t="inlineStr">
        <is>
          <t>Elliot Page</t>
        </is>
      </c>
      <c r="U169" s="24" t="n">
        <v>8</v>
      </c>
      <c r="V169" s="24" t="n">
        <v>4</v>
      </c>
      <c r="W169" s="18" t="inlineStr">
        <is>
          <t>Nominated</t>
        </is>
      </c>
      <c r="X169" s="25">
        <f t="array" ref="X169">IFERROR(INDEX(Ratings!$E$5:$E$500,MATCH(A169,Ratings!$A$5:$A$500,0)),"")</f>
        <v/>
      </c>
      <c r="Y169" s="24">
        <f t="array" ref="Y169">IFERROR(INDEX(Ratings!$G$5:$G$500,MATCH(A169,Ratings!$A$5:$A$500,0)),"")</f>
        <v/>
      </c>
      <c r="Z169" s="26">
        <f t="array" ref="Z169">IFERROR(INDEX(Ratings!$I$5:$I$500,MATCH(A169,Ratings!$A$5:$A$500,0)),"")</f>
        <v/>
      </c>
      <c r="AB169" s="18" t="inlineStr">
        <is>
          <t>12A</t>
        </is>
      </c>
    </row>
    <row r="170" ht="15.75" customHeight="1" s="108">
      <c r="A170" s="18" t="inlineStr">
        <is>
          <t>F0166</t>
        </is>
      </c>
      <c r="B170" s="18" t="inlineStr">
        <is>
          <t>Inglourious Basterds</t>
        </is>
      </c>
      <c r="C170" s="20" t="inlineStr">
        <is>
          <t>2009</t>
        </is>
      </c>
      <c r="D170" s="18" t="inlineStr">
        <is>
          <t>Blu-ray</t>
        </is>
      </c>
      <c r="E170" s="4" t="n"/>
      <c r="F170" s="19" t="n"/>
      <c r="G170" s="4" t="n"/>
      <c r="H170" s="4" t="n"/>
      <c r="I170" s="19" t="inlineStr">
        <is>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is>
      </c>
      <c r="J170" s="19" t="inlineStr">
        <is>
          <t>Quentin Tarantino</t>
        </is>
      </c>
      <c r="K170" s="19" t="n">
        <v>153</v>
      </c>
      <c r="L170" s="19" t="inlineStr">
        <is>
          <t>Drama, Thriller, War</t>
        </is>
      </c>
      <c r="M170" s="19" t="inlineStr">
        <is>
          <t>The Weinstein Company, Universal Pictures, A Band Apart</t>
        </is>
      </c>
      <c r="N170" s="19" t="inlineStr">
        <is>
          <t>https://huggingface.co/datasets/HenryWaltson/TMDB-IMDB-Movies-Dataset</t>
        </is>
      </c>
      <c r="O170" s="19" t="inlineStr">
        <is>
          <t>https://huggingface.co/datasets/HenryWaltson/TMDB-IMDB-Movies-Dataset</t>
        </is>
      </c>
      <c r="P170" s="18" t="inlineStr">
        <is>
          <t>Brad Pitt</t>
        </is>
      </c>
      <c r="Q170" s="18" t="inlineStr">
        <is>
          <t>Mélanie Laurent</t>
        </is>
      </c>
      <c r="R170" s="18" t="inlineStr">
        <is>
          <t>Christoph Waltz</t>
        </is>
      </c>
      <c r="S170" s="18" t="inlineStr">
        <is>
          <t>Michael Fassbender</t>
        </is>
      </c>
      <c r="T170" s="18" t="inlineStr">
        <is>
          <t>Diane Kruger</t>
        </is>
      </c>
      <c r="U170" s="24" t="n">
        <v>8</v>
      </c>
      <c r="V170" s="24" t="n">
        <v>1</v>
      </c>
      <c r="W170" s="18" t="inlineStr">
        <is>
          <t>Nominated</t>
        </is>
      </c>
      <c r="X170" s="25">
        <f t="array" ref="X170">IFERROR(INDEX(Ratings!$E$5:$E$500,MATCH(A170,Ratings!$A$5:$A$500,0)),"")</f>
        <v/>
      </c>
      <c r="Y170" s="24">
        <f t="array" ref="Y170">IFERROR(INDEX(Ratings!$G$5:$G$500,MATCH(A170,Ratings!$A$5:$A$500,0)),"")</f>
        <v/>
      </c>
      <c r="Z170" s="26">
        <f t="array" ref="Z170">IFERROR(INDEX(Ratings!$I$5:$I$500,MATCH(A170,Ratings!$A$5:$A$500,0)),"")</f>
        <v/>
      </c>
      <c r="AB170" s="18" t="inlineStr">
        <is>
          <t>18</t>
        </is>
      </c>
    </row>
    <row r="171" ht="15.75" customHeight="1" s="108">
      <c r="A171" s="18" t="inlineStr">
        <is>
          <t>F0167</t>
        </is>
      </c>
      <c r="B171" s="18" t="inlineStr">
        <is>
          <t>Inside Out</t>
        </is>
      </c>
      <c r="C171" s="20" t="inlineStr">
        <is>
          <t>2015</t>
        </is>
      </c>
      <c r="D171" s="18" t="inlineStr">
        <is>
          <t>Blu-ray</t>
        </is>
      </c>
      <c r="E171" s="4" t="n"/>
      <c r="F171" s="19" t="n"/>
      <c r="G171" s="4" t="n"/>
      <c r="H171" s="4" t="n"/>
      <c r="I171" s="19" t="inlineStr">
        <is>
          <t>When 11-year-old Riley moves to a new city, her Emotions team up to help her through the transition. Joy, Fear, Anger, Disgust and Sadness work together, but when Joy and Sadness get lost, they must journey through unfamiliar places to get back home.</t>
        </is>
      </c>
      <c r="J171" s="19" t="inlineStr">
        <is>
          <t>Pete Docter, Ronnie Del Carmen</t>
        </is>
      </c>
      <c r="K171" s="19" t="n">
        <v>95</v>
      </c>
      <c r="L171" s="19" t="inlineStr">
        <is>
          <t>Animation, Family, Adventure, Drama, Comedy</t>
        </is>
      </c>
      <c r="M171" s="19" t="inlineStr">
        <is>
          <t>Pixar, Walt Disney Pictures</t>
        </is>
      </c>
      <c r="N171" s="19" t="inlineStr">
        <is>
          <t>https://huggingface.co/datasets/HenryWaltson/TMDB-IMDB-Movies-Dataset</t>
        </is>
      </c>
      <c r="O171" s="19" t="inlineStr">
        <is>
          <t>https://huggingface.co/datasets/HenryWaltson/TMDB-IMDB-Movies-Dataset</t>
        </is>
      </c>
      <c r="P171" s="18" t="inlineStr">
        <is>
          <t>Amy Poehler</t>
        </is>
      </c>
      <c r="Q171" s="18" t="inlineStr">
        <is>
          <t>Phyllis Smith</t>
        </is>
      </c>
      <c r="R171" s="18" t="inlineStr">
        <is>
          <t>Richard Kind</t>
        </is>
      </c>
      <c r="S171" s="18" t="inlineStr">
        <is>
          <t>Bill Hader</t>
        </is>
      </c>
      <c r="T171" s="18" t="inlineStr">
        <is>
          <t>Lewis Black</t>
        </is>
      </c>
      <c r="U171" s="24" t="n">
        <v>2</v>
      </c>
      <c r="V171" s="24" t="n">
        <v>1</v>
      </c>
      <c r="W171" s="4" t="n"/>
      <c r="X171" s="25">
        <f t="array" ref="X171">IFERROR(INDEX(Ratings!$E$5:$E$500,MATCH(A171,Ratings!$A$5:$A$500,0)),"")</f>
        <v/>
      </c>
      <c r="Y171" s="24">
        <f t="array" ref="Y171">IFERROR(INDEX(Ratings!$G$5:$G$500,MATCH(A171,Ratings!$A$5:$A$500,0)),"")</f>
        <v/>
      </c>
      <c r="Z171" s="26">
        <f t="array" ref="Z171">IFERROR(INDEX(Ratings!$I$5:$I$500,MATCH(A171,Ratings!$A$5:$A$500,0)),"")</f>
        <v/>
      </c>
      <c r="AB171" s="18" t="inlineStr">
        <is>
          <t>U</t>
        </is>
      </c>
    </row>
    <row r="172" ht="15.75" customHeight="1" s="108">
      <c r="A172" s="18" t="inlineStr">
        <is>
          <t>F0168</t>
        </is>
      </c>
      <c r="B172" s="18" t="inlineStr">
        <is>
          <t>Interstellar</t>
        </is>
      </c>
      <c r="C172" s="20" t="inlineStr">
        <is>
          <t>2014</t>
        </is>
      </c>
      <c r="D172" s="18" t="inlineStr">
        <is>
          <t>4K UHD</t>
        </is>
      </c>
      <c r="E172" s="4" t="n"/>
      <c r="F172" s="19" t="n"/>
      <c r="G172" s="4" t="n"/>
      <c r="H172" s="4" t="n"/>
      <c r="I172" s="19" t="inlineStr">
        <is>
          <t>The adventures of a group of explorers who make use of a newly discovered wormhole to surpass the limitations on human space travel and conquer the vast distances involved in an interstellar voyage.</t>
        </is>
      </c>
      <c r="J172" s="19" t="inlineStr">
        <is>
          <t>Christopher Nolan</t>
        </is>
      </c>
      <c r="K172" s="19" t="n">
        <v>169</v>
      </c>
      <c r="L172" s="19" t="inlineStr">
        <is>
          <t>Adventure, Drama, Science Fiction</t>
        </is>
      </c>
      <c r="M172" s="19" t="inlineStr">
        <is>
          <t>Legendary Pictures, Syncopy, Lynda Obst Productions</t>
        </is>
      </c>
      <c r="N172" s="19" t="inlineStr">
        <is>
          <t>https://huggingface.co/datasets/HenryWaltson/TMDB-IMDB-Movies-Dataset</t>
        </is>
      </c>
      <c r="O172" s="19" t="inlineStr">
        <is>
          <t>https://huggingface.co/datasets/HenryWaltson/TMDB-IMDB-Movies-Dataset</t>
        </is>
      </c>
      <c r="P172" s="18" t="inlineStr">
        <is>
          <t>Matthew McConaughey</t>
        </is>
      </c>
      <c r="Q172" s="18" t="inlineStr">
        <is>
          <t>Anne Hathaway</t>
        </is>
      </c>
      <c r="R172" s="18" t="inlineStr">
        <is>
          <t>Michael Caine</t>
        </is>
      </c>
      <c r="S172" s="18" t="inlineStr">
        <is>
          <t>Jessica Chastain</t>
        </is>
      </c>
      <c r="T172" s="18" t="inlineStr">
        <is>
          <t>Casey Affleck</t>
        </is>
      </c>
      <c r="U172" s="24" t="n">
        <v>5</v>
      </c>
      <c r="V172" s="24" t="n">
        <v>1</v>
      </c>
      <c r="W172" s="4" t="n"/>
      <c r="X172" s="25">
        <f t="array" ref="X172">IFERROR(INDEX(Ratings!$E$5:$E$500,MATCH(A172,Ratings!$A$5:$A$500,0)),"")</f>
        <v/>
      </c>
      <c r="Y172" s="24">
        <f t="array" ref="Y172">IFERROR(INDEX(Ratings!$G$5:$G$500,MATCH(A172,Ratings!$A$5:$A$500,0)),"")</f>
        <v/>
      </c>
      <c r="Z172" s="26">
        <f t="array" ref="Z172">IFERROR(INDEX(Ratings!$I$5:$I$500,MATCH(A172,Ratings!$A$5:$A$500,0)),"")</f>
        <v/>
      </c>
      <c r="AB172" s="18" t="inlineStr">
        <is>
          <t>12A</t>
        </is>
      </c>
    </row>
    <row r="173" ht="15.75" customHeight="1" s="108">
      <c r="A173" s="18" t="inlineStr">
        <is>
          <t>F0169</t>
        </is>
      </c>
      <c r="B173" s="18" t="inlineStr">
        <is>
          <t>Iron Man 3</t>
        </is>
      </c>
      <c r="C173" s="20" t="inlineStr">
        <is>
          <t>2013</t>
        </is>
      </c>
      <c r="D173" s="18" t="inlineStr">
        <is>
          <t>Blu-ray</t>
        </is>
      </c>
      <c r="E173" s="18" t="inlineStr">
        <is>
          <t>MCU</t>
        </is>
      </c>
      <c r="F173" s="19" t="n"/>
      <c r="G173" s="4" t="n"/>
      <c r="H173" s="4" t="n"/>
      <c r="I173" s="19" t="inlineStr">
        <is>
          <t>When Tony Stark's world is torn apart by a formidable terrorist called the Mandarin, he starts an odyssey of rebuilding and retribution.</t>
        </is>
      </c>
      <c r="J173" s="19" t="inlineStr">
        <is>
          <t>Shane Black</t>
        </is>
      </c>
      <c r="K173" s="19" t="n">
        <v>130</v>
      </c>
      <c r="L173" s="19" t="inlineStr">
        <is>
          <t>Action, Adventure, Science Fiction</t>
        </is>
      </c>
      <c r="M173" s="19" t="inlineStr">
        <is>
          <t>Marvel Studios</t>
        </is>
      </c>
      <c r="N173" s="19" t="inlineStr">
        <is>
          <t>https://huggingface.co/datasets/HenryWaltson/TMDB-IMDB-Movies-Dataset</t>
        </is>
      </c>
      <c r="O173" s="19" t="inlineStr">
        <is>
          <t>https://huggingface.co/datasets/HenryWaltson/TMDB-IMDB-Movies-Dataset</t>
        </is>
      </c>
      <c r="P173" s="18" t="inlineStr">
        <is>
          <t>Robert Downey Jr.</t>
        </is>
      </c>
      <c r="Q173" s="18" t="inlineStr">
        <is>
          <t>Gwyneth Paltrow</t>
        </is>
      </c>
      <c r="R173" s="18" t="inlineStr">
        <is>
          <t>Don Cheadle</t>
        </is>
      </c>
      <c r="S173" s="18" t="inlineStr">
        <is>
          <t>Guy Pearce</t>
        </is>
      </c>
      <c r="T173" s="18" t="inlineStr">
        <is>
          <t>Rebecca Hall</t>
        </is>
      </c>
      <c r="U173" s="24" t="n">
        <v>1</v>
      </c>
      <c r="V173" s="24" t="n">
        <v>0</v>
      </c>
      <c r="W173" s="4" t="n"/>
      <c r="X173" s="25">
        <f t="array" ref="X173">IFERROR(INDEX(Ratings!$E$5:$E$500,MATCH(A173,Ratings!$A$5:$A$500,0)),"")</f>
        <v/>
      </c>
      <c r="Y173" s="24">
        <f t="array" ref="Y173">IFERROR(INDEX(Ratings!$G$5:$G$500,MATCH(A173,Ratings!$A$5:$A$500,0)),"")</f>
        <v/>
      </c>
      <c r="Z173" s="26">
        <f t="array" ref="Z173">IFERROR(INDEX(Ratings!$I$5:$I$500,MATCH(A173,Ratings!$A$5:$A$500,0)),"")</f>
        <v/>
      </c>
      <c r="AB173" s="18" t="inlineStr">
        <is>
          <t>12A</t>
        </is>
      </c>
    </row>
    <row r="174" ht="15.75" customHeight="1" s="108">
      <c r="A174" s="18" t="inlineStr">
        <is>
          <t>F0170</t>
        </is>
      </c>
      <c r="B174" s="18" t="inlineStr">
        <is>
          <t>Jojo Rabbit</t>
        </is>
      </c>
      <c r="C174" s="20" t="inlineStr">
        <is>
          <t>2019</t>
        </is>
      </c>
      <c r="D174" s="18" t="inlineStr">
        <is>
          <t>Blu-ray</t>
        </is>
      </c>
      <c r="E174" s="4" t="n"/>
      <c r="F174" s="19" t="n"/>
      <c r="G174" s="4" t="n"/>
      <c r="H174" s="4" t="n"/>
      <c r="I174" s="19" t="inlineStr">
        <is>
          <t>Jojo, a lonely German boy during World War II has his world shaken when he learns that his single mother is hiding a Jewish girl in their home. Influenced by a buffoonish imaginary version of Adolf Hitler, he begins to question his beliefs and confront the conflict between propaganda and his own humanity.</t>
        </is>
      </c>
      <c r="J174" s="19" t="inlineStr">
        <is>
          <t>Taika Waititi</t>
        </is>
      </c>
      <c r="K174" s="19" t="n">
        <v>108</v>
      </c>
      <c r="L174" s="19" t="inlineStr">
        <is>
          <t>Comedy, War, Drama</t>
        </is>
      </c>
      <c r="M174" s="19" t="inlineStr">
        <is>
          <t>Fox Searchlight Pictures, Defender Films, Piki Films</t>
        </is>
      </c>
      <c r="N174" s="19" t="inlineStr">
        <is>
          <t>https://huggingface.co/datasets/HenryWaltson/TMDB-IMDB-Movies-Dataset</t>
        </is>
      </c>
      <c r="O174" s="19" t="inlineStr">
        <is>
          <t>https://huggingface.co/datasets/HenryWaltson/TMDB-IMDB-Movies-Dataset</t>
        </is>
      </c>
      <c r="P174" s="18" t="inlineStr">
        <is>
          <t>Roman Griffin Davis</t>
        </is>
      </c>
      <c r="Q174" s="18" t="inlineStr">
        <is>
          <t>Thomasin McKenzie</t>
        </is>
      </c>
      <c r="R174" s="18" t="inlineStr">
        <is>
          <t>Scarlett Johansson</t>
        </is>
      </c>
      <c r="S174" s="18" t="inlineStr">
        <is>
          <t>Sam Rockwell</t>
        </is>
      </c>
      <c r="T174" s="18" t="inlineStr">
        <is>
          <t>Rebel Wilson</t>
        </is>
      </c>
      <c r="U174" s="24" t="n">
        <v>6</v>
      </c>
      <c r="V174" s="24" t="n">
        <v>1</v>
      </c>
      <c r="W174" s="18" t="inlineStr">
        <is>
          <t>Nominated</t>
        </is>
      </c>
      <c r="X174" s="25">
        <f t="array" ref="X174">IFERROR(INDEX(Ratings!$E$5:$E$500,MATCH(A174,Ratings!$A$5:$A$500,0)),"")</f>
        <v/>
      </c>
      <c r="Y174" s="24">
        <f t="array" ref="Y174">IFERROR(INDEX(Ratings!$G$5:$G$500,MATCH(A174,Ratings!$A$5:$A$500,0)),"")</f>
        <v/>
      </c>
      <c r="Z174" s="26">
        <f t="array" ref="Z174">IFERROR(INDEX(Ratings!$I$5:$I$500,MATCH(A174,Ratings!$A$5:$A$500,0)),"")</f>
        <v/>
      </c>
      <c r="AB174" s="18" t="inlineStr">
        <is>
          <t>12A</t>
        </is>
      </c>
    </row>
    <row r="175" ht="15.75" customHeight="1" s="108">
      <c r="A175" s="18" t="inlineStr">
        <is>
          <t>F0171</t>
        </is>
      </c>
      <c r="B175" s="18" t="inlineStr">
        <is>
          <t>Jack Reacher</t>
        </is>
      </c>
      <c r="C175" s="20" t="inlineStr">
        <is>
          <t>2012</t>
        </is>
      </c>
      <c r="D175" s="18" t="inlineStr">
        <is>
          <t>Blu-ray</t>
        </is>
      </c>
      <c r="E175" s="4" t="n"/>
      <c r="F175" s="19" t="n"/>
      <c r="G175" s="4" t="n"/>
      <c r="H175" s="4" t="n"/>
      <c r="I175" s="19" t="inlineStr">
        <is>
          <t>One morning in an ordinary town, five people are shot dead in a seemingly random attack. All evidence points to a single suspect: an ex-military sniper who is quickly brought into custody. The interrogation yields one written note: 'Get Jack Reacher!'. Reacher, an enigmatic ex-Army investigator, believes the authorities have the right man but agrees to help the sniper's defense attorney. However, the more Reacher delves into the case, the less clear-cut it appears. So begins an extraordinary chase for the truth, pitting Jack Reacher against an unexpected enemy, with a skill for violence and a secret to keep.</t>
        </is>
      </c>
      <c r="J175" s="19" t="inlineStr">
        <is>
          <t>Christopher McQuarrie</t>
        </is>
      </c>
      <c r="K175" s="19" t="n">
        <v>130</v>
      </c>
      <c r="L175" s="19" t="inlineStr">
        <is>
          <t>Crime, Drama, Thriller, Action</t>
        </is>
      </c>
      <c r="M175" s="19" t="inlineStr">
        <is>
          <t>Skydance, H2L Media "AKA" Mutual Film Company, H2L Media Group</t>
        </is>
      </c>
      <c r="N175" s="19" t="inlineStr">
        <is>
          <t>https://huggingface.co/datasets/HenryWaltson/TMDB-IMDB-Movies-Dataset</t>
        </is>
      </c>
      <c r="O175" s="19" t="inlineStr">
        <is>
          <t>https://huggingface.co/datasets/HenryWaltson/TMDB-IMDB-Movies-Dataset</t>
        </is>
      </c>
      <c r="P175" s="18" t="inlineStr">
        <is>
          <t>Tom Cruise</t>
        </is>
      </c>
      <c r="Q175" s="18" t="inlineStr">
        <is>
          <t>Rosamund Pike</t>
        </is>
      </c>
      <c r="R175" s="18" t="inlineStr">
        <is>
          <t>Richard Jenkins</t>
        </is>
      </c>
      <c r="S175" s="18" t="inlineStr">
        <is>
          <t>David Oyelowo</t>
        </is>
      </c>
      <c r="T175" s="18" t="inlineStr">
        <is>
          <t>Jai Courtney</t>
        </is>
      </c>
      <c r="U175" s="24" t="n">
        <v>0</v>
      </c>
      <c r="V175" s="24" t="n">
        <v>0</v>
      </c>
      <c r="W175" s="4" t="n"/>
      <c r="X175" s="25">
        <f t="array" ref="X175">IFERROR(INDEX(Ratings!$E$5:$E$500,MATCH(A175,Ratings!$A$5:$A$500,0)),"")</f>
        <v/>
      </c>
      <c r="Y175" s="24">
        <f t="array" ref="Y175">IFERROR(INDEX(Ratings!$G$5:$G$500,MATCH(A175,Ratings!$A$5:$A$500,0)),"")</f>
        <v/>
      </c>
      <c r="Z175" s="26">
        <f t="array" ref="Z175">IFERROR(INDEX(Ratings!$I$5:$I$500,MATCH(A175,Ratings!$A$5:$A$500,0)),"")</f>
        <v/>
      </c>
      <c r="AB175" s="18" t="inlineStr">
        <is>
          <t>12A</t>
        </is>
      </c>
    </row>
    <row r="176" ht="15.75" customHeight="1" s="108">
      <c r="A176" s="18" t="inlineStr">
        <is>
          <t>F0172</t>
        </is>
      </c>
      <c r="B176" s="18" t="inlineStr">
        <is>
          <t>Jackass 3D</t>
        </is>
      </c>
      <c r="C176" s="20" t="inlineStr">
        <is>
          <t>2010</t>
        </is>
      </c>
      <c r="D176" s="18" t="inlineStr">
        <is>
          <t>Blu-ray</t>
        </is>
      </c>
      <c r="E176" s="4" t="n"/>
      <c r="F176" s="19" t="n"/>
      <c r="G176" s="4" t="n"/>
      <c r="H176" s="4" t="n"/>
      <c r="I176" s="19" t="inlineStr">
        <is>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is>
      </c>
      <c r="J176" s="19" t="inlineStr">
        <is>
          <t>Jeff Tremaine</t>
        </is>
      </c>
      <c r="K176" s="19" t="n">
        <v>94</v>
      </c>
      <c r="L176" s="19" t="inlineStr">
        <is>
          <t>Comedy, Documentary, Action</t>
        </is>
      </c>
      <c r="M176" s="19" t="inlineStr">
        <is>
          <t>Paramount Pictures, MTV Films, Dickhouse Productions</t>
        </is>
      </c>
      <c r="N176" s="19" t="inlineStr">
        <is>
          <t>https://huggingface.co/datasets/HenryWaltson/TMDB-IMDB-Movies-Dataset</t>
        </is>
      </c>
      <c r="O176" s="19" t="inlineStr">
        <is>
          <t>https://huggingface.co/datasets/HenryWaltson/TMDB-IMDB-Movies-Dataset</t>
        </is>
      </c>
      <c r="P176" s="18" t="inlineStr">
        <is>
          <t>Johnny Knoxville</t>
        </is>
      </c>
      <c r="Q176" s="18" t="inlineStr">
        <is>
          <t>Bam Margera</t>
        </is>
      </c>
      <c r="R176" s="18" t="inlineStr">
        <is>
          <t>Ryan Dunn</t>
        </is>
      </c>
      <c r="S176" s="18" t="inlineStr">
        <is>
          <t>Steve-O</t>
        </is>
      </c>
      <c r="T176" s="18" t="inlineStr">
        <is>
          <t>Chris Pontius</t>
        </is>
      </c>
      <c r="U176" s="24" t="n">
        <v>0</v>
      </c>
      <c r="V176" s="24" t="n">
        <v>0</v>
      </c>
      <c r="W176" s="4" t="n"/>
      <c r="X176" s="25">
        <f t="array" ref="X176">IFERROR(INDEX(Ratings!$E$5:$E$500,MATCH(A176,Ratings!$A$5:$A$500,0)),"")</f>
        <v/>
      </c>
      <c r="Y176" s="24">
        <f t="array" ref="Y176">IFERROR(INDEX(Ratings!$G$5:$G$500,MATCH(A176,Ratings!$A$5:$A$500,0)),"")</f>
        <v/>
      </c>
      <c r="Z176" s="26">
        <f t="array" ref="Z176">IFERROR(INDEX(Ratings!$I$5:$I$500,MATCH(A176,Ratings!$A$5:$A$500,0)),"")</f>
        <v/>
      </c>
      <c r="AB176" s="18" t="inlineStr">
        <is>
          <t>18</t>
        </is>
      </c>
    </row>
    <row r="177" ht="15.75" customHeight="1" s="108">
      <c r="A177" s="18" t="inlineStr">
        <is>
          <t>F0173</t>
        </is>
      </c>
      <c r="B177" s="18" t="inlineStr">
        <is>
          <t>Jonah Hex</t>
        </is>
      </c>
      <c r="C177" s="20" t="inlineStr">
        <is>
          <t>2010</t>
        </is>
      </c>
      <c r="D177" s="18" t="inlineStr">
        <is>
          <t>Blu-ray</t>
        </is>
      </c>
      <c r="E177" s="4" t="n"/>
      <c r="F177" s="19" t="n"/>
      <c r="G177" s="4" t="n"/>
      <c r="H177" s="4" t="n"/>
      <c r="I177" s="19" t="inlineStr">
        <is>
          <t>Gunslinger Jonah Hex is appointed by President Ulysses Grant to track down terrorist Quentin Turnbull, a former Confederate officer determined on unleashing hell on earth. Jonah not only secures freedom by accepting this task, he also gets revenge on the man who slew his wife and child.</t>
        </is>
      </c>
      <c r="J177" s="19" t="inlineStr">
        <is>
          <t>Jimmy Hayward</t>
        </is>
      </c>
      <c r="K177" s="19" t="n">
        <v>81</v>
      </c>
      <c r="L177" s="19" t="inlineStr">
        <is>
          <t>Action, Western, Drama, Fantasy, Thriller</t>
        </is>
      </c>
      <c r="M177" s="19" t="inlineStr">
        <is>
          <t>Warner Bros. Pictures, Legendary Pictures, Weed Road Pictures</t>
        </is>
      </c>
      <c r="N177" s="19" t="inlineStr">
        <is>
          <t>https://huggingface.co/datasets/HenryWaltson/TMDB-IMDB-Movies-Dataset</t>
        </is>
      </c>
      <c r="O177" s="19" t="inlineStr">
        <is>
          <t>https://huggingface.co/datasets/HenryWaltson/TMDB-IMDB-Movies-Dataset</t>
        </is>
      </c>
      <c r="P177" s="18" t="inlineStr">
        <is>
          <t>Josh Brolin</t>
        </is>
      </c>
      <c r="Q177" s="18" t="inlineStr">
        <is>
          <t>John Malkovich</t>
        </is>
      </c>
      <c r="R177" s="18" t="inlineStr">
        <is>
          <t>Megan Fox</t>
        </is>
      </c>
      <c r="S177" s="18" t="inlineStr">
        <is>
          <t>Michael Fassbender</t>
        </is>
      </c>
      <c r="T177" s="18" t="inlineStr">
        <is>
          <t>Will Arnett</t>
        </is>
      </c>
      <c r="U177" s="24" t="n">
        <v>0</v>
      </c>
      <c r="V177" s="24" t="n">
        <v>0</v>
      </c>
      <c r="W177" s="4" t="n"/>
      <c r="X177" s="25">
        <f t="array" ref="X177">IFERROR(INDEX(Ratings!$E$5:$E$500,MATCH(A177,Ratings!$A$5:$A$500,0)),"")</f>
        <v/>
      </c>
      <c r="Y177" s="24">
        <f t="array" ref="Y177">IFERROR(INDEX(Ratings!$G$5:$G$500,MATCH(A177,Ratings!$A$5:$A$500,0)),"")</f>
        <v/>
      </c>
      <c r="Z177" s="26">
        <f t="array" ref="Z177">IFERROR(INDEX(Ratings!$I$5:$I$500,MATCH(A177,Ratings!$A$5:$A$500,0)),"")</f>
        <v/>
      </c>
      <c r="AB177" s="18" t="inlineStr">
        <is>
          <t>15</t>
        </is>
      </c>
    </row>
    <row r="178" ht="15.75" customHeight="1" s="108">
      <c r="A178" s="18" t="inlineStr">
        <is>
          <t>F0174</t>
        </is>
      </c>
      <c r="B178" s="18" t="inlineStr">
        <is>
          <t>Journey to the Center of the Earth</t>
        </is>
      </c>
      <c r="C178" s="20" t="inlineStr">
        <is>
          <t>2008</t>
        </is>
      </c>
      <c r="D178" s="18" t="inlineStr">
        <is>
          <t>Blu-ray</t>
        </is>
      </c>
      <c r="E178" s="4" t="n"/>
      <c r="F178" s="19" t="n"/>
      <c r="G178" s="4" t="n"/>
      <c r="H178" s="4" t="n"/>
      <c r="I178" s="19" t="inlineStr">
        <is>
          <t>On a quest to find out what happened to his missing brother, a scientist, his nephew and their mountain guide discover a fantastic and dangerous lost world in the center of the earth.</t>
        </is>
      </c>
      <c r="J178" s="19" t="inlineStr">
        <is>
          <t>Eric Brevig</t>
        </is>
      </c>
      <c r="K178" s="19" t="n">
        <v>93</v>
      </c>
      <c r="L178" s="19" t="inlineStr">
        <is>
          <t>Action, Science Fiction, Adventure, Comedy, Family</t>
        </is>
      </c>
      <c r="M178" s="19" t="inlineStr">
        <is>
          <t>New Line Cinema, Walden Media</t>
        </is>
      </c>
      <c r="N178" s="19" t="inlineStr">
        <is>
          <t>https://huggingface.co/datasets/HenryWaltson/TMDB-IMDB-Movies-Dataset</t>
        </is>
      </c>
      <c r="O178" s="19" t="inlineStr">
        <is>
          <t>https://huggingface.co/datasets/HenryWaltson/TMDB-IMDB-Movies-Dataset</t>
        </is>
      </c>
      <c r="P178" s="18" t="inlineStr">
        <is>
          <t>Brendan Fraser</t>
        </is>
      </c>
      <c r="Q178" s="18" t="inlineStr">
        <is>
          <t>Josh Hutcherson</t>
        </is>
      </c>
      <c r="R178" s="18" t="inlineStr">
        <is>
          <t>Anita Briem</t>
        </is>
      </c>
      <c r="S178" s="18" t="inlineStr">
        <is>
          <t>Seth Meyers</t>
        </is>
      </c>
      <c r="T178" s="18" t="inlineStr">
        <is>
          <t>Jean Michel Paré</t>
        </is>
      </c>
      <c r="U178" s="24" t="n">
        <v>0</v>
      </c>
      <c r="V178" s="24" t="n">
        <v>0</v>
      </c>
      <c r="W178" s="4" t="n"/>
      <c r="X178" s="25">
        <f t="array" ref="X178">IFERROR(INDEX(Ratings!$E$5:$E$500,MATCH(A178,Ratings!$A$5:$A$500,0)),"")</f>
        <v/>
      </c>
      <c r="Y178" s="24">
        <f t="array" ref="Y178">IFERROR(INDEX(Ratings!$G$5:$G$500,MATCH(A178,Ratings!$A$5:$A$500,0)),"")</f>
        <v/>
      </c>
      <c r="Z178" s="26">
        <f t="array" ref="Z178">IFERROR(INDEX(Ratings!$I$5:$I$500,MATCH(A178,Ratings!$A$5:$A$500,0)),"")</f>
        <v/>
      </c>
      <c r="AB178" s="18" t="inlineStr">
        <is>
          <t>PG</t>
        </is>
      </c>
    </row>
    <row r="179" ht="15.75" customHeight="1" s="108">
      <c r="A179" s="18" t="inlineStr">
        <is>
          <t>F0175</t>
        </is>
      </c>
      <c r="B179" s="18" t="inlineStr">
        <is>
          <t>Jumper</t>
        </is>
      </c>
      <c r="C179" s="20" t="inlineStr">
        <is>
          <t>2008</t>
        </is>
      </c>
      <c r="D179" s="18" t="inlineStr">
        <is>
          <t>Blu-ray</t>
        </is>
      </c>
      <c r="E179" s="4" t="n"/>
      <c r="F179" s="19" t="n"/>
      <c r="G179" s="4" t="n"/>
      <c r="H179" s="4" t="n"/>
      <c r="I179" s="19" t="inlineStr">
        <is>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David’s extraordinary gift may be his only hope for survival!</t>
        </is>
      </c>
      <c r="J179" s="19" t="inlineStr">
        <is>
          <t>Doug Liman</t>
        </is>
      </c>
      <c r="K179" s="19" t="n">
        <v>88</v>
      </c>
      <c r="L179" s="19" t="inlineStr">
        <is>
          <t>Action, Adventure, Science Fiction</t>
        </is>
      </c>
      <c r="M179" s="19" t="inlineStr">
        <is>
          <t>Dune Entertainment, Hypnotic, New Regency Pictures</t>
        </is>
      </c>
      <c r="N179" s="19" t="inlineStr">
        <is>
          <t>https://huggingface.co/datasets/HenryWaltson/TMDB-IMDB-Movies-Dataset</t>
        </is>
      </c>
      <c r="O179" s="19" t="inlineStr">
        <is>
          <t>https://huggingface.co/datasets/HenryWaltson/TMDB-IMDB-Movies-Dataset</t>
        </is>
      </c>
      <c r="P179" s="18" t="inlineStr">
        <is>
          <t>Hayden Christensen</t>
        </is>
      </c>
      <c r="Q179" s="18" t="inlineStr">
        <is>
          <t>Jamie Bell</t>
        </is>
      </c>
      <c r="R179" s="18" t="inlineStr">
        <is>
          <t>Samuel L. Jackson</t>
        </is>
      </c>
      <c r="S179" s="18" t="inlineStr">
        <is>
          <t>Rachel Bilson</t>
        </is>
      </c>
      <c r="T179" s="18" t="inlineStr">
        <is>
          <t>Michael Rooker</t>
        </is>
      </c>
      <c r="U179" s="24" t="n">
        <v>0</v>
      </c>
      <c r="V179" s="24" t="n">
        <v>0</v>
      </c>
      <c r="W179" s="4" t="n"/>
      <c r="X179" s="25">
        <f t="array" ref="X179">IFERROR(INDEX(Ratings!$E$5:$E$500,MATCH(A179,Ratings!$A$5:$A$500,0)),"")</f>
        <v/>
      </c>
      <c r="Y179" s="24">
        <f t="array" ref="Y179">IFERROR(INDEX(Ratings!$G$5:$G$500,MATCH(A179,Ratings!$A$5:$A$500,0)),"")</f>
        <v/>
      </c>
      <c r="Z179" s="26">
        <f t="array" ref="Z179">IFERROR(INDEX(Ratings!$I$5:$I$500,MATCH(A179,Ratings!$A$5:$A$500,0)),"")</f>
        <v/>
      </c>
      <c r="AB179" s="18" t="inlineStr">
        <is>
          <t>12A</t>
        </is>
      </c>
    </row>
    <row r="180" ht="15.75" customHeight="1" s="108">
      <c r="A180" s="18" t="inlineStr">
        <is>
          <t>F0176</t>
        </is>
      </c>
      <c r="B180" s="18" t="inlineStr">
        <is>
          <t>Jurassic Park</t>
        </is>
      </c>
      <c r="C180" s="20" t="inlineStr">
        <is>
          <t>1993</t>
        </is>
      </c>
      <c r="D180" s="18" t="inlineStr">
        <is>
          <t>Blu-ray</t>
        </is>
      </c>
      <c r="E180" s="18" t="inlineStr">
        <is>
          <t>Jurassic Park / World</t>
        </is>
      </c>
      <c r="F180" s="19" t="inlineStr">
        <is>
          <t>Jurassic Park / World: 7-Film Collection</t>
        </is>
      </c>
      <c r="G180" s="4" t="n"/>
      <c r="H180" s="4" t="n"/>
      <c r="I180" s="19" t="inlineStr">
        <is>
          <t>Owned via Jurassic Park / World: 7-Film Collection.</t>
        </is>
      </c>
      <c r="J180" s="19" t="inlineStr">
        <is>
          <t>Steven Spielberg</t>
        </is>
      </c>
      <c r="K180" s="19" t="n">
        <v>127</v>
      </c>
      <c r="L180" s="19" t="inlineStr">
        <is>
          <t>Adventure, Science Fiction, Thriller</t>
        </is>
      </c>
      <c r="M180" s="19" t="inlineStr">
        <is>
          <t>Universal Pictures, Amblin Entertainment</t>
        </is>
      </c>
      <c r="N180" s="19" t="inlineStr">
        <is>
          <t>https://huggingface.co/datasets/HenryWaltson/TMDB-IMDB-Movies-Dataset</t>
        </is>
      </c>
      <c r="O180" s="19" t="inlineStr">
        <is>
          <t>https://huggingface.co/datasets/HenryWaltson/TMDB-IMDB-Movies-Dataset</t>
        </is>
      </c>
      <c r="P180" s="18" t="inlineStr">
        <is>
          <t>Sam Neill</t>
        </is>
      </c>
      <c r="Q180" s="18" t="inlineStr">
        <is>
          <t>Laura Dern</t>
        </is>
      </c>
      <c r="R180" s="18" t="inlineStr">
        <is>
          <t>Jeff Goldblum</t>
        </is>
      </c>
      <c r="S180" s="18" t="inlineStr">
        <is>
          <t>Richard Attenborough</t>
        </is>
      </c>
      <c r="T180" s="18" t="inlineStr">
        <is>
          <t>Bob Peck</t>
        </is>
      </c>
      <c r="U180" s="24" t="n">
        <v>3</v>
      </c>
      <c r="V180" s="24" t="n">
        <v>3</v>
      </c>
      <c r="W180" s="4" t="n"/>
      <c r="X180" s="25">
        <f t="array" ref="X180">IFERROR(INDEX(Ratings!$E$5:$E$500,MATCH(A180,Ratings!$A$5:$A$500,0)),"")</f>
        <v/>
      </c>
      <c r="Y180" s="24">
        <f t="array" ref="Y180">IFERROR(INDEX(Ratings!$G$5:$G$500,MATCH(A180,Ratings!$A$5:$A$500,0)),"")</f>
        <v/>
      </c>
      <c r="Z180" s="26">
        <f t="array" ref="Z180">IFERROR(INDEX(Ratings!$I$5:$I$500,MATCH(A180,Ratings!$A$5:$A$500,0)),"")</f>
        <v/>
      </c>
      <c r="AB180" s="18" t="inlineStr">
        <is>
          <t>PG</t>
        </is>
      </c>
    </row>
    <row r="181" ht="15.75" customHeight="1" s="108">
      <c r="A181" s="18" t="inlineStr">
        <is>
          <t>F0177</t>
        </is>
      </c>
      <c r="B181" s="18" t="inlineStr">
        <is>
          <t>The Lost World: Jurassic Park</t>
        </is>
      </c>
      <c r="C181" s="20" t="inlineStr">
        <is>
          <t>1997</t>
        </is>
      </c>
      <c r="D181" s="18" t="inlineStr">
        <is>
          <t>Blu-ray</t>
        </is>
      </c>
      <c r="E181" s="18" t="inlineStr">
        <is>
          <t>Jurassic Park / World</t>
        </is>
      </c>
      <c r="F181" s="19" t="inlineStr">
        <is>
          <t>Jurassic Park / World: 7-Film Collection</t>
        </is>
      </c>
      <c r="G181" s="4" t="n"/>
      <c r="H181" s="4" t="n"/>
      <c r="I181" s="19" t="inlineStr">
        <is>
          <t>Owned via Jurassic Park / World: 7-Film Collection.</t>
        </is>
      </c>
      <c r="J181" s="19" t="inlineStr">
        <is>
          <t>Steven Spielberg</t>
        </is>
      </c>
      <c r="K181" s="19" t="n">
        <v>129</v>
      </c>
      <c r="L181" s="19" t="inlineStr">
        <is>
          <t>Adventure, Science Fiction, Thriller</t>
        </is>
      </c>
      <c r="M181" s="19" t="inlineStr">
        <is>
          <t>Universal Pictures, Amblin Entertainment</t>
        </is>
      </c>
      <c r="N181" s="19" t="inlineStr">
        <is>
          <t>https://huggingface.co/datasets/HenryWaltson/TMDB-IMDB-Movies-Dataset</t>
        </is>
      </c>
      <c r="O181" s="19" t="inlineStr">
        <is>
          <t>https://huggingface.co/datasets/HenryWaltson/TMDB-IMDB-Movies-Dataset</t>
        </is>
      </c>
      <c r="P181" s="18" t="inlineStr">
        <is>
          <t>Jeff Goldblum</t>
        </is>
      </c>
      <c r="Q181" s="18" t="inlineStr">
        <is>
          <t>Julianne Moore</t>
        </is>
      </c>
      <c r="R181" s="18" t="inlineStr">
        <is>
          <t>Pete Postlethwaite</t>
        </is>
      </c>
      <c r="S181" s="18" t="inlineStr">
        <is>
          <t>Arliss Howard</t>
        </is>
      </c>
      <c r="T181" s="18" t="inlineStr">
        <is>
          <t>Richard Attenborough</t>
        </is>
      </c>
      <c r="U181" s="24" t="n">
        <v>1</v>
      </c>
      <c r="V181" s="24" t="n">
        <v>0</v>
      </c>
      <c r="W181" s="4" t="n"/>
      <c r="X181" s="25">
        <f t="array" ref="X181">IFERROR(INDEX(Ratings!$E$5:$E$500,MATCH(A181,Ratings!$A$5:$A$500,0)),"")</f>
        <v/>
      </c>
      <c r="Y181" s="24">
        <f t="array" ref="Y181">IFERROR(INDEX(Ratings!$G$5:$G$500,MATCH(A181,Ratings!$A$5:$A$500,0)),"")</f>
        <v/>
      </c>
      <c r="Z181" s="26">
        <f t="array" ref="Z181">IFERROR(INDEX(Ratings!$I$5:$I$500,MATCH(A181,Ratings!$A$5:$A$500,0)),"")</f>
        <v/>
      </c>
      <c r="AB181" s="18" t="inlineStr">
        <is>
          <t>PG</t>
        </is>
      </c>
    </row>
    <row r="182" ht="15.75" customHeight="1" s="108">
      <c r="A182" s="18" t="inlineStr">
        <is>
          <t>F0178</t>
        </is>
      </c>
      <c r="B182" s="18" t="inlineStr">
        <is>
          <t>Jurassic Park III</t>
        </is>
      </c>
      <c r="C182" s="20" t="inlineStr">
        <is>
          <t>2001</t>
        </is>
      </c>
      <c r="D182" s="18" t="inlineStr">
        <is>
          <t>Blu-ray</t>
        </is>
      </c>
      <c r="E182" s="18" t="inlineStr">
        <is>
          <t>Jurassic Park / World</t>
        </is>
      </c>
      <c r="F182" s="19" t="inlineStr">
        <is>
          <t>Jurassic Park / World: 7-Film Collection</t>
        </is>
      </c>
      <c r="G182" s="4" t="n"/>
      <c r="H182" s="4" t="n"/>
      <c r="I182" s="19" t="inlineStr">
        <is>
          <t>Owned via Jurassic Park / World: 7-Film Collection.</t>
        </is>
      </c>
      <c r="J182" s="19" t="inlineStr">
        <is>
          <t>Joe Johnston</t>
        </is>
      </c>
      <c r="K182" s="19" t="n">
        <v>92</v>
      </c>
      <c r="L182" s="19" t="inlineStr">
        <is>
          <t>Adventure, Science Fiction, Thriller</t>
        </is>
      </c>
      <c r="M182" s="19" t="inlineStr">
        <is>
          <t>Universal Pictures, Amblin Entertainment</t>
        </is>
      </c>
      <c r="N182" s="19" t="inlineStr">
        <is>
          <t>https://huggingface.co/datasets/HenryWaltson/TMDB-IMDB-Movies-Dataset</t>
        </is>
      </c>
      <c r="O182" s="19" t="inlineStr">
        <is>
          <t>https://huggingface.co/datasets/HenryWaltson/TMDB-IMDB-Movies-Dataset</t>
        </is>
      </c>
      <c r="P182" s="18" t="inlineStr">
        <is>
          <t>Sam Neill</t>
        </is>
      </c>
      <c r="Q182" s="18" t="inlineStr">
        <is>
          <t>William H. Macy</t>
        </is>
      </c>
      <c r="R182" s="18" t="inlineStr">
        <is>
          <t>Téa Leoni</t>
        </is>
      </c>
      <c r="S182" s="18" t="inlineStr">
        <is>
          <t>Alessandro Nivola</t>
        </is>
      </c>
      <c r="T182" s="18" t="inlineStr">
        <is>
          <t>Trevor Morgan</t>
        </is>
      </c>
      <c r="U182" s="24" t="n">
        <v>0</v>
      </c>
      <c r="V182" s="24" t="n">
        <v>0</v>
      </c>
      <c r="W182" s="4" t="n"/>
      <c r="X182" s="25">
        <f t="array" ref="X182">IFERROR(INDEX(Ratings!$E$5:$E$500,MATCH(A182,Ratings!$A$5:$A$500,0)),"")</f>
        <v/>
      </c>
      <c r="Y182" s="24">
        <f t="array" ref="Y182">IFERROR(INDEX(Ratings!$G$5:$G$500,MATCH(A182,Ratings!$A$5:$A$500,0)),"")</f>
        <v/>
      </c>
      <c r="Z182" s="26">
        <f t="array" ref="Z182">IFERROR(INDEX(Ratings!$I$5:$I$500,MATCH(A182,Ratings!$A$5:$A$500,0)),"")</f>
        <v/>
      </c>
      <c r="AB182" s="18" t="inlineStr">
        <is>
          <t>PG</t>
        </is>
      </c>
    </row>
    <row r="183" ht="15.75" customHeight="1" s="108">
      <c r="A183" s="18" t="inlineStr">
        <is>
          <t>F0179</t>
        </is>
      </c>
      <c r="B183" s="18" t="inlineStr">
        <is>
          <t>Jurassic World</t>
        </is>
      </c>
      <c r="C183" s="20" t="inlineStr">
        <is>
          <t>2015</t>
        </is>
      </c>
      <c r="D183" s="18" t="inlineStr">
        <is>
          <t>Blu-ray</t>
        </is>
      </c>
      <c r="E183" s="18" t="inlineStr">
        <is>
          <t>Jurassic Park / World</t>
        </is>
      </c>
      <c r="F183" s="19" t="inlineStr">
        <is>
          <t>Jurassic Park / World: 7-Film Collection</t>
        </is>
      </c>
      <c r="G183" s="4" t="n"/>
      <c r="H183" s="4" t="n"/>
      <c r="I183" s="19" t="inlineStr">
        <is>
          <t>Owned via Jurassic Park / World: 7-Film Collection.</t>
        </is>
      </c>
      <c r="J183" s="19" t="inlineStr">
        <is>
          <t>Colin Trevorrow</t>
        </is>
      </c>
      <c r="K183" s="19" t="n">
        <v>124</v>
      </c>
      <c r="L183" s="19" t="inlineStr">
        <is>
          <t>Action, Adventure, Science Fiction</t>
        </is>
      </c>
      <c r="M183" s="19" t="inlineStr">
        <is>
          <t>Universal Pictures, Amblin Entertainment, Legendary Pictures</t>
        </is>
      </c>
      <c r="N183" s="19" t="inlineStr">
        <is>
          <t>https://huggingface.co/datasets/HenryWaltson/TMDB-IMDB-Movies-Dataset</t>
        </is>
      </c>
      <c r="O183" s="19" t="inlineStr">
        <is>
          <t>https://huggingface.co/datasets/HenryWaltson/TMDB-IMDB-Movies-Dataset</t>
        </is>
      </c>
      <c r="P183" s="18" t="inlineStr">
        <is>
          <t>Chris Pratt</t>
        </is>
      </c>
      <c r="Q183" s="18" t="inlineStr">
        <is>
          <t>Bryce Dallas Howard</t>
        </is>
      </c>
      <c r="R183" s="18" t="inlineStr">
        <is>
          <t>Irrfan Khan</t>
        </is>
      </c>
      <c r="S183" s="18" t="inlineStr">
        <is>
          <t>Vincent D'Onofrio</t>
        </is>
      </c>
      <c r="T183" s="18" t="inlineStr">
        <is>
          <t>Ty Simpkins</t>
        </is>
      </c>
      <c r="U183" s="24" t="n">
        <v>0</v>
      </c>
      <c r="V183" s="24" t="n">
        <v>0</v>
      </c>
      <c r="W183" s="4" t="n"/>
      <c r="X183" s="25">
        <f t="array" ref="X183">IFERROR(INDEX(Ratings!$E$5:$E$500,MATCH(A183,Ratings!$A$5:$A$500,0)),"")</f>
        <v/>
      </c>
      <c r="Y183" s="24">
        <f t="array" ref="Y183">IFERROR(INDEX(Ratings!$G$5:$G$500,MATCH(A183,Ratings!$A$5:$A$500,0)),"")</f>
        <v/>
      </c>
      <c r="Z183" s="26">
        <f t="array" ref="Z183">IFERROR(INDEX(Ratings!$I$5:$I$500,MATCH(A183,Ratings!$A$5:$A$500,0)),"")</f>
        <v/>
      </c>
      <c r="AB183" s="18" t="inlineStr">
        <is>
          <t>12A</t>
        </is>
      </c>
    </row>
    <row r="184" ht="15.75" customHeight="1" s="108">
      <c r="A184" s="18" t="inlineStr">
        <is>
          <t>F0180</t>
        </is>
      </c>
      <c r="B184" s="18" t="inlineStr">
        <is>
          <t>Jurassic World: Fallen Kingdom</t>
        </is>
      </c>
      <c r="C184" s="20" t="inlineStr">
        <is>
          <t>2018</t>
        </is>
      </c>
      <c r="D184" s="18" t="inlineStr">
        <is>
          <t>Blu-ray</t>
        </is>
      </c>
      <c r="E184" s="18" t="inlineStr">
        <is>
          <t>Jurassic Park / World</t>
        </is>
      </c>
      <c r="F184" s="19" t="inlineStr">
        <is>
          <t>Jurassic Park / World: 7-Film Collection</t>
        </is>
      </c>
      <c r="G184" s="4" t="n"/>
      <c r="H184" s="4" t="n"/>
      <c r="I184" s="19" t="inlineStr">
        <is>
          <t>Owned via Jurassic Park / World: 7-Film Collection.</t>
        </is>
      </c>
      <c r="J184" s="19" t="inlineStr">
        <is>
          <t>J. A. Bayona</t>
        </is>
      </c>
      <c r="K184" s="19" t="n">
        <v>129</v>
      </c>
      <c r="L184" s="19" t="inlineStr">
        <is>
          <t>Action, Adventure, Science Fiction</t>
        </is>
      </c>
      <c r="M184" s="19" t="inlineStr">
        <is>
          <t>Universal Pictures, Amblin Entertainment, Legendary Pictures</t>
        </is>
      </c>
      <c r="N184" s="19" t="inlineStr">
        <is>
          <t>https://huggingface.co/datasets/HenryWaltson/TMDB-IMDB-Movies-Dataset</t>
        </is>
      </c>
      <c r="O184" s="19" t="inlineStr">
        <is>
          <t>https://huggingface.co/datasets/HenryWaltson/TMDB-IMDB-Movies-Dataset</t>
        </is>
      </c>
      <c r="P184" s="18" t="inlineStr">
        <is>
          <t>Chris Pratt</t>
        </is>
      </c>
      <c r="Q184" s="18" t="inlineStr">
        <is>
          <t>Bryce Dallas Howard</t>
        </is>
      </c>
      <c r="R184" s="18" t="inlineStr">
        <is>
          <t>Rafe Spall</t>
        </is>
      </c>
      <c r="S184" s="18" t="inlineStr">
        <is>
          <t>Justice Smith</t>
        </is>
      </c>
      <c r="T184" s="18" t="inlineStr">
        <is>
          <t>Daniella Pineda</t>
        </is>
      </c>
      <c r="U184" s="24" t="n">
        <v>0</v>
      </c>
      <c r="V184" s="24" t="n">
        <v>0</v>
      </c>
      <c r="W184" s="4" t="n"/>
      <c r="X184" s="25">
        <f t="array" ref="X184">IFERROR(INDEX(Ratings!$E$5:$E$500,MATCH(A184,Ratings!$A$5:$A$500,0)),"")</f>
        <v/>
      </c>
      <c r="Y184" s="24">
        <f t="array" ref="Y184">IFERROR(INDEX(Ratings!$G$5:$G$500,MATCH(A184,Ratings!$A$5:$A$500,0)),"")</f>
        <v/>
      </c>
      <c r="Z184" s="26">
        <f t="array" ref="Z184">IFERROR(INDEX(Ratings!$I$5:$I$500,MATCH(A184,Ratings!$A$5:$A$500,0)),"")</f>
        <v/>
      </c>
      <c r="AB184" s="18" t="inlineStr">
        <is>
          <t>12A</t>
        </is>
      </c>
    </row>
    <row r="185" ht="15.75" customHeight="1" s="108">
      <c r="A185" s="18" t="inlineStr">
        <is>
          <t>F0181</t>
        </is>
      </c>
      <c r="B185" s="18" t="inlineStr">
        <is>
          <t>Jurassic World Dominion</t>
        </is>
      </c>
      <c r="C185" s="20" t="inlineStr">
        <is>
          <t>2022</t>
        </is>
      </c>
      <c r="D185" s="18" t="inlineStr">
        <is>
          <t>Blu-ray</t>
        </is>
      </c>
      <c r="E185" s="18" t="inlineStr">
        <is>
          <t>Jurassic Park / World</t>
        </is>
      </c>
      <c r="F185" s="19" t="inlineStr">
        <is>
          <t>Jurassic Park / World: 7-Film Collection</t>
        </is>
      </c>
      <c r="G185" s="4" t="n"/>
      <c r="H185" s="4" t="n"/>
      <c r="I185" s="19" t="inlineStr">
        <is>
          <t>Owned via Jurassic Park / World: 7-Film Collection.</t>
        </is>
      </c>
      <c r="J185" s="19" t="inlineStr">
        <is>
          <t>Colin Trevorrow</t>
        </is>
      </c>
      <c r="K185" s="19" t="n">
        <v>147</v>
      </c>
      <c r="L185" s="19" t="inlineStr">
        <is>
          <t>Action, Adventure, Science Fiction</t>
        </is>
      </c>
      <c r="M185" s="19" t="inlineStr">
        <is>
          <t>Universal Pictures, Amblin Entertainment</t>
        </is>
      </c>
      <c r="N185" s="19" t="inlineStr">
        <is>
          <t>https://huggingface.co/datasets/HenryWaltson/TMDB-IMDB-Movies-Dataset</t>
        </is>
      </c>
      <c r="O185" s="19" t="inlineStr">
        <is>
          <t>https://huggingface.co/datasets/HenryWaltson/TMDB-IMDB-Movies-Dataset</t>
        </is>
      </c>
      <c r="P185" s="18" t="inlineStr">
        <is>
          <t>Chris Pratt</t>
        </is>
      </c>
      <c r="Q185" s="18" t="inlineStr">
        <is>
          <t>Bryce Dallas Howard</t>
        </is>
      </c>
      <c r="R185" s="18" t="inlineStr">
        <is>
          <t>Laura Dern</t>
        </is>
      </c>
      <c r="S185" s="18" t="inlineStr">
        <is>
          <t>Sam Neill</t>
        </is>
      </c>
      <c r="T185" s="18" t="inlineStr">
        <is>
          <t>Jeff Goldblum</t>
        </is>
      </c>
      <c r="U185" s="24" t="n">
        <v>0</v>
      </c>
      <c r="V185" s="24" t="n">
        <v>0</v>
      </c>
      <c r="W185" s="4" t="n"/>
      <c r="X185" s="25">
        <f t="array" ref="X185">IFERROR(INDEX(Ratings!$E$5:$E$500,MATCH(A185,Ratings!$A$5:$A$500,0)),"")</f>
        <v/>
      </c>
      <c r="Y185" s="24">
        <f t="array" ref="Y185">IFERROR(INDEX(Ratings!$G$5:$G$500,MATCH(A185,Ratings!$A$5:$A$500,0)),"")</f>
        <v/>
      </c>
      <c r="Z185" s="26">
        <f t="array" ref="Z185">IFERROR(INDEX(Ratings!$I$5:$I$500,MATCH(A185,Ratings!$A$5:$A$500,0)),"")</f>
        <v/>
      </c>
      <c r="AB185" s="18" t="inlineStr">
        <is>
          <t>12A</t>
        </is>
      </c>
    </row>
    <row r="186" ht="15.75" customHeight="1" s="108">
      <c r="A186" s="18" t="inlineStr">
        <is>
          <t>F0182</t>
        </is>
      </c>
      <c r="B186" s="18" t="inlineStr">
        <is>
          <t>Jurassic World Rebirth</t>
        </is>
      </c>
      <c r="C186" s="20" t="inlineStr">
        <is>
          <t>2025</t>
        </is>
      </c>
      <c r="D186" s="18" t="inlineStr">
        <is>
          <t>Blu-ray</t>
        </is>
      </c>
      <c r="E186" s="18" t="inlineStr">
        <is>
          <t>Jurassic Park / World</t>
        </is>
      </c>
      <c r="F186" s="19" t="inlineStr">
        <is>
          <t>Jurassic Park / World: 7-Film Collection</t>
        </is>
      </c>
      <c r="G186" s="4" t="n"/>
      <c r="H186" s="4" t="n"/>
      <c r="I186" s="19" t="inlineStr">
        <is>
          <t>Owned via Jurassic Park / World: 7-Film Collection.</t>
        </is>
      </c>
      <c r="J186" s="19" t="inlineStr">
        <is>
          <t>Gareth Edwards</t>
        </is>
      </c>
      <c r="K186" s="19" t="n">
        <v>134</v>
      </c>
      <c r="L186" s="19" t="inlineStr">
        <is>
          <t>Action, Adventure, Science Fiction</t>
        </is>
      </c>
      <c r="M186" s="19" t="inlineStr">
        <is>
          <t>Universal Pictures, Amblin Entertainment</t>
        </is>
      </c>
      <c r="N186" s="19" t="inlineStr">
        <is>
          <t>https://huggingface.co/datasets/HenryWaltson/TMDB-IMDB-Movies-Dataset</t>
        </is>
      </c>
      <c r="O186" s="19" t="inlineStr">
        <is>
          <t>https://www.youtube.com/watch?v=jan5CFWs9ic</t>
        </is>
      </c>
      <c r="P186" s="18" t="inlineStr">
        <is>
          <t>Scarlett Johansson</t>
        </is>
      </c>
      <c r="Q186" s="18" t="inlineStr">
        <is>
          <t>Jonathan Bailey</t>
        </is>
      </c>
      <c r="R186" s="18" t="inlineStr">
        <is>
          <t>Mahershala Ali</t>
        </is>
      </c>
      <c r="S186" s="18" t="inlineStr">
        <is>
          <t>Rupert Friend</t>
        </is>
      </c>
      <c r="T186" s="18" t="inlineStr">
        <is>
          <t>Manuel Garcia-Rulfo</t>
        </is>
      </c>
      <c r="U186" s="24" t="n">
        <v>1</v>
      </c>
      <c r="V186" s="24" t="n">
        <v>0</v>
      </c>
      <c r="W186" s="4" t="n"/>
      <c r="X186" s="25">
        <f t="array" ref="X186">IFERROR(INDEX(Ratings!$E$5:$E$500,MATCH(A186,Ratings!$A$5:$A$500,0)),"")</f>
        <v/>
      </c>
      <c r="Y186" s="24">
        <f t="array" ref="Y186">IFERROR(INDEX(Ratings!$G$5:$G$500,MATCH(A186,Ratings!$A$5:$A$500,0)),"")</f>
        <v/>
      </c>
      <c r="Z186" s="26">
        <f t="array" ref="Z186">IFERROR(INDEX(Ratings!$I$5:$I$500,MATCH(A186,Ratings!$A$5:$A$500,0)),"")</f>
        <v/>
      </c>
      <c r="AB186" s="18" t="inlineStr">
        <is>
          <t>12A</t>
        </is>
      </c>
    </row>
    <row r="187" ht="15.75" customHeight="1" s="108">
      <c r="A187" s="18" t="inlineStr">
        <is>
          <t>F0183</t>
        </is>
      </c>
      <c r="B187" s="18" t="inlineStr">
        <is>
          <t>Just Go with It</t>
        </is>
      </c>
      <c r="C187" s="20" t="inlineStr">
        <is>
          <t>2011</t>
        </is>
      </c>
      <c r="D187" s="18" t="inlineStr">
        <is>
          <t>Blu-ray</t>
        </is>
      </c>
      <c r="E187" s="4" t="n"/>
      <c r="F187" s="19" t="n"/>
      <c r="G187" s="4" t="n"/>
      <c r="H187" s="4" t="n"/>
      <c r="I187" s="19" t="inlineStr">
        <is>
          <t>While romancing Palmer, a much younger schoolteacher, plastic surgeon Danny Maccabee enlists his loyal assistant Katherine to pretend to be his soon to be ex-wife, in order to cover up a careless lie. When more lies backfire, Katherine's kids become involved, and everyone heads off for a weekend in Hawaii that will change all their lives.</t>
        </is>
      </c>
      <c r="J187" s="19" t="inlineStr">
        <is>
          <t>Dennis Dugan</t>
        </is>
      </c>
      <c r="K187" s="19" t="n">
        <v>117</v>
      </c>
      <c r="L187" s="19" t="inlineStr">
        <is>
          <t>Comedy, Romance</t>
        </is>
      </c>
      <c r="M187" s="19" t="inlineStr">
        <is>
          <t>Columbia Pictures, Happy Madison Productions</t>
        </is>
      </c>
      <c r="N187" s="19" t="inlineStr">
        <is>
          <t>https://huggingface.co/datasets/HenryWaltson/TMDB-IMDB-Movies-Dataset</t>
        </is>
      </c>
      <c r="O187" s="19" t="inlineStr">
        <is>
          <t>https://huggingface.co/datasets/HenryWaltson/TMDB-IMDB-Movies-Dataset</t>
        </is>
      </c>
      <c r="P187" s="18" t="inlineStr">
        <is>
          <t>Adam Sandler</t>
        </is>
      </c>
      <c r="Q187" s="18" t="inlineStr">
        <is>
          <t>Jennifer Aniston</t>
        </is>
      </c>
      <c r="R187" s="18" t="inlineStr">
        <is>
          <t>Brooklyn Decker</t>
        </is>
      </c>
      <c r="S187" s="18" t="inlineStr">
        <is>
          <t>Nicole Kidman</t>
        </is>
      </c>
      <c r="T187" s="18" t="inlineStr">
        <is>
          <t>Nick Swardson</t>
        </is>
      </c>
      <c r="U187" s="24" t="n">
        <v>0</v>
      </c>
      <c r="V187" s="24" t="n">
        <v>0</v>
      </c>
      <c r="W187" s="4" t="n"/>
      <c r="X187" s="25">
        <f t="array" ref="X187">IFERROR(INDEX(Ratings!$E$5:$E$500,MATCH(A187,Ratings!$A$5:$A$500,0)),"")</f>
        <v/>
      </c>
      <c r="Y187" s="24">
        <f t="array" ref="Y187">IFERROR(INDEX(Ratings!$G$5:$G$500,MATCH(A187,Ratings!$A$5:$A$500,0)),"")</f>
        <v/>
      </c>
      <c r="Z187" s="26">
        <f t="array" ref="Z187">IFERROR(INDEX(Ratings!$I$5:$I$500,MATCH(A187,Ratings!$A$5:$A$500,0)),"")</f>
        <v/>
      </c>
      <c r="AB187" s="18" t="inlineStr">
        <is>
          <t>12A</t>
        </is>
      </c>
    </row>
    <row r="188" ht="15.75" customHeight="1" s="108">
      <c r="A188" s="18" t="inlineStr">
        <is>
          <t>F0184</t>
        </is>
      </c>
      <c r="B188" s="18" t="inlineStr">
        <is>
          <t>The Karate Kid</t>
        </is>
      </c>
      <c r="C188" s="20" t="inlineStr">
        <is>
          <t>2010</t>
        </is>
      </c>
      <c r="D188" s="18" t="inlineStr">
        <is>
          <t>Blu-ray</t>
        </is>
      </c>
      <c r="E188" s="4" t="n"/>
      <c r="F188" s="19" t="n"/>
      <c r="G188" s="4" t="n"/>
      <c r="H188" s="4" t="n"/>
      <c r="I188" s="19" t="inlineStr">
        <is>
          <t>Best guess: 2010 film.</t>
        </is>
      </c>
      <c r="J188" s="19" t="inlineStr">
        <is>
          <t>Harald Zwart</t>
        </is>
      </c>
      <c r="K188" s="19" t="n">
        <v>140</v>
      </c>
      <c r="L188" s="19" t="inlineStr">
        <is>
          <t>Action, Adventure, Drama</t>
        </is>
      </c>
      <c r="M188" s="19" t="inlineStr">
        <is>
          <t>Columbia Pictures, China Film Group, Overbrook Entertainment</t>
        </is>
      </c>
      <c r="N188" s="19" t="inlineStr">
        <is>
          <t>https://huggingface.co/datasets/HenryWaltson/TMDB-IMDB-Movies-Dataset</t>
        </is>
      </c>
      <c r="O188" s="19" t="inlineStr">
        <is>
          <t>https://huggingface.co/datasets/HenryWaltson/TMDB-IMDB-Movies-Dataset</t>
        </is>
      </c>
      <c r="P188" s="18" t="inlineStr">
        <is>
          <t>Jaden Smith</t>
        </is>
      </c>
      <c r="Q188" s="18" t="inlineStr">
        <is>
          <t>Jackie Chan</t>
        </is>
      </c>
      <c r="R188" s="18" t="inlineStr">
        <is>
          <t>Taraji P. Henson</t>
        </is>
      </c>
      <c r="S188" s="18" t="inlineStr">
        <is>
          <t>Wenwen Han</t>
        </is>
      </c>
      <c r="T188" s="18" t="inlineStr">
        <is>
          <t>Wang ZhenWei</t>
        </is>
      </c>
      <c r="U188" s="24" t="n">
        <v>0</v>
      </c>
      <c r="V188" s="24" t="n">
        <v>0</v>
      </c>
      <c r="W188" s="4" t="n"/>
      <c r="X188" s="25">
        <f t="array" ref="X188">IFERROR(INDEX(Ratings!$E$5:$E$500,MATCH(A188,Ratings!$A$5:$A$500,0)),"")</f>
        <v/>
      </c>
      <c r="Y188" s="24">
        <f t="array" ref="Y188">IFERROR(INDEX(Ratings!$G$5:$G$500,MATCH(A188,Ratings!$A$5:$A$500,0)),"")</f>
        <v/>
      </c>
      <c r="Z188" s="26">
        <f t="array" ref="Z188">IFERROR(INDEX(Ratings!$I$5:$I$500,MATCH(A188,Ratings!$A$5:$A$500,0)),"")</f>
        <v/>
      </c>
      <c r="AB188" s="18" t="inlineStr">
        <is>
          <t>PG</t>
        </is>
      </c>
    </row>
    <row r="189" ht="15.75" customHeight="1" s="108">
      <c r="A189" s="18" t="inlineStr">
        <is>
          <t>F0185</t>
        </is>
      </c>
      <c r="B189" s="18" t="inlineStr">
        <is>
          <t>Kick-Ass</t>
        </is>
      </c>
      <c r="C189" s="20" t="inlineStr">
        <is>
          <t>2010</t>
        </is>
      </c>
      <c r="D189" s="18" t="inlineStr">
        <is>
          <t>Blu-ray</t>
        </is>
      </c>
      <c r="E189" s="18" t="inlineStr">
        <is>
          <t>Kick-Ass</t>
        </is>
      </c>
      <c r="F189" s="19" t="n"/>
      <c r="G189" s="4" t="n"/>
      <c r="H189" s="4" t="n"/>
      <c r="I189" s="19" t="inlineStr">
        <is>
          <t>Dave Lizewski is an unnoticed high school student and comic book fan who one day decides to become a super-hero, even though he has no powers, training or meaningful reason to do so.</t>
        </is>
      </c>
      <c r="J189" s="19" t="inlineStr">
        <is>
          <t>Matthew Vaughn</t>
        </is>
      </c>
      <c r="K189" s="19" t="n">
        <v>117</v>
      </c>
      <c r="L189" s="19" t="inlineStr">
        <is>
          <t>Action, Crime</t>
        </is>
      </c>
      <c r="M189" s="19" t="inlineStr">
        <is>
          <t>Marv Films, Lionsgate, Plan B Entertainment</t>
        </is>
      </c>
      <c r="N189" s="19" t="inlineStr">
        <is>
          <t>https://huggingface.co/datasets/HenryWaltson/TMDB-IMDB-Movies-Dataset</t>
        </is>
      </c>
      <c r="O189" s="19" t="inlineStr">
        <is>
          <t>https://huggingface.co/datasets/HenryWaltson/TMDB-IMDB-Movies-Dataset</t>
        </is>
      </c>
      <c r="P189" s="18" t="inlineStr">
        <is>
          <t>Aaron Taylor-Johnson</t>
        </is>
      </c>
      <c r="Q189" s="18" t="inlineStr">
        <is>
          <t>Chloë Grace Moretz</t>
        </is>
      </c>
      <c r="R189" s="18" t="inlineStr">
        <is>
          <t>Nicolas Cage</t>
        </is>
      </c>
      <c r="S189" s="18" t="inlineStr">
        <is>
          <t>Lyndsy Fonseca</t>
        </is>
      </c>
      <c r="T189" s="18" t="inlineStr">
        <is>
          <t>Mark Strong</t>
        </is>
      </c>
      <c r="U189" s="24" t="n">
        <v>0</v>
      </c>
      <c r="V189" s="24" t="n">
        <v>0</v>
      </c>
      <c r="W189" s="4" t="n"/>
      <c r="X189" s="25">
        <f t="array" ref="X189">IFERROR(INDEX(Ratings!$E$5:$E$500,MATCH(A189,Ratings!$A$5:$A$500,0)),"")</f>
        <v/>
      </c>
      <c r="Y189" s="24">
        <f t="array" ref="Y189">IFERROR(INDEX(Ratings!$G$5:$G$500,MATCH(A189,Ratings!$A$5:$A$500,0)),"")</f>
        <v/>
      </c>
      <c r="Z189" s="26">
        <f t="array" ref="Z189">IFERROR(INDEX(Ratings!$I$5:$I$500,MATCH(A189,Ratings!$A$5:$A$500,0)),"")</f>
        <v/>
      </c>
      <c r="AB189" s="18" t="inlineStr">
        <is>
          <t>15</t>
        </is>
      </c>
    </row>
    <row r="190" ht="15.75" customHeight="1" s="108">
      <c r="A190" s="18" t="inlineStr">
        <is>
          <t>F0186</t>
        </is>
      </c>
      <c r="B190" s="18" t="inlineStr">
        <is>
          <t>Kick-Ass 2</t>
        </is>
      </c>
      <c r="C190" s="20" t="inlineStr">
        <is>
          <t>2013</t>
        </is>
      </c>
      <c r="D190" s="18" t="inlineStr">
        <is>
          <t>Blu-ray</t>
        </is>
      </c>
      <c r="E190" s="18" t="inlineStr">
        <is>
          <t>Kick-Ass</t>
        </is>
      </c>
      <c r="F190" s="19" t="n"/>
      <c r="G190" s="4" t="n"/>
      <c r="H190" s="4" t="n"/>
      <c r="I190" s="19" t="inlineStr">
        <is>
          <t>After Kick-Ass' insane bravery inspires a new wave of self-made masked crusaders, he joins a patrol led by the Colonel Stars and Stripes. When these amateur superheroes are hunted down by Red Mist — reborn as The Mother Fucker — only the blade-wielding Hit-Girl can prevent their annihilation.</t>
        </is>
      </c>
      <c r="J190" s="19" t="inlineStr">
        <is>
          <t>Jeff Wadlow</t>
        </is>
      </c>
      <c r="K190" s="19" t="n">
        <v>103</v>
      </c>
      <c r="L190" s="19" t="inlineStr">
        <is>
          <t>Action, Adventure, Crime</t>
        </is>
      </c>
      <c r="M190" s="19" t="inlineStr">
        <is>
          <t>Marv Films, Universal Pictures, dentsu</t>
        </is>
      </c>
      <c r="N190" s="19" t="inlineStr">
        <is>
          <t>https://huggingface.co/datasets/HenryWaltson/TMDB-IMDB-Movies-Dataset</t>
        </is>
      </c>
      <c r="O190" s="19" t="inlineStr">
        <is>
          <t>https://huggingface.co/datasets/HenryWaltson/TMDB-IMDB-Movies-Dataset</t>
        </is>
      </c>
      <c r="P190" s="18" t="inlineStr">
        <is>
          <t>Aaron Taylor-Johnson</t>
        </is>
      </c>
      <c r="Q190" s="18" t="inlineStr">
        <is>
          <t>Chloë Grace Moretz</t>
        </is>
      </c>
      <c r="R190" s="18" t="inlineStr">
        <is>
          <t>Christopher Mintz-Plasse</t>
        </is>
      </c>
      <c r="S190" s="18" t="inlineStr">
        <is>
          <t>Lyndsy Fonseca</t>
        </is>
      </c>
      <c r="T190" s="18" t="inlineStr">
        <is>
          <t>Jim Carrey</t>
        </is>
      </c>
      <c r="U190" s="24" t="n">
        <v>0</v>
      </c>
      <c r="V190" s="24" t="n">
        <v>0</v>
      </c>
      <c r="W190" s="4" t="n"/>
      <c r="X190" s="25">
        <f t="array" ref="X190">IFERROR(INDEX(Ratings!$E$5:$E$500,MATCH(A190,Ratings!$A$5:$A$500,0)),"")</f>
        <v/>
      </c>
      <c r="Y190" s="24">
        <f t="array" ref="Y190">IFERROR(INDEX(Ratings!$G$5:$G$500,MATCH(A190,Ratings!$A$5:$A$500,0)),"")</f>
        <v/>
      </c>
      <c r="Z190" s="26">
        <f t="array" ref="Z190">IFERROR(INDEX(Ratings!$I$5:$I$500,MATCH(A190,Ratings!$A$5:$A$500,0)),"")</f>
        <v/>
      </c>
      <c r="AB190" s="18" t="inlineStr">
        <is>
          <t>15</t>
        </is>
      </c>
    </row>
    <row r="191" ht="15.75" customHeight="1" s="108">
      <c r="A191" s="18" t="inlineStr">
        <is>
          <t>F0187</t>
        </is>
      </c>
      <c r="B191" s="18" t="inlineStr">
        <is>
          <t>Killing Them Softly</t>
        </is>
      </c>
      <c r="C191" s="20" t="inlineStr">
        <is>
          <t>2012</t>
        </is>
      </c>
      <c r="D191" s="18" t="inlineStr">
        <is>
          <t>Blu-ray</t>
        </is>
      </c>
      <c r="E191" s="4" t="n"/>
      <c r="F191" s="19" t="n"/>
      <c r="G191" s="4" t="n"/>
      <c r="H191" s="4" t="n"/>
      <c r="I191" s="19" t="inlineStr">
        <is>
          <t>Jackie Cogan is an enforcer hired to restore order after three dumb guys rob a Mob protected card game, causing the local criminal economy to collapse.</t>
        </is>
      </c>
      <c r="J191" s="19" t="inlineStr">
        <is>
          <t>Andrew Dominik</t>
        </is>
      </c>
      <c r="K191" s="19" t="n">
        <v>97</v>
      </c>
      <c r="L191" s="19" t="inlineStr">
        <is>
          <t>Crime, Thriller</t>
        </is>
      </c>
      <c r="M191" s="19" t="inlineStr">
        <is>
          <t>Plan B Entertainment, Chockstone Pictures, 1984 Private Defense Contractors</t>
        </is>
      </c>
      <c r="N191" s="19" t="inlineStr">
        <is>
          <t>https://huggingface.co/datasets/HenryWaltson/TMDB-IMDB-Movies-Dataset</t>
        </is>
      </c>
      <c r="O191" s="19" t="inlineStr">
        <is>
          <t>https://huggingface.co/datasets/HenryWaltson/TMDB-IMDB-Movies-Dataset</t>
        </is>
      </c>
      <c r="P191" s="18" t="inlineStr">
        <is>
          <t>Brad Pitt</t>
        </is>
      </c>
      <c r="Q191" s="18" t="inlineStr">
        <is>
          <t>Scoot McNairy</t>
        </is>
      </c>
      <c r="R191" s="18" t="inlineStr">
        <is>
          <t>Ben Mendelsohn</t>
        </is>
      </c>
      <c r="S191" s="18" t="inlineStr">
        <is>
          <t>James Gandolfini</t>
        </is>
      </c>
      <c r="T191" s="18" t="inlineStr">
        <is>
          <t>Ray Liotta</t>
        </is>
      </c>
      <c r="U191" s="24" t="n">
        <v>0</v>
      </c>
      <c r="V191" s="24" t="n">
        <v>0</v>
      </c>
      <c r="W191" s="4" t="n"/>
      <c r="X191" s="25">
        <f t="array" ref="X191">IFERROR(INDEX(Ratings!$E$5:$E$500,MATCH(A191,Ratings!$A$5:$A$500,0)),"")</f>
        <v/>
      </c>
      <c r="Y191" s="24">
        <f t="array" ref="Y191">IFERROR(INDEX(Ratings!$G$5:$G$500,MATCH(A191,Ratings!$A$5:$A$500,0)),"")</f>
        <v/>
      </c>
      <c r="Z191" s="26">
        <f t="array" ref="Z191">IFERROR(INDEX(Ratings!$I$5:$I$500,MATCH(A191,Ratings!$A$5:$A$500,0)),"")</f>
        <v/>
      </c>
      <c r="AB191" s="18" t="inlineStr">
        <is>
          <t>18</t>
        </is>
      </c>
    </row>
    <row r="192" ht="15.75" customHeight="1" s="108">
      <c r="A192" s="18" t="inlineStr">
        <is>
          <t>F0188</t>
        </is>
      </c>
      <c r="B192" s="18" t="inlineStr">
        <is>
          <t>King Kong</t>
        </is>
      </c>
      <c r="C192" s="20" t="inlineStr">
        <is>
          <t>2005</t>
        </is>
      </c>
      <c r="D192" s="18" t="inlineStr">
        <is>
          <t>Blu-ray</t>
        </is>
      </c>
      <c r="E192" s="4" t="n"/>
      <c r="F192" s="19" t="n"/>
      <c r="G192" s="4" t="n"/>
      <c r="H192" s="4" t="n"/>
      <c r="I192" s="19" t="inlineStr">
        <is>
          <t>Best guess: 2005 Peter Jackson film.</t>
        </is>
      </c>
      <c r="J192" s="19" t="inlineStr">
        <is>
          <t>Peter Jackson</t>
        </is>
      </c>
      <c r="K192" s="19" t="n">
        <v>187</v>
      </c>
      <c r="L192" s="19" t="inlineStr">
        <is>
          <t>Adventure, Drama, Action</t>
        </is>
      </c>
      <c r="M192" s="19" t="inlineStr">
        <is>
          <t>Universal Pictures, WingNut Films, Big Primate Pictures</t>
        </is>
      </c>
      <c r="N192" s="19" t="inlineStr">
        <is>
          <t>https://huggingface.co/datasets/HenryWaltson/TMDB-IMDB-Movies-Dataset</t>
        </is>
      </c>
      <c r="O192" s="19" t="inlineStr">
        <is>
          <t>https://huggingface.co/datasets/HenryWaltson/TMDB-IMDB-Movies-Dataset</t>
        </is>
      </c>
      <c r="P192" s="18" t="inlineStr">
        <is>
          <t>Naomi Watts</t>
        </is>
      </c>
      <c r="Q192" s="18" t="inlineStr">
        <is>
          <t>Jack Black</t>
        </is>
      </c>
      <c r="R192" s="18" t="inlineStr">
        <is>
          <t>Adrien Brody</t>
        </is>
      </c>
      <c r="S192" s="18" t="inlineStr">
        <is>
          <t>Andy Serkis</t>
        </is>
      </c>
      <c r="T192" s="18" t="inlineStr">
        <is>
          <t>Colin Hanks</t>
        </is>
      </c>
      <c r="U192" s="24" t="n">
        <v>4</v>
      </c>
      <c r="V192" s="24" t="n">
        <v>3</v>
      </c>
      <c r="W192" s="4" t="n"/>
      <c r="X192" s="25">
        <f t="array" ref="X192">IFERROR(INDEX(Ratings!$E$5:$E$500,MATCH(A192,Ratings!$A$5:$A$500,0)),"")</f>
        <v/>
      </c>
      <c r="Y192" s="24">
        <f t="array" ref="Y192">IFERROR(INDEX(Ratings!$G$5:$G$500,MATCH(A192,Ratings!$A$5:$A$500,0)),"")</f>
        <v/>
      </c>
      <c r="Z192" s="26">
        <f t="array" ref="Z192">IFERROR(INDEX(Ratings!$I$5:$I$500,MATCH(A192,Ratings!$A$5:$A$500,0)),"")</f>
        <v/>
      </c>
      <c r="AB192" s="18" t="inlineStr">
        <is>
          <t>12A</t>
        </is>
      </c>
    </row>
    <row r="193" ht="15.75" customHeight="1" s="108">
      <c r="A193" s="18" t="inlineStr">
        <is>
          <t>F0189</t>
        </is>
      </c>
      <c r="B193" s="18" t="inlineStr">
        <is>
          <t>The King's Speech</t>
        </is>
      </c>
      <c r="C193" s="20" t="inlineStr">
        <is>
          <t>2010</t>
        </is>
      </c>
      <c r="D193" s="18" t="inlineStr">
        <is>
          <t>Blu-ray</t>
        </is>
      </c>
      <c r="E193" s="4" t="n"/>
      <c r="F193" s="19" t="n"/>
      <c r="G193" s="4" t="n"/>
      <c r="H193" s="4" t="n"/>
      <c r="I193" s="19" t="inlineStr">
        <is>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is>
      </c>
      <c r="J193" s="19" t="inlineStr">
        <is>
          <t>Tom Hooper</t>
        </is>
      </c>
      <c r="K193" s="19" t="n">
        <v>118</v>
      </c>
      <c r="L193" s="19" t="inlineStr">
        <is>
          <t>Drama, History</t>
        </is>
      </c>
      <c r="M193" s="19" t="inlineStr">
        <is>
          <t>The Weinstein Company, UK Film Council, Momentum Pictures</t>
        </is>
      </c>
      <c r="N193" s="19" t="inlineStr">
        <is>
          <t>https://huggingface.co/datasets/HenryWaltson/TMDB-IMDB-Movies-Dataset</t>
        </is>
      </c>
      <c r="O193" s="19" t="inlineStr">
        <is>
          <t>https://huggingface.co/datasets/HenryWaltson/TMDB-IMDB-Movies-Dataset</t>
        </is>
      </c>
      <c r="P193" s="18" t="inlineStr">
        <is>
          <t>Colin Firth</t>
        </is>
      </c>
      <c r="Q193" s="18" t="inlineStr">
        <is>
          <t>Geoffrey Rush</t>
        </is>
      </c>
      <c r="R193" s="18" t="inlineStr">
        <is>
          <t>Helena Bonham Carter</t>
        </is>
      </c>
      <c r="S193" s="18" t="inlineStr">
        <is>
          <t>Guy Pearce</t>
        </is>
      </c>
      <c r="T193" s="18" t="inlineStr">
        <is>
          <t>Timothy Spall</t>
        </is>
      </c>
      <c r="U193" s="24" t="n">
        <v>12</v>
      </c>
      <c r="V193" s="24" t="n">
        <v>4</v>
      </c>
      <c r="W193" s="18" t="inlineStr">
        <is>
          <t>Winner</t>
        </is>
      </c>
      <c r="X193" s="25">
        <f t="array" ref="X193">IFERROR(INDEX(Ratings!$E$5:$E$500,MATCH(A193,Ratings!$A$5:$A$500,0)),"")</f>
        <v/>
      </c>
      <c r="Y193" s="24">
        <f t="array" ref="Y193">IFERROR(INDEX(Ratings!$G$5:$G$500,MATCH(A193,Ratings!$A$5:$A$500,0)),"")</f>
        <v/>
      </c>
      <c r="Z193" s="26">
        <f t="array" ref="Z193">IFERROR(INDEX(Ratings!$I$5:$I$500,MATCH(A193,Ratings!$A$5:$A$500,0)),"")</f>
        <v/>
      </c>
      <c r="AB193" s="18" t="inlineStr">
        <is>
          <t>12A</t>
        </is>
      </c>
    </row>
    <row r="194" ht="15.75" customHeight="1" s="108">
      <c r="A194" s="18" t="inlineStr">
        <is>
          <t>F0190</t>
        </is>
      </c>
      <c r="B194" s="18" t="inlineStr">
        <is>
          <t>Kong: Skull Island</t>
        </is>
      </c>
      <c r="C194" s="20" t="inlineStr">
        <is>
          <t>2017</t>
        </is>
      </c>
      <c r="D194" s="18" t="inlineStr">
        <is>
          <t>Blu-ray</t>
        </is>
      </c>
      <c r="E194" s="18" t="inlineStr">
        <is>
          <t>MonsterVerse</t>
        </is>
      </c>
      <c r="F194" s="19" t="n"/>
      <c r="G194" s="4" t="n"/>
      <c r="H194" s="4" t="n"/>
      <c r="I194" s="19" t="inlineStr">
        <is>
          <t>Explore the mysterious and dangerous home of the king of the apes as a team of explorers ventures deep inside the treacherous, primordial island.</t>
        </is>
      </c>
      <c r="J194" s="19" t="inlineStr">
        <is>
          <t>Jordan Vogt-Roberts</t>
        </is>
      </c>
      <c r="K194" s="19" t="n">
        <v>118</v>
      </c>
      <c r="L194" s="19" t="inlineStr">
        <is>
          <t>Action, Adventure, Fantasy</t>
        </is>
      </c>
      <c r="M194" s="19" t="inlineStr">
        <is>
          <t>Legendary Pictures, Tencent Pictures</t>
        </is>
      </c>
      <c r="N194" s="19" t="inlineStr">
        <is>
          <t>https://huggingface.co/datasets/HenryWaltson/TMDB-IMDB-Movies-Dataset</t>
        </is>
      </c>
      <c r="O194" s="19" t="inlineStr">
        <is>
          <t>https://huggingface.co/datasets/HenryWaltson/TMDB-IMDB-Movies-Dataset</t>
        </is>
      </c>
      <c r="P194" s="18" t="inlineStr">
        <is>
          <t>Tom Hiddleston</t>
        </is>
      </c>
      <c r="Q194" s="18" t="inlineStr">
        <is>
          <t>Samuel L. Jackson</t>
        </is>
      </c>
      <c r="R194" s="18" t="inlineStr">
        <is>
          <t>John Goodman</t>
        </is>
      </c>
      <c r="S194" s="18" t="inlineStr">
        <is>
          <t>Brie Larson</t>
        </is>
      </c>
      <c r="T194" s="18" t="inlineStr">
        <is>
          <t>Jing Tian</t>
        </is>
      </c>
      <c r="U194" s="24" t="n">
        <v>1</v>
      </c>
      <c r="V194" s="24" t="n">
        <v>0</v>
      </c>
      <c r="W194" s="4" t="n"/>
      <c r="X194" s="25">
        <f t="array" ref="X194">IFERROR(INDEX(Ratings!$E$5:$E$500,MATCH(A194,Ratings!$A$5:$A$500,0)),"")</f>
        <v/>
      </c>
      <c r="Y194" s="24">
        <f t="array" ref="Y194">IFERROR(INDEX(Ratings!$G$5:$G$500,MATCH(A194,Ratings!$A$5:$A$500,0)),"")</f>
        <v/>
      </c>
      <c r="Z194" s="26">
        <f t="array" ref="Z194">IFERROR(INDEX(Ratings!$I$5:$I$500,MATCH(A194,Ratings!$A$5:$A$500,0)),"")</f>
        <v/>
      </c>
      <c r="AB194" s="18" t="inlineStr">
        <is>
          <t>12A</t>
        </is>
      </c>
    </row>
    <row r="195" ht="15.75" customHeight="1" s="108">
      <c r="A195" s="18" t="inlineStr">
        <is>
          <t>F0191</t>
        </is>
      </c>
      <c r="B195" s="18" t="inlineStr">
        <is>
          <t>Law Abiding Citizen</t>
        </is>
      </c>
      <c r="C195" s="20" t="inlineStr">
        <is>
          <t>2009</t>
        </is>
      </c>
      <c r="D195" s="18" t="inlineStr">
        <is>
          <t>Blu-ray</t>
        </is>
      </c>
      <c r="E195" s="4" t="n"/>
      <c r="F195" s="19" t="n"/>
      <c r="G195" s="4" t="n"/>
      <c r="H195" s="4" t="n"/>
      <c r="I195" s="19" t="inlineStr">
        <is>
          <t>A frustrated man decides to take justice into his own hands after a plea bargain sets one of his family's killers free. He targets not only the killer but also the district attorney and others involved in the deal.</t>
        </is>
      </c>
      <c r="J195" s="19" t="inlineStr">
        <is>
          <t>F. Gary Gray</t>
        </is>
      </c>
      <c r="K195" s="19" t="n">
        <v>109</v>
      </c>
      <c r="L195" s="19" t="inlineStr">
        <is>
          <t>Drama, Crime, Thriller</t>
        </is>
      </c>
      <c r="M195" s="19" t="inlineStr">
        <is>
          <t>The Film Department, Evil Twins, Warp Films</t>
        </is>
      </c>
      <c r="N195" s="19" t="inlineStr">
        <is>
          <t>https://huggingface.co/datasets/HenryWaltson/TMDB-IMDB-Movies-Dataset</t>
        </is>
      </c>
      <c r="O195" s="19" t="inlineStr">
        <is>
          <t>https://huggingface.co/datasets/HenryWaltson/TMDB-IMDB-Movies-Dataset</t>
        </is>
      </c>
      <c r="P195" s="18" t="inlineStr">
        <is>
          <t>Jamie Foxx</t>
        </is>
      </c>
      <c r="Q195" s="18" t="inlineStr">
        <is>
          <t>Gerard Butler</t>
        </is>
      </c>
      <c r="R195" s="18" t="inlineStr">
        <is>
          <t>Colm Meaney</t>
        </is>
      </c>
      <c r="S195" s="18" t="inlineStr">
        <is>
          <t>Bruce McGill</t>
        </is>
      </c>
      <c r="T195" s="18" t="inlineStr">
        <is>
          <t>Leslie Bibb</t>
        </is>
      </c>
      <c r="U195" s="24" t="n">
        <v>0</v>
      </c>
      <c r="V195" s="24" t="n">
        <v>0</v>
      </c>
      <c r="W195" s="4" t="n"/>
      <c r="X195" s="25">
        <f t="array" ref="X195">IFERROR(INDEX(Ratings!$E$5:$E$500,MATCH(A195,Ratings!$A$5:$A$500,0)),"")</f>
        <v/>
      </c>
      <c r="Y195" s="24">
        <f t="array" ref="Y195">IFERROR(INDEX(Ratings!$G$5:$G$500,MATCH(A195,Ratings!$A$5:$A$500,0)),"")</f>
        <v/>
      </c>
      <c r="Z195" s="26">
        <f t="array" ref="Z195">IFERROR(INDEX(Ratings!$I$5:$I$500,MATCH(A195,Ratings!$A$5:$A$500,0)),"")</f>
        <v/>
      </c>
      <c r="AB195" s="18" t="inlineStr">
        <is>
          <t>18</t>
        </is>
      </c>
    </row>
    <row r="196" ht="15.75" customHeight="1" s="108">
      <c r="A196" s="18" t="inlineStr">
        <is>
          <t>F0192</t>
        </is>
      </c>
      <c r="B196" s="18" t="inlineStr">
        <is>
          <t>Lawless</t>
        </is>
      </c>
      <c r="C196" s="20" t="inlineStr">
        <is>
          <t>2012</t>
        </is>
      </c>
      <c r="D196" s="18" t="inlineStr">
        <is>
          <t>Blu-ray</t>
        </is>
      </c>
      <c r="E196" s="4" t="n"/>
      <c r="F196" s="19" t="n"/>
      <c r="G196" s="4" t="n"/>
      <c r="H196" s="4" t="n"/>
      <c r="I196" s="19" t="inlineStr">
        <is>
          <t>In 1931, the Bondurant brothers of Franklin County, Virginia, run a multipurpose backwoods establishment that hides their true business — bootlegging. Middle brother Forrest is the brain of the operation; older Howard is the brawn, and younger Jack, the lookout. Though the local police have taken bribes and left the brothers alone, a violent war erupts when a sadistic lawman from Chicago arrives and tries to shut down the Bondurants operation.</t>
        </is>
      </c>
      <c r="J196" s="19" t="inlineStr">
        <is>
          <t>John Hillcoat</t>
        </is>
      </c>
      <c r="K196" s="19" t="n">
        <v>115</v>
      </c>
      <c r="L196" s="19" t="inlineStr">
        <is>
          <t>Crime, Drama, Western</t>
        </is>
      </c>
      <c r="M196" s="19" t="inlineStr">
        <is>
          <t>The Weinstein Company, Benaroya Pictures, Yucaipa Films</t>
        </is>
      </c>
      <c r="N196" s="19" t="inlineStr">
        <is>
          <t>https://huggingface.co/datasets/HenryWaltson/TMDB-IMDB-Movies-Dataset</t>
        </is>
      </c>
      <c r="O196" s="19" t="inlineStr">
        <is>
          <t>https://huggingface.co/datasets/HenryWaltson/TMDB-IMDB-Movies-Dataset</t>
        </is>
      </c>
      <c r="P196" s="18" t="inlineStr">
        <is>
          <t>Shia LaBeouf</t>
        </is>
      </c>
      <c r="Q196" s="18" t="inlineStr">
        <is>
          <t>Tom Hardy</t>
        </is>
      </c>
      <c r="R196" s="18" t="inlineStr">
        <is>
          <t>Gary Oldman</t>
        </is>
      </c>
      <c r="S196" s="18" t="inlineStr">
        <is>
          <t>Guy Pearce</t>
        </is>
      </c>
      <c r="T196" s="18" t="inlineStr">
        <is>
          <t>Jason Clarke</t>
        </is>
      </c>
      <c r="U196" s="24" t="n">
        <v>0</v>
      </c>
      <c r="V196" s="24" t="n">
        <v>0</v>
      </c>
      <c r="W196" s="4" t="n"/>
      <c r="X196" s="25">
        <f t="array" ref="X196">IFERROR(INDEX(Ratings!$E$5:$E$500,MATCH(A196,Ratings!$A$5:$A$500,0)),"")</f>
        <v/>
      </c>
      <c r="Y196" s="24">
        <f t="array" ref="Y196">IFERROR(INDEX(Ratings!$G$5:$G$500,MATCH(A196,Ratings!$A$5:$A$500,0)),"")</f>
        <v/>
      </c>
      <c r="Z196" s="26">
        <f t="array" ref="Z196">IFERROR(INDEX(Ratings!$I$5:$I$500,MATCH(A196,Ratings!$A$5:$A$500,0)),"")</f>
        <v/>
      </c>
      <c r="AB196" s="18" t="inlineStr">
        <is>
          <t>18</t>
        </is>
      </c>
    </row>
    <row r="197" ht="15.75" customHeight="1" s="108">
      <c r="A197" s="18" t="inlineStr">
        <is>
          <t>F0193</t>
        </is>
      </c>
      <c r="B197" s="18" t="inlineStr">
        <is>
          <t>The Lego Batman Movie</t>
        </is>
      </c>
      <c r="C197" s="20" t="inlineStr">
        <is>
          <t>2017</t>
        </is>
      </c>
      <c r="D197" s="18" t="inlineStr">
        <is>
          <t>Blu-ray</t>
        </is>
      </c>
      <c r="E197" s="18" t="inlineStr">
        <is>
          <t>LEGO</t>
        </is>
      </c>
      <c r="F197" s="19" t="n"/>
      <c r="G197" s="4" t="n"/>
      <c r="H197" s="4" t="n"/>
      <c r="I197" s="19" t="inlineStr">
        <is>
          <t>A cooler-than-ever Bruce Wayne must deal with the usual suspects as they plan to rule Gotham City, while discovering that he has accidentally adopted a teenage orphan who wishes to become his sidekick.</t>
        </is>
      </c>
      <c r="J197" s="19" t="inlineStr">
        <is>
          <t>Chris McKay</t>
        </is>
      </c>
      <c r="K197" s="19" t="n">
        <v>104</v>
      </c>
      <c r="L197" s="19" t="inlineStr">
        <is>
          <t>Animation, Action, Comedy, Family</t>
        </is>
      </c>
      <c r="M197" s="19" t="inlineStr">
        <is>
          <t>Lin Pictures, Warner Bros. Animation, Animal Logic</t>
        </is>
      </c>
      <c r="N197" s="19" t="inlineStr">
        <is>
          <t>https://huggingface.co/datasets/HenryWaltson/TMDB-IMDB-Movies-Dataset</t>
        </is>
      </c>
      <c r="O197" s="19" t="inlineStr">
        <is>
          <t>https://huggingface.co/datasets/HenryWaltson/TMDB-IMDB-Movies-Dataset</t>
        </is>
      </c>
      <c r="P197" s="18" t="inlineStr">
        <is>
          <t>Will Arnett</t>
        </is>
      </c>
      <c r="Q197" s="18" t="inlineStr">
        <is>
          <t>Michael Cera</t>
        </is>
      </c>
      <c r="R197" s="18" t="inlineStr">
        <is>
          <t>Rosario Dawson</t>
        </is>
      </c>
      <c r="S197" s="18" t="inlineStr">
        <is>
          <t>Ralph Fiennes</t>
        </is>
      </c>
      <c r="T197" s="18" t="inlineStr">
        <is>
          <t>Zach Galifianakis</t>
        </is>
      </c>
      <c r="U197" s="24" t="n">
        <v>0</v>
      </c>
      <c r="V197" s="24" t="n">
        <v>0</v>
      </c>
      <c r="W197" s="4" t="n"/>
      <c r="X197" s="25">
        <f t="array" ref="X197">IFERROR(INDEX(Ratings!$E$5:$E$500,MATCH(A197,Ratings!$A$5:$A$500,0)),"")</f>
        <v/>
      </c>
      <c r="Y197" s="24">
        <f t="array" ref="Y197">IFERROR(INDEX(Ratings!$G$5:$G$500,MATCH(A197,Ratings!$A$5:$A$500,0)),"")</f>
        <v/>
      </c>
      <c r="Z197" s="26">
        <f t="array" ref="Z197">IFERROR(INDEX(Ratings!$I$5:$I$500,MATCH(A197,Ratings!$A$5:$A$500,0)),"")</f>
        <v/>
      </c>
      <c r="AB197" s="18" t="inlineStr">
        <is>
          <t>U</t>
        </is>
      </c>
    </row>
    <row r="198" ht="15.75" customHeight="1" s="108">
      <c r="A198" s="18" t="inlineStr">
        <is>
          <t>F0194</t>
        </is>
      </c>
      <c r="B198" s="18" t="inlineStr">
        <is>
          <t>Lego Batman: The Movie - DC Super Heroes Unite</t>
        </is>
      </c>
      <c r="C198" s="20" t="inlineStr">
        <is>
          <t>2013</t>
        </is>
      </c>
      <c r="D198" s="18" t="inlineStr">
        <is>
          <t>Blu-ray</t>
        </is>
      </c>
      <c r="E198" s="18" t="inlineStr">
        <is>
          <t>LEGO</t>
        </is>
      </c>
      <c r="F198" s="19" t="n"/>
      <c r="G198" s="4" t="n"/>
      <c r="H198" s="4" t="n"/>
      <c r="I198" s="19" t="inlineStr">
        <is>
          <t>Joker teams up with Lex Luthor to destroy the world one brick at a time. It's up to Batman, Superman and the rest of the Justice League to stop them.</t>
        </is>
      </c>
      <c r="J198" s="19" t="inlineStr">
        <is>
          <t>Jon Burton</t>
        </is>
      </c>
      <c r="K198" s="19" t="n">
        <v>71</v>
      </c>
      <c r="L198" s="19" t="inlineStr">
        <is>
          <t>Family, Animation, Adventure, Comedy</t>
        </is>
      </c>
      <c r="M198" s="19" t="inlineStr">
        <is>
          <t>Warner Premiere Digital, DC Comics, LEGO</t>
        </is>
      </c>
      <c r="N198" s="19" t="inlineStr">
        <is>
          <t>https://huggingface.co/datasets/HenryWaltson/TMDB-IMDB-Movies-Dataset</t>
        </is>
      </c>
      <c r="O198" s="19" t="inlineStr">
        <is>
          <t>https://huggingface.co/datasets/HenryWaltson/TMDB-IMDB-Movies-Dataset</t>
        </is>
      </c>
      <c r="P198" s="18" t="inlineStr">
        <is>
          <t>Troy Baker</t>
        </is>
      </c>
      <c r="Q198" s="18" t="inlineStr">
        <is>
          <t>Charlie Schlatter</t>
        </is>
      </c>
      <c r="R198" s="18" t="inlineStr">
        <is>
          <t>Travis Willingham</t>
        </is>
      </c>
      <c r="S198" s="18" t="inlineStr">
        <is>
          <t>Clancy Brown</t>
        </is>
      </c>
      <c r="T198" s="18" t="inlineStr">
        <is>
          <t>Christopher Corey Smith</t>
        </is>
      </c>
      <c r="U198" s="24" t="n">
        <v>0</v>
      </c>
      <c r="V198" s="24" t="n">
        <v>0</v>
      </c>
      <c r="W198" s="4" t="n"/>
      <c r="X198" s="25">
        <f t="array" ref="X198">IFERROR(INDEX(Ratings!$E$5:$E$500,MATCH(A198,Ratings!$A$5:$A$500,0)),"")</f>
        <v/>
      </c>
      <c r="Y198" s="24">
        <f t="array" ref="Y198">IFERROR(INDEX(Ratings!$G$5:$G$500,MATCH(A198,Ratings!$A$5:$A$500,0)),"")</f>
        <v/>
      </c>
      <c r="Z198" s="26">
        <f t="array" ref="Z198">IFERROR(INDEX(Ratings!$I$5:$I$500,MATCH(A198,Ratings!$A$5:$A$500,0)),"")</f>
        <v/>
      </c>
      <c r="AB198" s="18" t="inlineStr">
        <is>
          <t>PG</t>
        </is>
      </c>
    </row>
    <row r="199" ht="15.75" customHeight="1" s="108">
      <c r="A199" s="18" t="inlineStr">
        <is>
          <t>F0195</t>
        </is>
      </c>
      <c r="B199" s="18" t="inlineStr">
        <is>
          <t>The Lego Movie</t>
        </is>
      </c>
      <c r="C199" s="20" t="inlineStr">
        <is>
          <t>2014</t>
        </is>
      </c>
      <c r="D199" s="18" t="inlineStr">
        <is>
          <t>Blu-ray</t>
        </is>
      </c>
      <c r="E199" s="18" t="inlineStr">
        <is>
          <t>LEGO</t>
        </is>
      </c>
      <c r="F199" s="19" t="n"/>
      <c r="G199" s="4" t="n"/>
      <c r="H199" s="4" t="n"/>
      <c r="I199" s="19" t="inlineStr">
        <is>
          <t>An ordinary Lego mini-figure, mistakenly thought to be the extraordinary MasterBuilder, is recruited to join a quest to stop an evil Lego tyrant from conquering the universe.</t>
        </is>
      </c>
      <c r="J199" s="19" t="inlineStr">
        <is>
          <t>Phil Lord, Christopher Miller</t>
        </is>
      </c>
      <c r="K199" s="19" t="n">
        <v>100</v>
      </c>
      <c r="L199" s="19" t="inlineStr">
        <is>
          <t>Animation, Family, Adventure, Comedy, Fantasy</t>
        </is>
      </c>
      <c r="M199" s="19" t="inlineStr">
        <is>
          <t>Village Roadshow Pictures, RatPac Entertainment, LEGO</t>
        </is>
      </c>
      <c r="N199" s="19" t="inlineStr">
        <is>
          <t>https://huggingface.co/datasets/HenryWaltson/TMDB-IMDB-Movies-Dataset</t>
        </is>
      </c>
      <c r="O199" s="19" t="inlineStr">
        <is>
          <t>https://huggingface.co/datasets/HenryWaltson/TMDB-IMDB-Movies-Dataset</t>
        </is>
      </c>
      <c r="P199" s="18" t="inlineStr">
        <is>
          <t>Chris Pratt</t>
        </is>
      </c>
      <c r="Q199" s="18" t="inlineStr">
        <is>
          <t>Elizabeth Banks</t>
        </is>
      </c>
      <c r="R199" s="18" t="inlineStr">
        <is>
          <t>Will Ferrell</t>
        </is>
      </c>
      <c r="S199" s="18" t="inlineStr">
        <is>
          <t>Morgan Freeman</t>
        </is>
      </c>
      <c r="T199" s="18" t="inlineStr">
        <is>
          <t>Will Arnett</t>
        </is>
      </c>
      <c r="U199" s="24" t="n">
        <v>1</v>
      </c>
      <c r="V199" s="24" t="n">
        <v>0</v>
      </c>
      <c r="W199" s="4" t="n"/>
      <c r="X199" s="25">
        <f t="array" ref="X199">IFERROR(INDEX(Ratings!$E$5:$E$500,MATCH(A199,Ratings!$A$5:$A$500,0)),"")</f>
        <v/>
      </c>
      <c r="Y199" s="24">
        <f t="array" ref="Y199">IFERROR(INDEX(Ratings!$G$5:$G$500,MATCH(A199,Ratings!$A$5:$A$500,0)),"")</f>
        <v/>
      </c>
      <c r="Z199" s="26">
        <f t="array" ref="Z199">IFERROR(INDEX(Ratings!$I$5:$I$500,MATCH(A199,Ratings!$A$5:$A$500,0)),"")</f>
        <v/>
      </c>
      <c r="AB199" s="18" t="inlineStr">
        <is>
          <t>U</t>
        </is>
      </c>
    </row>
    <row r="200" ht="15.75" customHeight="1" s="108">
      <c r="A200" s="18" t="inlineStr">
        <is>
          <t>F0196</t>
        </is>
      </c>
      <c r="B200" s="18" t="inlineStr">
        <is>
          <t>The Lego Movie 2: The Second Part</t>
        </is>
      </c>
      <c r="C200" s="20" t="inlineStr">
        <is>
          <t>2019</t>
        </is>
      </c>
      <c r="D200" s="18" t="inlineStr">
        <is>
          <t>Blu-ray</t>
        </is>
      </c>
      <c r="E200" s="18" t="inlineStr">
        <is>
          <t>LEGO</t>
        </is>
      </c>
      <c r="F200" s="19" t="n"/>
      <c r="G200" s="4" t="n"/>
      <c r="H200" s="4" t="n"/>
      <c r="I200" s="19" t="inlineStr">
        <is>
          <t>It's been five years since everything was awesome and the citizens are facing a huge new threat: LEGO DUPLO® invaders from outer space, wrecking everything faster than they can rebuild.</t>
        </is>
      </c>
      <c r="J200" s="19" t="inlineStr">
        <is>
          <t>Mike Mitchell</t>
        </is>
      </c>
      <c r="K200" s="19" t="n">
        <v>106</v>
      </c>
      <c r="L200" s="19" t="inlineStr">
        <is>
          <t>Action, Adventure, Animation, Comedy, Family</t>
        </is>
      </c>
      <c r="M200" s="19" t="inlineStr">
        <is>
          <t>Vertigo Entertainment, Animal Logic, Warner Bros. Pictures Animation</t>
        </is>
      </c>
      <c r="N200" s="19" t="inlineStr">
        <is>
          <t>https://huggingface.co/datasets/HenryWaltson/TMDB-IMDB-Movies-Dataset</t>
        </is>
      </c>
      <c r="O200" s="19" t="inlineStr">
        <is>
          <t>https://huggingface.co/datasets/HenryWaltson/TMDB-IMDB-Movies-Dataset</t>
        </is>
      </c>
      <c r="P200" s="18" t="inlineStr">
        <is>
          <t>Chris Pratt</t>
        </is>
      </c>
      <c r="Q200" s="18" t="inlineStr">
        <is>
          <t>Elizabeth Banks</t>
        </is>
      </c>
      <c r="R200" s="18" t="inlineStr">
        <is>
          <t>Will Arnett</t>
        </is>
      </c>
      <c r="S200" s="18" t="inlineStr">
        <is>
          <t>Tiffany Haddish</t>
        </is>
      </c>
      <c r="T200" s="18" t="inlineStr">
        <is>
          <t>Stephanie Beatriz</t>
        </is>
      </c>
      <c r="U200" s="24" t="n">
        <v>0</v>
      </c>
      <c r="V200" s="24" t="n">
        <v>0</v>
      </c>
      <c r="W200" s="4" t="n"/>
      <c r="X200" s="25">
        <f t="array" ref="X200">IFERROR(INDEX(Ratings!$E$5:$E$500,MATCH(A200,Ratings!$A$5:$A$500,0)),"")</f>
        <v/>
      </c>
      <c r="Y200" s="24">
        <f t="array" ref="Y200">IFERROR(INDEX(Ratings!$G$5:$G$500,MATCH(A200,Ratings!$A$5:$A$500,0)),"")</f>
        <v/>
      </c>
      <c r="Z200" s="26">
        <f t="array" ref="Z200">IFERROR(INDEX(Ratings!$I$5:$I$500,MATCH(A200,Ratings!$A$5:$A$500,0)),"")</f>
        <v/>
      </c>
      <c r="AB200" s="18" t="inlineStr">
        <is>
          <t>U</t>
        </is>
      </c>
    </row>
    <row r="201" ht="15.75" customHeight="1" s="108">
      <c r="A201" s="18" t="inlineStr">
        <is>
          <t>F0197</t>
        </is>
      </c>
      <c r="B201" s="18" t="inlineStr">
        <is>
          <t>Lego DC Comics Super Heroes: Justice League vs. Bizarro League</t>
        </is>
      </c>
      <c r="C201" s="20" t="inlineStr">
        <is>
          <t>2015</t>
        </is>
      </c>
      <c r="D201" s="18" t="inlineStr">
        <is>
          <t>Blu-ray</t>
        </is>
      </c>
      <c r="E201" s="18" t="inlineStr">
        <is>
          <t>LEGO</t>
        </is>
      </c>
      <c r="F201" s="19" t="n"/>
      <c r="G201" s="4" t="n"/>
      <c r="H201" s="4" t="n"/>
      <c r="I201" s="19" t="inlineStr">
        <is>
          <t>Superman’s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it’s time to find a new home for him…on another planet! It’s up to the Justice League to come to terms with their backward counterparts and team up with them to stop Darkseid and save the galaxy!</t>
        </is>
      </c>
      <c r="J201" s="19" t="inlineStr">
        <is>
          <t>Brandon Vietti</t>
        </is>
      </c>
      <c r="K201" s="19" t="n">
        <v>48</v>
      </c>
      <c r="L201" s="19" t="inlineStr">
        <is>
          <t>Action, Adventure, Animation, Family, Comedy</t>
        </is>
      </c>
      <c r="M201" s="19" t="inlineStr">
        <is>
          <t>Warner Bros. Animation, LEGO, DC Entertainment</t>
        </is>
      </c>
      <c r="N201" s="19" t="inlineStr">
        <is>
          <t>https://huggingface.co/datasets/HenryWaltson/TMDB-IMDB-Movies-Dataset</t>
        </is>
      </c>
      <c r="O201" s="19" t="inlineStr">
        <is>
          <t>https://huggingface.co/datasets/HenryWaltson/TMDB-IMDB-Movies-Dataset</t>
        </is>
      </c>
      <c r="P201" s="18" t="inlineStr">
        <is>
          <t>Nolan North</t>
        </is>
      </c>
      <c r="Q201" s="18" t="inlineStr">
        <is>
          <t>Troy Baker</t>
        </is>
      </c>
      <c r="R201" s="18" t="inlineStr">
        <is>
          <t>Diedrich Bader</t>
        </is>
      </c>
      <c r="S201" s="18" t="inlineStr">
        <is>
          <t>Khary Payton</t>
        </is>
      </c>
      <c r="T201" s="18" t="inlineStr">
        <is>
          <t>James Arnold Taylor</t>
        </is>
      </c>
      <c r="U201" s="24" t="n">
        <v>0</v>
      </c>
      <c r="V201" s="24" t="n">
        <v>0</v>
      </c>
      <c r="W201" s="4" t="n"/>
      <c r="X201" s="25">
        <f t="array" ref="X201">IFERROR(INDEX(Ratings!$E$5:$E$500,MATCH(A201,Ratings!$A$5:$A$500,0)),"")</f>
        <v/>
      </c>
      <c r="Y201" s="24">
        <f t="array" ref="Y201">IFERROR(INDEX(Ratings!$G$5:$G$500,MATCH(A201,Ratings!$A$5:$A$500,0)),"")</f>
        <v/>
      </c>
      <c r="Z201" s="26">
        <f t="array" ref="Z201">IFERROR(INDEX(Ratings!$I$5:$I$500,MATCH(A201,Ratings!$A$5:$A$500,0)),"")</f>
        <v/>
      </c>
      <c r="AB201" s="18" t="inlineStr">
        <is>
          <t>U</t>
        </is>
      </c>
    </row>
    <row r="202" ht="15.75" customHeight="1" s="108">
      <c r="A202" s="18" t="inlineStr">
        <is>
          <t>F0198</t>
        </is>
      </c>
      <c r="B202" s="18" t="inlineStr">
        <is>
          <t>Lego DC Comics Super Heroes: Justice League - Gotham City Breakout</t>
        </is>
      </c>
      <c r="C202" s="20" t="inlineStr">
        <is>
          <t>2016</t>
        </is>
      </c>
      <c r="D202" s="18" t="inlineStr">
        <is>
          <t>Blu-ray</t>
        </is>
      </c>
      <c r="E202" s="18" t="inlineStr">
        <is>
          <t>LEGO</t>
        </is>
      </c>
      <c r="F202" s="19" t="n"/>
      <c r="G202" s="4" t="n"/>
      <c r="H202" s="4" t="n"/>
      <c r="I202" s="19" t="inlineStr">
        <is>
          <t>Earth, a shiny jewel floating in the blackness of space... and for the robot known as Brainiac, the last piece to capture for his collection of planets. Not if the Justice League has anything to say about it!</t>
        </is>
      </c>
      <c r="J202" s="19" t="inlineStr">
        <is>
          <t>Matt Peters, Melchior Zwyer</t>
        </is>
      </c>
      <c r="K202" s="19" t="n">
        <v>78</v>
      </c>
      <c r="L202" s="19" t="inlineStr">
        <is>
          <t>Animation, Family, Adventure, Action, Comedy</t>
        </is>
      </c>
      <c r="M202" s="19" t="inlineStr">
        <is>
          <t>Warner Bros. Animation, DC Entertainment, DC Comics</t>
        </is>
      </c>
      <c r="N202" s="19" t="inlineStr">
        <is>
          <t>https://huggingface.co/datasets/HenryWaltson/TMDB-IMDB-Movies-Dataset</t>
        </is>
      </c>
      <c r="O202" s="19" t="inlineStr">
        <is>
          <t>https://huggingface.co/datasets/HenryWaltson/TMDB-IMDB-Movies-Dataset</t>
        </is>
      </c>
      <c r="P202" s="18" t="inlineStr">
        <is>
          <t>Troy Baker</t>
        </is>
      </c>
      <c r="Q202" s="18" t="inlineStr">
        <is>
          <t>Eric Bauza</t>
        </is>
      </c>
      <c r="R202" s="18" t="inlineStr">
        <is>
          <t>Greg Cipes</t>
        </is>
      </c>
      <c r="S202" s="18" t="inlineStr">
        <is>
          <t>John DiMaggio</t>
        </is>
      </c>
      <c r="T202" s="18" t="inlineStr">
        <is>
          <t>Will Friedle</t>
        </is>
      </c>
      <c r="U202" s="24" t="n">
        <v>0</v>
      </c>
      <c r="V202" s="24" t="n">
        <v>0</v>
      </c>
      <c r="W202" s="4" t="n"/>
      <c r="X202" s="25">
        <f t="array" ref="X202">IFERROR(INDEX(Ratings!$E$5:$E$500,MATCH(A202,Ratings!$A$5:$A$500,0)),"")</f>
        <v/>
      </c>
      <c r="Y202" s="24">
        <f t="array" ref="Y202">IFERROR(INDEX(Ratings!$G$5:$G$500,MATCH(A202,Ratings!$A$5:$A$500,0)),"")</f>
        <v/>
      </c>
      <c r="Z202" s="26">
        <f t="array" ref="Z202">IFERROR(INDEX(Ratings!$I$5:$I$500,MATCH(A202,Ratings!$A$5:$A$500,0)),"")</f>
        <v/>
      </c>
      <c r="AB202" s="18" t="inlineStr">
        <is>
          <t>U</t>
        </is>
      </c>
    </row>
    <row r="203" ht="15.75" customHeight="1" s="108">
      <c r="A203" s="18" t="inlineStr">
        <is>
          <t>F0199</t>
        </is>
      </c>
      <c r="B203" s="18" t="inlineStr">
        <is>
          <t>Les Misérables</t>
        </is>
      </c>
      <c r="C203" s="20" t="inlineStr">
        <is>
          <t>2012</t>
        </is>
      </c>
      <c r="D203" s="18" t="inlineStr">
        <is>
          <t>Blu-ray</t>
        </is>
      </c>
      <c r="E203" s="4" t="n"/>
      <c r="F203" s="19" t="n"/>
      <c r="G203" s="4" t="n"/>
      <c r="H203" s="4" t="n"/>
      <c r="I203" s="19" t="inlineStr">
        <is>
          <t>An adaptation of the successful stage musical based on Victor Hugo's classic novel set in 19th-century France. Jean Valjean, a man imprisoned for stealing bread, must flee a relentless policeman named Javert. The pursuit consumes both men's lives, and soon Valjean finds himself in the midst of the student revolutions in France.</t>
        </is>
      </c>
      <c r="J203" s="19" t="inlineStr">
        <is>
          <t>Tom Hooper</t>
        </is>
      </c>
      <c r="K203" s="19" t="n">
        <v>158</v>
      </c>
      <c r="L203" s="19" t="inlineStr">
        <is>
          <t>History, Drama</t>
        </is>
      </c>
      <c r="M203" s="19" t="inlineStr">
        <is>
          <t>Universal Pictures, Working Title Films, Cameron Mackintosh Ltd.</t>
        </is>
      </c>
      <c r="N203" s="19" t="inlineStr">
        <is>
          <t>https://huggingface.co/datasets/HenryWaltson/TMDB-IMDB-Movies-Dataset</t>
        </is>
      </c>
      <c r="O203" s="19" t="inlineStr">
        <is>
          <t>https://huggingface.co/datasets/HenryWaltson/TMDB-IMDB-Movies-Dataset</t>
        </is>
      </c>
      <c r="P203" s="18" t="inlineStr">
        <is>
          <t>Hugh Jackman</t>
        </is>
      </c>
      <c r="Q203" s="18" t="inlineStr">
        <is>
          <t>Russell Crowe</t>
        </is>
      </c>
      <c r="R203" s="18" t="inlineStr">
        <is>
          <t>Anne Hathaway</t>
        </is>
      </c>
      <c r="S203" s="18" t="inlineStr">
        <is>
          <t>Amanda Seyfried</t>
        </is>
      </c>
      <c r="T203" s="18" t="inlineStr">
        <is>
          <t>Sacha Baron Cohen</t>
        </is>
      </c>
      <c r="U203" s="24" t="n">
        <v>8</v>
      </c>
      <c r="V203" s="24" t="n">
        <v>3</v>
      </c>
      <c r="W203" s="18" t="inlineStr">
        <is>
          <t>Nominated</t>
        </is>
      </c>
      <c r="X203" s="25">
        <f t="array" ref="X203">IFERROR(INDEX(Ratings!$E$5:$E$500,MATCH(A203,Ratings!$A$5:$A$500,0)),"")</f>
        <v/>
      </c>
      <c r="Y203" s="24">
        <f t="array" ref="Y203">IFERROR(INDEX(Ratings!$G$5:$G$500,MATCH(A203,Ratings!$A$5:$A$500,0)),"")</f>
        <v/>
      </c>
      <c r="Z203" s="26">
        <f t="array" ref="Z203">IFERROR(INDEX(Ratings!$I$5:$I$500,MATCH(A203,Ratings!$A$5:$A$500,0)),"")</f>
        <v/>
      </c>
      <c r="AB203" s="18" t="inlineStr">
        <is>
          <t>12A</t>
        </is>
      </c>
    </row>
    <row r="204" ht="15.75" customHeight="1" s="108">
      <c r="A204" s="18" t="inlineStr">
        <is>
          <t>F0200</t>
        </is>
      </c>
      <c r="B204" s="18" t="inlineStr">
        <is>
          <t>The Lion King</t>
        </is>
      </c>
      <c r="C204" s="20" t="inlineStr">
        <is>
          <t>1994</t>
        </is>
      </c>
      <c r="D204" s="18" t="inlineStr">
        <is>
          <t>Blu-ray</t>
        </is>
      </c>
      <c r="E204" s="4" t="n"/>
      <c r="F204" s="19" t="n"/>
      <c r="G204" s="4" t="n"/>
      <c r="H204" s="4" t="n"/>
      <c r="I204" s="19" t="inlineStr">
        <is>
          <t>Best guess: 1994 animated version.</t>
        </is>
      </c>
      <c r="J204" s="19" t="inlineStr">
        <is>
          <t>Roger Allers, Rob Minkoff</t>
        </is>
      </c>
      <c r="K204" s="19" t="n">
        <v>89</v>
      </c>
      <c r="L204" s="19" t="inlineStr">
        <is>
          <t>Family, Animation, Drama</t>
        </is>
      </c>
      <c r="M204" s="19" t="inlineStr">
        <is>
          <t>Walt Disney Pictures, Walt Disney Feature Animation</t>
        </is>
      </c>
      <c r="N204" s="19" t="inlineStr">
        <is>
          <t>https://huggingface.co/datasets/HenryWaltson/TMDB-IMDB-Movies-Dataset</t>
        </is>
      </c>
      <c r="O204" s="19" t="inlineStr">
        <is>
          <t>https://huggingface.co/datasets/HenryWaltson/TMDB-IMDB-Movies-Dataset</t>
        </is>
      </c>
      <c r="P204" s="18" t="inlineStr">
        <is>
          <t>Matthew Broderick</t>
        </is>
      </c>
      <c r="Q204" s="18" t="inlineStr">
        <is>
          <t>Moira Kelly</t>
        </is>
      </c>
      <c r="R204" s="18" t="inlineStr">
        <is>
          <t>Nathan Lane</t>
        </is>
      </c>
      <c r="S204" s="18" t="inlineStr">
        <is>
          <t>Ernie Sabella</t>
        </is>
      </c>
      <c r="T204" s="18" t="inlineStr">
        <is>
          <t>James Earl Jones</t>
        </is>
      </c>
      <c r="U204" s="24" t="n">
        <v>3</v>
      </c>
      <c r="V204" s="24" t="n">
        <v>2</v>
      </c>
      <c r="W204" s="4" t="n"/>
      <c r="X204" s="25">
        <f t="array" ref="X204">IFERROR(INDEX(Ratings!$E$5:$E$500,MATCH(A204,Ratings!$A$5:$A$500,0)),"")</f>
        <v/>
      </c>
      <c r="Y204" s="24">
        <f t="array" ref="Y204">IFERROR(INDEX(Ratings!$G$5:$G$500,MATCH(A204,Ratings!$A$5:$A$500,0)),"")</f>
        <v/>
      </c>
      <c r="Z204" s="26">
        <f t="array" ref="Z204">IFERROR(INDEX(Ratings!$I$5:$I$500,MATCH(A204,Ratings!$A$5:$A$500,0)),"")</f>
        <v/>
      </c>
      <c r="AB204" s="18" t="inlineStr">
        <is>
          <t>U</t>
        </is>
      </c>
    </row>
    <row r="205" ht="15.75" customHeight="1" s="108">
      <c r="A205" s="18" t="inlineStr">
        <is>
          <t>F0201</t>
        </is>
      </c>
      <c r="B205" s="18" t="inlineStr">
        <is>
          <t>Logan</t>
        </is>
      </c>
      <c r="C205" s="20" t="inlineStr">
        <is>
          <t>2017</t>
        </is>
      </c>
      <c r="D205" s="18" t="inlineStr">
        <is>
          <t>Blu-ray</t>
        </is>
      </c>
      <c r="E205" s="18" t="inlineStr">
        <is>
          <t>X-Men</t>
        </is>
      </c>
      <c r="F205" s="19" t="n"/>
      <c r="G205" s="4" t="n"/>
      <c r="H205" s="4" t="n"/>
      <c r="I205" s="19" t="inlineStr">
        <is>
          <t>In the near future, a weary Logan cares for an ailing Professor X in a hideout on the Mexican border. But Logan's attempts to hide from the world and his legacy are upended when a young mutant arrives, pursued by dark forces.</t>
        </is>
      </c>
      <c r="J205" s="19" t="inlineStr">
        <is>
          <t>James Mangold</t>
        </is>
      </c>
      <c r="K205" s="19" t="n">
        <v>137</v>
      </c>
      <c r="L205" s="19" t="inlineStr">
        <is>
          <t>Action, Drama, Science Fiction</t>
        </is>
      </c>
      <c r="M205" s="19" t="inlineStr">
        <is>
          <t>Hutch Parker Entertainment, The Donners' Company, Genre Films</t>
        </is>
      </c>
      <c r="N205" s="19" t="inlineStr">
        <is>
          <t>https://huggingface.co/datasets/HenryWaltson/TMDB-IMDB-Movies-Dataset</t>
        </is>
      </c>
      <c r="O205" s="19" t="inlineStr">
        <is>
          <t>https://huggingface.co/datasets/HenryWaltson/TMDB-IMDB-Movies-Dataset</t>
        </is>
      </c>
      <c r="P205" s="18" t="inlineStr">
        <is>
          <t>Hugh Jackman</t>
        </is>
      </c>
      <c r="Q205" s="18" t="inlineStr">
        <is>
          <t>Dafne Keen</t>
        </is>
      </c>
      <c r="R205" s="18" t="inlineStr">
        <is>
          <t>Patrick Stewart</t>
        </is>
      </c>
      <c r="S205" s="18" t="inlineStr">
        <is>
          <t>Elizabeth Rodriguez</t>
        </is>
      </c>
      <c r="T205" s="18" t="inlineStr">
        <is>
          <t>Boyd Holbrook</t>
        </is>
      </c>
      <c r="U205" s="24" t="n">
        <v>1</v>
      </c>
      <c r="V205" s="24" t="n">
        <v>0</v>
      </c>
      <c r="W205" s="4" t="n"/>
      <c r="X205" s="25">
        <f t="array" ref="X205">IFERROR(INDEX(Ratings!$E$5:$E$500,MATCH(A205,Ratings!$A$5:$A$500,0)),"")</f>
        <v/>
      </c>
      <c r="Y205" s="24">
        <f t="array" ref="Y205">IFERROR(INDEX(Ratings!$G$5:$G$500,MATCH(A205,Ratings!$A$5:$A$500,0)),"")</f>
        <v/>
      </c>
      <c r="Z205" s="26">
        <f t="array" ref="Z205">IFERROR(INDEX(Ratings!$I$5:$I$500,MATCH(A205,Ratings!$A$5:$A$500,0)),"")</f>
        <v/>
      </c>
      <c r="AB205" s="18" t="inlineStr">
        <is>
          <t>15</t>
        </is>
      </c>
    </row>
    <row r="206" ht="15.75" customHeight="1" s="108">
      <c r="A206" s="18" t="inlineStr">
        <is>
          <t>F0202</t>
        </is>
      </c>
      <c r="B206" s="18" t="inlineStr">
        <is>
          <t>Lone Survivor</t>
        </is>
      </c>
      <c r="C206" s="20" t="inlineStr">
        <is>
          <t>2013</t>
        </is>
      </c>
      <c r="D206" s="18" t="inlineStr">
        <is>
          <t>Blu-ray</t>
        </is>
      </c>
      <c r="E206" s="4" t="n"/>
      <c r="F206" s="19" t="n"/>
      <c r="G206" s="4" t="n"/>
      <c r="H206" s="4" t="n"/>
      <c r="I206" s="19" t="inlineStr">
        <is>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is>
      </c>
      <c r="J206" s="19" t="inlineStr">
        <is>
          <t>Peter Berg</t>
        </is>
      </c>
      <c r="K206" s="19" t="n">
        <v>121</v>
      </c>
      <c r="L206" s="19" t="inlineStr">
        <is>
          <t>War, Action, Drama, History</t>
        </is>
      </c>
      <c r="M206" s="19" t="inlineStr">
        <is>
          <t>EFO Films, Envision Entertainment, Film 44</t>
        </is>
      </c>
      <c r="N206" s="19" t="inlineStr">
        <is>
          <t>https://huggingface.co/datasets/HenryWaltson/TMDB-IMDB-Movies-Dataset</t>
        </is>
      </c>
      <c r="O206" s="19" t="inlineStr">
        <is>
          <t>https://huggingface.co/datasets/HenryWaltson/TMDB-IMDB-Movies-Dataset</t>
        </is>
      </c>
      <c r="P206" s="18" t="inlineStr">
        <is>
          <t>Mark Wahlberg</t>
        </is>
      </c>
      <c r="Q206" s="18" t="inlineStr">
        <is>
          <t>Taylor Kitsch</t>
        </is>
      </c>
      <c r="R206" s="18" t="inlineStr">
        <is>
          <t>Emile Hirsch</t>
        </is>
      </c>
      <c r="S206" s="18" t="inlineStr">
        <is>
          <t>Ben Foster</t>
        </is>
      </c>
      <c r="T206" s="18" t="inlineStr">
        <is>
          <t>Eric Bana</t>
        </is>
      </c>
      <c r="U206" s="24" t="n">
        <v>2</v>
      </c>
      <c r="V206" s="24" t="n">
        <v>0</v>
      </c>
      <c r="W206" s="4" t="n"/>
      <c r="X206" s="25">
        <f t="array" ref="X206">IFERROR(INDEX(Ratings!$E$5:$E$500,MATCH(A206,Ratings!$A$5:$A$500,0)),"")</f>
        <v/>
      </c>
      <c r="Y206" s="24">
        <f t="array" ref="Y206">IFERROR(INDEX(Ratings!$G$5:$G$500,MATCH(A206,Ratings!$A$5:$A$500,0)),"")</f>
        <v/>
      </c>
      <c r="Z206" s="26">
        <f t="array" ref="Z206">IFERROR(INDEX(Ratings!$I$5:$I$500,MATCH(A206,Ratings!$A$5:$A$500,0)),"")</f>
        <v/>
      </c>
      <c r="AB206" s="18" t="inlineStr">
        <is>
          <t>15</t>
        </is>
      </c>
    </row>
    <row r="207" ht="15.75" customHeight="1" s="108">
      <c r="A207" s="18" t="inlineStr">
        <is>
          <t>F0203</t>
        </is>
      </c>
      <c r="B207" s="18" t="inlineStr">
        <is>
          <t>The Lord of the Rings: The Fellowship of the Ring</t>
        </is>
      </c>
      <c r="C207" s="20" t="inlineStr">
        <is>
          <t>2001</t>
        </is>
      </c>
      <c r="D207" s="18" t="inlineStr">
        <is>
          <t>Blu-ray</t>
        </is>
      </c>
      <c r="E207" s="18" t="inlineStr">
        <is>
          <t>Lord of the Rings</t>
        </is>
      </c>
      <c r="F207" s="19" t="inlineStr">
        <is>
          <t>The Lord of the Rings Trilogy (Box Set)</t>
        </is>
      </c>
      <c r="G207" s="4" t="n"/>
      <c r="H207" s="4" t="n"/>
      <c r="I207" s="19" t="inlineStr">
        <is>
          <t>Owned via The Lord of the Rings Trilogy (Box Set). Runtime shown is theatrical; verify if your set is the Extended Edition.</t>
        </is>
      </c>
      <c r="J207" s="19" t="inlineStr">
        <is>
          <t>Peter Jackson</t>
        </is>
      </c>
      <c r="K207" s="19" t="n">
        <v>178</v>
      </c>
      <c r="L207" s="19" t="inlineStr">
        <is>
          <t>Adventure, Fantasy</t>
        </is>
      </c>
      <c r="M207" s="19" t="inlineStr">
        <is>
          <t>New Line Cinema, WingNut Films</t>
        </is>
      </c>
      <c r="N207" s="19" t="inlineStr">
        <is>
          <t>https://huggingface.co/datasets/HenryWaltson/TMDB-IMDB-Movies-Dataset</t>
        </is>
      </c>
      <c r="O207" s="19" t="inlineStr">
        <is>
          <t>https://huggingface.co/datasets/HenryWaltson/TMDB-IMDB-Movies-Dataset</t>
        </is>
      </c>
      <c r="P207" s="18" t="inlineStr">
        <is>
          <t>Elijah Wood</t>
        </is>
      </c>
      <c r="Q207" s="18" t="inlineStr">
        <is>
          <t>Ian McKellen</t>
        </is>
      </c>
      <c r="R207" s="18" t="inlineStr">
        <is>
          <t>Viggo Mortensen</t>
        </is>
      </c>
      <c r="S207" s="18" t="inlineStr">
        <is>
          <t>Sean Astin</t>
        </is>
      </c>
      <c r="T207" s="18" t="inlineStr">
        <is>
          <t>Ian Holm</t>
        </is>
      </c>
      <c r="U207" s="24" t="n">
        <v>13</v>
      </c>
      <c r="V207" s="24" t="n">
        <v>4</v>
      </c>
      <c r="W207" s="18" t="inlineStr">
        <is>
          <t>Nominated</t>
        </is>
      </c>
      <c r="X207" s="25">
        <f t="array" ref="X207">IFERROR(INDEX(Ratings!$E$5:$E$500,MATCH(A207,Ratings!$A$5:$A$500,0)),"")</f>
        <v/>
      </c>
      <c r="Y207" s="24">
        <f t="array" ref="Y207">IFERROR(INDEX(Ratings!$G$5:$G$500,MATCH(A207,Ratings!$A$5:$A$500,0)),"")</f>
        <v/>
      </c>
      <c r="Z207" s="26">
        <f t="array" ref="Z207">IFERROR(INDEX(Ratings!$I$5:$I$500,MATCH(A207,Ratings!$A$5:$A$500,0)),"")</f>
        <v/>
      </c>
      <c r="AB207" s="18" t="inlineStr">
        <is>
          <t>PG</t>
        </is>
      </c>
    </row>
    <row r="208" ht="15.75" customHeight="1" s="108">
      <c r="A208" s="18" t="inlineStr">
        <is>
          <t>F0204</t>
        </is>
      </c>
      <c r="B208" s="18" t="inlineStr">
        <is>
          <t>The Lord of the Rings: The Two Towers</t>
        </is>
      </c>
      <c r="C208" s="20" t="inlineStr">
        <is>
          <t>2002</t>
        </is>
      </c>
      <c r="D208" s="18" t="inlineStr">
        <is>
          <t>Blu-ray</t>
        </is>
      </c>
      <c r="E208" s="18" t="inlineStr">
        <is>
          <t>Lord of the Rings</t>
        </is>
      </c>
      <c r="F208" s="19" t="inlineStr">
        <is>
          <t>The Lord of the Rings Trilogy (Box Set)</t>
        </is>
      </c>
      <c r="G208" s="4" t="n"/>
      <c r="H208" s="4" t="n"/>
      <c r="I208" s="19" t="inlineStr">
        <is>
          <t>Owned via The Lord of the Rings Trilogy (Box Set). Runtime shown is theatrical; verify if your set is the Extended Edition.</t>
        </is>
      </c>
      <c r="J208" s="19" t="inlineStr">
        <is>
          <t>Peter Jackson</t>
        </is>
      </c>
      <c r="K208" s="19" t="n">
        <v>179</v>
      </c>
      <c r="L208" s="19" t="inlineStr">
        <is>
          <t>Adventure, Fantasy</t>
        </is>
      </c>
      <c r="M208" s="19" t="inlineStr">
        <is>
          <t>New Line Cinema, WingNut Films</t>
        </is>
      </c>
      <c r="N208" s="19" t="inlineStr">
        <is>
          <t>https://huggingface.co/datasets/HenryWaltson/TMDB-IMDB-Movies-Dataset</t>
        </is>
      </c>
      <c r="O208" s="19" t="inlineStr">
        <is>
          <t>https://huggingface.co/datasets/HenryWaltson/TMDB-IMDB-Movies-Dataset</t>
        </is>
      </c>
      <c r="P208" s="18" t="inlineStr">
        <is>
          <t>Elijah Wood</t>
        </is>
      </c>
      <c r="Q208" s="18" t="inlineStr">
        <is>
          <t>Ian McKellen</t>
        </is>
      </c>
      <c r="R208" s="18" t="inlineStr">
        <is>
          <t>Viggo Mortensen</t>
        </is>
      </c>
      <c r="S208" s="18" t="inlineStr">
        <is>
          <t>Sean Astin</t>
        </is>
      </c>
      <c r="T208" s="18" t="inlineStr">
        <is>
          <t>Andy Serkis</t>
        </is>
      </c>
      <c r="U208" s="24" t="n">
        <v>6</v>
      </c>
      <c r="V208" s="24" t="n">
        <v>2</v>
      </c>
      <c r="W208" s="18" t="inlineStr">
        <is>
          <t>Nominated</t>
        </is>
      </c>
      <c r="X208" s="25">
        <f t="array" ref="X208">IFERROR(INDEX(Ratings!$E$5:$E$500,MATCH(A208,Ratings!$A$5:$A$500,0)),"")</f>
        <v/>
      </c>
      <c r="Y208" s="24">
        <f t="array" ref="Y208">IFERROR(INDEX(Ratings!$G$5:$G$500,MATCH(A208,Ratings!$A$5:$A$500,0)),"")</f>
        <v/>
      </c>
      <c r="Z208" s="26">
        <f t="array" ref="Z208">IFERROR(INDEX(Ratings!$I$5:$I$500,MATCH(A208,Ratings!$A$5:$A$500,0)),"")</f>
        <v/>
      </c>
      <c r="AB208" s="18" t="inlineStr">
        <is>
          <t>12A</t>
        </is>
      </c>
    </row>
    <row r="209" ht="15.75" customHeight="1" s="108">
      <c r="A209" s="18" t="inlineStr">
        <is>
          <t>F0205</t>
        </is>
      </c>
      <c r="B209" s="18" t="inlineStr">
        <is>
          <t>The Lord of the Rings: The Return of the King</t>
        </is>
      </c>
      <c r="C209" s="20" t="inlineStr">
        <is>
          <t>2003</t>
        </is>
      </c>
      <c r="D209" s="18" t="inlineStr">
        <is>
          <t>Blu-ray</t>
        </is>
      </c>
      <c r="E209" s="18" t="inlineStr">
        <is>
          <t>Lord of the Rings</t>
        </is>
      </c>
      <c r="F209" s="19" t="inlineStr">
        <is>
          <t>The Lord of the Rings Trilogy (Box Set)</t>
        </is>
      </c>
      <c r="G209" s="4" t="n"/>
      <c r="H209" s="4" t="n"/>
      <c r="I209" s="19" t="inlineStr">
        <is>
          <t>Owned via The Lord of the Rings Trilogy (Box Set). Runtime shown is theatrical; verify if your set is the Extended Edition.</t>
        </is>
      </c>
      <c r="J209" s="19" t="inlineStr">
        <is>
          <t>Peter Jackson</t>
        </is>
      </c>
      <c r="K209" s="19" t="n">
        <v>201</v>
      </c>
      <c r="L209" s="19" t="inlineStr">
        <is>
          <t>Adventure, Fantasy</t>
        </is>
      </c>
      <c r="M209" s="19" t="inlineStr">
        <is>
          <t>New Line Cinema, WingNut Films</t>
        </is>
      </c>
      <c r="N209" s="19" t="inlineStr">
        <is>
          <t>https://huggingface.co/datasets/HenryWaltson/TMDB-IMDB-Movies-Dataset</t>
        </is>
      </c>
      <c r="O209" s="19" t="inlineStr">
        <is>
          <t>https://huggingface.co/datasets/HenryWaltson/TMDB-IMDB-Movies-Dataset</t>
        </is>
      </c>
      <c r="P209" s="18" t="inlineStr">
        <is>
          <t>Elijah Wood</t>
        </is>
      </c>
      <c r="Q209" s="18" t="inlineStr">
        <is>
          <t>Ian McKellen</t>
        </is>
      </c>
      <c r="R209" s="18" t="inlineStr">
        <is>
          <t>Viggo Mortensen</t>
        </is>
      </c>
      <c r="S209" s="18" t="inlineStr">
        <is>
          <t>Sean Astin</t>
        </is>
      </c>
      <c r="T209" s="18" t="inlineStr">
        <is>
          <t>Andy Serkis</t>
        </is>
      </c>
      <c r="U209" s="24" t="n">
        <v>11</v>
      </c>
      <c r="V209" s="24" t="n">
        <v>11</v>
      </c>
      <c r="W209" s="18" t="inlineStr">
        <is>
          <t>Winner</t>
        </is>
      </c>
      <c r="X209" s="25">
        <f t="array" ref="X209">IFERROR(INDEX(Ratings!$E$5:$E$500,MATCH(A209,Ratings!$A$5:$A$500,0)),"")</f>
        <v/>
      </c>
      <c r="Y209" s="24">
        <f t="array" ref="Y209">IFERROR(INDEX(Ratings!$G$5:$G$500,MATCH(A209,Ratings!$A$5:$A$500,0)),"")</f>
        <v/>
      </c>
      <c r="Z209" s="26">
        <f t="array" ref="Z209">IFERROR(INDEX(Ratings!$I$5:$I$500,MATCH(A209,Ratings!$A$5:$A$500,0)),"")</f>
        <v/>
      </c>
      <c r="AB209" s="18" t="inlineStr">
        <is>
          <t>12A</t>
        </is>
      </c>
    </row>
    <row r="210" ht="15.75" customHeight="1" s="108">
      <c r="A210" s="18" t="inlineStr">
        <is>
          <t>F0206</t>
        </is>
      </c>
      <c r="B210" s="18" t="inlineStr">
        <is>
          <t>Magic Mike</t>
        </is>
      </c>
      <c r="C210" s="20" t="inlineStr">
        <is>
          <t>2012</t>
        </is>
      </c>
      <c r="D210" s="18" t="inlineStr">
        <is>
          <t>Blu-ray</t>
        </is>
      </c>
      <c r="E210" s="4" t="n"/>
      <c r="F210" s="19" t="n"/>
      <c r="G210" s="4" t="n"/>
      <c r="H210" s="4" t="n"/>
      <c r="I210" s="19" t="inlineStr">
        <is>
          <t>Mike, an experienced stripper, takes a younger performer called The Kid under his wing and schools him in the arts of partying, picking up women, and making easy money.</t>
        </is>
      </c>
      <c r="J210" s="19" t="inlineStr">
        <is>
          <t>Steven Soderbergh</t>
        </is>
      </c>
      <c r="K210" s="19" t="n">
        <v>110</v>
      </c>
      <c r="L210" s="19" t="inlineStr">
        <is>
          <t>Drama, Comedy</t>
        </is>
      </c>
      <c r="M210" s="19" t="inlineStr">
        <is>
          <t>Iron Horse Entertainment, Extension 765</t>
        </is>
      </c>
      <c r="N210" s="19" t="inlineStr">
        <is>
          <t>https://huggingface.co/datasets/HenryWaltson/TMDB-IMDB-Movies-Dataset</t>
        </is>
      </c>
      <c r="O210" s="19" t="inlineStr">
        <is>
          <t>https://huggingface.co/datasets/HenryWaltson/TMDB-IMDB-Movies-Dataset</t>
        </is>
      </c>
      <c r="P210" s="18" t="inlineStr">
        <is>
          <t>Channing Tatum</t>
        </is>
      </c>
      <c r="Q210" s="18" t="inlineStr">
        <is>
          <t>Matthew McConaughey</t>
        </is>
      </c>
      <c r="R210" s="18" t="inlineStr">
        <is>
          <t>Alex Pettyfer</t>
        </is>
      </c>
      <c r="S210" s="18" t="inlineStr">
        <is>
          <t>Cody H. Carolin</t>
        </is>
      </c>
      <c r="T210" s="18" t="inlineStr">
        <is>
          <t>Olivia Munn</t>
        </is>
      </c>
      <c r="U210" s="24" t="n">
        <v>0</v>
      </c>
      <c r="V210" s="24" t="n">
        <v>0</v>
      </c>
      <c r="W210" s="4" t="n"/>
      <c r="X210" s="25">
        <f t="array" ref="X210">IFERROR(INDEX(Ratings!$E$5:$E$500,MATCH(A210,Ratings!$A$5:$A$500,0)),"")</f>
        <v/>
      </c>
      <c r="Y210" s="24">
        <f t="array" ref="Y210">IFERROR(INDEX(Ratings!$G$5:$G$500,MATCH(A210,Ratings!$A$5:$A$500,0)),"")</f>
        <v/>
      </c>
      <c r="Z210" s="26">
        <f t="array" ref="Z210">IFERROR(INDEX(Ratings!$I$5:$I$500,MATCH(A210,Ratings!$A$5:$A$500,0)),"")</f>
        <v/>
      </c>
      <c r="AB210" s="18" t="inlineStr">
        <is>
          <t>15</t>
        </is>
      </c>
    </row>
    <row r="211" ht="15.75" customHeight="1" s="108">
      <c r="A211" s="18" t="inlineStr">
        <is>
          <t>F0207</t>
        </is>
      </c>
      <c r="B211" s="18" t="inlineStr">
        <is>
          <t>The Magnificent Seven</t>
        </is>
      </c>
      <c r="C211" s="20" t="inlineStr">
        <is>
          <t>2016</t>
        </is>
      </c>
      <c r="D211" s="18" t="inlineStr">
        <is>
          <t>Blu-ray</t>
        </is>
      </c>
      <c r="E211" s="4" t="n"/>
      <c r="F211" s="19" t="n"/>
      <c r="G211" s="4" t="n"/>
      <c r="H211" s="4" t="n"/>
      <c r="I211" s="19" t="inlineStr">
        <is>
          <t>Best guess: 2016 remake.</t>
        </is>
      </c>
      <c r="J211" s="19" t="inlineStr">
        <is>
          <t>Antoine Fuqua</t>
        </is>
      </c>
      <c r="K211" s="19" t="n">
        <v>132</v>
      </c>
      <c r="L211" s="19" t="inlineStr">
        <is>
          <t>Adventure, Action, Western</t>
        </is>
      </c>
      <c r="M211" s="19" t="inlineStr">
        <is>
          <t>Escape Artists, Columbia Pictures, Village Roadshow Pictures</t>
        </is>
      </c>
      <c r="N211" s="19" t="inlineStr">
        <is>
          <t>https://huggingface.co/datasets/HenryWaltson/TMDB-IMDB-Movies-Dataset</t>
        </is>
      </c>
      <c r="O211" s="19" t="inlineStr">
        <is>
          <t>https://huggingface.co/datasets/HenryWaltson/TMDB-IMDB-Movies-Dataset</t>
        </is>
      </c>
      <c r="P211" s="18" t="inlineStr">
        <is>
          <t>Denzel Washington</t>
        </is>
      </c>
      <c r="Q211" s="18" t="inlineStr">
        <is>
          <t>Chris Pratt</t>
        </is>
      </c>
      <c r="R211" s="18" t="inlineStr">
        <is>
          <t>Ethan Hawke</t>
        </is>
      </c>
      <c r="S211" s="18" t="inlineStr">
        <is>
          <t>Vincent D'Onofrio</t>
        </is>
      </c>
      <c r="T211" s="18" t="inlineStr">
        <is>
          <t>Lee Byung-hun</t>
        </is>
      </c>
      <c r="U211" s="24" t="n">
        <v>0</v>
      </c>
      <c r="V211" s="24" t="n">
        <v>0</v>
      </c>
      <c r="W211" s="4" t="n"/>
      <c r="X211" s="25">
        <f t="array" ref="X211">IFERROR(INDEX(Ratings!$E$5:$E$500,MATCH(A211,Ratings!$A$5:$A$500,0)),"")</f>
        <v/>
      </c>
      <c r="Y211" s="24">
        <f t="array" ref="Y211">IFERROR(INDEX(Ratings!$G$5:$G$500,MATCH(A211,Ratings!$A$5:$A$500,0)),"")</f>
        <v/>
      </c>
      <c r="Z211" s="26">
        <f t="array" ref="Z211">IFERROR(INDEX(Ratings!$I$5:$I$500,MATCH(A211,Ratings!$A$5:$A$500,0)),"")</f>
        <v/>
      </c>
      <c r="AB211" s="18" t="inlineStr">
        <is>
          <t>12A</t>
        </is>
      </c>
    </row>
    <row r="212" ht="15.75" customHeight="1" s="108">
      <c r="A212" s="18" t="inlineStr">
        <is>
          <t>F0208</t>
        </is>
      </c>
      <c r="B212" s="18" t="inlineStr">
        <is>
          <t>Maleficent</t>
        </is>
      </c>
      <c r="C212" s="20" t="inlineStr">
        <is>
          <t>2014</t>
        </is>
      </c>
      <c r="D212" s="18" t="inlineStr">
        <is>
          <t>Blu-ray</t>
        </is>
      </c>
      <c r="E212" s="4" t="n"/>
      <c r="F212" s="19" t="n"/>
      <c r="G212" s="4" t="n"/>
      <c r="H212" s="4" t="n"/>
      <c r="I212" s="19" t="inlineStr">
        <is>
          <t>A beautiful, pure-hearted young woman, Maleficent has an idyllic life growing up in a peaceable forest kingdom, until one day when an invading army threatens the harmony of the land. She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is>
      </c>
      <c r="J212" s="19" t="inlineStr">
        <is>
          <t>Robert Stromberg</t>
        </is>
      </c>
      <c r="K212" s="19" t="n">
        <v>97</v>
      </c>
      <c r="L212" s="19" t="inlineStr">
        <is>
          <t>Fantasy, Adventure, Action, Family, Romance</t>
        </is>
      </c>
      <c r="M212" s="19" t="inlineStr">
        <is>
          <t>Walt Disney Pictures, Roth Films</t>
        </is>
      </c>
      <c r="N212" s="19" t="inlineStr">
        <is>
          <t>https://huggingface.co/datasets/HenryWaltson/TMDB-IMDB-Movies-Dataset</t>
        </is>
      </c>
      <c r="O212" s="19" t="inlineStr">
        <is>
          <t>https://huggingface.co/datasets/HenryWaltson/TMDB-IMDB-Movies-Dataset</t>
        </is>
      </c>
      <c r="P212" s="18" t="inlineStr">
        <is>
          <t>Angelina Jolie</t>
        </is>
      </c>
      <c r="Q212" s="18" t="inlineStr">
        <is>
          <t>Elle Fanning</t>
        </is>
      </c>
      <c r="R212" s="18" t="inlineStr">
        <is>
          <t>Imelda Staunton</t>
        </is>
      </c>
      <c r="S212" s="18" t="inlineStr">
        <is>
          <t>Sharlto Copley</t>
        </is>
      </c>
      <c r="T212" s="18" t="inlineStr">
        <is>
          <t>Lesley Manville</t>
        </is>
      </c>
      <c r="U212" s="24" t="n">
        <v>1</v>
      </c>
      <c r="V212" s="24" t="n">
        <v>0</v>
      </c>
      <c r="W212" s="4" t="n"/>
      <c r="X212" s="25">
        <f t="array" ref="X212">IFERROR(INDEX(Ratings!$E$5:$E$500,MATCH(A212,Ratings!$A$5:$A$500,0)),"")</f>
        <v/>
      </c>
      <c r="Y212" s="24">
        <f t="array" ref="Y212">IFERROR(INDEX(Ratings!$G$5:$G$500,MATCH(A212,Ratings!$A$5:$A$500,0)),"")</f>
        <v/>
      </c>
      <c r="Z212" s="26">
        <f t="array" ref="Z212">IFERROR(INDEX(Ratings!$I$5:$I$500,MATCH(A212,Ratings!$A$5:$A$500,0)),"")</f>
        <v/>
      </c>
      <c r="AB212" s="18" t="inlineStr">
        <is>
          <t>PG</t>
        </is>
      </c>
    </row>
    <row r="213" ht="15.75" customHeight="1" s="108">
      <c r="A213" s="18" t="inlineStr">
        <is>
          <t>F0209</t>
        </is>
      </c>
      <c r="B213" s="18" t="inlineStr">
        <is>
          <t>Mamma Mia!</t>
        </is>
      </c>
      <c r="C213" s="20" t="inlineStr">
        <is>
          <t>2008</t>
        </is>
      </c>
      <c r="D213" s="18" t="inlineStr">
        <is>
          <t>Blu-ray</t>
        </is>
      </c>
      <c r="E213" s="4" t="n"/>
      <c r="F213" s="19" t="n"/>
      <c r="G213" s="4" t="n"/>
      <c r="H213" s="4" t="n"/>
      <c r="I213" s="19" t="inlineStr">
        <is>
          <t>A spirited young bride-to-be living with her single mother on a small Greek island secretly invites three of her mother's ex-boyfriends in hope of finding her biological father to walk her down the aisle.</t>
        </is>
      </c>
      <c r="J213" s="19" t="inlineStr">
        <is>
          <t>Phyllida Lloyd</t>
        </is>
      </c>
      <c r="K213" s="19" t="n">
        <v>108</v>
      </c>
      <c r="L213" s="19" t="inlineStr">
        <is>
          <t>Comedy, Romance</t>
        </is>
      </c>
      <c r="M213" s="19" t="inlineStr">
        <is>
          <t>Littlestar, Playtone, Internationale Filmproduktion Richter</t>
        </is>
      </c>
      <c r="N213" s="19" t="inlineStr">
        <is>
          <t>https://huggingface.co/datasets/HenryWaltson/TMDB-IMDB-Movies-Dataset</t>
        </is>
      </c>
      <c r="O213" s="19" t="inlineStr">
        <is>
          <t>https://huggingface.co/datasets/HenryWaltson/TMDB-IMDB-Movies-Dataset</t>
        </is>
      </c>
      <c r="P213" s="18" t="inlineStr">
        <is>
          <t>Meryl Streep</t>
        </is>
      </c>
      <c r="Q213" s="18" t="inlineStr">
        <is>
          <t>Amanda Seyfried</t>
        </is>
      </c>
      <c r="R213" s="18" t="inlineStr">
        <is>
          <t>Pierce Brosnan</t>
        </is>
      </c>
      <c r="S213" s="18" t="inlineStr">
        <is>
          <t>Colin Firth</t>
        </is>
      </c>
      <c r="T213" s="18" t="inlineStr">
        <is>
          <t>Stellan Skarsgård</t>
        </is>
      </c>
      <c r="U213" s="24" t="n">
        <v>0</v>
      </c>
      <c r="V213" s="24" t="n">
        <v>0</v>
      </c>
      <c r="W213" s="4" t="n"/>
      <c r="X213" s="25">
        <f t="array" ref="X213">IFERROR(INDEX(Ratings!$E$5:$E$500,MATCH(A213,Ratings!$A$5:$A$500,0)),"")</f>
        <v/>
      </c>
      <c r="Y213" s="24">
        <f t="array" ref="Y213">IFERROR(INDEX(Ratings!$G$5:$G$500,MATCH(A213,Ratings!$A$5:$A$500,0)),"")</f>
        <v/>
      </c>
      <c r="Z213" s="26">
        <f t="array" ref="Z213">IFERROR(INDEX(Ratings!$I$5:$I$500,MATCH(A213,Ratings!$A$5:$A$500,0)),"")</f>
        <v/>
      </c>
      <c r="AB213" s="18" t="inlineStr">
        <is>
          <t>PG</t>
        </is>
      </c>
    </row>
    <row r="214" ht="15.75" customHeight="1" s="108">
      <c r="A214" s="18" t="inlineStr">
        <is>
          <t>F0210</t>
        </is>
      </c>
      <c r="B214" s="18" t="inlineStr">
        <is>
          <t>Man on a Ledge</t>
        </is>
      </c>
      <c r="C214" s="20" t="inlineStr">
        <is>
          <t>2012</t>
        </is>
      </c>
      <c r="D214" s="18" t="inlineStr">
        <is>
          <t>Blu-ray</t>
        </is>
      </c>
      <c r="E214" s="4" t="n"/>
      <c r="F214" s="19" t="n"/>
      <c r="G214" s="4" t="n"/>
      <c r="H214" s="4" t="n"/>
      <c r="I214" s="19" t="inlineStr">
        <is>
          <t>An ex-cop turned con threatens to jump to his death from a Manhattan hotel rooftop. The NYPD dispatch a female police psychologist to talk him down. However, unbeknownst to the police on the scene, the suicide attempt is a cover for the biggest diamond heist ever pulled.</t>
        </is>
      </c>
      <c r="J214" s="19" t="inlineStr">
        <is>
          <t>Asger Leth</t>
        </is>
      </c>
      <c r="K214" s="19" t="n">
        <v>102</v>
      </c>
      <c r="L214" s="19" t="inlineStr">
        <is>
          <t>Action, Thriller, Crime</t>
        </is>
      </c>
      <c r="M214" s="19" t="inlineStr">
        <is>
          <t>Summit Entertainment, di Bonaventura Pictures</t>
        </is>
      </c>
      <c r="N214" s="19" t="inlineStr">
        <is>
          <t>https://huggingface.co/datasets/HenryWaltson/TMDB-IMDB-Movies-Dataset</t>
        </is>
      </c>
      <c r="O214" s="19" t="inlineStr">
        <is>
          <t>https://huggingface.co/datasets/HenryWaltson/TMDB-IMDB-Movies-Dataset</t>
        </is>
      </c>
      <c r="P214" s="18" t="inlineStr">
        <is>
          <t>Sam Worthington</t>
        </is>
      </c>
      <c r="Q214" s="18" t="inlineStr">
        <is>
          <t>Elizabeth Banks</t>
        </is>
      </c>
      <c r="R214" s="18" t="inlineStr">
        <is>
          <t>Jamie Bell</t>
        </is>
      </c>
      <c r="S214" s="18" t="inlineStr">
        <is>
          <t>Anthony Mackie</t>
        </is>
      </c>
      <c r="T214" s="18" t="inlineStr">
        <is>
          <t>Edward Burns</t>
        </is>
      </c>
      <c r="U214" s="24" t="n">
        <v>0</v>
      </c>
      <c r="V214" s="24" t="n">
        <v>0</v>
      </c>
      <c r="W214" s="4" t="n"/>
      <c r="X214" s="25">
        <f t="array" ref="X214">IFERROR(INDEX(Ratings!$E$5:$E$500,MATCH(A214,Ratings!$A$5:$A$500,0)),"")</f>
        <v/>
      </c>
      <c r="Y214" s="24">
        <f t="array" ref="Y214">IFERROR(INDEX(Ratings!$G$5:$G$500,MATCH(A214,Ratings!$A$5:$A$500,0)),"")</f>
        <v/>
      </c>
      <c r="Z214" s="26">
        <f t="array" ref="Z214">IFERROR(INDEX(Ratings!$I$5:$I$500,MATCH(A214,Ratings!$A$5:$A$500,0)),"")</f>
        <v/>
      </c>
      <c r="AB214" s="18" t="inlineStr">
        <is>
          <t>12A</t>
        </is>
      </c>
    </row>
    <row r="215" ht="15.75" customHeight="1" s="108">
      <c r="A215" s="18" t="inlineStr">
        <is>
          <t>F0211</t>
        </is>
      </c>
      <c r="B215" s="18" t="inlineStr">
        <is>
          <t>Man of Steel</t>
        </is>
      </c>
      <c r="C215" s="20" t="inlineStr">
        <is>
          <t>2013</t>
        </is>
      </c>
      <c r="D215" s="18" t="inlineStr">
        <is>
          <t>Blu-ray</t>
        </is>
      </c>
      <c r="E215" s="4" t="n"/>
      <c r="F215" s="19" t="n"/>
      <c r="G215" s="4" t="n"/>
      <c r="H215" s="4" t="n"/>
      <c r="I215" s="19" t="inlineStr">
        <is>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is>
      </c>
      <c r="J215" s="19" t="inlineStr">
        <is>
          <t>Zack Snyder</t>
        </is>
      </c>
      <c r="K215" s="19" t="n">
        <v>143</v>
      </c>
      <c r="L215" s="19" t="inlineStr">
        <is>
          <t>Action, Adventure, Science Fiction</t>
        </is>
      </c>
      <c r="M215" s="19" t="inlineStr">
        <is>
          <t>DC Entertainment, Syncopy, Peters Entertainment</t>
        </is>
      </c>
      <c r="N215" s="19" t="inlineStr">
        <is>
          <t>https://huggingface.co/datasets/HenryWaltson/TMDB-IMDB-Movies-Dataset</t>
        </is>
      </c>
      <c r="O215" s="19" t="inlineStr">
        <is>
          <t>https://huggingface.co/datasets/HenryWaltson/TMDB-IMDB-Movies-Dataset</t>
        </is>
      </c>
      <c r="P215" s="18" t="inlineStr">
        <is>
          <t>Henry Cavill</t>
        </is>
      </c>
      <c r="Q215" s="18" t="inlineStr">
        <is>
          <t>Amy Adams</t>
        </is>
      </c>
      <c r="R215" s="18" t="inlineStr">
        <is>
          <t>Michael Shannon</t>
        </is>
      </c>
      <c r="S215" s="18" t="inlineStr">
        <is>
          <t>Diane Lane</t>
        </is>
      </c>
      <c r="T215" s="18" t="inlineStr">
        <is>
          <t>Russell Crowe</t>
        </is>
      </c>
      <c r="U215" s="24" t="n">
        <v>0</v>
      </c>
      <c r="V215" s="24" t="n">
        <v>0</v>
      </c>
      <c r="W215" s="4" t="n"/>
      <c r="X215" s="25">
        <f t="array" ref="X215">IFERROR(INDEX(Ratings!$E$5:$E$500,MATCH(A215,Ratings!$A$5:$A$500,0)),"")</f>
        <v/>
      </c>
      <c r="Y215" s="24">
        <f t="array" ref="Y215">IFERROR(INDEX(Ratings!$G$5:$G$500,MATCH(A215,Ratings!$A$5:$A$500,0)),"")</f>
        <v/>
      </c>
      <c r="Z215" s="26">
        <f t="array" ref="Z215">IFERROR(INDEX(Ratings!$I$5:$I$500,MATCH(A215,Ratings!$A$5:$A$500,0)),"")</f>
        <v/>
      </c>
      <c r="AB215" s="18" t="inlineStr">
        <is>
          <t>12A</t>
        </is>
      </c>
    </row>
    <row r="216" ht="15.75" customHeight="1" s="108">
      <c r="A216" s="18" t="inlineStr">
        <is>
          <t>F0212</t>
        </is>
      </c>
      <c r="B216" s="18" t="inlineStr">
        <is>
          <t>The Super Mario Bros. Movie</t>
        </is>
      </c>
      <c r="C216" s="20" t="inlineStr">
        <is>
          <t>2023</t>
        </is>
      </c>
      <c r="D216" s="18" t="inlineStr">
        <is>
          <t>Blu-ray</t>
        </is>
      </c>
      <c r="E216" s="4" t="n"/>
      <c r="F216" s="19" t="n"/>
      <c r="G216" s="4" t="n"/>
      <c r="H216" s="4" t="n"/>
      <c r="I216" s="19" t="inlineStr">
        <is>
          <t>While working underground to fix a water main, Brooklyn plumbers—and brothers—Mario and Luigi are transported down a mysterious pipe and wander into a magical new world. But when the brothers are separated, Mario embarks on an epic quest to find Luigi.</t>
        </is>
      </c>
      <c r="J216" s="19" t="inlineStr">
        <is>
          <t>Aaron Horvath, Michael Jelenic, Pierre Leduc, Fabien Polack</t>
        </is>
      </c>
      <c r="K216" s="19" t="n">
        <v>93</v>
      </c>
      <c r="L216" s="19" t="inlineStr">
        <is>
          <t>Animation, Family, Adventure, Fantasy, Comedy</t>
        </is>
      </c>
      <c r="M216" s="19" t="inlineStr">
        <is>
          <t>Universal Pictures, Illumination, Nintendo</t>
        </is>
      </c>
      <c r="N216" s="19" t="inlineStr">
        <is>
          <t>https://huggingface.co/datasets/HenryWaltson/TMDB-IMDB-Movies-Dataset</t>
        </is>
      </c>
      <c r="O216" s="19" t="inlineStr">
        <is>
          <t>https://huggingface.co/datasets/HenryWaltson/TMDB-IMDB-Movies-Dataset</t>
        </is>
      </c>
      <c r="P216" s="18" t="inlineStr">
        <is>
          <t>Chris Pratt</t>
        </is>
      </c>
      <c r="Q216" s="18" t="inlineStr">
        <is>
          <t>Anya Taylor-Joy</t>
        </is>
      </c>
      <c r="R216" s="18" t="inlineStr">
        <is>
          <t>Charlie Day</t>
        </is>
      </c>
      <c r="S216" s="18" t="inlineStr">
        <is>
          <t>Jack Black</t>
        </is>
      </c>
      <c r="T216" s="18" t="inlineStr">
        <is>
          <t>Keegan-Michael Key</t>
        </is>
      </c>
      <c r="U216" s="24" t="n">
        <v>0</v>
      </c>
      <c r="V216" s="24" t="n">
        <v>0</v>
      </c>
      <c r="W216" s="4" t="n"/>
      <c r="X216" s="25">
        <f t="array" ref="X216">IFERROR(INDEX(Ratings!$E$5:$E$500,MATCH(A216,Ratings!$A$5:$A$500,0)),"")</f>
        <v/>
      </c>
      <c r="Y216" s="24">
        <f t="array" ref="Y216">IFERROR(INDEX(Ratings!$G$5:$G$500,MATCH(A216,Ratings!$A$5:$A$500,0)),"")</f>
        <v/>
      </c>
      <c r="Z216" s="26">
        <f t="array" ref="Z216">IFERROR(INDEX(Ratings!$I$5:$I$500,MATCH(A216,Ratings!$A$5:$A$500,0)),"")</f>
        <v/>
      </c>
      <c r="AB216" s="18" t="inlineStr">
        <is>
          <t>PG</t>
        </is>
      </c>
    </row>
    <row r="217" ht="15.75" customHeight="1" s="108">
      <c r="A217" s="18" t="inlineStr">
        <is>
          <t>F0213</t>
        </is>
      </c>
      <c r="B217" s="18" t="inlineStr">
        <is>
          <t>The Martian</t>
        </is>
      </c>
      <c r="C217" s="20" t="inlineStr">
        <is>
          <t>2015</t>
        </is>
      </c>
      <c r="D217" s="18" t="inlineStr">
        <is>
          <t>Blu-ray</t>
        </is>
      </c>
      <c r="E217" s="4" t="n"/>
      <c r="F217" s="19" t="n"/>
      <c r="G217" s="4" t="n"/>
      <c r="H217" s="4" t="n"/>
      <c r="I217" s="19" t="inlineStr">
        <is>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is>
      </c>
      <c r="J217" s="19" t="inlineStr">
        <is>
          <t>Ridley Scott</t>
        </is>
      </c>
      <c r="K217" s="19" t="n">
        <v>141</v>
      </c>
      <c r="L217" s="19" t="inlineStr">
        <is>
          <t>Drama, Adventure, Science Fiction</t>
        </is>
      </c>
      <c r="M217" s="19" t="inlineStr">
        <is>
          <t>Scott Free Productions, Genre Films</t>
        </is>
      </c>
      <c r="N217" s="19" t="inlineStr">
        <is>
          <t>https://huggingface.co/datasets/HenryWaltson/TMDB-IMDB-Movies-Dataset</t>
        </is>
      </c>
      <c r="O217" s="19" t="inlineStr">
        <is>
          <t>https://huggingface.co/datasets/HenryWaltson/TMDB-IMDB-Movies-Dataset</t>
        </is>
      </c>
      <c r="P217" s="18" t="inlineStr">
        <is>
          <t>Matt Damon</t>
        </is>
      </c>
      <c r="Q217" s="18" t="inlineStr">
        <is>
          <t>Jessica Chastain</t>
        </is>
      </c>
      <c r="R217" s="18" t="inlineStr">
        <is>
          <t>Kristen Wiig</t>
        </is>
      </c>
      <c r="S217" s="18" t="inlineStr">
        <is>
          <t>Jeff Daniels</t>
        </is>
      </c>
      <c r="T217" s="18" t="inlineStr">
        <is>
          <t>Michael Peña</t>
        </is>
      </c>
      <c r="U217" s="24" t="n">
        <v>7</v>
      </c>
      <c r="V217" s="24" t="n">
        <v>0</v>
      </c>
      <c r="W217" s="18" t="inlineStr">
        <is>
          <t>Nominated</t>
        </is>
      </c>
      <c r="X217" s="25">
        <f t="array" ref="X217">IFERROR(INDEX(Ratings!$E$5:$E$500,MATCH(A217,Ratings!$A$5:$A$500,0)),"")</f>
        <v/>
      </c>
      <c r="Y217" s="24">
        <f t="array" ref="Y217">IFERROR(INDEX(Ratings!$G$5:$G$500,MATCH(A217,Ratings!$A$5:$A$500,0)),"")</f>
        <v/>
      </c>
      <c r="Z217" s="26">
        <f t="array" ref="Z217">IFERROR(INDEX(Ratings!$I$5:$I$500,MATCH(A217,Ratings!$A$5:$A$500,0)),"")</f>
        <v/>
      </c>
      <c r="AB217" s="18" t="inlineStr">
        <is>
          <t>12A</t>
        </is>
      </c>
    </row>
    <row r="218" ht="15.75" customHeight="1" s="108">
      <c r="A218" s="18" t="inlineStr">
        <is>
          <t>F0214</t>
        </is>
      </c>
      <c r="B218" s="18" t="inlineStr">
        <is>
          <t>The Matrix</t>
        </is>
      </c>
      <c r="C218" s="20" t="inlineStr">
        <is>
          <t>1999</t>
        </is>
      </c>
      <c r="D218" s="18" t="inlineStr">
        <is>
          <t>Blu-ray</t>
        </is>
      </c>
      <c r="E218" s="18" t="inlineStr">
        <is>
          <t>Matrix</t>
        </is>
      </c>
      <c r="F218" s="19" t="n"/>
      <c r="G218" s="4" t="inlineStr">
        <is>
          <t>Yes</t>
        </is>
      </c>
      <c r="H218" s="4" t="inlineStr">
        <is>
          <t>⭐⭐⭐⭐⭐</t>
        </is>
      </c>
      <c r="I218" s="19" t="inlineStr">
        <is>
          <t>Set in the 22nd century, The Matrix tells the story of a computer hacker who joins a group of underground insurgents fighting the vast and powerful computers who now rule the earth.</t>
        </is>
      </c>
      <c r="J218" s="19" t="inlineStr">
        <is>
          <t>Lana Wachowski, Lilly Wachowski</t>
        </is>
      </c>
      <c r="K218" s="19" t="n">
        <v>136</v>
      </c>
      <c r="L218" s="19" t="inlineStr">
        <is>
          <t>Action, Science Fiction</t>
        </is>
      </c>
      <c r="M218" s="19" t="inlineStr">
        <is>
          <t>Village Roadshow Pictures, Groucho II Film Partnership, Silver Pictures</t>
        </is>
      </c>
      <c r="N218" s="19" t="inlineStr">
        <is>
          <t>https://huggingface.co/datasets/HenryWaltson/TMDB-IMDB-Movies-Dataset</t>
        </is>
      </c>
      <c r="O218" s="19" t="inlineStr">
        <is>
          <t>https://huggingface.co/datasets/HenryWaltson/TMDB-IMDB-Movies-Dataset</t>
        </is>
      </c>
      <c r="P218" s="18" t="inlineStr">
        <is>
          <t>Keanu Reeves</t>
        </is>
      </c>
      <c r="Q218" s="18" t="inlineStr">
        <is>
          <t>Laurence Fishburne</t>
        </is>
      </c>
      <c r="R218" s="18" t="inlineStr">
        <is>
          <t>Carrie-Anne Moss</t>
        </is>
      </c>
      <c r="S218" s="18" t="inlineStr">
        <is>
          <t>Hugo Weaving</t>
        </is>
      </c>
      <c r="T218" s="18" t="inlineStr">
        <is>
          <t>Gloria Foster</t>
        </is>
      </c>
      <c r="U218" s="24" t="n">
        <v>4</v>
      </c>
      <c r="V218" s="24" t="n">
        <v>4</v>
      </c>
      <c r="W218" s="4" t="n"/>
      <c r="X218" s="25">
        <f t="array" ref="X218">IFERROR(INDEX(Ratings!$E$5:$E$500,MATCH(A218,Ratings!$A$5:$A$500,0)),"")</f>
        <v/>
      </c>
      <c r="Y218" s="24">
        <f t="array" ref="Y218">IFERROR(INDEX(Ratings!$G$5:$G$500,MATCH(A218,Ratings!$A$5:$A$500,0)),"")</f>
        <v/>
      </c>
      <c r="Z218" s="26">
        <f t="array" ref="Z218">IFERROR(INDEX(Ratings!$I$5:$I$500,MATCH(A218,Ratings!$A$5:$A$500,0)),"")</f>
        <v/>
      </c>
      <c r="AA218" s="0" t="inlineStr">
        <is>
          <t>2026-08-16</t>
        </is>
      </c>
      <c r="AB218" s="18" t="inlineStr">
        <is>
          <t>15</t>
        </is>
      </c>
    </row>
    <row r="219" ht="15.75" customHeight="1" s="108">
      <c r="A219" s="18" t="inlineStr">
        <is>
          <t>F0215</t>
        </is>
      </c>
      <c r="B219" s="18" t="inlineStr">
        <is>
          <t>The Matrix Reloaded</t>
        </is>
      </c>
      <c r="C219" s="20" t="inlineStr">
        <is>
          <t>2003</t>
        </is>
      </c>
      <c r="D219" s="18" t="inlineStr">
        <is>
          <t>Blu-ray</t>
        </is>
      </c>
      <c r="E219" s="18" t="inlineStr">
        <is>
          <t>Matrix</t>
        </is>
      </c>
      <c r="F219" s="19" t="n"/>
      <c r="G219" s="4" t="n"/>
      <c r="H219" s="4" t="n"/>
      <c r="I219" s="19" t="inlineStr">
        <is>
          <t>The Resistance builds in numbers as humans are freed from the Matrix and brought to the city of Zion. Neo discovers his superpowers, including the ability to see the code inside the Matrix. With machine sentinels digging to Zion in 72 hours, Neo, Morpheus and Trinity must find the Keymaker to ultimately reach the Source.</t>
        </is>
      </c>
      <c r="J219" s="19" t="inlineStr">
        <is>
          <t>Lana Wachowski, Lilly Wachowski</t>
        </is>
      </c>
      <c r="K219" s="19" t="n">
        <v>138</v>
      </c>
      <c r="L219" s="19" t="inlineStr">
        <is>
          <t>Adventure, Action, Thriller, Science Fiction</t>
        </is>
      </c>
      <c r="M219" s="19" t="inlineStr">
        <is>
          <t>Village Roadshow Pictures, Silver Pictures, NPV Entertainment</t>
        </is>
      </c>
      <c r="N219" s="19" t="inlineStr">
        <is>
          <t>https://huggingface.co/datasets/HenryWaltson/TMDB-IMDB-Movies-Dataset</t>
        </is>
      </c>
      <c r="O219" s="19" t="inlineStr">
        <is>
          <t>https://huggingface.co/datasets/HenryWaltson/TMDB-IMDB-Movies-Dataset</t>
        </is>
      </c>
      <c r="P219" s="18" t="inlineStr">
        <is>
          <t>Keanu Reeves</t>
        </is>
      </c>
      <c r="Q219" s="18" t="inlineStr">
        <is>
          <t>Laurence Fishburne</t>
        </is>
      </c>
      <c r="R219" s="18" t="inlineStr">
        <is>
          <t>Carrie-Anne Moss</t>
        </is>
      </c>
      <c r="S219" s="18" t="inlineStr">
        <is>
          <t>Hugo Weaving</t>
        </is>
      </c>
      <c r="T219" s="18" t="inlineStr">
        <is>
          <t>Jada Pinkett Smith</t>
        </is>
      </c>
      <c r="U219" s="24" t="n">
        <v>0</v>
      </c>
      <c r="V219" s="24" t="n">
        <v>0</v>
      </c>
      <c r="W219" s="4" t="n"/>
      <c r="X219" s="25">
        <f t="array" ref="X219">IFERROR(INDEX(Ratings!$E$5:$E$500,MATCH(A219,Ratings!$A$5:$A$500,0)),"")</f>
        <v/>
      </c>
      <c r="Y219" s="24">
        <f t="array" ref="Y219">IFERROR(INDEX(Ratings!$G$5:$G$500,MATCH(A219,Ratings!$A$5:$A$500,0)),"")</f>
        <v/>
      </c>
      <c r="Z219" s="26">
        <f t="array" ref="Z219">IFERROR(INDEX(Ratings!$I$5:$I$500,MATCH(A219,Ratings!$A$5:$A$500,0)),"")</f>
        <v/>
      </c>
      <c r="AB219" s="18" t="inlineStr">
        <is>
          <t>15</t>
        </is>
      </c>
    </row>
    <row r="220" ht="15.75" customHeight="1" s="108">
      <c r="A220" s="18" t="inlineStr">
        <is>
          <t>F0216</t>
        </is>
      </c>
      <c r="B220" s="18" t="inlineStr">
        <is>
          <t>The Matrix Revolutions</t>
        </is>
      </c>
      <c r="C220" s="20" t="inlineStr">
        <is>
          <t>2003</t>
        </is>
      </c>
      <c r="D220" s="18" t="inlineStr">
        <is>
          <t>Blu-ray</t>
        </is>
      </c>
      <c r="E220" s="18" t="inlineStr">
        <is>
          <t>Matrix</t>
        </is>
      </c>
      <c r="F220" s="19" t="n"/>
      <c r="G220" s="4" t="n"/>
      <c r="H220" s="4" t="n"/>
      <c r="I220" s="19" t="inlineStr">
        <is>
          <t>The human city of Zion defends itself against the massive invasion of the machines as Neo fights to end the war at another front while also opposing the rogue Agent Smith.</t>
        </is>
      </c>
      <c r="J220" s="19" t="inlineStr">
        <is>
          <t>Lana Wachowski, Lilly Wachowski</t>
        </is>
      </c>
      <c r="K220" s="19" t="n">
        <v>129</v>
      </c>
      <c r="L220" s="19" t="inlineStr">
        <is>
          <t>Adventure, Action, Thriller, Science Fiction</t>
        </is>
      </c>
      <c r="M220" s="19" t="inlineStr">
        <is>
          <t>Village Roadshow Pictures, NPV Entertainment, Silver Pictures</t>
        </is>
      </c>
      <c r="N220" s="19" t="inlineStr">
        <is>
          <t>https://huggingface.co/datasets/HenryWaltson/TMDB-IMDB-Movies-Dataset</t>
        </is>
      </c>
      <c r="O220" s="19" t="inlineStr">
        <is>
          <t>https://huggingface.co/datasets/HenryWaltson/TMDB-IMDB-Movies-Dataset</t>
        </is>
      </c>
      <c r="P220" s="18" t="inlineStr">
        <is>
          <t>Keanu Reeves</t>
        </is>
      </c>
      <c r="Q220" s="18" t="inlineStr">
        <is>
          <t>Laurence Fishburne</t>
        </is>
      </c>
      <c r="R220" s="18" t="inlineStr">
        <is>
          <t>Carrie-Anne Moss</t>
        </is>
      </c>
      <c r="S220" s="18" t="inlineStr">
        <is>
          <t>Hugo Weaving</t>
        </is>
      </c>
      <c r="T220" s="18" t="inlineStr">
        <is>
          <t>Jada Pinkett Smith</t>
        </is>
      </c>
      <c r="U220" s="24" t="n">
        <v>0</v>
      </c>
      <c r="V220" s="24" t="n">
        <v>0</v>
      </c>
      <c r="W220" s="4" t="n"/>
      <c r="X220" s="25">
        <f t="array" ref="X220">IFERROR(INDEX(Ratings!$E$5:$E$500,MATCH(A220,Ratings!$A$5:$A$500,0)),"")</f>
        <v/>
      </c>
      <c r="Y220" s="24">
        <f t="array" ref="Y220">IFERROR(INDEX(Ratings!$G$5:$G$500,MATCH(A220,Ratings!$A$5:$A$500,0)),"")</f>
        <v/>
      </c>
      <c r="Z220" s="26">
        <f t="array" ref="Z220">IFERROR(INDEX(Ratings!$I$5:$I$500,MATCH(A220,Ratings!$A$5:$A$500,0)),"")</f>
        <v/>
      </c>
      <c r="AB220" s="18" t="inlineStr">
        <is>
          <t>15</t>
        </is>
      </c>
    </row>
    <row r="221" ht="15.75" customHeight="1" s="108">
      <c r="A221" s="18" t="inlineStr">
        <is>
          <t>F0217</t>
        </is>
      </c>
      <c r="B221" s="18" t="inlineStr">
        <is>
          <t>The Maze Runner</t>
        </is>
      </c>
      <c r="C221" s="20" t="inlineStr">
        <is>
          <t>2014</t>
        </is>
      </c>
      <c r="D221" s="18" t="inlineStr">
        <is>
          <t>Blu-ray</t>
        </is>
      </c>
      <c r="E221" s="4" t="n"/>
      <c r="F221" s="19" t="n"/>
      <c r="G221" s="4" t="n"/>
      <c r="H221" s="4" t="n"/>
      <c r="I221" s="19" t="inlineStr">
        <is>
          <t>A teenager with no memory of his past finds himself among a group of boys living in a walled enclosure surrounded by a massive, ever-changing maze. As he struggles to adapt to their rules and society, he begins to uncover clues that may lead to escape and the truth behind their confinement.</t>
        </is>
      </c>
      <c r="J221" s="19" t="inlineStr">
        <is>
          <t>Wes Ball</t>
        </is>
      </c>
      <c r="K221" s="19" t="n">
        <v>113</v>
      </c>
      <c r="L221" s="19" t="inlineStr">
        <is>
          <t>Action, Mystery, Science Fiction, Thriller</t>
        </is>
      </c>
      <c r="M221" s="19" t="inlineStr">
        <is>
          <t>Ingenious Media, Gotham Group, Dayday Films</t>
        </is>
      </c>
      <c r="N221" s="19" t="inlineStr">
        <is>
          <t>https://huggingface.co/datasets/HenryWaltson/TMDB-IMDB-Movies-Dataset</t>
        </is>
      </c>
      <c r="O221" s="19" t="inlineStr">
        <is>
          <t>https://huggingface.co/datasets/HenryWaltson/TMDB-IMDB-Movies-Dataset</t>
        </is>
      </c>
      <c r="P221" s="18" t="inlineStr">
        <is>
          <t>Dylan O'Brien</t>
        </is>
      </c>
      <c r="Q221" s="18" t="inlineStr">
        <is>
          <t>Kaya Scodelario</t>
        </is>
      </c>
      <c r="R221" s="18" t="inlineStr">
        <is>
          <t>Aml Ameen</t>
        </is>
      </c>
      <c r="S221" s="18" t="inlineStr">
        <is>
          <t>Thomas Brodie-Sangster</t>
        </is>
      </c>
      <c r="T221" s="18" t="inlineStr">
        <is>
          <t>Ki Hong Lee</t>
        </is>
      </c>
      <c r="U221" s="24" t="n">
        <v>0</v>
      </c>
      <c r="V221" s="24" t="n">
        <v>0</v>
      </c>
      <c r="W221" s="4" t="n"/>
      <c r="X221" s="25">
        <f t="array" ref="X221">IFERROR(INDEX(Ratings!$E$5:$E$500,MATCH(A221,Ratings!$A$5:$A$500,0)),"")</f>
        <v/>
      </c>
      <c r="Y221" s="24">
        <f t="array" ref="Y221">IFERROR(INDEX(Ratings!$G$5:$G$500,MATCH(A221,Ratings!$A$5:$A$500,0)),"")</f>
        <v/>
      </c>
      <c r="Z221" s="26">
        <f t="array" ref="Z221">IFERROR(INDEX(Ratings!$I$5:$I$500,MATCH(A221,Ratings!$A$5:$A$500,0)),"")</f>
        <v/>
      </c>
      <c r="AB221" s="18" t="inlineStr">
        <is>
          <t>12</t>
        </is>
      </c>
    </row>
    <row r="222" ht="15.75" customHeight="1" s="108">
      <c r="A222" s="18" t="inlineStr">
        <is>
          <t>F0218</t>
        </is>
      </c>
      <c r="B222" s="18" t="inlineStr">
        <is>
          <t>Men in Black</t>
        </is>
      </c>
      <c r="C222" s="20" t="inlineStr">
        <is>
          <t>1997</t>
        </is>
      </c>
      <c r="D222" s="18" t="inlineStr">
        <is>
          <t>Blu-ray</t>
        </is>
      </c>
      <c r="E222" s="18" t="inlineStr">
        <is>
          <t>Men in Black</t>
        </is>
      </c>
      <c r="F222" s="19" t="n"/>
      <c r="G222" s="4" t="n"/>
      <c r="H222" s="4" t="n"/>
      <c r="I222" s="19" t="inlineStr">
        <is>
          <t>After a police chase with an otherworldly being, a New York City cop is recruited as an agent in a top-secret organization established to monitor and police alien activity on Earth: the Men in Black. Agent K and new recruit Agent J find themselves in the middle of a deadly plot by an intergalactic terrorist who has arrived on Earth to assassinate two ambassadors from opposing galaxies.</t>
        </is>
      </c>
      <c r="J222" s="19" t="inlineStr">
        <is>
          <t>Barry Sonnenfeld</t>
        </is>
      </c>
      <c r="K222" s="19" t="n">
        <v>98</v>
      </c>
      <c r="L222" s="19" t="inlineStr">
        <is>
          <t>Action, Adventure, Comedy, Science Fiction</t>
        </is>
      </c>
      <c r="M222" s="19" t="inlineStr">
        <is>
          <t>Columbia Pictures, Amblin Entertainment, Parkes+MacDonald Image Nation</t>
        </is>
      </c>
      <c r="N222" s="19" t="inlineStr">
        <is>
          <t>https://huggingface.co/datasets/HenryWaltson/TMDB-IMDB-Movies-Dataset</t>
        </is>
      </c>
      <c r="O222" s="19" t="inlineStr">
        <is>
          <t>https://huggingface.co/datasets/HenryWaltson/TMDB-IMDB-Movies-Dataset</t>
        </is>
      </c>
      <c r="P222" s="18" t="inlineStr">
        <is>
          <t>Tommy Lee Jones</t>
        </is>
      </c>
      <c r="Q222" s="18" t="inlineStr">
        <is>
          <t>Will Smith</t>
        </is>
      </c>
      <c r="R222" s="18" t="inlineStr">
        <is>
          <t>Linda Fiorentino</t>
        </is>
      </c>
      <c r="S222" s="18" t="inlineStr">
        <is>
          <t>Vincent D'Onofrio</t>
        </is>
      </c>
      <c r="T222" s="18" t="inlineStr">
        <is>
          <t>Rip Torn</t>
        </is>
      </c>
      <c r="U222" s="24" t="n">
        <v>3</v>
      </c>
      <c r="V222" s="24" t="n">
        <v>1</v>
      </c>
      <c r="W222" s="4" t="n"/>
      <c r="X222" s="25">
        <f t="array" ref="X222">IFERROR(INDEX(Ratings!$E$5:$E$500,MATCH(A222,Ratings!$A$5:$A$500,0)),"")</f>
        <v/>
      </c>
      <c r="Y222" s="24">
        <f t="array" ref="Y222">IFERROR(INDEX(Ratings!$G$5:$G$500,MATCH(A222,Ratings!$A$5:$A$500,0)),"")</f>
        <v/>
      </c>
      <c r="Z222" s="26">
        <f t="array" ref="Z222">IFERROR(INDEX(Ratings!$I$5:$I$500,MATCH(A222,Ratings!$A$5:$A$500,0)),"")</f>
        <v/>
      </c>
      <c r="AB222" s="18" t="inlineStr">
        <is>
          <t>12</t>
        </is>
      </c>
    </row>
    <row r="223" ht="15.75" customHeight="1" s="108">
      <c r="A223" s="18" t="inlineStr">
        <is>
          <t>F0219</t>
        </is>
      </c>
      <c r="B223" s="18" t="inlineStr">
        <is>
          <t>Men in Black 3</t>
        </is>
      </c>
      <c r="C223" s="20" t="inlineStr">
        <is>
          <t>2012</t>
        </is>
      </c>
      <c r="D223" s="18" t="inlineStr">
        <is>
          <t>Blu-ray</t>
        </is>
      </c>
      <c r="E223" s="18" t="inlineStr">
        <is>
          <t>Men in Black</t>
        </is>
      </c>
      <c r="F223" s="19" t="n"/>
      <c r="G223" s="4" t="n"/>
      <c r="H223" s="4" t="n"/>
      <c r="I223" s="19" t="inlineStr">
        <is>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is>
      </c>
      <c r="J223" s="19" t="inlineStr">
        <is>
          <t>Barry Sonnenfeld</t>
        </is>
      </c>
      <c r="K223" s="19" t="n">
        <v>106</v>
      </c>
      <c r="L223" s="19" t="inlineStr">
        <is>
          <t>Action, Comedy, Science Fiction</t>
        </is>
      </c>
      <c r="M223" s="19" t="inlineStr">
        <is>
          <t>Columbia Pictures, Hemisphere Media Capital, Amblin Entertainment</t>
        </is>
      </c>
      <c r="N223" s="19" t="inlineStr">
        <is>
          <t>https://huggingface.co/datasets/HenryWaltson/TMDB-IMDB-Movies-Dataset</t>
        </is>
      </c>
      <c r="O223" s="19" t="inlineStr">
        <is>
          <t>https://huggingface.co/datasets/HenryWaltson/TMDB-IMDB-Movies-Dataset</t>
        </is>
      </c>
      <c r="P223" s="18" t="inlineStr">
        <is>
          <t>Will Smith</t>
        </is>
      </c>
      <c r="Q223" s="18" t="inlineStr">
        <is>
          <t>Tommy Lee Jones</t>
        </is>
      </c>
      <c r="R223" s="18" t="inlineStr">
        <is>
          <t>Josh Brolin</t>
        </is>
      </c>
      <c r="S223" s="18" t="inlineStr">
        <is>
          <t>Jemaine Clement</t>
        </is>
      </c>
      <c r="T223" s="18" t="inlineStr">
        <is>
          <t>Emma Thompson</t>
        </is>
      </c>
      <c r="U223" s="24" t="n">
        <v>0</v>
      </c>
      <c r="V223" s="24" t="n">
        <v>0</v>
      </c>
      <c r="W223" s="4" t="n"/>
      <c r="X223" s="25">
        <f t="array" ref="X223">IFERROR(INDEX(Ratings!$E$5:$E$500,MATCH(A223,Ratings!$A$5:$A$500,0)),"")</f>
        <v/>
      </c>
      <c r="Y223" s="24">
        <f t="array" ref="Y223">IFERROR(INDEX(Ratings!$G$5:$G$500,MATCH(A223,Ratings!$A$5:$A$500,0)),"")</f>
        <v/>
      </c>
      <c r="Z223" s="26">
        <f t="array" ref="Z223">IFERROR(INDEX(Ratings!$I$5:$I$500,MATCH(A223,Ratings!$A$5:$A$500,0)),"")</f>
        <v/>
      </c>
      <c r="AB223" s="18" t="inlineStr">
        <is>
          <t>PG</t>
        </is>
      </c>
    </row>
    <row r="224" ht="15.75" customHeight="1" s="108">
      <c r="A224" s="18" t="inlineStr">
        <is>
          <t>F0220</t>
        </is>
      </c>
      <c r="B224" s="18" t="inlineStr">
        <is>
          <t>Minions</t>
        </is>
      </c>
      <c r="C224" s="20" t="inlineStr">
        <is>
          <t>2015</t>
        </is>
      </c>
      <c r="D224" s="18" t="inlineStr">
        <is>
          <t>Blu-ray</t>
        </is>
      </c>
      <c r="E224" s="18" t="inlineStr">
        <is>
          <t>Despicable Me / Minions</t>
        </is>
      </c>
      <c r="F224" s="19" t="n"/>
      <c r="G224" s="4" t="n"/>
      <c r="H224" s="4" t="n"/>
      <c r="I224" s="19" t="inlineStr">
        <is>
          <t>Minions Stuart, Kevin and Bob are recruited by Scarlet Overkill, a super-villain who, alongside her inventor husband Herb, hatches a plot to take over the world.</t>
        </is>
      </c>
      <c r="J224" s="19" t="inlineStr">
        <is>
          <t>Kyle Balda, Pierre Coffin</t>
        </is>
      </c>
      <c r="K224" s="19" t="n">
        <v>91</v>
      </c>
      <c r="L224" s="19" t="inlineStr">
        <is>
          <t>Family, Animation, Adventure, Comedy</t>
        </is>
      </c>
      <c r="M224" s="19" t="inlineStr">
        <is>
          <t>Illumination, Universal Pictures</t>
        </is>
      </c>
      <c r="N224" s="19" t="inlineStr">
        <is>
          <t>https://huggingface.co/datasets/HenryWaltson/TMDB-IMDB-Movies-Dataset</t>
        </is>
      </c>
      <c r="O224" s="19" t="inlineStr">
        <is>
          <t>https://huggingface.co/datasets/HenryWaltson/TMDB-IMDB-Movies-Dataset</t>
        </is>
      </c>
      <c r="P224" s="18" t="inlineStr">
        <is>
          <t>Sandra Bullock</t>
        </is>
      </c>
      <c r="Q224" s="18" t="inlineStr">
        <is>
          <t>Jon Hamm</t>
        </is>
      </c>
      <c r="R224" s="18" t="inlineStr">
        <is>
          <t>Michael Keaton</t>
        </is>
      </c>
      <c r="S224" s="18" t="inlineStr">
        <is>
          <t>Allison Janney</t>
        </is>
      </c>
      <c r="T224" s="18" t="inlineStr">
        <is>
          <t>Steve Coogan</t>
        </is>
      </c>
      <c r="U224" s="24" t="n">
        <v>0</v>
      </c>
      <c r="V224" s="24" t="n">
        <v>0</v>
      </c>
      <c r="W224" s="4" t="n"/>
      <c r="X224" s="25">
        <f t="array" ref="X224">IFERROR(INDEX(Ratings!$E$5:$E$500,MATCH(A224,Ratings!$A$5:$A$500,0)),"")</f>
        <v/>
      </c>
      <c r="Y224" s="24">
        <f t="array" ref="Y224">IFERROR(INDEX(Ratings!$G$5:$G$500,MATCH(A224,Ratings!$A$5:$A$500,0)),"")</f>
        <v/>
      </c>
      <c r="Z224" s="26">
        <f t="array" ref="Z224">IFERROR(INDEX(Ratings!$I$5:$I$500,MATCH(A224,Ratings!$A$5:$A$500,0)),"")</f>
        <v/>
      </c>
      <c r="AB224" s="18" t="inlineStr">
        <is>
          <t>U</t>
        </is>
      </c>
    </row>
    <row r="225" ht="15.75" customHeight="1" s="108">
      <c r="A225" s="18" t="inlineStr">
        <is>
          <t>F0221</t>
        </is>
      </c>
      <c r="B225" s="18" t="inlineStr">
        <is>
          <t>Mission: Impossible</t>
        </is>
      </c>
      <c r="C225" s="20" t="inlineStr">
        <is>
          <t>1996</t>
        </is>
      </c>
      <c r="D225" s="18" t="inlineStr">
        <is>
          <t>Blu-ray</t>
        </is>
      </c>
      <c r="E225" s="18" t="inlineStr">
        <is>
          <t>Mission: Impossible</t>
        </is>
      </c>
      <c r="F225" s="19" t="n"/>
      <c r="G225" s="4" t="n"/>
      <c r="H225" s="4" t="n"/>
      <c r="I225" s="19" t="inlineStr">
        <is>
          <t>When Ethan Hunt, the leader of a crack espionage team whose perilous operation has gone awry with no explanation, discovers that a mole has penetrated the CIA, he's surprised to learn that he's the prime suspect. To clear his name, Hunt now must ferret out the real double agent and, in the process, even the score.</t>
        </is>
      </c>
      <c r="J225" s="19" t="inlineStr">
        <is>
          <t>Brian De Palma</t>
        </is>
      </c>
      <c r="K225" s="19" t="n">
        <v>110</v>
      </c>
      <c r="L225" s="19" t="inlineStr">
        <is>
          <t>Adventure, Action, Thriller</t>
        </is>
      </c>
      <c r="M225" s="19" t="inlineStr">
        <is>
          <t>Paramount, Cruise/Wagner Productions</t>
        </is>
      </c>
      <c r="N225" s="19" t="inlineStr">
        <is>
          <t>https://huggingface.co/datasets/HenryWaltson/TMDB-IMDB-Movies-Dataset</t>
        </is>
      </c>
      <c r="O225" s="19" t="inlineStr">
        <is>
          <t>https://huggingface.co/datasets/HenryWaltson/TMDB-IMDB-Movies-Dataset</t>
        </is>
      </c>
      <c r="P225" s="18" t="inlineStr">
        <is>
          <t>Tom Cruise</t>
        </is>
      </c>
      <c r="Q225" s="18" t="inlineStr">
        <is>
          <t>Jon Voight</t>
        </is>
      </c>
      <c r="R225" s="18" t="inlineStr">
        <is>
          <t>Emmanuelle Béart</t>
        </is>
      </c>
      <c r="S225" s="18" t="inlineStr">
        <is>
          <t>Henry Czerny</t>
        </is>
      </c>
      <c r="T225" s="18" t="inlineStr">
        <is>
          <t>Jean Reno</t>
        </is>
      </c>
      <c r="U225" s="24" t="n">
        <v>0</v>
      </c>
      <c r="V225" s="24" t="n">
        <v>0</v>
      </c>
      <c r="W225" s="4" t="n"/>
      <c r="X225" s="25">
        <f t="array" ref="X225">IFERROR(INDEX(Ratings!$E$5:$E$500,MATCH(A225,Ratings!$A$5:$A$500,0)),"")</f>
        <v/>
      </c>
      <c r="Y225" s="24">
        <f t="array" ref="Y225">IFERROR(INDEX(Ratings!$G$5:$G$500,MATCH(A225,Ratings!$A$5:$A$500,0)),"")</f>
        <v/>
      </c>
      <c r="Z225" s="26">
        <f t="array" ref="Z225">IFERROR(INDEX(Ratings!$I$5:$I$500,MATCH(A225,Ratings!$A$5:$A$500,0)),"")</f>
        <v/>
      </c>
      <c r="AB225" s="18" t="inlineStr">
        <is>
          <t>PG</t>
        </is>
      </c>
    </row>
    <row r="226" ht="15.75" customHeight="1" s="108">
      <c r="A226" s="18" t="inlineStr">
        <is>
          <t>F0222</t>
        </is>
      </c>
      <c r="B226" s="18" t="inlineStr">
        <is>
          <t>Mission: Impossible II</t>
        </is>
      </c>
      <c r="C226" s="20" t="inlineStr">
        <is>
          <t>2000</t>
        </is>
      </c>
      <c r="D226" s="18" t="inlineStr">
        <is>
          <t>Blu-ray</t>
        </is>
      </c>
      <c r="E226" s="18" t="inlineStr">
        <is>
          <t>Mission: Impossible</t>
        </is>
      </c>
      <c r="F226" s="19" t="n"/>
      <c r="G226" s="4" t="n"/>
      <c r="H226" s="4" t="n"/>
      <c r="I226" s="19" t="inlineStr">
        <is>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is>
      </c>
      <c r="J226" s="19" t="inlineStr">
        <is>
          <t>John Woo</t>
        </is>
      </c>
      <c r="K226" s="19" t="n">
        <v>123</v>
      </c>
      <c r="L226" s="19" t="inlineStr">
        <is>
          <t>Adventure, Action, Thriller</t>
        </is>
      </c>
      <c r="M226" s="19" t="inlineStr">
        <is>
          <t>Paramount, Cruise/Wagner Productions</t>
        </is>
      </c>
      <c r="N226" s="19" t="inlineStr">
        <is>
          <t>https://huggingface.co/datasets/HenryWaltson/TMDB-IMDB-Movies-Dataset</t>
        </is>
      </c>
      <c r="O226" s="19" t="inlineStr">
        <is>
          <t>https://huggingface.co/datasets/HenryWaltson/TMDB-IMDB-Movies-Dataset</t>
        </is>
      </c>
      <c r="P226" s="18" t="inlineStr">
        <is>
          <t>Tom Cruise</t>
        </is>
      </c>
      <c r="Q226" s="18" t="inlineStr">
        <is>
          <t>Dougray Scott</t>
        </is>
      </c>
      <c r="R226" s="18" t="inlineStr">
        <is>
          <t>Thandiwe Newton</t>
        </is>
      </c>
      <c r="S226" s="18" t="inlineStr">
        <is>
          <t>Ving Rhames</t>
        </is>
      </c>
      <c r="T226" s="18" t="inlineStr">
        <is>
          <t>Richard Roxburgh</t>
        </is>
      </c>
      <c r="U226" s="24" t="n">
        <v>0</v>
      </c>
      <c r="V226" s="24" t="n">
        <v>0</v>
      </c>
      <c r="W226" s="4" t="n"/>
      <c r="X226" s="25">
        <f t="array" ref="X226">IFERROR(INDEX(Ratings!$E$5:$E$500,MATCH(A226,Ratings!$A$5:$A$500,0)),"")</f>
        <v/>
      </c>
      <c r="Y226" s="24">
        <f t="array" ref="Y226">IFERROR(INDEX(Ratings!$G$5:$G$500,MATCH(A226,Ratings!$A$5:$A$500,0)),"")</f>
        <v/>
      </c>
      <c r="Z226" s="26">
        <f t="array" ref="Z226">IFERROR(INDEX(Ratings!$I$5:$I$500,MATCH(A226,Ratings!$A$5:$A$500,0)),"")</f>
        <v/>
      </c>
      <c r="AB226" s="18" t="inlineStr">
        <is>
          <t>15</t>
        </is>
      </c>
    </row>
    <row r="227" ht="15.75" customHeight="1" s="108">
      <c r="A227" s="18" t="inlineStr">
        <is>
          <t>F0223</t>
        </is>
      </c>
      <c r="B227" s="18" t="inlineStr">
        <is>
          <t>Mission: Impossible III</t>
        </is>
      </c>
      <c r="C227" s="20" t="inlineStr">
        <is>
          <t>2006</t>
        </is>
      </c>
      <c r="D227" s="18" t="inlineStr">
        <is>
          <t>Blu-ray</t>
        </is>
      </c>
      <c r="E227" s="18" t="inlineStr">
        <is>
          <t>Mission: Impossible</t>
        </is>
      </c>
      <c r="F227" s="19" t="n"/>
      <c r="G227" s="4" t="n"/>
      <c r="H227" s="4" t="n"/>
      <c r="I227" s="19" t="inlineStr">
        <is>
          <t>Retired from active duty, and training recruits for the Impossible Mission Force, agent Ethan Hunt faces the toughest foe of his career: Owen Davian, an international broker of arms and information, who's as cunning as he is ruthless. Davian emerges to threaten Hunt and all that he holds dear – including the woman Hunt loves.</t>
        </is>
      </c>
      <c r="J227" s="19" t="inlineStr">
        <is>
          <t>J.J. Abrams</t>
        </is>
      </c>
      <c r="K227" s="19" t="n">
        <v>126</v>
      </c>
      <c r="L227" s="19" t="inlineStr">
        <is>
          <t>Adventure, Action, Thriller</t>
        </is>
      </c>
      <c r="M227" s="19" t="inlineStr">
        <is>
          <t>Paramount, Cruise/Wagner Productions</t>
        </is>
      </c>
      <c r="N227" s="19" t="inlineStr">
        <is>
          <t>https://huggingface.co/datasets/HenryWaltson/TMDB-IMDB-Movies-Dataset</t>
        </is>
      </c>
      <c r="O227" s="19" t="inlineStr">
        <is>
          <t>https://huggingface.co/datasets/HenryWaltson/TMDB-IMDB-Movies-Dataset</t>
        </is>
      </c>
      <c r="P227" s="18" t="inlineStr">
        <is>
          <t>Tom Cruise</t>
        </is>
      </c>
      <c r="Q227" s="18" t="inlineStr">
        <is>
          <t>Philip Seymour Hoffman</t>
        </is>
      </c>
      <c r="R227" s="18" t="inlineStr">
        <is>
          <t>Ving Rhames</t>
        </is>
      </c>
      <c r="S227" s="18" t="inlineStr">
        <is>
          <t>Billy Crudup</t>
        </is>
      </c>
      <c r="T227" s="18" t="inlineStr">
        <is>
          <t>Michelle Monaghan</t>
        </is>
      </c>
      <c r="U227" s="24" t="n">
        <v>0</v>
      </c>
      <c r="V227" s="24" t="n">
        <v>0</v>
      </c>
      <c r="W227" s="4" t="n"/>
      <c r="X227" s="25">
        <f t="array" ref="X227">IFERROR(INDEX(Ratings!$E$5:$E$500,MATCH(A227,Ratings!$A$5:$A$500,0)),"")</f>
        <v/>
      </c>
      <c r="Y227" s="24">
        <f t="array" ref="Y227">IFERROR(INDEX(Ratings!$G$5:$G$500,MATCH(A227,Ratings!$A$5:$A$500,0)),"")</f>
        <v/>
      </c>
      <c r="Z227" s="26">
        <f t="array" ref="Z227">IFERROR(INDEX(Ratings!$I$5:$I$500,MATCH(A227,Ratings!$A$5:$A$500,0)),"")</f>
        <v/>
      </c>
      <c r="AB227" s="18" t="inlineStr">
        <is>
          <t>12A</t>
        </is>
      </c>
    </row>
    <row r="228" ht="15.75" customHeight="1" s="108">
      <c r="A228" s="18" t="inlineStr">
        <is>
          <t>F0224</t>
        </is>
      </c>
      <c r="B228" s="18" t="inlineStr">
        <is>
          <t>Mission: Impossible - Ghost Protocol</t>
        </is>
      </c>
      <c r="C228" s="20" t="inlineStr">
        <is>
          <t>2011</t>
        </is>
      </c>
      <c r="D228" s="18" t="inlineStr">
        <is>
          <t>Blu-ray</t>
        </is>
      </c>
      <c r="E228" s="18" t="inlineStr">
        <is>
          <t>Mission: Impossible</t>
        </is>
      </c>
      <c r="F228" s="19" t="n"/>
      <c r="G228" s="4" t="n"/>
      <c r="H228" s="4" t="n"/>
      <c r="I228" s="19" t="inlineStr">
        <is>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is>
      </c>
      <c r="J228" s="19" t="inlineStr">
        <is>
          <t>Brad Bird</t>
        </is>
      </c>
      <c r="K228" s="19" t="n">
        <v>133</v>
      </c>
      <c r="L228" s="19" t="inlineStr">
        <is>
          <t>Action, Thriller, Adventure</t>
        </is>
      </c>
      <c r="M228" s="19" t="inlineStr">
        <is>
          <t>Paramount, Bad Robot, TC Productions</t>
        </is>
      </c>
      <c r="N228" s="19" t="inlineStr">
        <is>
          <t>https://huggingface.co/datasets/HenryWaltson/TMDB-IMDB-Movies-Dataset</t>
        </is>
      </c>
      <c r="O228" s="19" t="inlineStr">
        <is>
          <t>https://huggingface.co/datasets/HenryWaltson/TMDB-IMDB-Movies-Dataset</t>
        </is>
      </c>
      <c r="P228" s="18" t="inlineStr">
        <is>
          <t>Tom Cruise</t>
        </is>
      </c>
      <c r="Q228" s="18" t="inlineStr">
        <is>
          <t>Paula Patton</t>
        </is>
      </c>
      <c r="R228" s="18" t="inlineStr">
        <is>
          <t>Simon Pegg</t>
        </is>
      </c>
      <c r="S228" s="18" t="inlineStr">
        <is>
          <t>Jeremy Renner</t>
        </is>
      </c>
      <c r="T228" s="18" t="inlineStr">
        <is>
          <t>Michael Nyqvist</t>
        </is>
      </c>
      <c r="U228" s="24" t="n">
        <v>0</v>
      </c>
      <c r="V228" s="24" t="n">
        <v>0</v>
      </c>
      <c r="W228" s="4" t="n"/>
      <c r="X228" s="25">
        <f t="array" ref="X228">IFERROR(INDEX(Ratings!$E$5:$E$500,MATCH(A228,Ratings!$A$5:$A$500,0)),"")</f>
        <v/>
      </c>
      <c r="Y228" s="24">
        <f t="array" ref="Y228">IFERROR(INDEX(Ratings!$G$5:$G$500,MATCH(A228,Ratings!$A$5:$A$500,0)),"")</f>
        <v/>
      </c>
      <c r="Z228" s="26">
        <f t="array" ref="Z228">IFERROR(INDEX(Ratings!$I$5:$I$500,MATCH(A228,Ratings!$A$5:$A$500,0)),"")</f>
        <v/>
      </c>
      <c r="AB228" s="18" t="inlineStr">
        <is>
          <t>12A</t>
        </is>
      </c>
    </row>
    <row r="229" ht="15.75" customHeight="1" s="108">
      <c r="A229" s="18" t="inlineStr">
        <is>
          <t>F0225</t>
        </is>
      </c>
      <c r="B229" s="18" t="inlineStr">
        <is>
          <t>Mission: Impossible - Rogue Nation</t>
        </is>
      </c>
      <c r="C229" s="20" t="inlineStr">
        <is>
          <t>2015</t>
        </is>
      </c>
      <c r="D229" s="18" t="inlineStr">
        <is>
          <t>Blu-ray</t>
        </is>
      </c>
      <c r="E229" s="18" t="inlineStr">
        <is>
          <t>Mission: Impossible</t>
        </is>
      </c>
      <c r="F229" s="19" t="n"/>
      <c r="G229" s="4" t="n"/>
      <c r="H229" s="4" t="n"/>
      <c r="I229" s="19" t="inlineStr">
        <is>
          <t>Ethan and team take on their most impossible mission yet—eradicating 'The Syndicate', an International and highly-skilled rogue organization committed to destroying the IMF.</t>
        </is>
      </c>
      <c r="J229" s="19" t="inlineStr">
        <is>
          <t>Christopher McQuarrie</t>
        </is>
      </c>
      <c r="K229" s="19" t="n">
        <v>131</v>
      </c>
      <c r="L229" s="19" t="inlineStr">
        <is>
          <t>Action, Adventure</t>
        </is>
      </c>
      <c r="M229" s="19" t="inlineStr">
        <is>
          <t>Paramount, Bad Robot, Odin</t>
        </is>
      </c>
      <c r="N229" s="19" t="inlineStr">
        <is>
          <t>https://huggingface.co/datasets/HenryWaltson/TMDB-IMDB-Movies-Dataset</t>
        </is>
      </c>
      <c r="O229" s="19" t="inlineStr">
        <is>
          <t>https://huggingface.co/datasets/HenryWaltson/TMDB-IMDB-Movies-Dataset</t>
        </is>
      </c>
      <c r="P229" s="18" t="inlineStr">
        <is>
          <t>Tom Cruise</t>
        </is>
      </c>
      <c r="Q229" s="18" t="inlineStr">
        <is>
          <t>Jeremy Renner</t>
        </is>
      </c>
      <c r="R229" s="18" t="inlineStr">
        <is>
          <t>Simon Pegg</t>
        </is>
      </c>
      <c r="S229" s="18" t="inlineStr">
        <is>
          <t>Rebecca Ferguson</t>
        </is>
      </c>
      <c r="T229" s="18" t="inlineStr">
        <is>
          <t>Ving Rhames</t>
        </is>
      </c>
      <c r="U229" s="24" t="n">
        <v>0</v>
      </c>
      <c r="V229" s="24" t="n">
        <v>0</v>
      </c>
      <c r="W229" s="4" t="n"/>
      <c r="X229" s="25">
        <f t="array" ref="X229">IFERROR(INDEX(Ratings!$E$5:$E$500,MATCH(A229,Ratings!$A$5:$A$500,0)),"")</f>
        <v/>
      </c>
      <c r="Y229" s="24">
        <f t="array" ref="Y229">IFERROR(INDEX(Ratings!$G$5:$G$500,MATCH(A229,Ratings!$A$5:$A$500,0)),"")</f>
        <v/>
      </c>
      <c r="Z229" s="26">
        <f t="array" ref="Z229">IFERROR(INDEX(Ratings!$I$5:$I$500,MATCH(A229,Ratings!$A$5:$A$500,0)),"")</f>
        <v/>
      </c>
      <c r="AB229" s="18" t="inlineStr">
        <is>
          <t>12A</t>
        </is>
      </c>
    </row>
    <row r="230" ht="15.75" customHeight="1" s="108">
      <c r="A230" s="18" t="inlineStr">
        <is>
          <t>F0226</t>
        </is>
      </c>
      <c r="B230" s="18" t="inlineStr">
        <is>
          <t>Mission: Impossible - Fallout</t>
        </is>
      </c>
      <c r="C230" s="20" t="inlineStr">
        <is>
          <t>2018</t>
        </is>
      </c>
      <c r="D230" s="18" t="inlineStr">
        <is>
          <t>Blu-ray</t>
        </is>
      </c>
      <c r="E230" s="18" t="inlineStr">
        <is>
          <t>Mission: Impossible</t>
        </is>
      </c>
      <c r="F230" s="19" t="n"/>
      <c r="G230" s="4" t="n"/>
      <c r="H230" s="4" t="n"/>
      <c r="I230" s="19" t="inlineStr">
        <is>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is>
      </c>
      <c r="J230" s="19" t="inlineStr">
        <is>
          <t>Christopher McQuarrie</t>
        </is>
      </c>
      <c r="K230" s="19" t="n">
        <v>147</v>
      </c>
      <c r="L230" s="19" t="inlineStr">
        <is>
          <t>Action, Adventure</t>
        </is>
      </c>
      <c r="M230" s="19" t="inlineStr">
        <is>
          <t>Paramount, Bad Robot, Skydance</t>
        </is>
      </c>
      <c r="N230" s="19" t="inlineStr">
        <is>
          <t>https://huggingface.co/datasets/HenryWaltson/TMDB-IMDB-Movies-Dataset</t>
        </is>
      </c>
      <c r="O230" s="19" t="inlineStr">
        <is>
          <t>https://huggingface.co/datasets/HenryWaltson/TMDB-IMDB-Movies-Dataset</t>
        </is>
      </c>
      <c r="P230" s="18" t="inlineStr">
        <is>
          <t>Tom Cruise</t>
        </is>
      </c>
      <c r="Q230" s="18" t="inlineStr">
        <is>
          <t>Henry Cavill</t>
        </is>
      </c>
      <c r="R230" s="18" t="inlineStr">
        <is>
          <t>Ving Rhames</t>
        </is>
      </c>
      <c r="S230" s="18" t="inlineStr">
        <is>
          <t>Simon Pegg</t>
        </is>
      </c>
      <c r="T230" s="18" t="inlineStr">
        <is>
          <t>Rebecca Ferguson</t>
        </is>
      </c>
      <c r="U230" s="24" t="n">
        <v>0</v>
      </c>
      <c r="V230" s="24" t="n">
        <v>0</v>
      </c>
      <c r="W230" s="4" t="n"/>
      <c r="X230" s="25">
        <f t="array" ref="X230">IFERROR(INDEX(Ratings!$E$5:$E$500,MATCH(A230,Ratings!$A$5:$A$500,0)),"")</f>
        <v/>
      </c>
      <c r="Y230" s="24">
        <f t="array" ref="Y230">IFERROR(INDEX(Ratings!$G$5:$G$500,MATCH(A230,Ratings!$A$5:$A$500,0)),"")</f>
        <v/>
      </c>
      <c r="Z230" s="26">
        <f t="array" ref="Z230">IFERROR(INDEX(Ratings!$I$5:$I$500,MATCH(A230,Ratings!$A$5:$A$500,0)),"")</f>
        <v/>
      </c>
      <c r="AB230" s="18" t="inlineStr">
        <is>
          <t>12A</t>
        </is>
      </c>
    </row>
    <row r="231" ht="15.75" customHeight="1" s="108">
      <c r="A231" s="18" t="inlineStr">
        <is>
          <t>F0227</t>
        </is>
      </c>
      <c r="B231" s="18" t="inlineStr">
        <is>
          <t>Mission: Impossible - Dead Reckoning Part One</t>
        </is>
      </c>
      <c r="C231" s="20" t="inlineStr">
        <is>
          <t>2023</t>
        </is>
      </c>
      <c r="D231" s="18" t="inlineStr">
        <is>
          <t>Blu-ray</t>
        </is>
      </c>
      <c r="E231" s="18" t="inlineStr">
        <is>
          <t>Mission: Impossible</t>
        </is>
      </c>
      <c r="F231" s="19" t="n"/>
      <c r="G231" s="4" t="n"/>
      <c r="H231" s="4" t="n"/>
      <c r="I231" s="19" t="inlineStr">
        <is>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mission—not even the lives of those he cares about most.</t>
        </is>
      </c>
      <c r="J231" s="19" t="inlineStr">
        <is>
          <t>Christopher McQuarrie</t>
        </is>
      </c>
      <c r="K231" s="19" t="n">
        <v>164</v>
      </c>
      <c r="L231" s="19" t="inlineStr">
        <is>
          <t>Action, Thriller</t>
        </is>
      </c>
      <c r="M231" s="19" t="inlineStr">
        <is>
          <t>Paramount, Skydance, TC Productions</t>
        </is>
      </c>
      <c r="N231" s="19" t="inlineStr">
        <is>
          <t>https://huggingface.co/datasets/HenryWaltson/TMDB-IMDB-Movies-Dataset</t>
        </is>
      </c>
      <c r="O231" s="19" t="inlineStr">
        <is>
          <t>https://huggingface.co/datasets/HenryWaltson/TMDB-IMDB-Movies-Dataset</t>
        </is>
      </c>
      <c r="P231" s="18" t="inlineStr">
        <is>
          <t>Tom Cruise</t>
        </is>
      </c>
      <c r="Q231" s="18" t="inlineStr">
        <is>
          <t>Hayley Atwell</t>
        </is>
      </c>
      <c r="R231" s="18" t="inlineStr">
        <is>
          <t>Ving Rhames</t>
        </is>
      </c>
      <c r="S231" s="18" t="inlineStr">
        <is>
          <t>Simon Pegg</t>
        </is>
      </c>
      <c r="T231" s="18" t="inlineStr">
        <is>
          <t>Rebecca Ferguson</t>
        </is>
      </c>
      <c r="U231" s="24" t="n">
        <v>2</v>
      </c>
      <c r="V231" s="24" t="n">
        <v>0</v>
      </c>
      <c r="W231" s="4" t="n"/>
      <c r="X231" s="25">
        <f t="array" ref="X231">IFERROR(INDEX(Ratings!$E$5:$E$500,MATCH(A231,Ratings!$A$5:$A$500,0)),"")</f>
        <v/>
      </c>
      <c r="Y231" s="24">
        <f t="array" ref="Y231">IFERROR(INDEX(Ratings!$G$5:$G$500,MATCH(A231,Ratings!$A$5:$A$500,0)),"")</f>
        <v/>
      </c>
      <c r="Z231" s="26">
        <f t="array" ref="Z231">IFERROR(INDEX(Ratings!$I$5:$I$500,MATCH(A231,Ratings!$A$5:$A$500,0)),"")</f>
        <v/>
      </c>
      <c r="AB231" s="18" t="inlineStr">
        <is>
          <t>12A</t>
        </is>
      </c>
    </row>
    <row r="232" ht="15.75" customHeight="1" s="108">
      <c r="A232" s="18" t="inlineStr">
        <is>
          <t>F0228</t>
        </is>
      </c>
      <c r="B232" s="18" t="inlineStr">
        <is>
          <t>Mission: Impossible - The Final Reckoning</t>
        </is>
      </c>
      <c r="C232" s="20" t="inlineStr">
        <is>
          <t>2025</t>
        </is>
      </c>
      <c r="D232" s="18" t="inlineStr">
        <is>
          <t>Blu-ray</t>
        </is>
      </c>
      <c r="E232" s="18" t="inlineStr">
        <is>
          <t>Mission: Impossible</t>
        </is>
      </c>
      <c r="F232" s="19" t="n"/>
      <c r="G232" s="4" t="n"/>
      <c r="H232" s="4" t="n"/>
      <c r="I232" s="19" t="inlineStr">
        <is>
          <t>Ethan Hunt and team continue their search for the terrifying AI known as the Entity — which has infiltrated intelligence networks all over the globe — with the world's governments and a mysterious ghost from Hunt's past on their trail. Joined by new allies and armed with the means to shut the Entity down for good, Hunt is in a race against time to prevent the world as we know it from changing forever.</t>
        </is>
      </c>
      <c r="J232" s="19" t="inlineStr">
        <is>
          <t>Christopher McQuarrie</t>
        </is>
      </c>
      <c r="K232" s="19" t="n">
        <v>169</v>
      </c>
      <c r="L232" s="19" t="inlineStr">
        <is>
          <t>Action, Adventure, Thriller</t>
        </is>
      </c>
      <c r="M232" s="19" t="inlineStr">
        <is>
          <t>Paramount Pictures, Skydance Media</t>
        </is>
      </c>
      <c r="N232" s="19" t="inlineStr">
        <is>
          <t>https://huggingface.co/datasets/HenryWaltson/TMDB-IMDB-Movies-Dataset</t>
        </is>
      </c>
      <c r="O232" s="19" t="inlineStr">
        <is>
          <t>https://www.imdb.com/title/tt9603208/fullcredits/</t>
        </is>
      </c>
      <c r="P232" s="18" t="inlineStr">
        <is>
          <t>Tom Cruise</t>
        </is>
      </c>
      <c r="Q232" s="18" t="inlineStr">
        <is>
          <t>Hayley Atwell</t>
        </is>
      </c>
      <c r="R232" s="18" t="inlineStr">
        <is>
          <t>Ving Rhames</t>
        </is>
      </c>
      <c r="S232" s="18" t="inlineStr">
        <is>
          <t>Simon Pegg</t>
        </is>
      </c>
      <c r="T232" s="18" t="inlineStr">
        <is>
          <t>Esai Morales</t>
        </is>
      </c>
      <c r="U232" s="24" t="n">
        <v>0</v>
      </c>
      <c r="V232" s="24" t="n">
        <v>0</v>
      </c>
      <c r="W232" s="4" t="n"/>
      <c r="X232" s="25">
        <f t="array" ref="X232">IFERROR(INDEX(Ratings!$E$5:$E$500,MATCH(A232,Ratings!$A$5:$A$500,0)),"")</f>
        <v/>
      </c>
      <c r="Y232" s="24">
        <f t="array" ref="Y232">IFERROR(INDEX(Ratings!$G$5:$G$500,MATCH(A232,Ratings!$A$5:$A$500,0)),"")</f>
        <v/>
      </c>
      <c r="Z232" s="26">
        <f t="array" ref="Z232">IFERROR(INDEX(Ratings!$I$5:$I$500,MATCH(A232,Ratings!$A$5:$A$500,0)),"")</f>
        <v/>
      </c>
      <c r="AB232" s="18" t="inlineStr">
        <is>
          <t>12A</t>
        </is>
      </c>
    </row>
    <row r="233" ht="15.75" customHeight="1" s="108">
      <c r="A233" s="18" t="inlineStr">
        <is>
          <t>F0229</t>
        </is>
      </c>
      <c r="B233" s="18" t="inlineStr">
        <is>
          <t>Monsters, Inc.</t>
        </is>
      </c>
      <c r="C233" s="20" t="inlineStr">
        <is>
          <t>2001</t>
        </is>
      </c>
      <c r="D233" s="18" t="inlineStr">
        <is>
          <t>Blu-ray</t>
        </is>
      </c>
      <c r="E233" s="18" t="inlineStr">
        <is>
          <t>Monsters, Inc.</t>
        </is>
      </c>
      <c r="F233" s="19" t="n"/>
      <c r="G233" s="4" t="n"/>
      <c r="H233" s="4" t="n"/>
      <c r="I233" s="19" t="inlineStr">
        <is>
          <t>Lovable Sulley and his wisecracking sidekick Mike Wazowski are the top scare team at Monsters, Inc., the scream-processing factory in Monstropolis. When a little girl named Boo wanders into their world, it's the monsters who are scared silly, and it's up to Sulley and Mike to keep her out of sight and get her back home.</t>
        </is>
      </c>
      <c r="J233" s="19" t="inlineStr">
        <is>
          <t>Pete Docter, David Silverman, Lee Unkrich</t>
        </is>
      </c>
      <c r="K233" s="19" t="n">
        <v>92</v>
      </c>
      <c r="L233" s="19" t="inlineStr">
        <is>
          <t>Animation, Comedy, Family</t>
        </is>
      </c>
      <c r="M233" s="19" t="inlineStr">
        <is>
          <t>Pixar</t>
        </is>
      </c>
      <c r="N233" s="19" t="inlineStr">
        <is>
          <t>https://huggingface.co/datasets/HenryWaltson/TMDB-IMDB-Movies-Dataset</t>
        </is>
      </c>
      <c r="O233" s="19" t="inlineStr">
        <is>
          <t>https://huggingface.co/datasets/HenryWaltson/TMDB-IMDB-Movies-Dataset</t>
        </is>
      </c>
      <c r="P233" s="18" t="inlineStr">
        <is>
          <t>John Goodman</t>
        </is>
      </c>
      <c r="Q233" s="18" t="inlineStr">
        <is>
          <t>Billy Crystal</t>
        </is>
      </c>
      <c r="R233" s="18" t="inlineStr">
        <is>
          <t>Mary Gibbs</t>
        </is>
      </c>
      <c r="S233" s="18" t="inlineStr">
        <is>
          <t>Steve Buscemi</t>
        </is>
      </c>
      <c r="T233" s="18" t="inlineStr">
        <is>
          <t>James Coburn</t>
        </is>
      </c>
      <c r="U233" s="24" t="n">
        <v>4</v>
      </c>
      <c r="V233" s="24" t="n">
        <v>1</v>
      </c>
      <c r="W233" s="4" t="n"/>
      <c r="X233" s="25">
        <f t="array" ref="X233">IFERROR(INDEX(Ratings!$E$5:$E$500,MATCH(A233,Ratings!$A$5:$A$500,0)),"")</f>
        <v/>
      </c>
      <c r="Y233" s="24">
        <f t="array" ref="Y233">IFERROR(INDEX(Ratings!$G$5:$G$500,MATCH(A233,Ratings!$A$5:$A$500,0)),"")</f>
        <v/>
      </c>
      <c r="Z233" s="26">
        <f t="array" ref="Z233">IFERROR(INDEX(Ratings!$I$5:$I$500,MATCH(A233,Ratings!$A$5:$A$500,0)),"")</f>
        <v/>
      </c>
      <c r="AB233" s="18" t="inlineStr">
        <is>
          <t>U</t>
        </is>
      </c>
    </row>
    <row r="234" ht="15.75" customHeight="1" s="108">
      <c r="A234" s="18" t="inlineStr">
        <is>
          <t>F0230</t>
        </is>
      </c>
      <c r="B234" s="18" t="inlineStr">
        <is>
          <t>Monsters University</t>
        </is>
      </c>
      <c r="C234" s="20" t="inlineStr">
        <is>
          <t>2013</t>
        </is>
      </c>
      <c r="D234" s="18" t="inlineStr">
        <is>
          <t>Blu-ray</t>
        </is>
      </c>
      <c r="E234" s="18" t="inlineStr">
        <is>
          <t>Monsters, Inc.</t>
        </is>
      </c>
      <c r="F234" s="19" t="n"/>
      <c r="G234" s="4" t="n"/>
      <c r="H234" s="4" t="n"/>
      <c r="I234" s="19" t="inlineStr">
        <is>
          <t>A look at the relationship between Mike and Sulley during their days at Monsters University — when they weren't necessarily the best of friends.</t>
        </is>
      </c>
      <c r="J234" s="19" t="inlineStr">
        <is>
          <t>Dan Scanlon</t>
        </is>
      </c>
      <c r="K234" s="19" t="n">
        <v>104</v>
      </c>
      <c r="L234" s="19" t="inlineStr">
        <is>
          <t>Animation, Family</t>
        </is>
      </c>
      <c r="M234" s="19" t="inlineStr">
        <is>
          <t>Pixar, Walt Disney Pictures</t>
        </is>
      </c>
      <c r="N234" s="19" t="inlineStr">
        <is>
          <t>https://huggingface.co/datasets/HenryWaltson/TMDB-IMDB-Movies-Dataset</t>
        </is>
      </c>
      <c r="O234" s="19" t="inlineStr">
        <is>
          <t>https://huggingface.co/datasets/HenryWaltson/TMDB-IMDB-Movies-Dataset</t>
        </is>
      </c>
      <c r="P234" s="18" t="inlineStr">
        <is>
          <t>Billy Crystal</t>
        </is>
      </c>
      <c r="Q234" s="18" t="inlineStr">
        <is>
          <t>John Goodman</t>
        </is>
      </c>
      <c r="R234" s="18" t="inlineStr">
        <is>
          <t>Steve Buscemi</t>
        </is>
      </c>
      <c r="S234" s="18" t="inlineStr">
        <is>
          <t>Helen Mirren</t>
        </is>
      </c>
      <c r="T234" s="18" t="inlineStr">
        <is>
          <t>Peter Sohn</t>
        </is>
      </c>
      <c r="U234" s="24" t="n">
        <v>0</v>
      </c>
      <c r="V234" s="24" t="n">
        <v>0</v>
      </c>
      <c r="W234" s="4" t="n"/>
      <c r="X234" s="25">
        <f t="array" ref="X234">IFERROR(INDEX(Ratings!$E$5:$E$500,MATCH(A234,Ratings!$A$5:$A$500,0)),"")</f>
        <v/>
      </c>
      <c r="Y234" s="24">
        <f t="array" ref="Y234">IFERROR(INDEX(Ratings!$G$5:$G$500,MATCH(A234,Ratings!$A$5:$A$500,0)),"")</f>
        <v/>
      </c>
      <c r="Z234" s="26">
        <f t="array" ref="Z234">IFERROR(INDEX(Ratings!$I$5:$I$500,MATCH(A234,Ratings!$A$5:$A$500,0)),"")</f>
        <v/>
      </c>
      <c r="AB234" s="18" t="inlineStr">
        <is>
          <t>U</t>
        </is>
      </c>
    </row>
    <row r="235" ht="15.75" customHeight="1" s="108">
      <c r="A235" s="18" t="inlineStr">
        <is>
          <t>F0231</t>
        </is>
      </c>
      <c r="B235" s="18" t="inlineStr">
        <is>
          <t>Mr. &amp; Mrs. Smith</t>
        </is>
      </c>
      <c r="C235" s="20" t="inlineStr">
        <is>
          <t>2005</t>
        </is>
      </c>
      <c r="D235" s="18" t="inlineStr">
        <is>
          <t>Blu-ray</t>
        </is>
      </c>
      <c r="E235" s="4" t="n"/>
      <c r="F235" s="19" t="n"/>
      <c r="G235" s="4" t="n"/>
      <c r="H235" s="4" t="n"/>
      <c r="I235" s="19" t="inlineStr">
        <is>
          <t>A husband and wife struggle to keep their marriage alive until they realize they are both secretly working as assassins. Now, their respective assignments require them to kill each other.</t>
        </is>
      </c>
      <c r="J235" s="19" t="inlineStr">
        <is>
          <t>Doug Liman</t>
        </is>
      </c>
      <c r="K235" s="19" t="n">
        <v>120</v>
      </c>
      <c r="L235" s="19" t="inlineStr">
        <is>
          <t>Action, Comedy, Drama, Thriller</t>
        </is>
      </c>
      <c r="M235" s="19" t="inlineStr">
        <is>
          <t>Epsilon Motion Pictures, Weed Road Pictures, Regency Enterprises</t>
        </is>
      </c>
      <c r="N235" s="19" t="inlineStr">
        <is>
          <t>https://huggingface.co/datasets/HenryWaltson/TMDB-IMDB-Movies-Dataset</t>
        </is>
      </c>
      <c r="O235" s="19" t="inlineStr">
        <is>
          <t>https://huggingface.co/datasets/HenryWaltson/TMDB-IMDB-Movies-Dataset</t>
        </is>
      </c>
      <c r="P235" s="18" t="inlineStr">
        <is>
          <t>Brad Pitt</t>
        </is>
      </c>
      <c r="Q235" s="18" t="inlineStr">
        <is>
          <t>Angelina Jolie</t>
        </is>
      </c>
      <c r="R235" s="18" t="inlineStr">
        <is>
          <t>Vince Vaughn</t>
        </is>
      </c>
      <c r="S235" s="18" t="inlineStr">
        <is>
          <t>Adam Brody</t>
        </is>
      </c>
      <c r="T235" s="18" t="inlineStr">
        <is>
          <t>Kerry Washington</t>
        </is>
      </c>
      <c r="U235" s="24" t="n">
        <v>0</v>
      </c>
      <c r="V235" s="24" t="n">
        <v>0</v>
      </c>
      <c r="W235" s="4" t="n"/>
      <c r="X235" s="25">
        <f t="array" ref="X235">IFERROR(INDEX(Ratings!$E$5:$E$500,MATCH(A235,Ratings!$A$5:$A$500,0)),"")</f>
        <v/>
      </c>
      <c r="Y235" s="24">
        <f t="array" ref="Y235">IFERROR(INDEX(Ratings!$G$5:$G$500,MATCH(A235,Ratings!$A$5:$A$500,0)),"")</f>
        <v/>
      </c>
      <c r="Z235" s="26">
        <f t="array" ref="Z235">IFERROR(INDEX(Ratings!$I$5:$I$500,MATCH(A235,Ratings!$A$5:$A$500,0)),"")</f>
        <v/>
      </c>
      <c r="AB235" s="18" t="inlineStr">
        <is>
          <t>15</t>
        </is>
      </c>
    </row>
    <row r="236" ht="15.75" customHeight="1" s="108">
      <c r="A236" s="18" t="inlineStr">
        <is>
          <t>F0232</t>
        </is>
      </c>
      <c r="B236" s="18" t="inlineStr">
        <is>
          <t>Muppets Most Wanted</t>
        </is>
      </c>
      <c r="C236" s="20" t="inlineStr">
        <is>
          <t>2014</t>
        </is>
      </c>
      <c r="D236" s="18" t="inlineStr">
        <is>
          <t>Blu-ray</t>
        </is>
      </c>
      <c r="E236" s="4" t="n"/>
      <c r="F236" s="19" t="n"/>
      <c r="G236" s="4" t="n"/>
      <c r="H236" s="4" t="n"/>
      <c r="I236" s="19" t="inlineStr">
        <is>
          <t>After the success of their telethon and renewed fame, the Muppets go on a world tour and find themselves wrapped into an European jewel-heist caper headed by a Kermit the Frog look-alike and his dastardly sidekick.</t>
        </is>
      </c>
      <c r="J236" s="19" t="inlineStr">
        <is>
          <t>James Bobin</t>
        </is>
      </c>
      <c r="K236" s="19" t="n">
        <v>107</v>
      </c>
      <c r="L236" s="19" t="inlineStr">
        <is>
          <t>Comedy, Adventure, Crime</t>
        </is>
      </c>
      <c r="M236" s="19" t="inlineStr">
        <is>
          <t>Walt Disney Pictures, Mandeville Films, The Muppets Studio</t>
        </is>
      </c>
      <c r="N236" s="19" t="inlineStr">
        <is>
          <t>https://huggingface.co/datasets/HenryWaltson/TMDB-IMDB-Movies-Dataset</t>
        </is>
      </c>
      <c r="O236" s="19" t="inlineStr">
        <is>
          <t>https://huggingface.co/datasets/HenryWaltson/TMDB-IMDB-Movies-Dataset</t>
        </is>
      </c>
      <c r="P236" s="18" t="inlineStr">
        <is>
          <t>Ricky Gervais</t>
        </is>
      </c>
      <c r="Q236" s="18" t="inlineStr">
        <is>
          <t>Ty Burrell</t>
        </is>
      </c>
      <c r="R236" s="18" t="inlineStr">
        <is>
          <t>Tina Fey</t>
        </is>
      </c>
      <c r="S236" s="18" t="inlineStr">
        <is>
          <t>Steve Whitmire</t>
        </is>
      </c>
      <c r="T236" s="18" t="inlineStr">
        <is>
          <t>Eric Jacobson</t>
        </is>
      </c>
      <c r="U236" s="24" t="n">
        <v>0</v>
      </c>
      <c r="V236" s="24" t="n">
        <v>0</v>
      </c>
      <c r="W236" s="4" t="n"/>
      <c r="X236" s="25">
        <f t="array" ref="X236">IFERROR(INDEX(Ratings!$E$5:$E$500,MATCH(A236,Ratings!$A$5:$A$500,0)),"")</f>
        <v/>
      </c>
      <c r="Y236" s="24">
        <f t="array" ref="Y236">IFERROR(INDEX(Ratings!$G$5:$G$500,MATCH(A236,Ratings!$A$5:$A$500,0)),"")</f>
        <v/>
      </c>
      <c r="Z236" s="26">
        <f t="array" ref="Z236">IFERROR(INDEX(Ratings!$I$5:$I$500,MATCH(A236,Ratings!$A$5:$A$500,0)),"")</f>
        <v/>
      </c>
      <c r="AB236" s="18" t="inlineStr">
        <is>
          <t>U</t>
        </is>
      </c>
    </row>
    <row r="237" ht="15.75" customHeight="1" s="108">
      <c r="A237" s="18" t="inlineStr">
        <is>
          <t>F0233</t>
        </is>
      </c>
      <c r="B237" s="18" t="inlineStr">
        <is>
          <t>National Treasure: Book of Secrets</t>
        </is>
      </c>
      <c r="C237" s="20" t="inlineStr">
        <is>
          <t>2007</t>
        </is>
      </c>
      <c r="D237" s="18" t="inlineStr">
        <is>
          <t>Blu-ray</t>
        </is>
      </c>
      <c r="E237" s="4" t="n"/>
      <c r="F237" s="19" t="n"/>
      <c r="G237" s="4" t="n"/>
      <c r="H237" s="4" t="n"/>
      <c r="I237" s="19" t="inlineStr">
        <is>
          <t>Benjamin Franklin Gates and Abigail Chase re-team with Riley Poole and, now armed with a stack of long-lost pages from John Wilkes Booth's diary, Ben must follow a clue left there to prove his ancestor's innocence in the assassination of Abraham Lincoln.</t>
        </is>
      </c>
      <c r="J237" s="19" t="inlineStr">
        <is>
          <t>Jon Turteltaub</t>
        </is>
      </c>
      <c r="K237" s="19" t="n">
        <v>124</v>
      </c>
      <c r="L237" s="19" t="inlineStr">
        <is>
          <t>Action, Adventure, Mystery, Thriller</t>
        </is>
      </c>
      <c r="M237" s="19" t="inlineStr">
        <is>
          <t>Walt Disney Pictures, Jerry Bruckheimer Films, Saturn Films</t>
        </is>
      </c>
      <c r="N237" s="19" t="inlineStr">
        <is>
          <t>https://huggingface.co/datasets/HenryWaltson/TMDB-IMDB-Movies-Dataset</t>
        </is>
      </c>
      <c r="O237" s="19" t="inlineStr">
        <is>
          <t>https://huggingface.co/datasets/HenryWaltson/TMDB-IMDB-Movies-Dataset</t>
        </is>
      </c>
      <c r="P237" s="18" t="inlineStr">
        <is>
          <t>Nicolas Cage</t>
        </is>
      </c>
      <c r="Q237" s="18" t="inlineStr">
        <is>
          <t>Diane Kruger</t>
        </is>
      </c>
      <c r="R237" s="18" t="inlineStr">
        <is>
          <t>Justin Bartha</t>
        </is>
      </c>
      <c r="S237" s="18" t="inlineStr">
        <is>
          <t>Ed Harris</t>
        </is>
      </c>
      <c r="T237" s="18" t="inlineStr">
        <is>
          <t>Jon Voight</t>
        </is>
      </c>
      <c r="U237" s="24" t="n">
        <v>0</v>
      </c>
      <c r="V237" s="24" t="n">
        <v>0</v>
      </c>
      <c r="W237" s="4" t="n"/>
      <c r="X237" s="25">
        <f t="array" ref="X237">IFERROR(INDEX(Ratings!$E$5:$E$500,MATCH(A237,Ratings!$A$5:$A$500,0)),"")</f>
        <v/>
      </c>
      <c r="Y237" s="24">
        <f t="array" ref="Y237">IFERROR(INDEX(Ratings!$G$5:$G$500,MATCH(A237,Ratings!$A$5:$A$500,0)),"")</f>
        <v/>
      </c>
      <c r="Z237" s="26">
        <f t="array" ref="Z237">IFERROR(INDEX(Ratings!$I$5:$I$500,MATCH(A237,Ratings!$A$5:$A$500,0)),"")</f>
        <v/>
      </c>
      <c r="AB237" s="18" t="inlineStr">
        <is>
          <t>PG</t>
        </is>
      </c>
    </row>
    <row r="238" ht="15.75" customHeight="1" s="108">
      <c r="A238" s="18" t="inlineStr">
        <is>
          <t>F0234</t>
        </is>
      </c>
      <c r="B238" s="18" t="inlineStr">
        <is>
          <t>Need for Speed</t>
        </is>
      </c>
      <c r="C238" s="20" t="inlineStr">
        <is>
          <t>2014</t>
        </is>
      </c>
      <c r="D238" s="18" t="inlineStr">
        <is>
          <t>Blu-ray</t>
        </is>
      </c>
      <c r="E238" s="4" t="n"/>
      <c r="F238" s="19" t="n"/>
      <c r="G238" s="4" t="n"/>
      <c r="H238" s="4" t="n"/>
      <c r="I238" s="19" t="inlineStr">
        <is>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is>
      </c>
      <c r="J238" s="19" t="inlineStr">
        <is>
          <t>Scott Waugh</t>
        </is>
      </c>
      <c r="K238" s="19" t="n">
        <v>132</v>
      </c>
      <c r="L238" s="19" t="inlineStr">
        <is>
          <t>Action, Crime, Drama, Thriller</t>
        </is>
      </c>
      <c r="M238" s="19" t="inlineStr">
        <is>
          <t>Revolution Sun Studios, Reliance Entertainment, Bandito Brothers</t>
        </is>
      </c>
      <c r="N238" s="19" t="inlineStr">
        <is>
          <t>https://huggingface.co/datasets/HenryWaltson/TMDB-IMDB-Movies-Dataset</t>
        </is>
      </c>
      <c r="O238" s="19" t="inlineStr">
        <is>
          <t>https://huggingface.co/datasets/HenryWaltson/TMDB-IMDB-Movies-Dataset</t>
        </is>
      </c>
      <c r="P238" s="18" t="inlineStr">
        <is>
          <t>Aaron Paul</t>
        </is>
      </c>
      <c r="Q238" s="18" t="inlineStr">
        <is>
          <t>Dominic Cooper</t>
        </is>
      </c>
      <c r="R238" s="18" t="inlineStr">
        <is>
          <t>Imogen Poots</t>
        </is>
      </c>
      <c r="S238" s="18" t="inlineStr">
        <is>
          <t>Kid Cudi</t>
        </is>
      </c>
      <c r="T238" s="18" t="inlineStr">
        <is>
          <t>Rami Malek</t>
        </is>
      </c>
      <c r="U238" s="24" t="n">
        <v>0</v>
      </c>
      <c r="V238" s="24" t="n">
        <v>0</v>
      </c>
      <c r="W238" s="4" t="n"/>
      <c r="X238" s="25">
        <f t="array" ref="X238">IFERROR(INDEX(Ratings!$E$5:$E$500,MATCH(A238,Ratings!$A$5:$A$500,0)),"")</f>
        <v/>
      </c>
      <c r="Y238" s="24">
        <f t="array" ref="Y238">IFERROR(INDEX(Ratings!$G$5:$G$500,MATCH(A238,Ratings!$A$5:$A$500,0)),"")</f>
        <v/>
      </c>
      <c r="Z238" s="26">
        <f t="array" ref="Z238">IFERROR(INDEX(Ratings!$I$5:$I$500,MATCH(A238,Ratings!$A$5:$A$500,0)),"")</f>
        <v/>
      </c>
      <c r="AB238" s="18" t="inlineStr">
        <is>
          <t>12A</t>
        </is>
      </c>
    </row>
    <row r="239" ht="15.75" customHeight="1" s="108">
      <c r="A239" s="18" t="inlineStr">
        <is>
          <t>F0235</t>
        </is>
      </c>
      <c r="B239" s="18" t="inlineStr">
        <is>
          <t>The Nice Guys</t>
        </is>
      </c>
      <c r="C239" s="20" t="inlineStr">
        <is>
          <t>2016</t>
        </is>
      </c>
      <c r="D239" s="18" t="inlineStr">
        <is>
          <t>Blu-ray</t>
        </is>
      </c>
      <c r="E239" s="4" t="n"/>
      <c r="F239" s="19" t="n"/>
      <c r="G239" s="4" t="inlineStr">
        <is>
          <t>Yes</t>
        </is>
      </c>
      <c r="H239" s="4" t="inlineStr">
        <is>
          <t>⭐⭐⭐⭐</t>
        </is>
      </c>
      <c r="I239" s="19" t="inlineStr">
        <is>
          <t>A private eye investigates the apparent suicide of a fading porn star in 1970s Los Angeles and uncovers a conspiracy.</t>
        </is>
      </c>
      <c r="J239" s="19" t="inlineStr">
        <is>
          <t>Shane Black</t>
        </is>
      </c>
      <c r="K239" s="19" t="n">
        <v>116</v>
      </c>
      <c r="L239" s="19" t="inlineStr">
        <is>
          <t>Comedy, Crime, Action</t>
        </is>
      </c>
      <c r="M239" s="19" t="inlineStr">
        <is>
          <t>Silver Pictures, Waypoint Entertainment, Bloom</t>
        </is>
      </c>
      <c r="N239" s="19" t="inlineStr">
        <is>
          <t>https://huggingface.co/datasets/HenryWaltson/TMDB-IMDB-Movies-Dataset</t>
        </is>
      </c>
      <c r="O239" s="19" t="inlineStr">
        <is>
          <t>https://huggingface.co/datasets/HenryWaltson/TMDB-IMDB-Movies-Dataset</t>
        </is>
      </c>
      <c r="P239" s="18" t="inlineStr">
        <is>
          <t>Russell Crowe</t>
        </is>
      </c>
      <c r="Q239" s="18" t="inlineStr">
        <is>
          <t>Ryan Gosling</t>
        </is>
      </c>
      <c r="R239" s="18" t="inlineStr">
        <is>
          <t>Angourie Rice</t>
        </is>
      </c>
      <c r="S239" s="18" t="inlineStr">
        <is>
          <t>Matt Bomer</t>
        </is>
      </c>
      <c r="T239" s="18" t="inlineStr">
        <is>
          <t>Margaret Qualley</t>
        </is>
      </c>
      <c r="U239" s="24" t="n">
        <v>0</v>
      </c>
      <c r="V239" s="24" t="n">
        <v>0</v>
      </c>
      <c r="W239" s="4" t="n"/>
      <c r="X239" s="25">
        <f t="array" ref="X239">IFERROR(INDEX(Ratings!$E$5:$E$500,MATCH(A239,Ratings!$A$5:$A$500,0)),"")</f>
        <v/>
      </c>
      <c r="Y239" s="24">
        <f t="array" ref="Y239">IFERROR(INDEX(Ratings!$G$5:$G$500,MATCH(A239,Ratings!$A$5:$A$500,0)),"")</f>
        <v/>
      </c>
      <c r="Z239" s="26">
        <f t="array" ref="Z239">IFERROR(INDEX(Ratings!$I$5:$I$500,MATCH(A239,Ratings!$A$5:$A$500,0)),"")</f>
        <v/>
      </c>
      <c r="AA239" s="0" t="inlineStr">
        <is>
          <t>2026-08-19</t>
        </is>
      </c>
      <c r="AB239" s="18" t="inlineStr">
        <is>
          <t>15</t>
        </is>
      </c>
    </row>
    <row r="240" ht="15.75" customHeight="1" s="108">
      <c r="A240" s="18" t="inlineStr">
        <is>
          <t>F0236</t>
        </is>
      </c>
      <c r="B240" s="18" t="inlineStr">
        <is>
          <t>Night at the Museum: Battle of the Smithsonian</t>
        </is>
      </c>
      <c r="C240" s="20" t="inlineStr">
        <is>
          <t>2009</t>
        </is>
      </c>
      <c r="D240" s="18" t="inlineStr">
        <is>
          <t>Blu-ray</t>
        </is>
      </c>
      <c r="E240" s="4" t="n"/>
      <c r="F240" s="19" t="n"/>
      <c r="G240" s="4" t="n"/>
      <c r="H240" s="4" t="n"/>
      <c r="I240" s="19" t="inlineStr">
        <is>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is>
      </c>
      <c r="J240" s="19" t="inlineStr">
        <is>
          <t>Shawn Levy</t>
        </is>
      </c>
      <c r="K240" s="19" t="n">
        <v>105</v>
      </c>
      <c r="L240" s="19" t="inlineStr">
        <is>
          <t>Adventure, Fantasy, Action, Comedy, Family</t>
        </is>
      </c>
      <c r="M240" s="19" t="inlineStr">
        <is>
          <t>21 Laps Entertainment, 1492 Pictures, Dune Entertainment</t>
        </is>
      </c>
      <c r="N240" s="19" t="inlineStr">
        <is>
          <t>https://huggingface.co/datasets/HenryWaltson/TMDB-IMDB-Movies-Dataset</t>
        </is>
      </c>
      <c r="O240" s="19" t="inlineStr">
        <is>
          <t>https://huggingface.co/datasets/HenryWaltson/TMDB-IMDB-Movies-Dataset</t>
        </is>
      </c>
      <c r="P240" s="18" t="inlineStr">
        <is>
          <t>Ben Stiller</t>
        </is>
      </c>
      <c r="Q240" s="18" t="inlineStr">
        <is>
          <t>Amy Adams</t>
        </is>
      </c>
      <c r="R240" s="18" t="inlineStr">
        <is>
          <t>Owen Wilson</t>
        </is>
      </c>
      <c r="S240" s="18" t="inlineStr">
        <is>
          <t>Hank Azaria</t>
        </is>
      </c>
      <c r="T240" s="18" t="inlineStr">
        <is>
          <t>Robin Williams</t>
        </is>
      </c>
      <c r="U240" s="24" t="n">
        <v>0</v>
      </c>
      <c r="V240" s="24" t="n">
        <v>0</v>
      </c>
      <c r="W240" s="4" t="n"/>
      <c r="X240" s="25">
        <f t="array" ref="X240">IFERROR(INDEX(Ratings!$E$5:$E$500,MATCH(A240,Ratings!$A$5:$A$500,0)),"")</f>
        <v/>
      </c>
      <c r="Y240" s="24">
        <f t="array" ref="Y240">IFERROR(INDEX(Ratings!$G$5:$G$500,MATCH(A240,Ratings!$A$5:$A$500,0)),"")</f>
        <v/>
      </c>
      <c r="Z240" s="26">
        <f t="array" ref="Z240">IFERROR(INDEX(Ratings!$I$5:$I$500,MATCH(A240,Ratings!$A$5:$A$500,0)),"")</f>
        <v/>
      </c>
      <c r="AB240" s="18" t="inlineStr">
        <is>
          <t>PG</t>
        </is>
      </c>
    </row>
    <row r="241" ht="15.75" customHeight="1" s="108">
      <c r="A241" s="18" t="inlineStr">
        <is>
          <t>F0237</t>
        </is>
      </c>
      <c r="B241" s="18" t="inlineStr">
        <is>
          <t>The Notebook</t>
        </is>
      </c>
      <c r="C241" s="20" t="inlineStr">
        <is>
          <t>2004</t>
        </is>
      </c>
      <c r="D241" s="18" t="inlineStr">
        <is>
          <t>Blu-ray</t>
        </is>
      </c>
      <c r="E241" s="4" t="n"/>
      <c r="F241" s="19" t="n"/>
      <c r="G241" s="4" t="n"/>
      <c r="H241" s="4" t="n"/>
      <c r="I241" s="19" t="inlineStr">
        <is>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is>
      </c>
      <c r="J241" s="19" t="inlineStr">
        <is>
          <t>Nick Cassavetes</t>
        </is>
      </c>
      <c r="K241" s="19" t="n">
        <v>123</v>
      </c>
      <c r="L241" s="19" t="inlineStr">
        <is>
          <t>Romance, Drama</t>
        </is>
      </c>
      <c r="M241" s="19" t="inlineStr">
        <is>
          <t>New Line Cinema, Avery Pix, Gran Via Productions</t>
        </is>
      </c>
      <c r="N241" s="19" t="inlineStr">
        <is>
          <t>https://huggingface.co/datasets/HenryWaltson/TMDB-IMDB-Movies-Dataset</t>
        </is>
      </c>
      <c r="O241" s="19" t="inlineStr">
        <is>
          <t>https://huggingface.co/datasets/HenryWaltson/TMDB-IMDB-Movies-Dataset</t>
        </is>
      </c>
      <c r="P241" s="18" t="inlineStr">
        <is>
          <t>Ryan Gosling</t>
        </is>
      </c>
      <c r="Q241" s="18" t="inlineStr">
        <is>
          <t>Rachel McAdams</t>
        </is>
      </c>
      <c r="R241" s="18" t="inlineStr">
        <is>
          <t>Gena Rowlands</t>
        </is>
      </c>
      <c r="S241" s="18" t="inlineStr">
        <is>
          <t>James Garner</t>
        </is>
      </c>
      <c r="T241" s="18" t="inlineStr">
        <is>
          <t>Joan Allen</t>
        </is>
      </c>
      <c r="U241" s="24" t="n">
        <v>0</v>
      </c>
      <c r="V241" s="24" t="n">
        <v>0</v>
      </c>
      <c r="W241" s="4" t="n"/>
      <c r="X241" s="25">
        <f t="array" ref="X241">IFERROR(INDEX(Ratings!$E$5:$E$500,MATCH(A241,Ratings!$A$5:$A$500,0)),"")</f>
        <v/>
      </c>
      <c r="Y241" s="24">
        <f t="array" ref="Y241">IFERROR(INDEX(Ratings!$G$5:$G$500,MATCH(A241,Ratings!$A$5:$A$500,0)),"")</f>
        <v/>
      </c>
      <c r="Z241" s="26">
        <f t="array" ref="Z241">IFERROR(INDEX(Ratings!$I$5:$I$500,MATCH(A241,Ratings!$A$5:$A$500,0)),"")</f>
        <v/>
      </c>
      <c r="AB241" s="18" t="inlineStr">
        <is>
          <t>12A</t>
        </is>
      </c>
    </row>
    <row r="242" ht="15.75" customHeight="1" s="108">
      <c r="A242" s="18" t="inlineStr">
        <is>
          <t>F0238</t>
        </is>
      </c>
      <c r="B242" s="18" t="inlineStr">
        <is>
          <t>Noah</t>
        </is>
      </c>
      <c r="C242" s="20" t="inlineStr">
        <is>
          <t>2014</t>
        </is>
      </c>
      <c r="D242" s="18" t="inlineStr">
        <is>
          <t>Blu-ray</t>
        </is>
      </c>
      <c r="E242" s="4" t="n"/>
      <c r="F242" s="19" t="n"/>
      <c r="G242" s="4" t="n"/>
      <c r="H242" s="4" t="n"/>
      <c r="I242" s="19" t="inlineStr">
        <is>
          <t>A man who suffers visions of an apocalyptic deluge takes measures to protect his family from the coming flood.</t>
        </is>
      </c>
      <c r="J242" s="19" t="inlineStr">
        <is>
          <t>Darren Aronofsky</t>
        </is>
      </c>
      <c r="K242" s="19" t="n">
        <v>138</v>
      </c>
      <c r="L242" s="19" t="inlineStr">
        <is>
          <t>Drama, Adventure</t>
        </is>
      </c>
      <c r="M242" s="19" t="inlineStr">
        <is>
          <t>Disruption Entertainment, Paramount, Regency Enterprises</t>
        </is>
      </c>
      <c r="N242" s="19" t="inlineStr">
        <is>
          <t>https://huggingface.co/datasets/HenryWaltson/TMDB-IMDB-Movies-Dataset</t>
        </is>
      </c>
      <c r="O242" s="19" t="inlineStr">
        <is>
          <t>https://huggingface.co/datasets/HenryWaltson/TMDB-IMDB-Movies-Dataset</t>
        </is>
      </c>
      <c r="P242" s="18" t="inlineStr">
        <is>
          <t>Russell Crowe</t>
        </is>
      </c>
      <c r="Q242" s="18" t="inlineStr">
        <is>
          <t>Jennifer Connelly</t>
        </is>
      </c>
      <c r="R242" s="18" t="inlineStr">
        <is>
          <t>Ray Winstone</t>
        </is>
      </c>
      <c r="S242" s="18" t="inlineStr">
        <is>
          <t>Anthony Hopkins</t>
        </is>
      </c>
      <c r="T242" s="18" t="inlineStr">
        <is>
          <t>Emma Watson</t>
        </is>
      </c>
      <c r="U242" s="24" t="n">
        <v>0</v>
      </c>
      <c r="V242" s="24" t="n">
        <v>0</v>
      </c>
      <c r="W242" s="4" t="n"/>
      <c r="X242" s="25">
        <f t="array" ref="X242">IFERROR(INDEX(Ratings!$E$5:$E$500,MATCH(A242,Ratings!$A$5:$A$500,0)),"")</f>
        <v/>
      </c>
      <c r="Y242" s="24">
        <f t="array" ref="Y242">IFERROR(INDEX(Ratings!$G$5:$G$500,MATCH(A242,Ratings!$A$5:$A$500,0)),"")</f>
        <v/>
      </c>
      <c r="Z242" s="26">
        <f t="array" ref="Z242">IFERROR(INDEX(Ratings!$I$5:$I$500,MATCH(A242,Ratings!$A$5:$A$500,0)),"")</f>
        <v/>
      </c>
      <c r="AB242" s="18" t="inlineStr">
        <is>
          <t>12</t>
        </is>
      </c>
    </row>
    <row r="243" ht="15.75" customHeight="1" s="108">
      <c r="A243" s="18" t="inlineStr">
        <is>
          <t>F0239</t>
        </is>
      </c>
      <c r="B243" s="18" t="inlineStr">
        <is>
          <t>Oblivion</t>
        </is>
      </c>
      <c r="C243" s="20" t="inlineStr">
        <is>
          <t>2013</t>
        </is>
      </c>
      <c r="D243" s="18" t="inlineStr">
        <is>
          <t>Blu-ray</t>
        </is>
      </c>
      <c r="E243" s="4" t="n"/>
      <c r="F243" s="19" t="n"/>
      <c r="G243" s="4" t="n"/>
      <c r="H243" s="4" t="n"/>
      <c r="I243" s="19" t="inlineStr">
        <is>
          <t>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t>
        </is>
      </c>
      <c r="J243" s="19" t="inlineStr">
        <is>
          <t>Joseph Kosinski</t>
        </is>
      </c>
      <c r="K243" s="19" t="n">
        <v>124</v>
      </c>
      <c r="L243" s="19" t="inlineStr">
        <is>
          <t>Action, Science Fiction, Adventure, Mystery</t>
        </is>
      </c>
      <c r="M243" s="19" t="inlineStr">
        <is>
          <t>Universal Pictures, Relativity Media, Monolith Pictures (III)</t>
        </is>
      </c>
      <c r="N243" s="19" t="inlineStr">
        <is>
          <t>https://huggingface.co/datasets/HenryWaltson/TMDB-IMDB-Movies-Dataset</t>
        </is>
      </c>
      <c r="O243" s="19" t="inlineStr">
        <is>
          <t>https://huggingface.co/datasets/HenryWaltson/TMDB-IMDB-Movies-Dataset</t>
        </is>
      </c>
      <c r="P243" s="18" t="inlineStr">
        <is>
          <t>Tom Cruise</t>
        </is>
      </c>
      <c r="Q243" s="18" t="inlineStr">
        <is>
          <t>Morgan Freeman</t>
        </is>
      </c>
      <c r="R243" s="18" t="inlineStr">
        <is>
          <t>Olga Kurylenko</t>
        </is>
      </c>
      <c r="S243" s="18" t="inlineStr">
        <is>
          <t>Andrea Riseborough</t>
        </is>
      </c>
      <c r="T243" s="18" t="inlineStr">
        <is>
          <t>Nikolaj Coster-Waldau</t>
        </is>
      </c>
      <c r="U243" s="24" t="n">
        <v>0</v>
      </c>
      <c r="V243" s="24" t="n">
        <v>0</v>
      </c>
      <c r="W243" s="4" t="n"/>
      <c r="X243" s="25">
        <f t="array" ref="X243">IFERROR(INDEX(Ratings!$E$5:$E$500,MATCH(A243,Ratings!$A$5:$A$500,0)),"")</f>
        <v/>
      </c>
      <c r="Y243" s="24">
        <f t="array" ref="Y243">IFERROR(INDEX(Ratings!$G$5:$G$500,MATCH(A243,Ratings!$A$5:$A$500,0)),"")</f>
        <v/>
      </c>
      <c r="Z243" s="26">
        <f t="array" ref="Z243">IFERROR(INDEX(Ratings!$I$5:$I$500,MATCH(A243,Ratings!$A$5:$A$500,0)),"")</f>
        <v/>
      </c>
      <c r="AB243" s="18" t="inlineStr">
        <is>
          <t>12A</t>
        </is>
      </c>
    </row>
    <row r="244" ht="15.75" customHeight="1" s="108">
      <c r="A244" s="18" t="inlineStr">
        <is>
          <t>F0240</t>
        </is>
      </c>
      <c r="B244" s="18" t="inlineStr">
        <is>
          <t>Olympus Has Fallen</t>
        </is>
      </c>
      <c r="C244" s="20" t="inlineStr">
        <is>
          <t>2013</t>
        </is>
      </c>
      <c r="D244" s="18" t="inlineStr">
        <is>
          <t>Blu-ray</t>
        </is>
      </c>
      <c r="E244" s="4" t="n"/>
      <c r="F244" s="19" t="n"/>
      <c r="G244" s="4" t="n"/>
      <c r="H244" s="4" t="n"/>
      <c r="I244" s="19" t="inlineStr">
        <is>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is>
      </c>
      <c r="J244" s="19" t="inlineStr">
        <is>
          <t>Antoine Fuqua</t>
        </is>
      </c>
      <c r="K244" s="19" t="n">
        <v>120</v>
      </c>
      <c r="L244" s="19" t="inlineStr">
        <is>
          <t>Action, Thriller</t>
        </is>
      </c>
      <c r="M244" s="19" t="inlineStr">
        <is>
          <t>Millennium Media, G-BASE, Nu Image</t>
        </is>
      </c>
      <c r="N244" s="19" t="inlineStr">
        <is>
          <t>https://huggingface.co/datasets/HenryWaltson/TMDB-IMDB-Movies-Dataset</t>
        </is>
      </c>
      <c r="O244" s="19" t="inlineStr">
        <is>
          <t>https://huggingface.co/datasets/HenryWaltson/TMDB-IMDB-Movies-Dataset</t>
        </is>
      </c>
      <c r="P244" s="18" t="inlineStr">
        <is>
          <t>Gerard Butler</t>
        </is>
      </c>
      <c r="Q244" s="18" t="inlineStr">
        <is>
          <t>Aaron Eckhart</t>
        </is>
      </c>
      <c r="R244" s="18" t="inlineStr">
        <is>
          <t>Finley Jacobsen</t>
        </is>
      </c>
      <c r="S244" s="18" t="inlineStr">
        <is>
          <t>Dylan McDermott</t>
        </is>
      </c>
      <c r="T244" s="18" t="inlineStr">
        <is>
          <t>Rick Yune</t>
        </is>
      </c>
      <c r="U244" s="24" t="n">
        <v>0</v>
      </c>
      <c r="V244" s="24" t="n">
        <v>0</v>
      </c>
      <c r="W244" s="4" t="n"/>
      <c r="X244" s="25">
        <f t="array" ref="X244">IFERROR(INDEX(Ratings!$E$5:$E$500,MATCH(A244,Ratings!$A$5:$A$500,0)),"")</f>
        <v/>
      </c>
      <c r="Y244" s="24">
        <f t="array" ref="Y244">IFERROR(INDEX(Ratings!$G$5:$G$500,MATCH(A244,Ratings!$A$5:$A$500,0)),"")</f>
        <v/>
      </c>
      <c r="Z244" s="26">
        <f t="array" ref="Z244">IFERROR(INDEX(Ratings!$I$5:$I$500,MATCH(A244,Ratings!$A$5:$A$500,0)),"")</f>
        <v/>
      </c>
      <c r="AB244" s="18" t="inlineStr">
        <is>
          <t>15</t>
        </is>
      </c>
    </row>
    <row r="245" ht="15.75" customHeight="1" s="108">
      <c r="A245" s="18" t="inlineStr">
        <is>
          <t>F0241</t>
        </is>
      </c>
      <c r="B245" s="18" t="inlineStr">
        <is>
          <t>Once Upon a Time… in Hollywood</t>
        </is>
      </c>
      <c r="C245" s="20" t="inlineStr">
        <is>
          <t>2019</t>
        </is>
      </c>
      <c r="D245" s="18" t="inlineStr">
        <is>
          <t>Blu-ray</t>
        </is>
      </c>
      <c r="E245" s="4" t="n"/>
      <c r="F245" s="19" t="n"/>
      <c r="G245" s="4" t="n"/>
      <c r="H245" s="4" t="n"/>
      <c r="I245" s="19" t="inlineStr">
        <is>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t>
        </is>
      </c>
      <c r="J245" s="19" t="inlineStr">
        <is>
          <t>Quentin Tarantino</t>
        </is>
      </c>
      <c r="K245" s="19" t="n">
        <v>162</v>
      </c>
      <c r="L245" s="19" t="inlineStr">
        <is>
          <t>Comedy, Drama, Thriller</t>
        </is>
      </c>
      <c r="M245" s="19" t="inlineStr">
        <is>
          <t>Heyday Films, Columbia Pictures, Bona Film Group</t>
        </is>
      </c>
      <c r="N245" s="19" t="inlineStr">
        <is>
          <t>https://huggingface.co/datasets/HenryWaltson/TMDB-IMDB-Movies-Dataset</t>
        </is>
      </c>
      <c r="O245" s="19" t="inlineStr">
        <is>
          <t>https://huggingface.co/datasets/HenryWaltson/TMDB-IMDB-Movies-Dataset</t>
        </is>
      </c>
      <c r="P245" s="18" t="inlineStr">
        <is>
          <t>Leonardo DiCaprio</t>
        </is>
      </c>
      <c r="Q245" s="18" t="inlineStr">
        <is>
          <t>Brad Pitt</t>
        </is>
      </c>
      <c r="R245" s="18" t="inlineStr">
        <is>
          <t>Margot Robbie</t>
        </is>
      </c>
      <c r="S245" s="18" t="inlineStr">
        <is>
          <t>Emile Hirsch</t>
        </is>
      </c>
      <c r="T245" s="18" t="inlineStr">
        <is>
          <t>Margaret Qualley</t>
        </is>
      </c>
      <c r="U245" s="24" t="n">
        <v>10</v>
      </c>
      <c r="V245" s="24" t="n">
        <v>2</v>
      </c>
      <c r="W245" s="18" t="inlineStr">
        <is>
          <t>Nominated</t>
        </is>
      </c>
      <c r="X245" s="25">
        <f t="array" ref="X245">IFERROR(INDEX(Ratings!$E$5:$E$500,MATCH(A245,Ratings!$A$5:$A$500,0)),"")</f>
        <v/>
      </c>
      <c r="Y245" s="24">
        <f t="array" ref="Y245">IFERROR(INDEX(Ratings!$G$5:$G$500,MATCH(A245,Ratings!$A$5:$A$500,0)),"")</f>
        <v/>
      </c>
      <c r="Z245" s="26">
        <f t="array" ref="Z245">IFERROR(INDEX(Ratings!$I$5:$I$500,MATCH(A245,Ratings!$A$5:$A$500,0)),"")</f>
        <v/>
      </c>
      <c r="AB245" s="18" t="inlineStr">
        <is>
          <t>18</t>
        </is>
      </c>
    </row>
    <row r="246" ht="15.75" customHeight="1" s="108">
      <c r="A246" s="18" t="inlineStr">
        <is>
          <t>F0242</t>
        </is>
      </c>
      <c r="B246" s="18" t="inlineStr">
        <is>
          <t>Oppenheimer</t>
        </is>
      </c>
      <c r="C246" s="20" t="inlineStr">
        <is>
          <t>2023</t>
        </is>
      </c>
      <c r="D246" s="18" t="inlineStr">
        <is>
          <t>Blu-ray</t>
        </is>
      </c>
      <c r="E246" s="4" t="n"/>
      <c r="F246" s="19" t="n"/>
      <c r="G246" s="4" t="n"/>
      <c r="H246" s="4" t="n"/>
      <c r="I246" s="19" t="inlineStr">
        <is>
          <t>The story of J. Robert Oppenheimer's role in the development of the atomic bomb during World War II.</t>
        </is>
      </c>
      <c r="J246" s="19" t="inlineStr">
        <is>
          <t>Christopher Nolan</t>
        </is>
      </c>
      <c r="K246" s="19" t="n">
        <v>181</v>
      </c>
      <c r="L246" s="19" t="inlineStr">
        <is>
          <t>Drama, History</t>
        </is>
      </c>
      <c r="M246" s="19" t="inlineStr">
        <is>
          <t>Syncopy, Universal Pictures, Atlas Entertainment</t>
        </is>
      </c>
      <c r="N246" s="19" t="inlineStr">
        <is>
          <t>https://huggingface.co/datasets/HenryWaltson/TMDB-IMDB-Movies-Dataset</t>
        </is>
      </c>
      <c r="O246" s="19" t="inlineStr">
        <is>
          <t>https://huggingface.co/datasets/HenryWaltson/TMDB-IMDB-Movies-Dataset</t>
        </is>
      </c>
      <c r="P246" s="18" t="inlineStr">
        <is>
          <t>Cillian Murphy</t>
        </is>
      </c>
      <c r="Q246" s="18" t="inlineStr">
        <is>
          <t>Emily Blunt</t>
        </is>
      </c>
      <c r="R246" s="18" t="inlineStr">
        <is>
          <t>Matt Damon</t>
        </is>
      </c>
      <c r="S246" s="18" t="inlineStr">
        <is>
          <t>Robert Downey Jr.</t>
        </is>
      </c>
      <c r="T246" s="18" t="inlineStr">
        <is>
          <t>Florence Pugh</t>
        </is>
      </c>
      <c r="U246" s="24" t="n">
        <v>13</v>
      </c>
      <c r="V246" s="24" t="n">
        <v>7</v>
      </c>
      <c r="W246" s="18" t="inlineStr">
        <is>
          <t>Winner</t>
        </is>
      </c>
      <c r="X246" s="25">
        <f t="array" ref="X246">IFERROR(INDEX(Ratings!$E$5:$E$500,MATCH(A246,Ratings!$A$5:$A$500,0)),"")</f>
        <v/>
      </c>
      <c r="Y246" s="24">
        <f t="array" ref="Y246">IFERROR(INDEX(Ratings!$G$5:$G$500,MATCH(A246,Ratings!$A$5:$A$500,0)),"")</f>
        <v/>
      </c>
      <c r="Z246" s="26">
        <f t="array" ref="Z246">IFERROR(INDEX(Ratings!$I$5:$I$500,MATCH(A246,Ratings!$A$5:$A$500,0)),"")</f>
        <v/>
      </c>
      <c r="AB246" s="18" t="inlineStr">
        <is>
          <t>15</t>
        </is>
      </c>
    </row>
    <row r="247" ht="15.75" customHeight="1" s="108">
      <c r="A247" s="18" t="inlineStr">
        <is>
          <t>F0243</t>
        </is>
      </c>
      <c r="B247" s="18" t="inlineStr">
        <is>
          <t>Pacific Rim</t>
        </is>
      </c>
      <c r="C247" s="20" t="inlineStr">
        <is>
          <t>2013</t>
        </is>
      </c>
      <c r="D247" s="18" t="inlineStr">
        <is>
          <t>Blu-ray</t>
        </is>
      </c>
      <c r="E247" s="4" t="n"/>
      <c r="F247" s="19" t="n"/>
      <c r="G247" s="4" t="n"/>
      <c r="H247" s="4" t="n"/>
      <c r="I247" s="19" t="inlineStr">
        <is>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is>
      </c>
      <c r="J247" s="19" t="inlineStr">
        <is>
          <t>Guillermo del Toro</t>
        </is>
      </c>
      <c r="K247" s="19" t="n">
        <v>131</v>
      </c>
      <c r="L247" s="19" t="inlineStr">
        <is>
          <t>Action, Science Fiction, Adventure</t>
        </is>
      </c>
      <c r="M247" s="19" t="inlineStr">
        <is>
          <t>Double Dare You Productions, Legendary Pictures</t>
        </is>
      </c>
      <c r="N247" s="19" t="inlineStr">
        <is>
          <t>https://huggingface.co/datasets/HenryWaltson/TMDB-IMDB-Movies-Dataset</t>
        </is>
      </c>
      <c r="O247" s="19" t="inlineStr">
        <is>
          <t>https://huggingface.co/datasets/HenryWaltson/TMDB-IMDB-Movies-Dataset</t>
        </is>
      </c>
      <c r="P247" s="18" t="inlineStr">
        <is>
          <t>Charlie Hunnam</t>
        </is>
      </c>
      <c r="Q247" s="18" t="inlineStr">
        <is>
          <t>Rinko Kikuchi</t>
        </is>
      </c>
      <c r="R247" s="18" t="inlineStr">
        <is>
          <t>Idris Elba</t>
        </is>
      </c>
      <c r="S247" s="18" t="inlineStr">
        <is>
          <t>Max Martini</t>
        </is>
      </c>
      <c r="T247" s="18" t="inlineStr">
        <is>
          <t>Clifton Collins Jr.</t>
        </is>
      </c>
      <c r="U247" s="24" t="n">
        <v>0</v>
      </c>
      <c r="V247" s="24" t="n">
        <v>0</v>
      </c>
      <c r="W247" s="4" t="n"/>
      <c r="X247" s="25">
        <f t="array" ref="X247">IFERROR(INDEX(Ratings!$E$5:$E$500,MATCH(A247,Ratings!$A$5:$A$500,0)),"")</f>
        <v/>
      </c>
      <c r="Y247" s="24">
        <f t="array" ref="Y247">IFERROR(INDEX(Ratings!$G$5:$G$500,MATCH(A247,Ratings!$A$5:$A$500,0)),"")</f>
        <v/>
      </c>
      <c r="Z247" s="26">
        <f t="array" ref="Z247">IFERROR(INDEX(Ratings!$I$5:$I$500,MATCH(A247,Ratings!$A$5:$A$500,0)),"")</f>
        <v/>
      </c>
      <c r="AB247" s="18" t="inlineStr">
        <is>
          <t>12A</t>
        </is>
      </c>
    </row>
    <row r="248" ht="15.75" customHeight="1" s="108">
      <c r="A248" s="18" t="inlineStr">
        <is>
          <t>F0244</t>
        </is>
      </c>
      <c r="B248" s="18" t="inlineStr">
        <is>
          <t>Paddington</t>
        </is>
      </c>
      <c r="C248" s="20" t="inlineStr">
        <is>
          <t>2014</t>
        </is>
      </c>
      <c r="D248" s="18" t="inlineStr">
        <is>
          <t>Blu-ray</t>
        </is>
      </c>
      <c r="E248" s="4" t="n"/>
      <c r="F248" s="19" t="n"/>
      <c r="G248" s="4" t="n"/>
      <c r="H248" s="4" t="n"/>
      <c r="I248" s="19" t="inlineStr">
        <is>
          <t>A young Peruvian bear travels to London in search of a home. Finding himself lost and alone at Paddington Station, he meets the kindly Brown family, who offer him a temporary haven.</t>
        </is>
      </c>
      <c r="J248" s="19" t="inlineStr">
        <is>
          <t>Paul King</t>
        </is>
      </c>
      <c r="K248" s="19" t="n">
        <v>96</v>
      </c>
      <c r="L248" s="19" t="inlineStr">
        <is>
          <t>Comedy, Adventure, Family</t>
        </is>
      </c>
      <c r="M248" s="19" t="inlineStr">
        <is>
          <t>Heyday Films, StudioCanal, Anton Capital Entertainment</t>
        </is>
      </c>
      <c r="N248" s="19" t="inlineStr">
        <is>
          <t>https://huggingface.co/datasets/HenryWaltson/TMDB-IMDB-Movies-Dataset</t>
        </is>
      </c>
      <c r="O248" s="19" t="inlineStr">
        <is>
          <t>https://huggingface.co/datasets/HenryWaltson/TMDB-IMDB-Movies-Dataset</t>
        </is>
      </c>
      <c r="P248" s="18" t="inlineStr">
        <is>
          <t>Ben Whishaw</t>
        </is>
      </c>
      <c r="Q248" s="18" t="inlineStr">
        <is>
          <t>Hugh Bonneville</t>
        </is>
      </c>
      <c r="R248" s="18" t="inlineStr">
        <is>
          <t>Sally Hawkins</t>
        </is>
      </c>
      <c r="S248" s="18" t="inlineStr">
        <is>
          <t>Madeleine Harris</t>
        </is>
      </c>
      <c r="T248" s="18" t="inlineStr">
        <is>
          <t>Samuel Joslin</t>
        </is>
      </c>
      <c r="U248" s="24" t="n">
        <v>0</v>
      </c>
      <c r="V248" s="24" t="n">
        <v>0</v>
      </c>
      <c r="W248" s="4" t="n"/>
      <c r="X248" s="25">
        <f t="array" ref="X248">IFERROR(INDEX(Ratings!$E$5:$E$500,MATCH(A248,Ratings!$A$5:$A$500,0)),"")</f>
        <v/>
      </c>
      <c r="Y248" s="24">
        <f t="array" ref="Y248">IFERROR(INDEX(Ratings!$G$5:$G$500,MATCH(A248,Ratings!$A$5:$A$500,0)),"")</f>
        <v/>
      </c>
      <c r="Z248" s="26">
        <f t="array" ref="Z248">IFERROR(INDEX(Ratings!$I$5:$I$500,MATCH(A248,Ratings!$A$5:$A$500,0)),"")</f>
        <v/>
      </c>
      <c r="AB248" s="18" t="inlineStr">
        <is>
          <t>PG</t>
        </is>
      </c>
    </row>
    <row r="249" ht="15.75" customHeight="1" s="108">
      <c r="A249" s="18" t="inlineStr">
        <is>
          <t>F0245</t>
        </is>
      </c>
      <c r="B249" s="18" t="inlineStr">
        <is>
          <t>Paul</t>
        </is>
      </c>
      <c r="C249" s="20" t="inlineStr">
        <is>
          <t>2011</t>
        </is>
      </c>
      <c r="D249" s="18" t="inlineStr">
        <is>
          <t>Blu-ray</t>
        </is>
      </c>
      <c r="E249" s="4" t="n"/>
      <c r="F249" s="19" t="n"/>
      <c r="G249" s="4" t="n"/>
      <c r="H249" s="4" t="n"/>
      <c r="I249" s="19" t="inlineStr">
        <is>
          <t>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t>
        </is>
      </c>
      <c r="J249" s="19" t="inlineStr">
        <is>
          <t>Greg Mottola</t>
        </is>
      </c>
      <c r="K249" s="19" t="n">
        <v>104</v>
      </c>
      <c r="L249" s="19" t="inlineStr">
        <is>
          <t>Adventure, Comedy, Science Fiction</t>
        </is>
      </c>
      <c r="M249" s="19" t="inlineStr">
        <is>
          <t>Universal Pictures, Relativity Media, Working Title Films</t>
        </is>
      </c>
      <c r="N249" s="19" t="inlineStr">
        <is>
          <t>https://huggingface.co/datasets/HenryWaltson/TMDB-IMDB-Movies-Dataset</t>
        </is>
      </c>
      <c r="O249" s="19" t="inlineStr">
        <is>
          <t>https://huggingface.co/datasets/HenryWaltson/TMDB-IMDB-Movies-Dataset</t>
        </is>
      </c>
      <c r="P249" s="18" t="inlineStr">
        <is>
          <t>Simon Pegg</t>
        </is>
      </c>
      <c r="Q249" s="18" t="inlineStr">
        <is>
          <t>Nick Frost</t>
        </is>
      </c>
      <c r="R249" s="18" t="inlineStr">
        <is>
          <t>Seth Rogen</t>
        </is>
      </c>
      <c r="S249" s="18" t="inlineStr">
        <is>
          <t>Jason Bateman</t>
        </is>
      </c>
      <c r="T249" s="18" t="inlineStr">
        <is>
          <t>Kristen Wiig</t>
        </is>
      </c>
      <c r="U249" s="24" t="n">
        <v>0</v>
      </c>
      <c r="V249" s="24" t="n">
        <v>0</v>
      </c>
      <c r="W249" s="4" t="n"/>
      <c r="X249" s="25">
        <f t="array" ref="X249">IFERROR(INDEX(Ratings!$E$5:$E$500,MATCH(A249,Ratings!$A$5:$A$500,0)),"")</f>
        <v/>
      </c>
      <c r="Y249" s="24">
        <f t="array" ref="Y249">IFERROR(INDEX(Ratings!$G$5:$G$500,MATCH(A249,Ratings!$A$5:$A$500,0)),"")</f>
        <v/>
      </c>
      <c r="Z249" s="26">
        <f t="array" ref="Z249">IFERROR(INDEX(Ratings!$I$5:$I$500,MATCH(A249,Ratings!$A$5:$A$500,0)),"")</f>
        <v/>
      </c>
      <c r="AB249" s="18" t="inlineStr">
        <is>
          <t>15</t>
        </is>
      </c>
    </row>
    <row r="250" ht="15.75" customHeight="1" s="108">
      <c r="A250" s="18" t="inlineStr">
        <is>
          <t>F0246</t>
        </is>
      </c>
      <c r="B250" s="18" t="inlineStr">
        <is>
          <t>Pearl Harbor</t>
        </is>
      </c>
      <c r="C250" s="20" t="inlineStr">
        <is>
          <t>2001</t>
        </is>
      </c>
      <c r="D250" s="18" t="inlineStr">
        <is>
          <t>Blu-ray</t>
        </is>
      </c>
      <c r="E250" s="4" t="n"/>
      <c r="F250" s="19" t="n"/>
      <c r="G250" s="4" t="n"/>
      <c r="H250" s="4" t="n"/>
      <c r="I250" s="19" t="inlineStr">
        <is>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is>
      </c>
      <c r="J250" s="19" t="inlineStr">
        <is>
          <t>Michael Bay</t>
        </is>
      </c>
      <c r="K250" s="19" t="n">
        <v>183</v>
      </c>
      <c r="L250" s="19" t="inlineStr">
        <is>
          <t>War, History, Romance, Drama</t>
        </is>
      </c>
      <c r="M250" s="19" t="inlineStr">
        <is>
          <t>Jerry Bruckheimer Films, Touchstone Pictures</t>
        </is>
      </c>
      <c r="N250" s="19" t="inlineStr">
        <is>
          <t>https://huggingface.co/datasets/HenryWaltson/TMDB-IMDB-Movies-Dataset</t>
        </is>
      </c>
      <c r="O250" s="19" t="inlineStr">
        <is>
          <t>https://huggingface.co/datasets/HenryWaltson/TMDB-IMDB-Movies-Dataset</t>
        </is>
      </c>
      <c r="P250" s="18" t="inlineStr">
        <is>
          <t>Ben Affleck</t>
        </is>
      </c>
      <c r="Q250" s="18" t="inlineStr">
        <is>
          <t>Kate Beckinsale</t>
        </is>
      </c>
      <c r="R250" s="18" t="inlineStr">
        <is>
          <t>Josh Hartnett</t>
        </is>
      </c>
      <c r="S250" s="18" t="inlineStr">
        <is>
          <t>Cuba Gooding Jr.</t>
        </is>
      </c>
      <c r="T250" s="18" t="inlineStr">
        <is>
          <t>Jon Voight</t>
        </is>
      </c>
      <c r="U250" s="24" t="n">
        <v>4</v>
      </c>
      <c r="V250" s="24" t="n">
        <v>1</v>
      </c>
      <c r="W250" s="4" t="n"/>
      <c r="X250" s="25">
        <f t="array" ref="X250">IFERROR(INDEX(Ratings!$E$5:$E$500,MATCH(A250,Ratings!$A$5:$A$500,0)),"")</f>
        <v/>
      </c>
      <c r="Y250" s="24">
        <f t="array" ref="Y250">IFERROR(INDEX(Ratings!$G$5:$G$500,MATCH(A250,Ratings!$A$5:$A$500,0)),"")</f>
        <v/>
      </c>
      <c r="Z250" s="26">
        <f t="array" ref="Z250">IFERROR(INDEX(Ratings!$I$5:$I$500,MATCH(A250,Ratings!$A$5:$A$500,0)),"")</f>
        <v/>
      </c>
      <c r="AB250" s="18" t="inlineStr">
        <is>
          <t>12</t>
        </is>
      </c>
    </row>
    <row r="251" ht="15.75" customHeight="1" s="108">
      <c r="A251" s="18" t="inlineStr">
        <is>
          <t>F0247</t>
        </is>
      </c>
      <c r="B251" s="18" t="inlineStr">
        <is>
          <t>Pineapple Express</t>
        </is>
      </c>
      <c r="C251" s="20" t="inlineStr">
        <is>
          <t>2008</t>
        </is>
      </c>
      <c r="D251" s="18" t="inlineStr">
        <is>
          <t>Blu-ray</t>
        </is>
      </c>
      <c r="E251" s="4" t="n"/>
      <c r="F251" s="19" t="n"/>
      <c r="G251" s="4" t="n"/>
      <c r="H251" s="4" t="n"/>
      <c r="I251" s="19" t="inlineStr">
        <is>
          <t>A stoner and his dealer are forced to go on the run from the police after the pothead witnesses a cop commit a murder.</t>
        </is>
      </c>
      <c r="J251" s="19" t="inlineStr">
        <is>
          <t>David Gordon Green</t>
        </is>
      </c>
      <c r="K251" s="19" t="n">
        <v>111</v>
      </c>
      <c r="L251" s="19" t="inlineStr">
        <is>
          <t>Action, Comedy, Crime</t>
        </is>
      </c>
      <c r="M251" s="19" t="inlineStr">
        <is>
          <t>Columbia Pictures, Apatow Productions, Relativity Media</t>
        </is>
      </c>
      <c r="N251" s="19" t="inlineStr">
        <is>
          <t>https://huggingface.co/datasets/HenryWaltson/TMDB-IMDB-Movies-Dataset</t>
        </is>
      </c>
      <c r="O251" s="19" t="inlineStr">
        <is>
          <t>https://huggingface.co/datasets/HenryWaltson/TMDB-IMDB-Movies-Dataset</t>
        </is>
      </c>
      <c r="P251" s="18" t="inlineStr">
        <is>
          <t>Seth Rogen</t>
        </is>
      </c>
      <c r="Q251" s="18" t="inlineStr">
        <is>
          <t>James Franco</t>
        </is>
      </c>
      <c r="R251" s="18" t="inlineStr">
        <is>
          <t>Gary Cole</t>
        </is>
      </c>
      <c r="S251" s="18" t="inlineStr">
        <is>
          <t>Danny McBride</t>
        </is>
      </c>
      <c r="T251" s="18" t="inlineStr">
        <is>
          <t>Rosie Perez</t>
        </is>
      </c>
      <c r="U251" s="24" t="n">
        <v>0</v>
      </c>
      <c r="V251" s="24" t="n">
        <v>0</v>
      </c>
      <c r="W251" s="4" t="n"/>
      <c r="X251" s="25">
        <f t="array" ref="X251">IFERROR(INDEX(Ratings!$E$5:$E$500,MATCH(A251,Ratings!$A$5:$A$500,0)),"")</f>
        <v/>
      </c>
      <c r="Y251" s="24">
        <f t="array" ref="Y251">IFERROR(INDEX(Ratings!$G$5:$G$500,MATCH(A251,Ratings!$A$5:$A$500,0)),"")</f>
        <v/>
      </c>
      <c r="Z251" s="26">
        <f t="array" ref="Z251">IFERROR(INDEX(Ratings!$I$5:$I$500,MATCH(A251,Ratings!$A$5:$A$500,0)),"")</f>
        <v/>
      </c>
      <c r="AB251" s="18" t="inlineStr">
        <is>
          <t>15</t>
        </is>
      </c>
    </row>
    <row r="252" ht="15.75" customHeight="1" s="108">
      <c r="A252" s="18" t="inlineStr">
        <is>
          <t>F0248</t>
        </is>
      </c>
      <c r="B252" s="18" t="inlineStr">
        <is>
          <t>Pinocchio</t>
        </is>
      </c>
      <c r="C252" s="20" t="inlineStr">
        <is>
          <t>1940</t>
        </is>
      </c>
      <c r="D252" s="18" t="inlineStr">
        <is>
          <t>Blu-ray</t>
        </is>
      </c>
      <c r="E252" s="4" t="n"/>
      <c r="F252" s="19" t="n"/>
      <c r="G252" s="4" t="n"/>
      <c r="H252" s="4" t="n"/>
      <c r="I252" s="19" t="inlineStr">
        <is>
          <t>Best guess: 1940 Disney animated version.</t>
        </is>
      </c>
      <c r="J252" s="19" t="inlineStr">
        <is>
          <t>Norman Ferguson, T. Hee, Wilfred Jackson, Jack Kinney, Hamilton Luske, Bill Roberts, Ben Sharpsteen</t>
        </is>
      </c>
      <c r="K252" s="19" t="n">
        <v>88</v>
      </c>
      <c r="L252" s="19" t="inlineStr">
        <is>
          <t>Animation, Family</t>
        </is>
      </c>
      <c r="M252" s="19" t="inlineStr">
        <is>
          <t>Walt Disney Productions</t>
        </is>
      </c>
      <c r="N252" s="19" t="inlineStr">
        <is>
          <t>https://huggingface.co/datasets/HenryWaltson/TMDB-IMDB-Movies-Dataset</t>
        </is>
      </c>
      <c r="O252" s="19" t="inlineStr">
        <is>
          <t>https://huggingface.co/datasets/HenryWaltson/TMDB-IMDB-Movies-Dataset</t>
        </is>
      </c>
      <c r="P252" s="18" t="inlineStr">
        <is>
          <t>Dickie Jones</t>
        </is>
      </c>
      <c r="Q252" s="18" t="inlineStr">
        <is>
          <t>Cliff Edwards</t>
        </is>
      </c>
      <c r="R252" s="18" t="inlineStr">
        <is>
          <t>Christian Rub</t>
        </is>
      </c>
      <c r="S252" s="18" t="inlineStr">
        <is>
          <t>Evelyn Venable</t>
        </is>
      </c>
      <c r="T252" s="18" t="inlineStr">
        <is>
          <t>Walter Catlett</t>
        </is>
      </c>
      <c r="U252" s="24" t="n">
        <v>2</v>
      </c>
      <c r="V252" s="24" t="n">
        <v>2</v>
      </c>
      <c r="W252" s="4" t="n"/>
      <c r="X252" s="25">
        <f t="array" ref="X252">IFERROR(INDEX(Ratings!$E$5:$E$500,MATCH(A252,Ratings!$A$5:$A$500,0)),"")</f>
        <v/>
      </c>
      <c r="Y252" s="24">
        <f t="array" ref="Y252">IFERROR(INDEX(Ratings!$G$5:$G$500,MATCH(A252,Ratings!$A$5:$A$500,0)),"")</f>
        <v/>
      </c>
      <c r="Z252" s="26">
        <f t="array" ref="Z252">IFERROR(INDEX(Ratings!$I$5:$I$500,MATCH(A252,Ratings!$A$5:$A$500,0)),"")</f>
        <v/>
      </c>
      <c r="AB252" s="18" t="inlineStr">
        <is>
          <t>U</t>
        </is>
      </c>
    </row>
    <row r="253" ht="15.75" customHeight="1" s="108">
      <c r="A253" s="18" t="inlineStr">
        <is>
          <t>F0249</t>
        </is>
      </c>
      <c r="B253" s="18" t="inlineStr">
        <is>
          <t>Pirates of the Caribbean: On Stranger Tides</t>
        </is>
      </c>
      <c r="C253" s="20" t="inlineStr">
        <is>
          <t>2011</t>
        </is>
      </c>
      <c r="D253" s="18" t="inlineStr">
        <is>
          <t>Blu-ray</t>
        </is>
      </c>
      <c r="E253" s="4" t="n"/>
      <c r="F253" s="19" t="n"/>
      <c r="G253" s="4" t="n"/>
      <c r="H253" s="4" t="n"/>
      <c r="I253" s="19" t="inlineStr">
        <is>
          <t>When Jack crosses paths with a woman from his past, he's not sure if it's love...or if she's a ruthless con artist using him to find the fabled Fountain of Youth.</t>
        </is>
      </c>
      <c r="J253" s="19" t="inlineStr">
        <is>
          <t>Rob Marshall</t>
        </is>
      </c>
      <c r="K253" s="19" t="n">
        <v>137</v>
      </c>
      <c r="L253" s="19" t="inlineStr">
        <is>
          <t>Adventure, Action, Fantasy</t>
        </is>
      </c>
      <c r="M253" s="19" t="inlineStr">
        <is>
          <t>Walt Disney Pictures, Jerry Bruckheimer Films, Moving Picture Company</t>
        </is>
      </c>
      <c r="N253" s="19" t="inlineStr">
        <is>
          <t>https://huggingface.co/datasets/HenryWaltson/TMDB-IMDB-Movies-Dataset</t>
        </is>
      </c>
      <c r="O253" s="19" t="inlineStr">
        <is>
          <t>https://huggingface.co/datasets/HenryWaltson/TMDB-IMDB-Movies-Dataset</t>
        </is>
      </c>
      <c r="P253" s="18" t="inlineStr">
        <is>
          <t>Johnny Depp</t>
        </is>
      </c>
      <c r="Q253" s="18" t="inlineStr">
        <is>
          <t>Penélope Cruz</t>
        </is>
      </c>
      <c r="R253" s="18" t="inlineStr">
        <is>
          <t>Geoffrey Rush</t>
        </is>
      </c>
      <c r="S253" s="18" t="inlineStr">
        <is>
          <t>Ian McShane</t>
        </is>
      </c>
      <c r="T253" s="18" t="inlineStr">
        <is>
          <t>Kevin McNally</t>
        </is>
      </c>
      <c r="U253" s="24" t="n">
        <v>0</v>
      </c>
      <c r="V253" s="24" t="n">
        <v>0</v>
      </c>
      <c r="W253" s="4" t="n"/>
      <c r="X253" s="25">
        <f t="array" ref="X253">IFERROR(INDEX(Ratings!$E$5:$E$500,MATCH(A253,Ratings!$A$5:$A$500,0)),"")</f>
        <v/>
      </c>
      <c r="Y253" s="24">
        <f t="array" ref="Y253">IFERROR(INDEX(Ratings!$G$5:$G$500,MATCH(A253,Ratings!$A$5:$A$500,0)),"")</f>
        <v/>
      </c>
      <c r="Z253" s="26">
        <f t="array" ref="Z253">IFERROR(INDEX(Ratings!$I$5:$I$500,MATCH(A253,Ratings!$A$5:$A$500,0)),"")</f>
        <v/>
      </c>
      <c r="AB253" s="18" t="inlineStr">
        <is>
          <t>12A</t>
        </is>
      </c>
    </row>
    <row r="254" ht="15.75" customHeight="1" s="108">
      <c r="A254" s="18" t="inlineStr">
        <is>
          <t>F0250</t>
        </is>
      </c>
      <c r="B254" s="18" t="inlineStr">
        <is>
          <t>Pitch Perfect</t>
        </is>
      </c>
      <c r="C254" s="20" t="inlineStr">
        <is>
          <t>2012</t>
        </is>
      </c>
      <c r="D254" s="18" t="inlineStr">
        <is>
          <t>Blu-ray</t>
        </is>
      </c>
      <c r="E254" s="18" t="inlineStr">
        <is>
          <t>Pitch Perfect</t>
        </is>
      </c>
      <c r="F254" s="19" t="n"/>
      <c r="G254" s="4" t="n"/>
      <c r="H254" s="4" t="n"/>
      <c r="I254" s="19" t="inlineStr">
        <is>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is>
      </c>
      <c r="J254" s="19" t="inlineStr">
        <is>
          <t>Jason Moore</t>
        </is>
      </c>
      <c r="K254" s="19" t="n">
        <v>112</v>
      </c>
      <c r="L254" s="19" t="inlineStr">
        <is>
          <t>Comedy, Music, Romance</t>
        </is>
      </c>
      <c r="M254" s="19" t="inlineStr">
        <is>
          <t>Brownstone Productions, Gold Circle Films, Universal Pictures</t>
        </is>
      </c>
      <c r="N254" s="19" t="inlineStr">
        <is>
          <t>https://huggingface.co/datasets/HenryWaltson/TMDB-IMDB-Movies-Dataset</t>
        </is>
      </c>
      <c r="O254" s="19" t="inlineStr">
        <is>
          <t>https://huggingface.co/datasets/HenryWaltson/TMDB-IMDB-Movies-Dataset</t>
        </is>
      </c>
      <c r="P254" s="18" t="inlineStr">
        <is>
          <t>Anna Kendrick</t>
        </is>
      </c>
      <c r="Q254" s="18" t="inlineStr">
        <is>
          <t>Brittany Snow</t>
        </is>
      </c>
      <c r="R254" s="18" t="inlineStr">
        <is>
          <t>Anna Camp</t>
        </is>
      </c>
      <c r="S254" s="18" t="inlineStr">
        <is>
          <t>Rebel Wilson</t>
        </is>
      </c>
      <c r="T254" s="18" t="inlineStr">
        <is>
          <t>Ester Dean</t>
        </is>
      </c>
      <c r="U254" s="24" t="n">
        <v>0</v>
      </c>
      <c r="V254" s="24" t="n">
        <v>0</v>
      </c>
      <c r="W254" s="4" t="n"/>
      <c r="X254" s="25">
        <f t="array" ref="X254">IFERROR(INDEX(Ratings!$E$5:$E$500,MATCH(A254,Ratings!$A$5:$A$500,0)),"")</f>
        <v/>
      </c>
      <c r="Y254" s="24">
        <f t="array" ref="Y254">IFERROR(INDEX(Ratings!$G$5:$G$500,MATCH(A254,Ratings!$A$5:$A$500,0)),"")</f>
        <v/>
      </c>
      <c r="Z254" s="26">
        <f t="array" ref="Z254">IFERROR(INDEX(Ratings!$I$5:$I$500,MATCH(A254,Ratings!$A$5:$A$500,0)),"")</f>
        <v/>
      </c>
      <c r="AB254" s="18" t="inlineStr">
        <is>
          <t>12A</t>
        </is>
      </c>
    </row>
    <row r="255" ht="15.75" customHeight="1" s="108">
      <c r="A255" s="18" t="inlineStr">
        <is>
          <t>F0251</t>
        </is>
      </c>
      <c r="B255" s="18" t="inlineStr">
        <is>
          <t>Pitch Perfect 2</t>
        </is>
      </c>
      <c r="C255" s="20" t="inlineStr">
        <is>
          <t>2015</t>
        </is>
      </c>
      <c r="D255" s="18" t="inlineStr">
        <is>
          <t>Blu-ray</t>
        </is>
      </c>
      <c r="E255" s="18" t="inlineStr">
        <is>
          <t>Pitch Perfect</t>
        </is>
      </c>
      <c r="F255" s="19" t="n"/>
      <c r="G255" s="4" t="n"/>
      <c r="H255" s="4" t="n"/>
      <c r="I255" s="19" t="inlineStr">
        <is>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is>
      </c>
      <c r="J255" s="19" t="inlineStr">
        <is>
          <t>Elizabeth Banks</t>
        </is>
      </c>
      <c r="K255" s="19" t="n">
        <v>115</v>
      </c>
      <c r="L255" s="19" t="inlineStr">
        <is>
          <t>Comedy, Music</t>
        </is>
      </c>
      <c r="M255" s="19" t="inlineStr">
        <is>
          <t>Brownstone Productions, Gold Circle Films, Universal Pictures</t>
        </is>
      </c>
      <c r="N255" s="19" t="inlineStr">
        <is>
          <t>https://huggingface.co/datasets/HenryWaltson/TMDB-IMDB-Movies-Dataset</t>
        </is>
      </c>
      <c r="O255" s="19" t="inlineStr">
        <is>
          <t>https://huggingface.co/datasets/HenryWaltson/TMDB-IMDB-Movies-Dataset</t>
        </is>
      </c>
      <c r="P255" s="18" t="inlineStr">
        <is>
          <t>Anna Kendrick</t>
        </is>
      </c>
      <c r="Q255" s="18" t="inlineStr">
        <is>
          <t>Brittany Snow</t>
        </is>
      </c>
      <c r="R255" s="18" t="inlineStr">
        <is>
          <t>Hailee Steinfeld</t>
        </is>
      </c>
      <c r="S255" s="18" t="inlineStr">
        <is>
          <t>Rebel Wilson</t>
        </is>
      </c>
      <c r="T255" s="18" t="inlineStr">
        <is>
          <t>Ester Dean</t>
        </is>
      </c>
      <c r="U255" s="24" t="n">
        <v>0</v>
      </c>
      <c r="V255" s="24" t="n">
        <v>0</v>
      </c>
      <c r="W255" s="4" t="n"/>
      <c r="X255" s="25">
        <f t="array" ref="X255">IFERROR(INDEX(Ratings!$E$5:$E$500,MATCH(A255,Ratings!$A$5:$A$500,0)),"")</f>
        <v/>
      </c>
      <c r="Y255" s="24">
        <f t="array" ref="Y255">IFERROR(INDEX(Ratings!$G$5:$G$500,MATCH(A255,Ratings!$A$5:$A$500,0)),"")</f>
        <v/>
      </c>
      <c r="Z255" s="26">
        <f t="array" ref="Z255">IFERROR(INDEX(Ratings!$I$5:$I$500,MATCH(A255,Ratings!$A$5:$A$500,0)),"")</f>
        <v/>
      </c>
      <c r="AB255" s="18" t="inlineStr">
        <is>
          <t>12A</t>
        </is>
      </c>
    </row>
    <row r="256" ht="15.75" customHeight="1" s="108">
      <c r="A256" s="18" t="inlineStr">
        <is>
          <t>F0252</t>
        </is>
      </c>
      <c r="B256" s="18" t="inlineStr">
        <is>
          <t>Pitch Perfect 3</t>
        </is>
      </c>
      <c r="C256" s="20" t="inlineStr">
        <is>
          <t>2017</t>
        </is>
      </c>
      <c r="D256" s="18" t="inlineStr">
        <is>
          <t>Blu-ray</t>
        </is>
      </c>
      <c r="E256" s="18" t="inlineStr">
        <is>
          <t>Pitch Perfect</t>
        </is>
      </c>
      <c r="F256" s="19" t="n"/>
      <c r="G256" s="4" t="n"/>
      <c r="H256" s="4" t="n"/>
      <c r="I256" s="19" t="inlineStr">
        <is>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is>
      </c>
      <c r="J256" s="19" t="inlineStr">
        <is>
          <t>Trish Sie</t>
        </is>
      </c>
      <c r="K256" s="19" t="n">
        <v>93</v>
      </c>
      <c r="L256" s="19" t="inlineStr">
        <is>
          <t>Comedy, Music</t>
        </is>
      </c>
      <c r="M256" s="19" t="inlineStr">
        <is>
          <t>Gold Circle Films, Perfect World Pictures, Universal Pictures</t>
        </is>
      </c>
      <c r="N256" s="19" t="inlineStr">
        <is>
          <t>https://huggingface.co/datasets/HenryWaltson/TMDB-IMDB-Movies-Dataset</t>
        </is>
      </c>
      <c r="O256" s="19" t="inlineStr">
        <is>
          <t>https://huggingface.co/datasets/HenryWaltson/TMDB-IMDB-Movies-Dataset</t>
        </is>
      </c>
      <c r="P256" s="18" t="inlineStr">
        <is>
          <t>Anna Kendrick</t>
        </is>
      </c>
      <c r="Q256" s="18" t="inlineStr">
        <is>
          <t>Rebel Wilson</t>
        </is>
      </c>
      <c r="R256" s="18" t="inlineStr">
        <is>
          <t>Brittany Snow</t>
        </is>
      </c>
      <c r="S256" s="18" t="inlineStr">
        <is>
          <t>Hailee Steinfeld</t>
        </is>
      </c>
      <c r="T256" s="18" t="inlineStr">
        <is>
          <t>Elizabeth Banks</t>
        </is>
      </c>
      <c r="U256" s="24" t="n">
        <v>0</v>
      </c>
      <c r="V256" s="24" t="n">
        <v>0</v>
      </c>
      <c r="W256" s="4" t="n"/>
      <c r="X256" s="25">
        <f t="array" ref="X256">IFERROR(INDEX(Ratings!$E$5:$E$500,MATCH(A256,Ratings!$A$5:$A$500,0)),"")</f>
        <v/>
      </c>
      <c r="Y256" s="24">
        <f t="array" ref="Y256">IFERROR(INDEX(Ratings!$G$5:$G$500,MATCH(A256,Ratings!$A$5:$A$500,0)),"")</f>
        <v/>
      </c>
      <c r="Z256" s="26">
        <f t="array" ref="Z256">IFERROR(INDEX(Ratings!$I$5:$I$500,MATCH(A256,Ratings!$A$5:$A$500,0)),"")</f>
        <v/>
      </c>
      <c r="AB256" s="18" t="inlineStr">
        <is>
          <t>12A</t>
        </is>
      </c>
    </row>
    <row r="257" ht="15.75" customHeight="1" s="108">
      <c r="A257" s="18" t="inlineStr">
        <is>
          <t>F0253</t>
        </is>
      </c>
      <c r="B257" s="18" t="inlineStr">
        <is>
          <t>Rise of the Planet of the Apes</t>
        </is>
      </c>
      <c r="C257" s="20" t="inlineStr">
        <is>
          <t>2011</t>
        </is>
      </c>
      <c r="D257" s="18" t="inlineStr">
        <is>
          <t>Blu-ray</t>
        </is>
      </c>
      <c r="E257" s="18" t="inlineStr">
        <is>
          <t>Planet of the Apes (reboot)</t>
        </is>
      </c>
      <c r="F257" s="19" t="n"/>
      <c r="G257" s="4" t="n"/>
      <c r="H257" s="4" t="n"/>
      <c r="I257" s="19" t="inlineStr">
        <is>
          <t>A highly intelligent chimpanzee named Caesar has been living a peaceful suburban life ever since he was born. But when he gets taken to a cruel primate facility, Caesar decides to revolt against those who have harmed him.</t>
        </is>
      </c>
      <c r="J257" s="19" t="inlineStr">
        <is>
          <t>Rupert Wyatt</t>
        </is>
      </c>
      <c r="K257" s="19" t="n">
        <v>105</v>
      </c>
      <c r="L257" s="19" t="inlineStr">
        <is>
          <t>Thriller, Action, Drama, Science Fiction</t>
        </is>
      </c>
      <c r="M257" s="19" t="inlineStr">
        <is>
          <t>Dune Entertainment III, Dune Entertainment, Chernin Entertainment</t>
        </is>
      </c>
      <c r="N257" s="19" t="inlineStr">
        <is>
          <t>https://huggingface.co/datasets/HenryWaltson/TMDB-IMDB-Movies-Dataset</t>
        </is>
      </c>
      <c r="O257" s="19" t="inlineStr">
        <is>
          <t>https://huggingface.co/datasets/HenryWaltson/TMDB-IMDB-Movies-Dataset</t>
        </is>
      </c>
      <c r="P257" s="18" t="inlineStr">
        <is>
          <t>Andy Serkis</t>
        </is>
      </c>
      <c r="Q257" s="18" t="inlineStr">
        <is>
          <t>James Franco</t>
        </is>
      </c>
      <c r="R257" s="18" t="inlineStr">
        <is>
          <t>Freida Pinto</t>
        </is>
      </c>
      <c r="S257" s="18" t="inlineStr">
        <is>
          <t>John Lithgow</t>
        </is>
      </c>
      <c r="T257" s="18" t="inlineStr">
        <is>
          <t>Brian Cox</t>
        </is>
      </c>
      <c r="U257" s="24" t="n">
        <v>1</v>
      </c>
      <c r="V257" s="24" t="n">
        <v>0</v>
      </c>
      <c r="W257" s="4" t="n"/>
      <c r="X257" s="25">
        <f t="array" ref="X257">IFERROR(INDEX(Ratings!$E$5:$E$500,MATCH(A257,Ratings!$A$5:$A$500,0)),"")</f>
        <v/>
      </c>
      <c r="Y257" s="24">
        <f t="array" ref="Y257">IFERROR(INDEX(Ratings!$G$5:$G$500,MATCH(A257,Ratings!$A$5:$A$500,0)),"")</f>
        <v/>
      </c>
      <c r="Z257" s="26">
        <f t="array" ref="Z257">IFERROR(INDEX(Ratings!$I$5:$I$500,MATCH(A257,Ratings!$A$5:$A$500,0)),"")</f>
        <v/>
      </c>
      <c r="AB257" s="18" t="inlineStr">
        <is>
          <t>12A</t>
        </is>
      </c>
    </row>
    <row r="258" ht="15.75" customHeight="1" s="108">
      <c r="A258" s="18" t="inlineStr">
        <is>
          <t>F0254</t>
        </is>
      </c>
      <c r="B258" s="18" t="inlineStr">
        <is>
          <t>Dawn of the Planet of the Apes</t>
        </is>
      </c>
      <c r="C258" s="20" t="inlineStr">
        <is>
          <t>2014</t>
        </is>
      </c>
      <c r="D258" s="18" t="inlineStr">
        <is>
          <t>Blu-ray</t>
        </is>
      </c>
      <c r="E258" s="18" t="inlineStr">
        <is>
          <t>Planet of the Apes (reboot)</t>
        </is>
      </c>
      <c r="F258" s="19" t="n"/>
      <c r="G258" s="4" t="n"/>
      <c r="H258" s="4" t="n"/>
      <c r="I258" s="19" t="inlineStr">
        <is>
          <t>A group of scientists in San Francisco struggle to stay alive in the aftermath of a plague that is wiping out humanity, while Caesar tries to maintain dominance over his community of intelligent apes.</t>
        </is>
      </c>
      <c r="J258" s="19" t="inlineStr">
        <is>
          <t>Matt Reeves</t>
        </is>
      </c>
      <c r="K258" s="19" t="n">
        <v>130</v>
      </c>
      <c r="L258" s="19" t="inlineStr">
        <is>
          <t>Science Fiction, Action, Drama, Thriller</t>
        </is>
      </c>
      <c r="M258" s="19" t="inlineStr">
        <is>
          <t>TSG Entertainment, Chernin Entertainment, Ingenious Media</t>
        </is>
      </c>
      <c r="N258" s="19" t="inlineStr">
        <is>
          <t>https://huggingface.co/datasets/HenryWaltson/TMDB-IMDB-Movies-Dataset</t>
        </is>
      </c>
      <c r="O258" s="19" t="inlineStr">
        <is>
          <t>https://huggingface.co/datasets/HenryWaltson/TMDB-IMDB-Movies-Dataset</t>
        </is>
      </c>
      <c r="P258" s="18" t="inlineStr">
        <is>
          <t>Andy Serkis</t>
        </is>
      </c>
      <c r="Q258" s="18" t="inlineStr">
        <is>
          <t>Jason Clarke</t>
        </is>
      </c>
      <c r="R258" s="18" t="inlineStr">
        <is>
          <t>Toby Kebbell</t>
        </is>
      </c>
      <c r="S258" s="18" t="inlineStr">
        <is>
          <t>Gary Oldman</t>
        </is>
      </c>
      <c r="T258" s="18" t="inlineStr">
        <is>
          <t>Keri Russell</t>
        </is>
      </c>
      <c r="U258" s="24" t="n">
        <v>1</v>
      </c>
      <c r="V258" s="24" t="n">
        <v>0</v>
      </c>
      <c r="W258" s="4" t="n"/>
      <c r="X258" s="25">
        <f t="array" ref="X258">IFERROR(INDEX(Ratings!$E$5:$E$500,MATCH(A258,Ratings!$A$5:$A$500,0)),"")</f>
        <v/>
      </c>
      <c r="Y258" s="24">
        <f t="array" ref="Y258">IFERROR(INDEX(Ratings!$G$5:$G$500,MATCH(A258,Ratings!$A$5:$A$500,0)),"")</f>
        <v/>
      </c>
      <c r="Z258" s="26">
        <f t="array" ref="Z258">IFERROR(INDEX(Ratings!$I$5:$I$500,MATCH(A258,Ratings!$A$5:$A$500,0)),"")</f>
        <v/>
      </c>
      <c r="AB258" s="18" t="inlineStr">
        <is>
          <t>12A</t>
        </is>
      </c>
    </row>
    <row r="259" ht="15.75" customHeight="1" s="108">
      <c r="A259" s="18" t="inlineStr">
        <is>
          <t>F0255</t>
        </is>
      </c>
      <c r="B259" s="18" t="inlineStr">
        <is>
          <t>War for the Planet of the Apes</t>
        </is>
      </c>
      <c r="C259" s="20" t="inlineStr">
        <is>
          <t>2017</t>
        </is>
      </c>
      <c r="D259" s="18" t="inlineStr">
        <is>
          <t>Blu-ray</t>
        </is>
      </c>
      <c r="E259" s="18" t="inlineStr">
        <is>
          <t>Planet of the Apes (reboot)</t>
        </is>
      </c>
      <c r="F259" s="19" t="n"/>
      <c r="G259" s="4" t="n"/>
      <c r="H259" s="4" t="n"/>
      <c r="I259" s="19" t="inlineStr">
        <is>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is>
      </c>
      <c r="J259" s="19" t="inlineStr">
        <is>
          <t>Matt Reeves</t>
        </is>
      </c>
      <c r="K259" s="19" t="n">
        <v>140</v>
      </c>
      <c r="L259" s="19" t="inlineStr">
        <is>
          <t>Drama, Science Fiction, War</t>
        </is>
      </c>
      <c r="M259" s="19" t="inlineStr">
        <is>
          <t>20th Century Fox, TSG Entertainment, Chernin Entertainment</t>
        </is>
      </c>
      <c r="N259" s="19" t="inlineStr">
        <is>
          <t>https://huggingface.co/datasets/HenryWaltson/TMDB-IMDB-Movies-Dataset</t>
        </is>
      </c>
      <c r="O259" s="19" t="inlineStr">
        <is>
          <t>https://huggingface.co/datasets/HenryWaltson/TMDB-IMDB-Movies-Dataset</t>
        </is>
      </c>
      <c r="P259" s="18" t="inlineStr">
        <is>
          <t>Andy Serkis</t>
        </is>
      </c>
      <c r="Q259" s="18" t="inlineStr">
        <is>
          <t>Woody Harrelson</t>
        </is>
      </c>
      <c r="R259" s="18" t="inlineStr">
        <is>
          <t>Karin Konoval</t>
        </is>
      </c>
      <c r="S259" s="18" t="inlineStr">
        <is>
          <t>Terry Notary</t>
        </is>
      </c>
      <c r="T259" s="18" t="inlineStr">
        <is>
          <t>Steve Zahn</t>
        </is>
      </c>
      <c r="U259" s="24" t="n">
        <v>1</v>
      </c>
      <c r="V259" s="24" t="n">
        <v>0</v>
      </c>
      <c r="W259" s="4" t="n"/>
      <c r="X259" s="25">
        <f t="array" ref="X259">IFERROR(INDEX(Ratings!$E$5:$E$500,MATCH(A259,Ratings!$A$5:$A$500,0)),"")</f>
        <v/>
      </c>
      <c r="Y259" s="24">
        <f t="array" ref="Y259">IFERROR(INDEX(Ratings!$G$5:$G$500,MATCH(A259,Ratings!$A$5:$A$500,0)),"")</f>
        <v/>
      </c>
      <c r="Z259" s="26">
        <f t="array" ref="Z259">IFERROR(INDEX(Ratings!$I$5:$I$500,MATCH(A259,Ratings!$A$5:$A$500,0)),"")</f>
        <v/>
      </c>
      <c r="AB259" s="18" t="inlineStr">
        <is>
          <t>12A</t>
        </is>
      </c>
    </row>
    <row r="260" ht="15.75" customHeight="1" s="108">
      <c r="A260" s="18" t="inlineStr">
        <is>
          <t>F0256</t>
        </is>
      </c>
      <c r="B260" s="18" t="inlineStr">
        <is>
          <t>Kingdom of the Planet of the Apes</t>
        </is>
      </c>
      <c r="C260" s="20" t="inlineStr">
        <is>
          <t>2024</t>
        </is>
      </c>
      <c r="D260" s="18" t="inlineStr">
        <is>
          <t>Blu-ray</t>
        </is>
      </c>
      <c r="E260" s="18" t="inlineStr">
        <is>
          <t>Planet of the Apes (reboot)</t>
        </is>
      </c>
      <c r="F260" s="19" t="n"/>
      <c r="G260" s="4" t="n"/>
      <c r="H260" s="4" t="n"/>
      <c r="I260" s="19" t="inlineStr">
        <is>
          <t>Several generations following Caesar's reign, apes – now the dominant species – live harmoniously while humans have been reduced to living in the shadows. As a new tyrannical ape leader builds his empire, one young ape undertakes a harrowing journey that will cause him to question all he's known about the past and to make choices that will define a future for apes and humans alike.</t>
        </is>
      </c>
      <c r="J260" s="19" t="inlineStr">
        <is>
          <t>Wes Ball</t>
        </is>
      </c>
      <c r="K260" s="19" t="n">
        <v>145</v>
      </c>
      <c r="L260" s="19" t="inlineStr">
        <is>
          <t>Action, Science Fiction</t>
        </is>
      </c>
      <c r="M260" s="19" t="inlineStr">
        <is>
          <t>20th Century Studios, Chernin Entertainment</t>
        </is>
      </c>
      <c r="N260" s="19" t="inlineStr">
        <is>
          <t>https://huggingface.co/datasets/HenryWaltson/TMDB-IMDB-Movies-Dataset</t>
        </is>
      </c>
      <c r="O260" s="19" t="inlineStr">
        <is>
          <t>https://huggingface.co/datasets/HenryWaltson/TMDB-IMDB-Movies-Dataset</t>
        </is>
      </c>
      <c r="P260" s="18" t="inlineStr">
        <is>
          <t>Owen Teague</t>
        </is>
      </c>
      <c r="Q260" s="18" t="inlineStr">
        <is>
          <t>Freya Allan</t>
        </is>
      </c>
      <c r="R260" s="18" t="inlineStr">
        <is>
          <t>Kevin Durand</t>
        </is>
      </c>
      <c r="S260" s="18" t="inlineStr">
        <is>
          <t>Peter Macon</t>
        </is>
      </c>
      <c r="T260" s="18" t="inlineStr">
        <is>
          <t>William H. Macy</t>
        </is>
      </c>
      <c r="U260" s="24" t="n">
        <v>1</v>
      </c>
      <c r="V260" s="24" t="n">
        <v>0</v>
      </c>
      <c r="W260" s="4" t="n"/>
      <c r="X260" s="25">
        <f t="array" ref="X260">IFERROR(INDEX(Ratings!$E$5:$E$500,MATCH(A260,Ratings!$A$5:$A$500,0)),"")</f>
        <v/>
      </c>
      <c r="Y260" s="24">
        <f t="array" ref="Y260">IFERROR(INDEX(Ratings!$G$5:$G$500,MATCH(A260,Ratings!$A$5:$A$500,0)),"")</f>
        <v/>
      </c>
      <c r="Z260" s="26">
        <f t="array" ref="Z260">IFERROR(INDEX(Ratings!$I$5:$I$500,MATCH(A260,Ratings!$A$5:$A$500,0)),"")</f>
        <v/>
      </c>
      <c r="AB260" s="18" t="inlineStr">
        <is>
          <t>12A</t>
        </is>
      </c>
    </row>
    <row r="261" ht="15.75" customHeight="1" s="108">
      <c r="A261" s="18" t="inlineStr">
        <is>
          <t>F0257</t>
        </is>
      </c>
      <c r="B261" s="18" t="inlineStr">
        <is>
          <t>The Prestige</t>
        </is>
      </c>
      <c r="C261" s="20" t="inlineStr">
        <is>
          <t>2006</t>
        </is>
      </c>
      <c r="D261" s="18" t="inlineStr">
        <is>
          <t>Blu-ray</t>
        </is>
      </c>
      <c r="E261" s="4" t="n"/>
      <c r="F261" s="19" t="n"/>
      <c r="G261" s="4" t="inlineStr">
        <is>
          <t>Yes</t>
        </is>
      </c>
      <c r="H261" s="4" t="inlineStr">
        <is>
          <t>⭐⭐⭐⭐⭐</t>
        </is>
      </c>
      <c r="I261" s="19" t="inlineStr">
        <is>
          <t>A mysterious story of two magicians whose intense rivalry leads them on a life-long battle for supremacy -- full of obsession, deceit and jealousy with dangerous and deadly consequences.</t>
        </is>
      </c>
      <c r="J261" s="19" t="inlineStr">
        <is>
          <t>Christopher Nolan</t>
        </is>
      </c>
      <c r="K261" s="19" t="n">
        <v>130</v>
      </c>
      <c r="L261" s="19" t="inlineStr">
        <is>
          <t>Drama, Mystery, Science Fiction</t>
        </is>
      </c>
      <c r="M261" s="19" t="inlineStr">
        <is>
          <t>Warner Bros. Pictures, Touchstone Pictures, Newmarket Films</t>
        </is>
      </c>
      <c r="N261" s="19" t="inlineStr">
        <is>
          <t>https://huggingface.co/datasets/HenryWaltson/TMDB-IMDB-Movies-Dataset</t>
        </is>
      </c>
      <c r="O261" s="19" t="inlineStr">
        <is>
          <t>https://huggingface.co/datasets/HenryWaltson/TMDB-IMDB-Movies-Dataset</t>
        </is>
      </c>
      <c r="P261" s="18" t="inlineStr">
        <is>
          <t>Hugh Jackman</t>
        </is>
      </c>
      <c r="Q261" s="18" t="inlineStr">
        <is>
          <t>Christian Bale</t>
        </is>
      </c>
      <c r="R261" s="18" t="inlineStr">
        <is>
          <t>Michael Caine</t>
        </is>
      </c>
      <c r="S261" s="18" t="inlineStr">
        <is>
          <t>Piper Perabo</t>
        </is>
      </c>
      <c r="T261" s="18" t="inlineStr">
        <is>
          <t>Rebecca Hall</t>
        </is>
      </c>
      <c r="U261" s="24" t="n">
        <v>2</v>
      </c>
      <c r="V261" s="24" t="n">
        <v>0</v>
      </c>
      <c r="W261" s="4" t="n"/>
      <c r="X261" s="25">
        <f t="array" ref="X261">IFERROR(INDEX(Ratings!$E$5:$E$500,MATCH(A261,Ratings!$A$5:$A$500,0)),"")</f>
        <v/>
      </c>
      <c r="Y261" s="24">
        <f t="array" ref="Y261">IFERROR(INDEX(Ratings!$G$5:$G$500,MATCH(A261,Ratings!$A$5:$A$500,0)),"")</f>
        <v/>
      </c>
      <c r="Z261" s="26">
        <f t="array" ref="Z261">IFERROR(INDEX(Ratings!$I$5:$I$500,MATCH(A261,Ratings!$A$5:$A$500,0)),"")</f>
        <v/>
      </c>
      <c r="AA261" s="0" t="inlineStr">
        <is>
          <t>2026-08-22</t>
        </is>
      </c>
      <c r="AB261" s="18" t="inlineStr">
        <is>
          <t>12</t>
        </is>
      </c>
    </row>
    <row r="262" ht="15.75" customHeight="1" s="108">
      <c r="A262" s="18" t="inlineStr">
        <is>
          <t>F0258</t>
        </is>
      </c>
      <c r="B262" s="18" t="inlineStr">
        <is>
          <t>Prisoners</t>
        </is>
      </c>
      <c r="C262" s="20" t="inlineStr">
        <is>
          <t>2013</t>
        </is>
      </c>
      <c r="D262" s="18" t="inlineStr">
        <is>
          <t>Blu-ray</t>
        </is>
      </c>
      <c r="E262" s="4" t="n"/>
      <c r="F262" s="19" t="n"/>
      <c r="G262" s="4" t="n"/>
      <c r="H262" s="4" t="n"/>
      <c r="I262" s="19" t="inlineStr">
        <is>
          <t>After his six-year-old daughter is abducted, a desperate father takes justice into his own hands when he loses faith in the detective leading the investigation, setting both men on a collision course as the search descends into obsession and moral compromise.</t>
        </is>
      </c>
      <c r="J262" s="19" t="inlineStr">
        <is>
          <t>Denis Villeneuve</t>
        </is>
      </c>
      <c r="K262" s="19" t="n">
        <v>153</v>
      </c>
      <c r="L262" s="19" t="inlineStr">
        <is>
          <t>Drama, Thriller, Crime</t>
        </is>
      </c>
      <c r="M262" s="19" t="inlineStr">
        <is>
          <t>Madhouse Entertainment, Alcon Entertainment, 8:38 Productions</t>
        </is>
      </c>
      <c r="N262" s="19" t="inlineStr">
        <is>
          <t>https://huggingface.co/datasets/HenryWaltson/TMDB-IMDB-Movies-Dataset</t>
        </is>
      </c>
      <c r="O262" s="19" t="inlineStr">
        <is>
          <t>https://huggingface.co/datasets/HenryWaltson/TMDB-IMDB-Movies-Dataset</t>
        </is>
      </c>
      <c r="P262" s="18" t="inlineStr">
        <is>
          <t>Hugh Jackman</t>
        </is>
      </c>
      <c r="Q262" s="18" t="inlineStr">
        <is>
          <t>Jake Gyllenhaal</t>
        </is>
      </c>
      <c r="R262" s="18" t="inlineStr">
        <is>
          <t>Viola Davis</t>
        </is>
      </c>
      <c r="S262" s="18" t="inlineStr">
        <is>
          <t>Maria Bello</t>
        </is>
      </c>
      <c r="T262" s="18" t="inlineStr">
        <is>
          <t>Terrence Howard</t>
        </is>
      </c>
      <c r="U262" s="24" t="n">
        <v>1</v>
      </c>
      <c r="V262" s="24" t="n">
        <v>0</v>
      </c>
      <c r="W262" s="4" t="n"/>
      <c r="X262" s="25">
        <f t="array" ref="X262">IFERROR(INDEX(Ratings!$E$5:$E$500,MATCH(A262,Ratings!$A$5:$A$500,0)),"")</f>
        <v/>
      </c>
      <c r="Y262" s="24">
        <f t="array" ref="Y262">IFERROR(INDEX(Ratings!$G$5:$G$500,MATCH(A262,Ratings!$A$5:$A$500,0)),"")</f>
        <v/>
      </c>
      <c r="Z262" s="26">
        <f t="array" ref="Z262">IFERROR(INDEX(Ratings!$I$5:$I$500,MATCH(A262,Ratings!$A$5:$A$500,0)),"")</f>
        <v/>
      </c>
      <c r="AB262" s="18" t="inlineStr">
        <is>
          <t>15</t>
        </is>
      </c>
    </row>
    <row r="263" ht="15.75" customHeight="1" s="108">
      <c r="A263" s="18" t="inlineStr">
        <is>
          <t>F0259</t>
        </is>
      </c>
      <c r="B263" s="18" t="inlineStr">
        <is>
          <t>Prometheus</t>
        </is>
      </c>
      <c r="C263" s="20" t="inlineStr">
        <is>
          <t>2012</t>
        </is>
      </c>
      <c r="D263" s="18" t="inlineStr">
        <is>
          <t>Blu-ray</t>
        </is>
      </c>
      <c r="E263" s="18" t="inlineStr">
        <is>
          <t>Alien</t>
        </is>
      </c>
      <c r="F263" s="19" t="n"/>
      <c r="G263" s="4" t="n"/>
      <c r="H263" s="4" t="n"/>
      <c r="I263" s="19" t="inlineStr">
        <is>
          <t>A team of explorers discover a clue to the origins of mankind on Earth, leading them on a journey to the darkest corners of the universe. There, they must fight a terrifying battle to save the future of the human race.</t>
        </is>
      </c>
      <c r="J263" s="19" t="inlineStr">
        <is>
          <t>Ridley Scott</t>
        </is>
      </c>
      <c r="K263" s="19" t="n">
        <v>124</v>
      </c>
      <c r="L263" s="19" t="inlineStr">
        <is>
          <t>Science Fiction, Adventure, Mystery</t>
        </is>
      </c>
      <c r="M263" s="19" t="inlineStr">
        <is>
          <t>Dune Entertainment, Scott Free Productions, Brandywine Productions</t>
        </is>
      </c>
      <c r="N263" s="19" t="inlineStr">
        <is>
          <t>https://huggingface.co/datasets/HenryWaltson/TMDB-IMDB-Movies-Dataset</t>
        </is>
      </c>
      <c r="O263" s="19" t="inlineStr">
        <is>
          <t>https://huggingface.co/datasets/HenryWaltson/TMDB-IMDB-Movies-Dataset</t>
        </is>
      </c>
      <c r="P263" s="18" t="inlineStr">
        <is>
          <t>Noomi Rapace</t>
        </is>
      </c>
      <c r="Q263" s="18" t="inlineStr">
        <is>
          <t>Michael Fassbender</t>
        </is>
      </c>
      <c r="R263" s="18" t="inlineStr">
        <is>
          <t>Charlize Theron</t>
        </is>
      </c>
      <c r="S263" s="18" t="inlineStr">
        <is>
          <t>Idris Elba</t>
        </is>
      </c>
      <c r="T263" s="18" t="inlineStr">
        <is>
          <t>Guy Pearce</t>
        </is>
      </c>
      <c r="U263" s="24" t="n">
        <v>1</v>
      </c>
      <c r="V263" s="24" t="n">
        <v>0</v>
      </c>
      <c r="W263" s="4" t="n"/>
      <c r="X263" s="25">
        <f t="array" ref="X263">IFERROR(INDEX(Ratings!$E$5:$E$500,MATCH(A263,Ratings!$A$5:$A$500,0)),"")</f>
        <v/>
      </c>
      <c r="Y263" s="24">
        <f t="array" ref="Y263">IFERROR(INDEX(Ratings!$G$5:$G$500,MATCH(A263,Ratings!$A$5:$A$500,0)),"")</f>
        <v/>
      </c>
      <c r="Z263" s="26">
        <f t="array" ref="Z263">IFERROR(INDEX(Ratings!$I$5:$I$500,MATCH(A263,Ratings!$A$5:$A$500,0)),"")</f>
        <v/>
      </c>
      <c r="AB263" s="18" t="inlineStr">
        <is>
          <t>15</t>
        </is>
      </c>
    </row>
    <row r="264" ht="15.75" customHeight="1" s="108">
      <c r="A264" s="18" t="inlineStr">
        <is>
          <t>F0260</t>
        </is>
      </c>
      <c r="B264" s="18" t="inlineStr">
        <is>
          <t>The Pursuit of Happyness</t>
        </is>
      </c>
      <c r="C264" s="20" t="inlineStr">
        <is>
          <t>2006</t>
        </is>
      </c>
      <c r="D264" s="18" t="inlineStr">
        <is>
          <t>Blu-ray</t>
        </is>
      </c>
      <c r="E264" s="4" t="n"/>
      <c r="F264" s="19" t="n"/>
      <c r="G264" s="4" t="n"/>
      <c r="H264" s="4" t="n"/>
      <c r="I264" s="19" t="inlineStr">
        <is>
          <t>A struggling salesman takes custody of his son as he's poised to begin a life-changing professional career.</t>
        </is>
      </c>
      <c r="J264" s="19" t="inlineStr">
        <is>
          <t>Gabriele Muccino</t>
        </is>
      </c>
      <c r="K264" s="19" t="n">
        <v>117</v>
      </c>
      <c r="L264" s="19" t="inlineStr">
        <is>
          <t>Drama</t>
        </is>
      </c>
      <c r="M264" s="19" t="inlineStr">
        <is>
          <t>Escape Artists, Relativity Media, Columbia Pictures</t>
        </is>
      </c>
      <c r="N264" s="19" t="inlineStr">
        <is>
          <t>https://huggingface.co/datasets/HenryWaltson/TMDB-IMDB-Movies-Dataset</t>
        </is>
      </c>
      <c r="O264" s="19" t="inlineStr">
        <is>
          <t>https://huggingface.co/datasets/HenryWaltson/TMDB-IMDB-Movies-Dataset</t>
        </is>
      </c>
      <c r="P264" s="18" t="inlineStr">
        <is>
          <t>Will Smith</t>
        </is>
      </c>
      <c r="Q264" s="18" t="inlineStr">
        <is>
          <t>Jaden Smith</t>
        </is>
      </c>
      <c r="R264" s="18" t="inlineStr">
        <is>
          <t>Thandiwe Newton</t>
        </is>
      </c>
      <c r="S264" s="18" t="inlineStr">
        <is>
          <t>Brian Howe</t>
        </is>
      </c>
      <c r="T264" s="18" t="inlineStr">
        <is>
          <t>James Karen</t>
        </is>
      </c>
      <c r="U264" s="24" t="n">
        <v>1</v>
      </c>
      <c r="V264" s="24" t="n">
        <v>0</v>
      </c>
      <c r="W264" s="4" t="n"/>
      <c r="X264" s="25">
        <f t="array" ref="X264">IFERROR(INDEX(Ratings!$E$5:$E$500,MATCH(A264,Ratings!$A$5:$A$500,0)),"")</f>
        <v/>
      </c>
      <c r="Y264" s="24">
        <f t="array" ref="Y264">IFERROR(INDEX(Ratings!$G$5:$G$500,MATCH(A264,Ratings!$A$5:$A$500,0)),"")</f>
        <v/>
      </c>
      <c r="Z264" s="26">
        <f t="array" ref="Z264">IFERROR(INDEX(Ratings!$I$5:$I$500,MATCH(A264,Ratings!$A$5:$A$500,0)),"")</f>
        <v/>
      </c>
      <c r="AB264" s="18" t="inlineStr">
        <is>
          <t>12A</t>
        </is>
      </c>
    </row>
    <row r="265" ht="15.75" customHeight="1" s="108">
      <c r="A265" s="18" t="inlineStr">
        <is>
          <t>F0261</t>
        </is>
      </c>
      <c r="B265" s="18" t="inlineStr">
        <is>
          <t>Rambo</t>
        </is>
      </c>
      <c r="C265" s="20" t="inlineStr">
        <is>
          <t>2008</t>
        </is>
      </c>
      <c r="D265" s="18" t="inlineStr">
        <is>
          <t>Blu-ray</t>
        </is>
      </c>
      <c r="E265" s="4" t="n"/>
      <c r="F265" s="19" t="n"/>
      <c r="G265" s="4" t="n"/>
      <c r="H265" s="4" t="n"/>
      <c r="I265" s="19" t="inlineStr">
        <is>
          <t>Combat has taken its toll on Rambo, but he's finally begun to find inner peace in a monastery. When Rambo's friend and mentor Col. Trautman asks for his help on a top secret mission to Afghanistan, Rambo declines but must reconsider when Trautman is captured.</t>
        </is>
      </c>
      <c r="J265" s="19" t="inlineStr">
        <is>
          <t>Sylvester Stallone</t>
        </is>
      </c>
      <c r="K265" s="19" t="n">
        <v>92</v>
      </c>
      <c r="L265" s="19" t="inlineStr">
        <is>
          <t>Action, Thriller, War</t>
        </is>
      </c>
      <c r="M265" s="19" t="inlineStr">
        <is>
          <t>Nu Image, Lionsgate, EFO Films</t>
        </is>
      </c>
      <c r="N265" s="19" t="inlineStr">
        <is>
          <t>https://huggingface.co/datasets/HenryWaltson/TMDB-IMDB-Movies-Dataset</t>
        </is>
      </c>
      <c r="O265" s="19" t="inlineStr">
        <is>
          <t>https://huggingface.co/datasets/HenryWaltson/TMDB-IMDB-Movies-Dataset</t>
        </is>
      </c>
      <c r="P265" s="18" t="inlineStr">
        <is>
          <t>Sylvester Stallone</t>
        </is>
      </c>
      <c r="Q265" s="18" t="inlineStr">
        <is>
          <t>Julie Benz</t>
        </is>
      </c>
      <c r="R265" s="18" t="inlineStr">
        <is>
          <t>Matthew Marsden</t>
        </is>
      </c>
      <c r="S265" s="18" t="inlineStr">
        <is>
          <t>Graham McTavish</t>
        </is>
      </c>
      <c r="T265" s="18" t="inlineStr">
        <is>
          <t>Reynaldo Gallegos</t>
        </is>
      </c>
      <c r="U265" s="24" t="n">
        <v>0</v>
      </c>
      <c r="V265" s="24" t="n">
        <v>0</v>
      </c>
      <c r="W265" s="4" t="n"/>
      <c r="X265" s="25">
        <f t="array" ref="X265">IFERROR(INDEX(Ratings!$E$5:$E$500,MATCH(A265,Ratings!$A$5:$A$500,0)),"")</f>
        <v/>
      </c>
      <c r="Y265" s="24">
        <f t="array" ref="Y265">IFERROR(INDEX(Ratings!$G$5:$G$500,MATCH(A265,Ratings!$A$5:$A$500,0)),"")</f>
        <v/>
      </c>
      <c r="Z265" s="26">
        <f t="array" ref="Z265">IFERROR(INDEX(Ratings!$I$5:$I$500,MATCH(A265,Ratings!$A$5:$A$500,0)),"")</f>
        <v/>
      </c>
      <c r="AB265" s="18" t="inlineStr">
        <is>
          <t>18</t>
        </is>
      </c>
    </row>
    <row r="266" ht="15.75" customHeight="1" s="108">
      <c r="A266" s="18" t="inlineStr">
        <is>
          <t>F0262</t>
        </is>
      </c>
      <c r="B266" s="18" t="inlineStr">
        <is>
          <t>RED</t>
        </is>
      </c>
      <c r="C266" s="20" t="inlineStr">
        <is>
          <t>2010</t>
        </is>
      </c>
      <c r="D266" s="18" t="inlineStr">
        <is>
          <t>Blu-ray</t>
        </is>
      </c>
      <c r="E266" s="4" t="n"/>
      <c r="F266" s="19" t="n"/>
      <c r="G266" s="4" t="n"/>
      <c r="H266" s="4" t="n"/>
      <c r="I266" s="19" t="inlineStr">
        <is>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is>
      </c>
      <c r="J266" s="19" t="inlineStr">
        <is>
          <t>Robert Schwentke</t>
        </is>
      </c>
      <c r="K266" s="19" t="n">
        <v>111</v>
      </c>
      <c r="L266" s="19" t="inlineStr">
        <is>
          <t>Action, Adventure, Comedy, Crime, Thriller</t>
        </is>
      </c>
      <c r="M266" s="19" t="inlineStr">
        <is>
          <t>di Bonaventura Pictures, DC Comics, Summit Entertainment</t>
        </is>
      </c>
      <c r="N266" s="19" t="inlineStr">
        <is>
          <t>https://huggingface.co/datasets/HenryWaltson/TMDB-IMDB-Movies-Dataset</t>
        </is>
      </c>
      <c r="O266" s="19" t="inlineStr">
        <is>
          <t>https://huggingface.co/datasets/HenryWaltson/TMDB-IMDB-Movies-Dataset</t>
        </is>
      </c>
      <c r="P266" s="18" t="inlineStr">
        <is>
          <t>Bruce Willis</t>
        </is>
      </c>
      <c r="Q266" s="18" t="inlineStr">
        <is>
          <t>John Malkovich</t>
        </is>
      </c>
      <c r="R266" s="18" t="inlineStr">
        <is>
          <t>Morgan Freeman</t>
        </is>
      </c>
      <c r="S266" s="18" t="inlineStr">
        <is>
          <t>Helen Mirren</t>
        </is>
      </c>
      <c r="T266" s="18" t="inlineStr">
        <is>
          <t>Mary-Louise Parker</t>
        </is>
      </c>
      <c r="U266" s="24" t="n">
        <v>0</v>
      </c>
      <c r="V266" s="24" t="n">
        <v>0</v>
      </c>
      <c r="W266" s="4" t="n"/>
      <c r="X266" s="25">
        <f t="array" ref="X266">IFERROR(INDEX(Ratings!$E$5:$E$500,MATCH(A266,Ratings!$A$5:$A$500,0)),"")</f>
        <v/>
      </c>
      <c r="Y266" s="24">
        <f t="array" ref="Y266">IFERROR(INDEX(Ratings!$G$5:$G$500,MATCH(A266,Ratings!$A$5:$A$500,0)),"")</f>
        <v/>
      </c>
      <c r="Z266" s="26">
        <f t="array" ref="Z266">IFERROR(INDEX(Ratings!$I$5:$I$500,MATCH(A266,Ratings!$A$5:$A$500,0)),"")</f>
        <v/>
      </c>
      <c r="AB266" s="18" t="inlineStr">
        <is>
          <t>12A</t>
        </is>
      </c>
    </row>
    <row r="267" ht="15.75" customHeight="1" s="108">
      <c r="A267" s="18" t="inlineStr">
        <is>
          <t>F0263</t>
        </is>
      </c>
      <c r="B267" s="18" t="inlineStr">
        <is>
          <t>Reign of Fire</t>
        </is>
      </c>
      <c r="C267" s="20" t="inlineStr">
        <is>
          <t>2002</t>
        </is>
      </c>
      <c r="D267" s="18" t="inlineStr">
        <is>
          <t>Blu-ray</t>
        </is>
      </c>
      <c r="E267" s="4" t="n"/>
      <c r="F267" s="19" t="n"/>
      <c r="G267" s="4" t="n"/>
      <c r="H267" s="4" t="n"/>
      <c r="I267" s="19" t="inlineStr">
        <is>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is>
      </c>
      <c r="J267" s="19" t="inlineStr">
        <is>
          <t>Rob Bowman</t>
        </is>
      </c>
      <c r="K267" s="19" t="n">
        <v>101</v>
      </c>
      <c r="L267" s="19" t="inlineStr">
        <is>
          <t>Adventure, Action, Fantasy</t>
        </is>
      </c>
      <c r="M267" s="19" t="inlineStr">
        <is>
          <t>The Zanuck Company, Spyglass Entertainment, World 2000 Entertainment</t>
        </is>
      </c>
      <c r="N267" s="19" t="inlineStr">
        <is>
          <t>https://huggingface.co/datasets/HenryWaltson/TMDB-IMDB-Movies-Dataset</t>
        </is>
      </c>
      <c r="O267" s="19" t="inlineStr">
        <is>
          <t>https://huggingface.co/datasets/HenryWaltson/TMDB-IMDB-Movies-Dataset</t>
        </is>
      </c>
      <c r="P267" s="18" t="inlineStr">
        <is>
          <t>Christian Bale</t>
        </is>
      </c>
      <c r="Q267" s="18" t="inlineStr">
        <is>
          <t>Matthew McConaughey</t>
        </is>
      </c>
      <c r="R267" s="18" t="inlineStr">
        <is>
          <t>Izabella Scorupco</t>
        </is>
      </c>
      <c r="S267" s="18" t="inlineStr">
        <is>
          <t>Gerard Butler</t>
        </is>
      </c>
      <c r="T267" s="18" t="inlineStr">
        <is>
          <t>Alexander Siddig</t>
        </is>
      </c>
      <c r="U267" s="24" t="n">
        <v>0</v>
      </c>
      <c r="V267" s="24" t="n">
        <v>0</v>
      </c>
      <c r="W267" s="4" t="n"/>
      <c r="X267" s="25">
        <f t="array" ref="X267">IFERROR(INDEX(Ratings!$E$5:$E$500,MATCH(A267,Ratings!$A$5:$A$500,0)),"")</f>
        <v/>
      </c>
      <c r="Y267" s="24">
        <f t="array" ref="Y267">IFERROR(INDEX(Ratings!$G$5:$G$500,MATCH(A267,Ratings!$A$5:$A$500,0)),"")</f>
        <v/>
      </c>
      <c r="Z267" s="26">
        <f t="array" ref="Z267">IFERROR(INDEX(Ratings!$I$5:$I$500,MATCH(A267,Ratings!$A$5:$A$500,0)),"")</f>
        <v/>
      </c>
      <c r="AB267" s="18" t="inlineStr">
        <is>
          <t>12</t>
        </is>
      </c>
    </row>
    <row r="268" ht="15.75" customHeight="1" s="108">
      <c r="A268" s="18" t="inlineStr">
        <is>
          <t>F0264</t>
        </is>
      </c>
      <c r="B268" s="18" t="inlineStr">
        <is>
          <t>Riddick</t>
        </is>
      </c>
      <c r="C268" s="20" t="inlineStr">
        <is>
          <t>2013</t>
        </is>
      </c>
      <c r="D268" s="18" t="inlineStr">
        <is>
          <t>Blu-ray</t>
        </is>
      </c>
      <c r="E268" s="4" t="n"/>
      <c r="F268" s="19" t="n"/>
      <c r="G268" s="4" t="n"/>
      <c r="H268" s="4" t="n"/>
      <c r="I268" s="19" t="inlineStr">
        <is>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is>
      </c>
      <c r="J268" s="19" t="inlineStr">
        <is>
          <t>David Twohy</t>
        </is>
      </c>
      <c r="K268" s="19" t="n">
        <v>119</v>
      </c>
      <c r="L268" s="19" t="inlineStr">
        <is>
          <t>Science Fiction, Action, Thriller</t>
        </is>
      </c>
      <c r="M268" s="19" t="inlineStr">
        <is>
          <t>One Race, Riddick Canada Productions, Radar Pictures</t>
        </is>
      </c>
      <c r="N268" s="19" t="inlineStr">
        <is>
          <t>https://huggingface.co/datasets/HenryWaltson/TMDB-IMDB-Movies-Dataset</t>
        </is>
      </c>
      <c r="O268" s="19" t="inlineStr">
        <is>
          <t>https://huggingface.co/datasets/HenryWaltson/TMDB-IMDB-Movies-Dataset</t>
        </is>
      </c>
      <c r="P268" s="18" t="inlineStr">
        <is>
          <t>Vin Diesel</t>
        </is>
      </c>
      <c r="Q268" s="18" t="inlineStr">
        <is>
          <t>Matt Nable</t>
        </is>
      </c>
      <c r="R268" s="18" t="inlineStr">
        <is>
          <t>Katee Sackhoff</t>
        </is>
      </c>
      <c r="S268" s="18" t="inlineStr">
        <is>
          <t>Jordi Mollà</t>
        </is>
      </c>
      <c r="T268" s="18" t="inlineStr">
        <is>
          <t>Dave Bautista</t>
        </is>
      </c>
      <c r="U268" s="24" t="n">
        <v>0</v>
      </c>
      <c r="V268" s="24" t="n">
        <v>0</v>
      </c>
      <c r="W268" s="4" t="n"/>
      <c r="X268" s="25">
        <f t="array" ref="X268">IFERROR(INDEX(Ratings!$E$5:$E$500,MATCH(A268,Ratings!$A$5:$A$500,0)),"")</f>
        <v/>
      </c>
      <c r="Y268" s="24">
        <f t="array" ref="Y268">IFERROR(INDEX(Ratings!$G$5:$G$500,MATCH(A268,Ratings!$A$5:$A$500,0)),"")</f>
        <v/>
      </c>
      <c r="Z268" s="26">
        <f t="array" ref="Z268">IFERROR(INDEX(Ratings!$I$5:$I$500,MATCH(A268,Ratings!$A$5:$A$500,0)),"")</f>
        <v/>
      </c>
      <c r="AB268" s="18" t="inlineStr">
        <is>
          <t>15</t>
        </is>
      </c>
    </row>
    <row r="269" ht="15.75" customHeight="1" s="108">
      <c r="A269" s="18" t="inlineStr">
        <is>
          <t>F0265</t>
        </is>
      </c>
      <c r="B269" s="18" t="inlineStr">
        <is>
          <t>Rio</t>
        </is>
      </c>
      <c r="C269" s="20" t="inlineStr">
        <is>
          <t>2011</t>
        </is>
      </c>
      <c r="D269" s="18" t="inlineStr">
        <is>
          <t>Blu-ray</t>
        </is>
      </c>
      <c r="E269" s="18" t="inlineStr">
        <is>
          <t>Rio</t>
        </is>
      </c>
      <c r="F269" s="19" t="n"/>
      <c r="G269" s="4" t="n"/>
      <c r="H269" s="4" t="n"/>
      <c r="I269" s="19" t="inlineStr">
        <is>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is>
      </c>
      <c r="J269" s="19" t="inlineStr">
        <is>
          <t>Carlos Saldanha</t>
        </is>
      </c>
      <c r="K269" s="19" t="n">
        <v>96</v>
      </c>
      <c r="L269" s="19" t="inlineStr">
        <is>
          <t>Animation, Adventure, Comedy, Family</t>
        </is>
      </c>
      <c r="M269" s="19" t="inlineStr">
        <is>
          <t>Blue Sky Studios, 20th Century Fox Animation, 20th Century Fox</t>
        </is>
      </c>
      <c r="N269" s="19" t="inlineStr">
        <is>
          <t>https://huggingface.co/datasets/HenryWaltson/TMDB-IMDB-Movies-Dataset</t>
        </is>
      </c>
      <c r="O269" s="19" t="inlineStr">
        <is>
          <t>https://huggingface.co/datasets/HenryWaltson/TMDB-IMDB-Movies-Dataset</t>
        </is>
      </c>
      <c r="P269" s="18" t="inlineStr">
        <is>
          <t>Jesse Eisenberg</t>
        </is>
      </c>
      <c r="Q269" s="18" t="inlineStr">
        <is>
          <t>Anne Hathaway</t>
        </is>
      </c>
      <c r="R269" s="18" t="inlineStr">
        <is>
          <t>Leslie Mann</t>
        </is>
      </c>
      <c r="S269" s="18" t="inlineStr">
        <is>
          <t>Jane Lynch</t>
        </is>
      </c>
      <c r="T269" s="18" t="inlineStr">
        <is>
          <t>will.i.am</t>
        </is>
      </c>
      <c r="U269" s="24" t="n">
        <v>1</v>
      </c>
      <c r="V269" s="24" t="n">
        <v>0</v>
      </c>
      <c r="W269" s="4" t="n"/>
      <c r="X269" s="25">
        <f t="array" ref="X269">IFERROR(INDEX(Ratings!$E$5:$E$500,MATCH(A269,Ratings!$A$5:$A$500,0)),"")</f>
        <v/>
      </c>
      <c r="Y269" s="24">
        <f t="array" ref="Y269">IFERROR(INDEX(Ratings!$G$5:$G$500,MATCH(A269,Ratings!$A$5:$A$500,0)),"")</f>
        <v/>
      </c>
      <c r="Z269" s="26">
        <f t="array" ref="Z269">IFERROR(INDEX(Ratings!$I$5:$I$500,MATCH(A269,Ratings!$A$5:$A$500,0)),"")</f>
        <v/>
      </c>
      <c r="AB269" s="18" t="inlineStr">
        <is>
          <t>U</t>
        </is>
      </c>
    </row>
    <row r="270" ht="15.75" customHeight="1" s="108">
      <c r="A270" s="18" t="inlineStr">
        <is>
          <t>F0266</t>
        </is>
      </c>
      <c r="B270" s="18" t="inlineStr">
        <is>
          <t>Rio 2</t>
        </is>
      </c>
      <c r="C270" s="20" t="inlineStr">
        <is>
          <t>2014</t>
        </is>
      </c>
      <c r="D270" s="18" t="inlineStr">
        <is>
          <t>Blu-ray</t>
        </is>
      </c>
      <c r="E270" s="18" t="inlineStr">
        <is>
          <t>Rio</t>
        </is>
      </c>
      <c r="F270" s="19" t="n"/>
      <c r="G270" s="4" t="n"/>
      <c r="H270" s="4" t="n"/>
      <c r="I270" s="19" t="inlineStr">
        <is>
          <t>It's a jungle out there for Blu, Jewel and their three kids after they're hurtled from Rio de Janeiro to the wilds of the Amazon. As Blu tries to fit in, he goes beak-to-beak with the vengeful Nigel, and meets the most fearsome adversary of all: his father-in-law.</t>
        </is>
      </c>
      <c r="J270" s="19" t="inlineStr">
        <is>
          <t>Carlos Saldanha</t>
        </is>
      </c>
      <c r="K270" s="19" t="n">
        <v>101</v>
      </c>
      <c r="L270" s="19" t="inlineStr">
        <is>
          <t>Animation, Adventure, Comedy, Family</t>
        </is>
      </c>
      <c r="M270" s="19" t="inlineStr">
        <is>
          <t>Blue Sky Studios, 20th Century Fox Animation, 20th Century Fox</t>
        </is>
      </c>
      <c r="N270" s="19" t="inlineStr">
        <is>
          <t>https://huggingface.co/datasets/HenryWaltson/TMDB-IMDB-Movies-Dataset</t>
        </is>
      </c>
      <c r="O270" s="19" t="inlineStr">
        <is>
          <t>https://huggingface.co/datasets/HenryWaltson/TMDB-IMDB-Movies-Dataset</t>
        </is>
      </c>
      <c r="P270" s="18" t="inlineStr">
        <is>
          <t>Jesse Eisenberg</t>
        </is>
      </c>
      <c r="Q270" s="18" t="inlineStr">
        <is>
          <t>Anne Hathaway</t>
        </is>
      </c>
      <c r="R270" s="18" t="inlineStr">
        <is>
          <t>will.i.am</t>
        </is>
      </c>
      <c r="S270" s="18" t="inlineStr">
        <is>
          <t>Jamie Foxx</t>
        </is>
      </c>
      <c r="T270" s="18" t="inlineStr">
        <is>
          <t>Leslie Mann</t>
        </is>
      </c>
      <c r="U270" s="24" t="n">
        <v>0</v>
      </c>
      <c r="V270" s="24" t="n">
        <v>0</v>
      </c>
      <c r="W270" s="4" t="n"/>
      <c r="X270" s="25">
        <f t="array" ref="X270">IFERROR(INDEX(Ratings!$E$5:$E$500,MATCH(A270,Ratings!$A$5:$A$500,0)),"")</f>
        <v/>
      </c>
      <c r="Y270" s="24">
        <f t="array" ref="Y270">IFERROR(INDEX(Ratings!$G$5:$G$500,MATCH(A270,Ratings!$A$5:$A$500,0)),"")</f>
        <v/>
      </c>
      <c r="Z270" s="26">
        <f t="array" ref="Z270">IFERROR(INDEX(Ratings!$I$5:$I$500,MATCH(A270,Ratings!$A$5:$A$500,0)),"")</f>
        <v/>
      </c>
      <c r="AB270" s="18" t="inlineStr">
        <is>
          <t>U</t>
        </is>
      </c>
    </row>
    <row r="271" ht="15.75" customHeight="1" s="108">
      <c r="A271" s="18" t="inlineStr">
        <is>
          <t>F0267</t>
        </is>
      </c>
      <c r="B271" s="18" t="inlineStr">
        <is>
          <t>Robin Hood</t>
        </is>
      </c>
      <c r="C271" s="20" t="inlineStr">
        <is>
          <t>2010</t>
        </is>
      </c>
      <c r="D271" s="18" t="inlineStr">
        <is>
          <t>Blu-ray</t>
        </is>
      </c>
      <c r="E271" s="4" t="n"/>
      <c r="F271" s="19" t="n"/>
      <c r="G271" s="4" t="n"/>
      <c r="H271" s="4" t="n"/>
      <c r="I271" s="19" t="inlineStr">
        <is>
          <t>Best guess: 2010 Ridley Scott version.</t>
        </is>
      </c>
      <c r="J271" s="19" t="inlineStr">
        <is>
          <t>Ridley Scott</t>
        </is>
      </c>
      <c r="K271" s="19" t="n">
        <v>140</v>
      </c>
      <c r="L271" s="19" t="inlineStr">
        <is>
          <t>Action, Adventure, Drama</t>
        </is>
      </c>
      <c r="M271" s="19" t="inlineStr">
        <is>
          <t>Scott Free Productions, Imagine Entertainment, Relativity Media</t>
        </is>
      </c>
      <c r="N271" s="19" t="inlineStr">
        <is>
          <t>https://huggingface.co/datasets/HenryWaltson/TMDB-IMDB-Movies-Dataset</t>
        </is>
      </c>
      <c r="O271" s="19" t="inlineStr">
        <is>
          <t>https://huggingface.co/datasets/HenryWaltson/TMDB-IMDB-Movies-Dataset</t>
        </is>
      </c>
      <c r="P271" s="18" t="inlineStr">
        <is>
          <t>Russell Crowe</t>
        </is>
      </c>
      <c r="Q271" s="18" t="inlineStr">
        <is>
          <t>Cate Blanchett</t>
        </is>
      </c>
      <c r="R271" s="18" t="inlineStr">
        <is>
          <t>Max von Sydow</t>
        </is>
      </c>
      <c r="S271" s="18" t="inlineStr">
        <is>
          <t>William Hurt</t>
        </is>
      </c>
      <c r="T271" s="18" t="inlineStr">
        <is>
          <t>Mark Strong</t>
        </is>
      </c>
      <c r="U271" s="24" t="n">
        <v>0</v>
      </c>
      <c r="V271" s="24" t="n">
        <v>0</v>
      </c>
      <c r="W271" s="4" t="n"/>
      <c r="X271" s="25">
        <f t="array" ref="X271">IFERROR(INDEX(Ratings!$E$5:$E$500,MATCH(A271,Ratings!$A$5:$A$500,0)),"")</f>
        <v/>
      </c>
      <c r="Y271" s="24">
        <f t="array" ref="Y271">IFERROR(INDEX(Ratings!$G$5:$G$500,MATCH(A271,Ratings!$A$5:$A$500,0)),"")</f>
        <v/>
      </c>
      <c r="Z271" s="26">
        <f t="array" ref="Z271">IFERROR(INDEX(Ratings!$I$5:$I$500,MATCH(A271,Ratings!$A$5:$A$500,0)),"")</f>
        <v/>
      </c>
      <c r="AB271" s="18" t="inlineStr">
        <is>
          <t>12A</t>
        </is>
      </c>
    </row>
    <row r="272" ht="15.75" customHeight="1" s="108">
      <c r="A272" s="18" t="inlineStr">
        <is>
          <t>F0268</t>
        </is>
      </c>
      <c r="B272" s="18" t="inlineStr">
        <is>
          <t>RoboCop</t>
        </is>
      </c>
      <c r="C272" s="20" t="n"/>
      <c r="D272" s="18" t="inlineStr">
        <is>
          <t>Blu-ray</t>
        </is>
      </c>
      <c r="E272" s="4" t="n"/>
      <c r="F272" s="19" t="n"/>
      <c r="G272" s="4" t="n"/>
      <c r="H272" s="4" t="n"/>
      <c r="I272" s="19" t="inlineStr">
        <is>
          <t>Best guess: 1987 original.</t>
        </is>
      </c>
      <c r="J272" s="19" t="inlineStr">
        <is>
          <t>Paul Verhoeven</t>
        </is>
      </c>
      <c r="K272" s="19" t="n">
        <v>102</v>
      </c>
      <c r="L272" s="19" t="inlineStr">
        <is>
          <t>Action, Thriller, Science Fiction</t>
        </is>
      </c>
      <c r="M272" s="19" t="inlineStr">
        <is>
          <t>Orion Pictures</t>
        </is>
      </c>
      <c r="N272" s="19" t="inlineStr">
        <is>
          <t>https://huggingface.co/datasets/HenryWaltson/TMDB-IMDB-Movies-Dataset</t>
        </is>
      </c>
      <c r="O272" s="19" t="inlineStr">
        <is>
          <t>https://huggingface.co/datasets/HenryWaltson/TMDB-IMDB-Movies-Dataset</t>
        </is>
      </c>
      <c r="P272" s="18" t="inlineStr">
        <is>
          <t>Peter Weller</t>
        </is>
      </c>
      <c r="Q272" s="18" t="inlineStr">
        <is>
          <t>Nancy Allen</t>
        </is>
      </c>
      <c r="R272" s="18" t="inlineStr">
        <is>
          <t>Dan O'Herlihy</t>
        </is>
      </c>
      <c r="S272" s="18" t="inlineStr">
        <is>
          <t>Ronny Cox</t>
        </is>
      </c>
      <c r="T272" s="18" t="inlineStr">
        <is>
          <t>Kurtwood Smith</t>
        </is>
      </c>
      <c r="U272" s="24" t="n">
        <v>0</v>
      </c>
      <c r="V272" s="24" t="n">
        <v>0</v>
      </c>
      <c r="W272" s="4" t="n"/>
      <c r="X272" s="25">
        <f t="array" ref="X272">IFERROR(INDEX(Ratings!$E$5:$E$500,MATCH(A272,Ratings!$A$5:$A$500,0)),"")</f>
        <v/>
      </c>
      <c r="Y272" s="24">
        <f t="array" ref="Y272">IFERROR(INDEX(Ratings!$G$5:$G$500,MATCH(A272,Ratings!$A$5:$A$500,0)),"")</f>
        <v/>
      </c>
      <c r="Z272" s="26">
        <f t="array" ref="Z272">IFERROR(INDEX(Ratings!$I$5:$I$500,MATCH(A272,Ratings!$A$5:$A$500,0)),"")</f>
        <v/>
      </c>
      <c r="AB272" s="18" t="inlineStr">
        <is>
          <t>18</t>
        </is>
      </c>
    </row>
    <row r="273" ht="15.75" customHeight="1" s="108">
      <c r="A273" s="18" t="inlineStr">
        <is>
          <t>F0269</t>
        </is>
      </c>
      <c r="B273" s="18" t="inlineStr">
        <is>
          <t>Rocketman</t>
        </is>
      </c>
      <c r="C273" s="20" t="inlineStr">
        <is>
          <t>2019</t>
        </is>
      </c>
      <c r="D273" s="18" t="inlineStr">
        <is>
          <t>Blu-ray</t>
        </is>
      </c>
      <c r="E273" s="4" t="n"/>
      <c r="F273" s="19" t="n"/>
      <c r="G273" s="4" t="n"/>
      <c r="H273" s="4" t="n"/>
      <c r="I273" s="19" t="inlineStr">
        <is>
          <t>The story of Elton John's life, from his years as a prodigy at the Royal Academy of Music through his influential and enduring musical partnership with Bernie Taupin.</t>
        </is>
      </c>
      <c r="J273" s="19" t="inlineStr">
        <is>
          <t>Dexter Fletcher</t>
        </is>
      </c>
      <c r="K273" s="19" t="n">
        <v>121</v>
      </c>
      <c r="L273" s="19" t="inlineStr">
        <is>
          <t>Music, Drama, History</t>
        </is>
      </c>
      <c r="M273" s="19" t="inlineStr">
        <is>
          <t>Paramount, New Republic Pictures, Marv Films</t>
        </is>
      </c>
      <c r="N273" s="19" t="inlineStr">
        <is>
          <t>https://huggingface.co/datasets/HenryWaltson/TMDB-IMDB-Movies-Dataset</t>
        </is>
      </c>
      <c r="O273" s="19" t="inlineStr">
        <is>
          <t>https://huggingface.co/datasets/HenryWaltson/TMDB-IMDB-Movies-Dataset</t>
        </is>
      </c>
      <c r="P273" s="18" t="inlineStr">
        <is>
          <t>Taron Egerton</t>
        </is>
      </c>
      <c r="Q273" s="18" t="inlineStr">
        <is>
          <t>Jamie Bell</t>
        </is>
      </c>
      <c r="R273" s="18" t="inlineStr">
        <is>
          <t>Richard Madden</t>
        </is>
      </c>
      <c r="S273" s="18" t="inlineStr">
        <is>
          <t>Bryce Dallas Howard</t>
        </is>
      </c>
      <c r="T273" s="18" t="inlineStr">
        <is>
          <t>Gemma Jones</t>
        </is>
      </c>
      <c r="U273" s="24" t="n">
        <v>1</v>
      </c>
      <c r="V273" s="24" t="n">
        <v>1</v>
      </c>
      <c r="W273" s="4" t="n"/>
      <c r="X273" s="25">
        <f t="array" ref="X273">IFERROR(INDEX(Ratings!$E$5:$E$500,MATCH(A273,Ratings!$A$5:$A$500,0)),"")</f>
        <v/>
      </c>
      <c r="Y273" s="24">
        <f t="array" ref="Y273">IFERROR(INDEX(Ratings!$G$5:$G$500,MATCH(A273,Ratings!$A$5:$A$500,0)),"")</f>
        <v/>
      </c>
      <c r="Z273" s="26">
        <f t="array" ref="Z273">IFERROR(INDEX(Ratings!$I$5:$I$500,MATCH(A273,Ratings!$A$5:$A$500,0)),"")</f>
        <v/>
      </c>
      <c r="AB273" s="18" t="inlineStr">
        <is>
          <t>15</t>
        </is>
      </c>
    </row>
    <row r="274" ht="15.75" customHeight="1" s="108">
      <c r="A274" s="18" t="inlineStr">
        <is>
          <t>F0270</t>
        </is>
      </c>
      <c r="B274" s="18" t="inlineStr">
        <is>
          <t>Rush</t>
        </is>
      </c>
      <c r="C274" s="20" t="inlineStr">
        <is>
          <t>2013</t>
        </is>
      </c>
      <c r="D274" s="18" t="inlineStr">
        <is>
          <t>Blu-ray</t>
        </is>
      </c>
      <c r="E274" s="4" t="n"/>
      <c r="F274" s="19" t="n"/>
      <c r="G274" s="4" t="n"/>
      <c r="H274" s="4" t="n"/>
      <c r="I274" s="19" t="inlineStr">
        <is>
          <t>In the 1970s, a rivalry propels race car drivers Niki Lauda and James Hunt to fame and glory — until a horrible accident threatens to end it all.</t>
        </is>
      </c>
      <c r="J274" s="19" t="inlineStr">
        <is>
          <t>Ron Howard</t>
        </is>
      </c>
      <c r="K274" s="19" t="n">
        <v>123</v>
      </c>
      <c r="L274" s="19" t="inlineStr">
        <is>
          <t>Drama, Action</t>
        </is>
      </c>
      <c r="M274" s="19" t="inlineStr">
        <is>
          <t>Revolution Films, Working Title Films, Imagine Entertainment</t>
        </is>
      </c>
      <c r="N274" s="19" t="inlineStr">
        <is>
          <t>https://huggingface.co/datasets/HenryWaltson/TMDB-IMDB-Movies-Dataset</t>
        </is>
      </c>
      <c r="O274" s="19" t="inlineStr">
        <is>
          <t>https://huggingface.co/datasets/HenryWaltson/TMDB-IMDB-Movies-Dataset</t>
        </is>
      </c>
      <c r="P274" s="18" t="inlineStr">
        <is>
          <t>Chris Hemsworth</t>
        </is>
      </c>
      <c r="Q274" s="18" t="inlineStr">
        <is>
          <t>Daniel Brühl</t>
        </is>
      </c>
      <c r="R274" s="18" t="inlineStr">
        <is>
          <t>Olivia Wilde</t>
        </is>
      </c>
      <c r="S274" s="18" t="inlineStr">
        <is>
          <t>Alexandra Maria Lara</t>
        </is>
      </c>
      <c r="T274" s="18" t="inlineStr">
        <is>
          <t>Pierfrancesco Favino</t>
        </is>
      </c>
      <c r="U274" s="24" t="n">
        <v>0</v>
      </c>
      <c r="V274" s="24" t="n">
        <v>0</v>
      </c>
      <c r="W274" s="4" t="n"/>
      <c r="X274" s="25">
        <f t="array" ref="X274">IFERROR(INDEX(Ratings!$E$5:$E$500,MATCH(A274,Ratings!$A$5:$A$500,0)),"")</f>
        <v/>
      </c>
      <c r="Y274" s="24">
        <f t="array" ref="Y274">IFERROR(INDEX(Ratings!$G$5:$G$500,MATCH(A274,Ratings!$A$5:$A$500,0)),"")</f>
        <v/>
      </c>
      <c r="Z274" s="26">
        <f t="array" ref="Z274">IFERROR(INDEX(Ratings!$I$5:$I$500,MATCH(A274,Ratings!$A$5:$A$500,0)),"")</f>
        <v/>
      </c>
      <c r="AB274" s="18" t="inlineStr">
        <is>
          <t>15</t>
        </is>
      </c>
    </row>
    <row r="275" ht="15.75" customHeight="1" s="108">
      <c r="A275" s="18" t="inlineStr">
        <is>
          <t>F0271</t>
        </is>
      </c>
      <c r="B275" s="18" t="inlineStr">
        <is>
          <t>Rush Hour 3</t>
        </is>
      </c>
      <c r="C275" s="20" t="inlineStr">
        <is>
          <t>2007</t>
        </is>
      </c>
      <c r="D275" s="18" t="inlineStr">
        <is>
          <t>Blu-ray</t>
        </is>
      </c>
      <c r="E275" s="4" t="n"/>
      <c r="F275" s="19" t="n"/>
      <c r="G275" s="4" t="n"/>
      <c r="H275" s="4" t="n"/>
      <c r="I275" s="19" t="inlineStr">
        <is>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is>
      </c>
      <c r="J275" s="19" t="inlineStr">
        <is>
          <t>Brett Ratner</t>
        </is>
      </c>
      <c r="K275" s="19" t="n">
        <v>91</v>
      </c>
      <c r="L275" s="19" t="inlineStr">
        <is>
          <t>Action, Comedy, Crime</t>
        </is>
      </c>
      <c r="M275" s="19" t="inlineStr">
        <is>
          <t>New Line Cinema, Roger Birnbaum Productions, Arthur Sarkissian Productions</t>
        </is>
      </c>
      <c r="N275" s="19" t="inlineStr">
        <is>
          <t>https://huggingface.co/datasets/HenryWaltson/TMDB-IMDB-Movies-Dataset</t>
        </is>
      </c>
      <c r="O275" s="19" t="inlineStr">
        <is>
          <t>https://huggingface.co/datasets/HenryWaltson/TMDB-IMDB-Movies-Dataset</t>
        </is>
      </c>
      <c r="P275" s="18" t="inlineStr">
        <is>
          <t>Jackie Chan</t>
        </is>
      </c>
      <c r="Q275" s="18" t="inlineStr">
        <is>
          <t>Chris Tucker</t>
        </is>
      </c>
      <c r="R275" s="18" t="inlineStr">
        <is>
          <t>Hiroyuki Sanada</t>
        </is>
      </c>
      <c r="S275" s="18" t="inlineStr">
        <is>
          <t>Max von Sydow</t>
        </is>
      </c>
      <c r="T275" s="18" t="inlineStr">
        <is>
          <t>Yvan Attal</t>
        </is>
      </c>
      <c r="U275" s="24" t="n">
        <v>0</v>
      </c>
      <c r="V275" s="24" t="n">
        <v>0</v>
      </c>
      <c r="W275" s="4" t="n"/>
      <c r="X275" s="25">
        <f t="array" ref="X275">IFERROR(INDEX(Ratings!$E$5:$E$500,MATCH(A275,Ratings!$A$5:$A$500,0)),"")</f>
        <v/>
      </c>
      <c r="Y275" s="24">
        <f t="array" ref="Y275">IFERROR(INDEX(Ratings!$G$5:$G$500,MATCH(A275,Ratings!$A$5:$A$500,0)),"")</f>
        <v/>
      </c>
      <c r="Z275" s="26">
        <f t="array" ref="Z275">IFERROR(INDEX(Ratings!$I$5:$I$500,MATCH(A275,Ratings!$A$5:$A$500,0)),"")</f>
        <v/>
      </c>
      <c r="AB275" s="18" t="inlineStr">
        <is>
          <t>12A</t>
        </is>
      </c>
    </row>
    <row r="276" ht="15.75" customHeight="1" s="108">
      <c r="A276" s="18" t="inlineStr">
        <is>
          <t>F0272</t>
        </is>
      </c>
      <c r="B276" s="18" t="inlineStr">
        <is>
          <t>Safe House</t>
        </is>
      </c>
      <c r="C276" s="20" t="inlineStr">
        <is>
          <t>2012</t>
        </is>
      </c>
      <c r="D276" s="18" t="inlineStr">
        <is>
          <t>Blu-ray</t>
        </is>
      </c>
      <c r="E276" s="4" t="n"/>
      <c r="F276" s="19" t="n"/>
      <c r="G276" s="4" t="n"/>
      <c r="H276" s="4" t="n"/>
      <c r="I276" s="19" t="inlineStr">
        <is>
          <t>A dangerous CIA renegade resurfaces after a decade on the run. When the safe house he's remanded to is attacked by mercenaries, a rookie operative escapes with him. Now, the unlikely allies must stay alive long enough to uncover who wants them dead.</t>
        </is>
      </c>
      <c r="J276" s="19" t="inlineStr">
        <is>
          <t>Daniel Espinosa</t>
        </is>
      </c>
      <c r="K276" s="19" t="n">
        <v>115</v>
      </c>
      <c r="L276" s="19" t="inlineStr">
        <is>
          <t>Action, Thriller</t>
        </is>
      </c>
      <c r="M276" s="19" t="inlineStr">
        <is>
          <t>Universal Pictures, Relativity Media, Bluegrass Films</t>
        </is>
      </c>
      <c r="N276" s="19" t="inlineStr">
        <is>
          <t>https://huggingface.co/datasets/HenryWaltson/TMDB-IMDB-Movies-Dataset</t>
        </is>
      </c>
      <c r="O276" s="19" t="inlineStr">
        <is>
          <t>https://huggingface.co/datasets/HenryWaltson/TMDB-IMDB-Movies-Dataset</t>
        </is>
      </c>
      <c r="P276" s="18" t="inlineStr">
        <is>
          <t>Denzel Washington</t>
        </is>
      </c>
      <c r="Q276" s="18" t="inlineStr">
        <is>
          <t>Ryan Reynolds</t>
        </is>
      </c>
      <c r="R276" s="18" t="inlineStr">
        <is>
          <t>Vera Farmiga</t>
        </is>
      </c>
      <c r="S276" s="18" t="inlineStr">
        <is>
          <t>Brendan Gleeson</t>
        </is>
      </c>
      <c r="T276" s="18" t="inlineStr">
        <is>
          <t>Sam Shepard</t>
        </is>
      </c>
      <c r="U276" s="24" t="n">
        <v>0</v>
      </c>
      <c r="V276" s="24" t="n">
        <v>0</v>
      </c>
      <c r="W276" s="4" t="n"/>
      <c r="X276" s="25">
        <f t="array" ref="X276">IFERROR(INDEX(Ratings!$E$5:$E$500,MATCH(A276,Ratings!$A$5:$A$500,0)),"")</f>
        <v/>
      </c>
      <c r="Y276" s="24">
        <f t="array" ref="Y276">IFERROR(INDEX(Ratings!$G$5:$G$500,MATCH(A276,Ratings!$A$5:$A$500,0)),"")</f>
        <v/>
      </c>
      <c r="Z276" s="26">
        <f t="array" ref="Z276">IFERROR(INDEX(Ratings!$I$5:$I$500,MATCH(A276,Ratings!$A$5:$A$500,0)),"")</f>
        <v/>
      </c>
      <c r="AB276" s="18" t="inlineStr">
        <is>
          <t>15</t>
        </is>
      </c>
    </row>
    <row r="277" ht="15.75" customHeight="1" s="108">
      <c r="A277" s="18" t="inlineStr">
        <is>
          <t>F0273</t>
        </is>
      </c>
      <c r="B277" s="18" t="inlineStr">
        <is>
          <t>Salt</t>
        </is>
      </c>
      <c r="C277" s="20" t="inlineStr">
        <is>
          <t>2010</t>
        </is>
      </c>
      <c r="D277" s="18" t="inlineStr">
        <is>
          <t>Blu-ray</t>
        </is>
      </c>
      <c r="E277" s="4" t="n"/>
      <c r="F277" s="19" t="n"/>
      <c r="G277" s="4" t="n"/>
      <c r="H277" s="4" t="n"/>
      <c r="I277" s="19" t="inlineStr">
        <is>
          <t>As a CIA officer, Evelyn Salt swore an oath to duty, honor, and country. Her loyalty will be tested when a Russian defector accuses her of being a Russian sleeper spy. She goes on the run, using all her skills and years of experience as a covert operative to elude capture, protect her husband, and stay one step ahead of her colleagues at the CIA. Her efforts to prove her innocence only serve to cast doubt on her motives, as the hunt to uncover the truth behind her identity continues and the question remains: "Who is Salt?"</t>
        </is>
      </c>
      <c r="J277" s="19" t="inlineStr">
        <is>
          <t>Phillip Noyce</t>
        </is>
      </c>
      <c r="K277" s="19" t="n">
        <v>100</v>
      </c>
      <c r="L277" s="19" t="inlineStr">
        <is>
          <t>Action, Mystery, Thriller</t>
        </is>
      </c>
      <c r="M277" s="19" t="inlineStr">
        <is>
          <t>Wintergreen Productions, Columbia Pictures, Relativity Media</t>
        </is>
      </c>
      <c r="N277" s="19" t="inlineStr">
        <is>
          <t>https://huggingface.co/datasets/HenryWaltson/TMDB-IMDB-Movies-Dataset</t>
        </is>
      </c>
      <c r="O277" s="19" t="inlineStr">
        <is>
          <t>https://huggingface.co/datasets/HenryWaltson/TMDB-IMDB-Movies-Dataset</t>
        </is>
      </c>
      <c r="P277" s="18" t="inlineStr">
        <is>
          <t>Angelina Jolie</t>
        </is>
      </c>
      <c r="Q277" s="18" t="inlineStr">
        <is>
          <t>Liev Schreiber</t>
        </is>
      </c>
      <c r="R277" s="18" t="inlineStr">
        <is>
          <t>Chiwetel Ejiofor</t>
        </is>
      </c>
      <c r="S277" s="18" t="inlineStr">
        <is>
          <t>Daniel Olbrychski</t>
        </is>
      </c>
      <c r="T277" s="18" t="inlineStr">
        <is>
          <t>August Diehl</t>
        </is>
      </c>
      <c r="U277" s="24" t="n">
        <v>1</v>
      </c>
      <c r="V277" s="24" t="n">
        <v>0</v>
      </c>
      <c r="W277" s="4" t="n"/>
      <c r="X277" s="25">
        <f t="array" ref="X277">IFERROR(INDEX(Ratings!$E$5:$E$500,MATCH(A277,Ratings!$A$5:$A$500,0)),"")</f>
        <v/>
      </c>
      <c r="Y277" s="24">
        <f t="array" ref="Y277">IFERROR(INDEX(Ratings!$G$5:$G$500,MATCH(A277,Ratings!$A$5:$A$500,0)),"")</f>
        <v/>
      </c>
      <c r="Z277" s="26">
        <f t="array" ref="Z277">IFERROR(INDEX(Ratings!$I$5:$I$500,MATCH(A277,Ratings!$A$5:$A$500,0)),"")</f>
        <v/>
      </c>
      <c r="AB277" s="18" t="inlineStr">
        <is>
          <t>12A</t>
        </is>
      </c>
    </row>
    <row r="278" ht="15.75" customHeight="1" s="108">
      <c r="A278" s="18" t="inlineStr">
        <is>
          <t>F0274</t>
        </is>
      </c>
      <c r="B278" s="18" t="inlineStr">
        <is>
          <t>The Secret Life of Pets</t>
        </is>
      </c>
      <c r="C278" s="20" t="inlineStr">
        <is>
          <t>2016</t>
        </is>
      </c>
      <c r="D278" s="18" t="inlineStr">
        <is>
          <t>Blu-ray</t>
        </is>
      </c>
      <c r="E278" s="4" t="n"/>
      <c r="F278" s="19" t="n"/>
      <c r="G278" s="4" t="n"/>
      <c r="H278" s="4" t="n"/>
      <c r="I278" s="19" t="inlineStr">
        <is>
          <t>The quiet life of a terrier named Max is upended when his owner takes in Duke, a stray whom Max instantly dislikes.</t>
        </is>
      </c>
      <c r="J278" s="19" t="inlineStr">
        <is>
          <t>Chris Renaud</t>
        </is>
      </c>
      <c r="K278" s="19" t="n">
        <v>86</v>
      </c>
      <c r="L278" s="19" t="inlineStr">
        <is>
          <t>Adventure, Comedy, Animation, Family</t>
        </is>
      </c>
      <c r="M278" s="19" t="inlineStr">
        <is>
          <t>Illumination, Universal Pictures</t>
        </is>
      </c>
      <c r="N278" s="19" t="inlineStr">
        <is>
          <t>https://huggingface.co/datasets/HenryWaltson/TMDB-IMDB-Movies-Dataset</t>
        </is>
      </c>
      <c r="O278" s="19" t="inlineStr">
        <is>
          <t>https://huggingface.co/datasets/HenryWaltson/TMDB-IMDB-Movies-Dataset</t>
        </is>
      </c>
      <c r="P278" s="18" t="inlineStr">
        <is>
          <t>Louis C.K.</t>
        </is>
      </c>
      <c r="Q278" s="18" t="inlineStr">
        <is>
          <t>Eric Stonestreet</t>
        </is>
      </c>
      <c r="R278" s="18" t="inlineStr">
        <is>
          <t>Kevin Hart</t>
        </is>
      </c>
      <c r="S278" s="18" t="inlineStr">
        <is>
          <t>Jenny Slate</t>
        </is>
      </c>
      <c r="T278" s="18" t="inlineStr">
        <is>
          <t>Ellie Kemper</t>
        </is>
      </c>
      <c r="U278" s="24" t="n">
        <v>0</v>
      </c>
      <c r="V278" s="24" t="n">
        <v>0</v>
      </c>
      <c r="W278" s="4" t="n"/>
      <c r="X278" s="25">
        <f t="array" ref="X278">IFERROR(INDEX(Ratings!$E$5:$E$500,MATCH(A278,Ratings!$A$5:$A$500,0)),"")</f>
        <v/>
      </c>
      <c r="Y278" s="24">
        <f t="array" ref="Y278">IFERROR(INDEX(Ratings!$G$5:$G$500,MATCH(A278,Ratings!$A$5:$A$500,0)),"")</f>
        <v/>
      </c>
      <c r="Z278" s="26">
        <f t="array" ref="Z278">IFERROR(INDEX(Ratings!$I$5:$I$500,MATCH(A278,Ratings!$A$5:$A$500,0)),"")</f>
        <v/>
      </c>
      <c r="AB278" s="18" t="inlineStr">
        <is>
          <t>U</t>
        </is>
      </c>
    </row>
    <row r="279" ht="15.75" customHeight="1" s="108">
      <c r="A279" s="18" t="inlineStr">
        <is>
          <t>F0275</t>
        </is>
      </c>
      <c r="B279" s="18" t="inlineStr">
        <is>
          <t>Senna</t>
        </is>
      </c>
      <c r="C279" s="20" t="inlineStr">
        <is>
          <t>2010</t>
        </is>
      </c>
      <c r="D279" s="18" t="inlineStr">
        <is>
          <t>Blu-ray</t>
        </is>
      </c>
      <c r="E279" s="4" t="n"/>
      <c r="F279" s="19" t="n"/>
      <c r="G279" s="4" t="n"/>
      <c r="H279" s="4" t="n"/>
      <c r="I279" s="19" t="inlineStr">
        <is>
          <t>The remarkable story of Brazilian racing driver Ayrton Senna, charting his physical and spiritual achievements on the track and off, his quest for perfection, and the mythical status he has since attained, is the subject of Senna, a documentary feature that spans the racing legend's years as an F1 driver, from his opening season in 1984 to his untimely death a decade later.</t>
        </is>
      </c>
      <c r="J279" s="19" t="inlineStr">
        <is>
          <t>Asif Kapadia</t>
        </is>
      </c>
      <c r="K279" s="19" t="n">
        <v>106</v>
      </c>
      <c r="L279" s="19" t="inlineStr">
        <is>
          <t>Documentary, History</t>
        </is>
      </c>
      <c r="M279" s="19" t="inlineStr">
        <is>
          <t>Universal Pictures, StudioCanal, Working Title Films</t>
        </is>
      </c>
      <c r="N279" s="19" t="inlineStr">
        <is>
          <t>https://huggingface.co/datasets/HenryWaltson/TMDB-IMDB-Movies-Dataset</t>
        </is>
      </c>
      <c r="O279" s="19" t="inlineStr">
        <is>
          <t>https://huggingface.co/datasets/HenryWaltson/TMDB-IMDB-Movies-Dataset</t>
        </is>
      </c>
      <c r="P279" s="18" t="inlineStr">
        <is>
          <t>Ayrton Senna</t>
        </is>
      </c>
      <c r="Q279" s="18" t="inlineStr">
        <is>
          <t>Alain Prost</t>
        </is>
      </c>
      <c r="R279" s="18" t="inlineStr">
        <is>
          <t>Frank Williams</t>
        </is>
      </c>
      <c r="S279" s="18" t="inlineStr">
        <is>
          <t>Ron Dennis</t>
        </is>
      </c>
      <c r="T279" s="18" t="inlineStr">
        <is>
          <t>Viviane Senna</t>
        </is>
      </c>
      <c r="U279" s="24" t="n">
        <v>0</v>
      </c>
      <c r="V279" s="24" t="n">
        <v>0</v>
      </c>
      <c r="W279" s="4" t="n"/>
      <c r="X279" s="25">
        <f t="array" ref="X279">IFERROR(INDEX(Ratings!$E$5:$E$500,MATCH(A279,Ratings!$A$5:$A$500,0)),"")</f>
        <v/>
      </c>
      <c r="Y279" s="24">
        <f t="array" ref="Y279">IFERROR(INDEX(Ratings!$G$5:$G$500,MATCH(A279,Ratings!$A$5:$A$500,0)),"")</f>
        <v/>
      </c>
      <c r="Z279" s="26">
        <f t="array" ref="Z279">IFERROR(INDEX(Ratings!$I$5:$I$500,MATCH(A279,Ratings!$A$5:$A$500,0)),"")</f>
        <v/>
      </c>
      <c r="AB279" s="18" t="inlineStr">
        <is>
          <t>12</t>
        </is>
      </c>
    </row>
    <row r="280" ht="15.75" customHeight="1" s="108">
      <c r="A280" s="18" t="inlineStr">
        <is>
          <t>F0276</t>
        </is>
      </c>
      <c r="B280" s="18" t="inlineStr">
        <is>
          <t>Se7en</t>
        </is>
      </c>
      <c r="C280" s="20" t="inlineStr">
        <is>
          <t>1995</t>
        </is>
      </c>
      <c r="D280" s="18" t="inlineStr">
        <is>
          <t>Blu-ray</t>
        </is>
      </c>
      <c r="E280" s="4" t="n"/>
      <c r="F280" s="19" t="n"/>
      <c r="G280" s="4" t="n"/>
      <c r="H280" s="4" t="n"/>
      <c r="I280" s="19" t="inlineStr">
        <is>
          <t>Two homicide detectives are on a desperate hunt for a serial killer whose crimes are based on the "seven deadly sins" in this dark and haunting film that takes viewers from the tortured remains of one victim to the next. The seasoned Det. Somerset researches each sin in an effort to get inside the killer's mind, while his novice partner, Mills, scoffs at his efforts to unravel the case.</t>
        </is>
      </c>
      <c r="J280" s="19" t="inlineStr">
        <is>
          <t>David Fincher</t>
        </is>
      </c>
      <c r="K280" s="19" t="n">
        <v>127</v>
      </c>
      <c r="L280" s="19" t="inlineStr">
        <is>
          <t>Crime, Mystery, Thriller</t>
        </is>
      </c>
      <c r="M280" s="19" t="inlineStr">
        <is>
          <t>New Line Cinema, Juno Pix, Cecchi Gori Pictures</t>
        </is>
      </c>
      <c r="N280" s="19" t="inlineStr">
        <is>
          <t>https://huggingface.co/datasets/HenryWaltson/TMDB-IMDB-Movies-Dataset</t>
        </is>
      </c>
      <c r="O280" s="19" t="inlineStr">
        <is>
          <t>https://huggingface.co/datasets/HenryWaltson/TMDB-IMDB-Movies-Dataset</t>
        </is>
      </c>
      <c r="P280" s="18" t="inlineStr">
        <is>
          <t>Morgan Freeman</t>
        </is>
      </c>
      <c r="Q280" s="18" t="inlineStr">
        <is>
          <t>Brad Pitt</t>
        </is>
      </c>
      <c r="R280" s="18" t="inlineStr">
        <is>
          <t>Gwyneth Paltrow</t>
        </is>
      </c>
      <c r="S280" s="18" t="inlineStr">
        <is>
          <t>John Cassini</t>
        </is>
      </c>
      <c r="T280" s="18" t="inlineStr">
        <is>
          <t>Peter Crombie</t>
        </is>
      </c>
      <c r="U280" s="24" t="n">
        <v>1</v>
      </c>
      <c r="V280" s="24" t="n">
        <v>0</v>
      </c>
      <c r="W280" s="4" t="n"/>
      <c r="X280" s="25">
        <f t="array" ref="X280">IFERROR(INDEX(Ratings!$E$5:$E$500,MATCH(A280,Ratings!$A$5:$A$500,0)),"")</f>
        <v/>
      </c>
      <c r="Y280" s="24">
        <f t="array" ref="Y280">IFERROR(INDEX(Ratings!$G$5:$G$500,MATCH(A280,Ratings!$A$5:$A$500,0)),"")</f>
        <v/>
      </c>
      <c r="Z280" s="26">
        <f t="array" ref="Z280">IFERROR(INDEX(Ratings!$I$5:$I$500,MATCH(A280,Ratings!$A$5:$A$500,0)),"")</f>
        <v/>
      </c>
      <c r="AB280" s="18" t="inlineStr">
        <is>
          <t>18</t>
        </is>
      </c>
    </row>
    <row r="281" ht="15.75" customHeight="1" s="108">
      <c r="A281" s="18" t="inlineStr">
        <is>
          <t>F0277</t>
        </is>
      </c>
      <c r="B281" s="18" t="inlineStr">
        <is>
          <t>Sex &amp; Drugs &amp; Rock &amp; Roll</t>
        </is>
      </c>
      <c r="C281" s="20" t="inlineStr">
        <is>
          <t>2010</t>
        </is>
      </c>
      <c r="D281" s="18" t="inlineStr">
        <is>
          <t>Blu-ray</t>
        </is>
      </c>
      <c r="E281" s="4" t="n"/>
      <c r="F281" s="19" t="n"/>
      <c r="G281" s="4" t="n"/>
      <c r="H281" s="4" t="n"/>
      <c r="I281" s="19" t="inlineStr">
        <is>
          <t>A biography of Ian Dury, who was stricken with polio at a young age and defied expectations by becoming one of the founders of the punk-rock scene in Britain in the 1970s.</t>
        </is>
      </c>
      <c r="J281" s="19" t="inlineStr">
        <is>
          <t>Mat Whitecross</t>
        </is>
      </c>
      <c r="K281" s="19" t="n">
        <v>115</v>
      </c>
      <c r="L281" s="19" t="inlineStr">
        <is>
          <t>Drama, Music</t>
        </is>
      </c>
      <c r="M281" s="19" t="inlineStr">
        <is>
          <t>Prescience Film Fund, UK Film Council</t>
        </is>
      </c>
      <c r="N281" s="19" t="inlineStr">
        <is>
          <t>https://huggingface.co/datasets/HenryWaltson/TMDB-IMDB-Movies-Dataset</t>
        </is>
      </c>
      <c r="O281" s="19" t="inlineStr">
        <is>
          <t>https://huggingface.co/datasets/HenryWaltson/TMDB-IMDB-Movies-Dataset</t>
        </is>
      </c>
      <c r="P281" s="18" t="inlineStr">
        <is>
          <t>Andy Serkis</t>
        </is>
      </c>
      <c r="Q281" s="18" t="inlineStr">
        <is>
          <t>Tom Hughes</t>
        </is>
      </c>
      <c r="R281" s="18" t="inlineStr">
        <is>
          <t>Olivia Williams</t>
        </is>
      </c>
      <c r="S281" s="18" t="inlineStr">
        <is>
          <t>Naomie Harris</t>
        </is>
      </c>
      <c r="T281" s="18" t="inlineStr">
        <is>
          <t>Bill Milner</t>
        </is>
      </c>
      <c r="U281" s="24" t="n">
        <v>0</v>
      </c>
      <c r="V281" s="24" t="n">
        <v>0</v>
      </c>
      <c r="W281" s="4" t="n"/>
      <c r="X281" s="25">
        <f t="array" ref="X281">IFERROR(INDEX(Ratings!$E$5:$E$500,MATCH(A281,Ratings!$A$5:$A$500,0)),"")</f>
        <v/>
      </c>
      <c r="Y281" s="24">
        <f t="array" ref="Y281">IFERROR(INDEX(Ratings!$G$5:$G$500,MATCH(A281,Ratings!$A$5:$A$500,0)),"")</f>
        <v/>
      </c>
      <c r="Z281" s="26">
        <f t="array" ref="Z281">IFERROR(INDEX(Ratings!$I$5:$I$500,MATCH(A281,Ratings!$A$5:$A$500,0)),"")</f>
        <v/>
      </c>
      <c r="AB281" s="18" t="inlineStr">
        <is>
          <t>15</t>
        </is>
      </c>
    </row>
    <row r="282" ht="15.75" customHeight="1" s="108">
      <c r="A282" s="18" t="inlineStr">
        <is>
          <t>F0278</t>
        </is>
      </c>
      <c r="B282" s="18" t="inlineStr">
        <is>
          <t>Sherlock Holmes</t>
        </is>
      </c>
      <c r="C282" s="20" t="inlineStr">
        <is>
          <t>2009</t>
        </is>
      </c>
      <c r="D282" s="18" t="inlineStr">
        <is>
          <t>Blu-ray</t>
        </is>
      </c>
      <c r="E282" s="18" t="inlineStr">
        <is>
          <t>Sherlock Holmes</t>
        </is>
      </c>
      <c r="F282" s="19" t="n"/>
      <c r="G282" s="4" t="n"/>
      <c r="H282" s="4" t="n"/>
      <c r="I282" s="19" t="inlineStr">
        <is>
          <t>Eccentric consulting detective Sherlock Holmes and Doctor John Watson battle to bring down a new nemesis and unravel a deadly plot that could destroy England.</t>
        </is>
      </c>
      <c r="J282" s="19" t="inlineStr">
        <is>
          <t>Guy Ritchie</t>
        </is>
      </c>
      <c r="K282" s="19" t="n">
        <v>129</v>
      </c>
      <c r="L282" s="19" t="inlineStr">
        <is>
          <t>Action, Adventure, Crime, Mystery</t>
        </is>
      </c>
      <c r="M282" s="19" t="inlineStr">
        <is>
          <t>Warner Bros. Pictures, Village Roadshow Pictures, Silver Pictures</t>
        </is>
      </c>
      <c r="N282" s="19" t="inlineStr">
        <is>
          <t>https://huggingface.co/datasets/HenryWaltson/TMDB-IMDB-Movies-Dataset</t>
        </is>
      </c>
      <c r="O282" s="19" t="inlineStr">
        <is>
          <t>https://huggingface.co/datasets/HenryWaltson/TMDB-IMDB-Movies-Dataset</t>
        </is>
      </c>
      <c r="P282" s="18" t="inlineStr">
        <is>
          <t>Robert Downey Jr.</t>
        </is>
      </c>
      <c r="Q282" s="18" t="inlineStr">
        <is>
          <t>Jude Law</t>
        </is>
      </c>
      <c r="R282" s="18" t="inlineStr">
        <is>
          <t>Rachel McAdams</t>
        </is>
      </c>
      <c r="S282" s="18" t="inlineStr">
        <is>
          <t>Mark Strong</t>
        </is>
      </c>
      <c r="T282" s="18" t="inlineStr">
        <is>
          <t>Eddie Marsan</t>
        </is>
      </c>
      <c r="U282" s="24" t="n">
        <v>2</v>
      </c>
      <c r="V282" s="24" t="n">
        <v>0</v>
      </c>
      <c r="W282" s="4" t="n"/>
      <c r="X282" s="25">
        <f t="array" ref="X282">IFERROR(INDEX(Ratings!$E$5:$E$500,MATCH(A282,Ratings!$A$5:$A$500,0)),"")</f>
        <v/>
      </c>
      <c r="Y282" s="24">
        <f t="array" ref="Y282">IFERROR(INDEX(Ratings!$G$5:$G$500,MATCH(A282,Ratings!$A$5:$A$500,0)),"")</f>
        <v/>
      </c>
      <c r="Z282" s="26">
        <f t="array" ref="Z282">IFERROR(INDEX(Ratings!$I$5:$I$500,MATCH(A282,Ratings!$A$5:$A$500,0)),"")</f>
        <v/>
      </c>
      <c r="AB282" s="18" t="inlineStr">
        <is>
          <t>12A</t>
        </is>
      </c>
    </row>
    <row r="283" ht="15.75" customHeight="1" s="108">
      <c r="A283" s="18" t="inlineStr">
        <is>
          <t>F0279</t>
        </is>
      </c>
      <c r="B283" s="18" t="inlineStr">
        <is>
          <t>Sherlock Holmes: A Game of Shadows</t>
        </is>
      </c>
      <c r="C283" s="20" t="inlineStr">
        <is>
          <t>2011</t>
        </is>
      </c>
      <c r="D283" s="18" t="inlineStr">
        <is>
          <t>Blu-ray</t>
        </is>
      </c>
      <c r="E283" s="18" t="inlineStr">
        <is>
          <t>Sherlock Holmes</t>
        </is>
      </c>
      <c r="F283" s="19" t="n"/>
      <c r="G283" s="4" t="n"/>
      <c r="H283" s="4" t="n"/>
      <c r="I283" s="19" t="inlineStr">
        <is>
          <t>There is a new criminal mastermind at large (Professor Moriarty) and not only is he Holmes’ intellectual equal, but his capacity for evil and lack of conscience may give him an advantage over the detective.</t>
        </is>
      </c>
      <c r="J283" s="19" t="inlineStr">
        <is>
          <t>Guy Ritchie</t>
        </is>
      </c>
      <c r="K283" s="19" t="n">
        <v>129</v>
      </c>
      <c r="L283" s="19" t="inlineStr">
        <is>
          <t>Adventure, Action, Crime</t>
        </is>
      </c>
      <c r="M283" s="19" t="inlineStr">
        <is>
          <t>Warner Bros. Pictures, Village Roadshow Pictures, Silver Pictures</t>
        </is>
      </c>
      <c r="N283" s="19" t="inlineStr">
        <is>
          <t>https://huggingface.co/datasets/HenryWaltson/TMDB-IMDB-Movies-Dataset</t>
        </is>
      </c>
      <c r="O283" s="19" t="inlineStr">
        <is>
          <t>https://huggingface.co/datasets/HenryWaltson/TMDB-IMDB-Movies-Dataset</t>
        </is>
      </c>
      <c r="P283" s="18" t="inlineStr">
        <is>
          <t>Robert Downey Jr.</t>
        </is>
      </c>
      <c r="Q283" s="18" t="inlineStr">
        <is>
          <t>Jude Law</t>
        </is>
      </c>
      <c r="R283" s="18" t="inlineStr">
        <is>
          <t>Noomi Rapace</t>
        </is>
      </c>
      <c r="S283" s="18" t="inlineStr">
        <is>
          <t>Jared Harris</t>
        </is>
      </c>
      <c r="T283" s="18" t="inlineStr">
        <is>
          <t>Rachel McAdams</t>
        </is>
      </c>
      <c r="U283" s="24" t="n">
        <v>0</v>
      </c>
      <c r="V283" s="24" t="n">
        <v>0</v>
      </c>
      <c r="W283" s="4" t="n"/>
      <c r="X283" s="25">
        <f t="array" ref="X283">IFERROR(INDEX(Ratings!$E$5:$E$500,MATCH(A283,Ratings!$A$5:$A$500,0)),"")</f>
        <v/>
      </c>
      <c r="Y283" s="24">
        <f t="array" ref="Y283">IFERROR(INDEX(Ratings!$G$5:$G$500,MATCH(A283,Ratings!$A$5:$A$500,0)),"")</f>
        <v/>
      </c>
      <c r="Z283" s="26">
        <f t="array" ref="Z283">IFERROR(INDEX(Ratings!$I$5:$I$500,MATCH(A283,Ratings!$A$5:$A$500,0)),"")</f>
        <v/>
      </c>
      <c r="AB283" s="18" t="inlineStr">
        <is>
          <t>12A</t>
        </is>
      </c>
    </row>
    <row r="284" ht="15.75" customHeight="1" s="108">
      <c r="A284" s="18" t="inlineStr">
        <is>
          <t>F0280</t>
        </is>
      </c>
      <c r="B284" s="18" t="inlineStr">
        <is>
          <t>Sing</t>
        </is>
      </c>
      <c r="C284" s="20" t="inlineStr">
        <is>
          <t>2016</t>
        </is>
      </c>
      <c r="D284" s="18" t="inlineStr">
        <is>
          <t>Blu-ray</t>
        </is>
      </c>
      <c r="E284" s="4" t="n"/>
      <c r="F284" s="19" t="n"/>
      <c r="G284" s="4" t="n"/>
      <c r="H284" s="4" t="n"/>
      <c r="I284" s="19" t="inlineStr">
        <is>
          <t>A koala named Buster recruits his best friend to help him drum up business for his theater by hosting a singing competition.</t>
        </is>
      </c>
      <c r="J284" s="19" t="inlineStr">
        <is>
          <t>Garth Jennings, Christophe Lourdelet</t>
        </is>
      </c>
      <c r="K284" s="19" t="n">
        <v>108</v>
      </c>
      <c r="L284" s="19" t="inlineStr">
        <is>
          <t>Animation, Comedy, Family, Music</t>
        </is>
      </c>
      <c r="M284" s="19" t="inlineStr">
        <is>
          <t>Illumination, Universal Pictures, Fuji Television Network</t>
        </is>
      </c>
      <c r="N284" s="19" t="inlineStr">
        <is>
          <t>https://huggingface.co/datasets/HenryWaltson/TMDB-IMDB-Movies-Dataset</t>
        </is>
      </c>
      <c r="O284" s="19" t="inlineStr">
        <is>
          <t>https://huggingface.co/datasets/HenryWaltson/TMDB-IMDB-Movies-Dataset</t>
        </is>
      </c>
      <c r="P284" s="18" t="inlineStr">
        <is>
          <t>Matthew McConaughey</t>
        </is>
      </c>
      <c r="Q284" s="18" t="inlineStr">
        <is>
          <t>Reese Witherspoon</t>
        </is>
      </c>
      <c r="R284" s="18" t="inlineStr">
        <is>
          <t>Seth MacFarlane</t>
        </is>
      </c>
      <c r="S284" s="18" t="inlineStr">
        <is>
          <t>Scarlett Johansson</t>
        </is>
      </c>
      <c r="T284" s="18" t="inlineStr">
        <is>
          <t>John C. Reilly</t>
        </is>
      </c>
      <c r="U284" s="24" t="n">
        <v>1</v>
      </c>
      <c r="V284" s="24" t="n">
        <v>1</v>
      </c>
      <c r="W284" s="4" t="n"/>
      <c r="X284" s="25">
        <f t="array" ref="X284">IFERROR(INDEX(Ratings!$E$5:$E$500,MATCH(A284,Ratings!$A$5:$A$500,0)),"")</f>
        <v/>
      </c>
      <c r="Y284" s="24">
        <f t="array" ref="Y284">IFERROR(INDEX(Ratings!$G$5:$G$500,MATCH(A284,Ratings!$A$5:$A$500,0)),"")</f>
        <v/>
      </c>
      <c r="Z284" s="26">
        <f t="array" ref="Z284">IFERROR(INDEX(Ratings!$I$5:$I$500,MATCH(A284,Ratings!$A$5:$A$500,0)),"")</f>
        <v/>
      </c>
      <c r="AB284" s="18" t="inlineStr">
        <is>
          <t>U</t>
        </is>
      </c>
    </row>
    <row r="285" ht="15.75" customHeight="1" s="108">
      <c r="A285" s="18" t="inlineStr">
        <is>
          <t>F0281</t>
        </is>
      </c>
      <c r="B285" s="18" t="inlineStr">
        <is>
          <t>Slumdog Millionaire</t>
        </is>
      </c>
      <c r="C285" s="20" t="inlineStr">
        <is>
          <t>2008</t>
        </is>
      </c>
      <c r="D285" s="18" t="inlineStr">
        <is>
          <t>Blu-ray</t>
        </is>
      </c>
      <c r="E285" s="4" t="n"/>
      <c r="F285" s="19" t="n"/>
      <c r="G285" s="4" t="n"/>
      <c r="H285" s="4" t="n"/>
      <c r="I285" s="19" t="inlineStr">
        <is>
          <t>A teenager reflects on his life after being accused of cheating on the Indian version of "Who Wants to be a Millionaire?".</t>
        </is>
      </c>
      <c r="J285" s="19" t="inlineStr">
        <is>
          <t>Danny Boyle, Loveleen Tandan</t>
        </is>
      </c>
      <c r="K285" s="19" t="n">
        <v>120</v>
      </c>
      <c r="L285" s="19" t="inlineStr">
        <is>
          <t>Drama, Romance</t>
        </is>
      </c>
      <c r="M285" s="19" t="inlineStr">
        <is>
          <t>Celador Films, Film4 Productions</t>
        </is>
      </c>
      <c r="N285" s="19" t="inlineStr">
        <is>
          <t>https://huggingface.co/datasets/HenryWaltson/TMDB-IMDB-Movies-Dataset</t>
        </is>
      </c>
      <c r="O285" s="19" t="inlineStr">
        <is>
          <t>https://huggingface.co/datasets/HenryWaltson/TMDB-IMDB-Movies-Dataset</t>
        </is>
      </c>
      <c r="P285" s="18" t="inlineStr">
        <is>
          <t>Dev Patel</t>
        </is>
      </c>
      <c r="Q285" s="18" t="inlineStr">
        <is>
          <t>Freida Pinto</t>
        </is>
      </c>
      <c r="R285" s="18" t="inlineStr">
        <is>
          <t>Madhur Mittal</t>
        </is>
      </c>
      <c r="S285" s="18" t="inlineStr">
        <is>
          <t>Anil Kapoor</t>
        </is>
      </c>
      <c r="T285" s="18" t="inlineStr">
        <is>
          <t>Mahesh Manjrekar</t>
        </is>
      </c>
      <c r="U285" s="24" t="n">
        <v>10</v>
      </c>
      <c r="V285" s="24" t="n">
        <v>8</v>
      </c>
      <c r="W285" s="18" t="inlineStr">
        <is>
          <t>Winner</t>
        </is>
      </c>
      <c r="X285" s="25">
        <f t="array" ref="X285">IFERROR(INDEX(Ratings!$E$5:$E$500,MATCH(A285,Ratings!$A$5:$A$500,0)),"")</f>
        <v/>
      </c>
      <c r="Y285" s="24">
        <f t="array" ref="Y285">IFERROR(INDEX(Ratings!$G$5:$G$500,MATCH(A285,Ratings!$A$5:$A$500,0)),"")</f>
        <v/>
      </c>
      <c r="Z285" s="26">
        <f t="array" ref="Z285">IFERROR(INDEX(Ratings!$I$5:$I$500,MATCH(A285,Ratings!$A$5:$A$500,0)),"")</f>
        <v/>
      </c>
      <c r="AB285" s="18" t="inlineStr">
        <is>
          <t>15</t>
        </is>
      </c>
    </row>
    <row r="286" ht="15.75" customHeight="1" s="108">
      <c r="A286" s="18" t="inlineStr">
        <is>
          <t>F0282</t>
        </is>
      </c>
      <c r="B286" s="18" t="inlineStr">
        <is>
          <t>The Smurfs 2</t>
        </is>
      </c>
      <c r="C286" s="20" t="inlineStr">
        <is>
          <t>2013</t>
        </is>
      </c>
      <c r="D286" s="18" t="inlineStr">
        <is>
          <t>Blu-ray</t>
        </is>
      </c>
      <c r="E286" s="4" t="n"/>
      <c r="F286" s="19" t="n"/>
      <c r="G286" s="4" t="n"/>
      <c r="H286" s="4" t="n"/>
      <c r="I286" s="19" t="inlineStr">
        <is>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is>
      </c>
      <c r="J286" s="19" t="inlineStr">
        <is>
          <t>Raja Gosnell</t>
        </is>
      </c>
      <c r="K286" s="19" t="n">
        <v>105</v>
      </c>
      <c r="L286" s="19" t="inlineStr">
        <is>
          <t>Fantasy, Family, Comedy, Animation</t>
        </is>
      </c>
      <c r="M286" s="19" t="inlineStr">
        <is>
          <t>NeoReel, Columbia Pictures, Sony Pictures Animation</t>
        </is>
      </c>
      <c r="N286" s="19" t="inlineStr">
        <is>
          <t>https://huggingface.co/datasets/HenryWaltson/TMDB-IMDB-Movies-Dataset</t>
        </is>
      </c>
      <c r="O286" s="19" t="inlineStr">
        <is>
          <t>https://huggingface.co/datasets/HenryWaltson/TMDB-IMDB-Movies-Dataset</t>
        </is>
      </c>
      <c r="P286" s="18" t="inlineStr">
        <is>
          <t>Hank Azaria</t>
        </is>
      </c>
      <c r="Q286" s="18" t="inlineStr">
        <is>
          <t>Neil Patrick Harris</t>
        </is>
      </c>
      <c r="R286" s="18" t="inlineStr">
        <is>
          <t>Jayma Mays</t>
        </is>
      </c>
      <c r="S286" s="18" t="inlineStr">
        <is>
          <t>Brendan Gleeson</t>
        </is>
      </c>
      <c r="T286" s="18" t="inlineStr">
        <is>
          <t>Katy Perry</t>
        </is>
      </c>
      <c r="U286" s="24" t="n">
        <v>0</v>
      </c>
      <c r="V286" s="24" t="n">
        <v>0</v>
      </c>
      <c r="W286" s="4" t="n"/>
      <c r="X286" s="25">
        <f t="array" ref="X286">IFERROR(INDEX(Ratings!$E$5:$E$500,MATCH(A286,Ratings!$A$5:$A$500,0)),"")</f>
        <v/>
      </c>
      <c r="Y286" s="24">
        <f t="array" ref="Y286">IFERROR(INDEX(Ratings!$G$5:$G$500,MATCH(A286,Ratings!$A$5:$A$500,0)),"")</f>
        <v/>
      </c>
      <c r="Z286" s="26">
        <f t="array" ref="Z286">IFERROR(INDEX(Ratings!$I$5:$I$500,MATCH(A286,Ratings!$A$5:$A$500,0)),"")</f>
        <v/>
      </c>
      <c r="AB286" s="18" t="inlineStr">
        <is>
          <t>U</t>
        </is>
      </c>
    </row>
    <row r="287" ht="15.75" customHeight="1" s="108">
      <c r="A287" s="18" t="inlineStr">
        <is>
          <t>F0283</t>
        </is>
      </c>
      <c r="B287" s="18" t="inlineStr">
        <is>
          <t>Snowpiercer</t>
        </is>
      </c>
      <c r="C287" s="20" t="inlineStr">
        <is>
          <t>2013</t>
        </is>
      </c>
      <c r="D287" s="18" t="inlineStr">
        <is>
          <t>Blu-ray</t>
        </is>
      </c>
      <c r="E287" s="4" t="n"/>
      <c r="F287" s="19" t="n"/>
      <c r="G287" s="4" t="n"/>
      <c r="H287" s="4" t="n"/>
      <c r="I287" s="19" t="inlineStr">
        <is>
          <t>In a future where a failed global-warming experiment kills off most life on the planet, a class system evolves aboard the Snowpiercer; a train that travels around the globe via a perpetual-motion engine.</t>
        </is>
      </c>
      <c r="J287" s="19" t="inlineStr">
        <is>
          <t>Bong Joon Ho</t>
        </is>
      </c>
      <c r="K287" s="19" t="n">
        <v>127</v>
      </c>
      <c r="L287" s="19" t="inlineStr">
        <is>
          <t>Action, Science Fiction, Drama</t>
        </is>
      </c>
      <c r="M287" s="19" t="inlineStr">
        <is>
          <t>CJ Entertainment, Opus Pictures, Stillking Films</t>
        </is>
      </c>
      <c r="N287" s="19" t="inlineStr">
        <is>
          <t>https://huggingface.co/datasets/HenryWaltson/TMDB-IMDB-Movies-Dataset</t>
        </is>
      </c>
      <c r="O287" s="19" t="inlineStr">
        <is>
          <t>https://huggingface.co/datasets/HenryWaltson/TMDB-IMDB-Movies-Dataset</t>
        </is>
      </c>
      <c r="P287" s="18" t="inlineStr">
        <is>
          <t>Chris Evans</t>
        </is>
      </c>
      <c r="Q287" s="18" t="inlineStr">
        <is>
          <t>Song Kang-ho</t>
        </is>
      </c>
      <c r="R287" s="18" t="inlineStr">
        <is>
          <t>John Hurt</t>
        </is>
      </c>
      <c r="S287" s="18" t="inlineStr">
        <is>
          <t>Tilda Swinton</t>
        </is>
      </c>
      <c r="T287" s="18" t="inlineStr">
        <is>
          <t>Jamie Bell</t>
        </is>
      </c>
      <c r="U287" s="24" t="n">
        <v>0</v>
      </c>
      <c r="V287" s="24" t="n">
        <v>0</v>
      </c>
      <c r="W287" s="4" t="n"/>
      <c r="X287" s="25">
        <f t="array" ref="X287">IFERROR(INDEX(Ratings!$E$5:$E$500,MATCH(A287,Ratings!$A$5:$A$500,0)),"")</f>
        <v/>
      </c>
      <c r="Y287" s="24">
        <f t="array" ref="Y287">IFERROR(INDEX(Ratings!$G$5:$G$500,MATCH(A287,Ratings!$A$5:$A$500,0)),"")</f>
        <v/>
      </c>
      <c r="Z287" s="26">
        <f t="array" ref="Z287">IFERROR(INDEX(Ratings!$I$5:$I$500,MATCH(A287,Ratings!$A$5:$A$500,0)),"")</f>
        <v/>
      </c>
      <c r="AB287" s="18" t="inlineStr">
        <is>
          <t>15</t>
        </is>
      </c>
    </row>
    <row r="288" ht="15.75" customHeight="1" s="108">
      <c r="A288" s="18" t="inlineStr">
        <is>
          <t>F0284</t>
        </is>
      </c>
      <c r="B288" s="18" t="inlineStr">
        <is>
          <t>Snow White and the Huntsman</t>
        </is>
      </c>
      <c r="C288" s="20" t="inlineStr">
        <is>
          <t>2012</t>
        </is>
      </c>
      <c r="D288" s="18" t="inlineStr">
        <is>
          <t>Blu-ray</t>
        </is>
      </c>
      <c r="E288" s="4" t="n"/>
      <c r="F288" s="19" t="n"/>
      <c r="G288" s="4" t="n"/>
      <c r="H288" s="4" t="n"/>
      <c r="I288" s="19" t="inlineStr">
        <is>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is>
      </c>
      <c r="J288" s="19" t="inlineStr">
        <is>
          <t>Rupert Sanders</t>
        </is>
      </c>
      <c r="K288" s="19" t="n">
        <v>127</v>
      </c>
      <c r="L288" s="19" t="inlineStr">
        <is>
          <t>Adventure, Fantasy, Drama</t>
        </is>
      </c>
      <c r="M288" s="19" t="inlineStr">
        <is>
          <t>Universal Pictures, Roth Films</t>
        </is>
      </c>
      <c r="N288" s="19" t="inlineStr">
        <is>
          <t>https://huggingface.co/datasets/HenryWaltson/TMDB-IMDB-Movies-Dataset</t>
        </is>
      </c>
      <c r="O288" s="19" t="inlineStr">
        <is>
          <t>https://huggingface.co/datasets/HenryWaltson/TMDB-IMDB-Movies-Dataset</t>
        </is>
      </c>
      <c r="P288" s="18" t="inlineStr">
        <is>
          <t>Kristen Stewart</t>
        </is>
      </c>
      <c r="Q288" s="18" t="inlineStr">
        <is>
          <t>Chris Hemsworth</t>
        </is>
      </c>
      <c r="R288" s="18" t="inlineStr">
        <is>
          <t>Charlize Theron</t>
        </is>
      </c>
      <c r="S288" s="18" t="inlineStr">
        <is>
          <t>Sam Claflin</t>
        </is>
      </c>
      <c r="T288" s="18" t="inlineStr">
        <is>
          <t>Ian McShane</t>
        </is>
      </c>
      <c r="U288" s="24" t="n">
        <v>2</v>
      </c>
      <c r="V288" s="24" t="n">
        <v>0</v>
      </c>
      <c r="W288" s="4" t="n"/>
      <c r="X288" s="25">
        <f t="array" ref="X288">IFERROR(INDEX(Ratings!$E$5:$E$500,MATCH(A288,Ratings!$A$5:$A$500,0)),"")</f>
        <v/>
      </c>
      <c r="Y288" s="24">
        <f t="array" ref="Y288">IFERROR(INDEX(Ratings!$G$5:$G$500,MATCH(A288,Ratings!$A$5:$A$500,0)),"")</f>
        <v/>
      </c>
      <c r="Z288" s="26">
        <f t="array" ref="Z288">IFERROR(INDEX(Ratings!$I$5:$I$500,MATCH(A288,Ratings!$A$5:$A$500,0)),"")</f>
        <v/>
      </c>
      <c r="AB288" s="18" t="inlineStr">
        <is>
          <t>12A</t>
        </is>
      </c>
    </row>
    <row r="289" ht="15.75" customHeight="1" s="108">
      <c r="A289" s="18" t="inlineStr">
        <is>
          <t>F0285</t>
        </is>
      </c>
      <c r="B289" s="18" t="inlineStr">
        <is>
          <t>Source Code</t>
        </is>
      </c>
      <c r="C289" s="20" t="inlineStr">
        <is>
          <t>2011</t>
        </is>
      </c>
      <c r="D289" s="18" t="inlineStr">
        <is>
          <t>Blu-ray</t>
        </is>
      </c>
      <c r="E289" s="4" t="n"/>
      <c r="F289" s="19" t="n"/>
      <c r="G289" s="4" t="n"/>
      <c r="H289" s="4" t="n"/>
      <c r="I289" s="19" t="inlineStr">
        <is>
          <t>When decorated soldier Captain Colter Stevens wakes up in the body of an unknown man, he discovers he's part of a mission to find the bomber of a Chicago commuter train.</t>
        </is>
      </c>
      <c r="J289" s="19" t="inlineStr">
        <is>
          <t>Duncan Jones</t>
        </is>
      </c>
      <c r="K289" s="19" t="n">
        <v>94</v>
      </c>
      <c r="L289" s="19" t="inlineStr">
        <is>
          <t>Thriller, Science Fiction, Mystery</t>
        </is>
      </c>
      <c r="M289" s="19" t="inlineStr">
        <is>
          <t>The Mark Gordon Company, Vendôme Pictures, Summit Entertainment</t>
        </is>
      </c>
      <c r="N289" s="19" t="inlineStr">
        <is>
          <t>https://huggingface.co/datasets/HenryWaltson/TMDB-IMDB-Movies-Dataset</t>
        </is>
      </c>
      <c r="O289" s="19" t="inlineStr">
        <is>
          <t>https://huggingface.co/datasets/HenryWaltson/TMDB-IMDB-Movies-Dataset</t>
        </is>
      </c>
      <c r="P289" s="18" t="inlineStr">
        <is>
          <t>Jake Gyllenhaal</t>
        </is>
      </c>
      <c r="Q289" s="18" t="inlineStr">
        <is>
          <t>Michelle Monaghan</t>
        </is>
      </c>
      <c r="R289" s="18" t="inlineStr">
        <is>
          <t>Vera Farmiga</t>
        </is>
      </c>
      <c r="S289" s="18" t="inlineStr">
        <is>
          <t>Jeffrey Wright</t>
        </is>
      </c>
      <c r="T289" s="18" t="inlineStr">
        <is>
          <t>Michael Arden</t>
        </is>
      </c>
      <c r="U289" s="24" t="n">
        <v>0</v>
      </c>
      <c r="V289" s="24" t="n">
        <v>0</v>
      </c>
      <c r="W289" s="4" t="n"/>
      <c r="X289" s="25">
        <f t="array" ref="X289">IFERROR(INDEX(Ratings!$E$5:$E$500,MATCH(A289,Ratings!$A$5:$A$500,0)),"")</f>
        <v/>
      </c>
      <c r="Y289" s="24">
        <f t="array" ref="Y289">IFERROR(INDEX(Ratings!$G$5:$G$500,MATCH(A289,Ratings!$A$5:$A$500,0)),"")</f>
        <v/>
      </c>
      <c r="Z289" s="26">
        <f t="array" ref="Z289">IFERROR(INDEX(Ratings!$I$5:$I$500,MATCH(A289,Ratings!$A$5:$A$500,0)),"")</f>
        <v/>
      </c>
      <c r="AB289" s="18" t="inlineStr">
        <is>
          <t>12A</t>
        </is>
      </c>
    </row>
    <row r="290" ht="15.75" customHeight="1" s="108">
      <c r="A290" s="18" t="inlineStr">
        <is>
          <t>F0286</t>
        </is>
      </c>
      <c r="B290" s="18" t="inlineStr">
        <is>
          <t>Southpaw</t>
        </is>
      </c>
      <c r="C290" s="20" t="inlineStr">
        <is>
          <t>2015</t>
        </is>
      </c>
      <c r="D290" s="18" t="inlineStr">
        <is>
          <t>Blu-ray</t>
        </is>
      </c>
      <c r="E290" s="4" t="n"/>
      <c r="F290" s="19" t="n"/>
      <c r="G290" s="4" t="n"/>
      <c r="H290" s="4" t="n"/>
      <c r="I290" s="19" t="inlineStr">
        <is>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is>
      </c>
      <c r="J290" s="19" t="inlineStr">
        <is>
          <t>Antoine Fuqua</t>
        </is>
      </c>
      <c r="K290" s="19" t="n">
        <v>123</v>
      </c>
      <c r="L290" s="19" t="inlineStr">
        <is>
          <t>Action, Drama</t>
        </is>
      </c>
      <c r="M290" s="19" t="inlineStr">
        <is>
          <t>Fuqua Films, Escape Artists, Riche-Ludwig Productions</t>
        </is>
      </c>
      <c r="N290" s="19" t="inlineStr">
        <is>
          <t>https://huggingface.co/datasets/HenryWaltson/TMDB-IMDB-Movies-Dataset</t>
        </is>
      </c>
      <c r="O290" s="19" t="inlineStr">
        <is>
          <t>https://huggingface.co/datasets/HenryWaltson/TMDB-IMDB-Movies-Dataset</t>
        </is>
      </c>
      <c r="P290" s="18" t="inlineStr">
        <is>
          <t>Jake Gyllenhaal</t>
        </is>
      </c>
      <c r="Q290" s="18" t="inlineStr">
        <is>
          <t>Rachel McAdams</t>
        </is>
      </c>
      <c r="R290" s="18" t="inlineStr">
        <is>
          <t>Forest Whitaker</t>
        </is>
      </c>
      <c r="S290" s="18" t="inlineStr">
        <is>
          <t>Oona Laurence</t>
        </is>
      </c>
      <c r="T290" s="18" t="inlineStr">
        <is>
          <t>50 Cent</t>
        </is>
      </c>
      <c r="U290" s="24" t="n">
        <v>0</v>
      </c>
      <c r="V290" s="24" t="n">
        <v>0</v>
      </c>
      <c r="W290" s="4" t="n"/>
      <c r="X290" s="25">
        <f t="array" ref="X290">IFERROR(INDEX(Ratings!$E$5:$E$500,MATCH(A290,Ratings!$A$5:$A$500,0)),"")</f>
        <v/>
      </c>
      <c r="Y290" s="24">
        <f t="array" ref="Y290">IFERROR(INDEX(Ratings!$G$5:$G$500,MATCH(A290,Ratings!$A$5:$A$500,0)),"")</f>
        <v/>
      </c>
      <c r="Z290" s="26">
        <f t="array" ref="Z290">IFERROR(INDEX(Ratings!$I$5:$I$500,MATCH(A290,Ratings!$A$5:$A$500,0)),"")</f>
        <v/>
      </c>
      <c r="AB290" s="18" t="inlineStr">
        <is>
          <t>15</t>
        </is>
      </c>
    </row>
    <row r="291" ht="15.75" customHeight="1" s="108">
      <c r="A291" s="18" t="inlineStr">
        <is>
          <t>F0287</t>
        </is>
      </c>
      <c r="B291" s="18" t="inlineStr">
        <is>
          <t>Spider-Man</t>
        </is>
      </c>
      <c r="C291" s="20" t="inlineStr">
        <is>
          <t>2002</t>
        </is>
      </c>
      <c r="D291" s="18" t="inlineStr">
        <is>
          <t>Blu-ray</t>
        </is>
      </c>
      <c r="E291" s="18" t="inlineStr">
        <is>
          <t>Spider-Man</t>
        </is>
      </c>
      <c r="F291" s="19" t="n"/>
      <c r="G291" s="4" t="n"/>
      <c r="H291" s="4" t="n"/>
      <c r="I291" s="19" t="inlineStr">
        <is>
          <t>After being bitten by a genetically altered spider at Oscorp, nerdy but endearing high school student Peter Parker is endowed with amazing powers to become the superhero known as Spider-Man.</t>
        </is>
      </c>
      <c r="J291" s="19" t="inlineStr">
        <is>
          <t>Sam Raimi</t>
        </is>
      </c>
      <c r="K291" s="19" t="n">
        <v>121</v>
      </c>
      <c r="L291" s="19" t="inlineStr">
        <is>
          <t>Fantasy, Action</t>
        </is>
      </c>
      <c r="M291" s="19" t="inlineStr">
        <is>
          <t>Marvel Enterprises, Laura Ziskin Productions, Columbia Pictures</t>
        </is>
      </c>
      <c r="N291" s="19" t="inlineStr">
        <is>
          <t>https://huggingface.co/datasets/HenryWaltson/TMDB-IMDB-Movies-Dataset</t>
        </is>
      </c>
      <c r="O291" s="19" t="inlineStr">
        <is>
          <t>https://huggingface.co/datasets/HenryWaltson/TMDB-IMDB-Movies-Dataset</t>
        </is>
      </c>
      <c r="P291" s="18" t="inlineStr">
        <is>
          <t>Tobey Maguire</t>
        </is>
      </c>
      <c r="Q291" s="18" t="inlineStr">
        <is>
          <t>Willem Dafoe</t>
        </is>
      </c>
      <c r="R291" s="18" t="inlineStr">
        <is>
          <t>Kirsten Dunst</t>
        </is>
      </c>
      <c r="S291" s="18" t="inlineStr">
        <is>
          <t>James Franco</t>
        </is>
      </c>
      <c r="T291" s="18" t="inlineStr">
        <is>
          <t>Cliff Robertson</t>
        </is>
      </c>
      <c r="U291" s="24" t="n">
        <v>2</v>
      </c>
      <c r="V291" s="24" t="n">
        <v>0</v>
      </c>
      <c r="W291" s="4" t="n"/>
      <c r="X291" s="25">
        <f t="array" ref="X291">IFERROR(INDEX(Ratings!$E$5:$E$500,MATCH(A291,Ratings!$A$5:$A$500,0)),"")</f>
        <v/>
      </c>
      <c r="Y291" s="24">
        <f t="array" ref="Y291">IFERROR(INDEX(Ratings!$G$5:$G$500,MATCH(A291,Ratings!$A$5:$A$500,0)),"")</f>
        <v/>
      </c>
      <c r="Z291" s="26">
        <f t="array" ref="Z291">IFERROR(INDEX(Ratings!$I$5:$I$500,MATCH(A291,Ratings!$A$5:$A$500,0)),"")</f>
        <v/>
      </c>
      <c r="AB291" s="18" t="inlineStr">
        <is>
          <t>12A</t>
        </is>
      </c>
    </row>
    <row r="292" ht="15.75" customHeight="1" s="108">
      <c r="A292" s="18" t="inlineStr">
        <is>
          <t>F0288</t>
        </is>
      </c>
      <c r="B292" s="18" t="inlineStr">
        <is>
          <t>Spider-Man 2</t>
        </is>
      </c>
      <c r="C292" s="20" t="inlineStr">
        <is>
          <t>2004</t>
        </is>
      </c>
      <c r="D292" s="18" t="inlineStr">
        <is>
          <t>Blu-ray</t>
        </is>
      </c>
      <c r="E292" s="18" t="inlineStr">
        <is>
          <t>Spider-Man</t>
        </is>
      </c>
      <c r="F292" s="19" t="n"/>
      <c r="G292" s="4" t="n"/>
      <c r="H292" s="4" t="n"/>
      <c r="I292" s="19" t="inlineStr">
        <is>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is>
      </c>
      <c r="J292" s="19" t="inlineStr">
        <is>
          <t>Sam Raimi</t>
        </is>
      </c>
      <c r="K292" s="19" t="n">
        <v>127</v>
      </c>
      <c r="L292" s="19" t="inlineStr">
        <is>
          <t>Action, Adventure, Fantasy</t>
        </is>
      </c>
      <c r="M292" s="19" t="inlineStr">
        <is>
          <t>Marvel Enterprises, Laura Ziskin Productions, Columbia Pictures</t>
        </is>
      </c>
      <c r="N292" s="19" t="inlineStr">
        <is>
          <t>https://huggingface.co/datasets/HenryWaltson/TMDB-IMDB-Movies-Dataset</t>
        </is>
      </c>
      <c r="O292" s="19" t="inlineStr">
        <is>
          <t>https://huggingface.co/datasets/HenryWaltson/TMDB-IMDB-Movies-Dataset</t>
        </is>
      </c>
      <c r="P292" s="18" t="inlineStr">
        <is>
          <t>Tobey Maguire</t>
        </is>
      </c>
      <c r="Q292" s="18" t="inlineStr">
        <is>
          <t>Kirsten Dunst</t>
        </is>
      </c>
      <c r="R292" s="18" t="inlineStr">
        <is>
          <t>James Franco</t>
        </is>
      </c>
      <c r="S292" s="18" t="inlineStr">
        <is>
          <t>Alfred Molina</t>
        </is>
      </c>
      <c r="T292" s="18" t="inlineStr">
        <is>
          <t>Rosemary Harris</t>
        </is>
      </c>
      <c r="U292" s="24" t="n">
        <v>3</v>
      </c>
      <c r="V292" s="24" t="n">
        <v>1</v>
      </c>
      <c r="W292" s="4" t="n"/>
      <c r="X292" s="25">
        <f t="array" ref="X292">IFERROR(INDEX(Ratings!$E$5:$E$500,MATCH(A292,Ratings!$A$5:$A$500,0)),"")</f>
        <v/>
      </c>
      <c r="Y292" s="24">
        <f t="array" ref="Y292">IFERROR(INDEX(Ratings!$G$5:$G$500,MATCH(A292,Ratings!$A$5:$A$500,0)),"")</f>
        <v/>
      </c>
      <c r="Z292" s="26">
        <f t="array" ref="Z292">IFERROR(INDEX(Ratings!$I$5:$I$500,MATCH(A292,Ratings!$A$5:$A$500,0)),"")</f>
        <v/>
      </c>
      <c r="AB292" s="18" t="inlineStr">
        <is>
          <t>12A</t>
        </is>
      </c>
    </row>
    <row r="293" ht="15.75" customHeight="1" s="108">
      <c r="A293" s="18" t="inlineStr">
        <is>
          <t>F0289</t>
        </is>
      </c>
      <c r="B293" s="18" t="inlineStr">
        <is>
          <t>Spider-Man 3</t>
        </is>
      </c>
      <c r="C293" s="20" t="inlineStr">
        <is>
          <t>2007</t>
        </is>
      </c>
      <c r="D293" s="18" t="inlineStr">
        <is>
          <t>Blu-ray</t>
        </is>
      </c>
      <c r="E293" s="18" t="inlineStr">
        <is>
          <t>Spider-Man</t>
        </is>
      </c>
      <c r="F293" s="19" t="n"/>
      <c r="G293" s="4" t="n"/>
      <c r="H293" s="4" t="n"/>
      <c r="I293" s="19" t="inlineStr">
        <is>
          <t>The seemingly invincible Spider-Man goes up against an all-new crop of villains—including the shape-shifting Sandman. While Spider-Man’s superpowers are altered by an alien organism, his alter ego, Peter Parker, deals with nemesis Eddie Brock and also gets caught up in a love triangle.</t>
        </is>
      </c>
      <c r="J293" s="19" t="inlineStr">
        <is>
          <t>Sam Raimi</t>
        </is>
      </c>
      <c r="K293" s="19" t="n">
        <v>139</v>
      </c>
      <c r="L293" s="19" t="inlineStr">
        <is>
          <t>Fantasy, Action, Adventure</t>
        </is>
      </c>
      <c r="M293" s="19" t="inlineStr">
        <is>
          <t>Laura Ziskin Productions, Marvel Studios, Columbia Pictures</t>
        </is>
      </c>
      <c r="N293" s="19" t="inlineStr">
        <is>
          <t>https://huggingface.co/datasets/HenryWaltson/TMDB-IMDB-Movies-Dataset</t>
        </is>
      </c>
      <c r="O293" s="19" t="inlineStr">
        <is>
          <t>https://huggingface.co/datasets/HenryWaltson/TMDB-IMDB-Movies-Dataset</t>
        </is>
      </c>
      <c r="P293" s="18" t="inlineStr">
        <is>
          <t>Tobey Maguire</t>
        </is>
      </c>
      <c r="Q293" s="18" t="inlineStr">
        <is>
          <t>Kirsten Dunst</t>
        </is>
      </c>
      <c r="R293" s="18" t="inlineStr">
        <is>
          <t>James Franco</t>
        </is>
      </c>
      <c r="S293" s="18" t="inlineStr">
        <is>
          <t>Thomas Haden Church</t>
        </is>
      </c>
      <c r="T293" s="18" t="inlineStr">
        <is>
          <t>Topher Grace</t>
        </is>
      </c>
      <c r="U293" s="24" t="n">
        <v>0</v>
      </c>
      <c r="V293" s="24" t="n">
        <v>0</v>
      </c>
      <c r="W293" s="4" t="n"/>
      <c r="X293" s="25">
        <f t="array" ref="X293">IFERROR(INDEX(Ratings!$E$5:$E$500,MATCH(A293,Ratings!$A$5:$A$500,0)),"")</f>
        <v/>
      </c>
      <c r="Y293" s="24">
        <f t="array" ref="Y293">IFERROR(INDEX(Ratings!$G$5:$G$500,MATCH(A293,Ratings!$A$5:$A$500,0)),"")</f>
        <v/>
      </c>
      <c r="Z293" s="26">
        <f t="array" ref="Z293">IFERROR(INDEX(Ratings!$I$5:$I$500,MATCH(A293,Ratings!$A$5:$A$500,0)),"")</f>
        <v/>
      </c>
      <c r="AB293" s="18" t="inlineStr">
        <is>
          <t>12A</t>
        </is>
      </c>
    </row>
    <row r="294" ht="15.75" customHeight="1" s="108">
      <c r="A294" s="18" t="inlineStr">
        <is>
          <t>F0290</t>
        </is>
      </c>
      <c r="B294" s="18" t="inlineStr">
        <is>
          <t>Spy</t>
        </is>
      </c>
      <c r="C294" s="20" t="inlineStr">
        <is>
          <t>2015</t>
        </is>
      </c>
      <c r="D294" s="18" t="inlineStr">
        <is>
          <t>Blu-ray</t>
        </is>
      </c>
      <c r="E294" s="4" t="n"/>
      <c r="F294" s="19" t="n"/>
      <c r="G294" s="4" t="n"/>
      <c r="H294" s="4" t="n"/>
      <c r="I294" s="19" t="inlineStr">
        <is>
          <t>A desk-bound CIA analyst volunteers to go undercover to infiltrate the world of a deadly arms dealer, and prevent diabolical global disaster.</t>
        </is>
      </c>
      <c r="J294" s="19" t="inlineStr">
        <is>
          <t>Paul Feig</t>
        </is>
      </c>
      <c r="K294" s="19" t="n">
        <v>120</v>
      </c>
      <c r="L294" s="19" t="inlineStr">
        <is>
          <t>Action, Comedy, Crime</t>
        </is>
      </c>
      <c r="M294" s="19" t="inlineStr">
        <is>
          <t>Chernin Entertainment, Feigco Entertainment, TSG Entertainment</t>
        </is>
      </c>
      <c r="N294" s="19" t="inlineStr">
        <is>
          <t>https://huggingface.co/datasets/HenryWaltson/TMDB-IMDB-Movies-Dataset</t>
        </is>
      </c>
      <c r="O294" s="19" t="inlineStr">
        <is>
          <t>https://huggingface.co/datasets/HenryWaltson/TMDB-IMDB-Movies-Dataset</t>
        </is>
      </c>
      <c r="P294" s="18" t="inlineStr">
        <is>
          <t>Melissa McCarthy</t>
        </is>
      </c>
      <c r="Q294" s="18" t="inlineStr">
        <is>
          <t>Rose Byrne</t>
        </is>
      </c>
      <c r="R294" s="18" t="inlineStr">
        <is>
          <t>Jason Statham</t>
        </is>
      </c>
      <c r="S294" s="18" t="inlineStr">
        <is>
          <t>Jude Law</t>
        </is>
      </c>
      <c r="T294" s="18" t="inlineStr">
        <is>
          <t>Miranda Hart</t>
        </is>
      </c>
      <c r="U294" s="24" t="n">
        <v>0</v>
      </c>
      <c r="V294" s="24" t="n">
        <v>0</v>
      </c>
      <c r="W294" s="4" t="n"/>
      <c r="X294" s="25">
        <f t="array" ref="X294">IFERROR(INDEX(Ratings!$E$5:$E$500,MATCH(A294,Ratings!$A$5:$A$500,0)),"")</f>
        <v/>
      </c>
      <c r="Y294" s="24">
        <f t="array" ref="Y294">IFERROR(INDEX(Ratings!$G$5:$G$500,MATCH(A294,Ratings!$A$5:$A$500,0)),"")</f>
        <v/>
      </c>
      <c r="Z294" s="26">
        <f t="array" ref="Z294">IFERROR(INDEX(Ratings!$I$5:$I$500,MATCH(A294,Ratings!$A$5:$A$500,0)),"")</f>
        <v/>
      </c>
      <c r="AB294" s="18" t="inlineStr">
        <is>
          <t>15</t>
        </is>
      </c>
    </row>
    <row r="295" ht="15.75" customHeight="1" s="108">
      <c r="A295" s="18" t="inlineStr">
        <is>
          <t>F0291</t>
        </is>
      </c>
      <c r="B295" s="18" t="inlineStr">
        <is>
          <t>Star Trek</t>
        </is>
      </c>
      <c r="C295" s="20" t="inlineStr">
        <is>
          <t>2009</t>
        </is>
      </c>
      <c r="D295" s="18" t="inlineStr">
        <is>
          <t>Blu-ray</t>
        </is>
      </c>
      <c r="E295" s="18" t="inlineStr">
        <is>
          <t>Star Trek</t>
        </is>
      </c>
      <c r="F295" s="19" t="n"/>
      <c r="G295" s="4" t="n"/>
      <c r="H295" s="4" t="n"/>
      <c r="I295" s="19" t="inlineStr">
        <is>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is>
      </c>
      <c r="J295" s="19" t="inlineStr">
        <is>
          <t>J.J. Abrams</t>
        </is>
      </c>
      <c r="K295" s="19" t="n">
        <v>127</v>
      </c>
      <c r="L295" s="19" t="inlineStr">
        <is>
          <t>Science Fiction, Action, Adventure</t>
        </is>
      </c>
      <c r="M295" s="19" t="inlineStr">
        <is>
          <t>Paramount, Spyglass Entertainment, Bad Robot</t>
        </is>
      </c>
      <c r="N295" s="19" t="inlineStr">
        <is>
          <t>https://huggingface.co/datasets/HenryWaltson/TMDB-IMDB-Movies-Dataset</t>
        </is>
      </c>
      <c r="O295" s="19" t="inlineStr">
        <is>
          <t>https://huggingface.co/datasets/HenryWaltson/TMDB-IMDB-Movies-Dataset</t>
        </is>
      </c>
      <c r="P295" s="18" t="inlineStr">
        <is>
          <t>Chris Pine</t>
        </is>
      </c>
      <c r="Q295" s="18" t="inlineStr">
        <is>
          <t>Zachary Quinto</t>
        </is>
      </c>
      <c r="R295" s="18" t="inlineStr">
        <is>
          <t>Leonard Nimoy</t>
        </is>
      </c>
      <c r="S295" s="18" t="inlineStr">
        <is>
          <t>Eric Bana</t>
        </is>
      </c>
      <c r="T295" s="18" t="inlineStr">
        <is>
          <t>Bruce Greenwood</t>
        </is>
      </c>
      <c r="U295" s="24" t="n">
        <v>4</v>
      </c>
      <c r="V295" s="24" t="n">
        <v>1</v>
      </c>
      <c r="W295" s="4" t="n"/>
      <c r="X295" s="25">
        <f t="array" ref="X295">IFERROR(INDEX(Ratings!$E$5:$E$500,MATCH(A295,Ratings!$A$5:$A$500,0)),"")</f>
        <v/>
      </c>
      <c r="Y295" s="24">
        <f t="array" ref="Y295">IFERROR(INDEX(Ratings!$G$5:$G$500,MATCH(A295,Ratings!$A$5:$A$500,0)),"")</f>
        <v/>
      </c>
      <c r="Z295" s="26">
        <f t="array" ref="Z295">IFERROR(INDEX(Ratings!$I$5:$I$500,MATCH(A295,Ratings!$A$5:$A$500,0)),"")</f>
        <v/>
      </c>
      <c r="AB295" s="18" t="inlineStr">
        <is>
          <t>12A</t>
        </is>
      </c>
    </row>
    <row r="296" ht="15.75" customHeight="1" s="108">
      <c r="A296" s="18" t="inlineStr">
        <is>
          <t>F0292</t>
        </is>
      </c>
      <c r="B296" s="18" t="inlineStr">
        <is>
          <t>Star Wars: Episode I – The Phantom Menace</t>
        </is>
      </c>
      <c r="C296" s="20" t="inlineStr">
        <is>
          <t>1999</t>
        </is>
      </c>
      <c r="D296" s="18" t="inlineStr">
        <is>
          <t>Blu-ray</t>
        </is>
      </c>
      <c r="E296" s="18" t="inlineStr">
        <is>
          <t>Star Wars</t>
        </is>
      </c>
      <c r="F296" s="19" t="inlineStr">
        <is>
          <t>Star Wars Episodes I–VI (Box Set)</t>
        </is>
      </c>
      <c r="G296" s="4" t="n"/>
      <c r="H296" s="4" t="n"/>
      <c r="I296" s="19" t="inlineStr">
        <is>
          <t>Owned via Star Wars Episodes I–VI (Box Set).</t>
        </is>
      </c>
      <c r="J296" s="19" t="inlineStr">
        <is>
          <t>George Lucas</t>
        </is>
      </c>
      <c r="K296" s="19" t="n">
        <v>136</v>
      </c>
      <c r="L296" s="19" t="inlineStr">
        <is>
          <t>Action, Adventure, Fantasy, Science Fiction</t>
        </is>
      </c>
      <c r="M296" s="19" t="inlineStr">
        <is>
          <t>Lucasfilm</t>
        </is>
      </c>
      <c r="N296" s="19" t="inlineStr">
        <is>
          <t>https://huggingface.co/datasets/HenryWaltson/TMDB-IMDB-Movies-Dataset</t>
        </is>
      </c>
      <c r="O296" s="19" t="inlineStr">
        <is>
          <t>https://huggingface.co/datasets/HenryWaltson/TMDB-IMDB-Movies-Dataset</t>
        </is>
      </c>
      <c r="P296" s="18" t="inlineStr">
        <is>
          <t>Liam Neeson</t>
        </is>
      </c>
      <c r="Q296" s="18" t="inlineStr">
        <is>
          <t>Ewan McGregor</t>
        </is>
      </c>
      <c r="R296" s="18" t="inlineStr">
        <is>
          <t>Natalie Portman</t>
        </is>
      </c>
      <c r="S296" s="18" t="inlineStr">
        <is>
          <t>Jake Lloyd</t>
        </is>
      </c>
      <c r="T296" s="18" t="inlineStr">
        <is>
          <t>Ian McDiarmid</t>
        </is>
      </c>
      <c r="U296" s="24" t="n">
        <v>3</v>
      </c>
      <c r="V296" s="24" t="n">
        <v>0</v>
      </c>
      <c r="W296" s="4" t="n"/>
      <c r="X296" s="25">
        <f t="array" ref="X296">IFERROR(INDEX(Ratings!$E$5:$E$500,MATCH(A296,Ratings!$A$5:$A$500,0)),"")</f>
        <v/>
      </c>
      <c r="Y296" s="24">
        <f t="array" ref="Y296">IFERROR(INDEX(Ratings!$G$5:$G$500,MATCH(A296,Ratings!$A$5:$A$500,0)),"")</f>
        <v/>
      </c>
      <c r="Z296" s="26">
        <f t="array" ref="Z296">IFERROR(INDEX(Ratings!$I$5:$I$500,MATCH(A296,Ratings!$A$5:$A$500,0)),"")</f>
        <v/>
      </c>
      <c r="AB296" s="18" t="inlineStr">
        <is>
          <t>PG</t>
        </is>
      </c>
    </row>
    <row r="297" ht="15.75" customHeight="1" s="108">
      <c r="A297" s="18" t="inlineStr">
        <is>
          <t>F0293</t>
        </is>
      </c>
      <c r="B297" s="18" t="inlineStr">
        <is>
          <t>Star Wars: Episode II – Attack of the Clones</t>
        </is>
      </c>
      <c r="C297" s="20" t="inlineStr">
        <is>
          <t>2002</t>
        </is>
      </c>
      <c r="D297" s="18" t="inlineStr">
        <is>
          <t>Blu-ray</t>
        </is>
      </c>
      <c r="E297" s="18" t="inlineStr">
        <is>
          <t>Star Wars</t>
        </is>
      </c>
      <c r="F297" s="19" t="inlineStr">
        <is>
          <t>Star Wars Episodes I–VI (Box Set)</t>
        </is>
      </c>
      <c r="G297" s="4" t="n"/>
      <c r="H297" s="4" t="n"/>
      <c r="I297" s="19" t="inlineStr">
        <is>
          <t>Owned via Star Wars Episodes I–VI (Box Set).</t>
        </is>
      </c>
      <c r="J297" s="19" t="inlineStr">
        <is>
          <t>George Lucas</t>
        </is>
      </c>
      <c r="K297" s="19" t="n">
        <v>142</v>
      </c>
      <c r="L297" s="19" t="inlineStr">
        <is>
          <t>Action, Adventure, Fantasy, Science Fiction</t>
        </is>
      </c>
      <c r="M297" s="19" t="inlineStr">
        <is>
          <t>Lucasfilm</t>
        </is>
      </c>
      <c r="N297" s="19" t="inlineStr">
        <is>
          <t>https://huggingface.co/datasets/HenryWaltson/TMDB-IMDB-Movies-Dataset</t>
        </is>
      </c>
      <c r="O297" s="19" t="inlineStr">
        <is>
          <t>https://huggingface.co/datasets/HenryWaltson/TMDB-IMDB-Movies-Dataset</t>
        </is>
      </c>
      <c r="P297" s="18" t="inlineStr">
        <is>
          <t>Hayden Christensen</t>
        </is>
      </c>
      <c r="Q297" s="18" t="inlineStr">
        <is>
          <t>Ewan McGregor</t>
        </is>
      </c>
      <c r="R297" s="18" t="inlineStr">
        <is>
          <t>Natalie Portman</t>
        </is>
      </c>
      <c r="S297" s="18" t="inlineStr">
        <is>
          <t>Christopher Lee</t>
        </is>
      </c>
      <c r="T297" s="18" t="inlineStr">
        <is>
          <t>Samuel L. Jackson</t>
        </is>
      </c>
      <c r="U297" s="24" t="n">
        <v>1</v>
      </c>
      <c r="V297" s="24" t="n">
        <v>0</v>
      </c>
      <c r="W297" s="4" t="n"/>
      <c r="X297" s="25">
        <f t="array" ref="X297">IFERROR(INDEX(Ratings!$E$5:$E$500,MATCH(A297,Ratings!$A$5:$A$500,0)),"")</f>
        <v/>
      </c>
      <c r="Y297" s="24">
        <f t="array" ref="Y297">IFERROR(INDEX(Ratings!$G$5:$G$500,MATCH(A297,Ratings!$A$5:$A$500,0)),"")</f>
        <v/>
      </c>
      <c r="Z297" s="26">
        <f t="array" ref="Z297">IFERROR(INDEX(Ratings!$I$5:$I$500,MATCH(A297,Ratings!$A$5:$A$500,0)),"")</f>
        <v/>
      </c>
      <c r="AB297" s="18" t="inlineStr">
        <is>
          <t>PG</t>
        </is>
      </c>
    </row>
    <row r="298" ht="15.75" customHeight="1" s="108">
      <c r="A298" s="18" t="inlineStr">
        <is>
          <t>F0294</t>
        </is>
      </c>
      <c r="B298" s="18" t="inlineStr">
        <is>
          <t>Star Wars: Episode III – Revenge of the Sith</t>
        </is>
      </c>
      <c r="C298" s="20" t="inlineStr">
        <is>
          <t>2005</t>
        </is>
      </c>
      <c r="D298" s="18" t="inlineStr">
        <is>
          <t>Blu-ray</t>
        </is>
      </c>
      <c r="E298" s="18" t="inlineStr">
        <is>
          <t>Star Wars</t>
        </is>
      </c>
      <c r="F298" s="19" t="inlineStr">
        <is>
          <t>Star Wars Episodes I–VI (Box Set)</t>
        </is>
      </c>
      <c r="G298" s="4" t="n"/>
      <c r="H298" s="4" t="n"/>
      <c r="I298" s="19" t="inlineStr">
        <is>
          <t>Owned via Star Wars Episodes I–VI (Box Set).</t>
        </is>
      </c>
      <c r="J298" s="19" t="inlineStr">
        <is>
          <t>George Lucas</t>
        </is>
      </c>
      <c r="K298" s="19" t="n">
        <v>140</v>
      </c>
      <c r="L298" s="19" t="inlineStr">
        <is>
          <t>Action, Adventure, Fantasy, Science Fiction</t>
        </is>
      </c>
      <c r="M298" s="19" t="inlineStr">
        <is>
          <t>Lucasfilm</t>
        </is>
      </c>
      <c r="N298" s="19" t="inlineStr">
        <is>
          <t>https://huggingface.co/datasets/HenryWaltson/TMDB-IMDB-Movies-Dataset</t>
        </is>
      </c>
      <c r="O298" s="19" t="inlineStr">
        <is>
          <t>https://huggingface.co/datasets/HenryWaltson/TMDB-IMDB-Movies-Dataset</t>
        </is>
      </c>
      <c r="P298" s="18" t="inlineStr">
        <is>
          <t>Hayden Christensen</t>
        </is>
      </c>
      <c r="Q298" s="18" t="inlineStr">
        <is>
          <t>Ewan McGregor</t>
        </is>
      </c>
      <c r="R298" s="18" t="inlineStr">
        <is>
          <t>Natalie Portman</t>
        </is>
      </c>
      <c r="S298" s="18" t="inlineStr">
        <is>
          <t>Ian McDiarmid</t>
        </is>
      </c>
      <c r="T298" s="18" t="inlineStr">
        <is>
          <t>Samuel L. Jackson</t>
        </is>
      </c>
      <c r="U298" s="24" t="n">
        <v>1</v>
      </c>
      <c r="V298" s="24" t="n">
        <v>0</v>
      </c>
      <c r="W298" s="4" t="n"/>
      <c r="X298" s="25">
        <f t="array" ref="X298">IFERROR(INDEX(Ratings!$E$5:$E$500,MATCH(A298,Ratings!$A$5:$A$500,0)),"")</f>
        <v/>
      </c>
      <c r="Y298" s="24">
        <f t="array" ref="Y298">IFERROR(INDEX(Ratings!$G$5:$G$500,MATCH(A298,Ratings!$A$5:$A$500,0)),"")</f>
        <v/>
      </c>
      <c r="Z298" s="26">
        <f t="array" ref="Z298">IFERROR(INDEX(Ratings!$I$5:$I$500,MATCH(A298,Ratings!$A$5:$A$500,0)),"")</f>
        <v/>
      </c>
      <c r="AB298" s="18" t="inlineStr">
        <is>
          <t>12A</t>
        </is>
      </c>
    </row>
    <row r="299" ht="15.75" customHeight="1" s="108">
      <c r="A299" s="18" t="inlineStr">
        <is>
          <t>F0295</t>
        </is>
      </c>
      <c r="B299" s="18" t="inlineStr">
        <is>
          <t>Star Wars: Episode IV – A New Hope</t>
        </is>
      </c>
      <c r="C299" s="20" t="inlineStr">
        <is>
          <t>1977</t>
        </is>
      </c>
      <c r="D299" s="18" t="inlineStr">
        <is>
          <t>Blu-ray</t>
        </is>
      </c>
      <c r="E299" s="18" t="inlineStr">
        <is>
          <t>Star Wars</t>
        </is>
      </c>
      <c r="F299" s="19" t="inlineStr">
        <is>
          <t>Star Wars Episodes I–VI (Box Set)</t>
        </is>
      </c>
      <c r="G299" s="4" t="n"/>
      <c r="H299" s="4" t="n"/>
      <c r="I299" s="19" t="inlineStr">
        <is>
          <t>Owned via Star Wars Episodes I–VI (Box Set).</t>
        </is>
      </c>
      <c r="J299" s="19" t="inlineStr">
        <is>
          <t>George Lucas</t>
        </is>
      </c>
      <c r="K299" s="19" t="n">
        <v>121</v>
      </c>
      <c r="L299" s="19" t="inlineStr">
        <is>
          <t>Action, Adventure, Fantasy, Science Fiction</t>
        </is>
      </c>
      <c r="M299" s="19" t="inlineStr">
        <is>
          <t>Lucasfilm, 20th Century Fox</t>
        </is>
      </c>
      <c r="N299" s="19" t="inlineStr">
        <is>
          <t>https://huggingface.co/datasets/HenryWaltson/TMDB-IMDB-Movies-Dataset</t>
        </is>
      </c>
      <c r="O299" s="19" t="inlineStr">
        <is>
          <t>https://huggingface.co/datasets/HenryWaltson/TMDB-IMDB-Movies-Dataset</t>
        </is>
      </c>
      <c r="P299" s="18" t="inlineStr">
        <is>
          <t>Mark Hamill</t>
        </is>
      </c>
      <c r="Q299" s="18" t="inlineStr">
        <is>
          <t>Harrison Ford</t>
        </is>
      </c>
      <c r="R299" s="18" t="inlineStr">
        <is>
          <t>Carrie Fisher</t>
        </is>
      </c>
      <c r="S299" s="18" t="inlineStr">
        <is>
          <t>Peter Cushing</t>
        </is>
      </c>
      <c r="T299" s="18" t="inlineStr">
        <is>
          <t>Alec Guinness</t>
        </is>
      </c>
      <c r="U299" s="24" t="n">
        <v>11</v>
      </c>
      <c r="V299" s="24" t="n">
        <v>7</v>
      </c>
      <c r="W299" s="18" t="inlineStr">
        <is>
          <t>Nominated</t>
        </is>
      </c>
      <c r="X299" s="25">
        <f t="array" ref="X299">IFERROR(INDEX(Ratings!$E$5:$E$500,MATCH(A299,Ratings!$A$5:$A$500,0)),"")</f>
        <v/>
      </c>
      <c r="Y299" s="24">
        <f t="array" ref="Y299">IFERROR(INDEX(Ratings!$G$5:$G$500,MATCH(A299,Ratings!$A$5:$A$500,0)),"")</f>
        <v/>
      </c>
      <c r="Z299" s="26">
        <f t="array" ref="Z299">IFERROR(INDEX(Ratings!$I$5:$I$500,MATCH(A299,Ratings!$A$5:$A$500,0)),"")</f>
        <v/>
      </c>
      <c r="AB299" s="18" t="inlineStr">
        <is>
          <t>U</t>
        </is>
      </c>
    </row>
    <row r="300" ht="15.75" customHeight="1" s="108">
      <c r="A300" s="18" t="inlineStr">
        <is>
          <t>F0296</t>
        </is>
      </c>
      <c r="B300" s="18" t="inlineStr">
        <is>
          <t>Star Wars: Episode V – The Empire Strikes Back</t>
        </is>
      </c>
      <c r="C300" s="20" t="inlineStr">
        <is>
          <t>1980</t>
        </is>
      </c>
      <c r="D300" s="18" t="inlineStr">
        <is>
          <t>Blu-ray</t>
        </is>
      </c>
      <c r="E300" s="18" t="inlineStr">
        <is>
          <t>Star Wars</t>
        </is>
      </c>
      <c r="F300" s="19" t="inlineStr">
        <is>
          <t>Star Wars Episodes I–VI (Box Set)</t>
        </is>
      </c>
      <c r="G300" s="4" t="n"/>
      <c r="H300" s="4" t="n"/>
      <c r="I300" s="19" t="inlineStr">
        <is>
          <t>Owned via Star Wars Episodes I–VI (Box Set).</t>
        </is>
      </c>
      <c r="J300" s="19" t="inlineStr">
        <is>
          <t>Irvin Kershner</t>
        </is>
      </c>
      <c r="K300" s="19" t="n">
        <v>124</v>
      </c>
      <c r="L300" s="19" t="inlineStr">
        <is>
          <t>Action, Adventure, Fantasy, Science Fiction</t>
        </is>
      </c>
      <c r="M300" s="19" t="inlineStr">
        <is>
          <t>Lucasfilm, 20th Century Fox</t>
        </is>
      </c>
      <c r="N300" s="19" t="inlineStr">
        <is>
          <t>https://huggingface.co/datasets/HenryWaltson/TMDB-IMDB-Movies-Dataset</t>
        </is>
      </c>
      <c r="O300" s="19" t="inlineStr">
        <is>
          <t>https://huggingface.co/datasets/HenryWaltson/TMDB-IMDB-Movies-Dataset</t>
        </is>
      </c>
      <c r="P300" s="18" t="inlineStr">
        <is>
          <t>Mark Hamill</t>
        </is>
      </c>
      <c r="Q300" s="18" t="inlineStr">
        <is>
          <t>Harrison Ford</t>
        </is>
      </c>
      <c r="R300" s="18" t="inlineStr">
        <is>
          <t>Carrie Fisher</t>
        </is>
      </c>
      <c r="S300" s="18" t="inlineStr">
        <is>
          <t>Billy Dee Williams</t>
        </is>
      </c>
      <c r="T300" s="18" t="inlineStr">
        <is>
          <t>Anthony Daniels</t>
        </is>
      </c>
      <c r="U300" s="24" t="n">
        <v>0</v>
      </c>
      <c r="V300" s="24" t="n">
        <v>0</v>
      </c>
      <c r="W300" s="4" t="n"/>
      <c r="X300" s="25">
        <f t="array" ref="X300">IFERROR(INDEX(Ratings!$E$5:$E$500,MATCH(A300,Ratings!$A$5:$A$500,0)),"")</f>
        <v/>
      </c>
      <c r="Y300" s="24">
        <f t="array" ref="Y300">IFERROR(INDEX(Ratings!$G$5:$G$500,MATCH(A300,Ratings!$A$5:$A$500,0)),"")</f>
        <v/>
      </c>
      <c r="Z300" s="26">
        <f t="array" ref="Z300">IFERROR(INDEX(Ratings!$I$5:$I$500,MATCH(A300,Ratings!$A$5:$A$500,0)),"")</f>
        <v/>
      </c>
      <c r="AB300" s="18" t="inlineStr">
        <is>
          <t>PG</t>
        </is>
      </c>
    </row>
    <row r="301" ht="15.75" customHeight="1" s="108">
      <c r="A301" s="18" t="inlineStr">
        <is>
          <t>F0297</t>
        </is>
      </c>
      <c r="B301" s="18" t="inlineStr">
        <is>
          <t>Star Wars: Episode VI – Return of the Jedi</t>
        </is>
      </c>
      <c r="C301" s="20" t="inlineStr">
        <is>
          <t>1983</t>
        </is>
      </c>
      <c r="D301" s="18" t="inlineStr">
        <is>
          <t>Blu-ray</t>
        </is>
      </c>
      <c r="E301" s="18" t="inlineStr">
        <is>
          <t>Star Wars</t>
        </is>
      </c>
      <c r="F301" s="19" t="inlineStr">
        <is>
          <t>Star Wars Episodes I–VI (Box Set)</t>
        </is>
      </c>
      <c r="G301" s="4" t="n"/>
      <c r="H301" s="4" t="n"/>
      <c r="I301" s="19" t="inlineStr">
        <is>
          <t>Owned via Star Wars Episodes I–VI (Box Set).</t>
        </is>
      </c>
      <c r="J301" s="19" t="inlineStr">
        <is>
          <t>Richard Marquand</t>
        </is>
      </c>
      <c r="K301" s="19" t="n">
        <v>131</v>
      </c>
      <c r="L301" s="19" t="inlineStr">
        <is>
          <t>Action, Adventure, Fantasy, Science Fiction</t>
        </is>
      </c>
      <c r="M301" s="19" t="inlineStr">
        <is>
          <t>Lucasfilm, 20th Century Fox</t>
        </is>
      </c>
      <c r="N301" s="19" t="inlineStr">
        <is>
          <t>https://huggingface.co/datasets/HenryWaltson/TMDB-IMDB-Movies-Dataset</t>
        </is>
      </c>
      <c r="O301" s="19" t="inlineStr">
        <is>
          <t>https://huggingface.co/datasets/HenryWaltson/TMDB-IMDB-Movies-Dataset</t>
        </is>
      </c>
      <c r="P301" s="18" t="inlineStr">
        <is>
          <t>Mark Hamill</t>
        </is>
      </c>
      <c r="Q301" s="18" t="inlineStr">
        <is>
          <t>Harrison Ford</t>
        </is>
      </c>
      <c r="R301" s="18" t="inlineStr">
        <is>
          <t>Carrie Fisher</t>
        </is>
      </c>
      <c r="S301" s="18" t="inlineStr">
        <is>
          <t>Billy Dee Williams</t>
        </is>
      </c>
      <c r="T301" s="18" t="inlineStr">
        <is>
          <t>Anthony Daniels</t>
        </is>
      </c>
      <c r="U301" s="24" t="n">
        <v>0</v>
      </c>
      <c r="V301" s="24" t="n">
        <v>0</v>
      </c>
      <c r="W301" s="4" t="n"/>
      <c r="X301" s="25">
        <f t="array" ref="X301">IFERROR(INDEX(Ratings!$E$5:$E$500,MATCH(A301,Ratings!$A$5:$A$500,0)),"")</f>
        <v/>
      </c>
      <c r="Y301" s="24">
        <f t="array" ref="Y301">IFERROR(INDEX(Ratings!$G$5:$G$500,MATCH(A301,Ratings!$A$5:$A$500,0)),"")</f>
        <v/>
      </c>
      <c r="Z301" s="26">
        <f t="array" ref="Z301">IFERROR(INDEX(Ratings!$I$5:$I$500,MATCH(A301,Ratings!$A$5:$A$500,0)),"")</f>
        <v/>
      </c>
      <c r="AB301" s="18" t="inlineStr">
        <is>
          <t>PG</t>
        </is>
      </c>
    </row>
    <row r="302" ht="15.75" customHeight="1" s="108">
      <c r="A302" s="18" t="inlineStr">
        <is>
          <t>F0298</t>
        </is>
      </c>
      <c r="B302" s="18" t="inlineStr">
        <is>
          <t>Star Wars: The Force Awakens</t>
        </is>
      </c>
      <c r="C302" s="20" t="inlineStr">
        <is>
          <t>2015</t>
        </is>
      </c>
      <c r="D302" s="18" t="inlineStr">
        <is>
          <t>Blu-ray</t>
        </is>
      </c>
      <c r="E302" s="18" t="inlineStr">
        <is>
          <t>Star Wars</t>
        </is>
      </c>
      <c r="F302" s="19" t="n"/>
      <c r="G302" s="4" t="n"/>
      <c r="H302" s="4" t="n"/>
      <c r="I302" s="19" t="inlineStr">
        <is>
          <t>Thirty years after defeating the Galactic Empire, Han Solo and his allies face a new threat from the evil Kylo Ren and his army of Stormtroopers.</t>
        </is>
      </c>
      <c r="J302" s="19" t="inlineStr">
        <is>
          <t>J.J. Abrams</t>
        </is>
      </c>
      <c r="K302" s="19" t="n">
        <v>136</v>
      </c>
      <c r="L302" s="19" t="inlineStr">
        <is>
          <t>Adventure, Action, Science Fiction</t>
        </is>
      </c>
      <c r="M302" s="19" t="inlineStr">
        <is>
          <t>Lucasfilm Ltd., Bad Robot</t>
        </is>
      </c>
      <c r="N302" s="19" t="inlineStr">
        <is>
          <t>https://huggingface.co/datasets/HenryWaltson/TMDB-IMDB-Movies-Dataset</t>
        </is>
      </c>
      <c r="O302" s="19" t="inlineStr">
        <is>
          <t>https://huggingface.co/datasets/HenryWaltson/TMDB-IMDB-Movies-Dataset</t>
        </is>
      </c>
      <c r="P302" s="18" t="inlineStr">
        <is>
          <t>Harrison Ford</t>
        </is>
      </c>
      <c r="Q302" s="18" t="inlineStr">
        <is>
          <t>Mark Hamill</t>
        </is>
      </c>
      <c r="R302" s="18" t="inlineStr">
        <is>
          <t>Carrie Fisher</t>
        </is>
      </c>
      <c r="S302" s="18" t="inlineStr">
        <is>
          <t>Adam Driver</t>
        </is>
      </c>
      <c r="T302" s="18" t="inlineStr">
        <is>
          <t>Daisy Ridley</t>
        </is>
      </c>
      <c r="U302" s="24" t="n">
        <v>5</v>
      </c>
      <c r="V302" s="24" t="n">
        <v>0</v>
      </c>
      <c r="W302" s="4" t="n"/>
      <c r="X302" s="25">
        <f t="array" ref="X302">IFERROR(INDEX(Ratings!$E$5:$E$500,MATCH(A302,Ratings!$A$5:$A$500,0)),"")</f>
        <v/>
      </c>
      <c r="Y302" s="24">
        <f t="array" ref="Y302">IFERROR(INDEX(Ratings!$G$5:$G$500,MATCH(A302,Ratings!$A$5:$A$500,0)),"")</f>
        <v/>
      </c>
      <c r="Z302" s="26">
        <f t="array" ref="Z302">IFERROR(INDEX(Ratings!$I$5:$I$500,MATCH(A302,Ratings!$A$5:$A$500,0)),"")</f>
        <v/>
      </c>
      <c r="AB302" s="18" t="inlineStr">
        <is>
          <t>12A</t>
        </is>
      </c>
    </row>
    <row r="303" ht="15.75" customHeight="1" s="108">
      <c r="A303" s="18" t="inlineStr">
        <is>
          <t>F0299</t>
        </is>
      </c>
      <c r="B303" s="18" t="inlineStr">
        <is>
          <t>Star Wars: The Last Jedi</t>
        </is>
      </c>
      <c r="C303" s="20" t="inlineStr">
        <is>
          <t>2017</t>
        </is>
      </c>
      <c r="D303" s="18" t="inlineStr">
        <is>
          <t>Blu-ray</t>
        </is>
      </c>
      <c r="E303" s="18" t="inlineStr">
        <is>
          <t>Star Wars</t>
        </is>
      </c>
      <c r="F303" s="19" t="n"/>
      <c r="G303" s="4" t="n"/>
      <c r="H303" s="4" t="n"/>
      <c r="I303" s="19" t="inlineStr">
        <is>
          <t>Rey develops her newly discovered abilities with the guidance of Luke Skywalker, who is unsettled by the strength of her powers. Meanwhile, the Resistance prepares to do battle with the First Order.</t>
        </is>
      </c>
      <c r="J303" s="19" t="inlineStr">
        <is>
          <t>Rian Johnson</t>
        </is>
      </c>
      <c r="K303" s="19" t="n">
        <v>152</v>
      </c>
      <c r="L303" s="19" t="inlineStr">
        <is>
          <t>Adventure, Action, Science Fiction</t>
        </is>
      </c>
      <c r="M303" s="19" t="inlineStr">
        <is>
          <t>Lucasfilm Ltd.</t>
        </is>
      </c>
      <c r="N303" s="19" t="inlineStr">
        <is>
          <t>https://huggingface.co/datasets/HenryWaltson/TMDB-IMDB-Movies-Dataset</t>
        </is>
      </c>
      <c r="O303" s="19" t="inlineStr">
        <is>
          <t>https://huggingface.co/datasets/HenryWaltson/TMDB-IMDB-Movies-Dataset</t>
        </is>
      </c>
      <c r="P303" s="18" t="inlineStr">
        <is>
          <t>Mark Hamill</t>
        </is>
      </c>
      <c r="Q303" s="18" t="inlineStr">
        <is>
          <t>Carrie Fisher</t>
        </is>
      </c>
      <c r="R303" s="18" t="inlineStr">
        <is>
          <t>Adam Driver</t>
        </is>
      </c>
      <c r="S303" s="18" t="inlineStr">
        <is>
          <t>Daisy Ridley</t>
        </is>
      </c>
      <c r="T303" s="18" t="inlineStr">
        <is>
          <t>John Boyega</t>
        </is>
      </c>
      <c r="U303" s="24" t="n">
        <v>4</v>
      </c>
      <c r="V303" s="24" t="n">
        <v>0</v>
      </c>
      <c r="W303" s="4" t="n"/>
      <c r="X303" s="25">
        <f t="array" ref="X303">IFERROR(INDEX(Ratings!$E$5:$E$500,MATCH(A303,Ratings!$A$5:$A$500,0)),"")</f>
        <v/>
      </c>
      <c r="Y303" s="24">
        <f t="array" ref="Y303">IFERROR(INDEX(Ratings!$G$5:$G$500,MATCH(A303,Ratings!$A$5:$A$500,0)),"")</f>
        <v/>
      </c>
      <c r="Z303" s="26">
        <f t="array" ref="Z303">IFERROR(INDEX(Ratings!$I$5:$I$500,MATCH(A303,Ratings!$A$5:$A$500,0)),"")</f>
        <v/>
      </c>
      <c r="AB303" s="18" t="inlineStr">
        <is>
          <t>12A</t>
        </is>
      </c>
    </row>
    <row r="304" ht="15.75" customHeight="1" s="108">
      <c r="A304" s="18" t="inlineStr">
        <is>
          <t>F0300</t>
        </is>
      </c>
      <c r="B304" s="18" t="inlineStr">
        <is>
          <t>Star Wars: The Rise of Skywalker</t>
        </is>
      </c>
      <c r="C304" s="20" t="inlineStr">
        <is>
          <t>2019</t>
        </is>
      </c>
      <c r="D304" s="18" t="inlineStr">
        <is>
          <t>Blu-ray</t>
        </is>
      </c>
      <c r="E304" s="18" t="inlineStr">
        <is>
          <t>Star Wars</t>
        </is>
      </c>
      <c r="F304" s="19" t="n"/>
      <c r="G304" s="4" t="n"/>
      <c r="H304" s="4" t="n"/>
      <c r="I304" s="19" t="inlineStr">
        <is>
          <t>The surviving Resistance faces the First Order once again as the journey of Rey, Finn and Poe Dameron continues. With the power and knowledge of generations behind them, the final battle begins.</t>
        </is>
      </c>
      <c r="J304" s="19" t="inlineStr">
        <is>
          <t>J.J. Abrams</t>
        </is>
      </c>
      <c r="K304" s="19" t="n">
        <v>142</v>
      </c>
      <c r="L304" s="19" t="inlineStr">
        <is>
          <t>Adventure, Action, Science Fiction</t>
        </is>
      </c>
      <c r="M304" s="19" t="inlineStr">
        <is>
          <t>Lucasfilm Ltd., Bad Robot</t>
        </is>
      </c>
      <c r="N304" s="19" t="inlineStr">
        <is>
          <t>https://huggingface.co/datasets/HenryWaltson/TMDB-IMDB-Movies-Dataset</t>
        </is>
      </c>
      <c r="O304" s="19" t="inlineStr">
        <is>
          <t>https://huggingface.co/datasets/HenryWaltson/TMDB-IMDB-Movies-Dataset</t>
        </is>
      </c>
      <c r="P304" s="18" t="inlineStr">
        <is>
          <t>Carrie Fisher</t>
        </is>
      </c>
      <c r="Q304" s="18" t="inlineStr">
        <is>
          <t>Mark Hamill</t>
        </is>
      </c>
      <c r="R304" s="18" t="inlineStr">
        <is>
          <t>Daisy Ridley</t>
        </is>
      </c>
      <c r="S304" s="18" t="inlineStr">
        <is>
          <t>Adam Driver</t>
        </is>
      </c>
      <c r="T304" s="18" t="inlineStr">
        <is>
          <t>John Boyega</t>
        </is>
      </c>
      <c r="U304" s="24" t="n">
        <v>3</v>
      </c>
      <c r="V304" s="24" t="n">
        <v>0</v>
      </c>
      <c r="W304" s="4" t="n"/>
      <c r="X304" s="25">
        <f t="array" ref="X304">IFERROR(INDEX(Ratings!$E$5:$E$500,MATCH(A304,Ratings!$A$5:$A$500,0)),"")</f>
        <v/>
      </c>
      <c r="Y304" s="24">
        <f t="array" ref="Y304">IFERROR(INDEX(Ratings!$G$5:$G$500,MATCH(A304,Ratings!$A$5:$A$500,0)),"")</f>
        <v/>
      </c>
      <c r="Z304" s="26">
        <f t="array" ref="Z304">IFERROR(INDEX(Ratings!$I$5:$I$500,MATCH(A304,Ratings!$A$5:$A$500,0)),"")</f>
        <v/>
      </c>
      <c r="AB304" s="18" t="inlineStr">
        <is>
          <t>12A</t>
        </is>
      </c>
    </row>
    <row r="305" ht="15.75" customHeight="1" s="108">
      <c r="A305" s="18" t="inlineStr">
        <is>
          <t>F0301</t>
        </is>
      </c>
      <c r="B305" s="18" t="inlineStr">
        <is>
          <t>Straight Outta Compton</t>
        </is>
      </c>
      <c r="C305" s="20" t="inlineStr">
        <is>
          <t>2015</t>
        </is>
      </c>
      <c r="D305" s="18" t="inlineStr">
        <is>
          <t>Blu-ray</t>
        </is>
      </c>
      <c r="E305" s="4" t="n"/>
      <c r="F305" s="19" t="n"/>
      <c r="G305" s="4" t="n"/>
      <c r="H305" s="4" t="n"/>
      <c r="I305" s="19" t="inlineStr">
        <is>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t>
        </is>
      </c>
      <c r="J305" s="19" t="inlineStr">
        <is>
          <t>F. Gary Gray</t>
        </is>
      </c>
      <c r="K305" s="19" t="n">
        <v>147</v>
      </c>
      <c r="L305" s="19" t="inlineStr">
        <is>
          <t>Drama, Music, History</t>
        </is>
      </c>
      <c r="M305" s="19" t="inlineStr">
        <is>
          <t>Broken Chair Flickz, Universal Pictures, Legendary Pictures</t>
        </is>
      </c>
      <c r="N305" s="19" t="inlineStr">
        <is>
          <t>https://huggingface.co/datasets/HenryWaltson/TMDB-IMDB-Movies-Dataset</t>
        </is>
      </c>
      <c r="O305" s="19" t="inlineStr">
        <is>
          <t>https://huggingface.co/datasets/HenryWaltson/TMDB-IMDB-Movies-Dataset</t>
        </is>
      </c>
      <c r="P305" s="18" t="inlineStr">
        <is>
          <t>O'Shea Jackson Jr.</t>
        </is>
      </c>
      <c r="Q305" s="18" t="inlineStr">
        <is>
          <t>Corey Hawkins</t>
        </is>
      </c>
      <c r="R305" s="18" t="inlineStr">
        <is>
          <t>Jason Mitchell</t>
        </is>
      </c>
      <c r="S305" s="18" t="inlineStr">
        <is>
          <t>Neil Brown Jr.</t>
        </is>
      </c>
      <c r="T305" s="18" t="inlineStr">
        <is>
          <t>Aldis Hodge</t>
        </is>
      </c>
      <c r="U305" s="24" t="n">
        <v>1</v>
      </c>
      <c r="V305" s="24" t="n">
        <v>0</v>
      </c>
      <c r="W305" s="4" t="n"/>
      <c r="X305" s="25">
        <f t="array" ref="X305">IFERROR(INDEX(Ratings!$E$5:$E$500,MATCH(A305,Ratings!$A$5:$A$500,0)),"")</f>
        <v/>
      </c>
      <c r="Y305" s="24">
        <f t="array" ref="Y305">IFERROR(INDEX(Ratings!$G$5:$G$500,MATCH(A305,Ratings!$A$5:$A$500,0)),"")</f>
        <v/>
      </c>
      <c r="Z305" s="26">
        <f t="array" ref="Z305">IFERROR(INDEX(Ratings!$I$5:$I$500,MATCH(A305,Ratings!$A$5:$A$500,0)),"")</f>
        <v/>
      </c>
      <c r="AB305" s="18" t="inlineStr">
        <is>
          <t>15</t>
        </is>
      </c>
    </row>
    <row r="306" ht="15.75" customHeight="1" s="108">
      <c r="A306" s="18" t="inlineStr">
        <is>
          <t>F0302</t>
        </is>
      </c>
      <c r="B306" s="18" t="inlineStr">
        <is>
          <t>Super 8</t>
        </is>
      </c>
      <c r="C306" s="20" t="inlineStr">
        <is>
          <t>2011</t>
        </is>
      </c>
      <c r="D306" s="18" t="inlineStr">
        <is>
          <t>Blu-ray</t>
        </is>
      </c>
      <c r="E306" s="4" t="n"/>
      <c r="F306" s="19" t="n"/>
      <c r="G306" s="4" t="n"/>
      <c r="H306" s="4" t="n"/>
      <c r="I306" s="19" t="inlineStr">
        <is>
          <t>In late 1970s Ohio, a group of friends filming a homemade zombie movie witness a devastating train derailment. Soon after, their quiet town is gripped by unexplained disappearances, strange phenomena, and a growing sense of fear, as they uncover that something terrifying has been set loose.</t>
        </is>
      </c>
      <c r="J306" s="19" t="inlineStr">
        <is>
          <t>J.J. Abrams</t>
        </is>
      </c>
      <c r="K306" s="19" t="n">
        <v>112</v>
      </c>
      <c r="L306" s="19" t="inlineStr">
        <is>
          <t>Thriller, Science Fiction, Mystery</t>
        </is>
      </c>
      <c r="M306" s="19" t="inlineStr">
        <is>
          <t>Bad Robot, Amblin Entertainment, Paramount</t>
        </is>
      </c>
      <c r="N306" s="19" t="inlineStr">
        <is>
          <t>https://huggingface.co/datasets/HenryWaltson/TMDB-IMDB-Movies-Dataset</t>
        </is>
      </c>
      <c r="O306" s="19" t="inlineStr">
        <is>
          <t>https://huggingface.co/datasets/HenryWaltson/TMDB-IMDB-Movies-Dataset</t>
        </is>
      </c>
      <c r="P306" s="18" t="inlineStr">
        <is>
          <t>Joel Courtney</t>
        </is>
      </c>
      <c r="Q306" s="18" t="inlineStr">
        <is>
          <t>Elle Fanning</t>
        </is>
      </c>
      <c r="R306" s="18" t="inlineStr">
        <is>
          <t>Riley Griffiths</t>
        </is>
      </c>
      <c r="S306" s="18" t="inlineStr">
        <is>
          <t>Kyle Chandler</t>
        </is>
      </c>
      <c r="T306" s="18" t="inlineStr">
        <is>
          <t>Noah Emmerich</t>
        </is>
      </c>
      <c r="U306" s="24" t="n">
        <v>0</v>
      </c>
      <c r="V306" s="24" t="n">
        <v>0</v>
      </c>
      <c r="W306" s="4" t="n"/>
      <c r="X306" s="25">
        <f t="array" ref="X306">IFERROR(INDEX(Ratings!$E$5:$E$500,MATCH(A306,Ratings!$A$5:$A$500,0)),"")</f>
        <v/>
      </c>
      <c r="Y306" s="24">
        <f t="array" ref="Y306">IFERROR(INDEX(Ratings!$G$5:$G$500,MATCH(A306,Ratings!$A$5:$A$500,0)),"")</f>
        <v/>
      </c>
      <c r="Z306" s="26">
        <f t="array" ref="Z306">IFERROR(INDEX(Ratings!$I$5:$I$500,MATCH(A306,Ratings!$A$5:$A$500,0)),"")</f>
        <v/>
      </c>
      <c r="AB306" s="18" t="inlineStr">
        <is>
          <t>12A</t>
        </is>
      </c>
    </row>
    <row r="307" ht="15.75" customHeight="1" s="108">
      <c r="A307" s="18" t="inlineStr">
        <is>
          <t>F0303</t>
        </is>
      </c>
      <c r="B307" s="18" t="inlineStr">
        <is>
          <t>Superbad</t>
        </is>
      </c>
      <c r="C307" s="20" t="inlineStr">
        <is>
          <t>2007</t>
        </is>
      </c>
      <c r="D307" s="18" t="inlineStr">
        <is>
          <t>Blu-ray</t>
        </is>
      </c>
      <c r="E307" s="4" t="n"/>
      <c r="F307" s="19" t="n"/>
      <c r="G307" s="4" t="inlineStr">
        <is>
          <t>Yes</t>
        </is>
      </c>
      <c r="H307" s="4" t="inlineStr">
        <is>
          <t>⭐⭐⭐</t>
        </is>
      </c>
      <c r="I307" s="19" t="inlineStr">
        <is>
          <t>Two co-dependent high school seniors are forced to deal with separation anxiety after their plan to stage a booze-soaked party goes awry.</t>
        </is>
      </c>
      <c r="J307" s="19" t="inlineStr">
        <is>
          <t>Greg Mottola</t>
        </is>
      </c>
      <c r="K307" s="19" t="n">
        <v>113</v>
      </c>
      <c r="L307" s="19" t="inlineStr">
        <is>
          <t>Comedy</t>
        </is>
      </c>
      <c r="M307" s="19" t="inlineStr">
        <is>
          <t>Columbia Pictures, Apatow Productions</t>
        </is>
      </c>
      <c r="N307" s="19" t="inlineStr">
        <is>
          <t>https://huggingface.co/datasets/HenryWaltson/TMDB-IMDB-Movies-Dataset</t>
        </is>
      </c>
      <c r="O307" s="19" t="inlineStr">
        <is>
          <t>https://huggingface.co/datasets/HenryWaltson/TMDB-IMDB-Movies-Dataset</t>
        </is>
      </c>
      <c r="P307" s="18" t="inlineStr">
        <is>
          <t>Jonah Hill</t>
        </is>
      </c>
      <c r="Q307" s="18" t="inlineStr">
        <is>
          <t>Michael Cera</t>
        </is>
      </c>
      <c r="R307" s="18" t="inlineStr">
        <is>
          <t>Christopher Mintz-Plasse</t>
        </is>
      </c>
      <c r="S307" s="18" t="inlineStr">
        <is>
          <t>Bill Hader</t>
        </is>
      </c>
      <c r="T307" s="18" t="inlineStr">
        <is>
          <t>Seth Rogen</t>
        </is>
      </c>
      <c r="U307" s="24" t="n">
        <v>0</v>
      </c>
      <c r="V307" s="24" t="n">
        <v>0</v>
      </c>
      <c r="W307" s="4" t="n"/>
      <c r="X307" s="25">
        <f t="array" ref="X307">IFERROR(INDEX(Ratings!$E$5:$E$500,MATCH(A307,Ratings!$A$5:$A$500,0)),"")</f>
        <v/>
      </c>
      <c r="Y307" s="24">
        <f t="array" ref="Y307">IFERROR(INDEX(Ratings!$G$5:$G$500,MATCH(A307,Ratings!$A$5:$A$500,0)),"")</f>
        <v/>
      </c>
      <c r="Z307" s="26">
        <f t="array" ref="Z307">IFERROR(INDEX(Ratings!$I$5:$I$500,MATCH(A307,Ratings!$A$5:$A$500,0)),"")</f>
        <v/>
      </c>
      <c r="AA307" s="0" t="inlineStr">
        <is>
          <t>2026-08-22</t>
        </is>
      </c>
      <c r="AB307" s="18" t="inlineStr">
        <is>
          <t>15</t>
        </is>
      </c>
    </row>
    <row r="308" ht="15.75" customHeight="1" s="108">
      <c r="A308" s="18" t="inlineStr">
        <is>
          <t>F0304</t>
        </is>
      </c>
      <c r="B308" s="18" t="inlineStr">
        <is>
          <t>Superman</t>
        </is>
      </c>
      <c r="C308" s="20" t="inlineStr">
        <is>
          <t>2025</t>
        </is>
      </c>
      <c r="D308" s="18" t="inlineStr">
        <is>
          <t>Blu-ray</t>
        </is>
      </c>
      <c r="E308" s="4" t="n"/>
      <c r="F308" s="19" t="n"/>
      <c r="G308" s="4" t="n"/>
      <c r="H308" s="4" t="n"/>
      <c r="I308" s="19" t="inlineStr">
        <is>
          <t>Best guess: 1978 Christopher Reeve film.</t>
        </is>
      </c>
      <c r="J308" s="19" t="inlineStr">
        <is>
          <t>Richard Donner</t>
        </is>
      </c>
      <c r="K308" s="19" t="n">
        <v>143</v>
      </c>
      <c r="L308" s="19" t="inlineStr">
        <is>
          <t>Science Fiction, Action, Adventure</t>
        </is>
      </c>
      <c r="M308" s="19" t="inlineStr">
        <is>
          <t>Dovemead Films, Film Export A.G., Warner Bros. Pictures</t>
        </is>
      </c>
      <c r="N308" s="19" t="inlineStr">
        <is>
          <t>https://huggingface.co/datasets/HenryWaltson/TMDB-IMDB-Movies-Dataset</t>
        </is>
      </c>
      <c r="O308" s="19" t="inlineStr">
        <is>
          <t>https://www.superman.com/</t>
        </is>
      </c>
      <c r="P308" s="18" t="inlineStr">
        <is>
          <t>David Corenswet</t>
        </is>
      </c>
      <c r="Q308" s="18" t="inlineStr">
        <is>
          <t>Rachel Brosnahan</t>
        </is>
      </c>
      <c r="R308" s="18" t="inlineStr">
        <is>
          <t>Nicholas Hoult</t>
        </is>
      </c>
      <c r="S308" s="18" t="inlineStr">
        <is>
          <t>Edi Gathegi</t>
        </is>
      </c>
      <c r="T308" s="18" t="inlineStr">
        <is>
          <t>Anthony Carrigan</t>
        </is>
      </c>
      <c r="U308" s="24" t="n">
        <v>0</v>
      </c>
      <c r="V308" s="24" t="n">
        <v>0</v>
      </c>
      <c r="W308" s="4" t="n"/>
      <c r="X308" s="25">
        <f t="array" ref="X308">IFERROR(INDEX(Ratings!$E$5:$E$500,MATCH(A308,Ratings!$A$5:$A$500,0)),"")</f>
        <v/>
      </c>
      <c r="Y308" s="24">
        <f t="array" ref="Y308">IFERROR(INDEX(Ratings!$G$5:$G$500,MATCH(A308,Ratings!$A$5:$A$500,0)),"")</f>
        <v/>
      </c>
      <c r="Z308" s="26">
        <f t="array" ref="Z308">IFERROR(INDEX(Ratings!$I$5:$I$500,MATCH(A308,Ratings!$A$5:$A$500,0)),"")</f>
        <v/>
      </c>
      <c r="AB308" s="18" t="inlineStr">
        <is>
          <t>12A</t>
        </is>
      </c>
    </row>
    <row r="309" ht="15.75" customHeight="1" s="108">
      <c r="A309" s="18" t="inlineStr">
        <is>
          <t>F0305</t>
        </is>
      </c>
      <c r="B309" s="18" t="inlineStr">
        <is>
          <t>The Sweeney</t>
        </is>
      </c>
      <c r="C309" s="20" t="inlineStr">
        <is>
          <t>2012</t>
        </is>
      </c>
      <c r="D309" s="18" t="inlineStr">
        <is>
          <t>Blu-ray</t>
        </is>
      </c>
      <c r="E309" s="4" t="n"/>
      <c r="F309" s="19" t="n"/>
      <c r="G309" s="4" t="n"/>
      <c r="H309" s="4" t="n"/>
      <c r="I309" s="19" t="inlineStr">
        <is>
          <t>Jack Regan, a hardened cop who doesn’t play by the rules, is confronted with a criminal from his past. With sidekick George Carter they are put on the case of a jewellery store heist that ends in a killing. But is that killing really an execution in disguise? With pressure from his boss and the fact that Regan is having an affair with that boss’s wife, it’s not going to be easy for him to stay out of trouble.</t>
        </is>
      </c>
      <c r="J309" s="19" t="inlineStr">
        <is>
          <t>Nick Love</t>
        </is>
      </c>
      <c r="K309" s="19" t="n">
        <v>112</v>
      </c>
      <c r="L309" s="19" t="inlineStr">
        <is>
          <t>Action, Crime</t>
        </is>
      </c>
      <c r="M309" s="19" t="inlineStr">
        <is>
          <t>Vertigo Films, Embargo Films, Exponential Films</t>
        </is>
      </c>
      <c r="N309" s="19" t="inlineStr">
        <is>
          <t>https://huggingface.co/datasets/HenryWaltson/TMDB-IMDB-Movies-Dataset</t>
        </is>
      </c>
      <c r="O309" s="19" t="inlineStr">
        <is>
          <t>https://huggingface.co/datasets/HenryWaltson/TMDB-IMDB-Movies-Dataset</t>
        </is>
      </c>
      <c r="P309" s="18" t="inlineStr">
        <is>
          <t>Ray Winstone</t>
        </is>
      </c>
      <c r="Q309" s="18" t="inlineStr">
        <is>
          <t>Plan B</t>
        </is>
      </c>
      <c r="R309" s="18" t="inlineStr">
        <is>
          <t>Hayley Atwell</t>
        </is>
      </c>
      <c r="S309" s="18" t="inlineStr">
        <is>
          <t>Damian Lewis</t>
        </is>
      </c>
      <c r="T309" s="18" t="inlineStr">
        <is>
          <t>Alan Ford</t>
        </is>
      </c>
      <c r="U309" s="24" t="n">
        <v>0</v>
      </c>
      <c r="V309" s="24" t="n">
        <v>0</v>
      </c>
      <c r="W309" s="4" t="n"/>
      <c r="X309" s="25">
        <f t="array" ref="X309">IFERROR(INDEX(Ratings!$E$5:$E$500,MATCH(A309,Ratings!$A$5:$A$500,0)),"")</f>
        <v/>
      </c>
      <c r="Y309" s="24">
        <f t="array" ref="Y309">IFERROR(INDEX(Ratings!$G$5:$G$500,MATCH(A309,Ratings!$A$5:$A$500,0)),"")</f>
        <v/>
      </c>
      <c r="Z309" s="26">
        <f t="array" ref="Z309">IFERROR(INDEX(Ratings!$I$5:$I$500,MATCH(A309,Ratings!$A$5:$A$500,0)),"")</f>
        <v/>
      </c>
      <c r="AB309" s="18" t="inlineStr">
        <is>
          <t>15</t>
        </is>
      </c>
    </row>
    <row r="310" ht="15.75" customHeight="1" s="108">
      <c r="A310" s="18" t="inlineStr">
        <is>
          <t>F0306</t>
        </is>
      </c>
      <c r="B310" s="18" t="inlineStr">
        <is>
          <t>Taken</t>
        </is>
      </c>
      <c r="C310" s="20" t="inlineStr">
        <is>
          <t>2008</t>
        </is>
      </c>
      <c r="D310" s="18" t="inlineStr">
        <is>
          <t>Blu-ray</t>
        </is>
      </c>
      <c r="E310" s="18" t="inlineStr">
        <is>
          <t>Taken</t>
        </is>
      </c>
      <c r="F310" s="19" t="n"/>
      <c r="G310" s="4" t="n"/>
      <c r="H310" s="4" t="n"/>
      <c r="I310" s="19" t="inlineStr">
        <is>
          <t>Bryan Mills, a former government operative, is trying to reconnect with his teenage daughter Kim. After reluctantly agreeing with his ex-wife to let Kim go to Paris on vacation with a friend, his worst nightmare comes true. While on the phone with his daughter shortly after she arrives in Paris, she and her friend are abducted by a gang of human traffickers. Working against the clock, Bryan relies on his extensive training and skills to track down the ruthless gang that abducted her and launch a one-man war to rescue his daughter.</t>
        </is>
      </c>
      <c r="J310" s="19" t="inlineStr">
        <is>
          <t>Pierre Morel</t>
        </is>
      </c>
      <c r="K310" s="19" t="n">
        <v>94</v>
      </c>
      <c r="L310" s="19" t="inlineStr">
        <is>
          <t>Action, Thriller</t>
        </is>
      </c>
      <c r="M310" s="19" t="inlineStr">
        <is>
          <t>Wintergreen Productions, EuropaCorp, M6 Films</t>
        </is>
      </c>
      <c r="N310" s="19" t="inlineStr">
        <is>
          <t>https://huggingface.co/datasets/HenryWaltson/TMDB-IMDB-Movies-Dataset</t>
        </is>
      </c>
      <c r="O310" s="19" t="inlineStr">
        <is>
          <t>https://huggingface.co/datasets/HenryWaltson/TMDB-IMDB-Movies-Dataset</t>
        </is>
      </c>
      <c r="P310" s="18" t="inlineStr">
        <is>
          <t>Liam Neeson</t>
        </is>
      </c>
      <c r="Q310" s="18" t="inlineStr">
        <is>
          <t>Maggie Grace</t>
        </is>
      </c>
      <c r="R310" s="18" t="inlineStr">
        <is>
          <t>Leland Orser</t>
        </is>
      </c>
      <c r="S310" s="18" t="inlineStr">
        <is>
          <t>Famke Janssen</t>
        </is>
      </c>
      <c r="T310" s="18" t="inlineStr">
        <is>
          <t>Jon Gries</t>
        </is>
      </c>
      <c r="U310" s="24" t="n">
        <v>0</v>
      </c>
      <c r="V310" s="24" t="n">
        <v>0</v>
      </c>
      <c r="W310" s="4" t="n"/>
      <c r="X310" s="25">
        <f t="array" ref="X310">IFERROR(INDEX(Ratings!$E$5:$E$500,MATCH(A310,Ratings!$A$5:$A$500,0)),"")</f>
        <v/>
      </c>
      <c r="Y310" s="24">
        <f t="array" ref="Y310">IFERROR(INDEX(Ratings!$G$5:$G$500,MATCH(A310,Ratings!$A$5:$A$500,0)),"")</f>
        <v/>
      </c>
      <c r="Z310" s="26">
        <f t="array" ref="Z310">IFERROR(INDEX(Ratings!$I$5:$I$500,MATCH(A310,Ratings!$A$5:$A$500,0)),"")</f>
        <v/>
      </c>
      <c r="AB310" s="18" t="inlineStr">
        <is>
          <t>18</t>
        </is>
      </c>
    </row>
    <row r="311" ht="15.75" customHeight="1" s="108">
      <c r="A311" s="18" t="inlineStr">
        <is>
          <t>F0307</t>
        </is>
      </c>
      <c r="B311" s="18" t="inlineStr">
        <is>
          <t>Taken 2</t>
        </is>
      </c>
      <c r="C311" s="20" t="inlineStr">
        <is>
          <t>2012</t>
        </is>
      </c>
      <c r="D311" s="18" t="inlineStr">
        <is>
          <t>Blu-ray</t>
        </is>
      </c>
      <c r="E311" s="18" t="inlineStr">
        <is>
          <t>Taken</t>
        </is>
      </c>
      <c r="F311" s="19" t="n"/>
      <c r="G311" s="4" t="n"/>
      <c r="H311" s="4" t="n"/>
      <c r="I311" s="19" t="inlineStr">
        <is>
          <t>In Istanbul, retired CIA operative Bryan Mills and his wife are taken hostage by the father of a kidnapper Mills killed while rescuing his daughter.</t>
        </is>
      </c>
      <c r="J311" s="19" t="inlineStr">
        <is>
          <t>Olivier Megaton</t>
        </is>
      </c>
      <c r="K311" s="19" t="n">
        <v>91</v>
      </c>
      <c r="L311" s="19" t="inlineStr">
        <is>
          <t>Action, Crime, Thriller</t>
        </is>
      </c>
      <c r="M311" s="19" t="inlineStr">
        <is>
          <t>EuropaCorp, Grive Productions, M6 Films</t>
        </is>
      </c>
      <c r="N311" s="19" t="inlineStr">
        <is>
          <t>https://huggingface.co/datasets/HenryWaltson/TMDB-IMDB-Movies-Dataset</t>
        </is>
      </c>
      <c r="O311" s="19" t="inlineStr">
        <is>
          <t>https://huggingface.co/datasets/HenryWaltson/TMDB-IMDB-Movies-Dataset</t>
        </is>
      </c>
      <c r="P311" s="18" t="inlineStr">
        <is>
          <t>Liam Neeson</t>
        </is>
      </c>
      <c r="Q311" s="18" t="inlineStr">
        <is>
          <t>Maggie Grace</t>
        </is>
      </c>
      <c r="R311" s="18" t="inlineStr">
        <is>
          <t>Famke Janssen</t>
        </is>
      </c>
      <c r="S311" s="18" t="inlineStr">
        <is>
          <t>Leland Orser</t>
        </is>
      </c>
      <c r="T311" s="18" t="inlineStr">
        <is>
          <t>D.B. Sweeney</t>
        </is>
      </c>
      <c r="U311" s="24" t="n">
        <v>0</v>
      </c>
      <c r="V311" s="24" t="n">
        <v>0</v>
      </c>
      <c r="W311" s="4" t="n"/>
      <c r="X311" s="25">
        <f t="array" ref="X311">IFERROR(INDEX(Ratings!$E$5:$E$500,MATCH(A311,Ratings!$A$5:$A$500,0)),"")</f>
        <v/>
      </c>
      <c r="Y311" s="24">
        <f t="array" ref="Y311">IFERROR(INDEX(Ratings!$G$5:$G$500,MATCH(A311,Ratings!$A$5:$A$500,0)),"")</f>
        <v/>
      </c>
      <c r="Z311" s="26">
        <f t="array" ref="Z311">IFERROR(INDEX(Ratings!$I$5:$I$500,MATCH(A311,Ratings!$A$5:$A$500,0)),"")</f>
        <v/>
      </c>
      <c r="AB311" s="18" t="inlineStr">
        <is>
          <t>15</t>
        </is>
      </c>
    </row>
    <row r="312" ht="15.75" customHeight="1" s="108">
      <c r="A312" s="18" t="inlineStr">
        <is>
          <t>F0308</t>
        </is>
      </c>
      <c r="B312" s="18" t="inlineStr">
        <is>
          <t>Ted</t>
        </is>
      </c>
      <c r="C312" s="20" t="inlineStr">
        <is>
          <t>2012</t>
        </is>
      </c>
      <c r="D312" s="18" t="inlineStr">
        <is>
          <t>Blu-ray</t>
        </is>
      </c>
      <c r="E312" s="4" t="n"/>
      <c r="F312" s="19" t="n"/>
      <c r="G312" s="4" t="n"/>
      <c r="H312" s="4" t="n"/>
      <c r="I312" s="19" t="inlineStr">
        <is>
          <t>John Bennett, a man whose childhood wish of bringing his teddy bear to life came true, now must decide between keeping the relationship with the bear or his girlfriend, Lori.</t>
        </is>
      </c>
      <c r="J312" s="19" t="inlineStr">
        <is>
          <t>Seth MacFarlane</t>
        </is>
      </c>
      <c r="K312" s="19" t="n">
        <v>107</v>
      </c>
      <c r="L312" s="19" t="inlineStr">
        <is>
          <t>Comedy, Fantasy</t>
        </is>
      </c>
      <c r="M312" s="19" t="inlineStr">
        <is>
          <t>Universal Pictures, MRC, Fuzzy Door Productions</t>
        </is>
      </c>
      <c r="N312" s="19" t="inlineStr">
        <is>
          <t>https://huggingface.co/datasets/HenryWaltson/TMDB-IMDB-Movies-Dataset</t>
        </is>
      </c>
      <c r="O312" s="19" t="inlineStr">
        <is>
          <t>https://huggingface.co/datasets/HenryWaltson/TMDB-IMDB-Movies-Dataset</t>
        </is>
      </c>
      <c r="P312" s="18" t="inlineStr">
        <is>
          <t>Mark Wahlberg</t>
        </is>
      </c>
      <c r="Q312" s="18" t="inlineStr">
        <is>
          <t>Mila Kunis</t>
        </is>
      </c>
      <c r="R312" s="18" t="inlineStr">
        <is>
          <t>Seth MacFarlane</t>
        </is>
      </c>
      <c r="S312" s="18" t="inlineStr">
        <is>
          <t>Joel McHale</t>
        </is>
      </c>
      <c r="T312" s="18" t="inlineStr">
        <is>
          <t>Giovanni Ribisi</t>
        </is>
      </c>
      <c r="U312" s="24" t="n">
        <v>1</v>
      </c>
      <c r="V312" s="24" t="n">
        <v>0</v>
      </c>
      <c r="W312" s="4" t="n"/>
      <c r="X312" s="25">
        <f t="array" ref="X312">IFERROR(INDEX(Ratings!$E$5:$E$500,MATCH(A312,Ratings!$A$5:$A$500,0)),"")</f>
        <v/>
      </c>
      <c r="Y312" s="24">
        <f t="array" ref="Y312">IFERROR(INDEX(Ratings!$G$5:$G$500,MATCH(A312,Ratings!$A$5:$A$500,0)),"")</f>
        <v/>
      </c>
      <c r="Z312" s="26">
        <f t="array" ref="Z312">IFERROR(INDEX(Ratings!$I$5:$I$500,MATCH(A312,Ratings!$A$5:$A$500,0)),"")</f>
        <v/>
      </c>
      <c r="AB312" s="18" t="inlineStr">
        <is>
          <t>15</t>
        </is>
      </c>
    </row>
    <row r="313" ht="15.75" customHeight="1" s="108">
      <c r="A313" s="18" t="inlineStr">
        <is>
          <t>F0309</t>
        </is>
      </c>
      <c r="B313" s="18" t="inlineStr">
        <is>
          <t>Teenage Mutant Ninja Turtles</t>
        </is>
      </c>
      <c r="C313" s="20" t="inlineStr">
        <is>
          <t>2014</t>
        </is>
      </c>
      <c r="D313" s="18" t="inlineStr">
        <is>
          <t>Blu-ray</t>
        </is>
      </c>
      <c r="E313" s="4" t="n"/>
      <c r="F313" s="19" t="n"/>
      <c r="G313" s="4" t="n"/>
      <c r="H313" s="4" t="n"/>
      <c r="I313" s="19" t="inlineStr">
        <is>
          <t>Best guess: 2014 film.</t>
        </is>
      </c>
      <c r="J313" s="19" t="inlineStr">
        <is>
          <t>Jonathan Liebesman</t>
        </is>
      </c>
      <c r="K313" s="19" t="n">
        <v>101</v>
      </c>
      <c r="L313" s="19" t="inlineStr">
        <is>
          <t>Science Fiction, Action, Adventure, Comedy</t>
        </is>
      </c>
      <c r="M313" s="19" t="inlineStr">
        <is>
          <t>Nickelodeon Movies, Paramount, Platinum Dunes</t>
        </is>
      </c>
      <c r="N313" s="19" t="inlineStr">
        <is>
          <t>https://huggingface.co/datasets/HenryWaltson/TMDB-IMDB-Movies-Dataset</t>
        </is>
      </c>
      <c r="O313" s="19" t="inlineStr">
        <is>
          <t>https://huggingface.co/datasets/HenryWaltson/TMDB-IMDB-Movies-Dataset</t>
        </is>
      </c>
      <c r="P313" s="18" t="inlineStr">
        <is>
          <t>Pete Ploszek</t>
        </is>
      </c>
      <c r="Q313" s="18" t="inlineStr">
        <is>
          <t>Alan Ritchson</t>
        </is>
      </c>
      <c r="R313" s="18" t="inlineStr">
        <is>
          <t>Jeremy Howard</t>
        </is>
      </c>
      <c r="S313" s="18" t="inlineStr">
        <is>
          <t>Noel Fisher</t>
        </is>
      </c>
      <c r="T313" s="18" t="inlineStr">
        <is>
          <t>Megan Fox</t>
        </is>
      </c>
      <c r="U313" s="24" t="n">
        <v>0</v>
      </c>
      <c r="V313" s="24" t="n">
        <v>0</v>
      </c>
      <c r="W313" s="4" t="n"/>
      <c r="X313" s="25">
        <f t="array" ref="X313">IFERROR(INDEX(Ratings!$E$5:$E$500,MATCH(A313,Ratings!$A$5:$A$500,0)),"")</f>
        <v/>
      </c>
      <c r="Y313" s="24">
        <f t="array" ref="Y313">IFERROR(INDEX(Ratings!$G$5:$G$500,MATCH(A313,Ratings!$A$5:$A$500,0)),"")</f>
        <v/>
      </c>
      <c r="Z313" s="26">
        <f t="array" ref="Z313">IFERROR(INDEX(Ratings!$I$5:$I$500,MATCH(A313,Ratings!$A$5:$A$500,0)),"")</f>
        <v/>
      </c>
      <c r="AB313" s="18" t="inlineStr">
        <is>
          <t>12A</t>
        </is>
      </c>
    </row>
    <row r="314" ht="15.75" customHeight="1" s="108">
      <c r="A314" s="18" t="inlineStr">
        <is>
          <t>F0310</t>
        </is>
      </c>
      <c r="B314" s="18" t="inlineStr">
        <is>
          <t>Terminator Salvation</t>
        </is>
      </c>
      <c r="C314" s="20" t="inlineStr">
        <is>
          <t>2009</t>
        </is>
      </c>
      <c r="D314" s="18" t="inlineStr">
        <is>
          <t>Blu-ray</t>
        </is>
      </c>
      <c r="E314" s="4" t="n"/>
      <c r="F314" s="19" t="n"/>
      <c r="G314" s="4" t="n"/>
      <c r="H314" s="4" t="n"/>
      <c r="I314" s="19" t="inlineStr">
        <is>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is>
      </c>
      <c r="J314" s="19" t="inlineStr">
        <is>
          <t>McG</t>
        </is>
      </c>
      <c r="K314" s="19" t="n">
        <v>115</v>
      </c>
      <c r="L314" s="19" t="inlineStr">
        <is>
          <t>Action, Science Fiction, Thriller</t>
        </is>
      </c>
      <c r="M314" s="19" t="inlineStr">
        <is>
          <t>Columbia Pictures, The Halcyon Company, Wonderland Sound and Vision</t>
        </is>
      </c>
      <c r="N314" s="19" t="inlineStr">
        <is>
          <t>https://huggingface.co/datasets/HenryWaltson/TMDB-IMDB-Movies-Dataset</t>
        </is>
      </c>
      <c r="O314" s="19" t="inlineStr">
        <is>
          <t>https://huggingface.co/datasets/HenryWaltson/TMDB-IMDB-Movies-Dataset</t>
        </is>
      </c>
      <c r="P314" s="18" t="inlineStr">
        <is>
          <t>Christian Bale</t>
        </is>
      </c>
      <c r="Q314" s="18" t="inlineStr">
        <is>
          <t>Sam Worthington</t>
        </is>
      </c>
      <c r="R314" s="18" t="inlineStr">
        <is>
          <t>Moon Bloodgood</t>
        </is>
      </c>
      <c r="S314" s="18" t="inlineStr">
        <is>
          <t>Helena Bonham Carter</t>
        </is>
      </c>
      <c r="T314" s="18" t="inlineStr">
        <is>
          <t>Anton Yelchin</t>
        </is>
      </c>
      <c r="U314" s="24" t="n">
        <v>0</v>
      </c>
      <c r="V314" s="24" t="n">
        <v>0</v>
      </c>
      <c r="W314" s="4" t="n"/>
      <c r="X314" s="25">
        <f t="array" ref="X314">IFERROR(INDEX(Ratings!$E$5:$E$500,MATCH(A314,Ratings!$A$5:$A$500,0)),"")</f>
        <v/>
      </c>
      <c r="Y314" s="24">
        <f t="array" ref="Y314">IFERROR(INDEX(Ratings!$G$5:$G$500,MATCH(A314,Ratings!$A$5:$A$500,0)),"")</f>
        <v/>
      </c>
      <c r="Z314" s="26">
        <f t="array" ref="Z314">IFERROR(INDEX(Ratings!$I$5:$I$500,MATCH(A314,Ratings!$A$5:$A$500,0)),"")</f>
        <v/>
      </c>
      <c r="AB314" s="18" t="inlineStr">
        <is>
          <t>12A</t>
        </is>
      </c>
    </row>
    <row r="315" ht="15.75" customHeight="1" s="108">
      <c r="A315" s="18" t="inlineStr">
        <is>
          <t>F0311</t>
        </is>
      </c>
      <c r="B315" s="18" t="inlineStr">
        <is>
          <t>The Theory of Everything</t>
        </is>
      </c>
      <c r="C315" s="20" t="inlineStr">
        <is>
          <t>2014</t>
        </is>
      </c>
      <c r="D315" s="18" t="inlineStr">
        <is>
          <t>Blu-ray</t>
        </is>
      </c>
      <c r="E315" s="4" t="n"/>
      <c r="F315" s="19" t="n"/>
      <c r="G315" s="4" t="n"/>
      <c r="H315" s="4" t="n"/>
      <c r="I315" s="19" t="inlineStr">
        <is>
          <t>Once a healthy, active young man, Hawking received an earth-shattering diagnosis at 21 years of age. With Jane fighting tirelessly by his side, Stephen embarks on his most ambitious scientific work, studying the very thing he now has precious little of – time.</t>
        </is>
      </c>
      <c r="J315" s="19" t="inlineStr">
        <is>
          <t>James Marsh</t>
        </is>
      </c>
      <c r="K315" s="19" t="n">
        <v>123</v>
      </c>
      <c r="L315" s="19" t="inlineStr">
        <is>
          <t>Drama, Romance</t>
        </is>
      </c>
      <c r="M315" s="19" t="inlineStr">
        <is>
          <t>Working Title Films</t>
        </is>
      </c>
      <c r="N315" s="19" t="inlineStr">
        <is>
          <t>https://huggingface.co/datasets/HenryWaltson/TMDB-IMDB-Movies-Dataset</t>
        </is>
      </c>
      <c r="O315" s="19" t="inlineStr">
        <is>
          <t>https://huggingface.co/datasets/HenryWaltson/TMDB-IMDB-Movies-Dataset</t>
        </is>
      </c>
      <c r="P315" s="18" t="inlineStr">
        <is>
          <t>Eddie Redmayne</t>
        </is>
      </c>
      <c r="Q315" s="18" t="inlineStr">
        <is>
          <t>Felicity Jones</t>
        </is>
      </c>
      <c r="R315" s="18" t="inlineStr">
        <is>
          <t>Charlie Cox</t>
        </is>
      </c>
      <c r="S315" s="18" t="inlineStr">
        <is>
          <t>Emily Watson</t>
        </is>
      </c>
      <c r="T315" s="18" t="inlineStr">
        <is>
          <t>Simon McBurney</t>
        </is>
      </c>
      <c r="U315" s="24" t="n">
        <v>5</v>
      </c>
      <c r="V315" s="24" t="n">
        <v>1</v>
      </c>
      <c r="W315" s="18" t="inlineStr">
        <is>
          <t>Nominated</t>
        </is>
      </c>
      <c r="X315" s="25">
        <f t="array" ref="X315">IFERROR(INDEX(Ratings!$E$5:$E$500,MATCH(A315,Ratings!$A$5:$A$500,0)),"")</f>
        <v/>
      </c>
      <c r="Y315" s="24">
        <f t="array" ref="Y315">IFERROR(INDEX(Ratings!$G$5:$G$500,MATCH(A315,Ratings!$A$5:$A$500,0)),"")</f>
        <v/>
      </c>
      <c r="Z315" s="26">
        <f t="array" ref="Z315">IFERROR(INDEX(Ratings!$I$5:$I$500,MATCH(A315,Ratings!$A$5:$A$500,0)),"")</f>
        <v/>
      </c>
      <c r="AB315" s="18" t="inlineStr">
        <is>
          <t>12A</t>
        </is>
      </c>
    </row>
    <row r="316" ht="15.75" customHeight="1" s="108">
      <c r="A316" s="18" t="inlineStr">
        <is>
          <t>F0312</t>
        </is>
      </c>
      <c r="B316" s="18" t="inlineStr">
        <is>
          <t>Toy Story</t>
        </is>
      </c>
      <c r="C316" s="20" t="inlineStr">
        <is>
          <t>1995</t>
        </is>
      </c>
      <c r="D316" s="18" t="inlineStr">
        <is>
          <t>Blu-ray</t>
        </is>
      </c>
      <c r="E316" s="18" t="inlineStr">
        <is>
          <t>Toy Story</t>
        </is>
      </c>
      <c r="F316" s="19" t="n"/>
      <c r="G316" s="4" t="n"/>
      <c r="H316" s="4" t="n"/>
      <c r="I316" s="19" t="inlineStr">
        <is>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is>
      </c>
      <c r="J316" s="19" t="inlineStr">
        <is>
          <t>John Lasseter</t>
        </is>
      </c>
      <c r="K316" s="19" t="n">
        <v>81</v>
      </c>
      <c r="L316" s="19" t="inlineStr">
        <is>
          <t>Animation, Adventure, Family, Comedy</t>
        </is>
      </c>
      <c r="M316" s="19" t="inlineStr">
        <is>
          <t>Pixar</t>
        </is>
      </c>
      <c r="N316" s="19" t="inlineStr">
        <is>
          <t>https://huggingface.co/datasets/HenryWaltson/TMDB-IMDB-Movies-Dataset</t>
        </is>
      </c>
      <c r="O316" s="19" t="inlineStr">
        <is>
          <t>https://huggingface.co/datasets/HenryWaltson/TMDB-IMDB-Movies-Dataset</t>
        </is>
      </c>
      <c r="P316" s="18" t="inlineStr">
        <is>
          <t>Tom Hanks</t>
        </is>
      </c>
      <c r="Q316" s="18" t="inlineStr">
        <is>
          <t>Tim Allen</t>
        </is>
      </c>
      <c r="R316" s="18" t="inlineStr">
        <is>
          <t>Don Rickles</t>
        </is>
      </c>
      <c r="S316" s="18" t="inlineStr">
        <is>
          <t>Jim Varney</t>
        </is>
      </c>
      <c r="T316" s="18" t="inlineStr">
        <is>
          <t>Wallace Shawn</t>
        </is>
      </c>
      <c r="U316" s="24" t="n">
        <v>4</v>
      </c>
      <c r="V316" s="24" t="n">
        <v>1</v>
      </c>
      <c r="W316" s="4" t="n"/>
      <c r="X316" s="25">
        <f t="array" ref="X316">IFERROR(INDEX(Ratings!$E$5:$E$500,MATCH(A316,Ratings!$A$5:$A$500,0)),"")</f>
        <v/>
      </c>
      <c r="Y316" s="24">
        <f t="array" ref="Y316">IFERROR(INDEX(Ratings!$G$5:$G$500,MATCH(A316,Ratings!$A$5:$A$500,0)),"")</f>
        <v/>
      </c>
      <c r="Z316" s="26">
        <f t="array" ref="Z316">IFERROR(INDEX(Ratings!$I$5:$I$500,MATCH(A316,Ratings!$A$5:$A$500,0)),"")</f>
        <v/>
      </c>
      <c r="AB316" s="18" t="inlineStr">
        <is>
          <t>PG</t>
        </is>
      </c>
    </row>
    <row r="317" ht="15.75" customHeight="1" s="108">
      <c r="A317" s="18" t="inlineStr">
        <is>
          <t>F0313</t>
        </is>
      </c>
      <c r="B317" s="18" t="inlineStr">
        <is>
          <t>Toy Story 2</t>
        </is>
      </c>
      <c r="C317" s="20" t="inlineStr">
        <is>
          <t>1999</t>
        </is>
      </c>
      <c r="D317" s="18" t="inlineStr">
        <is>
          <t>Blu-ray</t>
        </is>
      </c>
      <c r="E317" s="18" t="inlineStr">
        <is>
          <t>Toy Story</t>
        </is>
      </c>
      <c r="F317" s="19" t="n"/>
      <c r="G317" s="4" t="n"/>
      <c r="H317" s="4" t="n"/>
      <c r="I317" s="19" t="inlineStr">
        <is>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is>
      </c>
      <c r="J317" s="19" t="inlineStr">
        <is>
          <t>John Lasseter, Ash Brannon, Lee Unkrich</t>
        </is>
      </c>
      <c r="K317" s="19" t="n">
        <v>92</v>
      </c>
      <c r="L317" s="19" t="inlineStr">
        <is>
          <t>Animation, Comedy, Family</t>
        </is>
      </c>
      <c r="M317" s="19" t="inlineStr">
        <is>
          <t>Pixar</t>
        </is>
      </c>
      <c r="N317" s="19" t="inlineStr">
        <is>
          <t>https://huggingface.co/datasets/HenryWaltson/TMDB-IMDB-Movies-Dataset</t>
        </is>
      </c>
      <c r="O317" s="19" t="inlineStr">
        <is>
          <t>https://huggingface.co/datasets/HenryWaltson/TMDB-IMDB-Movies-Dataset</t>
        </is>
      </c>
      <c r="P317" s="18" t="inlineStr">
        <is>
          <t>Tom Hanks</t>
        </is>
      </c>
      <c r="Q317" s="18" t="inlineStr">
        <is>
          <t>Tim Allen</t>
        </is>
      </c>
      <c r="R317" s="18" t="inlineStr">
        <is>
          <t>Joan Cusack</t>
        </is>
      </c>
      <c r="S317" s="18" t="inlineStr">
        <is>
          <t>Kelsey Grammer</t>
        </is>
      </c>
      <c r="T317" s="18" t="inlineStr">
        <is>
          <t>Don Rickles</t>
        </is>
      </c>
      <c r="U317" s="24" t="n">
        <v>1</v>
      </c>
      <c r="V317" s="24" t="n">
        <v>0</v>
      </c>
      <c r="W317" s="4" t="n"/>
      <c r="X317" s="25">
        <f t="array" ref="X317">IFERROR(INDEX(Ratings!$E$5:$E$500,MATCH(A317,Ratings!$A$5:$A$500,0)),"")</f>
        <v/>
      </c>
      <c r="Y317" s="24">
        <f t="array" ref="Y317">IFERROR(INDEX(Ratings!$G$5:$G$500,MATCH(A317,Ratings!$A$5:$A$500,0)),"")</f>
        <v/>
      </c>
      <c r="Z317" s="26">
        <f t="array" ref="Z317">IFERROR(INDEX(Ratings!$I$5:$I$500,MATCH(A317,Ratings!$A$5:$A$500,0)),"")</f>
        <v/>
      </c>
      <c r="AB317" s="18" t="inlineStr">
        <is>
          <t>U</t>
        </is>
      </c>
    </row>
    <row r="318" ht="15.75" customHeight="1" s="108">
      <c r="A318" s="18" t="inlineStr">
        <is>
          <t>F0314</t>
        </is>
      </c>
      <c r="B318" s="18" t="inlineStr">
        <is>
          <t>Toy Story 3</t>
        </is>
      </c>
      <c r="C318" s="20" t="inlineStr">
        <is>
          <t>2010</t>
        </is>
      </c>
      <c r="D318" s="18" t="inlineStr">
        <is>
          <t>Blu-ray</t>
        </is>
      </c>
      <c r="E318" s="18" t="inlineStr">
        <is>
          <t>Toy Story</t>
        </is>
      </c>
      <c r="F318" s="19" t="n"/>
      <c r="G318" s="4" t="n"/>
      <c r="H318" s="4" t="n"/>
      <c r="I318" s="19" t="inlineStr">
        <is>
          <t>Woody, Buzz, and the rest of Andy's toys haven't been played with in years. With Andy about to go to college, the gang find themselves accidentally left at a nefarious day care center. The toys must band together to escape and return home to Andy.</t>
        </is>
      </c>
      <c r="J318" s="19" t="inlineStr">
        <is>
          <t>Lee Unkrich</t>
        </is>
      </c>
      <c r="K318" s="19" t="n">
        <v>103</v>
      </c>
      <c r="L318" s="19" t="inlineStr">
        <is>
          <t>Animation, Family, Comedy</t>
        </is>
      </c>
      <c r="M318" s="19" t="inlineStr">
        <is>
          <t>Pixar, Walt Disney Pictures</t>
        </is>
      </c>
      <c r="N318" s="19" t="inlineStr">
        <is>
          <t>https://huggingface.co/datasets/HenryWaltson/TMDB-IMDB-Movies-Dataset</t>
        </is>
      </c>
      <c r="O318" s="19" t="inlineStr">
        <is>
          <t>https://huggingface.co/datasets/HenryWaltson/TMDB-IMDB-Movies-Dataset</t>
        </is>
      </c>
      <c r="P318" s="18" t="inlineStr">
        <is>
          <t>Tom Hanks</t>
        </is>
      </c>
      <c r="Q318" s="18" t="inlineStr">
        <is>
          <t>Tim Allen</t>
        </is>
      </c>
      <c r="R318" s="18" t="inlineStr">
        <is>
          <t>Joan Cusack</t>
        </is>
      </c>
      <c r="S318" s="18" t="inlineStr">
        <is>
          <t>Don Rickles</t>
        </is>
      </c>
      <c r="T318" s="18" t="inlineStr">
        <is>
          <t>Wallace Shawn</t>
        </is>
      </c>
      <c r="U318" s="24" t="n">
        <v>5</v>
      </c>
      <c r="V318" s="24" t="n">
        <v>2</v>
      </c>
      <c r="W318" s="18" t="inlineStr">
        <is>
          <t>Nominated</t>
        </is>
      </c>
      <c r="X318" s="25">
        <f t="array" ref="X318">IFERROR(INDEX(Ratings!$E$5:$E$500,MATCH(A318,Ratings!$A$5:$A$500,0)),"")</f>
        <v/>
      </c>
      <c r="Y318" s="24">
        <f t="array" ref="Y318">IFERROR(INDEX(Ratings!$G$5:$G$500,MATCH(A318,Ratings!$A$5:$A$500,0)),"")</f>
        <v/>
      </c>
      <c r="Z318" s="26">
        <f t="array" ref="Z318">IFERROR(INDEX(Ratings!$I$5:$I$500,MATCH(A318,Ratings!$A$5:$A$500,0)),"")</f>
        <v/>
      </c>
      <c r="AB318" s="18" t="inlineStr">
        <is>
          <t>U</t>
        </is>
      </c>
    </row>
    <row r="319" ht="15.75" customHeight="1" s="108">
      <c r="A319" s="18" t="inlineStr">
        <is>
          <t>F0315</t>
        </is>
      </c>
      <c r="B319" s="18" t="inlineStr">
        <is>
          <t>Toy Story 4</t>
        </is>
      </c>
      <c r="C319" s="20" t="inlineStr">
        <is>
          <t>2019</t>
        </is>
      </c>
      <c r="D319" s="18" t="inlineStr">
        <is>
          <t>Blu-ray</t>
        </is>
      </c>
      <c r="E319" s="18" t="inlineStr">
        <is>
          <t>Toy Story</t>
        </is>
      </c>
      <c r="F319" s="19" t="n"/>
      <c r="G319" s="4" t="n"/>
      <c r="H319" s="4" t="n"/>
      <c r="I319" s="19" t="inlineStr">
        <is>
          <t>Woody has always been confident about his place in the world, devoted to taking care of his kid—whether that's Andy or Bonnie. But after Bonnie creates a reluctant new toy called "Forky", a road trip adventure alongside old and new friends challenges everything Woody believes about loyalty, purpose, and what it truly means to be a toy.</t>
        </is>
      </c>
      <c r="J319" s="19" t="inlineStr">
        <is>
          <t>Josh Cooley</t>
        </is>
      </c>
      <c r="K319" s="19" t="n">
        <v>100</v>
      </c>
      <c r="L319" s="19" t="inlineStr">
        <is>
          <t>Family, Adventure, Animation, Comedy, Fantasy</t>
        </is>
      </c>
      <c r="M319" s="19" t="inlineStr">
        <is>
          <t>Walt Disney Pictures, Pixar</t>
        </is>
      </c>
      <c r="N319" s="19" t="inlineStr">
        <is>
          <t>https://huggingface.co/datasets/HenryWaltson/TMDB-IMDB-Movies-Dataset</t>
        </is>
      </c>
      <c r="O319" s="19" t="inlineStr">
        <is>
          <t>https://huggingface.co/datasets/HenryWaltson/TMDB-IMDB-Movies-Dataset</t>
        </is>
      </c>
      <c r="P319" s="18" t="inlineStr">
        <is>
          <t>Tom Hanks</t>
        </is>
      </c>
      <c r="Q319" s="18" t="inlineStr">
        <is>
          <t>Tim Allen</t>
        </is>
      </c>
      <c r="R319" s="18" t="inlineStr">
        <is>
          <t>Annie Potts</t>
        </is>
      </c>
      <c r="S319" s="18" t="inlineStr">
        <is>
          <t>Tony Hale</t>
        </is>
      </c>
      <c r="T319" s="18" t="inlineStr">
        <is>
          <t>Keegan-Michael Key</t>
        </is>
      </c>
      <c r="U319" s="24" t="n">
        <v>2</v>
      </c>
      <c r="V319" s="24" t="n">
        <v>1</v>
      </c>
      <c r="W319" s="4" t="n"/>
      <c r="X319" s="25">
        <f t="array" ref="X319">IFERROR(INDEX(Ratings!$E$5:$E$500,MATCH(A319,Ratings!$A$5:$A$500,0)),"")</f>
        <v/>
      </c>
      <c r="Y319" s="24">
        <f t="array" ref="Y319">IFERROR(INDEX(Ratings!$G$5:$G$500,MATCH(A319,Ratings!$A$5:$A$500,0)),"")</f>
        <v/>
      </c>
      <c r="Z319" s="26">
        <f t="array" ref="Z319">IFERROR(INDEX(Ratings!$I$5:$I$500,MATCH(A319,Ratings!$A$5:$A$500,0)),"")</f>
        <v/>
      </c>
      <c r="AB319" s="18" t="inlineStr">
        <is>
          <t>U</t>
        </is>
      </c>
    </row>
    <row r="320" ht="15.75" customHeight="1" s="108">
      <c r="A320" s="18" t="inlineStr">
        <is>
          <t>F0316</t>
        </is>
      </c>
      <c r="B320" s="18" t="inlineStr">
        <is>
          <t>Transformers</t>
        </is>
      </c>
      <c r="C320" s="20" t="inlineStr">
        <is>
          <t>2007</t>
        </is>
      </c>
      <c r="D320" s="18" t="inlineStr">
        <is>
          <t>Blu-ray</t>
        </is>
      </c>
      <c r="E320" s="18" t="inlineStr">
        <is>
          <t>Transformers</t>
        </is>
      </c>
      <c r="F320" s="19" t="n"/>
      <c r="G320" s="4" t="n"/>
      <c r="H320" s="4" t="n"/>
      <c r="I320" s="19" t="inlineStr">
        <is>
          <t>Young teenager Sam Witwicky becomes involved in the ancient struggle between two extraterrestrial factions of transforming robots – the heroic Autobots and the evil Decepticons. Sam holds the clue to unimaginable power and the Decepticons will stop at nothing to retrieve it.</t>
        </is>
      </c>
      <c r="J320" s="19" t="inlineStr">
        <is>
          <t>Michael Bay</t>
        </is>
      </c>
      <c r="K320" s="19" t="n">
        <v>143</v>
      </c>
      <c r="L320" s="19" t="inlineStr">
        <is>
          <t>Adventure, Science Fiction, Action</t>
        </is>
      </c>
      <c r="M320" s="19" t="inlineStr">
        <is>
          <t>DreamWorks Pictures, di Bonaventura Pictures, Tom DeSanto/Don Murphy Production</t>
        </is>
      </c>
      <c r="N320" s="19" t="inlineStr">
        <is>
          <t>https://huggingface.co/datasets/HenryWaltson/TMDB-IMDB-Movies-Dataset</t>
        </is>
      </c>
      <c r="O320" s="19" t="inlineStr">
        <is>
          <t>https://huggingface.co/datasets/HenryWaltson/TMDB-IMDB-Movies-Dataset</t>
        </is>
      </c>
      <c r="P320" s="18" t="inlineStr">
        <is>
          <t>Shia LaBeouf</t>
        </is>
      </c>
      <c r="Q320" s="18" t="inlineStr">
        <is>
          <t>Megan Fox</t>
        </is>
      </c>
      <c r="R320" s="18" t="inlineStr">
        <is>
          <t>Mark Ryan</t>
        </is>
      </c>
      <c r="S320" s="18" t="inlineStr">
        <is>
          <t>Peter Cullen</t>
        </is>
      </c>
      <c r="T320" s="18" t="inlineStr">
        <is>
          <t>Hugo Weaving</t>
        </is>
      </c>
      <c r="U320" s="24" t="n">
        <v>3</v>
      </c>
      <c r="V320" s="24" t="n">
        <v>0</v>
      </c>
      <c r="W320" s="4" t="n"/>
      <c r="X320" s="25">
        <f t="array" ref="X320">IFERROR(INDEX(Ratings!$E$5:$E$500,MATCH(A320,Ratings!$A$5:$A$500,0)),"")</f>
        <v/>
      </c>
      <c r="Y320" s="24">
        <f t="array" ref="Y320">IFERROR(INDEX(Ratings!$G$5:$G$500,MATCH(A320,Ratings!$A$5:$A$500,0)),"")</f>
        <v/>
      </c>
      <c r="Z320" s="26">
        <f t="array" ref="Z320">IFERROR(INDEX(Ratings!$I$5:$I$500,MATCH(A320,Ratings!$A$5:$A$500,0)),"")</f>
        <v/>
      </c>
      <c r="AB320" s="18" t="inlineStr">
        <is>
          <t>12A</t>
        </is>
      </c>
    </row>
    <row r="321" ht="15.75" customHeight="1" s="108">
      <c r="A321" s="18" t="inlineStr">
        <is>
          <t>F0317</t>
        </is>
      </c>
      <c r="B321" s="18" t="inlineStr">
        <is>
          <t>Transformers: Revenge of the Fallen</t>
        </is>
      </c>
      <c r="C321" s="20" t="inlineStr">
        <is>
          <t>2009</t>
        </is>
      </c>
      <c r="D321" s="18" t="inlineStr">
        <is>
          <t>Blu-ray</t>
        </is>
      </c>
      <c r="E321" s="18" t="inlineStr">
        <is>
          <t>Transformers</t>
        </is>
      </c>
      <c r="F321" s="19" t="n"/>
      <c r="G321" s="4" t="n"/>
      <c r="H321" s="4" t="n"/>
      <c r="I321" s="19" t="inlineStr">
        <is>
          <t>Sam Witwicky leaves the Autobots behind for a normal life. But when his mind is filled with cryptic symbols, the Decepticons target him and he is dragged back into the Transformers' war.</t>
        </is>
      </c>
      <c r="J321" s="19" t="inlineStr">
        <is>
          <t>Michael Bay</t>
        </is>
      </c>
      <c r="K321" s="19" t="n">
        <v>149</v>
      </c>
      <c r="L321" s="19" t="inlineStr">
        <is>
          <t>Science Fiction, Action, Adventure</t>
        </is>
      </c>
      <c r="M321" s="19" t="inlineStr">
        <is>
          <t>DreamWorks Pictures, Paramount, di Bonaventura Pictures</t>
        </is>
      </c>
      <c r="N321" s="19" t="inlineStr">
        <is>
          <t>https://huggingface.co/datasets/HenryWaltson/TMDB-IMDB-Movies-Dataset</t>
        </is>
      </c>
      <c r="O321" s="19" t="inlineStr">
        <is>
          <t>https://huggingface.co/datasets/HenryWaltson/TMDB-IMDB-Movies-Dataset</t>
        </is>
      </c>
      <c r="P321" s="18" t="inlineStr">
        <is>
          <t>Shia LaBeouf</t>
        </is>
      </c>
      <c r="Q321" s="18" t="inlineStr">
        <is>
          <t>Megan Fox</t>
        </is>
      </c>
      <c r="R321" s="18" t="inlineStr">
        <is>
          <t>Peter Cullen</t>
        </is>
      </c>
      <c r="S321" s="18" t="inlineStr">
        <is>
          <t>Hugo Weaving</t>
        </is>
      </c>
      <c r="T321" s="18" t="inlineStr">
        <is>
          <t>Tony Todd</t>
        </is>
      </c>
      <c r="U321" s="24" t="n">
        <v>1</v>
      </c>
      <c r="V321" s="24" t="n">
        <v>0</v>
      </c>
      <c r="W321" s="4" t="n"/>
      <c r="X321" s="25">
        <f t="array" ref="X321">IFERROR(INDEX(Ratings!$E$5:$E$500,MATCH(A321,Ratings!$A$5:$A$500,0)),"")</f>
        <v/>
      </c>
      <c r="Y321" s="24">
        <f t="array" ref="Y321">IFERROR(INDEX(Ratings!$G$5:$G$500,MATCH(A321,Ratings!$A$5:$A$500,0)),"")</f>
        <v/>
      </c>
      <c r="Z321" s="26">
        <f t="array" ref="Z321">IFERROR(INDEX(Ratings!$I$5:$I$500,MATCH(A321,Ratings!$A$5:$A$500,0)),"")</f>
        <v/>
      </c>
      <c r="AB321" s="18" t="inlineStr">
        <is>
          <t>12A</t>
        </is>
      </c>
    </row>
    <row r="322" ht="15.75" customHeight="1" s="108">
      <c r="A322" s="18" t="inlineStr">
        <is>
          <t>F0318</t>
        </is>
      </c>
      <c r="B322" s="18" t="inlineStr">
        <is>
          <t>Transformers: Dark of the Moon</t>
        </is>
      </c>
      <c r="C322" s="20" t="inlineStr">
        <is>
          <t>2011</t>
        </is>
      </c>
      <c r="D322" s="18" t="inlineStr">
        <is>
          <t>Blu-ray</t>
        </is>
      </c>
      <c r="E322" s="18" t="inlineStr">
        <is>
          <t>Transformers</t>
        </is>
      </c>
      <c r="F322" s="19" t="n"/>
      <c r="G322" s="4" t="n"/>
      <c r="H322" s="4" t="n"/>
      <c r="I322" s="19" t="inlineStr">
        <is>
          <t>The Autobots continue to work for NEST, now no longer in secret. But after discovering a strange artifact during a mission in Chernobyl, it becomes apparent to Optimus Prime that the United States government has been less than forthright with them.</t>
        </is>
      </c>
      <c r="J322" s="19" t="inlineStr">
        <is>
          <t>Michael Bay</t>
        </is>
      </c>
      <c r="K322" s="19" t="n">
        <v>154</v>
      </c>
      <c r="L322" s="19" t="inlineStr">
        <is>
          <t>Action, Science Fiction, Adventure</t>
        </is>
      </c>
      <c r="M322" s="19" t="inlineStr">
        <is>
          <t>Paramount, di Bonaventura Pictures, Tom DeSanto/Don Murphy Production</t>
        </is>
      </c>
      <c r="N322" s="19" t="inlineStr">
        <is>
          <t>https://huggingface.co/datasets/HenryWaltson/TMDB-IMDB-Movies-Dataset</t>
        </is>
      </c>
      <c r="O322" s="19" t="inlineStr">
        <is>
          <t>https://huggingface.co/datasets/HenryWaltson/TMDB-IMDB-Movies-Dataset</t>
        </is>
      </c>
      <c r="P322" s="18" t="inlineStr">
        <is>
          <t>Shia LaBeouf</t>
        </is>
      </c>
      <c r="Q322" s="18" t="inlineStr">
        <is>
          <t>Rosie Huntington-Whiteley</t>
        </is>
      </c>
      <c r="R322" s="18" t="inlineStr">
        <is>
          <t>Peter Cullen</t>
        </is>
      </c>
      <c r="S322" s="18" t="inlineStr">
        <is>
          <t>Leonard Nimoy</t>
        </is>
      </c>
      <c r="T322" s="18" t="inlineStr">
        <is>
          <t>John Turturro</t>
        </is>
      </c>
      <c r="U322" s="24" t="n">
        <v>3</v>
      </c>
      <c r="V322" s="24" t="n">
        <v>0</v>
      </c>
      <c r="W322" s="4" t="n"/>
      <c r="X322" s="25">
        <f t="array" ref="X322">IFERROR(INDEX(Ratings!$E$5:$E$500,MATCH(A322,Ratings!$A$5:$A$500,0)),"")</f>
        <v/>
      </c>
      <c r="Y322" s="24">
        <f t="array" ref="Y322">IFERROR(INDEX(Ratings!$G$5:$G$500,MATCH(A322,Ratings!$A$5:$A$500,0)),"")</f>
        <v/>
      </c>
      <c r="Z322" s="26">
        <f t="array" ref="Z322">IFERROR(INDEX(Ratings!$I$5:$I$500,MATCH(A322,Ratings!$A$5:$A$500,0)),"")</f>
        <v/>
      </c>
      <c r="AB322" s="18" t="inlineStr">
        <is>
          <t>12A</t>
        </is>
      </c>
    </row>
    <row r="323" ht="15.75" customHeight="1" s="108">
      <c r="A323" s="18" t="inlineStr">
        <is>
          <t>F0319</t>
        </is>
      </c>
      <c r="B323" s="18" t="inlineStr">
        <is>
          <t>Transformers: Age of Extinction</t>
        </is>
      </c>
      <c r="C323" s="20" t="inlineStr">
        <is>
          <t>2014</t>
        </is>
      </c>
      <c r="D323" s="18" t="inlineStr">
        <is>
          <t>Blu-ray</t>
        </is>
      </c>
      <c r="E323" s="18" t="inlineStr">
        <is>
          <t>Transformers</t>
        </is>
      </c>
      <c r="F323" s="19" t="n"/>
      <c r="G323" s="4" t="n"/>
      <c r="H323" s="4" t="n"/>
      <c r="I323" s="19" t="inlineStr">
        <is>
          <t>As humanity picks up the pieces after the battle of Chicago, a shadowy group reveals itself in an attempt to control the direction of history…while an ancient, powerful new menace sets Earth in its crosshairs. With help from Cade Yeager, Optimus Prime and the Autobots rise to meet their most fearsome challenge yet.</t>
        </is>
      </c>
      <c r="J323" s="19" t="inlineStr">
        <is>
          <t>Michael Bay</t>
        </is>
      </c>
      <c r="K323" s="19" t="n">
        <v>165</v>
      </c>
      <c r="L323" s="19" t="inlineStr">
        <is>
          <t>Science Fiction, Action, Adventure</t>
        </is>
      </c>
      <c r="M323" s="19" t="inlineStr">
        <is>
          <t>di Bonaventura Pictures, Tom DeSanto/Don Murphy Production, Ian Bryce Productions</t>
        </is>
      </c>
      <c r="N323" s="19" t="inlineStr">
        <is>
          <t>https://huggingface.co/datasets/HenryWaltson/TMDB-IMDB-Movies-Dataset</t>
        </is>
      </c>
      <c r="O323" s="19" t="inlineStr">
        <is>
          <t>https://huggingface.co/datasets/HenryWaltson/TMDB-IMDB-Movies-Dataset</t>
        </is>
      </c>
      <c r="P323" s="18" t="inlineStr">
        <is>
          <t>Mark Wahlberg</t>
        </is>
      </c>
      <c r="Q323" s="18" t="inlineStr">
        <is>
          <t>Peter Cullen</t>
        </is>
      </c>
      <c r="R323" s="18" t="inlineStr">
        <is>
          <t>Stanley Tucci</t>
        </is>
      </c>
      <c r="S323" s="18" t="inlineStr">
        <is>
          <t>Kelsey Grammer</t>
        </is>
      </c>
      <c r="T323" s="18" t="inlineStr">
        <is>
          <t>Nicola Peltz Beckham</t>
        </is>
      </c>
      <c r="U323" s="24" t="n">
        <v>0</v>
      </c>
      <c r="V323" s="24" t="n">
        <v>0</v>
      </c>
      <c r="W323" s="4" t="n"/>
      <c r="X323" s="25">
        <f t="array" ref="X323">IFERROR(INDEX(Ratings!$E$5:$E$500,MATCH(A323,Ratings!$A$5:$A$500,0)),"")</f>
        <v/>
      </c>
      <c r="Y323" s="24">
        <f t="array" ref="Y323">IFERROR(INDEX(Ratings!$G$5:$G$500,MATCH(A323,Ratings!$A$5:$A$500,0)),"")</f>
        <v/>
      </c>
      <c r="Z323" s="26">
        <f t="array" ref="Z323">IFERROR(INDEX(Ratings!$I$5:$I$500,MATCH(A323,Ratings!$A$5:$A$500,0)),"")</f>
        <v/>
      </c>
      <c r="AB323" s="18" t="inlineStr">
        <is>
          <t>12A</t>
        </is>
      </c>
    </row>
    <row r="324" ht="15.75" customHeight="1" s="108">
      <c r="A324" s="18" t="inlineStr">
        <is>
          <t>F0320</t>
        </is>
      </c>
      <c r="B324" s="18" t="inlineStr">
        <is>
          <t>Transformers: The Last Knight</t>
        </is>
      </c>
      <c r="C324" s="20" t="inlineStr">
        <is>
          <t>2017</t>
        </is>
      </c>
      <c r="D324" s="18" t="inlineStr">
        <is>
          <t>Blu-ray</t>
        </is>
      </c>
      <c r="E324" s="18" t="inlineStr">
        <is>
          <t>Transformers</t>
        </is>
      </c>
      <c r="F324" s="19" t="n"/>
      <c r="G324" s="4" t="n"/>
      <c r="H324" s="4" t="n"/>
      <c r="I324" s="19" t="inlineStr">
        <is>
          <t>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t>
        </is>
      </c>
      <c r="J324" s="19" t="inlineStr">
        <is>
          <t>Michael Bay</t>
        </is>
      </c>
      <c r="K324" s="19" t="n">
        <v>154</v>
      </c>
      <c r="L324" s="19" t="inlineStr">
        <is>
          <t>Action, Adventure, Science Fiction</t>
        </is>
      </c>
      <c r="M324" s="19" t="inlineStr">
        <is>
          <t>Paramount, di Bonaventura Pictures, Ian Bryce Productions</t>
        </is>
      </c>
      <c r="N324" s="19" t="inlineStr">
        <is>
          <t>https://huggingface.co/datasets/HenryWaltson/TMDB-IMDB-Movies-Dataset</t>
        </is>
      </c>
      <c r="O324" s="19" t="inlineStr">
        <is>
          <t>https://huggingface.co/datasets/HenryWaltson/TMDB-IMDB-Movies-Dataset</t>
        </is>
      </c>
      <c r="P324" s="18" t="inlineStr">
        <is>
          <t>Mark Wahlberg</t>
        </is>
      </c>
      <c r="Q324" s="18" t="inlineStr">
        <is>
          <t>Laura Haddock</t>
        </is>
      </c>
      <c r="R324" s="18" t="inlineStr">
        <is>
          <t>Peter Cullen</t>
        </is>
      </c>
      <c r="S324" s="18" t="inlineStr">
        <is>
          <t>Anthony Hopkins</t>
        </is>
      </c>
      <c r="T324" s="18" t="inlineStr">
        <is>
          <t>Josh Duhamel</t>
        </is>
      </c>
      <c r="U324" s="24" t="n">
        <v>0</v>
      </c>
      <c r="V324" s="24" t="n">
        <v>0</v>
      </c>
      <c r="W324" s="4" t="n"/>
      <c r="X324" s="25">
        <f t="array" ref="X324">IFERROR(INDEX(Ratings!$E$5:$E$500,MATCH(A324,Ratings!$A$5:$A$500,0)),"")</f>
        <v/>
      </c>
      <c r="Y324" s="24">
        <f t="array" ref="Y324">IFERROR(INDEX(Ratings!$G$5:$G$500,MATCH(A324,Ratings!$A$5:$A$500,0)),"")</f>
        <v/>
      </c>
      <c r="Z324" s="26">
        <f t="array" ref="Z324">IFERROR(INDEX(Ratings!$I$5:$I$500,MATCH(A324,Ratings!$A$5:$A$500,0)),"")</f>
        <v/>
      </c>
      <c r="AB324" s="18" t="inlineStr">
        <is>
          <t>12A</t>
        </is>
      </c>
    </row>
    <row r="325" ht="15.75" customHeight="1" s="108">
      <c r="A325" s="18" t="inlineStr">
        <is>
          <t>F0321</t>
        </is>
      </c>
      <c r="B325" s="18" t="inlineStr">
        <is>
          <t>Transformers: Rise of the Beasts</t>
        </is>
      </c>
      <c r="C325" s="20" t="inlineStr">
        <is>
          <t>2023</t>
        </is>
      </c>
      <c r="D325" s="18" t="inlineStr">
        <is>
          <t>Blu-ray</t>
        </is>
      </c>
      <c r="E325" s="18" t="inlineStr">
        <is>
          <t>Transformers</t>
        </is>
      </c>
      <c r="F325" s="19" t="n"/>
      <c r="G325" s="4" t="inlineStr">
        <is>
          <t>Yes</t>
        </is>
      </c>
      <c r="H325" s="4" t="inlineStr">
        <is>
          <t>⭐⭐⭐</t>
        </is>
      </c>
      <c r="I325" s="19" t="inlineStr">
        <is>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is>
      </c>
      <c r="J325" s="19" t="inlineStr">
        <is>
          <t>Steven Caple Jr.</t>
        </is>
      </c>
      <c r="K325" s="19" t="n">
        <v>127</v>
      </c>
      <c r="L325" s="19" t="inlineStr">
        <is>
          <t>Action, Adventure, Science Fiction</t>
        </is>
      </c>
      <c r="M325" s="19" t="inlineStr">
        <is>
          <t>Skydance, Paramount, di Bonaventura Pictures</t>
        </is>
      </c>
      <c r="N325" s="19" t="inlineStr">
        <is>
          <t>https://huggingface.co/datasets/HenryWaltson/TMDB-IMDB-Movies-Dataset</t>
        </is>
      </c>
      <c r="O325" s="19" t="inlineStr">
        <is>
          <t>https://huggingface.co/datasets/HenryWaltson/TMDB-IMDB-Movies-Dataset</t>
        </is>
      </c>
      <c r="P325" s="18" t="inlineStr">
        <is>
          <t>Anthony Ramos</t>
        </is>
      </c>
      <c r="Q325" s="18" t="inlineStr">
        <is>
          <t>Dominique Fishback</t>
        </is>
      </c>
      <c r="R325" s="18" t="inlineStr">
        <is>
          <t>Peter Cullen</t>
        </is>
      </c>
      <c r="S325" s="18" t="inlineStr">
        <is>
          <t>Ron Perlman</t>
        </is>
      </c>
      <c r="T325" s="18" t="inlineStr">
        <is>
          <t>Peter Dinklage</t>
        </is>
      </c>
      <c r="U325" s="24" t="n">
        <v>0</v>
      </c>
      <c r="V325" s="24" t="n">
        <v>0</v>
      </c>
      <c r="W325" s="4" t="n"/>
      <c r="X325" s="25">
        <f t="array" ref="X325">IFERROR(INDEX(Ratings!$E$5:$E$500,MATCH(A325,Ratings!$A$5:$A$500,0)),"")</f>
        <v/>
      </c>
      <c r="Y325" s="24">
        <f t="array" ref="Y325">IFERROR(INDEX(Ratings!$G$5:$G$500,MATCH(A325,Ratings!$A$5:$A$500,0)),"")</f>
        <v/>
      </c>
      <c r="Z325" s="26">
        <f t="array" ref="Z325">IFERROR(INDEX(Ratings!$I$5:$I$500,MATCH(A325,Ratings!$A$5:$A$500,0)),"")</f>
        <v/>
      </c>
      <c r="AA325" t="inlineStr">
        <is>
          <t>2026-09-14</t>
        </is>
      </c>
      <c r="AB325" s="18" t="inlineStr">
        <is>
          <t>12A</t>
        </is>
      </c>
    </row>
    <row r="326" ht="15.75" customHeight="1" s="108">
      <c r="A326" s="18" t="inlineStr">
        <is>
          <t>F0322</t>
        </is>
      </c>
      <c r="B326" s="18" t="inlineStr">
        <is>
          <t>The Transformers: The Movie</t>
        </is>
      </c>
      <c r="C326" s="20" t="inlineStr">
        <is>
          <t>1986</t>
        </is>
      </c>
      <c r="D326" s="18" t="inlineStr">
        <is>
          <t>Blu-ray</t>
        </is>
      </c>
      <c r="E326" s="18" t="inlineStr">
        <is>
          <t>Transformers</t>
        </is>
      </c>
      <c r="F326" s="19" t="n"/>
      <c r="G326" s="4" t="n"/>
      <c r="H326" s="4" t="n"/>
      <c r="I326" s="19" t="inlineStr">
        <is>
          <t>The Autobots must stop a colossal planet-consuming robot who goes after the Autobot Matrix of Leadership. At the same time, they must defend themselves against an all-out attack from the Decepticons.</t>
        </is>
      </c>
      <c r="J326" s="19" t="inlineStr">
        <is>
          <t>Nelson Shin</t>
        </is>
      </c>
      <c r="K326" s="19" t="n">
        <v>84</v>
      </c>
      <c r="L326" s="19" t="inlineStr">
        <is>
          <t>Animation, Science Fiction, Action, Adventure, Family</t>
        </is>
      </c>
      <c r="M326" s="19" t="inlineStr">
        <is>
          <t>Hasbro, Marvel Productions, Sunbow Productions</t>
        </is>
      </c>
      <c r="N326" s="19" t="inlineStr">
        <is>
          <t>https://huggingface.co/datasets/HenryWaltson/TMDB-IMDB-Movies-Dataset</t>
        </is>
      </c>
      <c r="O326" s="19" t="inlineStr">
        <is>
          <t>https://huggingface.co/datasets/HenryWaltson/TMDB-IMDB-Movies-Dataset</t>
        </is>
      </c>
      <c r="P326" s="18" t="inlineStr">
        <is>
          <t>Judd Nelson</t>
        </is>
      </c>
      <c r="Q326" s="18" t="inlineStr">
        <is>
          <t>Peter Cullen</t>
        </is>
      </c>
      <c r="R326" s="18" t="inlineStr">
        <is>
          <t>Frank Welker</t>
        </is>
      </c>
      <c r="S326" s="18" t="inlineStr">
        <is>
          <t>Leonard Nimoy</t>
        </is>
      </c>
      <c r="T326" s="18" t="inlineStr">
        <is>
          <t>Casey Kasem</t>
        </is>
      </c>
      <c r="U326" s="24" t="n">
        <v>0</v>
      </c>
      <c r="V326" s="24" t="n">
        <v>0</v>
      </c>
      <c r="W326" s="4" t="n"/>
      <c r="X326" s="25">
        <f t="array" ref="X326">IFERROR(INDEX(Ratings!$E$5:$E$500,MATCH(A326,Ratings!$A$5:$A$500,0)),"")</f>
        <v/>
      </c>
      <c r="Y326" s="24">
        <f t="array" ref="Y326">IFERROR(INDEX(Ratings!$G$5:$G$500,MATCH(A326,Ratings!$A$5:$A$500,0)),"")</f>
        <v/>
      </c>
      <c r="Z326" s="26">
        <f t="array" ref="Z326">IFERROR(INDEX(Ratings!$I$5:$I$500,MATCH(A326,Ratings!$A$5:$A$500,0)),"")</f>
        <v/>
      </c>
      <c r="AB326" s="18" t="inlineStr">
        <is>
          <t>PG</t>
        </is>
      </c>
    </row>
    <row r="327" ht="15.75" customHeight="1" s="108">
      <c r="A327" s="18" t="inlineStr">
        <is>
          <t>F0323</t>
        </is>
      </c>
      <c r="B327" s="18" t="inlineStr">
        <is>
          <t>The Transporter Refueled</t>
        </is>
      </c>
      <c r="C327" s="20" t="inlineStr">
        <is>
          <t>2015</t>
        </is>
      </c>
      <c r="D327" s="18" t="inlineStr">
        <is>
          <t>Blu-ray</t>
        </is>
      </c>
      <c r="E327" s="4" t="n"/>
      <c r="F327" s="19" t="n"/>
      <c r="G327" s="4" t="n"/>
      <c r="H327" s="4" t="n"/>
      <c r="I327" s="19" t="inlineStr">
        <is>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Frank’s father.</t>
        </is>
      </c>
      <c r="J327" s="19" t="inlineStr">
        <is>
          <t>Camille Delamarre</t>
        </is>
      </c>
      <c r="K327" s="19" t="n">
        <v>95</v>
      </c>
      <c r="L327" s="19" t="inlineStr">
        <is>
          <t>Action, Thriller, Crime</t>
        </is>
      </c>
      <c r="M327" s="19" t="inlineStr">
        <is>
          <t>EuropaCorp, TF1 Films Production, Fundamental Films</t>
        </is>
      </c>
      <c r="N327" s="19" t="inlineStr">
        <is>
          <t>https://huggingface.co/datasets/HenryWaltson/TMDB-IMDB-Movies-Dataset</t>
        </is>
      </c>
      <c r="O327" s="19" t="inlineStr">
        <is>
          <t>https://huggingface.co/datasets/HenryWaltson/TMDB-IMDB-Movies-Dataset</t>
        </is>
      </c>
      <c r="P327" s="18" t="inlineStr">
        <is>
          <t>Ed Skrein</t>
        </is>
      </c>
      <c r="Q327" s="18" t="inlineStr">
        <is>
          <t>Ray Stevenson</t>
        </is>
      </c>
      <c r="R327" s="18" t="inlineStr">
        <is>
          <t>Loan Chabanol</t>
        </is>
      </c>
      <c r="S327" s="18" t="inlineStr">
        <is>
          <t>Gabriella Wright</t>
        </is>
      </c>
      <c r="T327" s="18" t="inlineStr">
        <is>
          <t>Tatiana Pajković</t>
        </is>
      </c>
      <c r="U327" s="24" t="n">
        <v>0</v>
      </c>
      <c r="V327" s="24" t="n">
        <v>0</v>
      </c>
      <c r="W327" s="4" t="n"/>
      <c r="X327" s="25">
        <f t="array" ref="X327">IFERROR(INDEX(Ratings!$E$5:$E$500,MATCH(A327,Ratings!$A$5:$A$500,0)),"")</f>
        <v/>
      </c>
      <c r="Y327" s="24">
        <f t="array" ref="Y327">IFERROR(INDEX(Ratings!$G$5:$G$500,MATCH(A327,Ratings!$A$5:$A$500,0)),"")</f>
        <v/>
      </c>
      <c r="Z327" s="26">
        <f t="array" ref="Z327">IFERROR(INDEX(Ratings!$I$5:$I$500,MATCH(A327,Ratings!$A$5:$A$500,0)),"")</f>
        <v/>
      </c>
      <c r="AB327" s="18" t="inlineStr">
        <is>
          <t>15</t>
        </is>
      </c>
    </row>
    <row r="328" ht="15.75" customHeight="1" s="108">
      <c r="A328" s="18" t="inlineStr">
        <is>
          <t>F0324</t>
        </is>
      </c>
      <c r="B328" s="18" t="inlineStr">
        <is>
          <t>Tropic Thunder</t>
        </is>
      </c>
      <c r="C328" s="20" t="inlineStr">
        <is>
          <t>2008</t>
        </is>
      </c>
      <c r="D328" s="18" t="inlineStr">
        <is>
          <t>Blu-ray</t>
        </is>
      </c>
      <c r="E328" s="4" t="n"/>
      <c r="F328" s="19" t="n"/>
      <c r="G328" s="4" t="inlineStr">
        <is>
          <t>Yes</t>
        </is>
      </c>
      <c r="H328" s="4" t="inlineStr">
        <is>
          <t>⭐⭐⭐⭐⭐</t>
        </is>
      </c>
      <c r="I328" s="19" t="inlineStr">
        <is>
          <t>A group of self-absorbed actors set out to make the most expensive war film ever. After ballooning costs force the studio to cancel the movie, the frustrated director refuses to stop shooting, leading his cast into the jungles of Southeast Asia, where they encounter real bad guys.</t>
        </is>
      </c>
      <c r="J328" s="19" t="inlineStr">
        <is>
          <t>Ben Stiller</t>
        </is>
      </c>
      <c r="K328" s="19" t="n">
        <v>107</v>
      </c>
      <c r="L328" s="19" t="inlineStr">
        <is>
          <t>Action, Comedy, Adventure, War</t>
        </is>
      </c>
      <c r="M328" s="19" t="inlineStr">
        <is>
          <t>Internationale Filmproduktion Stella-del-Sud Second, DreamWorks Pictures, Red Hour</t>
        </is>
      </c>
      <c r="N328" s="19" t="inlineStr">
        <is>
          <t>https://huggingface.co/datasets/HenryWaltson/TMDB-IMDB-Movies-Dataset</t>
        </is>
      </c>
      <c r="O328" s="19" t="inlineStr">
        <is>
          <t>https://huggingface.co/datasets/HenryWaltson/TMDB-IMDB-Movies-Dataset</t>
        </is>
      </c>
      <c r="P328" s="18" t="inlineStr">
        <is>
          <t>Ben Stiller</t>
        </is>
      </c>
      <c r="Q328" s="18" t="inlineStr">
        <is>
          <t>Robert Downey Jr.</t>
        </is>
      </c>
      <c r="R328" s="18" t="inlineStr">
        <is>
          <t>Jack Black</t>
        </is>
      </c>
      <c r="S328" s="18" t="inlineStr">
        <is>
          <t>Jay Baruchel</t>
        </is>
      </c>
      <c r="T328" s="18" t="inlineStr">
        <is>
          <t>Brandon T. Jackson</t>
        </is>
      </c>
      <c r="U328" s="24" t="n">
        <v>1</v>
      </c>
      <c r="V328" s="24" t="n">
        <v>0</v>
      </c>
      <c r="W328" s="4" t="n"/>
      <c r="X328" s="25">
        <f t="array" ref="X328">IFERROR(INDEX(Ratings!$E$5:$E$500,MATCH(A328,Ratings!$A$5:$A$500,0)),"")</f>
        <v/>
      </c>
      <c r="Y328" s="24">
        <f t="array" ref="Y328">IFERROR(INDEX(Ratings!$G$5:$G$500,MATCH(A328,Ratings!$A$5:$A$500,0)),"")</f>
        <v/>
      </c>
      <c r="Z328" s="26">
        <f t="array" ref="Z328">IFERROR(INDEX(Ratings!$I$5:$I$500,MATCH(A328,Ratings!$A$5:$A$500,0)),"")</f>
        <v/>
      </c>
      <c r="AA328" s="0" t="inlineStr">
        <is>
          <t>2026-09-11</t>
        </is>
      </c>
      <c r="AB328" s="18" t="inlineStr">
        <is>
          <t>15</t>
        </is>
      </c>
    </row>
    <row r="329" ht="15.75" customHeight="1" s="108">
      <c r="A329" s="18" t="inlineStr">
        <is>
          <t>F0325</t>
        </is>
      </c>
      <c r="B329" s="18" t="inlineStr">
        <is>
          <t>True Grit</t>
        </is>
      </c>
      <c r="C329" s="20" t="inlineStr">
        <is>
          <t>2010</t>
        </is>
      </c>
      <c r="D329" s="18" t="inlineStr">
        <is>
          <t>Blu-ray</t>
        </is>
      </c>
      <c r="E329" s="4" t="n"/>
      <c r="F329" s="19" t="n"/>
      <c r="G329" s="4" t="n"/>
      <c r="H329" s="4" t="n"/>
      <c r="I329" s="19" t="inlineStr">
        <is>
          <t>Following the murder of her father by a hired hand, a 14-year-old farm girl sets out to capture the killer. To aid her, she hires the toughest U.S. Marshal she can find—a man with 'true grit'—Reuben J. 'Rooster' Cogburn.</t>
        </is>
      </c>
      <c r="J329" s="19" t="inlineStr">
        <is>
          <t>Ethan Coen, Joel Coen</t>
        </is>
      </c>
      <c r="K329" s="19" t="n">
        <v>110</v>
      </c>
      <c r="L329" s="19" t="inlineStr">
        <is>
          <t>Drama, Adventure, Western</t>
        </is>
      </c>
      <c r="M329" s="19" t="inlineStr">
        <is>
          <t>Paramount, Scott Rudin Productions, Mike Zoss Productions</t>
        </is>
      </c>
      <c r="N329" s="19" t="inlineStr">
        <is>
          <t>https://huggingface.co/datasets/HenryWaltson/TMDB-IMDB-Movies-Dataset</t>
        </is>
      </c>
      <c r="O329" s="19" t="inlineStr">
        <is>
          <t>https://huggingface.co/datasets/HenryWaltson/TMDB-IMDB-Movies-Dataset</t>
        </is>
      </c>
      <c r="P329" s="18" t="inlineStr">
        <is>
          <t>Jeff Bridges</t>
        </is>
      </c>
      <c r="Q329" s="18" t="inlineStr">
        <is>
          <t>Hailee Steinfeld</t>
        </is>
      </c>
      <c r="R329" s="18" t="inlineStr">
        <is>
          <t>Matt Damon</t>
        </is>
      </c>
      <c r="S329" s="18" t="inlineStr">
        <is>
          <t>Josh Brolin</t>
        </is>
      </c>
      <c r="T329" s="18" t="inlineStr">
        <is>
          <t>Barry Pepper</t>
        </is>
      </c>
      <c r="U329" s="24" t="n">
        <v>10</v>
      </c>
      <c r="V329" s="24" t="n">
        <v>0</v>
      </c>
      <c r="W329" s="18" t="inlineStr">
        <is>
          <t>Nominated</t>
        </is>
      </c>
      <c r="X329" s="25">
        <f t="array" ref="X329">IFERROR(INDEX(Ratings!$E$5:$E$500,MATCH(A329,Ratings!$A$5:$A$500,0)),"")</f>
        <v/>
      </c>
      <c r="Y329" s="24">
        <f t="array" ref="Y329">IFERROR(INDEX(Ratings!$G$5:$G$500,MATCH(A329,Ratings!$A$5:$A$500,0)),"")</f>
        <v/>
      </c>
      <c r="Z329" s="26">
        <f t="array" ref="Z329">IFERROR(INDEX(Ratings!$I$5:$I$500,MATCH(A329,Ratings!$A$5:$A$500,0)),"")</f>
        <v/>
      </c>
      <c r="AB329" s="18" t="inlineStr">
        <is>
          <t>15</t>
        </is>
      </c>
    </row>
    <row r="330" ht="15.75" customHeight="1" s="108">
      <c r="A330" s="18" t="inlineStr">
        <is>
          <t>F0326</t>
        </is>
      </c>
      <c r="B330" s="18" t="inlineStr">
        <is>
          <t>Underworld: Evolution</t>
        </is>
      </c>
      <c r="C330" s="20" t="inlineStr">
        <is>
          <t>2006</t>
        </is>
      </c>
      <c r="D330" s="18" t="inlineStr">
        <is>
          <t>Blu-ray</t>
        </is>
      </c>
      <c r="E330" s="18" t="inlineStr">
        <is>
          <t>Underworld</t>
        </is>
      </c>
      <c r="F330" s="19" t="n"/>
      <c r="G330" s="4" t="n"/>
      <c r="H330" s="4" t="n"/>
      <c r="I330" s="19" t="inlineStr">
        <is>
          <t>As the war between the vampires and the Lycans rages on, Selene, a former member of the Death Dealers (an elite vampire special forces unit that hunts werewolves), and Michael, the werewolf hybrid, work together in an effort to unlock the secrets of their respective bloodlines.</t>
        </is>
      </c>
      <c r="J330" s="19" t="inlineStr">
        <is>
          <t>Len Wiseman</t>
        </is>
      </c>
      <c r="K330" s="19" t="n">
        <v>106</v>
      </c>
      <c r="L330" s="19" t="inlineStr">
        <is>
          <t>Fantasy, Action, Thriller</t>
        </is>
      </c>
      <c r="M330" s="19" t="inlineStr">
        <is>
          <t>Screen Gems, Lakeshore Entertainment</t>
        </is>
      </c>
      <c r="N330" s="19" t="inlineStr">
        <is>
          <t>https://huggingface.co/datasets/HenryWaltson/TMDB-IMDB-Movies-Dataset</t>
        </is>
      </c>
      <c r="O330" s="19" t="inlineStr">
        <is>
          <t>https://huggingface.co/datasets/HenryWaltson/TMDB-IMDB-Movies-Dataset</t>
        </is>
      </c>
      <c r="P330" s="18" t="inlineStr">
        <is>
          <t>Kate Beckinsale</t>
        </is>
      </c>
      <c r="Q330" s="18" t="inlineStr">
        <is>
          <t>Scott Speedman</t>
        </is>
      </c>
      <c r="R330" s="18" t="inlineStr">
        <is>
          <t>Tony Curran</t>
        </is>
      </c>
      <c r="S330" s="18" t="inlineStr">
        <is>
          <t>Shane Brolly</t>
        </is>
      </c>
      <c r="T330" s="18" t="inlineStr">
        <is>
          <t>Derek Jacobi</t>
        </is>
      </c>
      <c r="U330" s="24" t="n">
        <v>0</v>
      </c>
      <c r="V330" s="24" t="n">
        <v>0</v>
      </c>
      <c r="W330" s="4" t="n"/>
      <c r="X330" s="25">
        <f t="array" ref="X330">IFERROR(INDEX(Ratings!$E$5:$E$500,MATCH(A330,Ratings!$A$5:$A$500,0)),"")</f>
        <v/>
      </c>
      <c r="Y330" s="24">
        <f t="array" ref="Y330">IFERROR(INDEX(Ratings!$G$5:$G$500,MATCH(A330,Ratings!$A$5:$A$500,0)),"")</f>
        <v/>
      </c>
      <c r="Z330" s="26">
        <f t="array" ref="Z330">IFERROR(INDEX(Ratings!$I$5:$I$500,MATCH(A330,Ratings!$A$5:$A$500,0)),"")</f>
        <v/>
      </c>
      <c r="AB330" s="18" t="inlineStr">
        <is>
          <t>18</t>
        </is>
      </c>
    </row>
    <row r="331" ht="15.75" customHeight="1" s="108">
      <c r="A331" s="18" t="inlineStr">
        <is>
          <t>F0327</t>
        </is>
      </c>
      <c r="B331" s="18" t="inlineStr">
        <is>
          <t>Underworld: Rise of the Lycans</t>
        </is>
      </c>
      <c r="C331" s="20" t="inlineStr">
        <is>
          <t>2009</t>
        </is>
      </c>
      <c r="D331" s="18" t="inlineStr">
        <is>
          <t>Blu-ray</t>
        </is>
      </c>
      <c r="E331" s="18" t="inlineStr">
        <is>
          <t>Underworld</t>
        </is>
      </c>
      <c r="F331" s="19" t="n"/>
      <c r="G331" s="4" t="n"/>
      <c r="H331" s="4" t="n"/>
      <c r="I331" s="19" t="inlineStr">
        <is>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is>
      </c>
      <c r="J331" s="19" t="inlineStr">
        <is>
          <t>Patrick Tatopoulos</t>
        </is>
      </c>
      <c r="K331" s="19" t="n">
        <v>92</v>
      </c>
      <c r="L331" s="19" t="inlineStr">
        <is>
          <t>Fantasy, Action, Thriller</t>
        </is>
      </c>
      <c r="M331" s="19" t="inlineStr">
        <is>
          <t>Screen Gems, Lakeshore Entertainment, Sketch Films</t>
        </is>
      </c>
      <c r="N331" s="19" t="inlineStr">
        <is>
          <t>https://huggingface.co/datasets/HenryWaltson/TMDB-IMDB-Movies-Dataset</t>
        </is>
      </c>
      <c r="O331" s="19" t="inlineStr">
        <is>
          <t>https://huggingface.co/datasets/HenryWaltson/TMDB-IMDB-Movies-Dataset</t>
        </is>
      </c>
      <c r="P331" s="18" t="inlineStr">
        <is>
          <t>Rhona Mitra</t>
        </is>
      </c>
      <c r="Q331" s="18" t="inlineStr">
        <is>
          <t>Bill Nighy</t>
        </is>
      </c>
      <c r="R331" s="18" t="inlineStr">
        <is>
          <t>Michael Sheen</t>
        </is>
      </c>
      <c r="S331" s="18" t="inlineStr">
        <is>
          <t>Shane Brolly</t>
        </is>
      </c>
      <c r="T331" s="18" t="inlineStr">
        <is>
          <t>Steven Mackintosh</t>
        </is>
      </c>
      <c r="U331" s="24" t="n">
        <v>0</v>
      </c>
      <c r="V331" s="24" t="n">
        <v>0</v>
      </c>
      <c r="W331" s="4" t="n"/>
      <c r="X331" s="25">
        <f t="array" ref="X331">IFERROR(INDEX(Ratings!$E$5:$E$500,MATCH(A331,Ratings!$A$5:$A$500,0)),"")</f>
        <v/>
      </c>
      <c r="Y331" s="24">
        <f t="array" ref="Y331">IFERROR(INDEX(Ratings!$G$5:$G$500,MATCH(A331,Ratings!$A$5:$A$500,0)),"")</f>
        <v/>
      </c>
      <c r="Z331" s="26">
        <f t="array" ref="Z331">IFERROR(INDEX(Ratings!$I$5:$I$500,MATCH(A331,Ratings!$A$5:$A$500,0)),"")</f>
        <v/>
      </c>
      <c r="AB331" s="18" t="inlineStr">
        <is>
          <t>18</t>
        </is>
      </c>
    </row>
    <row r="332" ht="15.75" customHeight="1" s="108">
      <c r="A332" s="18" t="inlineStr">
        <is>
          <t>F0328</t>
        </is>
      </c>
      <c r="B332" s="18" t="inlineStr">
        <is>
          <t>Underworld: Awakening</t>
        </is>
      </c>
      <c r="C332" s="20" t="inlineStr">
        <is>
          <t>2012</t>
        </is>
      </c>
      <c r="D332" s="18" t="inlineStr">
        <is>
          <t>Blu-ray</t>
        </is>
      </c>
      <c r="E332" s="18" t="inlineStr">
        <is>
          <t>Underworld</t>
        </is>
      </c>
      <c r="F332" s="19" t="n"/>
      <c r="G332" s="4" t="n"/>
      <c r="H332" s="4" t="n"/>
      <c r="I332" s="19" t="inlineStr">
        <is>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is>
      </c>
      <c r="J332" s="19" t="inlineStr">
        <is>
          <t>Måns Mårlind, Björn Stein</t>
        </is>
      </c>
      <c r="K332" s="19" t="n">
        <v>88</v>
      </c>
      <c r="L332" s="19" t="inlineStr">
        <is>
          <t>Fantasy, Action, Horror</t>
        </is>
      </c>
      <c r="M332" s="19" t="inlineStr">
        <is>
          <t>Screen Gems, Lakeshore Entertainment, Sketch Films</t>
        </is>
      </c>
      <c r="N332" s="19" t="inlineStr">
        <is>
          <t>https://huggingface.co/datasets/HenryWaltson/TMDB-IMDB-Movies-Dataset</t>
        </is>
      </c>
      <c r="O332" s="19" t="inlineStr">
        <is>
          <t>https://huggingface.co/datasets/HenryWaltson/TMDB-IMDB-Movies-Dataset</t>
        </is>
      </c>
      <c r="P332" s="18" t="inlineStr">
        <is>
          <t>Kate Beckinsale</t>
        </is>
      </c>
      <c r="Q332" s="18" t="inlineStr">
        <is>
          <t>Stephen Rea</t>
        </is>
      </c>
      <c r="R332" s="18" t="inlineStr">
        <is>
          <t>Michael Ealy</t>
        </is>
      </c>
      <c r="S332" s="18" t="inlineStr">
        <is>
          <t>Theo James</t>
        </is>
      </c>
      <c r="T332" s="18" t="inlineStr">
        <is>
          <t>India Eisley</t>
        </is>
      </c>
      <c r="U332" s="24" t="n">
        <v>0</v>
      </c>
      <c r="V332" s="24" t="n">
        <v>0</v>
      </c>
      <c r="W332" s="4" t="n"/>
      <c r="X332" s="25">
        <f t="array" ref="X332">IFERROR(INDEX(Ratings!$E$5:$E$500,MATCH(A332,Ratings!$A$5:$A$500,0)),"")</f>
        <v/>
      </c>
      <c r="Y332" s="24">
        <f t="array" ref="Y332">IFERROR(INDEX(Ratings!$G$5:$G$500,MATCH(A332,Ratings!$A$5:$A$500,0)),"")</f>
        <v/>
      </c>
      <c r="Z332" s="26">
        <f t="array" ref="Z332">IFERROR(INDEX(Ratings!$I$5:$I$500,MATCH(A332,Ratings!$A$5:$A$500,0)),"")</f>
        <v/>
      </c>
      <c r="AB332" s="18" t="inlineStr">
        <is>
          <t>18</t>
        </is>
      </c>
    </row>
    <row r="333" ht="15.75" customHeight="1" s="108">
      <c r="A333" s="18" t="inlineStr">
        <is>
          <t>F0329</t>
        </is>
      </c>
      <c r="B333" s="18" t="inlineStr">
        <is>
          <t>Unknown</t>
        </is>
      </c>
      <c r="C333" s="20" t="inlineStr">
        <is>
          <t>2011</t>
        </is>
      </c>
      <c r="D333" s="18" t="inlineStr">
        <is>
          <t>Blu-ray</t>
        </is>
      </c>
      <c r="E333" s="4" t="n"/>
      <c r="F333" s="19" t="n"/>
      <c r="G333" s="4" t="n"/>
      <c r="H333" s="4" t="n"/>
      <c r="I333" s="19" t="inlineStr">
        <is>
          <t>A man awakens from a coma, only to discover that someone has taken on his identity and that no one, (not even his wife), believes him. With the help of a young woman, he sets out to prove who he is.</t>
        </is>
      </c>
      <c r="J333" s="19" t="inlineStr">
        <is>
          <t>Jaume Collet-Serra</t>
        </is>
      </c>
      <c r="K333" s="19" t="n">
        <v>113</v>
      </c>
      <c r="L333" s="19" t="inlineStr">
        <is>
          <t>Action, Mystery, Thriller</t>
        </is>
      </c>
      <c r="M333" s="19" t="inlineStr">
        <is>
          <t>Studio Babelsberg, StudioCanal, Dark Castle Entertainment</t>
        </is>
      </c>
      <c r="N333" s="19" t="inlineStr">
        <is>
          <t>https://huggingface.co/datasets/HenryWaltson/TMDB-IMDB-Movies-Dataset</t>
        </is>
      </c>
      <c r="O333" s="19" t="inlineStr">
        <is>
          <t>https://huggingface.co/datasets/HenryWaltson/TMDB-IMDB-Movies-Dataset</t>
        </is>
      </c>
      <c r="P333" s="18" t="inlineStr">
        <is>
          <t>Liam Neeson</t>
        </is>
      </c>
      <c r="Q333" s="18" t="inlineStr">
        <is>
          <t>Diane Kruger</t>
        </is>
      </c>
      <c r="R333" s="18" t="inlineStr">
        <is>
          <t>January Jones</t>
        </is>
      </c>
      <c r="S333" s="18" t="inlineStr">
        <is>
          <t>Aidan Quinn</t>
        </is>
      </c>
      <c r="T333" s="18" t="inlineStr">
        <is>
          <t>Bruno Ganz</t>
        </is>
      </c>
      <c r="U333" s="24" t="n">
        <v>0</v>
      </c>
      <c r="V333" s="24" t="n">
        <v>0</v>
      </c>
      <c r="W333" s="4" t="n"/>
      <c r="X333" s="25">
        <f t="array" ref="X333">IFERROR(INDEX(Ratings!$E$5:$E$500,MATCH(A333,Ratings!$A$5:$A$500,0)),"")</f>
        <v/>
      </c>
      <c r="Y333" s="24">
        <f t="array" ref="Y333">IFERROR(INDEX(Ratings!$G$5:$G$500,MATCH(A333,Ratings!$A$5:$A$500,0)),"")</f>
        <v/>
      </c>
      <c r="Z333" s="26">
        <f t="array" ref="Z333">IFERROR(INDEX(Ratings!$I$5:$I$500,MATCH(A333,Ratings!$A$5:$A$500,0)),"")</f>
        <v/>
      </c>
      <c r="AB333" s="18" t="inlineStr">
        <is>
          <t>12A</t>
        </is>
      </c>
    </row>
    <row r="334" ht="15.75" customHeight="1" s="108">
      <c r="A334" s="18" t="inlineStr">
        <is>
          <t>F0330</t>
        </is>
      </c>
      <c r="B334" s="18" t="inlineStr">
        <is>
          <t>Up</t>
        </is>
      </c>
      <c r="C334" s="20" t="inlineStr">
        <is>
          <t>2009</t>
        </is>
      </c>
      <c r="D334" s="18" t="inlineStr">
        <is>
          <t>Blu-ray</t>
        </is>
      </c>
      <c r="E334" s="4" t="n"/>
      <c r="F334" s="19" t="n"/>
      <c r="G334" s="4" t="n"/>
      <c r="H334" s="4" t="n"/>
      <c r="I334" s="19" t="inlineStr">
        <is>
          <t>Carl Fredricksen spent his entire life dreaming of exploring the globe and experiencing life to its fullest. But at age 78, life seems to have passed him by, until a twist of fate (and a persistent 8-year old Wilderness Explorer named Russell) gives him a new lease on life.</t>
        </is>
      </c>
      <c r="J334" s="19" t="inlineStr">
        <is>
          <t>Pete Docter, Bob Peterson</t>
        </is>
      </c>
      <c r="K334" s="19" t="n">
        <v>96</v>
      </c>
      <c r="L334" s="19" t="inlineStr">
        <is>
          <t>Animation, Comedy, Family, Adventure</t>
        </is>
      </c>
      <c r="M334" s="19" t="inlineStr">
        <is>
          <t>Pixar</t>
        </is>
      </c>
      <c r="N334" s="19" t="inlineStr">
        <is>
          <t>https://huggingface.co/datasets/HenryWaltson/TMDB-IMDB-Movies-Dataset</t>
        </is>
      </c>
      <c r="O334" s="19" t="inlineStr">
        <is>
          <t>https://huggingface.co/datasets/HenryWaltson/TMDB-IMDB-Movies-Dataset</t>
        </is>
      </c>
      <c r="P334" s="18" t="inlineStr">
        <is>
          <t>Ed Asner</t>
        </is>
      </c>
      <c r="Q334" s="18" t="inlineStr">
        <is>
          <t>Christopher Plummer</t>
        </is>
      </c>
      <c r="R334" s="18" t="inlineStr">
        <is>
          <t>Jordan Nagai</t>
        </is>
      </c>
      <c r="S334" s="18" t="inlineStr">
        <is>
          <t>Bob Peterson</t>
        </is>
      </c>
      <c r="T334" s="18" t="inlineStr">
        <is>
          <t>Delroy Lindo</t>
        </is>
      </c>
      <c r="U334" s="24" t="n">
        <v>5</v>
      </c>
      <c r="V334" s="24" t="n">
        <v>2</v>
      </c>
      <c r="W334" s="18" t="inlineStr">
        <is>
          <t>Nominated</t>
        </is>
      </c>
      <c r="X334" s="25">
        <f t="array" ref="X334">IFERROR(INDEX(Ratings!$E$5:$E$500,MATCH(A334,Ratings!$A$5:$A$500,0)),"")</f>
        <v/>
      </c>
      <c r="Y334" s="24">
        <f t="array" ref="Y334">IFERROR(INDEX(Ratings!$G$5:$G$500,MATCH(A334,Ratings!$A$5:$A$500,0)),"")</f>
        <v/>
      </c>
      <c r="Z334" s="26">
        <f t="array" ref="Z334">IFERROR(INDEX(Ratings!$I$5:$I$500,MATCH(A334,Ratings!$A$5:$A$500,0)),"")</f>
        <v/>
      </c>
      <c r="AB334" s="18" t="inlineStr">
        <is>
          <t>U</t>
        </is>
      </c>
    </row>
    <row r="335" ht="15.75" customHeight="1" s="108">
      <c r="A335" s="18" t="inlineStr">
        <is>
          <t>F0331</t>
        </is>
      </c>
      <c r="B335" s="18" t="inlineStr">
        <is>
          <t>WALL·E</t>
        </is>
      </c>
      <c r="C335" s="20" t="inlineStr">
        <is>
          <t>2008</t>
        </is>
      </c>
      <c r="D335" s="18" t="inlineStr">
        <is>
          <t>Blu-ray</t>
        </is>
      </c>
      <c r="E335" s="4" t="n"/>
      <c r="F335" s="19" t="n"/>
      <c r="G335" s="4" t="n"/>
      <c r="H335" s="4" t="n"/>
      <c r="I335" s="19" t="inlineStr">
        <is>
          <t>After hundreds of years doing what he was built for, WALL•E— a robot designed to clean up the earth—discovers a new purpose in life when he meets a sleek search robot named EVE. EVE comes to realize that WALL•E has inadvertently stumbled upon the key to the planet's future, and races back to space to report to the humans. Meanwhile, WALL•E chases EVE across the galaxy and sets into motion one of the most imaginative adventures ever brought to the big screen.</t>
        </is>
      </c>
      <c r="J335" s="19" t="inlineStr">
        <is>
          <t>Andrew Stanton</t>
        </is>
      </c>
      <c r="K335" s="19" t="n">
        <v>98</v>
      </c>
      <c r="L335" s="19" t="inlineStr">
        <is>
          <t>Animation, Family, Science Fiction</t>
        </is>
      </c>
      <c r="M335" s="19" t="inlineStr">
        <is>
          <t>Pixar, Walt Disney Pictures</t>
        </is>
      </c>
      <c r="N335" s="19" t="inlineStr">
        <is>
          <t>https://huggingface.co/datasets/HenryWaltson/TMDB-IMDB-Movies-Dataset</t>
        </is>
      </c>
      <c r="O335" s="19" t="inlineStr">
        <is>
          <t>https://huggingface.co/datasets/HenryWaltson/TMDB-IMDB-Movies-Dataset</t>
        </is>
      </c>
      <c r="P335" s="18" t="inlineStr">
        <is>
          <t>Elissa Knight</t>
        </is>
      </c>
      <c r="Q335" s="18" t="inlineStr">
        <is>
          <t>Jeff Garlin</t>
        </is>
      </c>
      <c r="R335" s="18" t="inlineStr">
        <is>
          <t>Fred Willard</t>
        </is>
      </c>
      <c r="S335" s="18" t="inlineStr">
        <is>
          <t>John Ratzenberger</t>
        </is>
      </c>
      <c r="T335" s="18" t="inlineStr">
        <is>
          <t>Kathy Najimy</t>
        </is>
      </c>
      <c r="U335" s="24" t="n">
        <v>6</v>
      </c>
      <c r="V335" s="24" t="n">
        <v>1</v>
      </c>
      <c r="W335" s="4" t="n"/>
      <c r="X335" s="25">
        <f t="array" ref="X335">IFERROR(INDEX(Ratings!$E$5:$E$500,MATCH(A335,Ratings!$A$5:$A$500,0)),"")</f>
        <v/>
      </c>
      <c r="Y335" s="24">
        <f t="array" ref="Y335">IFERROR(INDEX(Ratings!$G$5:$G$500,MATCH(A335,Ratings!$A$5:$A$500,0)),"")</f>
        <v/>
      </c>
      <c r="Z335" s="26">
        <f t="array" ref="Z335">IFERROR(INDEX(Ratings!$I$5:$I$500,MATCH(A335,Ratings!$A$5:$A$500,0)),"")</f>
        <v/>
      </c>
      <c r="AB335" s="18" t="inlineStr">
        <is>
          <t>U</t>
        </is>
      </c>
    </row>
    <row r="336" ht="15.75" customHeight="1" s="108">
      <c r="A336" s="18" t="inlineStr">
        <is>
          <t>F0332</t>
        </is>
      </c>
      <c r="B336" s="18" t="inlineStr">
        <is>
          <t>War of the Worlds</t>
        </is>
      </c>
      <c r="C336" s="20" t="inlineStr">
        <is>
          <t>2005</t>
        </is>
      </c>
      <c r="D336" s="18" t="inlineStr">
        <is>
          <t>Blu-ray</t>
        </is>
      </c>
      <c r="E336" s="4" t="n"/>
      <c r="F336" s="19" t="n"/>
      <c r="G336" s="4" t="n"/>
      <c r="H336" s="4" t="n"/>
      <c r="I336" s="19" t="inlineStr">
        <is>
          <t>Ray Ferrier is a divorced dockworker and less-than-perfect father. Soon after his ex-wife and her new husband drop off his teenage son and young daughter for a rare weekend visit, a strange and powerful lightning storm touches down.</t>
        </is>
      </c>
      <c r="J336" s="19" t="inlineStr">
        <is>
          <t>Steven Spielberg</t>
        </is>
      </c>
      <c r="K336" s="19" t="n">
        <v>117</v>
      </c>
      <c r="L336" s="19" t="inlineStr">
        <is>
          <t>Adventure, Thriller, Science Fiction</t>
        </is>
      </c>
      <c r="M336" s="19" t="inlineStr">
        <is>
          <t>Paramount, Amblin Entertainment, Cruise/Wagner Productions</t>
        </is>
      </c>
      <c r="N336" s="19" t="inlineStr">
        <is>
          <t>https://huggingface.co/datasets/HenryWaltson/TMDB-IMDB-Movies-Dataset</t>
        </is>
      </c>
      <c r="O336" s="19" t="inlineStr">
        <is>
          <t>https://huggingface.co/datasets/HenryWaltson/TMDB-IMDB-Movies-Dataset</t>
        </is>
      </c>
      <c r="P336" s="18" t="inlineStr">
        <is>
          <t>Tom Cruise</t>
        </is>
      </c>
      <c r="Q336" s="18" t="inlineStr">
        <is>
          <t>Dakota Fanning</t>
        </is>
      </c>
      <c r="R336" s="18" t="inlineStr">
        <is>
          <t>Justin Chatwin</t>
        </is>
      </c>
      <c r="S336" s="18" t="inlineStr">
        <is>
          <t>Miranda Otto</t>
        </is>
      </c>
      <c r="T336" s="18" t="inlineStr">
        <is>
          <t>Tim Robbins</t>
        </is>
      </c>
      <c r="U336" s="24" t="n">
        <v>3</v>
      </c>
      <c r="V336" s="24" t="n">
        <v>0</v>
      </c>
      <c r="W336" s="4" t="n"/>
      <c r="X336" s="25">
        <f t="array" ref="X336">IFERROR(INDEX(Ratings!$E$5:$E$500,MATCH(A336,Ratings!$A$5:$A$500,0)),"")</f>
        <v/>
      </c>
      <c r="Y336" s="24">
        <f t="array" ref="Y336">IFERROR(INDEX(Ratings!$G$5:$G$500,MATCH(A336,Ratings!$A$5:$A$500,0)),"")</f>
        <v/>
      </c>
      <c r="Z336" s="26">
        <f t="array" ref="Z336">IFERROR(INDEX(Ratings!$I$5:$I$500,MATCH(A336,Ratings!$A$5:$A$500,0)),"")</f>
        <v/>
      </c>
      <c r="AB336" s="18" t="inlineStr">
        <is>
          <t>12A</t>
        </is>
      </c>
    </row>
    <row r="337" ht="15.75" customHeight="1" s="108">
      <c r="A337" s="18" t="inlineStr">
        <is>
          <t>F0333</t>
        </is>
      </c>
      <c r="B337" s="18" t="inlineStr">
        <is>
          <t>Warrior</t>
        </is>
      </c>
      <c r="C337" s="20" t="inlineStr">
        <is>
          <t>2011</t>
        </is>
      </c>
      <c r="D337" s="18" t="inlineStr">
        <is>
          <t>Blu-ray</t>
        </is>
      </c>
      <c r="E337" s="4" t="n"/>
      <c r="F337" s="19" t="n"/>
      <c r="G337" s="4" t="n"/>
      <c r="H337" s="4" t="n"/>
      <c r="I337" s="19" t="inlineStr">
        <is>
          <t>The youngest son of an alcoholic former boxer returns home, where he's trained by his father for competition in a mixed martial arts tournament – a path that puts the fighter on a collision course with his estranged, older brother.</t>
        </is>
      </c>
      <c r="J337" s="19" t="inlineStr">
        <is>
          <t>Gavin O'Connor</t>
        </is>
      </c>
      <c r="K337" s="19" t="n">
        <v>140</v>
      </c>
      <c r="L337" s="19" t="inlineStr">
        <is>
          <t>Drama, Action</t>
        </is>
      </c>
      <c r="M337" s="19" t="inlineStr">
        <is>
          <t>Lionsgate, Mimran Schur Pictures, Solaris Film</t>
        </is>
      </c>
      <c r="N337" s="19" t="inlineStr">
        <is>
          <t>https://huggingface.co/datasets/HenryWaltson/TMDB-IMDB-Movies-Dataset</t>
        </is>
      </c>
      <c r="O337" s="19" t="inlineStr">
        <is>
          <t>https://huggingface.co/datasets/HenryWaltson/TMDB-IMDB-Movies-Dataset</t>
        </is>
      </c>
      <c r="P337" s="18" t="inlineStr">
        <is>
          <t>Joel Edgerton</t>
        </is>
      </c>
      <c r="Q337" s="18" t="inlineStr">
        <is>
          <t>Tom Hardy</t>
        </is>
      </c>
      <c r="R337" s="18" t="inlineStr">
        <is>
          <t>Nick Nolte</t>
        </is>
      </c>
      <c r="S337" s="18" t="inlineStr">
        <is>
          <t>Jennifer Morrison</t>
        </is>
      </c>
      <c r="T337" s="18" t="inlineStr">
        <is>
          <t>Frank Grillo</t>
        </is>
      </c>
      <c r="U337" s="24" t="n">
        <v>1</v>
      </c>
      <c r="V337" s="24" t="n">
        <v>0</v>
      </c>
      <c r="W337" s="4" t="n"/>
      <c r="X337" s="25">
        <f t="array" ref="X337">IFERROR(INDEX(Ratings!$E$5:$E$500,MATCH(A337,Ratings!$A$5:$A$500,0)),"")</f>
        <v/>
      </c>
      <c r="Y337" s="24">
        <f t="array" ref="Y337">IFERROR(INDEX(Ratings!$G$5:$G$500,MATCH(A337,Ratings!$A$5:$A$500,0)),"")</f>
        <v/>
      </c>
      <c r="Z337" s="26">
        <f t="array" ref="Z337">IFERROR(INDEX(Ratings!$I$5:$I$500,MATCH(A337,Ratings!$A$5:$A$500,0)),"")</f>
        <v/>
      </c>
      <c r="AB337" s="18" t="inlineStr">
        <is>
          <t>12A</t>
        </is>
      </c>
    </row>
    <row r="338" ht="15.75" customHeight="1" s="108">
      <c r="A338" s="18" t="inlineStr">
        <is>
          <t>F0334</t>
        </is>
      </c>
      <c r="B338" s="18" t="inlineStr">
        <is>
          <t>The Warriors</t>
        </is>
      </c>
      <c r="C338" s="20" t="inlineStr">
        <is>
          <t>1979</t>
        </is>
      </c>
      <c r="D338" s="18" t="inlineStr">
        <is>
          <t>Blu-ray</t>
        </is>
      </c>
      <c r="E338" s="4" t="n"/>
      <c r="F338" s="19" t="n"/>
      <c r="G338" s="4" t="n"/>
      <c r="H338" s="4" t="n"/>
      <c r="I338" s="19" t="inlineStr">
        <is>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is>
      </c>
      <c r="J338" s="19" t="inlineStr">
        <is>
          <t>Walter Hill</t>
        </is>
      </c>
      <c r="K338" s="19" t="n">
        <v>94</v>
      </c>
      <c r="L338" s="19" t="inlineStr">
        <is>
          <t>Action, Thriller</t>
        </is>
      </c>
      <c r="M338" s="19" t="inlineStr">
        <is>
          <t>Paramount</t>
        </is>
      </c>
      <c r="N338" s="19" t="inlineStr">
        <is>
          <t>https://huggingface.co/datasets/HenryWaltson/TMDB-IMDB-Movies-Dataset</t>
        </is>
      </c>
      <c r="O338" s="19" t="inlineStr">
        <is>
          <t>https://huggingface.co/datasets/HenryWaltson/TMDB-IMDB-Movies-Dataset</t>
        </is>
      </c>
      <c r="P338" s="18" t="inlineStr">
        <is>
          <t>Michael Beck</t>
        </is>
      </c>
      <c r="Q338" s="18" t="inlineStr">
        <is>
          <t>James Remar</t>
        </is>
      </c>
      <c r="R338" s="18" t="inlineStr">
        <is>
          <t>David Patrick Kelly</t>
        </is>
      </c>
      <c r="S338" s="18" t="inlineStr">
        <is>
          <t>Dorsey Wright</t>
        </is>
      </c>
      <c r="T338" s="18" t="inlineStr">
        <is>
          <t>David Harris</t>
        </is>
      </c>
      <c r="U338" s="24" t="n">
        <v>0</v>
      </c>
      <c r="V338" s="24" t="n">
        <v>0</v>
      </c>
      <c r="W338" s="4" t="n"/>
      <c r="X338" s="25">
        <f t="array" ref="X338">IFERROR(INDEX(Ratings!$E$5:$E$500,MATCH(A338,Ratings!$A$5:$A$500,0)),"")</f>
        <v/>
      </c>
      <c r="Y338" s="24">
        <f t="array" ref="Y338">IFERROR(INDEX(Ratings!$G$5:$G$500,MATCH(A338,Ratings!$A$5:$A$500,0)),"")</f>
        <v/>
      </c>
      <c r="Z338" s="26">
        <f t="array" ref="Z338">IFERROR(INDEX(Ratings!$I$5:$I$500,MATCH(A338,Ratings!$A$5:$A$500,0)),"")</f>
        <v/>
      </c>
      <c r="AB338" s="18" t="inlineStr">
        <is>
          <t>18</t>
        </is>
      </c>
    </row>
    <row r="339" ht="15.75" customHeight="1" s="108">
      <c r="A339" s="18" t="inlineStr">
        <is>
          <t>F0335</t>
        </is>
      </c>
      <c r="B339" s="18" t="inlineStr">
        <is>
          <t>White House Down</t>
        </is>
      </c>
      <c r="C339" s="20" t="inlineStr">
        <is>
          <t>2013</t>
        </is>
      </c>
      <c r="D339" s="18" t="inlineStr">
        <is>
          <t>Blu-ray</t>
        </is>
      </c>
      <c r="E339" s="4" t="n"/>
      <c r="F339" s="19" t="n"/>
      <c r="G339" s="4" t="n"/>
      <c r="H339" s="4" t="n"/>
      <c r="I339" s="19" t="inlineStr">
        <is>
          <t>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is>
      </c>
      <c r="J339" s="19" t="inlineStr">
        <is>
          <t>Roland Emmerich</t>
        </is>
      </c>
      <c r="K339" s="19" t="n">
        <v>131</v>
      </c>
      <c r="L339" s="19" t="inlineStr">
        <is>
          <t>Action, Drama, Thriller</t>
        </is>
      </c>
      <c r="M339" s="19" t="inlineStr">
        <is>
          <t>Iron Horse Entertainment, Columbia Pictures, Mythology Entertainment</t>
        </is>
      </c>
      <c r="N339" s="19" t="inlineStr">
        <is>
          <t>https://huggingface.co/datasets/HenryWaltson/TMDB-IMDB-Movies-Dataset</t>
        </is>
      </c>
      <c r="O339" s="19" t="inlineStr">
        <is>
          <t>https://huggingface.co/datasets/HenryWaltson/TMDB-IMDB-Movies-Dataset</t>
        </is>
      </c>
      <c r="P339" s="18" t="inlineStr">
        <is>
          <t>Channing Tatum</t>
        </is>
      </c>
      <c r="Q339" s="18" t="inlineStr">
        <is>
          <t>Jamie Foxx</t>
        </is>
      </c>
      <c r="R339" s="18" t="inlineStr">
        <is>
          <t>Joey King</t>
        </is>
      </c>
      <c r="S339" s="18" t="inlineStr">
        <is>
          <t>Maggie Gyllenhaal</t>
        </is>
      </c>
      <c r="T339" s="18" t="inlineStr">
        <is>
          <t>Richard Jenkins</t>
        </is>
      </c>
      <c r="U339" s="24" t="n">
        <v>0</v>
      </c>
      <c r="V339" s="24" t="n">
        <v>0</v>
      </c>
      <c r="W339" s="4" t="n"/>
      <c r="X339" s="25">
        <f t="array" ref="X339">IFERROR(INDEX(Ratings!$E$5:$E$500,MATCH(A339,Ratings!$A$5:$A$500,0)),"")</f>
        <v/>
      </c>
      <c r="Y339" s="24">
        <f t="array" ref="Y339">IFERROR(INDEX(Ratings!$G$5:$G$500,MATCH(A339,Ratings!$A$5:$A$500,0)),"")</f>
        <v/>
      </c>
      <c r="Z339" s="26">
        <f t="array" ref="Z339">IFERROR(INDEX(Ratings!$I$5:$I$500,MATCH(A339,Ratings!$A$5:$A$500,0)),"")</f>
        <v/>
      </c>
      <c r="AB339" s="18" t="inlineStr">
        <is>
          <t>12A</t>
        </is>
      </c>
    </row>
    <row r="340" ht="15.75" customHeight="1" s="108">
      <c r="A340" s="18" t="inlineStr">
        <is>
          <t>F0336</t>
        </is>
      </c>
      <c r="B340" s="18" t="inlineStr">
        <is>
          <t>Wreck-It Ralph</t>
        </is>
      </c>
      <c r="C340" s="20" t="inlineStr">
        <is>
          <t>2012</t>
        </is>
      </c>
      <c r="D340" s="18" t="inlineStr">
        <is>
          <t>Blu-ray</t>
        </is>
      </c>
      <c r="E340" s="18" t="inlineStr">
        <is>
          <t>Wreck-It Ralph</t>
        </is>
      </c>
      <c r="F340" s="19" t="n"/>
      <c r="G340" s="4" t="n"/>
      <c r="H340" s="4" t="n"/>
      <c r="I340" s="19" t="inlineStr">
        <is>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is>
      </c>
      <c r="J340" s="19" t="inlineStr">
        <is>
          <t>Rich Moore</t>
        </is>
      </c>
      <c r="K340" s="19" t="n">
        <v>101</v>
      </c>
      <c r="L340" s="19" t="inlineStr">
        <is>
          <t>Family, Animation, Comedy, Adventure</t>
        </is>
      </c>
      <c r="M340" s="19" t="inlineStr">
        <is>
          <t>Walt Disney Animation Studios, Walt Disney Pictures</t>
        </is>
      </c>
      <c r="N340" s="19" t="inlineStr">
        <is>
          <t>https://huggingface.co/datasets/HenryWaltson/TMDB-IMDB-Movies-Dataset</t>
        </is>
      </c>
      <c r="O340" s="19" t="inlineStr">
        <is>
          <t>https://huggingface.co/datasets/HenryWaltson/TMDB-IMDB-Movies-Dataset</t>
        </is>
      </c>
      <c r="P340" s="18" t="inlineStr">
        <is>
          <t>John C. Reilly</t>
        </is>
      </c>
      <c r="Q340" s="18" t="inlineStr">
        <is>
          <t>Sarah Silverman</t>
        </is>
      </c>
      <c r="R340" s="18" t="inlineStr">
        <is>
          <t>Jack McBrayer</t>
        </is>
      </c>
      <c r="S340" s="18" t="inlineStr">
        <is>
          <t>Alan Tudyk</t>
        </is>
      </c>
      <c r="T340" s="18" t="inlineStr">
        <is>
          <t>Jane Lynch</t>
        </is>
      </c>
      <c r="U340" s="24" t="n">
        <v>1</v>
      </c>
      <c r="V340" s="24" t="n">
        <v>0</v>
      </c>
      <c r="W340" s="4" t="n"/>
      <c r="X340" s="25">
        <f t="array" ref="X340">IFERROR(INDEX(Ratings!$E$5:$E$500,MATCH(A340,Ratings!$A$5:$A$500,0)),"")</f>
        <v/>
      </c>
      <c r="Y340" s="24">
        <f t="array" ref="Y340">IFERROR(INDEX(Ratings!$G$5:$G$500,MATCH(A340,Ratings!$A$5:$A$500,0)),"")</f>
        <v/>
      </c>
      <c r="Z340" s="26">
        <f t="array" ref="Z340">IFERROR(INDEX(Ratings!$I$5:$I$500,MATCH(A340,Ratings!$A$5:$A$500,0)),"")</f>
        <v/>
      </c>
      <c r="AB340" s="18" t="inlineStr">
        <is>
          <t>PG</t>
        </is>
      </c>
    </row>
    <row r="341" ht="15.75" customHeight="1" s="108">
      <c r="A341" s="18" t="inlineStr">
        <is>
          <t>F0337</t>
        </is>
      </c>
      <c r="B341" s="18" t="inlineStr">
        <is>
          <t>Ralph Breaks the Internet</t>
        </is>
      </c>
      <c r="C341" s="20" t="inlineStr">
        <is>
          <t>2018</t>
        </is>
      </c>
      <c r="D341" s="18" t="inlineStr">
        <is>
          <t>Blu-ray</t>
        </is>
      </c>
      <c r="E341" s="18" t="inlineStr">
        <is>
          <t>Wreck-It Ralph</t>
        </is>
      </c>
      <c r="F341" s="19" t="n"/>
      <c r="G341" s="4" t="n"/>
      <c r="H341" s="4" t="n"/>
      <c r="I341" s="19" t="inlineStr">
        <is>
          <t>Video game bad guy Ralph and fellow misfit Vanellope von Schweetz must risk it all by traveling to the World Wide Web in search of a replacement part to save Vanellope's video game, Sugar Rush. In way over their heads, Ralph and Vanellope rely on the citizens of the internet — the netizens — to help navigate their way, including an entrepreneur named Yesss, who is the head algorithm and the heart and soul of trend-making site BuzzzTube.</t>
        </is>
      </c>
      <c r="J341" s="19" t="inlineStr">
        <is>
          <t>Phil Johnston, Rich Moore</t>
        </is>
      </c>
      <c r="K341" s="19" t="n">
        <v>112</v>
      </c>
      <c r="L341" s="19" t="inlineStr">
        <is>
          <t>Family, Animation, Comedy, Adventure</t>
        </is>
      </c>
      <c r="M341" s="19" t="inlineStr">
        <is>
          <t>Walt Disney Pictures, Walt Disney Animation Studios</t>
        </is>
      </c>
      <c r="N341" s="19" t="inlineStr">
        <is>
          <t>https://huggingface.co/datasets/HenryWaltson/TMDB-IMDB-Movies-Dataset</t>
        </is>
      </c>
      <c r="O341" s="19" t="inlineStr">
        <is>
          <t>https://huggingface.co/datasets/HenryWaltson/TMDB-IMDB-Movies-Dataset</t>
        </is>
      </c>
      <c r="P341" s="18" t="inlineStr">
        <is>
          <t>John C. Reilly</t>
        </is>
      </c>
      <c r="Q341" s="18" t="inlineStr">
        <is>
          <t>Sarah Silverman</t>
        </is>
      </c>
      <c r="R341" s="18" t="inlineStr">
        <is>
          <t>Gal Gadot</t>
        </is>
      </c>
      <c r="S341" s="18" t="inlineStr">
        <is>
          <t>Taraji P. Henson</t>
        </is>
      </c>
      <c r="T341" s="18" t="inlineStr">
        <is>
          <t>Bill Hader</t>
        </is>
      </c>
      <c r="U341" s="24" t="n">
        <v>1</v>
      </c>
      <c r="V341" s="24" t="n">
        <v>0</v>
      </c>
      <c r="W341" s="4" t="n"/>
      <c r="X341" s="25">
        <f t="array" ref="X341">IFERROR(INDEX(Ratings!$E$5:$E$500,MATCH(A341,Ratings!$A$5:$A$500,0)),"")</f>
        <v/>
      </c>
      <c r="Y341" s="24">
        <f t="array" ref="Y341">IFERROR(INDEX(Ratings!$G$5:$G$500,MATCH(A341,Ratings!$A$5:$A$500,0)),"")</f>
        <v/>
      </c>
      <c r="Z341" s="26">
        <f t="array" ref="Z341">IFERROR(INDEX(Ratings!$I$5:$I$500,MATCH(A341,Ratings!$A$5:$A$500,0)),"")</f>
        <v/>
      </c>
      <c r="AB341" s="18" t="inlineStr">
        <is>
          <t>PG</t>
        </is>
      </c>
    </row>
    <row r="342" ht="15.75" customHeight="1" s="108">
      <c r="A342" s="18" t="inlineStr">
        <is>
          <t>F0338</t>
        </is>
      </c>
      <c r="B342" s="18" t="inlineStr">
        <is>
          <t>Wonka</t>
        </is>
      </c>
      <c r="C342" s="20" t="inlineStr">
        <is>
          <t>2023</t>
        </is>
      </c>
      <c r="D342" s="18" t="inlineStr">
        <is>
          <t>Blu-ray</t>
        </is>
      </c>
      <c r="E342" s="4" t="n"/>
      <c r="F342" s="19" t="n"/>
      <c r="G342" s="18" t="inlineStr">
        <is>
          <t>Yes</t>
        </is>
      </c>
      <c r="H342" s="18" t="inlineStr">
        <is>
          <t>⭐⭐⭐⭐⭐</t>
        </is>
      </c>
      <c r="I342" s="19" t="inlineStr">
        <is>
          <t>Willy Wonka – chock-full of ideas and determined to change the world one delectable bite at a time – is proof that the best things in life begin with a dream, and if you’re lucky enough to meet Willy Wonka, anything is possible.</t>
        </is>
      </c>
      <c r="J342" s="19" t="inlineStr">
        <is>
          <t>Paul King</t>
        </is>
      </c>
      <c r="K342" s="19" t="n">
        <v>117</v>
      </c>
      <c r="L342" s="19" t="inlineStr">
        <is>
          <t>Adventure, Comedy, Family, Fantasy</t>
        </is>
      </c>
      <c r="M342" s="19" t="inlineStr">
        <is>
          <t>Warner Bros. Pictures, Heyday Films, Village Roadshow Pictures</t>
        </is>
      </c>
      <c r="N342" s="19" t="inlineStr">
        <is>
          <t>https://huggingface.co/datasets/HenryWaltson/TMDB-IMDB-Movies-Dataset</t>
        </is>
      </c>
      <c r="O342" s="19" t="inlineStr">
        <is>
          <t>https://huggingface.co/datasets/HenryWaltson/TMDB-IMDB-Movies-Dataset</t>
        </is>
      </c>
      <c r="P342" s="18" t="inlineStr">
        <is>
          <t>Timothée Chalamet</t>
        </is>
      </c>
      <c r="Q342" s="18" t="inlineStr">
        <is>
          <t>Calah Lane</t>
        </is>
      </c>
      <c r="R342" s="18" t="inlineStr">
        <is>
          <t>Keegan-Michael Key</t>
        </is>
      </c>
      <c r="S342" s="18" t="inlineStr">
        <is>
          <t>Hugh Grant</t>
        </is>
      </c>
      <c r="T342" s="18" t="inlineStr">
        <is>
          <t>Paterson Joseph</t>
        </is>
      </c>
      <c r="U342" s="24" t="n">
        <v>0</v>
      </c>
      <c r="V342" s="24" t="n">
        <v>0</v>
      </c>
      <c r="W342" s="4" t="n"/>
      <c r="X342" s="25">
        <f t="array" ref="X342">IFERROR(INDEX(Ratings!$E$5:$E$500,MATCH(A342,Ratings!$A$5:$A$500,0)),"")</f>
        <v/>
      </c>
      <c r="Y342" s="24">
        <f t="array" ref="Y342">IFERROR(INDEX(Ratings!$G$5:$G$500,MATCH(A342,Ratings!$A$5:$A$500,0)),"")</f>
        <v/>
      </c>
      <c r="Z342" s="26">
        <f t="array" ref="Z342">IFERROR(INDEX(Ratings!$I$5:$I$500,MATCH(A342,Ratings!$A$5:$A$500,0)),"")</f>
        <v/>
      </c>
      <c r="AB342" s="18" t="inlineStr">
        <is>
          <t>PG</t>
        </is>
      </c>
    </row>
    <row r="343" ht="15.75" customHeight="1" s="108">
      <c r="A343" s="18" t="inlineStr">
        <is>
          <t>F0339</t>
        </is>
      </c>
      <c r="B343" s="18" t="inlineStr">
        <is>
          <t>Willy Wonka &amp; the Chocolate Factory</t>
        </is>
      </c>
      <c r="C343" s="20" t="inlineStr">
        <is>
          <t>1971</t>
        </is>
      </c>
      <c r="D343" s="18" t="inlineStr">
        <is>
          <t>Blu-ray</t>
        </is>
      </c>
      <c r="E343" s="4" t="n"/>
      <c r="F343" s="19" t="n"/>
      <c r="G343" s="4" t="n"/>
      <c r="H343" s="4" t="n"/>
      <c r="I343" s="19" t="inlineStr">
        <is>
          <t>When eccentric candy man Willy Wonka promises a lifetime supply of sweets and a tour of his chocolate factory to five lucky kids, penniless Charlie Bucket seeks the golden ticket that will make him a winner.</t>
        </is>
      </c>
      <c r="J343" s="19" t="inlineStr">
        <is>
          <t>Mel Stuart</t>
        </is>
      </c>
      <c r="K343" s="19" t="n">
        <v>99</v>
      </c>
      <c r="L343" s="19" t="inlineStr">
        <is>
          <t>Family, Fantasy, Comedy</t>
        </is>
      </c>
      <c r="M343" s="19" t="inlineStr">
        <is>
          <t>David L. Wolper Productions</t>
        </is>
      </c>
      <c r="N343" s="19" t="inlineStr">
        <is>
          <t>https://huggingface.co/datasets/HenryWaltson/TMDB-IMDB-Movies-Dataset</t>
        </is>
      </c>
      <c r="O343" s="19" t="inlineStr">
        <is>
          <t>https://huggingface.co/datasets/HenryWaltson/TMDB-IMDB-Movies-Dataset</t>
        </is>
      </c>
      <c r="P343" s="18" t="inlineStr">
        <is>
          <t>Gene Wilder</t>
        </is>
      </c>
      <c r="Q343" s="18" t="inlineStr">
        <is>
          <t>Peter Ostrum</t>
        </is>
      </c>
      <c r="R343" s="18" t="inlineStr">
        <is>
          <t>Jack Albertson</t>
        </is>
      </c>
      <c r="S343" s="18" t="inlineStr">
        <is>
          <t>Paris Themmen</t>
        </is>
      </c>
      <c r="T343" s="18" t="inlineStr">
        <is>
          <t>Nora Denney</t>
        </is>
      </c>
      <c r="U343" s="24" t="n">
        <v>1</v>
      </c>
      <c r="V343" s="24" t="n">
        <v>0</v>
      </c>
      <c r="W343" s="4" t="n"/>
      <c r="X343" s="25">
        <f t="array" ref="X343">IFERROR(INDEX(Ratings!$E$5:$E$500,MATCH(A343,Ratings!$A$5:$A$500,0)),"")</f>
        <v/>
      </c>
      <c r="Y343" s="24">
        <f t="array" ref="Y343">IFERROR(INDEX(Ratings!$G$5:$G$500,MATCH(A343,Ratings!$A$5:$A$500,0)),"")</f>
        <v/>
      </c>
      <c r="Z343" s="26">
        <f t="array" ref="Z343">IFERROR(INDEX(Ratings!$I$5:$I$500,MATCH(A343,Ratings!$A$5:$A$500,0)),"")</f>
        <v/>
      </c>
      <c r="AB343" s="18" t="inlineStr">
        <is>
          <t>U</t>
        </is>
      </c>
    </row>
    <row r="344" ht="15.75" customHeight="1" s="108">
      <c r="A344" s="18" t="inlineStr">
        <is>
          <t>F0340</t>
        </is>
      </c>
      <c r="B344" s="18" t="inlineStr">
        <is>
          <t>X-Men: First Class</t>
        </is>
      </c>
      <c r="C344" s="20" t="inlineStr">
        <is>
          <t>2011</t>
        </is>
      </c>
      <c r="D344" s="18" t="inlineStr">
        <is>
          <t>Blu-ray</t>
        </is>
      </c>
      <c r="E344" s="18" t="inlineStr">
        <is>
          <t>X-Men</t>
        </is>
      </c>
      <c r="F344" s="19" t="n"/>
      <c r="G344" s="4" t="inlineStr">
        <is>
          <t>Yes</t>
        </is>
      </c>
      <c r="H344" s="4" t="inlineStr">
        <is>
          <t>⭐⭐⭐⭐⭐</t>
        </is>
      </c>
      <c r="I344" s="19" t="inlineStr">
        <is>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is>
      </c>
      <c r="J344" s="19" t="inlineStr">
        <is>
          <t>Matthew Vaughn</t>
        </is>
      </c>
      <c r="K344" s="19" t="n">
        <v>132</v>
      </c>
      <c r="L344" s="19" t="inlineStr">
        <is>
          <t>Action, Science Fiction, Adventure</t>
        </is>
      </c>
      <c r="M344" s="19" t="inlineStr">
        <is>
          <t>The Donners' Company, Bad Hat Harry Productions, 20th Century Fox</t>
        </is>
      </c>
      <c r="N344" s="19" t="inlineStr">
        <is>
          <t>https://huggingface.co/datasets/HenryWaltson/TMDB-IMDB-Movies-Dataset</t>
        </is>
      </c>
      <c r="O344" s="19" t="inlineStr">
        <is>
          <t>https://huggingface.co/datasets/HenryWaltson/TMDB-IMDB-Movies-Dataset</t>
        </is>
      </c>
      <c r="P344" s="18" t="inlineStr">
        <is>
          <t>James McAvoy</t>
        </is>
      </c>
      <c r="Q344" s="18" t="inlineStr">
        <is>
          <t>Michael Fassbender</t>
        </is>
      </c>
      <c r="R344" s="18" t="inlineStr">
        <is>
          <t>Jennifer Lawrence</t>
        </is>
      </c>
      <c r="S344" s="18" t="inlineStr">
        <is>
          <t>Rose Byrne</t>
        </is>
      </c>
      <c r="T344" s="18" t="inlineStr">
        <is>
          <t>Kevin Bacon</t>
        </is>
      </c>
      <c r="U344" s="24" t="n">
        <v>0</v>
      </c>
      <c r="V344" s="24" t="n">
        <v>0</v>
      </c>
      <c r="W344" s="4" t="n"/>
      <c r="X344" s="25">
        <f t="array" ref="X344">IFERROR(INDEX(Ratings!$E$5:$E$500,MATCH(A344,Ratings!$A$5:$A$500,0)),"")</f>
        <v/>
      </c>
      <c r="Y344" s="24">
        <f t="array" ref="Y344">IFERROR(INDEX(Ratings!$G$5:$G$500,MATCH(A344,Ratings!$A$5:$A$500,0)),"")</f>
        <v/>
      </c>
      <c r="Z344" s="26">
        <f t="array" ref="Z344">IFERROR(INDEX(Ratings!$I$5:$I$500,MATCH(A344,Ratings!$A$5:$A$500,0)),"")</f>
        <v/>
      </c>
      <c r="AA344" s="0" t="inlineStr">
        <is>
          <t>2026-08-29</t>
        </is>
      </c>
      <c r="AB344" s="18" t="inlineStr">
        <is>
          <t>12A</t>
        </is>
      </c>
    </row>
    <row r="345" ht="15.75" customHeight="1" s="108">
      <c r="A345" s="18" t="inlineStr">
        <is>
          <t>F0341</t>
        </is>
      </c>
      <c r="B345" s="18" t="inlineStr">
        <is>
          <t>X-Men: Days of Future Past</t>
        </is>
      </c>
      <c r="C345" s="20" t="inlineStr">
        <is>
          <t>2014</t>
        </is>
      </c>
      <c r="D345" s="18" t="inlineStr">
        <is>
          <t>Blu-ray</t>
        </is>
      </c>
      <c r="E345" s="18" t="inlineStr">
        <is>
          <t>X-Men</t>
        </is>
      </c>
      <c r="F345" s="19" t="n"/>
      <c r="G345" s="4" t="inlineStr">
        <is>
          <t>Yes</t>
        </is>
      </c>
      <c r="H345" s="4" t="inlineStr">
        <is>
          <t>⭐⭐⭐⭐</t>
        </is>
      </c>
      <c r="I345" s="19" t="inlineStr">
        <is>
          <t>The ultimate X-Men ensemble fights a war for the survival of the species across two time periods as they join forces with their younger selves in an epic battle that must change the past – to save our future.</t>
        </is>
      </c>
      <c r="J345" s="19" t="inlineStr">
        <is>
          <t>Bryan Singer</t>
        </is>
      </c>
      <c r="K345" s="19" t="n">
        <v>132</v>
      </c>
      <c r="L345" s="19" t="inlineStr">
        <is>
          <t>Action, Adventure, Science Fiction</t>
        </is>
      </c>
      <c r="M345" s="19" t="inlineStr">
        <is>
          <t>Bad Hat Harry Productions, The Donners' Company, Simon Kinberg Productions</t>
        </is>
      </c>
      <c r="N345" s="19" t="inlineStr">
        <is>
          <t>https://huggingface.co/datasets/HenryWaltson/TMDB-IMDB-Movies-Dataset</t>
        </is>
      </c>
      <c r="O345" s="19" t="inlineStr">
        <is>
          <t>https://huggingface.co/datasets/HenryWaltson/TMDB-IMDB-Movies-Dataset</t>
        </is>
      </c>
      <c r="P345" s="18" t="inlineStr">
        <is>
          <t>Hugh Jackman</t>
        </is>
      </c>
      <c r="Q345" s="18" t="inlineStr">
        <is>
          <t>James McAvoy</t>
        </is>
      </c>
      <c r="R345" s="18" t="inlineStr">
        <is>
          <t>Michael Fassbender</t>
        </is>
      </c>
      <c r="S345" s="18" t="inlineStr">
        <is>
          <t>Patrick Stewart</t>
        </is>
      </c>
      <c r="T345" s="18" t="inlineStr">
        <is>
          <t>Ian McKellen</t>
        </is>
      </c>
      <c r="U345" s="24" t="n">
        <v>1</v>
      </c>
      <c r="V345" s="24" t="n">
        <v>0</v>
      </c>
      <c r="W345" s="4" t="n"/>
      <c r="X345" s="25">
        <f t="array" ref="X345">IFERROR(INDEX(Ratings!$E$5:$E$500,MATCH(A345,Ratings!$A$5:$A$500,0)),"")</f>
        <v/>
      </c>
      <c r="Y345" s="24">
        <f t="array" ref="Y345">IFERROR(INDEX(Ratings!$G$5:$G$500,MATCH(A345,Ratings!$A$5:$A$500,0)),"")</f>
        <v/>
      </c>
      <c r="Z345" s="26">
        <f t="array" ref="Z345">IFERROR(INDEX(Ratings!$I$5:$I$500,MATCH(A345,Ratings!$A$5:$A$500,0)),"")</f>
        <v/>
      </c>
      <c r="AA345" s="0" t="inlineStr">
        <is>
          <t>2026-08-30</t>
        </is>
      </c>
      <c r="AB345" s="18" t="inlineStr">
        <is>
          <t>12A</t>
        </is>
      </c>
    </row>
    <row r="346" ht="15.75" customHeight="1" s="108">
      <c r="A346" s="18" t="inlineStr">
        <is>
          <t>F0342</t>
        </is>
      </c>
      <c r="B346" s="18" t="inlineStr">
        <is>
          <t>X-Men: Apocalypse</t>
        </is>
      </c>
      <c r="C346" s="20" t="inlineStr">
        <is>
          <t>2016</t>
        </is>
      </c>
      <c r="D346" s="18" t="inlineStr">
        <is>
          <t>Blu-ray</t>
        </is>
      </c>
      <c r="E346" s="18" t="inlineStr">
        <is>
          <t>X-Men</t>
        </is>
      </c>
      <c r="F346" s="19" t="n"/>
      <c r="G346" s="4" t="inlineStr">
        <is>
          <t>Yes</t>
        </is>
      </c>
      <c r="H346" s="4" t="inlineStr">
        <is>
          <t>⭐⭐⭐</t>
        </is>
      </c>
      <c r="I346" s="19" t="inlineStr">
        <is>
          <t>After the re-emergence of the world's first mutant, world-destroyer Apocalypse, the X-Men must unite to defeat his extinction level plan.</t>
        </is>
      </c>
      <c r="J346" s="19" t="inlineStr">
        <is>
          <t>Bryan Singer</t>
        </is>
      </c>
      <c r="K346" s="19" t="n">
        <v>144</v>
      </c>
      <c r="L346" s="19" t="inlineStr">
        <is>
          <t>Action, Adventure, Science Fiction, Fantasy</t>
        </is>
      </c>
      <c r="M346" s="19" t="inlineStr">
        <is>
          <t>The Donners' Company, Bad Hat Harry Productions, Genre Films</t>
        </is>
      </c>
      <c r="N346" s="19" t="inlineStr">
        <is>
          <t>https://huggingface.co/datasets/HenryWaltson/TMDB-IMDB-Movies-Dataset</t>
        </is>
      </c>
      <c r="O346" s="19" t="inlineStr">
        <is>
          <t>https://huggingface.co/datasets/HenryWaltson/TMDB-IMDB-Movies-Dataset</t>
        </is>
      </c>
      <c r="P346" s="18" t="inlineStr">
        <is>
          <t>James McAvoy</t>
        </is>
      </c>
      <c r="Q346" s="18" t="inlineStr">
        <is>
          <t>Michael Fassbender</t>
        </is>
      </c>
      <c r="R346" s="18" t="inlineStr">
        <is>
          <t>Jennifer Lawrence</t>
        </is>
      </c>
      <c r="S346" s="18" t="inlineStr">
        <is>
          <t>Nicholas Hoult</t>
        </is>
      </c>
      <c r="T346" s="18" t="inlineStr">
        <is>
          <t>Oscar Isaac</t>
        </is>
      </c>
      <c r="U346" s="24" t="n">
        <v>0</v>
      </c>
      <c r="V346" s="24" t="n">
        <v>0</v>
      </c>
      <c r="W346" s="4" t="n"/>
      <c r="X346" s="25">
        <f t="array" ref="X346">IFERROR(INDEX(Ratings!$E$5:$E$500,MATCH(A346,Ratings!$A$5:$A$500,0)),"")</f>
        <v/>
      </c>
      <c r="Y346" s="24">
        <f t="array" ref="Y346">IFERROR(INDEX(Ratings!$G$5:$G$500,MATCH(A346,Ratings!$A$5:$A$500,0)),"")</f>
        <v/>
      </c>
      <c r="Z346" s="26">
        <f t="array" ref="Z346">IFERROR(INDEX(Ratings!$I$5:$I$500,MATCH(A346,Ratings!$A$5:$A$500,0)),"")</f>
        <v/>
      </c>
      <c r="AA346" s="0" t="inlineStr">
        <is>
          <t>2026-09-01</t>
        </is>
      </c>
      <c r="AB346" s="18" t="inlineStr">
        <is>
          <t>12A</t>
        </is>
      </c>
    </row>
    <row r="347" ht="15.75" customHeight="1" s="108">
      <c r="A347" s="18" t="inlineStr">
        <is>
          <t>F0343</t>
        </is>
      </c>
      <c r="B347" s="18" t="inlineStr">
        <is>
          <t>X-Men Origins: Wolverine</t>
        </is>
      </c>
      <c r="C347" s="20" t="inlineStr">
        <is>
          <t>2009</t>
        </is>
      </c>
      <c r="D347" s="18" t="inlineStr">
        <is>
          <t>Blu-ray</t>
        </is>
      </c>
      <c r="E347" s="18" t="inlineStr">
        <is>
          <t>X-Men</t>
        </is>
      </c>
      <c r="F347" s="19" t="n"/>
      <c r="G347" s="4" t="n"/>
      <c r="H347" s="4" t="n"/>
      <c r="I347" s="19" t="inlineStr">
        <is>
          <t>After seeking to live a normal life after 200 years, Logan sets out to avenge a death by undergoing the mutant Weapon X program and becoming Wolverine.</t>
        </is>
      </c>
      <c r="J347" s="19" t="inlineStr">
        <is>
          <t>Gavin Hood</t>
        </is>
      </c>
      <c r="K347" s="19" t="n">
        <v>107</v>
      </c>
      <c r="L347" s="19" t="inlineStr">
        <is>
          <t>Adventure, Action, Thriller, Science Fiction</t>
        </is>
      </c>
      <c r="M347" s="19" t="inlineStr">
        <is>
          <t>The Donners' Company, Seed Productions, 20th Century Fox</t>
        </is>
      </c>
      <c r="N347" s="19" t="inlineStr">
        <is>
          <t>https://huggingface.co/datasets/HenryWaltson/TMDB-IMDB-Movies-Dataset</t>
        </is>
      </c>
      <c r="O347" s="19" t="inlineStr">
        <is>
          <t>https://huggingface.co/datasets/HenryWaltson/TMDB-IMDB-Movies-Dataset</t>
        </is>
      </c>
      <c r="P347" s="18" t="inlineStr">
        <is>
          <t>Hugh Jackman</t>
        </is>
      </c>
      <c r="Q347" s="18" t="inlineStr">
        <is>
          <t>Liev Schreiber</t>
        </is>
      </c>
      <c r="R347" s="18" t="inlineStr">
        <is>
          <t>Danny Huston</t>
        </is>
      </c>
      <c r="S347" s="18" t="inlineStr">
        <is>
          <t>Lynn Collins</t>
        </is>
      </c>
      <c r="T347" s="18" t="inlineStr">
        <is>
          <t>Kevin Durand</t>
        </is>
      </c>
      <c r="U347" s="24" t="n">
        <v>0</v>
      </c>
      <c r="V347" s="24" t="n">
        <v>0</v>
      </c>
      <c r="W347" s="4" t="n"/>
      <c r="X347" s="25">
        <f t="array" ref="X347">IFERROR(INDEX(Ratings!$E$5:$E$500,MATCH(A347,Ratings!$A$5:$A$500,0)),"")</f>
        <v/>
      </c>
      <c r="Y347" s="24">
        <f t="array" ref="Y347">IFERROR(INDEX(Ratings!$G$5:$G$500,MATCH(A347,Ratings!$A$5:$A$500,0)),"")</f>
        <v/>
      </c>
      <c r="Z347" s="26">
        <f t="array" ref="Z347">IFERROR(INDEX(Ratings!$I$5:$I$500,MATCH(A347,Ratings!$A$5:$A$500,0)),"")</f>
        <v/>
      </c>
      <c r="AB347" s="18" t="inlineStr">
        <is>
          <t>12A</t>
        </is>
      </c>
    </row>
    <row r="348" ht="15.75" customHeight="1" s="108">
      <c r="A348" s="18" t="inlineStr">
        <is>
          <t>F0344</t>
        </is>
      </c>
      <c r="B348" s="18" t="inlineStr">
        <is>
          <t>X-Men</t>
        </is>
      </c>
      <c r="C348" s="20" t="inlineStr">
        <is>
          <t>2000</t>
        </is>
      </c>
      <c r="D348" s="18" t="inlineStr">
        <is>
          <t>Blu-ray</t>
        </is>
      </c>
      <c r="E348" s="18" t="inlineStr">
        <is>
          <t>X-Men</t>
        </is>
      </c>
      <c r="F348" s="19" t="inlineStr">
        <is>
          <t>X-Men Trilogy (Box Set)</t>
        </is>
      </c>
      <c r="G348" s="4" t="inlineStr">
        <is>
          <t>Yes</t>
        </is>
      </c>
      <c r="H348" s="4" t="inlineStr">
        <is>
          <t>⭐⭐⭐⭐</t>
        </is>
      </c>
      <c r="I348" s="19" t="inlineStr">
        <is>
          <t>Owned via X-Men Trilogy (Box Set).</t>
        </is>
      </c>
      <c r="J348" s="19" t="inlineStr">
        <is>
          <t>Bryan Singer</t>
        </is>
      </c>
      <c r="K348" s="19" t="n">
        <v>104</v>
      </c>
      <c r="L348" s="19" t="inlineStr">
        <is>
          <t>Action, Science Fiction</t>
        </is>
      </c>
      <c r="M348" s="19" t="inlineStr">
        <is>
          <t>20th Century Fox, Marvel Entertainment</t>
        </is>
      </c>
      <c r="N348" s="19" t="inlineStr">
        <is>
          <t>https://huggingface.co/datasets/HenryWaltson/TMDB-IMDB-Movies-Dataset</t>
        </is>
      </c>
      <c r="O348" s="19" t="inlineStr">
        <is>
          <t>https://huggingface.co/datasets/HenryWaltson/TMDB-IMDB-Movies-Dataset</t>
        </is>
      </c>
      <c r="P348" s="18" t="inlineStr">
        <is>
          <t>Hugh Jackman</t>
        </is>
      </c>
      <c r="Q348" s="18" t="inlineStr">
        <is>
          <t>Patrick Stewart</t>
        </is>
      </c>
      <c r="R348" s="18" t="inlineStr">
        <is>
          <t>Ian McKellen</t>
        </is>
      </c>
      <c r="S348" s="18" t="inlineStr">
        <is>
          <t>Famke Janssen</t>
        </is>
      </c>
      <c r="T348" s="18" t="inlineStr">
        <is>
          <t>James Marsden</t>
        </is>
      </c>
      <c r="U348" s="24" t="n">
        <v>0</v>
      </c>
      <c r="V348" s="24" t="n">
        <v>0</v>
      </c>
      <c r="W348" s="4" t="n"/>
      <c r="X348" s="25">
        <f t="array" ref="X348">IFERROR(INDEX(Ratings!$E$5:$E$500,MATCH(A348,Ratings!$A$5:$A$500,0)),"")</f>
        <v/>
      </c>
      <c r="Y348" s="24">
        <f t="array" ref="Y348">IFERROR(INDEX(Ratings!$G$5:$G$500,MATCH(A348,Ratings!$A$5:$A$500,0)),"")</f>
        <v/>
      </c>
      <c r="Z348" s="26">
        <f t="array" ref="Z348">IFERROR(INDEX(Ratings!$I$5:$I$500,MATCH(A348,Ratings!$A$5:$A$500,0)),"")</f>
        <v/>
      </c>
      <c r="AA348" s="0" t="inlineStr">
        <is>
          <t>2026-08-25</t>
        </is>
      </c>
    </row>
    <row r="349" ht="15.75" customHeight="1" s="108">
      <c r="A349" s="18" t="inlineStr">
        <is>
          <t>F0345</t>
        </is>
      </c>
      <c r="B349" s="18" t="inlineStr">
        <is>
          <t>X2: X-Men United</t>
        </is>
      </c>
      <c r="C349" s="20" t="inlineStr">
        <is>
          <t>2003</t>
        </is>
      </c>
      <c r="D349" s="18" t="inlineStr">
        <is>
          <t>Blu-ray</t>
        </is>
      </c>
      <c r="E349" s="18" t="inlineStr">
        <is>
          <t>X-Men</t>
        </is>
      </c>
      <c r="F349" s="19" t="inlineStr">
        <is>
          <t>X-Men Trilogy (Box Set)</t>
        </is>
      </c>
      <c r="G349" s="4" t="inlineStr">
        <is>
          <t>Yes</t>
        </is>
      </c>
      <c r="H349" s="4" t="inlineStr">
        <is>
          <t>⭐⭐⭐⭐</t>
        </is>
      </c>
      <c r="I349" s="19" t="inlineStr">
        <is>
          <t>Owned via X-Men Trilogy (Box Set).</t>
        </is>
      </c>
      <c r="J349" s="19" t="inlineStr">
        <is>
          <t>Bryan Singer</t>
        </is>
      </c>
      <c r="K349" s="19" t="n">
        <v>133</v>
      </c>
      <c r="L349" s="19" t="inlineStr">
        <is>
          <t>Action, Science Fiction, Thriller</t>
        </is>
      </c>
      <c r="M349" s="19" t="inlineStr">
        <is>
          <t>20th Century Fox, Marvel Entertainment</t>
        </is>
      </c>
      <c r="N349" s="19" t="inlineStr">
        <is>
          <t>https://huggingface.co/datasets/HenryWaltson/TMDB-IMDB-Movies-Dataset</t>
        </is>
      </c>
      <c r="O349" s="19" t="inlineStr">
        <is>
          <t>https://huggingface.co/datasets/HenryWaltson/TMDB-IMDB-Movies-Dataset</t>
        </is>
      </c>
      <c r="P349" s="18" t="inlineStr">
        <is>
          <t>Patrick Stewart</t>
        </is>
      </c>
      <c r="Q349" s="18" t="inlineStr">
        <is>
          <t>Hugh Jackman</t>
        </is>
      </c>
      <c r="R349" s="18" t="inlineStr">
        <is>
          <t>Ian McKellen</t>
        </is>
      </c>
      <c r="S349" s="18" t="inlineStr">
        <is>
          <t>Halle Berry</t>
        </is>
      </c>
      <c r="T349" s="18" t="inlineStr">
        <is>
          <t>Famke Janssen</t>
        </is>
      </c>
      <c r="U349" s="24" t="n">
        <v>0</v>
      </c>
      <c r="V349" s="24" t="n">
        <v>0</v>
      </c>
      <c r="W349" s="4" t="n"/>
      <c r="X349" s="25">
        <f t="array" ref="X349">IFERROR(INDEX(Ratings!$E$5:$E$500,MATCH(A349,Ratings!$A$5:$A$500,0)),"")</f>
        <v/>
      </c>
      <c r="Y349" s="24">
        <f t="array" ref="Y349">IFERROR(INDEX(Ratings!$G$5:$G$500,MATCH(A349,Ratings!$A$5:$A$500,0)),"")</f>
        <v/>
      </c>
      <c r="Z349" s="26">
        <f t="array" ref="Z349">IFERROR(INDEX(Ratings!$I$5:$I$500,MATCH(A349,Ratings!$A$5:$A$500,0)),"")</f>
        <v/>
      </c>
      <c r="AA349" s="0" t="inlineStr">
        <is>
          <t>2026-08-29</t>
        </is>
      </c>
      <c r="AB349" s="18" t="inlineStr">
        <is>
          <t>12A</t>
        </is>
      </c>
    </row>
    <row r="350" ht="15.75" customHeight="1" s="108">
      <c r="A350" s="18" t="inlineStr">
        <is>
          <t>F0346</t>
        </is>
      </c>
      <c r="B350" s="18" t="inlineStr">
        <is>
          <t>X-Men: The Last Stand</t>
        </is>
      </c>
      <c r="C350" s="20" t="inlineStr">
        <is>
          <t>2006</t>
        </is>
      </c>
      <c r="D350" s="18" t="inlineStr">
        <is>
          <t>Blu-ray</t>
        </is>
      </c>
      <c r="E350" s="18" t="inlineStr">
        <is>
          <t>X-Men</t>
        </is>
      </c>
      <c r="F350" s="19" t="inlineStr">
        <is>
          <t>X-Men Trilogy (Box Set)</t>
        </is>
      </c>
      <c r="G350" s="4" t="inlineStr">
        <is>
          <t>Yes</t>
        </is>
      </c>
      <c r="H350" s="4" t="inlineStr">
        <is>
          <t>⭐</t>
        </is>
      </c>
      <c r="I350" s="19" t="inlineStr">
        <is>
          <t>Owned via X-Men Trilogy (Box Set).</t>
        </is>
      </c>
      <c r="J350" s="19" t="inlineStr">
        <is>
          <t>Brett Ratner</t>
        </is>
      </c>
      <c r="K350" s="19" t="n">
        <v>104</v>
      </c>
      <c r="L350" s="19" t="inlineStr">
        <is>
          <t>Action, Science Fiction, Thriller</t>
        </is>
      </c>
      <c r="M350" s="19" t="inlineStr">
        <is>
          <t>20th Century Fox, Marvel Entertainment</t>
        </is>
      </c>
      <c r="N350" s="19" t="inlineStr">
        <is>
          <t>https://huggingface.co/datasets/HenryWaltson/TMDB-IMDB-Movies-Dataset</t>
        </is>
      </c>
      <c r="O350" s="19" t="inlineStr">
        <is>
          <t>https://huggingface.co/datasets/HenryWaltson/TMDB-IMDB-Movies-Dataset</t>
        </is>
      </c>
      <c r="P350" s="18" t="inlineStr">
        <is>
          <t>Hugh Jackman</t>
        </is>
      </c>
      <c r="Q350" s="18" t="inlineStr">
        <is>
          <t>Halle Berry</t>
        </is>
      </c>
      <c r="R350" s="18" t="inlineStr">
        <is>
          <t>Ian McKellen</t>
        </is>
      </c>
      <c r="S350" s="18" t="inlineStr">
        <is>
          <t>Patrick Stewart</t>
        </is>
      </c>
      <c r="T350" s="18" t="inlineStr">
        <is>
          <t>Famke Janssen</t>
        </is>
      </c>
      <c r="U350" s="24" t="n">
        <v>0</v>
      </c>
      <c r="V350" s="24" t="n">
        <v>0</v>
      </c>
      <c r="W350" s="4" t="n"/>
      <c r="X350" s="25">
        <f t="array" ref="X350">IFERROR(INDEX(Ratings!$E$5:$E$500,MATCH(A350,Ratings!$A$5:$A$500,0)),"")</f>
        <v/>
      </c>
      <c r="Y350" s="24">
        <f t="array" ref="Y350">IFERROR(INDEX(Ratings!$G$5:$G$500,MATCH(A350,Ratings!$A$5:$A$500,0)),"")</f>
        <v/>
      </c>
      <c r="Z350" s="26">
        <f t="array" ref="Z350">IFERROR(INDEX(Ratings!$I$5:$I$500,MATCH(A350,Ratings!$A$5:$A$500,0)),"")</f>
        <v/>
      </c>
      <c r="AA350" s="0" t="inlineStr">
        <is>
          <t>2026-08-29</t>
        </is>
      </c>
      <c r="AB350" s="18" t="inlineStr">
        <is>
          <t>12A</t>
        </is>
      </c>
    </row>
    <row r="351" ht="15.75" customHeight="1" s="108">
      <c r="A351" s="18" t="inlineStr">
        <is>
          <t>F0347</t>
        </is>
      </c>
      <c r="B351" s="18" t="inlineStr">
        <is>
          <t>The Wolverine</t>
        </is>
      </c>
      <c r="C351" s="20" t="inlineStr">
        <is>
          <t>2013</t>
        </is>
      </c>
      <c r="D351" s="18" t="inlineStr">
        <is>
          <t>Blu-ray</t>
        </is>
      </c>
      <c r="E351" s="18" t="inlineStr">
        <is>
          <t>X-Men</t>
        </is>
      </c>
      <c r="F351" s="19" t="n"/>
      <c r="G351" s="4" t="n"/>
      <c r="H351" s="4" t="n"/>
      <c r="I351" s="19" t="inlineStr">
        <is>
          <t>Wolverine faces his ultimate nemesis - and tests of his physical, emotional, and mortal limits - in a life-changing voyage to modern-day Japan.</t>
        </is>
      </c>
      <c r="J351" s="19" t="inlineStr">
        <is>
          <t>James Mangold</t>
        </is>
      </c>
      <c r="K351" s="19" t="n">
        <v>126</v>
      </c>
      <c r="L351" s="19" t="inlineStr">
        <is>
          <t>Action, Science Fiction, Adventure, Fantasy</t>
        </is>
      </c>
      <c r="M351" s="19" t="inlineStr">
        <is>
          <t>The Donners' Company, 20th Century Fox</t>
        </is>
      </c>
      <c r="N351" s="19" t="inlineStr">
        <is>
          <t>https://huggingface.co/datasets/HenryWaltson/TMDB-IMDB-Movies-Dataset</t>
        </is>
      </c>
      <c r="O351" s="19" t="inlineStr">
        <is>
          <t>https://huggingface.co/datasets/HenryWaltson/TMDB-IMDB-Movies-Dataset</t>
        </is>
      </c>
      <c r="P351" s="18" t="inlineStr">
        <is>
          <t>Hugh Jackman</t>
        </is>
      </c>
      <c r="Q351" s="18" t="inlineStr">
        <is>
          <t>Hiroyuki Sanada</t>
        </is>
      </c>
      <c r="R351" s="18" t="inlineStr">
        <is>
          <t>Tao Okamoto</t>
        </is>
      </c>
      <c r="S351" s="18" t="inlineStr">
        <is>
          <t>Rila Fukushima</t>
        </is>
      </c>
      <c r="T351" s="18" t="inlineStr">
        <is>
          <t>Famke Janssen</t>
        </is>
      </c>
      <c r="U351" s="24" t="n">
        <v>0</v>
      </c>
      <c r="V351" s="24" t="n">
        <v>0</v>
      </c>
      <c r="W351" s="4" t="n"/>
      <c r="X351" s="25">
        <f t="array" ref="X351">IFERROR(INDEX(Ratings!$E$5:$E$500,MATCH(A351,Ratings!$A$5:$A$500,0)),"")</f>
        <v/>
      </c>
      <c r="Y351" s="24">
        <f t="array" ref="Y351">IFERROR(INDEX(Ratings!$G$5:$G$500,MATCH(A351,Ratings!$A$5:$A$500,0)),"")</f>
        <v/>
      </c>
      <c r="Z351" s="26">
        <f t="array" ref="Z351">IFERROR(INDEX(Ratings!$I$5:$I$500,MATCH(A351,Ratings!$A$5:$A$500,0)),"")</f>
        <v/>
      </c>
      <c r="AB351" s="18" t="inlineStr">
        <is>
          <t>12A</t>
        </is>
      </c>
    </row>
    <row r="352" ht="15.75" customHeight="1" s="108">
      <c r="A352" s="18" t="inlineStr">
        <is>
          <t>F0348</t>
        </is>
      </c>
      <c r="B352" s="18" t="inlineStr">
        <is>
          <t>Yogi Bear</t>
        </is>
      </c>
      <c r="C352" s="20" t="inlineStr">
        <is>
          <t>2010</t>
        </is>
      </c>
      <c r="D352" s="18" t="inlineStr">
        <is>
          <t>Blu-ray</t>
        </is>
      </c>
      <c r="E352" s="4" t="n"/>
      <c r="F352" s="19" t="n"/>
      <c r="G352" s="4" t="n"/>
      <c r="H352" s="4" t="n"/>
      <c r="I352" s="19" t="inlineStr">
        <is>
          <t>A documentary filmmaker travels to Jellystone Park to shoot a project and soon crosses paths with Yogi Bear, his sidekick Boo-Boo, and Ranger Smith.</t>
        </is>
      </c>
      <c r="J352" s="19" t="inlineStr">
        <is>
          <t>Eric Brevig</t>
        </is>
      </c>
      <c r="K352" s="19" t="n">
        <v>80</v>
      </c>
      <c r="L352" s="19" t="inlineStr">
        <is>
          <t>Comedy, Family, Animation, Adventure</t>
        </is>
      </c>
      <c r="M352" s="19" t="inlineStr">
        <is>
          <t>Sunswept Entertainment, De Line Pictures, Rhythm and Hues</t>
        </is>
      </c>
      <c r="N352" s="19" t="inlineStr">
        <is>
          <t>https://huggingface.co/datasets/HenryWaltson/TMDB-IMDB-Movies-Dataset</t>
        </is>
      </c>
      <c r="O352" s="19" t="inlineStr">
        <is>
          <t>https://huggingface.co/datasets/HenryWaltson/TMDB-IMDB-Movies-Dataset</t>
        </is>
      </c>
      <c r="P352" s="18" t="inlineStr">
        <is>
          <t>Dan Aykroyd</t>
        </is>
      </c>
      <c r="Q352" s="18" t="inlineStr">
        <is>
          <t>Justin Timberlake</t>
        </is>
      </c>
      <c r="R352" s="18" t="inlineStr">
        <is>
          <t>Anna Faris</t>
        </is>
      </c>
      <c r="S352" s="18" t="inlineStr">
        <is>
          <t>Tom Cavanagh</t>
        </is>
      </c>
      <c r="T352" s="18" t="inlineStr">
        <is>
          <t>T.J. Miller</t>
        </is>
      </c>
      <c r="U352" s="24" t="n">
        <v>0</v>
      </c>
      <c r="V352" s="24" t="n">
        <v>0</v>
      </c>
      <c r="W352" s="4" t="n"/>
      <c r="X352" s="25">
        <f t="array" ref="X352">IFERROR(INDEX(Ratings!$E$5:$E$500,MATCH(A352,Ratings!$A$5:$A$500,0)),"")</f>
        <v/>
      </c>
      <c r="Y352" s="24">
        <f t="array" ref="Y352">IFERROR(INDEX(Ratings!$G$5:$G$500,MATCH(A352,Ratings!$A$5:$A$500,0)),"")</f>
        <v/>
      </c>
      <c r="Z352" s="26">
        <f t="array" ref="Z352">IFERROR(INDEX(Ratings!$I$5:$I$500,MATCH(A352,Ratings!$A$5:$A$500,0)),"")</f>
        <v/>
      </c>
      <c r="AB352" s="18" t="inlineStr">
        <is>
          <t>U</t>
        </is>
      </c>
    </row>
    <row r="353" ht="15.75" customHeight="1" s="108">
      <c r="A353" s="18" t="inlineStr">
        <is>
          <t>F0349</t>
        </is>
      </c>
      <c r="B353" s="18" t="inlineStr">
        <is>
          <t>Zero Dark Thirty</t>
        </is>
      </c>
      <c r="C353" s="20" t="inlineStr">
        <is>
          <t>2012</t>
        </is>
      </c>
      <c r="D353" s="18" t="inlineStr">
        <is>
          <t>Blu-ray</t>
        </is>
      </c>
      <c r="E353" s="4" t="n"/>
      <c r="F353" s="19" t="n"/>
      <c r="G353" s="4" t="n"/>
      <c r="H353" s="4" t="n"/>
      <c r="I353" s="19" t="inlineStr">
        <is>
          <t>A chronicle of the decade-long hunt for al-Qaeda terrorist leader Osama bin Laden after the September 2001 attacks, and his death at the hands of the Navy S.E.A.L. Team 6 in May, 2011.</t>
        </is>
      </c>
      <c r="J353" s="19" t="inlineStr">
        <is>
          <t>Kathryn Bigelow</t>
        </is>
      </c>
      <c r="K353" s="19" t="n">
        <v>157</v>
      </c>
      <c r="L353" s="19" t="inlineStr">
        <is>
          <t>Thriller, Drama, History</t>
        </is>
      </c>
      <c r="M353" s="19" t="inlineStr">
        <is>
          <t>Columbia Pictures, Annapurna Pictures, First Light</t>
        </is>
      </c>
      <c r="N353" s="19" t="inlineStr">
        <is>
          <t>https://huggingface.co/datasets/HenryWaltson/TMDB-IMDB-Movies-Dataset</t>
        </is>
      </c>
      <c r="O353" s="19" t="inlineStr">
        <is>
          <t>https://huggingface.co/datasets/HenryWaltson/TMDB-IMDB-Movies-Dataset</t>
        </is>
      </c>
      <c r="P353" s="18" t="inlineStr">
        <is>
          <t>Jessica Chastain</t>
        </is>
      </c>
      <c r="Q353" s="18" t="inlineStr">
        <is>
          <t>Jason Clarke</t>
        </is>
      </c>
      <c r="R353" s="18" t="inlineStr">
        <is>
          <t>Kyle Chandler</t>
        </is>
      </c>
      <c r="S353" s="18" t="inlineStr">
        <is>
          <t>Jennifer Ehle</t>
        </is>
      </c>
      <c r="T353" s="18" t="inlineStr">
        <is>
          <t>Mark Strong</t>
        </is>
      </c>
      <c r="U353" s="24" t="n">
        <v>5</v>
      </c>
      <c r="V353" s="24" t="n">
        <v>1</v>
      </c>
      <c r="W353" s="18" t="inlineStr">
        <is>
          <t>Nominated</t>
        </is>
      </c>
      <c r="X353" s="25">
        <f t="array" ref="X353">IFERROR(INDEX(Ratings!$E$5:$E$500,MATCH(A353,Ratings!$A$5:$A$500,0)),"")</f>
        <v/>
      </c>
      <c r="Y353" s="24">
        <f t="array" ref="Y353">IFERROR(INDEX(Ratings!$G$5:$G$500,MATCH(A353,Ratings!$A$5:$A$500,0)),"")</f>
        <v/>
      </c>
      <c r="Z353" s="26">
        <f t="array" ref="Z353">IFERROR(INDEX(Ratings!$I$5:$I$500,MATCH(A353,Ratings!$A$5:$A$500,0)),"")</f>
        <v/>
      </c>
      <c r="AB353" s="18" t="inlineStr">
        <is>
          <t>15</t>
        </is>
      </c>
    </row>
    <row r="354" ht="15.75" customHeight="1" s="108">
      <c r="A354" s="45" t="inlineStr">
        <is>
          <t>F0350</t>
        </is>
      </c>
      <c r="B354" s="45" t="inlineStr">
        <is>
          <t>Zodiac</t>
        </is>
      </c>
      <c r="C354" s="86" t="inlineStr">
        <is>
          <t>2007</t>
        </is>
      </c>
      <c r="D354" s="45" t="inlineStr">
        <is>
          <t>Blu-ray</t>
        </is>
      </c>
      <c r="E354" s="45" t="n"/>
      <c r="F354" s="63" t="n"/>
      <c r="G354" s="45" t="n"/>
      <c r="H354" s="45" t="n"/>
      <c r="I354" s="63" t="inlineStr">
        <is>
          <t>Over the course of a decade, editors of the San Francisco Chronicle entice themselves in the murders of the Zodiac Killer. However, as time runs its course, interest in the case dwindles in the eyes of the professionals. The Killer stops interacting with the public. However, believing he has the answers, an amateur cartoonist from the initial sightings races against time to prevent what he believes is another murder.</t>
        </is>
      </c>
      <c r="J354" s="63" t="inlineStr">
        <is>
          <t>David Fincher</t>
        </is>
      </c>
      <c r="K354" s="63" t="n">
        <v>157</v>
      </c>
      <c r="L354" s="63" t="inlineStr">
        <is>
          <t>Crime, Drama, Mystery, Thriller</t>
        </is>
      </c>
      <c r="M354" s="63" t="inlineStr">
        <is>
          <t>Paramount, Phoenix Pictures, Warner Bros. Pictures</t>
        </is>
      </c>
      <c r="N354" s="63" t="inlineStr">
        <is>
          <t>https://huggingface.co/datasets/HenryWaltson/TMDB-IMDB-Movies-Dataset</t>
        </is>
      </c>
      <c r="O354" s="63" t="inlineStr">
        <is>
          <t>https://huggingface.co/datasets/HenryWaltson/TMDB-IMDB-Movies-Dataset</t>
        </is>
      </c>
      <c r="P354" s="45" t="inlineStr">
        <is>
          <t>Jake Gyllenhaal</t>
        </is>
      </c>
      <c r="Q354" s="45" t="inlineStr">
        <is>
          <t>Mark Ruffalo</t>
        </is>
      </c>
      <c r="R354" s="45" t="inlineStr">
        <is>
          <t>Anthony Edwards</t>
        </is>
      </c>
      <c r="S354" s="45" t="inlineStr">
        <is>
          <t>Robert Downey Jr.</t>
        </is>
      </c>
      <c r="T354" s="45" t="inlineStr">
        <is>
          <t>Chloë Sevigny</t>
        </is>
      </c>
      <c r="U354" s="87" t="n">
        <v>0</v>
      </c>
      <c r="V354" s="87" t="n">
        <v>0</v>
      </c>
      <c r="W354" s="45" t="n"/>
      <c r="X354" s="25">
        <f t="array" ref="X354">IFERROR(INDEX(Ratings!$E$5:$E$500,MATCH(A354,Ratings!$A$5:$A$500,0)),"")</f>
        <v/>
      </c>
      <c r="Y354" s="24">
        <f t="array" ref="Y354">IFERROR(INDEX(Ratings!$G$5:$G$500,MATCH(A354,Ratings!$A$5:$A$500,0)),"")</f>
        <v/>
      </c>
      <c r="Z354" s="26">
        <f t="array" ref="Z354">IFERROR(INDEX(Ratings!$I$5:$I$500,MATCH(A354,Ratings!$A$5:$A$500,0)),"")</f>
        <v/>
      </c>
      <c r="AB354" s="18" t="inlineStr">
        <is>
          <t>15</t>
        </is>
      </c>
    </row>
    <row r="355" ht="15.75" customHeight="1" s="108">
      <c r="A355" s="4" t="n"/>
      <c r="B355" s="4" t="n"/>
      <c r="C355" s="20"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08">
      <c r="A356" s="4" t="n"/>
      <c r="B356" s="4" t="n"/>
      <c r="C356" s="20"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08">
      <c r="A357" s="4" t="n"/>
      <c r="B357" s="4" t="n"/>
      <c r="C357" s="20"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08">
      <c r="A358" s="4" t="n"/>
      <c r="B358" s="4" t="n"/>
      <c r="C358" s="20"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08">
      <c r="A359" s="4" t="n"/>
      <c r="B359" s="4" t="n"/>
      <c r="C359" s="20"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08">
      <c r="A360" s="4" t="n"/>
      <c r="B360" s="4" t="n"/>
      <c r="C360" s="20"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08">
      <c r="A361" s="4" t="n"/>
      <c r="B361" s="4" t="n"/>
      <c r="C361" s="20"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08">
      <c r="A362" s="4" t="n"/>
      <c r="B362" s="4" t="n"/>
      <c r="C362" s="20"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08">
      <c r="A363" s="4" t="n"/>
      <c r="B363" s="4" t="n"/>
      <c r="C363" s="20"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08">
      <c r="A364" s="4" t="n"/>
      <c r="B364" s="4" t="n"/>
      <c r="C364" s="20"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08">
      <c r="A365" s="4" t="n"/>
      <c r="B365" s="4" t="n"/>
      <c r="C365" s="20"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08">
      <c r="A366" s="4" t="n"/>
      <c r="B366" s="4" t="n"/>
      <c r="C366" s="20"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08">
      <c r="A367" s="4" t="n"/>
      <c r="B367" s="4" t="n"/>
      <c r="C367" s="20"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08">
      <c r="A368" s="4" t="n"/>
      <c r="B368" s="4" t="n"/>
      <c r="C368" s="20"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08">
      <c r="A369" s="4" t="n"/>
      <c r="B369" s="4" t="n"/>
      <c r="C369" s="20"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08">
      <c r="A370" s="4" t="n"/>
      <c r="B370" s="4" t="n"/>
      <c r="C370" s="20"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08">
      <c r="A371" s="4" t="n"/>
      <c r="B371" s="4" t="n"/>
      <c r="C371" s="20"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08">
      <c r="A372" s="4" t="n"/>
      <c r="B372" s="4" t="n"/>
      <c r="C372" s="20"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08">
      <c r="A373" s="4" t="n"/>
      <c r="B373" s="4" t="n"/>
      <c r="C373" s="20"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08">
      <c r="A374" s="4" t="n"/>
      <c r="B374" s="4" t="n"/>
      <c r="C374" s="20"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08">
      <c r="A375" s="4" t="n"/>
      <c r="B375" s="4" t="n"/>
      <c r="C375" s="20"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08">
      <c r="A376" s="4" t="n"/>
      <c r="B376" s="4" t="n"/>
      <c r="C376" s="20"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08">
      <c r="A377" s="4" t="n"/>
      <c r="B377" s="4" t="n"/>
      <c r="C377" s="20"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08">
      <c r="A378" s="4" t="n"/>
      <c r="B378" s="4" t="n"/>
      <c r="C378" s="20"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08">
      <c r="A379" s="4" t="n"/>
      <c r="B379" s="4" t="n"/>
      <c r="C379" s="20"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08">
      <c r="A380" s="4" t="n"/>
      <c r="B380" s="4" t="n"/>
      <c r="C380" s="20"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08">
      <c r="A381" s="4" t="n"/>
      <c r="B381" s="4" t="n"/>
      <c r="C381" s="20"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08">
      <c r="A382" s="4" t="n"/>
      <c r="B382" s="4" t="n"/>
      <c r="C382" s="20"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08">
      <c r="A383" s="4" t="n"/>
      <c r="B383" s="4" t="n"/>
      <c r="C383" s="20"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08">
      <c r="A384" s="4" t="n"/>
      <c r="B384" s="4" t="n"/>
      <c r="C384" s="20"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08">
      <c r="A385" s="4" t="n"/>
      <c r="B385" s="4" t="n"/>
      <c r="C385" s="20"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08">
      <c r="A386" s="4" t="n"/>
      <c r="B386" s="4" t="n"/>
      <c r="C386" s="20"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08">
      <c r="A387" s="4" t="n"/>
      <c r="B387" s="4" t="n"/>
      <c r="C387" s="20"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08">
      <c r="A388" s="4" t="n"/>
      <c r="B388" s="4" t="n"/>
      <c r="C388" s="20"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08">
      <c r="A389" s="4" t="n"/>
      <c r="B389" s="4" t="n"/>
      <c r="C389" s="20"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08">
      <c r="A390" s="4" t="n"/>
      <c r="B390" s="4" t="n"/>
      <c r="C390" s="20"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08">
      <c r="A391" s="4" t="n"/>
      <c r="B391" s="4" t="n"/>
      <c r="C391" s="20"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08">
      <c r="A392" s="4" t="n"/>
      <c r="B392" s="4" t="n"/>
      <c r="C392" s="20"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08">
      <c r="A393" s="4" t="n"/>
      <c r="B393" s="4" t="n"/>
      <c r="C393" s="20"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08">
      <c r="A394" s="4" t="n"/>
      <c r="B394" s="4" t="n"/>
      <c r="C394" s="20"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08">
      <c r="A395" s="4" t="n"/>
      <c r="B395" s="4" t="n"/>
      <c r="C395" s="20"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08">
      <c r="A396" s="4" t="n"/>
      <c r="B396" s="4" t="n"/>
      <c r="C396" s="20"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08">
      <c r="A397" s="4" t="n"/>
      <c r="B397" s="4" t="n"/>
      <c r="C397" s="20"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08">
      <c r="A398" s="4" t="n"/>
      <c r="B398" s="4" t="n"/>
      <c r="C398" s="20"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08">
      <c r="A399" s="4" t="n"/>
      <c r="B399" s="4" t="n"/>
      <c r="C399" s="20"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08">
      <c r="A400" s="4" t="n"/>
      <c r="B400" s="4" t="n"/>
      <c r="C400" s="20"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08">
      <c r="A401" s="4" t="n"/>
      <c r="B401" s="4" t="n"/>
      <c r="C401" s="20"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08">
      <c r="A402" s="4" t="n"/>
      <c r="B402" s="4" t="n"/>
      <c r="C402" s="20"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08">
      <c r="A403" s="4" t="n"/>
      <c r="B403" s="4" t="n"/>
      <c r="C403" s="20"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08">
      <c r="A404" s="4" t="n"/>
      <c r="B404" s="4" t="n"/>
      <c r="C404" s="20"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08">
      <c r="A405" s="4" t="n"/>
      <c r="B405" s="4" t="n"/>
      <c r="C405" s="20"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08">
      <c r="A406" s="4" t="n"/>
      <c r="B406" s="4" t="n"/>
      <c r="C406" s="20"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08">
      <c r="A407" s="4" t="n"/>
      <c r="B407" s="4" t="n"/>
      <c r="C407" s="20"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08">
      <c r="A408" s="4" t="n"/>
      <c r="B408" s="4" t="n"/>
      <c r="C408" s="20"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08">
      <c r="A409" s="4" t="n"/>
      <c r="B409" s="4" t="n"/>
      <c r="C409" s="20"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08">
      <c r="A410" s="4" t="n"/>
      <c r="B410" s="4" t="n"/>
      <c r="C410" s="20"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08">
      <c r="A411" s="4" t="n"/>
      <c r="B411" s="4" t="n"/>
      <c r="C411" s="20"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08">
      <c r="A412" s="4" t="n"/>
      <c r="B412" s="4" t="n"/>
      <c r="C412" s="20"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08">
      <c r="A413" s="4" t="n"/>
      <c r="B413" s="4" t="n"/>
      <c r="C413" s="20"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08">
      <c r="A414" s="4" t="n"/>
      <c r="B414" s="4" t="n"/>
      <c r="C414" s="20"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08">
      <c r="A415" s="4" t="n"/>
      <c r="B415" s="4" t="n"/>
      <c r="C415" s="20"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08">
      <c r="A416" s="4" t="n"/>
      <c r="B416" s="4" t="n"/>
      <c r="C416" s="20"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08">
      <c r="A417" s="4" t="n"/>
      <c r="B417" s="4" t="n"/>
      <c r="C417" s="20"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08">
      <c r="A418" s="4" t="n"/>
      <c r="B418" s="4" t="n"/>
      <c r="C418" s="20"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08">
      <c r="A419" s="4" t="n"/>
      <c r="B419" s="4" t="n"/>
      <c r="C419" s="20"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08">
      <c r="A420" s="4" t="n"/>
      <c r="B420" s="4" t="n"/>
      <c r="C420" s="20"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08">
      <c r="A421" s="4" t="n"/>
      <c r="B421" s="4" t="n"/>
      <c r="C421" s="20"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08">
      <c r="A422" s="4" t="n"/>
      <c r="B422" s="4" t="n"/>
      <c r="C422" s="20"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08">
      <c r="A423" s="4" t="n"/>
      <c r="B423" s="4" t="n"/>
      <c r="C423" s="20"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08">
      <c r="A424" s="4" t="n"/>
      <c r="B424" s="4" t="n"/>
      <c r="C424" s="20"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08">
      <c r="A425" s="4" t="n"/>
      <c r="B425" s="4" t="n"/>
      <c r="C425" s="20"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08">
      <c r="A426" s="4" t="n"/>
      <c r="B426" s="4" t="n"/>
      <c r="C426" s="20"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08">
      <c r="A427" s="4" t="n"/>
      <c r="B427" s="4" t="n"/>
      <c r="C427" s="20"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08">
      <c r="A428" s="4" t="n"/>
      <c r="B428" s="4" t="n"/>
      <c r="C428" s="20"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08">
      <c r="A429" s="4" t="n"/>
      <c r="B429" s="4" t="n"/>
      <c r="C429" s="20"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08">
      <c r="A430" s="4" t="n"/>
      <c r="B430" s="4" t="n"/>
      <c r="C430" s="20"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08">
      <c r="A431" s="4" t="n"/>
      <c r="B431" s="4" t="n"/>
      <c r="C431" s="20"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08">
      <c r="A432" s="4" t="n"/>
      <c r="B432" s="4" t="n"/>
      <c r="C432" s="20"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08">
      <c r="A433" s="4" t="n"/>
      <c r="B433" s="4" t="n"/>
      <c r="C433" s="20"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08">
      <c r="A434" s="4" t="n"/>
      <c r="B434" s="4" t="n"/>
      <c r="C434" s="20"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08">
      <c r="A435" s="4" t="n"/>
      <c r="B435" s="4" t="n"/>
      <c r="C435" s="20"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08">
      <c r="A436" s="4" t="n"/>
      <c r="B436" s="4" t="n"/>
      <c r="C436" s="20"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08">
      <c r="A437" s="4" t="n"/>
      <c r="B437" s="4" t="n"/>
      <c r="C437" s="20"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08">
      <c r="A438" s="4" t="n"/>
      <c r="B438" s="4" t="n"/>
      <c r="C438" s="20"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08">
      <c r="A439" s="4" t="n"/>
      <c r="B439" s="4" t="n"/>
      <c r="C439" s="20"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08">
      <c r="A440" s="4" t="n"/>
      <c r="B440" s="4" t="n"/>
      <c r="C440" s="20"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08">
      <c r="A441" s="4" t="n"/>
      <c r="B441" s="4" t="n"/>
      <c r="C441" s="20"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08">
      <c r="A442" s="4" t="n"/>
      <c r="B442" s="4" t="n"/>
      <c r="C442" s="20"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08">
      <c r="A443" s="4" t="n"/>
      <c r="B443" s="4" t="n"/>
      <c r="C443" s="20"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08">
      <c r="A444" s="4" t="n"/>
      <c r="B444" s="4" t="n"/>
      <c r="C444" s="20"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08">
      <c r="A445" s="4" t="n"/>
      <c r="B445" s="4" t="n"/>
      <c r="C445" s="20"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08">
      <c r="A446" s="4" t="n"/>
      <c r="B446" s="4" t="n"/>
      <c r="C446" s="20"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08">
      <c r="A447" s="4" t="n"/>
      <c r="B447" s="4" t="n"/>
      <c r="C447" s="20"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08">
      <c r="A448" s="4" t="n"/>
      <c r="B448" s="4" t="n"/>
      <c r="C448" s="20"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08">
      <c r="A449" s="4" t="n"/>
      <c r="B449" s="4" t="n"/>
      <c r="C449" s="20"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08">
      <c r="A450" s="4" t="n"/>
      <c r="B450" s="4" t="n"/>
      <c r="C450" s="20"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08">
      <c r="A451" s="4" t="n"/>
      <c r="B451" s="4" t="n"/>
      <c r="C451" s="20"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08">
      <c r="A452" s="4" t="n"/>
      <c r="B452" s="4" t="n"/>
      <c r="C452" s="20"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08">
      <c r="A453" s="4" t="n"/>
      <c r="B453" s="4" t="n"/>
      <c r="C453" s="20"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08">
      <c r="A454" s="4" t="n"/>
      <c r="B454" s="4" t="n"/>
      <c r="C454" s="20"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08">
      <c r="A455" s="4" t="n"/>
      <c r="B455" s="4" t="n"/>
      <c r="C455" s="20"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08">
      <c r="A456" s="4" t="n"/>
      <c r="B456" s="4" t="n"/>
      <c r="C456" s="20"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08">
      <c r="A457" s="4" t="n"/>
      <c r="B457" s="4" t="n"/>
      <c r="C457" s="20"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08">
      <c r="A458" s="4" t="n"/>
      <c r="B458" s="4" t="n"/>
      <c r="C458" s="20"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08">
      <c r="A459" s="4" t="n"/>
      <c r="B459" s="4" t="n"/>
      <c r="C459" s="20"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08">
      <c r="A460" s="4" t="n"/>
      <c r="B460" s="4" t="n"/>
      <c r="C460" s="20"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08">
      <c r="A461" s="4" t="n"/>
      <c r="B461" s="4" t="n"/>
      <c r="C461" s="20"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08">
      <c r="A462" s="4" t="n"/>
      <c r="B462" s="4" t="n"/>
      <c r="C462" s="20"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08">
      <c r="A463" s="4" t="n"/>
      <c r="B463" s="4" t="n"/>
      <c r="C463" s="20"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08">
      <c r="A464" s="4" t="n"/>
      <c r="B464" s="4" t="n"/>
      <c r="C464" s="20"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08">
      <c r="A465" s="4" t="n"/>
      <c r="B465" s="4" t="n"/>
      <c r="C465" s="20"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08">
      <c r="A466" s="4" t="n"/>
      <c r="B466" s="4" t="n"/>
      <c r="C466" s="20"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08">
      <c r="A467" s="4" t="n"/>
      <c r="B467" s="4" t="n"/>
      <c r="C467" s="20"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08">
      <c r="A468" s="4" t="n"/>
      <c r="B468" s="4" t="n"/>
      <c r="C468" s="20"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08">
      <c r="A469" s="4" t="n"/>
      <c r="B469" s="4" t="n"/>
      <c r="C469" s="20"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08">
      <c r="A470" s="4" t="n"/>
      <c r="B470" s="4" t="n"/>
      <c r="C470" s="20"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08">
      <c r="A471" s="4" t="n"/>
      <c r="B471" s="4" t="n"/>
      <c r="C471" s="20"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08">
      <c r="A472" s="4" t="n"/>
      <c r="B472" s="4" t="n"/>
      <c r="C472" s="20"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08">
      <c r="A473" s="4" t="n"/>
      <c r="B473" s="4" t="n"/>
      <c r="C473" s="20"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08">
      <c r="A474" s="4" t="n"/>
      <c r="B474" s="4" t="n"/>
      <c r="C474" s="20"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08">
      <c r="A475" s="4" t="n"/>
      <c r="B475" s="4" t="n"/>
      <c r="C475" s="20"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08">
      <c r="A476" s="4" t="n"/>
      <c r="B476" s="4" t="n"/>
      <c r="C476" s="20"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08">
      <c r="A477" s="4" t="n"/>
      <c r="B477" s="4" t="n"/>
      <c r="C477" s="20"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08">
      <c r="A478" s="4" t="n"/>
      <c r="B478" s="4" t="n"/>
      <c r="C478" s="20"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08">
      <c r="A479" s="4" t="n"/>
      <c r="B479" s="4" t="n"/>
      <c r="C479" s="20"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08">
      <c r="A480" s="4" t="n"/>
      <c r="B480" s="4" t="n"/>
      <c r="C480" s="20"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08">
      <c r="A481" s="4" t="n"/>
      <c r="B481" s="4" t="n"/>
      <c r="C481" s="20"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08">
      <c r="A482" s="4" t="n"/>
      <c r="B482" s="4" t="n"/>
      <c r="C482" s="20"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08">
      <c r="A483" s="4" t="n"/>
      <c r="B483" s="4" t="n"/>
      <c r="C483" s="20"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08">
      <c r="A484" s="4" t="n"/>
      <c r="B484" s="4" t="n"/>
      <c r="C484" s="20"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08">
      <c r="A485" s="4" t="n"/>
      <c r="B485" s="4" t="n"/>
      <c r="C485" s="20"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08">
      <c r="A486" s="4" t="n"/>
      <c r="B486" s="4" t="n"/>
      <c r="C486" s="20"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08">
      <c r="A487" s="4" t="n"/>
      <c r="B487" s="4" t="n"/>
      <c r="C487" s="20"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08">
      <c r="A488" s="4" t="n"/>
      <c r="B488" s="4" t="n"/>
      <c r="C488" s="20"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08">
      <c r="A489" s="4" t="n"/>
      <c r="B489" s="4" t="n"/>
      <c r="C489" s="20"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08">
      <c r="A490" s="4" t="n"/>
      <c r="B490" s="4" t="n"/>
      <c r="C490" s="20"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08">
      <c r="A491" s="4" t="n"/>
      <c r="B491" s="4" t="n"/>
      <c r="C491" s="20"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08">
      <c r="A492" s="4" t="n"/>
      <c r="B492" s="4" t="n"/>
      <c r="C492" s="20"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08">
      <c r="A493" s="4" t="n"/>
      <c r="B493" s="4" t="n"/>
      <c r="C493" s="20"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08">
      <c r="A494" s="4" t="n"/>
      <c r="B494" s="4" t="n"/>
      <c r="C494" s="20"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08">
      <c r="A495" s="4" t="n"/>
      <c r="B495" s="4" t="n"/>
      <c r="C495" s="20"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08">
      <c r="A496" s="4" t="n"/>
      <c r="B496" s="4" t="n"/>
      <c r="C496" s="20"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08">
      <c r="A497" s="4" t="n"/>
      <c r="B497" s="4" t="n"/>
      <c r="C497" s="20"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08">
      <c r="A498" s="4" t="n"/>
      <c r="B498" s="4" t="n"/>
      <c r="C498" s="20"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08">
      <c r="A499" s="4" t="n"/>
      <c r="B499" s="4" t="n"/>
      <c r="C499" s="20"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08">
      <c r="A500" s="4" t="n"/>
      <c r="B500" s="4" t="n"/>
      <c r="C500" s="20"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08">
      <c r="A501" s="93" t="n"/>
      <c r="B501" s="94" t="n"/>
      <c r="C501" s="94" t="n"/>
      <c r="D501" s="94" t="n"/>
      <c r="E501" s="94" t="n"/>
      <c r="F501" s="94" t="n"/>
      <c r="G501" s="94" t="n"/>
      <c r="H501" s="95"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08">
      <c r="A502" s="93" t="n"/>
      <c r="B502" s="94" t="n"/>
      <c r="C502" s="94" t="n"/>
      <c r="D502" s="94" t="n"/>
      <c r="E502" s="94" t="n"/>
      <c r="F502" s="94" t="n"/>
      <c r="G502" s="94" t="n"/>
      <c r="H502" s="95"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08">
      <c r="A503" s="93" t="n"/>
      <c r="B503" s="94" t="n"/>
      <c r="C503" s="94" t="n"/>
      <c r="D503" s="94" t="n"/>
      <c r="E503" s="94" t="n"/>
      <c r="F503" s="94" t="n"/>
      <c r="G503" s="94" t="n"/>
      <c r="H503" s="95"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08">
      <c r="A504" s="97" t="n"/>
      <c r="B504" s="98" t="n"/>
      <c r="C504" s="98" t="n"/>
      <c r="D504" s="98" t="n"/>
      <c r="E504" s="98" t="n"/>
      <c r="F504" s="98" t="n"/>
      <c r="G504" s="98" t="n"/>
      <c r="H504" s="99"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08">
      <c r="A505" s="18" t="inlineStr">
        <is>
          <t>F0351</t>
        </is>
      </c>
      <c r="B505" s="18" t="inlineStr">
        <is>
          <t>Dogma</t>
        </is>
      </c>
      <c r="C505" s="18" t="n">
        <v>1999</v>
      </c>
      <c r="D505" s="18" t="inlineStr">
        <is>
          <t>Blu-ray</t>
        </is>
      </c>
      <c r="E505" s="4" t="n"/>
      <c r="F505" s="4" t="n"/>
      <c r="G505" s="18" t="inlineStr">
        <is>
          <t>No</t>
        </is>
      </c>
      <c r="H505" s="4" t="n"/>
      <c r="I505" s="18" t="inlineStr">
        <is>
          <t>An abortion clinic worker with a special heritage is called upon to save the existence of humanity from being negated by two renegade angels trying to exploit a loophole and reenter Heaven.</t>
        </is>
      </c>
      <c r="J505" s="18" t="inlineStr">
        <is>
          <t>Kevin Smith</t>
        </is>
      </c>
      <c r="K505" s="18" t="n">
        <v>130</v>
      </c>
      <c r="L505" s="18" t="inlineStr">
        <is>
          <t>Fantasy, Comedy, Adventure</t>
        </is>
      </c>
      <c r="M505" s="4" t="n"/>
      <c r="N505" s="4" t="n"/>
      <c r="O505" s="4" t="n"/>
      <c r="P505" s="18" t="inlineStr">
        <is>
          <t>Ben Affleck</t>
        </is>
      </c>
      <c r="Q505" s="18" t="inlineStr">
        <is>
          <t>Matt Damon</t>
        </is>
      </c>
      <c r="R505" s="18" t="inlineStr">
        <is>
          <t>Linda Fiorentino</t>
        </is>
      </c>
      <c r="S505" s="18" t="inlineStr">
        <is>
          <t>Salma Hayek Pinault</t>
        </is>
      </c>
      <c r="T505" s="18" t="inlineStr">
        <is>
          <t>Jason Lee</t>
        </is>
      </c>
      <c r="U505" s="4" t="n"/>
      <c r="V505" s="4" t="n"/>
      <c r="W505" s="4" t="n"/>
      <c r="X505" s="4" t="n"/>
      <c r="Y505" s="4" t="n"/>
      <c r="Z505" s="4" t="n"/>
      <c r="AB505" s="18" t="inlineStr">
        <is>
          <t>15</t>
        </is>
      </c>
    </row>
    <row r="506" ht="15.75" customHeight="1" s="108">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08">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0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08">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08">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08">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08">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08">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08">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08">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08">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08">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0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08">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08">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08">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08">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08">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08">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08">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08">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08">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0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08">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08">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08">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08">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08">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08">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08">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08">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08">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0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08">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08">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08">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08">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08">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08">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08">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08">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08">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0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08">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08">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08">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08">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08">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08">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08">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08">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08">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0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08">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08">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08">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08">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08">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08">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08">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08">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08">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0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08">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08">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08">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08">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08">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08">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08">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08">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08">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0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08">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08">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08">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08">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08">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08">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08">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08">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08">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0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08">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08">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08">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08">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08">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08">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08">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08">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08">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0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08">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08">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08">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08">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08">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08">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08">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08">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08">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0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08">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08">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08">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08">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08">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08">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08">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08">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08">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0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08">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08">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08">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08">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08">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08">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08">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08">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08">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0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08">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08">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08">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08">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08">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08">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08">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08">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08">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0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08">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08">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08">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08">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08">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08">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08">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08">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08">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0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08">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08">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08">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08">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08">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08">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08">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08">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08">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0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08">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08">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08">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08">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08">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08">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08">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08">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08">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0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08">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08">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08">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08">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08">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08">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08">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08">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08">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0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08">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08">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08">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08">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08">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08">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08">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08">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08">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0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08">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08">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08">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08">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08">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08">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08">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08">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08">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0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08">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08">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08">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08">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08">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08">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08">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08">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08">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0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08">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08">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08">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08">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08">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08">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08">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08">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08">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0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08">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08">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08">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08">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08">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08">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08">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08">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08">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0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08">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08">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08">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08">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08">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08">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08">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08">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08">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0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08">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08">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08">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08">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08">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08">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08">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08">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08">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0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08">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08">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08">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08">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08">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08">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08">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08">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08">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0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08">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08">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08">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08">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08">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08">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08">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08">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08">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0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08">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08">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08">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08">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08">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08">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08">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08">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08">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0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08">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08">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08">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08">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08">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08">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08">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08">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08">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0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08">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08">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08">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08">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08">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08">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08">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08">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08">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0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08">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08">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08">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08">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08">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08">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08">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08">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08">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0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08">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08">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08">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08">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08">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08">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08">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08">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08">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0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08">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08">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08">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08">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08">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08">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08">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08">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08">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0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08">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08">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08">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08">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08">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08">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08">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08">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08">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0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08">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08">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08">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08">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08">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08">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08">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08">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08">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0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08">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08">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08">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08">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08">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08">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08">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08">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08">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0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08">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08">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08">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08">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08">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08">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08">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08">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08">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0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08">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08">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08">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08">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08">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08">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08">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08">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08">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0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08">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08">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08">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08">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08">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08">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08">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08">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08">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0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08">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08">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08">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08">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08">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08">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08">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08">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08">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0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08">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08">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08">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08">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08">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08">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08">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08">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08">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0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08">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08">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08">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08">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08">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08">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08">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08">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08">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0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08">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08">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08">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08">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08">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08">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08">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08">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08">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0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08">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08">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08">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08">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08">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08">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08">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08">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08">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0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08">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08">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08">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08">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08">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08">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08">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08">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08">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0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08">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08">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08">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08">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08">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08">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08">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08">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08">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0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08">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08">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08">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08">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08">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08">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08">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08">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08">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0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08">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08">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08">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08">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08">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08">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08">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08">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08">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0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08">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08">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08">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08">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08">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08">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08">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08">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08">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0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08">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08">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08">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08">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08">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08">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08">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08">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08">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0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08">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08">
      <c r="A1000" s="0" t="inlineStr">
        <is>
          <t>F0352</t>
        </is>
      </c>
      <c r="B1000" s="0" t="inlineStr">
        <is>
          <t>Ready player one</t>
        </is>
      </c>
      <c r="C1000" s="0" t="n">
        <v>2018</v>
      </c>
      <c r="D1000" s="0" t="inlineStr">
        <is>
          <t>Blu-ray</t>
        </is>
      </c>
      <c r="G1000" s="0" t="inlineStr">
        <is>
          <t>No</t>
        </is>
      </c>
      <c r="I1000" s="0" t="inlineStr">
        <is>
          <t>When the creator of a popular video game system dies, a virtual contest is created to compete for his fortune.</t>
        </is>
      </c>
      <c r="J1000" s="0" t="inlineStr">
        <is>
          <t>Steven Spielberg</t>
        </is>
      </c>
      <c r="K1000" s="0" t="n">
        <v>140</v>
      </c>
      <c r="L1000" s="0" t="inlineStr">
        <is>
          <t>Adventure, Action, Science Fiction</t>
        </is>
      </c>
      <c r="P1000" s="0" t="inlineStr">
        <is>
          <t>Tye Sheridan</t>
        </is>
      </c>
      <c r="Q1000" s="0" t="inlineStr">
        <is>
          <t>Olivia Cooke</t>
        </is>
      </c>
      <c r="R1000" s="0" t="inlineStr">
        <is>
          <t>Ben Mendelsohn</t>
        </is>
      </c>
      <c r="S1000" s="0" t="inlineStr">
        <is>
          <t>Lena Waithe</t>
        </is>
      </c>
      <c r="T1000" s="0" t="inlineStr">
        <is>
          <t>T.J. Miller</t>
        </is>
      </c>
      <c r="AB1000" s="0" t="inlineStr">
        <is>
          <t>12A</t>
        </is>
      </c>
    </row>
    <row r="1001">
      <c r="A1001" s="0" t="inlineStr">
        <is>
          <t>F0353</t>
        </is>
      </c>
      <c r="B1001" s="0" t="inlineStr">
        <is>
          <t>One battle after another</t>
        </is>
      </c>
      <c r="C1001" s="0" t="n">
        <v>2025</v>
      </c>
      <c r="D1001" s="0" t="inlineStr">
        <is>
          <t>Blu-ray</t>
        </is>
      </c>
      <c r="G1001" s="0" t="inlineStr">
        <is>
          <t>No</t>
        </is>
      </c>
      <c r="I1001" s="0" t="inlineStr">
        <is>
          <t>Washed-up revolutionary Bob exists in a state of stoned paranoia, surviving off-grid with his spirited, self-reliant daughter, Willa. When his evil nemesis resurfaces after 16 years and she goes missing, the former radical scrambles to find her, father and daughter both battling the consequences of his past.</t>
        </is>
      </c>
      <c r="J1001" s="0" t="inlineStr">
        <is>
          <t>Paul Thomas Anderson</t>
        </is>
      </c>
      <c r="K1001" s="0" t="n">
        <v>162</v>
      </c>
      <c r="L1001" s="0" t="inlineStr">
        <is>
          <t>Thriller, Crime, Comedy</t>
        </is>
      </c>
      <c r="P1001" s="0" t="inlineStr">
        <is>
          <t>Leonardo DiCaprio</t>
        </is>
      </c>
      <c r="Q1001" s="0" t="inlineStr">
        <is>
          <t>Sean Penn</t>
        </is>
      </c>
      <c r="R1001" s="0" t="inlineStr">
        <is>
          <t>Chase Infiniti</t>
        </is>
      </c>
      <c r="S1001" s="0" t="inlineStr">
        <is>
          <t>Benicio del Toro</t>
        </is>
      </c>
      <c r="T1001" s="0" t="inlineStr">
        <is>
          <t>Regina Hall</t>
        </is>
      </c>
      <c r="AB1001" s="0" t="inlineStr">
        <is>
          <t>15</t>
        </is>
      </c>
    </row>
    <row r="1002">
      <c r="A1002" s="0" t="inlineStr">
        <is>
          <t>F0354</t>
        </is>
      </c>
      <c r="B1002" s="0" t="inlineStr">
        <is>
          <t>Mad max fury road</t>
        </is>
      </c>
      <c r="C1002" s="0" t="n">
        <v>2015</v>
      </c>
      <c r="D1002" s="0" t="inlineStr">
        <is>
          <t>Blu-ray</t>
        </is>
      </c>
      <c r="G1002" s="0" t="inlineStr">
        <is>
          <t>No</t>
        </is>
      </c>
      <c r="I1002" s="0" t="inlineStr">
        <is>
          <t>An apocalyptic story set in the furthest reaches of our planet, in a stark desert landscape where humanity is broken, and most everyone is crazed fighting for the necessities of life. Within this world exist two rebels on the run who just might be able to restore order.</t>
        </is>
      </c>
      <c r="J1002" s="0" t="inlineStr">
        <is>
          <t>George Miller</t>
        </is>
      </c>
      <c r="K1002" s="0" t="n">
        <v>121</v>
      </c>
      <c r="L1002" s="0" t="inlineStr">
        <is>
          <t>Action, Adventure, Science Fiction</t>
        </is>
      </c>
      <c r="P1002" s="0" t="inlineStr">
        <is>
          <t>Tom Hardy</t>
        </is>
      </c>
      <c r="Q1002" s="0" t="inlineStr">
        <is>
          <t>Charlize Theron</t>
        </is>
      </c>
      <c r="R1002" s="0" t="inlineStr">
        <is>
          <t>Nicholas Hoult</t>
        </is>
      </c>
      <c r="S1002" s="0" t="inlineStr">
        <is>
          <t>Hugh Keays-Byrne</t>
        </is>
      </c>
      <c r="T1002" s="0" t="inlineStr">
        <is>
          <t>Josh Helman</t>
        </is>
      </c>
      <c r="AB1002" s="0" t="inlineStr">
        <is>
          <t>15</t>
        </is>
      </c>
    </row>
    <row r="1003">
      <c r="A1003" s="0" t="inlineStr">
        <is>
          <t>F0355</t>
        </is>
      </c>
      <c r="B1003" s="0" t="inlineStr">
        <is>
          <t>2 guns</t>
        </is>
      </c>
      <c r="C1003" s="0" t="n">
        <v>2013</v>
      </c>
      <c r="D1003" s="0" t="inlineStr">
        <is>
          <t>Blu-ray</t>
        </is>
      </c>
      <c r="G1003" s="0" t="inlineStr">
        <is>
          <t>No</t>
        </is>
      </c>
      <c r="I1003" s="0" t="inlineStr">
        <is>
          <t>A DEA agent and an undercover Naval Intelligence officer who have been tasked with investigating one another find they have been set up by the mob -- the very organization the two men believe they have been stealing money from.</t>
        </is>
      </c>
      <c r="J1003" s="0" t="inlineStr">
        <is>
          <t>Baltasar Kormákur</t>
        </is>
      </c>
      <c r="K1003" s="0" t="n">
        <v>109</v>
      </c>
      <c r="L1003" s="0" t="inlineStr">
        <is>
          <t>Action, Comedy, Crime</t>
        </is>
      </c>
      <c r="P1003" s="0" t="inlineStr">
        <is>
          <t>Denzel Washington</t>
        </is>
      </c>
      <c r="Q1003" s="0" t="inlineStr">
        <is>
          <t>Mark Wahlberg</t>
        </is>
      </c>
      <c r="R1003" s="0" t="inlineStr">
        <is>
          <t>Paula Patton</t>
        </is>
      </c>
      <c r="S1003" s="0" t="inlineStr">
        <is>
          <t>Edward James Olmos</t>
        </is>
      </c>
      <c r="T1003" s="0" t="inlineStr">
        <is>
          <t>Bill Paxton</t>
        </is>
      </c>
      <c r="AB1003" s="0" t="inlineStr">
        <is>
          <t>15</t>
        </is>
      </c>
    </row>
    <row r="1004">
      <c r="A1004" s="0" t="inlineStr">
        <is>
          <t>F0356</t>
        </is>
      </c>
      <c r="B1004" s="0" t="inlineStr">
        <is>
          <t>1917</t>
        </is>
      </c>
      <c r="C1004" s="0" t="n">
        <v>2019</v>
      </c>
      <c r="D1004" s="0" t="inlineStr">
        <is>
          <t>Blu-ray</t>
        </is>
      </c>
      <c r="G1004" s="0" t="inlineStr">
        <is>
          <t>No</t>
        </is>
      </c>
      <c r="I1004" s="0" t="inlineStr">
        <is>
          <t>At the height of the First World War, two young British soldiers must cross enemy territory and deliver a message that will stop a deadly attack on hundreds of soldiers.</t>
        </is>
      </c>
      <c r="J1004" s="0" t="inlineStr">
        <is>
          <t>Sam Mendes</t>
        </is>
      </c>
      <c r="K1004" s="0" t="n">
        <v>119</v>
      </c>
      <c r="L1004" s="0" t="inlineStr">
        <is>
          <t>War, Drama, History</t>
        </is>
      </c>
      <c r="P1004" s="0" t="inlineStr">
        <is>
          <t>George MacKay</t>
        </is>
      </c>
      <c r="Q1004" s="0" t="inlineStr">
        <is>
          <t>Dean-Charles Chapman</t>
        </is>
      </c>
      <c r="R1004" s="0" t="inlineStr">
        <is>
          <t>Mark Strong</t>
        </is>
      </c>
      <c r="S1004" s="0" t="inlineStr">
        <is>
          <t>Andrew Scott</t>
        </is>
      </c>
      <c r="T1004" s="0" t="inlineStr">
        <is>
          <t>Richard Madden</t>
        </is>
      </c>
      <c r="AB1004" s="0" t="inlineStr">
        <is>
          <t>15</t>
        </is>
      </c>
    </row>
    <row r="1005">
      <c r="A1005" s="0" t="inlineStr">
        <is>
          <t>F0357</t>
        </is>
      </c>
      <c r="B1005" s="0" t="inlineStr">
        <is>
          <t>Anchorman 2</t>
        </is>
      </c>
      <c r="C1005" s="0" t="n">
        <v>2013</v>
      </c>
      <c r="D1005" s="0" t="inlineStr">
        <is>
          <t>Blu-ray</t>
        </is>
      </c>
      <c r="G1005" s="0" t="inlineStr">
        <is>
          <t>No</t>
        </is>
      </c>
      <c r="I1005" s="0" t="inlineStr">
        <is>
          <t>With the 70s behind him, San Diego's top rated newsman, Ron Burgundy, returns to take New York's first 24-hour news channel by storm.</t>
        </is>
      </c>
      <c r="J1005" s="0" t="inlineStr">
        <is>
          <t>Adam McKay</t>
        </is>
      </c>
      <c r="K1005" s="0" t="n">
        <v>119</v>
      </c>
      <c r="L1005" s="0" t="inlineStr">
        <is>
          <t>Comedy</t>
        </is>
      </c>
      <c r="P1005" s="0" t="inlineStr">
        <is>
          <t>Will Ferrell</t>
        </is>
      </c>
      <c r="Q1005" s="0" t="inlineStr">
        <is>
          <t>Steve Carell</t>
        </is>
      </c>
      <c r="R1005" s="0" t="inlineStr">
        <is>
          <t>Paul Rudd</t>
        </is>
      </c>
      <c r="S1005" s="0" t="inlineStr">
        <is>
          <t>David Koechner</t>
        </is>
      </c>
      <c r="T1005" s="0" t="inlineStr">
        <is>
          <t>Christina Applegate</t>
        </is>
      </c>
      <c r="AB1005" s="0" t="inlineStr">
        <is>
          <t>15</t>
        </is>
      </c>
    </row>
    <row r="1006">
      <c r="A1006" s="0" t="inlineStr">
        <is>
          <t>F0358</t>
        </is>
      </c>
      <c r="B1006" s="0" t="inlineStr">
        <is>
          <t>Jason bourne</t>
        </is>
      </c>
      <c r="C1006" s="0" t="n">
        <v>2016</v>
      </c>
      <c r="D1006" s="0" t="inlineStr">
        <is>
          <t>Blu-ray</t>
        </is>
      </c>
      <c r="G1006" s="0" t="inlineStr">
        <is>
          <t>Yes</t>
        </is>
      </c>
      <c r="H1006" s="0" t="inlineStr">
        <is>
          <t>⭐⭐⭐</t>
        </is>
      </c>
      <c r="I1006" s="0" t="inlineStr">
        <is>
          <t>The most dangerous former operative of the CIA is drawn out of hiding to uncover hidden truths about his past.</t>
        </is>
      </c>
      <c r="J1006" s="0" t="inlineStr">
        <is>
          <t>Paul Greengrass</t>
        </is>
      </c>
      <c r="K1006" s="0" t="n">
        <v>123</v>
      </c>
      <c r="L1006" s="0" t="inlineStr">
        <is>
          <t>Action, Adventure, Thriller</t>
        </is>
      </c>
      <c r="P1006" s="0" t="inlineStr">
        <is>
          <t>Matt Damon</t>
        </is>
      </c>
      <c r="Q1006" s="0" t="inlineStr">
        <is>
          <t>Tommy Lee Jones</t>
        </is>
      </c>
      <c r="R1006" s="0" t="inlineStr">
        <is>
          <t>Alicia Vikander</t>
        </is>
      </c>
      <c r="S1006" s="0" t="inlineStr">
        <is>
          <t>Vincent Cassel</t>
        </is>
      </c>
      <c r="T1006" s="0" t="inlineStr">
        <is>
          <t>Julia Stiles</t>
        </is>
      </c>
      <c r="AA1006" s="0" t="inlineStr">
        <is>
          <t>2026-09-14</t>
        </is>
      </c>
      <c r="AB1006" s="0" t="inlineStr">
        <is>
          <t>12A</t>
        </is>
      </c>
    </row>
    <row r="1007">
      <c r="A1007" s="0" t="inlineStr">
        <is>
          <t>F0359</t>
        </is>
      </c>
      <c r="B1007" s="0" t="inlineStr">
        <is>
          <t>Jumanji welcome to the jungle</t>
        </is>
      </c>
      <c r="C1007" s="0" t="n">
        <v>2017</v>
      </c>
      <c r="D1007" s="0" t="inlineStr">
        <is>
          <t>Blu-ray</t>
        </is>
      </c>
      <c r="G1007" s="0" t="inlineStr">
        <is>
          <t>No</t>
        </is>
      </c>
      <c r="I1007" s="0" t="inlineStr">
        <is>
          <t>Four teenagers in detention discover an old video game console with a game they’ve never heard of. When they decide to play, they are immediately sucked into the jungle world of Jumanji in the bodies of their avatars. They’ll have to complete the adventure of their lives filled with fun, thrills and danger or be stuck in the game forever!</t>
        </is>
      </c>
      <c r="J1007" s="0" t="inlineStr">
        <is>
          <t>Jake Kasdan</t>
        </is>
      </c>
      <c r="K1007" s="0" t="n">
        <v>119</v>
      </c>
      <c r="L1007" s="0" t="inlineStr">
        <is>
          <t>Adventure, Comedy, Fantasy</t>
        </is>
      </c>
      <c r="P1007" s="0" t="inlineStr">
        <is>
          <t>Dwayne Johnson</t>
        </is>
      </c>
      <c r="Q1007" s="0" t="inlineStr">
        <is>
          <t>Kevin Hart</t>
        </is>
      </c>
      <c r="R1007" s="0" t="inlineStr">
        <is>
          <t>Jack Black</t>
        </is>
      </c>
      <c r="S1007" s="0" t="inlineStr">
        <is>
          <t>Karen Gillan</t>
        </is>
      </c>
      <c r="T1007" s="0" t="inlineStr">
        <is>
          <t>Rhys Darby</t>
        </is>
      </c>
      <c r="AB1007" s="0" t="inlineStr">
        <is>
          <t>12A</t>
        </is>
      </c>
    </row>
    <row r="1008">
      <c r="A1008" s="0" t="inlineStr">
        <is>
          <t>F0360</t>
        </is>
      </c>
      <c r="B1008" s="0" t="inlineStr">
        <is>
          <t>Fantastic beasts: the crimes of grindelwald</t>
        </is>
      </c>
      <c r="C1008" s="0" t="n">
        <v>2018</v>
      </c>
      <c r="D1008" s="0" t="inlineStr">
        <is>
          <t>4K UHD</t>
        </is>
      </c>
      <c r="G1008" s="0" t="inlineStr">
        <is>
          <t>No</t>
        </is>
      </c>
      <c r="I1008" s="0" t="inlineStr">
        <is>
          <t>Gellert Grindelwald has escaped imprisonment and has begun gathering followers to his cause—elevating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is>
      </c>
      <c r="J1008" s="0" t="inlineStr">
        <is>
          <t>David Yates</t>
        </is>
      </c>
      <c r="K1008" s="0" t="n">
        <v>134</v>
      </c>
      <c r="L1008" s="0" t="inlineStr">
        <is>
          <t>Fantasy, Adventure</t>
        </is>
      </c>
      <c r="P1008" s="0" t="inlineStr">
        <is>
          <t>Eddie Redmayne</t>
        </is>
      </c>
      <c r="Q1008" s="0" t="inlineStr">
        <is>
          <t>Katherine Waterston</t>
        </is>
      </c>
      <c r="R1008" s="0" t="inlineStr">
        <is>
          <t>Dan Fogler</t>
        </is>
      </c>
      <c r="S1008" s="0" t="inlineStr">
        <is>
          <t>Alison Sudol</t>
        </is>
      </c>
      <c r="T1008" s="0" t="inlineStr">
        <is>
          <t>Johnny Depp</t>
        </is>
      </c>
      <c r="AB1008" s="0" t="inlineStr">
        <is>
          <t>12A</t>
        </is>
      </c>
    </row>
    <row r="1009">
      <c r="A1009" s="0" t="inlineStr">
        <is>
          <t>F0361</t>
        </is>
      </c>
      <c r="B1009" s="0" t="inlineStr">
        <is>
          <t>alien covenant</t>
        </is>
      </c>
      <c r="C1009" s="0" t="n">
        <v>2017</v>
      </c>
      <c r="D1009" s="0" t="inlineStr">
        <is>
          <t>Blu-ray</t>
        </is>
      </c>
      <c r="G1009" s="0" t="inlineStr">
        <is>
          <t>No</t>
        </is>
      </c>
      <c r="I1009" s="0" t="inlineStr">
        <is>
          <t>The crew of the colony ship Covenant, bound for a remote planet on the far side of the galaxy, discovers what they think is an uncharted paradise but is actually a dark, dangerous world.</t>
        </is>
      </c>
      <c r="J1009" s="0" t="inlineStr">
        <is>
          <t>Ridley Scott</t>
        </is>
      </c>
      <c r="K1009" s="0" t="n">
        <v>122</v>
      </c>
      <c r="L1009" s="0" t="inlineStr">
        <is>
          <t>Horror, Science Fiction</t>
        </is>
      </c>
      <c r="P1009" s="0" t="inlineStr">
        <is>
          <t>Michael Fassbender</t>
        </is>
      </c>
      <c r="Q1009" s="0" t="inlineStr">
        <is>
          <t>Katherine Waterston</t>
        </is>
      </c>
      <c r="R1009" s="0" t="inlineStr">
        <is>
          <t>Billy Crudup</t>
        </is>
      </c>
      <c r="S1009" s="0" t="inlineStr">
        <is>
          <t>Danny McBride</t>
        </is>
      </c>
      <c r="T1009" s="0" t="inlineStr">
        <is>
          <t>Demián Bichir</t>
        </is>
      </c>
      <c r="AB1009" s="0" t="inlineStr">
        <is>
          <t>15</t>
        </is>
      </c>
      <c r="AC1009" s="0" t="inlineStr">
        <is>
          <t>2026-08-29</t>
        </is>
      </c>
    </row>
    <row r="1010">
      <c r="A1010" s="0" t="inlineStr">
        <is>
          <t>F0362</t>
        </is>
      </c>
      <c r="B1010" s="0" t="inlineStr">
        <is>
          <t>alien romulus</t>
        </is>
      </c>
      <c r="C1010" s="0" t="n">
        <v>2025</v>
      </c>
      <c r="D1010" s="0" t="inlineStr">
        <is>
          <t>Blu-ray</t>
        </is>
      </c>
      <c r="G1010" s="0" t="inlineStr">
        <is>
          <t>No</t>
        </is>
      </c>
      <c r="I1010" s="0" t="inlineStr">
        <is>
          <t>While scavenging the deep ends of a derelict space station, a group of young space colonizers come face to face with the most terrifying life form in the universe.</t>
        </is>
      </c>
      <c r="J1010" s="0" t="inlineStr">
        <is>
          <t>Fede Álvarez</t>
        </is>
      </c>
      <c r="K1010" s="0" t="n">
        <v>119</v>
      </c>
      <c r="L1010" s="0" t="inlineStr">
        <is>
          <t>Horror, Science Fiction</t>
        </is>
      </c>
      <c r="P1010" s="0" t="inlineStr">
        <is>
          <t>Cailee Spaeny</t>
        </is>
      </c>
      <c r="Q1010" s="0" t="inlineStr">
        <is>
          <t>David Jonsson</t>
        </is>
      </c>
      <c r="R1010" s="0" t="inlineStr">
        <is>
          <t>Archie Renaux</t>
        </is>
      </c>
      <c r="S1010" s="0" t="inlineStr">
        <is>
          <t>Isabela Merced</t>
        </is>
      </c>
      <c r="T1010" s="0" t="inlineStr">
        <is>
          <t>Spike Fearn</t>
        </is>
      </c>
      <c r="AB1010" s="0" t="inlineStr">
        <is>
          <t>15</t>
        </is>
      </c>
      <c r="AC1010" s="0" t="inlineStr">
        <is>
          <t>2026-08-29</t>
        </is>
      </c>
    </row>
    <row r="1011">
      <c r="A1011" s="0" t="inlineStr">
        <is>
          <t>F0363</t>
        </is>
      </c>
      <c r="B1011" s="0" t="inlineStr">
        <is>
          <t>amazing spider-man 2</t>
        </is>
      </c>
      <c r="C1011" s="0" t="n">
        <v>2014</v>
      </c>
      <c r="D1011" s="0" t="inlineStr">
        <is>
          <t>Blu-ray</t>
        </is>
      </c>
      <c r="G1011" s="0" t="inlineStr">
        <is>
          <t>No</t>
        </is>
      </c>
      <c r="I1011" s="0" t="inlineStr">
        <is>
          <t>For Peter Parker, life is busy. Between taking out the bad guys as Spider-Man and spending time with the person he loves, Gwen Stacy, high school graduation cannot come quickly enough. Peter has not forgotten about the promise he made to Gwen’s father to protect her by staying away, but that is a promise he cannot keep. Things will change for Peter when a new villain, Electro, emerges, an old friend, Harry Osborn, returns, and Peter uncovers new clues about his past.</t>
        </is>
      </c>
      <c r="J1011" s="0" t="inlineStr">
        <is>
          <t>Marc Webb</t>
        </is>
      </c>
      <c r="K1011" s="0" t="n">
        <v>141</v>
      </c>
      <c r="L1011" s="0" t="inlineStr">
        <is>
          <t>Action, Adventure, Science Fiction</t>
        </is>
      </c>
      <c r="P1011" s="0" t="inlineStr">
        <is>
          <t>Andrew Garfield</t>
        </is>
      </c>
      <c r="Q1011" s="0" t="inlineStr">
        <is>
          <t>Emma Stone</t>
        </is>
      </c>
      <c r="R1011" s="0" t="inlineStr">
        <is>
          <t>Jamie Foxx</t>
        </is>
      </c>
      <c r="S1011" s="0" t="inlineStr">
        <is>
          <t>Dane DeHaan</t>
        </is>
      </c>
      <c r="T1011" s="0" t="inlineStr">
        <is>
          <t>Colm Feore</t>
        </is>
      </c>
      <c r="AB1011" s="0" t="inlineStr">
        <is>
          <t>12A</t>
        </is>
      </c>
      <c r="AC1011" s="0" t="inlineStr">
        <is>
          <t>2026-08-29</t>
        </is>
      </c>
    </row>
    <row r="1012">
      <c r="A1012" s="0" t="inlineStr">
        <is>
          <t>F0364</t>
        </is>
      </c>
      <c r="B1012" s="0" t="inlineStr">
        <is>
          <t>avatar way of water</t>
        </is>
      </c>
      <c r="C1012" s="0" t="n">
        <v>2022</v>
      </c>
      <c r="D1012" s="0" t="inlineStr">
        <is>
          <t>Blu-ray</t>
        </is>
      </c>
      <c r="G1012" s="0" t="inlineStr">
        <is>
          <t>No</t>
        </is>
      </c>
      <c r="I1012" s="0" t="inlineStr">
        <is>
          <t>Set more than a decade after the events of the first film, learn the story of the Sully family (Jake, Neytiri, and their kids), the trouble that follows them, the lengths they go to keep each other safe, the battles they fight to stay alive, and the tragedies they endure.</t>
        </is>
      </c>
      <c r="J1012" s="0" t="inlineStr">
        <is>
          <t>James Cameron</t>
        </is>
      </c>
      <c r="K1012" s="0" t="n">
        <v>192</v>
      </c>
      <c r="L1012" s="0" t="inlineStr">
        <is>
          <t>Action, Adventure, Science Fiction</t>
        </is>
      </c>
      <c r="P1012" s="0" t="inlineStr">
        <is>
          <t>Sam Worthington</t>
        </is>
      </c>
      <c r="Q1012" s="0" t="inlineStr">
        <is>
          <t>Zoe Saldaña</t>
        </is>
      </c>
      <c r="R1012" s="0" t="inlineStr">
        <is>
          <t>Sigourney Weaver</t>
        </is>
      </c>
      <c r="S1012" s="0" t="inlineStr">
        <is>
          <t>Stephen Lang</t>
        </is>
      </c>
      <c r="T1012" s="0" t="inlineStr">
        <is>
          <t>Kate Winslet</t>
        </is>
      </c>
      <c r="AB1012" s="0" t="inlineStr">
        <is>
          <t>12A</t>
        </is>
      </c>
      <c r="AC1012" s="0" t="inlineStr">
        <is>
          <t>2026-08-29</t>
        </is>
      </c>
    </row>
    <row r="1013">
      <c r="A1013" s="0" t="inlineStr">
        <is>
          <t>F0365</t>
        </is>
      </c>
      <c r="B1013" s="0" t="inlineStr">
        <is>
          <t>blade runner</t>
        </is>
      </c>
      <c r="C1013" s="0" t="n">
        <v>1982</v>
      </c>
      <c r="D1013" s="0" t="inlineStr">
        <is>
          <t>Blu-ray</t>
        </is>
      </c>
      <c r="G1013" s="0" t="inlineStr">
        <is>
          <t>No</t>
        </is>
      </c>
      <c r="I1013" s="0" t="inlineStr">
        <is>
          <t>In the smog-choked dystopian Los Angeles of 2019, blade runner Rick Deckard is called out of retirement to terminate a quartet of replicants who have escaped to Earth seeking their creator for a way to extend their short life spans.</t>
        </is>
      </c>
      <c r="J1013" s="0" t="inlineStr">
        <is>
          <t>Ridley Scott</t>
        </is>
      </c>
      <c r="K1013" s="0" t="n">
        <v>118</v>
      </c>
      <c r="L1013" s="0" t="inlineStr">
        <is>
          <t>Science Fiction, Drama, Thriller</t>
        </is>
      </c>
      <c r="P1013" s="0" t="inlineStr">
        <is>
          <t>Harrison Ford</t>
        </is>
      </c>
      <c r="Q1013" s="0" t="inlineStr">
        <is>
          <t>Rutger Hauer</t>
        </is>
      </c>
      <c r="R1013" s="0" t="inlineStr">
        <is>
          <t>Sean Young</t>
        </is>
      </c>
      <c r="S1013" s="0" t="inlineStr">
        <is>
          <t>Edward James Olmos</t>
        </is>
      </c>
      <c r="T1013" s="0" t="inlineStr">
        <is>
          <t>M. Emmet Walsh</t>
        </is>
      </c>
      <c r="AB1013" s="0" t="inlineStr">
        <is>
          <t>15</t>
        </is>
      </c>
      <c r="AC1013" s="0" t="inlineStr">
        <is>
          <t>2026-08-29</t>
        </is>
      </c>
    </row>
    <row r="1014">
      <c r="A1014" s="0" t="inlineStr">
        <is>
          <t>F0366</t>
        </is>
      </c>
      <c r="B1014" s="0" t="inlineStr">
        <is>
          <t>blade runner 2049</t>
        </is>
      </c>
      <c r="C1014" s="0" t="n">
        <v>2018</v>
      </c>
      <c r="D1014" s="0" t="inlineStr">
        <is>
          <t>Blu-ray</t>
        </is>
      </c>
      <c r="G1014" s="0" t="inlineStr">
        <is>
          <t>No</t>
        </is>
      </c>
      <c r="I1014" s="0" t="inlineStr">
        <is>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is>
      </c>
      <c r="J1014" s="0" t="inlineStr">
        <is>
          <t>Denis Villeneuve</t>
        </is>
      </c>
      <c r="K1014" s="0" t="n">
        <v>164</v>
      </c>
      <c r="L1014" s="0" t="inlineStr">
        <is>
          <t>Science Fiction, Drama</t>
        </is>
      </c>
      <c r="P1014" s="0" t="inlineStr">
        <is>
          <t>Ryan Gosling</t>
        </is>
      </c>
      <c r="Q1014" s="0" t="inlineStr">
        <is>
          <t>Harrison Ford</t>
        </is>
      </c>
      <c r="R1014" s="0" t="inlineStr">
        <is>
          <t>Ana de Armas</t>
        </is>
      </c>
      <c r="S1014" s="0" t="inlineStr">
        <is>
          <t>Dave Bautista</t>
        </is>
      </c>
      <c r="T1014" s="0" t="inlineStr">
        <is>
          <t>Robin Wright</t>
        </is>
      </c>
      <c r="AB1014" s="0" t="inlineStr">
        <is>
          <t>15</t>
        </is>
      </c>
      <c r="AC1014" s="0" t="inlineStr">
        <is>
          <t>2026-08-29</t>
        </is>
      </c>
    </row>
    <row r="1015">
      <c r="A1015" s="0" t="inlineStr">
        <is>
          <t>F0367</t>
        </is>
      </c>
      <c r="B1015" s="0" t="inlineStr">
        <is>
          <t xml:space="preserve">dune </t>
        </is>
      </c>
      <c r="C1015" s="0" t="n">
        <v>2021</v>
      </c>
      <c r="D1015" s="0" t="inlineStr">
        <is>
          <t>Blu-ray</t>
        </is>
      </c>
      <c r="G1015" s="0" t="inlineStr">
        <is>
          <t>No</t>
        </is>
      </c>
      <c r="I1015" s="0" t="inlineStr">
        <is>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 - a commodity capable of unlocking humanity's greatest potential - only those who can conquer their fear will survive.</t>
        </is>
      </c>
      <c r="J1015" s="0" t="inlineStr">
        <is>
          <t>Denis Villeneuve</t>
        </is>
      </c>
      <c r="K1015" s="0" t="n">
        <v>155</v>
      </c>
      <c r="L1015" s="0" t="inlineStr">
        <is>
          <t>Science Fiction, Adventure</t>
        </is>
      </c>
      <c r="P1015" s="0" t="inlineStr">
        <is>
          <t>Timothée Chalamet</t>
        </is>
      </c>
      <c r="Q1015" s="0" t="inlineStr">
        <is>
          <t>Rebecca Ferguson</t>
        </is>
      </c>
      <c r="R1015" s="0" t="inlineStr">
        <is>
          <t>Oscar Isaac</t>
        </is>
      </c>
      <c r="S1015" s="0" t="inlineStr">
        <is>
          <t>Jason Momoa</t>
        </is>
      </c>
      <c r="T1015" s="0" t="inlineStr">
        <is>
          <t>Stellan Skarsgård</t>
        </is>
      </c>
      <c r="AB1015" s="0" t="inlineStr">
        <is>
          <t>12A</t>
        </is>
      </c>
      <c r="AC1015" s="0" t="inlineStr">
        <is>
          <t>2026-08-29</t>
        </is>
      </c>
    </row>
    <row r="1016">
      <c r="A1016" s="0" t="inlineStr">
        <is>
          <t>F0368</t>
        </is>
      </c>
      <c r="B1016" s="0" t="inlineStr">
        <is>
          <t>dune  part two</t>
        </is>
      </c>
      <c r="C1016" s="0" t="n">
        <v>2024</v>
      </c>
      <c r="D1016" s="0" t="inlineStr">
        <is>
          <t>Blu-ray</t>
        </is>
      </c>
      <c r="G1016" s="0" t="inlineStr">
        <is>
          <t>No</t>
        </is>
      </c>
      <c r="I1016" s="0" t="inlineStr">
        <is>
          <t>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is>
      </c>
      <c r="J1016" s="0" t="inlineStr">
        <is>
          <t>Denis Villeneuve</t>
        </is>
      </c>
      <c r="K1016" s="0" t="n">
        <v>167</v>
      </c>
      <c r="L1016" s="0" t="inlineStr">
        <is>
          <t>Science Fiction, Adventure</t>
        </is>
      </c>
      <c r="P1016" s="0" t="inlineStr">
        <is>
          <t>Timothée Chalamet</t>
        </is>
      </c>
      <c r="Q1016" s="0" t="inlineStr">
        <is>
          <t>Zendaya</t>
        </is>
      </c>
      <c r="R1016" s="0" t="inlineStr">
        <is>
          <t>Rebecca Ferguson</t>
        </is>
      </c>
      <c r="S1016" s="0" t="inlineStr">
        <is>
          <t>Javier Bardem</t>
        </is>
      </c>
      <c r="T1016" s="0" t="inlineStr">
        <is>
          <t>Josh Brolin</t>
        </is>
      </c>
      <c r="AB1016" s="0" t="inlineStr">
        <is>
          <t>12A</t>
        </is>
      </c>
      <c r="AC1016" s="0" t="inlineStr">
        <is>
          <t>2026-08-29</t>
        </is>
      </c>
    </row>
    <row r="1017">
      <c r="A1017" s="0" t="inlineStr">
        <is>
          <t>F0369</t>
        </is>
      </c>
      <c r="B1017" s="0" t="inlineStr">
        <is>
          <t xml:space="preserve"> finding nemo</t>
        </is>
      </c>
      <c r="C1017" s="0" t="n">
        <v>2003</v>
      </c>
      <c r="D1017" s="0" t="inlineStr">
        <is>
          <t>Blu-ray</t>
        </is>
      </c>
      <c r="G1017" s="0" t="inlineStr">
        <is>
          <t>No</t>
        </is>
      </c>
      <c r="I1017" s="0" t="inlineStr">
        <is>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is>
      </c>
      <c r="J1017" s="0" t="inlineStr">
        <is>
          <t>Andrew Stanton</t>
        </is>
      </c>
      <c r="K1017" s="0" t="n">
        <v>100</v>
      </c>
      <c r="L1017" s="0" t="inlineStr">
        <is>
          <t>Animation, Family, Adventure</t>
        </is>
      </c>
      <c r="P1017" s="0" t="inlineStr">
        <is>
          <t>Albert Brooks</t>
        </is>
      </c>
      <c r="Q1017" s="0" t="inlineStr">
        <is>
          <t>Ellen DeGeneres</t>
        </is>
      </c>
      <c r="R1017" s="0" t="inlineStr">
        <is>
          <t>Alexander Gould</t>
        </is>
      </c>
      <c r="S1017" s="0" t="inlineStr">
        <is>
          <t>Willem Dafoe</t>
        </is>
      </c>
      <c r="T1017" s="0" t="inlineStr">
        <is>
          <t>Geoffrey Rush</t>
        </is>
      </c>
      <c r="AB1017" s="0" t="inlineStr">
        <is>
          <t>U</t>
        </is>
      </c>
      <c r="AC1017" s="0" t="inlineStr">
        <is>
          <t>2026-08-29</t>
        </is>
      </c>
    </row>
    <row r="1018">
      <c r="A1018" s="0" t="inlineStr">
        <is>
          <t>F0370</t>
        </is>
      </c>
      <c r="B1018" s="0" t="inlineStr">
        <is>
          <t xml:space="preserve">furiosa </t>
        </is>
      </c>
      <c r="C1018" s="0" t="n">
        <v>2025</v>
      </c>
      <c r="D1018" s="0" t="inlineStr">
        <is>
          <t>Blu-ray</t>
        </is>
      </c>
      <c r="G1018" s="0" t="inlineStr">
        <is>
          <t>No</t>
        </is>
      </c>
      <c r="I1018" s="0" t="inlineStr">
        <is>
          <t>As the world falls, young Furiosa is snatched from the Green Place of Many Mothers into the hands of a great biker horde led by the warlord Dementus. Sweeping through the wasteland, they encounter the citadel presided over by Immortan Joe. The two tyrants wage war for dominance, and Furiosa must survive many trials as she puts together the means to find her way home.</t>
        </is>
      </c>
      <c r="J1018" s="0" t="inlineStr">
        <is>
          <t>George Miller</t>
        </is>
      </c>
      <c r="K1018" s="0" t="n">
        <v>149</v>
      </c>
      <c r="L1018" s="0" t="inlineStr">
        <is>
          <t>Action, Science Fiction, Adventure</t>
        </is>
      </c>
      <c r="P1018" s="0" t="inlineStr">
        <is>
          <t>Anya Taylor-Joy</t>
        </is>
      </c>
      <c r="Q1018" s="0" t="inlineStr">
        <is>
          <t>Chris Hemsworth</t>
        </is>
      </c>
      <c r="R1018" s="0" t="inlineStr">
        <is>
          <t>Tom Burke</t>
        </is>
      </c>
      <c r="S1018" s="0" t="inlineStr">
        <is>
          <t>Alyla Browne</t>
        </is>
      </c>
      <c r="T1018" s="0" t="inlineStr">
        <is>
          <t>George Shevtsov</t>
        </is>
      </c>
      <c r="AB1018" s="0" t="inlineStr">
        <is>
          <t>15</t>
        </is>
      </c>
      <c r="AC1018" s="0" t="inlineStr">
        <is>
          <t>2026-08-29</t>
        </is>
      </c>
    </row>
    <row r="1019">
      <c r="A1019" s="0" t="inlineStr">
        <is>
          <t>F0371</t>
        </is>
      </c>
      <c r="B1019" s="0" t="inlineStr">
        <is>
          <t xml:space="preserve">green book </t>
        </is>
      </c>
      <c r="C1019" s="0" t="n">
        <v>2018</v>
      </c>
      <c r="D1019" s="0" t="inlineStr">
        <is>
          <t>Blu-ray</t>
        </is>
      </c>
      <c r="G1019" s="0" t="inlineStr">
        <is>
          <t>No</t>
        </is>
      </c>
      <c r="I1019" s="0" t="inlineStr">
        <is>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is>
      </c>
      <c r="J1019" s="0" t="inlineStr">
        <is>
          <t>Peter Farrelly</t>
        </is>
      </c>
      <c r="K1019" s="0" t="n">
        <v>130</v>
      </c>
      <c r="L1019" s="0" t="inlineStr">
        <is>
          <t>Drama, Comedy, History</t>
        </is>
      </c>
      <c r="P1019" s="0" t="inlineStr">
        <is>
          <t>Viggo Mortensen</t>
        </is>
      </c>
      <c r="Q1019" s="0" t="inlineStr">
        <is>
          <t>Mahershala Ali</t>
        </is>
      </c>
      <c r="R1019" s="0" t="inlineStr">
        <is>
          <t>Linda Cardellini</t>
        </is>
      </c>
      <c r="S1019" s="0" t="inlineStr">
        <is>
          <t>Sebastian Maniscalco</t>
        </is>
      </c>
      <c r="T1019" s="0" t="inlineStr">
        <is>
          <t>Dimiter D. Marinov</t>
        </is>
      </c>
      <c r="AB1019" s="0" t="inlineStr">
        <is>
          <t>12A</t>
        </is>
      </c>
      <c r="AC1019" s="0" t="inlineStr">
        <is>
          <t>2026-08-29</t>
        </is>
      </c>
    </row>
    <row r="1020">
      <c r="A1020" s="0" t="inlineStr">
        <is>
          <t>F0372</t>
        </is>
      </c>
      <c r="B1020" s="0" t="inlineStr">
        <is>
          <t>godzilla x kong  the new empire</t>
        </is>
      </c>
      <c r="C1020" s="0" t="n">
        <v>2024</v>
      </c>
      <c r="D1020" s="0" t="inlineStr">
        <is>
          <t>Blu-ray</t>
        </is>
      </c>
      <c r="G1020" s="0" t="inlineStr">
        <is>
          <t>No</t>
        </is>
      </c>
      <c r="I1020" s="0" t="inlineStr">
        <is>
          <t>Following their explosive showdown, Godzilla and Kong must reunite against a colossal undiscovered threat hidden within our world, challenging their very existence – and our own.</t>
        </is>
      </c>
      <c r="J1020" s="0" t="inlineStr">
        <is>
          <t>Adam Wingard</t>
        </is>
      </c>
      <c r="K1020" s="0" t="n">
        <v>115</v>
      </c>
      <c r="L1020" s="0" t="inlineStr">
        <is>
          <t>Action, Adventure, Science Fiction</t>
        </is>
      </c>
      <c r="P1020" s="0" t="inlineStr">
        <is>
          <t>Rebecca Hall</t>
        </is>
      </c>
      <c r="Q1020" s="0" t="inlineStr">
        <is>
          <t>Brian Tyree Henry</t>
        </is>
      </c>
      <c r="R1020" s="0" t="inlineStr">
        <is>
          <t>Dan Stevens</t>
        </is>
      </c>
      <c r="S1020" s="0" t="inlineStr">
        <is>
          <t>Kaylee Hottle</t>
        </is>
      </c>
      <c r="T1020" s="0" t="inlineStr">
        <is>
          <t>Alex Ferns</t>
        </is>
      </c>
      <c r="AB1020" s="0" t="inlineStr">
        <is>
          <t>12A</t>
        </is>
      </c>
      <c r="AC1020" s="0" t="inlineStr">
        <is>
          <t>2026-08-29</t>
        </is>
      </c>
    </row>
    <row r="1021">
      <c r="A1021" s="0" t="inlineStr">
        <is>
          <t>F0373</t>
        </is>
      </c>
      <c r="B1021" s="0" t="inlineStr">
        <is>
          <t>hellboy</t>
        </is>
      </c>
      <c r="C1021" s="0" t="n">
        <v>2004</v>
      </c>
      <c r="D1021" s="0" t="inlineStr">
        <is>
          <t>Blu-ray</t>
        </is>
      </c>
      <c r="G1021" s="0" t="inlineStr">
        <is>
          <t>No</t>
        </is>
      </c>
      <c r="I1021" s="0" t="inlineStr">
        <is>
          <t>In the final days of World War II, the Nazis attempt to use black magic to aid their dying cause. The Allies raid the camp where the ceremony is taking place, but not before they summon a baby demon who is rescued by Allied forces and dubbed "Hellboy". Sixty years later, Hellboy serves the cause of good rather than evil as an agent in the Bureau of Paranormal Research &amp; Defense, along with Abe Sapien - a merman with psychic powers, and Liz Sherman - a woman with pyrokinesis, protecting America against dark forces.</t>
        </is>
      </c>
      <c r="J1021" s="0" t="inlineStr">
        <is>
          <t>Guillermo del Toro</t>
        </is>
      </c>
      <c r="K1021" s="0" t="n">
        <v>122</v>
      </c>
      <c r="L1021" s="0" t="inlineStr">
        <is>
          <t>Fantasy, Action</t>
        </is>
      </c>
      <c r="P1021" s="0" t="inlineStr">
        <is>
          <t>Ron Perlman</t>
        </is>
      </c>
      <c r="Q1021" s="0" t="inlineStr">
        <is>
          <t>Selma Blair</t>
        </is>
      </c>
      <c r="R1021" s="0" t="inlineStr">
        <is>
          <t>Doug Jones</t>
        </is>
      </c>
      <c r="S1021" s="0" t="inlineStr">
        <is>
          <t>John Hurt</t>
        </is>
      </c>
      <c r="T1021" s="0" t="inlineStr">
        <is>
          <t>Rupert Evans</t>
        </is>
      </c>
      <c r="AB1021" s="0" t="inlineStr">
        <is>
          <t>12A</t>
        </is>
      </c>
      <c r="AC1021" s="0" t="inlineStr">
        <is>
          <t>2026-08-29</t>
        </is>
      </c>
    </row>
    <row r="1022">
      <c r="A1022" s="0" t="inlineStr">
        <is>
          <t>F0374</t>
        </is>
      </c>
      <c r="B1022" s="0" t="inlineStr">
        <is>
          <t>john wick</t>
        </is>
      </c>
      <c r="C1022" s="0" t="n">
        <v>2014</v>
      </c>
      <c r="D1022" s="0" t="inlineStr">
        <is>
          <t>Blu-ray</t>
        </is>
      </c>
      <c r="G1022" s="0" t="inlineStr">
        <is>
          <t>No</t>
        </is>
      </c>
      <c r="I1022" s="0" t="inlineStr">
        <is>
          <t>Ex-hitman John Wick comes out of retirement to track down the gangsters that took everything from him.</t>
        </is>
      </c>
      <c r="J1022" s="0" t="inlineStr">
        <is>
          <t>Chad Stahelski</t>
        </is>
      </c>
      <c r="K1022" s="0" t="n">
        <v>101</v>
      </c>
      <c r="L1022" s="0" t="inlineStr">
        <is>
          <t>Action, Thriller</t>
        </is>
      </c>
      <c r="P1022" s="0" t="inlineStr">
        <is>
          <t>Keanu Reeves</t>
        </is>
      </c>
      <c r="Q1022" s="0" t="inlineStr">
        <is>
          <t>Michael Nyqvist</t>
        </is>
      </c>
      <c r="R1022" s="0" t="inlineStr">
        <is>
          <t>Alfie Allen</t>
        </is>
      </c>
      <c r="S1022" s="0" t="inlineStr">
        <is>
          <t>Willem Dafoe</t>
        </is>
      </c>
      <c r="T1022" s="0" t="inlineStr">
        <is>
          <t>Dean Winters</t>
        </is>
      </c>
      <c r="AB1022" s="0" t="inlineStr">
        <is>
          <t>15</t>
        </is>
      </c>
      <c r="AC1022" s="0" t="inlineStr">
        <is>
          <t>2026-08-29</t>
        </is>
      </c>
    </row>
    <row r="1023">
      <c r="A1023" s="0" t="inlineStr">
        <is>
          <t>F0375</t>
        </is>
      </c>
      <c r="B1023" s="0" t="inlineStr">
        <is>
          <t xml:space="preserve">john wick chapter 2 </t>
        </is>
      </c>
      <c r="C1023" s="0" t="n">
        <v>2017</v>
      </c>
      <c r="D1023" s="0" t="inlineStr">
        <is>
          <t>Blu-ray</t>
        </is>
      </c>
      <c r="G1023" s="0" t="inlineStr">
        <is>
          <t>No</t>
        </is>
      </c>
      <c r="I1023" s="0" t="inlineStr">
        <is>
          <t>John Wick is forced out of retirement by a former associate looking to seize control of a shadowy international assassins’ guild. Bound by a blood oath to aid him, Wick travels to Rome and does battle against some of the world’s most dangerous killers.</t>
        </is>
      </c>
      <c r="J1023" s="0" t="inlineStr">
        <is>
          <t>Chad Stahelski</t>
        </is>
      </c>
      <c r="K1023" s="0" t="n">
        <v>122</v>
      </c>
      <c r="L1023" s="0" t="inlineStr">
        <is>
          <t>Action, Thriller, Crime</t>
        </is>
      </c>
      <c r="P1023" s="0" t="inlineStr">
        <is>
          <t>Keanu Reeves</t>
        </is>
      </c>
      <c r="Q1023" s="0" t="inlineStr">
        <is>
          <t>Common</t>
        </is>
      </c>
      <c r="R1023" s="0" t="inlineStr">
        <is>
          <t>Laurence Fishburne</t>
        </is>
      </c>
      <c r="S1023" s="0" t="inlineStr">
        <is>
          <t>Riccardo Scamarcio</t>
        </is>
      </c>
      <c r="T1023" s="0" t="inlineStr">
        <is>
          <t>Ruby Rose</t>
        </is>
      </c>
      <c r="AB1023" s="0" t="inlineStr">
        <is>
          <t>15</t>
        </is>
      </c>
      <c r="AC1023" s="0" t="inlineStr">
        <is>
          <t>2026-08-29</t>
        </is>
      </c>
    </row>
    <row r="1024">
      <c r="A1024" s="0" t="inlineStr">
        <is>
          <t>F0376</t>
        </is>
      </c>
      <c r="B1024" s="0" t="inlineStr">
        <is>
          <t>mickey 17</t>
        </is>
      </c>
      <c r="C1024" s="0" t="n">
        <v>2025</v>
      </c>
      <c r="D1024" s="0" t="inlineStr">
        <is>
          <t>Blu-ray</t>
        </is>
      </c>
      <c r="G1024" s="0" t="inlineStr">
        <is>
          <t>No</t>
        </is>
      </c>
      <c r="I1024" s="0" t="inlineStr">
        <is>
          <t>Unlikely hero Mickey Barnes finds himself in the extraordinary circumstance of working for an employer who demands the ultimate commitment to the job… to die, for a living.</t>
        </is>
      </c>
      <c r="J1024" s="0" t="inlineStr">
        <is>
          <t>Bong Joon Ho</t>
        </is>
      </c>
      <c r="K1024" s="0" t="n">
        <v>137</v>
      </c>
      <c r="L1024" s="0" t="inlineStr">
        <is>
          <t>Science Fiction, Comedy, Adventure</t>
        </is>
      </c>
      <c r="P1024" s="0" t="inlineStr">
        <is>
          <t>Robert Pattinson</t>
        </is>
      </c>
      <c r="Q1024" s="0" t="inlineStr">
        <is>
          <t>Naomi Ackie</t>
        </is>
      </c>
      <c r="R1024" s="0" t="inlineStr">
        <is>
          <t>Steven Yeun</t>
        </is>
      </c>
      <c r="S1024" s="0" t="inlineStr">
        <is>
          <t>Mark Ruffalo</t>
        </is>
      </c>
      <c r="T1024" s="0" t="inlineStr">
        <is>
          <t>Toni Collette</t>
        </is>
      </c>
      <c r="AB1024" s="0" t="inlineStr">
        <is>
          <t>15</t>
        </is>
      </c>
      <c r="AC1024" s="0" t="inlineStr">
        <is>
          <t>2026-08-29</t>
        </is>
      </c>
    </row>
    <row r="1025">
      <c r="A1025" s="0" t="inlineStr">
        <is>
          <t>F0377</t>
        </is>
      </c>
      <c r="B1025" s="0" t="inlineStr">
        <is>
          <t>night at the museum</t>
        </is>
      </c>
      <c r="C1025" s="0" t="n">
        <v>2006</v>
      </c>
      <c r="D1025" s="0" t="inlineStr">
        <is>
          <t>Blu-ray</t>
        </is>
      </c>
      <c r="G1025" s="0" t="inlineStr">
        <is>
          <t>No</t>
        </is>
      </c>
      <c r="I1025" s="0" t="inlineStr">
        <is>
          <t>Chaos reigns at the natural history museum when night watchman Larry Daley accidentally stirs up an ancient curse, awakening Attila the Hun, an army of gladiators, a Tyrannosaurus rex and other exhibits.</t>
        </is>
      </c>
      <c r="J1025" s="0" t="inlineStr">
        <is>
          <t>Shawn Levy</t>
        </is>
      </c>
      <c r="K1025" s="0" t="n">
        <v>108</v>
      </c>
      <c r="L1025" s="0" t="inlineStr">
        <is>
          <t>Fantasy, Family, Comedy</t>
        </is>
      </c>
      <c r="P1025" s="0" t="inlineStr">
        <is>
          <t>Ben Stiller</t>
        </is>
      </c>
      <c r="Q1025" s="0" t="inlineStr">
        <is>
          <t>Carla Gugino</t>
        </is>
      </c>
      <c r="R1025" s="0" t="inlineStr">
        <is>
          <t>Dick Van Dyke</t>
        </is>
      </c>
      <c r="S1025" s="0" t="inlineStr">
        <is>
          <t>Mickey Rooney</t>
        </is>
      </c>
      <c r="T1025" s="0" t="inlineStr">
        <is>
          <t>Bill Cobbs</t>
        </is>
      </c>
      <c r="AB1025" s="0" t="inlineStr">
        <is>
          <t>PG</t>
        </is>
      </c>
      <c r="AC1025" s="0" t="inlineStr">
        <is>
          <t>2026-08-29</t>
        </is>
      </c>
    </row>
    <row r="1026">
      <c r="A1026" s="0" t="inlineStr">
        <is>
          <t>F0378</t>
        </is>
      </c>
      <c r="B1026" s="0" t="inlineStr">
        <is>
          <t>sonic the hedgehog</t>
        </is>
      </c>
      <c r="C1026" s="0" t="n">
        <v>2020</v>
      </c>
      <c r="D1026" s="0" t="inlineStr">
        <is>
          <t>Blu-ray</t>
        </is>
      </c>
      <c r="G1026" s="0" t="inlineStr">
        <is>
          <t>No</t>
        </is>
      </c>
      <c r="I1026" s="0" t="inlineStr">
        <is>
          <t>Powered with incredible speed, Sonic The Hedgehog embraces his new home on Earth. That is, until Sonic sparks the attention of super-uncool evil genius Dr. Robotnik. Now it’s super-villain vs. super-sonic in an all-out race across the globe to stop Robotnik from using Sonic’s unique power for world domination.</t>
        </is>
      </c>
      <c r="J1026" s="0" t="inlineStr">
        <is>
          <t>Jeff Fowler</t>
        </is>
      </c>
      <c r="K1026" s="0" t="n">
        <v>99</v>
      </c>
      <c r="L1026" s="0" t="inlineStr">
        <is>
          <t>Action, Science Fiction, Comedy, Family</t>
        </is>
      </c>
      <c r="P1026" s="0" t="inlineStr">
        <is>
          <t>Ben Schwartz</t>
        </is>
      </c>
      <c r="Q1026" s="0" t="inlineStr">
        <is>
          <t>James Marsden</t>
        </is>
      </c>
      <c r="R1026" s="0" t="inlineStr">
        <is>
          <t>Tika Sumpter</t>
        </is>
      </c>
      <c r="S1026" s="0" t="inlineStr">
        <is>
          <t>Jim Carrey</t>
        </is>
      </c>
      <c r="T1026" s="0" t="inlineStr">
        <is>
          <t>Natasha Rothwell</t>
        </is>
      </c>
      <c r="AB1026" s="0" t="inlineStr">
        <is>
          <t>PG</t>
        </is>
      </c>
      <c r="AC1026" s="0" t="inlineStr">
        <is>
          <t>2026-08-29</t>
        </is>
      </c>
    </row>
    <row r="1027">
      <c r="A1027" s="0" t="inlineStr">
        <is>
          <t>F0379</t>
        </is>
      </c>
      <c r="B1027" s="0" t="inlineStr">
        <is>
          <t>sonic the hedgehog 3</t>
        </is>
      </c>
      <c r="C1027" s="0" t="n">
        <v>2025</v>
      </c>
      <c r="D1027" s="0" t="inlineStr">
        <is>
          <t>Blu-ray</t>
        </is>
      </c>
      <c r="G1027" s="0" t="inlineStr">
        <is>
          <t>No</t>
        </is>
      </c>
      <c r="I1027" s="0" t="inlineStr">
        <is>
          <t>Sonic, Knuckles, and Tails reunite against a powerful new adversary, Shadow, a mysterious villain with powers unlike anything they have faced before. With their abilities outmatched in every way, Team Sonic must seek out an unlikely alliance in hopes of stopping Shadow and protecting the planet.</t>
        </is>
      </c>
      <c r="J1027" s="0" t="inlineStr">
        <is>
          <t>Jeff Fowler</t>
        </is>
      </c>
      <c r="K1027" s="0" t="n">
        <v>110</v>
      </c>
      <c r="L1027" s="0" t="inlineStr">
        <is>
          <t>Action, Science Fiction, Comedy, Family</t>
        </is>
      </c>
      <c r="P1027" s="0" t="inlineStr">
        <is>
          <t>Ben Schwartz</t>
        </is>
      </c>
      <c r="Q1027" s="0" t="inlineStr">
        <is>
          <t>Jim Carrey</t>
        </is>
      </c>
      <c r="R1027" s="0" t="inlineStr">
        <is>
          <t>Keanu Reeves</t>
        </is>
      </c>
      <c r="S1027" s="0" t="inlineStr">
        <is>
          <t>Idris Elba</t>
        </is>
      </c>
      <c r="T1027" s="0" t="inlineStr">
        <is>
          <t>Colleen O'Shaughnessey</t>
        </is>
      </c>
      <c r="AB1027" s="0" t="inlineStr">
        <is>
          <t>PG</t>
        </is>
      </c>
      <c r="AC1027" s="0" t="inlineStr">
        <is>
          <t>2026-08-29</t>
        </is>
      </c>
    </row>
    <row r="1028">
      <c r="A1028" s="0" t="inlineStr">
        <is>
          <t>F0380</t>
        </is>
      </c>
      <c r="B1028" s="0" t="inlineStr">
        <is>
          <t>X-men dark phoenix</t>
        </is>
      </c>
      <c r="C1028" s="0" t="n">
        <v>2022</v>
      </c>
      <c r="D1028" s="0" t="inlineStr">
        <is>
          <t>Blu-ray</t>
        </is>
      </c>
      <c r="G1028" s="0" t="inlineStr">
        <is>
          <t>Yes</t>
        </is>
      </c>
      <c r="H1028" s="0" t="inlineStr">
        <is>
          <t>⭐⭐</t>
        </is>
      </c>
      <c r="I1028" s="0" t="inlineStr">
        <is>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is>
      </c>
      <c r="J1028" s="0" t="inlineStr">
        <is>
          <t>Simon Kinberg</t>
        </is>
      </c>
      <c r="K1028" s="0" t="n">
        <v>114</v>
      </c>
      <c r="L1028" s="0" t="inlineStr">
        <is>
          <t>Science Fiction, Action, Adventure</t>
        </is>
      </c>
      <c r="P1028" s="0" t="inlineStr">
        <is>
          <t>Sophie Turner</t>
        </is>
      </c>
      <c r="Q1028" s="0" t="inlineStr">
        <is>
          <t>James McAvoy</t>
        </is>
      </c>
      <c r="R1028" s="0" t="inlineStr">
        <is>
          <t>Nicholas Hoult</t>
        </is>
      </c>
      <c r="S1028" s="0" t="inlineStr">
        <is>
          <t>Tye Sheridan</t>
        </is>
      </c>
      <c r="T1028" s="0" t="inlineStr">
        <is>
          <t>Michael Fassbender</t>
        </is>
      </c>
      <c r="AA1028" s="0" t="inlineStr">
        <is>
          <t>2026-09-02</t>
        </is>
      </c>
      <c r="AB1028" s="0" t="inlineStr">
        <is>
          <t>12A</t>
        </is>
      </c>
      <c r="AC1028" s="0" t="inlineStr">
        <is>
          <t>2026-08-30</t>
        </is>
      </c>
    </row>
    <row r="1029">
      <c r="A1029" s="0" t="inlineStr">
        <is>
          <t>F0381</t>
        </is>
      </c>
      <c r="B1029" s="0" t="inlineStr">
        <is>
          <t>Evolution</t>
        </is>
      </c>
      <c r="C1029" s="0" t="n">
        <v>2001</v>
      </c>
      <c r="D1029" s="0" t="inlineStr">
        <is>
          <t>Blu-ray</t>
        </is>
      </c>
      <c r="G1029" s="0" t="inlineStr">
        <is>
          <t>No</t>
        </is>
      </c>
      <c r="I1029" s="0" t="inlineStr">
        <is>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is>
      </c>
      <c r="J1029" s="0" t="inlineStr">
        <is>
          <t>Ivan Reitman</t>
        </is>
      </c>
      <c r="K1029" s="0" t="n">
        <v>102</v>
      </c>
      <c r="L1029" s="0" t="inlineStr">
        <is>
          <t>Comedy, Science Fiction, Action</t>
        </is>
      </c>
      <c r="P1029" s="0" t="inlineStr">
        <is>
          <t>David Duchovny</t>
        </is>
      </c>
      <c r="Q1029" s="0" t="inlineStr">
        <is>
          <t>Julianne Moore</t>
        </is>
      </c>
      <c r="R1029" s="0" t="inlineStr">
        <is>
          <t>Orlando Jones</t>
        </is>
      </c>
      <c r="S1029" s="0" t="inlineStr">
        <is>
          <t>Seann William Scott</t>
        </is>
      </c>
      <c r="T1029" s="0" t="inlineStr">
        <is>
          <t>Ted Levine</t>
        </is>
      </c>
      <c r="AB1029" s="0" t="inlineStr">
        <is>
          <t>PG</t>
        </is>
      </c>
      <c r="AC1029" s="0" t="inlineStr">
        <is>
          <t>2026-08-30</t>
        </is>
      </c>
    </row>
    <row r="1030">
      <c r="A1030" s="0" t="inlineStr">
        <is>
          <t>F0383</t>
        </is>
      </c>
      <c r="B1030" s="0" t="inlineStr">
        <is>
          <t>Mockingjay part 2</t>
        </is>
      </c>
      <c r="C1030" s="0" t="n">
        <v>2015</v>
      </c>
      <c r="D1030" s="0" t="inlineStr">
        <is>
          <t>Blu-ray</t>
        </is>
      </c>
      <c r="G1030" s="0" t="inlineStr">
        <is>
          <t>No</t>
        </is>
      </c>
      <c r="I1030" s="0" t="inlineStr">
        <is>
          <t>As the war between the Capitol and the districts reaches its peak, Katniss Everdeen embarks on a perilous mission to liberate Panem and confront President Snow. Joined by a team of trusted allies, she navigates deadly traps, shifting loyalties, and the heavy cost of rebellion, determined to bring freedom to her people and end the Hunger Games once and for all.</t>
        </is>
      </c>
      <c r="J1030" s="0" t="inlineStr">
        <is>
          <t>Francis Lawrence</t>
        </is>
      </c>
      <c r="K1030" s="0" t="n">
        <v>137</v>
      </c>
      <c r="L1030" s="0" t="inlineStr">
        <is>
          <t>Action, Adventure, Science Fiction</t>
        </is>
      </c>
      <c r="P1030" s="0" t="inlineStr">
        <is>
          <t>Jennifer Lawrence</t>
        </is>
      </c>
      <c r="Q1030" s="0" t="inlineStr">
        <is>
          <t>Josh Hutcherson</t>
        </is>
      </c>
      <c r="R1030" s="0" t="inlineStr">
        <is>
          <t>Liam Hemsworth</t>
        </is>
      </c>
      <c r="S1030" s="0" t="inlineStr">
        <is>
          <t>Woody Harrelson</t>
        </is>
      </c>
      <c r="T1030" s="0" t="inlineStr">
        <is>
          <t>Elizabeth Banks</t>
        </is>
      </c>
      <c r="AB1030" s="0" t="inlineStr">
        <is>
          <t>12A</t>
        </is>
      </c>
      <c r="AC1030" s="0" t="inlineStr">
        <is>
          <t>2026-08-31</t>
        </is>
      </c>
    </row>
    <row r="1031">
      <c r="A1031" s="0" t="inlineStr">
        <is>
          <t>F0384</t>
        </is>
      </c>
      <c r="B1031" s="0" t="inlineStr">
        <is>
          <t>Catching fire</t>
        </is>
      </c>
      <c r="C1031" s="0" t="n">
        <v>2013</v>
      </c>
      <c r="D1031" s="0" t="inlineStr">
        <is>
          <t>Blu-ray</t>
        </is>
      </c>
      <c r="G1031" s="0" t="inlineStr">
        <is>
          <t>No</t>
        </is>
      </c>
      <c r="I1031" s="0" t="inlineStr">
        <is>
          <t>After surviving the Hunger Games, Katniss and Peeta struggle with the consequences of their victory as unrest spreads across Panem. Forced back into the spotlight, they become symbols of hope and resistance while the Capitol prepares a new and deadly challenge that will change the future of the nation forever.</t>
        </is>
      </c>
      <c r="J1031" s="0" t="inlineStr">
        <is>
          <t>Francis Lawrence</t>
        </is>
      </c>
      <c r="K1031" s="0" t="n">
        <v>146</v>
      </c>
      <c r="L1031" s="0" t="inlineStr">
        <is>
          <t>Adventure, Action, Science Fiction</t>
        </is>
      </c>
      <c r="P1031" s="0" t="inlineStr">
        <is>
          <t>Jennifer Lawrence</t>
        </is>
      </c>
      <c r="Q1031" s="0" t="inlineStr">
        <is>
          <t>Josh Hutcherson</t>
        </is>
      </c>
      <c r="R1031" s="0" t="inlineStr">
        <is>
          <t>Liam Hemsworth</t>
        </is>
      </c>
      <c r="S1031" s="0" t="inlineStr">
        <is>
          <t>Woody Harrelson</t>
        </is>
      </c>
      <c r="T1031" s="0" t="inlineStr">
        <is>
          <t>Elizabeth Banks</t>
        </is>
      </c>
      <c r="AB1031" s="0" t="inlineStr">
        <is>
          <t>12A</t>
        </is>
      </c>
      <c r="AC1031" s="0" t="inlineStr">
        <is>
          <t>2026-08-31</t>
        </is>
      </c>
    </row>
    <row r="1032">
      <c r="A1032" s="0" t="inlineStr">
        <is>
          <t>F0385</t>
        </is>
      </c>
      <c r="B1032" s="0" t="inlineStr">
        <is>
          <t>Rogue one</t>
        </is>
      </c>
      <c r="C1032" s="0" t="n">
        <v>2016</v>
      </c>
      <c r="D1032" s="0" t="inlineStr">
        <is>
          <t>Blu-ray</t>
        </is>
      </c>
      <c r="G1032" s="0" t="inlineStr">
        <is>
          <t>No</t>
        </is>
      </c>
      <c r="I1032" s="0" t="inlineStr">
        <is>
          <t>A rogue band of resistance fighters unite for a mission to steal the Death Star plans and bring a new hope to the galaxy.</t>
        </is>
      </c>
      <c r="J1032" s="0" t="inlineStr">
        <is>
          <t>Gareth Edwards</t>
        </is>
      </c>
      <c r="K1032" s="0" t="n">
        <v>133</v>
      </c>
      <c r="L1032" s="0" t="inlineStr">
        <is>
          <t>Action, Adventure, Science Fiction</t>
        </is>
      </c>
      <c r="P1032" s="0" t="inlineStr">
        <is>
          <t>Felicity Jones</t>
        </is>
      </c>
      <c r="Q1032" s="0" t="inlineStr">
        <is>
          <t>Diego Luna</t>
        </is>
      </c>
      <c r="R1032" s="0" t="inlineStr">
        <is>
          <t>Alan Tudyk</t>
        </is>
      </c>
      <c r="S1032" s="0" t="inlineStr">
        <is>
          <t>Donnie Yen</t>
        </is>
      </c>
      <c r="T1032" s="0" t="inlineStr">
        <is>
          <t>Jiang Wen</t>
        </is>
      </c>
      <c r="AB1032" s="0" t="inlineStr">
        <is>
          <t>12A</t>
        </is>
      </c>
      <c r="AC1032" s="0" t="inlineStr">
        <is>
          <t>2026-08-31</t>
        </is>
      </c>
    </row>
    <row r="1033">
      <c r="A1033" s="0" t="inlineStr">
        <is>
          <t>F0386</t>
        </is>
      </c>
      <c r="B1033" s="0" t="inlineStr">
        <is>
          <t>Solo a star wars story</t>
        </is>
      </c>
      <c r="C1033" s="0" t="n">
        <v>2018</v>
      </c>
      <c r="D1033" s="0" t="inlineStr">
        <is>
          <t>Blu-ray</t>
        </is>
      </c>
      <c r="G1033" s="0" t="inlineStr">
        <is>
          <t>No</t>
        </is>
      </c>
      <c r="I1033" s="0" t="inlineStr">
        <is>
          <t>Through a series of daring escapades deep within a dark and dangerous criminal underworld, Han Solo meets his mighty future copilot Chewbacca and encounters the notorious gambler Lando Calrissian.</t>
        </is>
      </c>
      <c r="J1033" s="0" t="inlineStr">
        <is>
          <t>Ron Howard</t>
        </is>
      </c>
      <c r="K1033" s="0" t="n">
        <v>135</v>
      </c>
      <c r="L1033" s="0" t="inlineStr">
        <is>
          <t>Science Fiction, Adventure, Action</t>
        </is>
      </c>
      <c r="P1033" s="0" t="inlineStr">
        <is>
          <t>Alden Ehrenreich</t>
        </is>
      </c>
      <c r="Q1033" s="0" t="inlineStr">
        <is>
          <t>Joonas Suotamo</t>
        </is>
      </c>
      <c r="R1033" s="0" t="inlineStr">
        <is>
          <t>Woody Harrelson</t>
        </is>
      </c>
      <c r="S1033" s="0" t="inlineStr">
        <is>
          <t>Emilia Clarke</t>
        </is>
      </c>
      <c r="T1033" s="0" t="inlineStr">
        <is>
          <t>Donald Glover</t>
        </is>
      </c>
      <c r="AB1033" s="0" t="inlineStr">
        <is>
          <t>12A</t>
        </is>
      </c>
      <c r="AC1033" s="0" t="inlineStr">
        <is>
          <t>2026-08-31</t>
        </is>
      </c>
    </row>
    <row r="1034">
      <c r="A1034" s="0" t="inlineStr">
        <is>
          <t>F0387</t>
        </is>
      </c>
      <c r="B1034" s="0" t="inlineStr">
        <is>
          <t>Tenet</t>
        </is>
      </c>
      <c r="C1034" s="0" t="n">
        <v>2020</v>
      </c>
      <c r="D1034" s="0" t="inlineStr">
        <is>
          <t>Blu-ray</t>
        </is>
      </c>
      <c r="G1034" s="0" t="inlineStr">
        <is>
          <t>No</t>
        </is>
      </c>
      <c r="I1034" s="0" t="inlineStr">
        <is>
          <t>Armed with only one word - Tenet - and fighting for the survival of the entire world, the Protagonist journeys through a twilight world of international espionage on a mission that will unfold in something beyond real time.</t>
        </is>
      </c>
      <c r="J1034" s="0" t="inlineStr">
        <is>
          <t>Christopher Nolan</t>
        </is>
      </c>
      <c r="K1034" s="0" t="n">
        <v>150</v>
      </c>
      <c r="L1034" s="0" t="inlineStr">
        <is>
          <t>Action, Thriller, Science Fiction</t>
        </is>
      </c>
      <c r="P1034" s="0" t="inlineStr">
        <is>
          <t>John David Washington</t>
        </is>
      </c>
      <c r="Q1034" s="0" t="inlineStr">
        <is>
          <t>Robert Pattinson</t>
        </is>
      </c>
      <c r="R1034" s="0" t="inlineStr">
        <is>
          <t>Elizabeth Debicki</t>
        </is>
      </c>
      <c r="S1034" s="0" t="inlineStr">
        <is>
          <t>Kenneth Branagh</t>
        </is>
      </c>
      <c r="T1034" s="0" t="inlineStr">
        <is>
          <t>Dimple Kapadia</t>
        </is>
      </c>
      <c r="AB1034" s="0" t="inlineStr">
        <is>
          <t>12A</t>
        </is>
      </c>
      <c r="AC1034" s="0" t="inlineStr">
        <is>
          <t>2026-08-31</t>
        </is>
      </c>
    </row>
    <row r="1035">
      <c r="A1035" s="0" t="inlineStr">
        <is>
          <t>F0388</t>
        </is>
      </c>
      <c r="B1035" s="0" t="inlineStr">
        <is>
          <t xml:space="preserve">Unbearable weight of massive talent </t>
        </is>
      </c>
      <c r="C1035" s="0" t="n">
        <v>2022</v>
      </c>
      <c r="D1035" s="0" t="inlineStr">
        <is>
          <t>Blu-ray</t>
        </is>
      </c>
      <c r="G1035" s="0" t="inlineStr">
        <is>
          <t>No</t>
        </is>
      </c>
      <c r="I1035" s="0" t="inlineStr">
        <is>
          <t>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t>
        </is>
      </c>
      <c r="J1035" s="0" t="inlineStr">
        <is>
          <t>Tom Gormican</t>
        </is>
      </c>
      <c r="K1035" s="0" t="n">
        <v>107</v>
      </c>
      <c r="L1035" s="0" t="inlineStr">
        <is>
          <t>Action, Comedy, Crime</t>
        </is>
      </c>
      <c r="P1035" s="0" t="inlineStr">
        <is>
          <t>Nicolas Cage</t>
        </is>
      </c>
      <c r="Q1035" s="0" t="inlineStr">
        <is>
          <t>Pedro Pascal</t>
        </is>
      </c>
      <c r="R1035" s="0" t="inlineStr">
        <is>
          <t>Sharon Horgan</t>
        </is>
      </c>
      <c r="S1035" s="0" t="inlineStr">
        <is>
          <t>Ike Barinholtz</t>
        </is>
      </c>
      <c r="T1035" s="0" t="inlineStr">
        <is>
          <t>Alessandra Mastronardi</t>
        </is>
      </c>
      <c r="AB1035" s="0" t="inlineStr">
        <is>
          <t>15</t>
        </is>
      </c>
      <c r="AC1035" s="0" t="inlineStr">
        <is>
          <t>2026-08-31</t>
        </is>
      </c>
    </row>
    <row r="1036">
      <c r="A1036" s="0" t="inlineStr">
        <is>
          <t>F0389</t>
        </is>
      </c>
      <c r="B1036" s="0" t="inlineStr">
        <is>
          <t xml:space="preserve">Underworld </t>
        </is>
      </c>
      <c r="C1036" s="0" t="n">
        <v>2003</v>
      </c>
      <c r="D1036" s="0" t="inlineStr">
        <is>
          <t>Blu-ray</t>
        </is>
      </c>
      <c r="G1036" s="0" t="inlineStr">
        <is>
          <t>No</t>
        </is>
      </c>
      <c r="I1036" s="0" t="inlineStr">
        <is>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is>
      </c>
      <c r="J1036" s="0" t="inlineStr">
        <is>
          <t>Len Wiseman</t>
        </is>
      </c>
      <c r="K1036" s="0" t="n">
        <v>122</v>
      </c>
      <c r="L1036" s="0" t="inlineStr">
        <is>
          <t>Fantasy, Action, Thriller</t>
        </is>
      </c>
      <c r="P1036" s="0" t="inlineStr">
        <is>
          <t>Kate Beckinsale</t>
        </is>
      </c>
      <c r="Q1036" s="0" t="inlineStr">
        <is>
          <t>Scott Speedman</t>
        </is>
      </c>
      <c r="R1036" s="0" t="inlineStr">
        <is>
          <t>Michael Sheen</t>
        </is>
      </c>
      <c r="S1036" s="0" t="inlineStr">
        <is>
          <t>Shane Brolly</t>
        </is>
      </c>
      <c r="T1036" s="0" t="inlineStr">
        <is>
          <t>Bill Nighy</t>
        </is>
      </c>
      <c r="AB1036" s="0" t="inlineStr">
        <is>
          <t>15</t>
        </is>
      </c>
      <c r="AC1036" s="0" t="inlineStr">
        <is>
          <t>2026-08-31</t>
        </is>
      </c>
    </row>
    <row r="1037">
      <c r="A1037" s="0" t="inlineStr">
        <is>
          <t>F0390</t>
        </is>
      </c>
      <c r="B1037" s="0" t="inlineStr">
        <is>
          <t>Underworld awakening</t>
        </is>
      </c>
      <c r="C1037" s="0" t="n">
        <v>2012</v>
      </c>
      <c r="D1037" s="0" t="inlineStr">
        <is>
          <t>Blu-ray</t>
        </is>
      </c>
      <c r="G1037" s="0" t="inlineStr">
        <is>
          <t>No</t>
        </is>
      </c>
      <c r="I1037" s="0" t="inlineStr">
        <is>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is>
      </c>
      <c r="J1037" s="0" t="inlineStr">
        <is>
          <t>Måns Mårlind</t>
        </is>
      </c>
      <c r="K1037" s="0" t="n">
        <v>88</v>
      </c>
      <c r="L1037" s="0" t="inlineStr">
        <is>
          <t>Fantasy, Action, Horror</t>
        </is>
      </c>
      <c r="P1037" s="0" t="inlineStr">
        <is>
          <t>Kate Beckinsale</t>
        </is>
      </c>
      <c r="Q1037" s="0" t="inlineStr">
        <is>
          <t>Stephen Rea</t>
        </is>
      </c>
      <c r="R1037" s="0" t="inlineStr">
        <is>
          <t>Michael Ealy</t>
        </is>
      </c>
      <c r="S1037" s="0" t="inlineStr">
        <is>
          <t>Theo James</t>
        </is>
      </c>
      <c r="T1037" s="0" t="inlineStr">
        <is>
          <t>India Eisley</t>
        </is>
      </c>
      <c r="AB1037" s="0" t="inlineStr">
        <is>
          <t>18</t>
        </is>
      </c>
      <c r="AC1037" s="0" t="inlineStr">
        <is>
          <t>2026-08-31</t>
        </is>
      </c>
    </row>
    <row r="1038">
      <c r="A1038" s="0" t="inlineStr">
        <is>
          <t>F0391</t>
        </is>
      </c>
      <c r="B1038" s="0" t="inlineStr">
        <is>
          <t>John wick chapter 3</t>
        </is>
      </c>
      <c r="C1038" s="0" t="n">
        <v>2019</v>
      </c>
      <c r="D1038" s="0" t="inlineStr">
        <is>
          <t>Blu-ray</t>
        </is>
      </c>
      <c r="G1038" s="0" t="inlineStr">
        <is>
          <t>No</t>
        </is>
      </c>
      <c r="I1038" s="0" t="inlineStr">
        <is>
          <t>Super-assassin John Wick returns with a $14 million price tag on his head and an army of bounty-hunting killers on his trail. After killing a member of the shadowy international assassin’s guild, the High Table, John Wick is excommunicado, but the world’s most ruthless hit men and women await his every turn.</t>
        </is>
      </c>
      <c r="J1038" s="0" t="inlineStr">
        <is>
          <t>Chad Stahelski</t>
        </is>
      </c>
      <c r="K1038" s="0" t="n">
        <v>131</v>
      </c>
      <c r="L1038" s="0" t="inlineStr">
        <is>
          <t>Action, Thriller, Crime</t>
        </is>
      </c>
      <c r="P1038" s="0" t="inlineStr">
        <is>
          <t>Keanu Reeves</t>
        </is>
      </c>
      <c r="Q1038" s="0" t="inlineStr">
        <is>
          <t>Halle Berry</t>
        </is>
      </c>
      <c r="R1038" s="0" t="inlineStr">
        <is>
          <t>Ian McShane</t>
        </is>
      </c>
      <c r="S1038" s="0" t="inlineStr">
        <is>
          <t>Laurence Fishburne</t>
        </is>
      </c>
      <c r="T1038" s="0" t="inlineStr">
        <is>
          <t>Mark Dacascos</t>
        </is>
      </c>
      <c r="AB1038" s="0" t="inlineStr">
        <is>
          <t>15</t>
        </is>
      </c>
      <c r="AC1038" s="0" t="inlineStr">
        <is>
          <t>2026-09-06</t>
        </is>
      </c>
    </row>
    <row r="1039">
      <c r="A1039" s="0" t="inlineStr">
        <is>
          <t>F0392</t>
        </is>
      </c>
      <c r="B1039" s="0" t="inlineStr">
        <is>
          <t>John wick chapter 4</t>
        </is>
      </c>
      <c r="C1039" s="0" t="n">
        <v>2023</v>
      </c>
      <c r="D1039" s="0" t="inlineStr">
        <is>
          <t>Blu-ray</t>
        </is>
      </c>
      <c r="G1039" s="0" t="inlineStr">
        <is>
          <t>No</t>
        </is>
      </c>
      <c r="I1039" s="0" t="inlineStr">
        <is>
          <t>With the price on his head ever increasing, John Wick uncovers a path to defeating The High Table. But before he can earn his freedom, Wick must face off against a new enemy with powerful alliances across the globe and forces that turn old friends into foes.</t>
        </is>
      </c>
      <c r="J1039" s="0" t="inlineStr">
        <is>
          <t>Chad Stahelski</t>
        </is>
      </c>
      <c r="K1039" s="0" t="n">
        <v>170</v>
      </c>
      <c r="L1039" s="0" t="inlineStr">
        <is>
          <t>Action, Thriller, Crime</t>
        </is>
      </c>
      <c r="P1039" s="0" t="inlineStr">
        <is>
          <t>Keanu Reeves</t>
        </is>
      </c>
      <c r="Q1039" s="0" t="inlineStr">
        <is>
          <t>Donnie Yen</t>
        </is>
      </c>
      <c r="R1039" s="0" t="inlineStr">
        <is>
          <t>Bill Skarsgård</t>
        </is>
      </c>
      <c r="S1039" s="0" t="inlineStr">
        <is>
          <t>Ian McShane</t>
        </is>
      </c>
      <c r="T1039" s="0" t="inlineStr">
        <is>
          <t>Laurence Fishburne</t>
        </is>
      </c>
      <c r="AB1039" s="0" t="inlineStr">
        <is>
          <t>15</t>
        </is>
      </c>
      <c r="AC1039" s="0" t="inlineStr">
        <is>
          <t>2026-09-06</t>
        </is>
      </c>
    </row>
    <row r="1040">
      <c r="A1040" s="0" t="inlineStr">
        <is>
          <t>F0393</t>
        </is>
      </c>
      <c r="B1040" s="0" t="inlineStr">
        <is>
          <t>Le Mans ‘66</t>
        </is>
      </c>
      <c r="C1040" s="0" t="n">
        <v>2019</v>
      </c>
      <c r="D1040" s="0" t="inlineStr">
        <is>
          <t>Blu-ray</t>
        </is>
      </c>
      <c r="G1040" s="0" t="inlineStr">
        <is>
          <t>No</t>
        </is>
      </c>
      <c r="I1040" s="0" t="inlineStr">
        <is>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is>
      </c>
      <c r="J1040" s="0" t="inlineStr">
        <is>
          <t>James Mangold</t>
        </is>
      </c>
      <c r="K1040" s="0" t="n">
        <v>153</v>
      </c>
      <c r="L1040" s="0" t="inlineStr">
        <is>
          <t>Drama, History, Action</t>
        </is>
      </c>
      <c r="P1040" s="0" t="inlineStr">
        <is>
          <t>Matt Damon</t>
        </is>
      </c>
      <c r="Q1040" s="0" t="inlineStr">
        <is>
          <t>Christian Bale</t>
        </is>
      </c>
      <c r="R1040" s="0" t="inlineStr">
        <is>
          <t>Jon Bernthal</t>
        </is>
      </c>
      <c r="S1040" s="0" t="inlineStr">
        <is>
          <t>Caitríona Balfe</t>
        </is>
      </c>
      <c r="T1040" s="0" t="inlineStr">
        <is>
          <t>Josh Lucas</t>
        </is>
      </c>
      <c r="AB1040" s="0" t="inlineStr">
        <is>
          <t>12</t>
        </is>
      </c>
      <c r="AC1040" s="0" t="inlineStr">
        <is>
          <t>2026-09-06</t>
        </is>
      </c>
    </row>
  </sheetData>
  <mergeCells count="2">
    <mergeCell ref="A1:Z1"/>
    <mergeCell ref="A2:Z2"/>
  </mergeCells>
  <conditionalFormatting sqref="E5:E504">
    <cfRule type="expression" priority="1" dxfId="8">
      <formula>E5="Yes"</formula>
    </cfRule>
  </conditionalFormatting>
  <conditionalFormatting sqref="F5:F354">
    <cfRule type="expression" priority="2" dxfId="9">
      <formula>F5&lt;&gt;""</formula>
    </cfRule>
  </conditionalFormatting>
  <conditionalFormatting sqref="F5:F504">
    <cfRule type="colorScale" priority="3">
      <colorScale>
        <cfvo type="min"/>
        <cfvo type="percentile" val="50"/>
        <cfvo type="max"/>
        <color rgb="FFFCE8E6"/>
        <color rgb="FFFFF1B8"/>
        <color rgb="FFD9EAD3"/>
      </colorScale>
    </cfRule>
  </conditionalFormatting>
  <conditionalFormatting sqref="G5:G500">
    <cfRule type="expression" priority="4" dxfId="10">
      <formula>ISNUMBER(SEARCH("Best guess",G5))</formula>
    </cfRule>
    <cfRule type="expression" priority="5" dxfId="8">
      <formula>G5="Yes"</formula>
    </cfRule>
  </conditionalFormatting>
  <conditionalFormatting sqref="H5:H500">
    <cfRule type="colorScale" priority="6">
      <colorScale>
        <cfvo type="min"/>
        <cfvo type="percentile" val="50"/>
        <cfvo type="max"/>
        <color rgb="FFFCE8E6"/>
        <color rgb="FFFFF1B8"/>
        <color rgb="FFD9EAD3"/>
      </colorScale>
    </cfRule>
  </conditionalFormatting>
  <conditionalFormatting sqref="I5:I354">
    <cfRule type="expression" priority="7" dxfId="10">
      <formula>ISNUMBER(SEARCH("verify",I5))</formula>
    </cfRule>
  </conditionalFormatting>
  <conditionalFormatting sqref="W5:W354">
    <cfRule type="expression" priority="8" dxfId="2">
      <formula>W5="Winner"</formula>
    </cfRule>
    <cfRule type="expression" priority="9" dxfId="11">
      <formula>W5="Nominated"</formula>
    </cfRule>
  </conditionalFormatting>
  <conditionalFormatting sqref="X5:X354">
    <cfRule type="colorScale" priority="10">
      <colorScale>
        <cfvo type="min"/>
        <cfvo type="percentile" val="50"/>
        <cfvo type="max"/>
        <color rgb="FFFCE8E6"/>
        <color rgb="FFFFF1B8"/>
        <color rgb="FFD9EAD3"/>
      </colorScale>
    </cfRule>
  </conditionalFormatting>
  <conditionalFormatting sqref="Y5:Y354">
    <cfRule type="colorScale" priority="11">
      <colorScale>
        <cfvo type="min"/>
        <cfvo type="percentile" val="50"/>
        <cfvo type="max"/>
        <color rgb="FFFCE8E6"/>
        <color rgb="FFFFF1B8"/>
        <color rgb="FFD9EAD3"/>
      </colorScale>
    </cfRule>
  </conditionalFormatting>
  <conditionalFormatting sqref="Z5:Z354">
    <cfRule type="colorScale" priority="12">
      <colorScale>
        <cfvo type="min"/>
        <cfvo type="percentile" val="50"/>
        <cfvo type="max"/>
        <color rgb="FFFCE8E6"/>
        <color rgb="FFFFF1B8"/>
        <color rgb="FFD9EAD3"/>
      </colorScale>
    </cfRule>
  </conditionalFormatting>
  <dataValidations count="3">
    <dataValidation sqref="C5:D500 C501:C504" showDropDown="0" showInputMessage="0" showErrorMessage="0" allowBlank="1" type="list">
      <formula1>"Blu-ray,4K UHD,Steelbook,Blu-ray + DVD"</formula1>
    </dataValidation>
    <dataValidation sqref="F5:F504 H5:H500" showDropDown="0" showInputMessage="0" showErrorMessage="0" allowBlank="1" type="decimal">
      <formula1>1.0</formula1>
      <formula2>5.0</formula2>
    </dataValidation>
    <dataValidation sqref="E5:E504 G5:G500" showDropDown="0" showInputMessage="0" showErrorMessage="0" allowBlank="1" type="list">
      <formula1>"Yes,No"</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I1036"/>
  <sheetViews>
    <sheetView workbookViewId="0">
      <selection activeCell="A1" sqref="A1"/>
    </sheetView>
  </sheetViews>
  <sheetFormatPr baseColWidth="8" defaultColWidth="14.43" defaultRowHeight="15" customHeight="1"/>
  <cols>
    <col width="42" customWidth="1" style="108" min="1" max="1"/>
    <col width="14" customWidth="1" style="108" min="2" max="3"/>
    <col width="15" customWidth="1" style="108" min="4" max="4"/>
    <col width="14" customWidth="1" style="108" min="5" max="7"/>
    <col width="8.710000000000001" customWidth="1" style="108" min="8" max="8"/>
    <col width="94" customWidth="1" style="108" min="9" max="9"/>
  </cols>
  <sheetData>
    <row r="1" ht="23.25" customHeight="1" s="108">
      <c r="A1" s="115" t="inlineStr">
        <is>
          <t>🛒 WISHLIST &amp; NEXT BUYS</t>
        </is>
      </c>
    </row>
    <row r="2">
      <c r="A2" s="110" t="inlineStr">
        <is>
          <t>Your original wanted films plus recommendations based on the collection. Prices can be filled in as we hunt for bargains.</t>
        </is>
      </c>
    </row>
    <row r="3">
      <c r="A3" s="4" t="n"/>
      <c r="B3" s="4" t="n"/>
      <c r="C3" s="4" t="n"/>
      <c r="D3" s="4" t="n"/>
      <c r="E3" s="4" t="n"/>
      <c r="F3" s="4" t="n"/>
      <c r="G3" s="4" t="n"/>
      <c r="H3" s="4" t="n"/>
      <c r="I3" s="4" t="n"/>
    </row>
    <row r="4" ht="30" customHeight="1" s="108">
      <c r="A4" s="8" t="inlineStr">
        <is>
          <t>Title</t>
        </is>
      </c>
      <c r="B4" s="8" t="inlineStr">
        <is>
          <t>Type</t>
        </is>
      </c>
      <c r="C4" s="8" t="inlineStr">
        <is>
          <t>Priority (1-5)</t>
        </is>
      </c>
      <c r="D4" s="8" t="inlineStr">
        <is>
          <t>Target Price (£)</t>
        </is>
      </c>
      <c r="E4" s="8" t="inlineStr">
        <is>
          <t>Cheapest Found (£)</t>
        </is>
      </c>
      <c r="F4" s="8" t="inlineStr">
        <is>
          <t>Where</t>
        </is>
      </c>
      <c r="G4" s="8" t="inlineStr">
        <is>
          <t>Date Checked</t>
        </is>
      </c>
      <c r="H4" s="11" t="inlineStr">
        <is>
          <t>Already Owned?</t>
        </is>
      </c>
      <c r="I4" s="11" t="inlineStr">
        <is>
          <t>Notes</t>
        </is>
      </c>
    </row>
    <row r="5" ht="60" customHeight="1" s="108">
      <c r="A5" s="21" t="inlineStr">
        <is>
          <t>Everything Everywhere All at Once</t>
        </is>
      </c>
      <c r="B5" s="21" t="inlineStr">
        <is>
          <t>Your list</t>
        </is>
      </c>
      <c r="C5" s="21" t="n">
        <v>3</v>
      </c>
      <c r="D5" s="22" t="n"/>
      <c r="E5" s="22" t="n"/>
      <c r="F5" s="21" t="n"/>
      <c r="G5" s="23" t="n"/>
      <c r="H5" s="4">
        <f>IF(A6="","",IF(COUNTIF(Collection!$B$5:$B$500,A6)&gt;0,"Yes","No"))</f>
        <v/>
      </c>
      <c r="I5" s="19" t="inlineStr">
        <is>
          <t>From your original wishlist</t>
        </is>
      </c>
    </row>
    <row r="6" ht="60" customHeight="1" s="108">
      <c r="A6" s="21" t="inlineStr">
        <is>
          <t>CODA</t>
        </is>
      </c>
      <c r="B6" s="21" t="inlineStr">
        <is>
          <t>Your list</t>
        </is>
      </c>
      <c r="C6" s="21" t="n">
        <v>2</v>
      </c>
      <c r="D6" s="22" t="n"/>
      <c r="E6" s="22" t="n"/>
      <c r="F6" s="21" t="n"/>
      <c r="G6" s="23" t="n"/>
      <c r="H6" s="4">
        <f>IF(A7="","",IF(COUNTIF(Collection!$B$5:$B$500,A7)&gt;0,"Yes","No"))</f>
        <v/>
      </c>
      <c r="I6" s="19" t="inlineStr">
        <is>
          <t>From your original wishlist</t>
        </is>
      </c>
    </row>
    <row r="7" ht="60" customHeight="1" s="108">
      <c r="A7" s="21" t="inlineStr">
        <is>
          <t>Parasite</t>
        </is>
      </c>
      <c r="B7" s="21" t="inlineStr">
        <is>
          <t>Your list</t>
        </is>
      </c>
      <c r="C7" s="21" t="n">
        <v>3</v>
      </c>
      <c r="D7" s="22" t="n"/>
      <c r="E7" s="22" t="n"/>
      <c r="F7" s="21" t="n"/>
      <c r="G7" s="23" t="n"/>
      <c r="H7" s="4">
        <f>IF(A8="","",IF(COUNTIF(Collection!$B$5:$B$500,A8)&gt;0,"Yes","No"))</f>
        <v/>
      </c>
      <c r="I7" s="19" t="inlineStr">
        <is>
          <t>From your original wishlist</t>
        </is>
      </c>
    </row>
    <row r="8" ht="60" customHeight="1" s="108">
      <c r="A8" s="21" t="inlineStr">
        <is>
          <t>The Shape of Water</t>
        </is>
      </c>
      <c r="B8" s="21" t="inlineStr">
        <is>
          <t>Your list</t>
        </is>
      </c>
      <c r="C8" s="21" t="n">
        <v>3</v>
      </c>
      <c r="D8" s="22" t="n"/>
      <c r="E8" s="22" t="n"/>
      <c r="F8" s="21" t="n"/>
      <c r="G8" s="23" t="n"/>
      <c r="H8" s="4">
        <f>IF(A10="","",IF(COUNTIF(Collection!$B$5:$B$500,A10)&gt;0,"Yes","No"))</f>
        <v/>
      </c>
      <c r="I8" s="19" t="inlineStr">
        <is>
          <t>From your original wishlist</t>
        </is>
      </c>
    </row>
    <row r="9" ht="60" customHeight="1" s="108">
      <c r="A9" s="21" t="inlineStr">
        <is>
          <t>Moonlight</t>
        </is>
      </c>
      <c r="B9" s="21" t="inlineStr">
        <is>
          <t>Your list</t>
        </is>
      </c>
      <c r="C9" s="21" t="n">
        <v>3</v>
      </c>
      <c r="D9" s="22" t="n"/>
      <c r="E9" s="22" t="n"/>
      <c r="F9" s="21" t="n"/>
      <c r="G9" s="23" t="n"/>
      <c r="H9" s="4">
        <f>IF(A11="","",IF(COUNTIF(Collection!$B$5:$B$500,A11)&gt;0,"Yes","No"))</f>
        <v/>
      </c>
      <c r="I9" s="19" t="inlineStr">
        <is>
          <t>From your original wishlist</t>
        </is>
      </c>
    </row>
    <row r="10" ht="60" customHeight="1" s="108">
      <c r="A10" s="21" t="inlineStr">
        <is>
          <t>Spotlight</t>
        </is>
      </c>
      <c r="B10" s="21" t="inlineStr">
        <is>
          <t>Your list</t>
        </is>
      </c>
      <c r="C10" s="21" t="n">
        <v>3</v>
      </c>
      <c r="D10" s="22" t="n"/>
      <c r="E10" s="22" t="n"/>
      <c r="F10" s="21" t="n"/>
      <c r="G10" s="23" t="n"/>
      <c r="H10" s="4">
        <f>IF(A12="","",IF(COUNTIF(Collection!$B$5:$B$500,A12)&gt;0,"Yes","No"))</f>
        <v/>
      </c>
      <c r="I10" s="19" t="inlineStr">
        <is>
          <t>From your original wishlist</t>
        </is>
      </c>
    </row>
    <row r="11" ht="60" customHeight="1" s="108">
      <c r="A11" s="21" t="inlineStr">
        <is>
          <t>Birdman or (The Unexpected Virtue of Ignorance)</t>
        </is>
      </c>
      <c r="B11" s="21" t="inlineStr">
        <is>
          <t>Your list</t>
        </is>
      </c>
      <c r="C11" s="21" t="n">
        <v>4</v>
      </c>
      <c r="D11" s="22" t="n"/>
      <c r="E11" s="22" t="n">
        <v>10</v>
      </c>
      <c r="F11" s="21" t="inlineStr">
        <is>
          <t xml:space="preserve">HMV </t>
        </is>
      </c>
      <c r="G11" s="23" t="inlineStr">
        <is>
          <t>2026-08-23</t>
        </is>
      </c>
      <c r="H11" s="4">
        <f>IF(A13="","",IF(COUNTIF(Collection!$B$5:$B$500,A13)&gt;0,"Yes","No"))</f>
        <v/>
      </c>
      <c r="I11" s="19" t="inlineStr">
        <is>
          <t>From your original wishlist</t>
        </is>
      </c>
    </row>
    <row r="12" ht="60" customHeight="1" s="108">
      <c r="A12" s="21" t="inlineStr">
        <is>
          <t>12 Years a Slave</t>
        </is>
      </c>
      <c r="B12" s="21" t="inlineStr">
        <is>
          <t>Your list</t>
        </is>
      </c>
      <c r="C12" s="21" t="n">
        <v>2</v>
      </c>
      <c r="D12" s="22" t="n"/>
      <c r="E12" s="22" t="n"/>
      <c r="F12" s="21" t="n"/>
      <c r="G12" s="23" t="n"/>
      <c r="H12" s="4">
        <f>IF(A14="","",IF(COUNTIF(Collection!$B$5:$B$500,A14)&gt;0,"Yes","No"))</f>
        <v/>
      </c>
      <c r="I12" s="19" t="inlineStr">
        <is>
          <t>From your original wishlist</t>
        </is>
      </c>
    </row>
    <row r="13" ht="60" customHeight="1" s="108">
      <c r="A13" s="21" t="inlineStr">
        <is>
          <t>The Artist</t>
        </is>
      </c>
      <c r="B13" s="21" t="inlineStr">
        <is>
          <t>Your list</t>
        </is>
      </c>
      <c r="C13" s="21" t="n">
        <v>2</v>
      </c>
      <c r="D13" s="22" t="n"/>
      <c r="E13" s="22" t="n"/>
      <c r="F13" s="21" t="n"/>
      <c r="G13" s="23" t="n"/>
      <c r="H13" s="4">
        <f>IF(A15="","",IF(COUNTIF(Collection!$B$5:$B$500,A15)&gt;0,"Yes","No"))</f>
        <v/>
      </c>
      <c r="I13" s="19" t="inlineStr">
        <is>
          <t>From your original wishlist</t>
        </is>
      </c>
    </row>
    <row r="14" ht="60" customHeight="1" s="108">
      <c r="A14" s="21" t="inlineStr">
        <is>
          <t>The Hurt Locker</t>
        </is>
      </c>
      <c r="B14" s="21" t="inlineStr">
        <is>
          <t>Your list</t>
        </is>
      </c>
      <c r="C14" s="21" t="n">
        <v>2</v>
      </c>
      <c r="D14" s="22" t="n"/>
      <c r="E14" s="22" t="n"/>
      <c r="F14" s="21" t="n"/>
      <c r="G14" s="23" t="n"/>
      <c r="H14" s="4">
        <f>IF(A16="","",IF(COUNTIF(Collection!$B$5:$B$500,A16)&gt;0,"Yes","No"))</f>
        <v/>
      </c>
      <c r="I14" s="19" t="inlineStr">
        <is>
          <t>From your original wishlist</t>
        </is>
      </c>
    </row>
    <row r="15" ht="60" customHeight="1" s="108">
      <c r="A15" s="21" t="inlineStr">
        <is>
          <t>No Country for Old Men</t>
        </is>
      </c>
      <c r="B15" s="21" t="inlineStr">
        <is>
          <t>Your list</t>
        </is>
      </c>
      <c r="C15" s="21" t="n">
        <v>3</v>
      </c>
      <c r="D15" s="22" t="n"/>
      <c r="E15" s="22" t="n"/>
      <c r="F15" s="21" t="n"/>
      <c r="G15" s="23" t="n"/>
      <c r="H15" s="4">
        <f>IF(A17="","",IF(COUNTIF(Collection!$B$5:$B$500,A17)&gt;0,"Yes","No"))</f>
        <v/>
      </c>
      <c r="I15" s="19" t="inlineStr">
        <is>
          <t>From your original wishlist</t>
        </is>
      </c>
    </row>
    <row r="16" ht="60" customHeight="1" s="108">
      <c r="A16" s="21" t="inlineStr">
        <is>
          <t>Gladiator</t>
        </is>
      </c>
      <c r="B16" s="21" t="inlineStr">
        <is>
          <t>Your list</t>
        </is>
      </c>
      <c r="C16" s="21" t="n">
        <v>3</v>
      </c>
      <c r="D16" s="22" t="n"/>
      <c r="E16" s="22" t="n"/>
      <c r="F16" s="21" t="n"/>
      <c r="G16" s="23" t="n"/>
      <c r="H16" s="4">
        <f>IF(A18="","",IF(COUNTIF(Collection!$B$5:$B$500,A18)&gt;0,"Yes","No"))</f>
        <v/>
      </c>
      <c r="I16" s="19" t="inlineStr">
        <is>
          <t>From your original wishlist</t>
        </is>
      </c>
    </row>
    <row r="17" ht="60" customHeight="1" s="108">
      <c r="A17" s="21" t="inlineStr">
        <is>
          <t>A Beautiful Mind</t>
        </is>
      </c>
      <c r="B17" s="21" t="inlineStr">
        <is>
          <t>Your list</t>
        </is>
      </c>
      <c r="C17" s="21" t="n">
        <v>3</v>
      </c>
      <c r="D17" s="22" t="n"/>
      <c r="E17" s="22" t="n"/>
      <c r="F17" s="21" t="n"/>
      <c r="G17" s="23" t="n"/>
      <c r="H17" s="4">
        <f>IF(A19="","",IF(COUNTIF(Collection!$B$5:$B$500,A19)&gt;0,"Yes","No"))</f>
        <v/>
      </c>
      <c r="I17" s="19" t="inlineStr">
        <is>
          <t>From your original wishlist</t>
        </is>
      </c>
    </row>
    <row r="18" ht="60" customHeight="1" s="108">
      <c r="A18" s="21" t="inlineStr">
        <is>
          <t>The Silence of the Lambs</t>
        </is>
      </c>
      <c r="B18" s="21" t="inlineStr">
        <is>
          <t>Your list</t>
        </is>
      </c>
      <c r="C18" s="21" t="n">
        <v>2</v>
      </c>
      <c r="D18" s="22" t="n"/>
      <c r="E18" s="22" t="n"/>
      <c r="F18" s="21" t="n"/>
      <c r="G18" s="23" t="n"/>
      <c r="H18" s="4">
        <f>IF(A21="","",IF(COUNTIF(Collection!$B$5:$B$500,A21)&gt;0,"Yes","No"))</f>
        <v/>
      </c>
      <c r="I18" s="19" t="inlineStr">
        <is>
          <t>From your original wishlist</t>
        </is>
      </c>
    </row>
    <row r="19" ht="60" customHeight="1" s="108">
      <c r="A19" s="21" t="inlineStr">
        <is>
          <t>Le Mans '66 (Ford v Ferrari)</t>
        </is>
      </c>
      <c r="B19" s="21" t="inlineStr">
        <is>
          <t>Your list</t>
        </is>
      </c>
      <c r="C19" s="21" t="n">
        <v>5</v>
      </c>
      <c r="D19" s="22" t="n"/>
      <c r="E19" s="22" t="n">
        <v>5</v>
      </c>
      <c r="F19" s="21" t="inlineStr">
        <is>
          <t>CEX</t>
        </is>
      </c>
      <c r="G19" s="23" t="inlineStr">
        <is>
          <t>2026-08-23</t>
        </is>
      </c>
      <c r="H19" s="4">
        <f>IF(A22="","",IF(COUNTIF(Collection!$B$5:$B$500,A22)&gt;0,"Yes","No"))</f>
        <v/>
      </c>
      <c r="I19" s="19" t="inlineStr">
        <is>
          <t>From your original wishlist</t>
        </is>
      </c>
    </row>
    <row r="20" ht="60" customHeight="1" s="108">
      <c r="A20" s="21" t="inlineStr">
        <is>
          <t>Million Dollar Baby</t>
        </is>
      </c>
      <c r="B20" s="21" t="inlineStr">
        <is>
          <t>Your list</t>
        </is>
      </c>
      <c r="C20" s="21" t="n">
        <v>2</v>
      </c>
      <c r="D20" s="22" t="n"/>
      <c r="E20" s="22" t="n"/>
      <c r="F20" s="21" t="n"/>
      <c r="G20" s="23" t="n"/>
      <c r="H20" s="4">
        <f>IF(A23="","",IF(COUNTIF(Collection!$B$5:$B$500,A23)&gt;0,"Yes","No"))</f>
        <v/>
      </c>
      <c r="I20" s="19" t="inlineStr">
        <is>
          <t>From your original wishlist</t>
        </is>
      </c>
    </row>
    <row r="21" ht="15.75" customHeight="1" s="108">
      <c r="A21" s="21" t="inlineStr">
        <is>
          <t>American Beauty</t>
        </is>
      </c>
      <c r="B21" s="21" t="inlineStr">
        <is>
          <t>Your list</t>
        </is>
      </c>
      <c r="C21" s="21" t="n">
        <v>2</v>
      </c>
      <c r="D21" s="22" t="n"/>
      <c r="E21" s="22" t="n"/>
      <c r="F21" s="21" t="n"/>
      <c r="G21" s="23" t="n"/>
      <c r="H21" s="4">
        <f>IF(A24="","",IF(COUNTIF(Collection!$B$5:$B$500,A24)&gt;0,"Yes","No"))</f>
        <v/>
      </c>
      <c r="I21" s="19" t="inlineStr">
        <is>
          <t>From your original wishlist</t>
        </is>
      </c>
    </row>
    <row r="22" ht="15.75" customHeight="1" s="108">
      <c r="A22" s="21" t="inlineStr">
        <is>
          <t>Rocky</t>
        </is>
      </c>
      <c r="B22" s="21" t="inlineStr">
        <is>
          <t>Your list</t>
        </is>
      </c>
      <c r="C22" s="21" t="n">
        <v>3</v>
      </c>
      <c r="D22" s="22" t="n"/>
      <c r="E22" s="22" t="n"/>
      <c r="F22" s="21" t="n"/>
      <c r="G22" s="23" t="n"/>
      <c r="H22" s="4">
        <f>IF(A25="","",IF(COUNTIF(Collection!$B$5:$B$500,A25)&gt;0,"Yes","No"))</f>
        <v/>
      </c>
      <c r="I22" s="19" t="inlineStr">
        <is>
          <t>From your original wishlist</t>
        </is>
      </c>
    </row>
    <row r="23" ht="15.75" customHeight="1" s="108">
      <c r="A23" s="21" t="inlineStr">
        <is>
          <t>One Flew Over the Cuckoo's Nest</t>
        </is>
      </c>
      <c r="B23" s="21" t="inlineStr">
        <is>
          <t>Your list</t>
        </is>
      </c>
      <c r="C23" s="21" t="n">
        <v>2</v>
      </c>
      <c r="D23" s="22" t="n"/>
      <c r="E23" s="22" t="n"/>
      <c r="F23" s="21" t="n"/>
      <c r="G23" s="23" t="n"/>
      <c r="H23" s="4">
        <f>IF(A26="","",IF(COUNTIF(Collection!$B$5:$B$500,A26)&gt;0,"Yes","No"))</f>
        <v/>
      </c>
      <c r="I23" s="19" t="inlineStr">
        <is>
          <t>From your original wishlist</t>
        </is>
      </c>
    </row>
    <row r="24" ht="15.75" customHeight="1" s="108">
      <c r="A24" s="21" t="inlineStr">
        <is>
          <t>Sinners</t>
        </is>
      </c>
      <c r="B24" s="21" t="inlineStr">
        <is>
          <t>Your list</t>
        </is>
      </c>
      <c r="C24" s="21" t="n">
        <v>3</v>
      </c>
      <c r="D24" s="22" t="n"/>
      <c r="E24" s="22" t="n"/>
      <c r="F24" s="21" t="n"/>
      <c r="G24" s="23" t="n"/>
      <c r="H24" s="4">
        <f>IF(A27="","",IF(COUNTIF(Collection!$B$5:$B$500,A27)&gt;0,"Yes","No"))</f>
        <v/>
      </c>
      <c r="I24" s="19" t="inlineStr">
        <is>
          <t>From your original wishlist</t>
        </is>
      </c>
    </row>
    <row r="25" ht="15.75" customHeight="1" s="108">
      <c r="A25" s="21" t="inlineStr">
        <is>
          <t>Marty Supreme</t>
        </is>
      </c>
      <c r="B25" s="21" t="inlineStr">
        <is>
          <t>Your list</t>
        </is>
      </c>
      <c r="C25" s="21" t="n">
        <v>5</v>
      </c>
      <c r="D25" s="22" t="n"/>
      <c r="E25" s="22" t="n">
        <v>10</v>
      </c>
      <c r="F25" s="21" t="inlineStr">
        <is>
          <t xml:space="preserve">HMV </t>
        </is>
      </c>
      <c r="G25" s="23" t="inlineStr">
        <is>
          <t>2026-08-23</t>
        </is>
      </c>
      <c r="H25" s="4">
        <f>IF(A28="","",IF(COUNTIF(Collection!$B$5:$B$500,A28)&gt;0,"Yes","No"))</f>
        <v/>
      </c>
      <c r="I25" s="19" t="inlineStr">
        <is>
          <t>From your original wishlist</t>
        </is>
      </c>
    </row>
    <row r="26" ht="15.75" customHeight="1" s="108">
      <c r="A26" s="21" t="inlineStr">
        <is>
          <t>Whiplash</t>
        </is>
      </c>
      <c r="B26" s="21" t="inlineStr">
        <is>
          <t>Recommended</t>
        </is>
      </c>
      <c r="C26" s="21" t="n">
        <v>5</v>
      </c>
      <c r="D26" s="22" t="n"/>
      <c r="E26" s="22" t="n">
        <v>7</v>
      </c>
      <c r="F26" s="21" t="inlineStr">
        <is>
          <t>HMV</t>
        </is>
      </c>
      <c r="G26" s="23" t="inlineStr">
        <is>
          <t>2026-08-11</t>
        </is>
      </c>
      <c r="H26" s="4">
        <f>IF(A29="","",IF(COUNTIF(Collection!$B$5:$B$500,A29)&gt;0,"Yes","No"))</f>
        <v/>
      </c>
      <c r="I26" s="19" t="inlineStr">
        <is>
          <t>Strong fit with your taste for intense, acclaimed dramas.</t>
        </is>
      </c>
    </row>
    <row r="27" ht="15.75" customHeight="1" s="108">
      <c r="A27" s="21" t="inlineStr">
        <is>
          <t>The Social Network</t>
        </is>
      </c>
      <c r="B27" s="21" t="inlineStr">
        <is>
          <t>Recommended</t>
        </is>
      </c>
      <c r="C27" s="21" t="n">
        <v>3</v>
      </c>
      <c r="D27" s="22" t="n"/>
      <c r="E27" s="22" t="n"/>
      <c r="F27" s="21" t="n"/>
      <c r="G27" s="23" t="n"/>
      <c r="H27" s="4">
        <f>IF(A30="","",IF(COUNTIF(Collection!$B$5:$B$500,A30)&gt;0,"Yes","No"))</f>
        <v/>
      </c>
      <c r="I27" s="19" t="inlineStr">
        <is>
          <t>Sharp modern classic; fits alongside Fincher, prestige drama and biopics in your collection.</t>
        </is>
      </c>
    </row>
    <row r="28" ht="15.75" customHeight="1" s="108">
      <c r="A28" s="21" t="inlineStr">
        <is>
          <t>Arrival</t>
        </is>
      </c>
      <c r="B28" s="21" t="inlineStr">
        <is>
          <t>Recommended</t>
        </is>
      </c>
      <c r="C28" s="21" t="n">
        <v>3</v>
      </c>
      <c r="D28" s="22" t="n"/>
      <c r="E28" s="22" t="n"/>
      <c r="F28" s="21" t="n"/>
      <c r="G28" s="23" t="n"/>
      <c r="H28" s="4">
        <f>IF(A31="","",IF(COUNTIF(Collection!$B$5:$B$500,A31)&gt;0,"Yes","No"))</f>
        <v/>
      </c>
      <c r="I28" s="19" t="inlineStr">
        <is>
          <t>Smart sci-fi that should land well if you like Interstellar, Inception and District 9.</t>
        </is>
      </c>
    </row>
    <row r="29" ht="15.75" customHeight="1" s="108">
      <c r="A29" s="4" t="inlineStr">
        <is>
          <t>Sicario</t>
        </is>
      </c>
      <c r="B29" s="4" t="inlineStr">
        <is>
          <t>Recommended</t>
        </is>
      </c>
      <c r="C29" s="4" t="n">
        <v>3</v>
      </c>
      <c r="D29" s="49" t="n"/>
      <c r="E29" s="49" t="n"/>
      <c r="F29" s="4" t="n"/>
      <c r="G29" s="51" t="n"/>
      <c r="H29" s="4">
        <f>IF(A36="","",IF(COUNTIF(Collection!$B$5:$B$500,A36)&gt;0,"Yes","No"))</f>
        <v/>
      </c>
      <c r="I29" s="19" t="inlineStr">
        <is>
          <t>Tense crime thriller from Denis Villeneuve; fits Prisoners and your darker thrillers.</t>
        </is>
      </c>
    </row>
    <row r="30" ht="15.75" customHeight="1" s="108">
      <c r="A30" s="4" t="inlineStr">
        <is>
          <t>Nightcrawler</t>
        </is>
      </c>
      <c r="B30" s="4" t="inlineStr">
        <is>
          <t>Recommended</t>
        </is>
      </c>
      <c r="C30" s="4" t="n">
        <v>2</v>
      </c>
      <c r="D30" s="49" t="n"/>
      <c r="E30" s="49" t="n"/>
      <c r="F30" s="4" t="n"/>
      <c r="G30" s="51" t="n"/>
      <c r="H30" s="4">
        <f>IF(A38="","",IF(COUNTIF(Collection!$B$5:$B$500,A38)&gt;0,"Yes","No"))</f>
        <v/>
      </c>
      <c r="I30" s="19" t="inlineStr">
        <is>
          <t>Dark, slick thriller that pairs nicely with Zodiac, Se7en and Prisoners.</t>
        </is>
      </c>
    </row>
    <row r="31" ht="15.75" customHeight="1" s="108">
      <c r="A31" s="4" t="inlineStr">
        <is>
          <t>The Grand Budapest Hotel</t>
        </is>
      </c>
      <c r="B31" s="4" t="inlineStr">
        <is>
          <t>Recommended</t>
        </is>
      </c>
      <c r="C31" s="4" t="n">
        <v>2</v>
      </c>
      <c r="D31" s="49" t="n"/>
      <c r="E31" s="49" t="n"/>
      <c r="F31" s="4" t="n"/>
      <c r="G31" s="51" t="n"/>
      <c r="H31" s="4">
        <f>IF(A39="","",IF(COUNTIF(Collection!$B$5:$B$500,A39)&gt;0,"Yes","No"))</f>
        <v/>
      </c>
      <c r="I31" s="19" t="inlineStr">
        <is>
          <t>Acclaimed, distinctive and very rewatchable; broadens the prestige side of the shelf.</t>
        </is>
      </c>
    </row>
    <row r="32" ht="15.75" customHeight="1" s="108">
      <c r="A32" s="4" t="inlineStr">
        <is>
          <t>The Revenant</t>
        </is>
      </c>
      <c r="B32" s="4" t="inlineStr">
        <is>
          <t>Recommended</t>
        </is>
      </c>
      <c r="C32" s="4" t="n">
        <v>2</v>
      </c>
      <c r="D32" s="49" t="n"/>
      <c r="E32" s="49" t="n"/>
      <c r="F32" s="4" t="n"/>
      <c r="G32" s="51" t="n"/>
      <c r="H32" s="4">
        <f>IF(A40="","",IF(COUNTIF(Collection!$B$5:$B$500,A40)&gt;0,"Yes","No"))</f>
        <v/>
      </c>
      <c r="I32" s="19" t="inlineStr">
        <is>
          <t>Large-scale survival drama with strong cinematography and awards pedigree.</t>
        </is>
      </c>
    </row>
    <row r="33" ht="15.75" customHeight="1" s="108">
      <c r="A33" s="4" t="inlineStr">
        <is>
          <t>There Will Be Blood</t>
        </is>
      </c>
      <c r="B33" s="4" t="inlineStr">
        <is>
          <t>Recommended</t>
        </is>
      </c>
      <c r="C33" s="4" t="n">
        <v>4</v>
      </c>
      <c r="D33" s="49" t="n"/>
      <c r="E33" s="49" t="n">
        <v>8</v>
      </c>
      <c r="F33" s="4" t="inlineStr">
        <is>
          <t>Amazon</t>
        </is>
      </c>
      <c r="G33" s="51" t="inlineStr">
        <is>
          <t>2026-08-23</t>
        </is>
      </c>
      <c r="H33" s="4">
        <f>IF(A41="","",IF(COUNTIF(Collection!$B$5:$B$500,A41)&gt;0,"Yes","No"))</f>
        <v/>
      </c>
      <c r="I33" s="19" t="inlineStr">
        <is>
          <t>Modern classic and a strong Best Picture-era addition.</t>
        </is>
      </c>
    </row>
    <row r="34" ht="15.75" customHeight="1" s="108">
      <c r="A34" s="4" t="inlineStr">
        <is>
          <t>The Banshees of Inisherin</t>
        </is>
      </c>
      <c r="B34" s="4" t="inlineStr">
        <is>
          <t>Recommended</t>
        </is>
      </c>
      <c r="C34" s="4" t="n">
        <v>4</v>
      </c>
      <c r="D34" s="49" t="n"/>
      <c r="E34" s="49" t="n">
        <v>7</v>
      </c>
      <c r="F34" s="4" t="inlineStr">
        <is>
          <t>Amazon</t>
        </is>
      </c>
      <c r="G34" s="51" t="inlineStr">
        <is>
          <t>2026-08-23</t>
        </is>
      </c>
      <c r="H34" s="4">
        <f>IF(A42="","",IF(COUNTIF(Collection!$B$5:$B$500,A42)&gt;0,"Yes","No"))</f>
        <v/>
      </c>
      <c r="I34" s="19" t="inlineStr">
        <is>
          <t>Excellent recent awards film with dark humour.</t>
        </is>
      </c>
    </row>
    <row r="35" ht="15.75" customHeight="1" s="108">
      <c r="A35" s="4" t="inlineStr">
        <is>
          <t>The Holdovers</t>
        </is>
      </c>
      <c r="B35" s="4" t="inlineStr">
        <is>
          <t>Recommended</t>
        </is>
      </c>
      <c r="C35" s="4" t="n">
        <v>4</v>
      </c>
      <c r="D35" s="49" t="n"/>
      <c r="E35" s="49" t="n">
        <v>12</v>
      </c>
      <c r="F35" s="4" t="inlineStr">
        <is>
          <t>CEX</t>
        </is>
      </c>
      <c r="G35" s="51" t="inlineStr">
        <is>
          <t>2026-08-23</t>
        </is>
      </c>
      <c r="H35" s="4">
        <f>IF(A43="","",IF(COUNTIF(Collection!$B$5:$B$500,A43)&gt;0,"Yes","No"))</f>
        <v/>
      </c>
      <c r="I35" s="19" t="inlineStr">
        <is>
          <t>Warm, funny modern drama with a classic feel.</t>
        </is>
      </c>
    </row>
    <row r="36" ht="15.75" customHeight="1" s="108">
      <c r="A36" s="45" t="inlineStr">
        <is>
          <t>The Wolf of Wall Street</t>
        </is>
      </c>
      <c r="B36" s="45" t="inlineStr">
        <is>
          <t>Recommended</t>
        </is>
      </c>
      <c r="C36" s="45" t="n">
        <v>3</v>
      </c>
      <c r="D36" s="58" t="n"/>
      <c r="E36" s="58" t="n"/>
      <c r="F36" s="45" t="n"/>
      <c r="G36" s="60" t="n"/>
      <c r="H36" s="45">
        <f>IF(A46="","",IF(COUNTIF(Collection!$B$5:$B$500,A46)&gt;0,"Yes","No"))</f>
        <v/>
      </c>
      <c r="I36" s="63" t="inlineStr">
        <is>
          <t>If your existing copy turns out not to be in the catalogue, this is worth confirming rather than rebuying.</t>
        </is>
      </c>
    </row>
    <row r="37" ht="15.75" customHeight="1" s="108">
      <c r="A37" s="4" t="n"/>
      <c r="B37" s="4" t="n"/>
      <c r="C37" s="4" t="n"/>
      <c r="D37" s="4" t="n"/>
      <c r="E37" s="4" t="n"/>
      <c r="F37" s="4" t="n"/>
      <c r="G37" s="4" t="n"/>
      <c r="H37" s="4">
        <f>IF(A47="","",IF(COUNTIF(Collection!$B$5:$B$500,A47)&gt;0,"Yes","No"))</f>
        <v/>
      </c>
      <c r="I37" s="4" t="n"/>
    </row>
    <row r="38" ht="15.75" customHeight="1" s="108">
      <c r="A38" s="4" t="n"/>
      <c r="B38" s="4" t="n"/>
      <c r="C38" s="4" t="n"/>
      <c r="D38" s="4" t="n"/>
      <c r="E38" s="4" t="n"/>
      <c r="F38" s="4" t="n"/>
      <c r="G38" s="4" t="n"/>
      <c r="H38" s="4">
        <f>IF(A48="","",IF(COUNTIF(Collection!$B$5:$B$500,A48)&gt;0,"Yes","No"))</f>
        <v/>
      </c>
      <c r="I38" s="4" t="n"/>
    </row>
    <row r="39" ht="15.75" customHeight="1" s="108">
      <c r="A39" s="4" t="n"/>
      <c r="B39" s="4" t="n"/>
      <c r="C39" s="4" t="n"/>
      <c r="D39" s="4" t="n"/>
      <c r="E39" s="4" t="n"/>
      <c r="F39" s="4" t="n"/>
      <c r="G39" s="4" t="n"/>
      <c r="H39" s="4">
        <f>IF(A49="","",IF(COUNTIF(Collection!$B$5:$B$500,A49)&gt;0,"Yes","No"))</f>
        <v/>
      </c>
      <c r="I39" s="4" t="n"/>
    </row>
    <row r="40" ht="15.75" customHeight="1" s="108">
      <c r="A40" s="4" t="n"/>
      <c r="B40" s="4" t="n"/>
      <c r="C40" s="4" t="n"/>
      <c r="D40" s="4" t="n"/>
      <c r="E40" s="4" t="n"/>
      <c r="F40" s="4" t="n"/>
      <c r="G40" s="4" t="n"/>
      <c r="H40" s="4">
        <f>IF(A50="","",IF(COUNTIF(Collection!$B$5:$B$500,A50)&gt;0,"Yes","No"))</f>
        <v/>
      </c>
      <c r="I40" s="4" t="n"/>
    </row>
    <row r="41" ht="15.75" customHeight="1" s="108">
      <c r="A41" s="4" t="n"/>
      <c r="B41" s="4" t="n"/>
      <c r="C41" s="4" t="n"/>
      <c r="D41" s="4" t="n"/>
      <c r="E41" s="4" t="n"/>
      <c r="F41" s="4" t="n"/>
      <c r="G41" s="4" t="n"/>
      <c r="H41" s="4">
        <f>IF(A51="","",IF(COUNTIF(Collection!$B$5:$B$500,A51)&gt;0,"Yes","No"))</f>
        <v/>
      </c>
      <c r="I41" s="4" t="n"/>
    </row>
    <row r="42" ht="15.75" customHeight="1" s="108">
      <c r="A42" s="4" t="n"/>
      <c r="B42" s="4" t="n"/>
      <c r="C42" s="4" t="n"/>
      <c r="D42" s="4" t="n"/>
      <c r="E42" s="4" t="n"/>
      <c r="F42" s="4" t="n"/>
      <c r="G42" s="4" t="n"/>
      <c r="H42" s="4">
        <f>IF(A52="","",IF(COUNTIF(Collection!$B$5:$B$500,A52)&gt;0,"Yes","No"))</f>
        <v/>
      </c>
      <c r="I42" s="4" t="n"/>
    </row>
    <row r="43" ht="15.75" customHeight="1" s="108">
      <c r="A43" s="4" t="n"/>
      <c r="B43" s="4" t="n"/>
      <c r="C43" s="4" t="n"/>
      <c r="D43" s="4" t="n"/>
      <c r="E43" s="4" t="n"/>
      <c r="F43" s="4" t="n"/>
      <c r="G43" s="4" t="n"/>
      <c r="H43" s="4">
        <f>IF(A53="","",IF(COUNTIF(Collection!$B$5:$B$500,A53)&gt;0,"Yes","No"))</f>
        <v/>
      </c>
      <c r="I43" s="4" t="n"/>
    </row>
    <row r="44" ht="15.75" customHeight="1" s="108">
      <c r="A44" s="4" t="n"/>
      <c r="B44" s="4" t="n"/>
      <c r="C44" s="4" t="n"/>
      <c r="D44" s="4" t="n"/>
      <c r="E44" s="4" t="n"/>
      <c r="F44" s="4" t="n"/>
      <c r="G44" s="4" t="n"/>
      <c r="H44" s="4">
        <f>IF(A54="","",IF(COUNTIF(Collection!$B$5:$B$500,A54)&gt;0,"Yes","No"))</f>
        <v/>
      </c>
      <c r="I44" s="4" t="n"/>
    </row>
    <row r="45" ht="15.75" customHeight="1" s="108">
      <c r="A45" s="4" t="n"/>
      <c r="B45" s="4" t="n"/>
      <c r="C45" s="4" t="n"/>
      <c r="D45" s="4" t="n"/>
      <c r="E45" s="4" t="n"/>
      <c r="F45" s="4" t="n"/>
      <c r="G45" s="4" t="n"/>
      <c r="H45" s="4">
        <f>IF(A55="","",IF(COUNTIF(Collection!$B$5:$B$500,A55)&gt;0,"Yes","No"))</f>
        <v/>
      </c>
      <c r="I45" s="4" t="n"/>
    </row>
    <row r="46" ht="15.75" customHeight="1" s="108">
      <c r="A46" s="4" t="n"/>
      <c r="B46" s="4" t="n"/>
      <c r="C46" s="4" t="n"/>
      <c r="D46" s="4" t="n"/>
      <c r="E46" s="4" t="n"/>
      <c r="F46" s="4" t="n"/>
      <c r="G46" s="4" t="n"/>
      <c r="H46" s="4">
        <f>IF(A56="","",IF(COUNTIF(Collection!$B$5:$B$500,A56)&gt;0,"Yes","No"))</f>
        <v/>
      </c>
      <c r="I46" s="4" t="n"/>
    </row>
    <row r="47" ht="15.75" customHeight="1" s="108">
      <c r="A47" s="4" t="n"/>
      <c r="B47" s="4" t="n"/>
      <c r="C47" s="4" t="n"/>
      <c r="D47" s="4" t="n"/>
      <c r="E47" s="4" t="n"/>
      <c r="F47" s="4" t="n"/>
      <c r="G47" s="4" t="n"/>
      <c r="H47" s="4">
        <f>IF(A57="","",IF(COUNTIF(Collection!$B$5:$B$500,A57)&gt;0,"Yes","No"))</f>
        <v/>
      </c>
      <c r="I47" s="4" t="n"/>
    </row>
    <row r="48" ht="15.75" customHeight="1" s="108">
      <c r="A48" s="4" t="n"/>
      <c r="B48" s="4" t="n"/>
      <c r="C48" s="4" t="n"/>
      <c r="D48" s="4" t="n"/>
      <c r="E48" s="4" t="n"/>
      <c r="F48" s="4" t="n"/>
      <c r="G48" s="4" t="n"/>
      <c r="H48" s="4">
        <f>IF(A58="","",IF(COUNTIF(Collection!$B$5:$B$500,A58)&gt;0,"Yes","No"))</f>
        <v/>
      </c>
      <c r="I48" s="4" t="n"/>
    </row>
    <row r="49" ht="15.75" customHeight="1" s="108">
      <c r="A49" s="4" t="n"/>
      <c r="B49" s="4" t="n"/>
      <c r="C49" s="4" t="n"/>
      <c r="D49" s="4" t="n"/>
      <c r="E49" s="4" t="n"/>
      <c r="F49" s="4" t="n"/>
      <c r="G49" s="4" t="n"/>
      <c r="H49" s="4">
        <f>IF(A59="","",IF(COUNTIF(Collection!$B$5:$B$500,A59)&gt;0,"Yes","No"))</f>
        <v/>
      </c>
      <c r="I49" s="4" t="n"/>
    </row>
    <row r="50" ht="15.75" customHeight="1" s="108">
      <c r="A50" s="4" t="n"/>
      <c r="B50" s="4" t="n"/>
      <c r="C50" s="4" t="n"/>
      <c r="D50" s="4" t="n"/>
      <c r="E50" s="4" t="n"/>
      <c r="F50" s="4" t="n"/>
      <c r="G50" s="4" t="n"/>
      <c r="H50" s="4">
        <f>IF(A60="","",IF(COUNTIF(Collection!$B$5:$B$500,A60)&gt;0,"Yes","No"))</f>
        <v/>
      </c>
      <c r="I50" s="4" t="n"/>
    </row>
    <row r="51" ht="15.75" customHeight="1" s="108">
      <c r="A51" s="4" t="n"/>
      <c r="B51" s="4" t="n"/>
      <c r="C51" s="4" t="n"/>
      <c r="D51" s="4" t="n"/>
      <c r="E51" s="4" t="n"/>
      <c r="F51" s="4" t="n"/>
      <c r="G51" s="4" t="n"/>
      <c r="H51" s="4">
        <f>IF(A61="","",IF(COUNTIF(Collection!$B$5:$B$500,A61)&gt;0,"Yes","No"))</f>
        <v/>
      </c>
      <c r="I51" s="4" t="n"/>
    </row>
    <row r="52" ht="15.75" customHeight="1" s="108">
      <c r="A52" s="4" t="n"/>
      <c r="B52" s="4" t="n"/>
      <c r="C52" s="4" t="n"/>
      <c r="D52" s="4" t="n"/>
      <c r="E52" s="4" t="n"/>
      <c r="F52" s="4" t="n"/>
      <c r="G52" s="4" t="n"/>
      <c r="H52" s="4">
        <f>IF(A62="","",IF(COUNTIF(Collection!$B$5:$B$500,A62)&gt;0,"Yes","No"))</f>
        <v/>
      </c>
      <c r="I52" s="4" t="n"/>
    </row>
    <row r="53" ht="15.75" customHeight="1" s="108">
      <c r="A53" s="4" t="n"/>
      <c r="B53" s="4" t="n"/>
      <c r="C53" s="4" t="n"/>
      <c r="D53" s="4" t="n"/>
      <c r="E53" s="4" t="n"/>
      <c r="F53" s="4" t="n"/>
      <c r="G53" s="4" t="n"/>
      <c r="H53" s="4">
        <f>IF(A63="","",IF(COUNTIF(Collection!$B$5:$B$500,A63)&gt;0,"Yes","No"))</f>
        <v/>
      </c>
      <c r="I53" s="4" t="n"/>
    </row>
    <row r="54" ht="15.75" customHeight="1" s="108">
      <c r="A54" s="4" t="n"/>
      <c r="B54" s="4" t="n"/>
      <c r="C54" s="4" t="n"/>
      <c r="D54" s="4" t="n"/>
      <c r="E54" s="4" t="n"/>
      <c r="F54" s="4" t="n"/>
      <c r="G54" s="4" t="n"/>
      <c r="H54" s="4">
        <f>IF(A64="","",IF(COUNTIF(Collection!$B$5:$B$500,A64)&gt;0,"Yes","No"))</f>
        <v/>
      </c>
      <c r="I54" s="4" t="n"/>
    </row>
    <row r="55" ht="15.75" customHeight="1" s="108">
      <c r="A55" s="4" t="n"/>
      <c r="B55" s="4" t="n"/>
      <c r="C55" s="4" t="n"/>
      <c r="D55" s="4" t="n"/>
      <c r="E55" s="4" t="n"/>
      <c r="F55" s="4" t="n"/>
      <c r="G55" s="4" t="n"/>
      <c r="H55" s="4">
        <f>IF(A65="","",IF(COUNTIF(Collection!$B$5:$B$500,A65)&gt;0,"Yes","No"))</f>
        <v/>
      </c>
      <c r="I55" s="4" t="n"/>
    </row>
    <row r="56" ht="15.75" customHeight="1" s="108">
      <c r="A56" s="4" t="n"/>
      <c r="B56" s="4" t="n"/>
      <c r="C56" s="4" t="n"/>
      <c r="D56" s="4" t="n"/>
      <c r="E56" s="4" t="n"/>
      <c r="F56" s="4" t="n"/>
      <c r="G56" s="4" t="n"/>
      <c r="H56" s="4">
        <f>IF(A66="","",IF(COUNTIF(Collection!$B$5:$B$500,A66)&gt;0,"Yes","No"))</f>
        <v/>
      </c>
      <c r="I56" s="4" t="n"/>
    </row>
    <row r="57" ht="15.75" customHeight="1" s="108">
      <c r="A57" s="4" t="n"/>
      <c r="B57" s="4" t="n"/>
      <c r="C57" s="4" t="n"/>
      <c r="D57" s="4" t="n"/>
      <c r="E57" s="4" t="n"/>
      <c r="F57" s="4" t="n"/>
      <c r="G57" s="4" t="n"/>
      <c r="H57" s="4">
        <f>IF(A67="","",IF(COUNTIF(Collection!$B$5:$B$500,A67)&gt;0,"Yes","No"))</f>
        <v/>
      </c>
      <c r="I57" s="4" t="n"/>
    </row>
    <row r="58" ht="15.75" customHeight="1" s="108">
      <c r="A58" s="4" t="n"/>
      <c r="B58" s="4" t="n"/>
      <c r="C58" s="4" t="n"/>
      <c r="D58" s="4" t="n"/>
      <c r="E58" s="4" t="n"/>
      <c r="F58" s="4" t="n"/>
      <c r="G58" s="4" t="n"/>
      <c r="H58" s="4">
        <f>IF(A68="","",IF(COUNTIF(Collection!$B$5:$B$500,A68)&gt;0,"Yes","No"))</f>
        <v/>
      </c>
      <c r="I58" s="4" t="n"/>
    </row>
    <row r="59" ht="15.75" customHeight="1" s="108">
      <c r="A59" s="4" t="n"/>
      <c r="B59" s="4" t="n"/>
      <c r="C59" s="4" t="n"/>
      <c r="D59" s="4" t="n"/>
      <c r="E59" s="4" t="n"/>
      <c r="F59" s="4" t="n"/>
      <c r="G59" s="4" t="n"/>
      <c r="H59" s="4">
        <f>IF(A69="","",IF(COUNTIF(Collection!$B$5:$B$500,A69)&gt;0,"Yes","No"))</f>
        <v/>
      </c>
      <c r="I59" s="4" t="n"/>
    </row>
    <row r="60" ht="15.75" customHeight="1" s="108">
      <c r="A60" s="4" t="n"/>
      <c r="B60" s="4" t="n"/>
      <c r="C60" s="4" t="n"/>
      <c r="D60" s="4" t="n"/>
      <c r="E60" s="4" t="n"/>
      <c r="F60" s="4" t="n"/>
      <c r="G60" s="4" t="n"/>
      <c r="H60" s="4">
        <f>IF(A70="","",IF(COUNTIF(Collection!$B$5:$B$500,A70)&gt;0,"Yes","No"))</f>
        <v/>
      </c>
      <c r="I60" s="4" t="n"/>
    </row>
    <row r="61" ht="15.75" customHeight="1" s="108">
      <c r="A61" s="4" t="n"/>
      <c r="B61" s="4" t="n"/>
      <c r="C61" s="4" t="n"/>
      <c r="D61" s="4" t="n"/>
      <c r="E61" s="4" t="n"/>
      <c r="F61" s="4" t="n"/>
      <c r="G61" s="4" t="n"/>
      <c r="H61" s="4">
        <f>IF(A71="","",IF(COUNTIF(Collection!$B$5:$B$500,A71)&gt;0,"Yes","No"))</f>
        <v/>
      </c>
      <c r="I61" s="4" t="n"/>
    </row>
    <row r="62" ht="15.75" customHeight="1" s="108">
      <c r="A62" s="4" t="n"/>
      <c r="B62" s="4" t="n"/>
      <c r="C62" s="4" t="n"/>
      <c r="D62" s="4" t="n"/>
      <c r="E62" s="4" t="n"/>
      <c r="F62" s="4" t="n"/>
      <c r="G62" s="4" t="n"/>
      <c r="H62" s="4">
        <f>IF(A72="","",IF(COUNTIF(Collection!$B$5:$B$500,A72)&gt;0,"Yes","No"))</f>
        <v/>
      </c>
      <c r="I62" s="4" t="n"/>
    </row>
    <row r="63" ht="15.75" customHeight="1" s="108">
      <c r="A63" s="4" t="n"/>
      <c r="B63" s="4" t="n"/>
      <c r="C63" s="4" t="n"/>
      <c r="D63" s="4" t="n"/>
      <c r="E63" s="4" t="n"/>
      <c r="F63" s="4" t="n"/>
      <c r="G63" s="4" t="n"/>
      <c r="H63" s="4">
        <f>IF(A73="","",IF(COUNTIF(Collection!$B$5:$B$500,A73)&gt;0,"Yes","No"))</f>
        <v/>
      </c>
      <c r="I63" s="4" t="n"/>
    </row>
    <row r="64" ht="15.75" customHeight="1" s="108">
      <c r="A64" s="4" t="n"/>
      <c r="B64" s="4" t="n"/>
      <c r="C64" s="4" t="n"/>
      <c r="D64" s="4" t="n"/>
      <c r="E64" s="4" t="n"/>
      <c r="F64" s="4" t="n"/>
      <c r="G64" s="4" t="n"/>
      <c r="H64" s="4">
        <f>IF(A74="","",IF(COUNTIF(Collection!$B$5:$B$500,A74)&gt;0,"Yes","No"))</f>
        <v/>
      </c>
      <c r="I64" s="4" t="n"/>
    </row>
    <row r="65" ht="15.75" customHeight="1" s="108">
      <c r="A65" s="4" t="n"/>
      <c r="B65" s="4" t="n"/>
      <c r="C65" s="4" t="n"/>
      <c r="D65" s="4" t="n"/>
      <c r="E65" s="4" t="n"/>
      <c r="F65" s="4" t="n"/>
      <c r="G65" s="4" t="n"/>
      <c r="H65" s="4">
        <f>IF(A75="","",IF(COUNTIF(Collection!$B$5:$B$500,A75)&gt;0,"Yes","No"))</f>
        <v/>
      </c>
      <c r="I65" s="4" t="n"/>
    </row>
    <row r="66" ht="15.75" customHeight="1" s="108">
      <c r="A66" s="4" t="n"/>
      <c r="B66" s="4" t="n"/>
      <c r="C66" s="4" t="n"/>
      <c r="D66" s="4" t="n"/>
      <c r="E66" s="4" t="n"/>
      <c r="F66" s="4" t="n"/>
      <c r="G66" s="4" t="n"/>
      <c r="H66" s="4">
        <f>IF(A76="","",IF(COUNTIF(Collection!$B$5:$B$500,A76)&gt;0,"Yes","No"))</f>
        <v/>
      </c>
      <c r="I66" s="4" t="n"/>
    </row>
    <row r="67" ht="15.75" customHeight="1" s="108">
      <c r="A67" s="4" t="n"/>
      <c r="B67" s="4" t="n"/>
      <c r="C67" s="4" t="n"/>
      <c r="D67" s="4" t="n"/>
      <c r="E67" s="4" t="n"/>
      <c r="F67" s="4" t="n"/>
      <c r="G67" s="4" t="n"/>
      <c r="H67" s="4">
        <f>IF(A77="","",IF(COUNTIF(Collection!$B$5:$B$500,A77)&gt;0,"Yes","No"))</f>
        <v/>
      </c>
      <c r="I67" s="4" t="n"/>
    </row>
    <row r="68" ht="15.75" customHeight="1" s="108">
      <c r="A68" s="4" t="n"/>
      <c r="B68" s="4" t="n"/>
      <c r="C68" s="4" t="n"/>
      <c r="D68" s="4" t="n"/>
      <c r="E68" s="4" t="n"/>
      <c r="F68" s="4" t="n"/>
      <c r="G68" s="4" t="n"/>
      <c r="H68" s="4">
        <f>IF(A78="","",IF(COUNTIF(Collection!$B$5:$B$500,A78)&gt;0,"Yes","No"))</f>
        <v/>
      </c>
      <c r="I68" s="4" t="n"/>
    </row>
    <row r="69" ht="15.75" customHeight="1" s="108">
      <c r="A69" s="4" t="n"/>
      <c r="B69" s="4" t="n"/>
      <c r="C69" s="4" t="n"/>
      <c r="D69" s="4" t="n"/>
      <c r="E69" s="4" t="n"/>
      <c r="F69" s="4" t="n"/>
      <c r="G69" s="4" t="n"/>
      <c r="H69" s="4">
        <f>IF(A79="","",IF(COUNTIF(Collection!$B$5:$B$500,A79)&gt;0,"Yes","No"))</f>
        <v/>
      </c>
      <c r="I69" s="4" t="n"/>
    </row>
    <row r="70" ht="15.75" customHeight="1" s="108">
      <c r="A70" s="4" t="n"/>
      <c r="B70" s="4" t="n"/>
      <c r="C70" s="4" t="n"/>
      <c r="D70" s="4" t="n"/>
      <c r="E70" s="4" t="n"/>
      <c r="F70" s="4" t="n"/>
      <c r="G70" s="4" t="n"/>
      <c r="H70" s="4">
        <f>IF(A80="","",IF(COUNTIF(Collection!$B$5:$B$500,A80)&gt;0,"Yes","No"))</f>
        <v/>
      </c>
      <c r="I70" s="4" t="n"/>
    </row>
    <row r="71" ht="15.75" customHeight="1" s="108">
      <c r="A71" s="4" t="n"/>
      <c r="B71" s="4" t="n"/>
      <c r="C71" s="4" t="n"/>
      <c r="D71" s="4" t="n"/>
      <c r="E71" s="4" t="n"/>
      <c r="F71" s="4" t="n"/>
      <c r="G71" s="4" t="n"/>
      <c r="H71" s="4">
        <f>IF(A81="","",IF(COUNTIF(Collection!$B$5:$B$500,A81)&gt;0,"Yes","No"))</f>
        <v/>
      </c>
      <c r="I71" s="4" t="n"/>
    </row>
    <row r="72" ht="15.75" customHeight="1" s="108">
      <c r="A72" s="4" t="n"/>
      <c r="B72" s="4" t="n"/>
      <c r="C72" s="4" t="n"/>
      <c r="D72" s="4" t="n"/>
      <c r="E72" s="4" t="n"/>
      <c r="F72" s="4" t="n"/>
      <c r="G72" s="4" t="n"/>
      <c r="H72" s="4">
        <f>IF(A82="","",IF(COUNTIF(Collection!$B$5:$B$500,A82)&gt;0,"Yes","No"))</f>
        <v/>
      </c>
      <c r="I72" s="4" t="n"/>
    </row>
    <row r="73" ht="15.75" customHeight="1" s="108">
      <c r="A73" s="4" t="n"/>
      <c r="B73" s="4" t="n"/>
      <c r="C73" s="4" t="n"/>
      <c r="D73" s="4" t="n"/>
      <c r="E73" s="4" t="n"/>
      <c r="F73" s="4" t="n"/>
      <c r="G73" s="4" t="n"/>
      <c r="H73" s="4">
        <f>IF(A83="","",IF(COUNTIF(Collection!$B$5:$B$500,A83)&gt;0,"Yes","No"))</f>
        <v/>
      </c>
      <c r="I73" s="4" t="n"/>
    </row>
    <row r="74" ht="15.75" customHeight="1" s="108">
      <c r="A74" s="4" t="n"/>
      <c r="B74" s="4" t="n"/>
      <c r="C74" s="4" t="n"/>
      <c r="D74" s="4" t="n"/>
      <c r="E74" s="4" t="n"/>
      <c r="F74" s="4" t="n"/>
      <c r="G74" s="4" t="n"/>
      <c r="H74" s="4">
        <f>IF(A84="","",IF(COUNTIF(Collection!$B$5:$B$500,A84)&gt;0,"Yes","No"))</f>
        <v/>
      </c>
      <c r="I74" s="4" t="n"/>
    </row>
    <row r="75" ht="15.75" customHeight="1" s="108">
      <c r="A75" s="4" t="n"/>
      <c r="B75" s="4" t="n"/>
      <c r="C75" s="4" t="n"/>
      <c r="D75" s="4" t="n"/>
      <c r="E75" s="4" t="n"/>
      <c r="F75" s="4" t="n"/>
      <c r="G75" s="4" t="n"/>
      <c r="H75" s="4">
        <f>IF(A85="","",IF(COUNTIF(Collection!$B$5:$B$500,A85)&gt;0,"Yes","No"))</f>
        <v/>
      </c>
      <c r="I75" s="4" t="n"/>
    </row>
    <row r="76" ht="15.75" customHeight="1" s="108">
      <c r="A76" s="4" t="n"/>
      <c r="B76" s="4" t="n"/>
      <c r="C76" s="4" t="n"/>
      <c r="D76" s="4" t="n"/>
      <c r="E76" s="4" t="n"/>
      <c r="F76" s="4" t="n"/>
      <c r="G76" s="4" t="n"/>
      <c r="H76" s="4">
        <f>IF(A86="","",IF(COUNTIF(Collection!$B$5:$B$500,A86)&gt;0,"Yes","No"))</f>
        <v/>
      </c>
      <c r="I76" s="4" t="n"/>
    </row>
    <row r="77" ht="15.75" customHeight="1" s="108">
      <c r="A77" s="4" t="n"/>
      <c r="B77" s="4" t="n"/>
      <c r="C77" s="4" t="n"/>
      <c r="D77" s="4" t="n"/>
      <c r="E77" s="4" t="n"/>
      <c r="F77" s="4" t="n"/>
      <c r="G77" s="4" t="n"/>
      <c r="H77" s="4">
        <f>IF(A87="","",IF(COUNTIF(Collection!$B$5:$B$500,A87)&gt;0,"Yes","No"))</f>
        <v/>
      </c>
      <c r="I77" s="4" t="n"/>
    </row>
    <row r="78" ht="15.75" customHeight="1" s="108">
      <c r="A78" s="4" t="n"/>
      <c r="B78" s="4" t="n"/>
      <c r="C78" s="4" t="n"/>
      <c r="D78" s="4" t="n"/>
      <c r="E78" s="4" t="n"/>
      <c r="F78" s="4" t="n"/>
      <c r="G78" s="4" t="n"/>
      <c r="H78" s="4">
        <f>IF(A88="","",IF(COUNTIF(Collection!$B$5:$B$500,A88)&gt;0,"Yes","No"))</f>
        <v/>
      </c>
      <c r="I78" s="4" t="n"/>
    </row>
    <row r="79" ht="15.75" customHeight="1" s="108">
      <c r="A79" s="4" t="n"/>
      <c r="B79" s="4" t="n"/>
      <c r="C79" s="4" t="n"/>
      <c r="D79" s="4" t="n"/>
      <c r="E79" s="4" t="n"/>
      <c r="F79" s="4" t="n"/>
      <c r="G79" s="4" t="n"/>
      <c r="H79" s="4">
        <f>IF(A89="","",IF(COUNTIF(Collection!$B$5:$B$500,A89)&gt;0,"Yes","No"))</f>
        <v/>
      </c>
      <c r="I79" s="4" t="n"/>
    </row>
    <row r="80" ht="15.75" customHeight="1" s="108">
      <c r="A80" s="4" t="n"/>
      <c r="B80" s="4" t="n"/>
      <c r="C80" s="4" t="n"/>
      <c r="D80" s="4" t="n"/>
      <c r="E80" s="4" t="n"/>
      <c r="F80" s="4" t="n"/>
      <c r="G80" s="4" t="n"/>
      <c r="H80" s="4">
        <f>IF(A90="","",IF(COUNTIF(Collection!$B$5:$B$500,A90)&gt;0,"Yes","No"))</f>
        <v/>
      </c>
      <c r="I80" s="4" t="n"/>
    </row>
    <row r="81" ht="15.75" customHeight="1" s="108">
      <c r="A81" s="4" t="n"/>
      <c r="B81" s="4" t="n"/>
      <c r="C81" s="4" t="n"/>
      <c r="D81" s="4" t="n"/>
      <c r="E81" s="4" t="n"/>
      <c r="F81" s="4" t="n"/>
      <c r="G81" s="4" t="n"/>
      <c r="H81" s="4">
        <f>IF(A91="","",IF(COUNTIF(Collection!$B$5:$B$500,A91)&gt;0,"Yes","No"))</f>
        <v/>
      </c>
      <c r="I81" s="4" t="n"/>
    </row>
    <row r="82" ht="15.75" customHeight="1" s="108">
      <c r="A82" s="4" t="n"/>
      <c r="B82" s="4" t="n"/>
      <c r="C82" s="4" t="n"/>
      <c r="D82" s="4" t="n"/>
      <c r="E82" s="4" t="n"/>
      <c r="F82" s="4" t="n"/>
      <c r="G82" s="4" t="n"/>
      <c r="H82" s="4">
        <f>IF(A92="","",IF(COUNTIF(Collection!$B$5:$B$500,A92)&gt;0,"Yes","No"))</f>
        <v/>
      </c>
      <c r="I82" s="4" t="n"/>
    </row>
    <row r="83" ht="15.75" customHeight="1" s="108">
      <c r="A83" s="4" t="n"/>
      <c r="B83" s="4" t="n"/>
      <c r="C83" s="4" t="n"/>
      <c r="D83" s="4" t="n"/>
      <c r="E83" s="4" t="n"/>
      <c r="F83" s="4" t="n"/>
      <c r="G83" s="4" t="n"/>
      <c r="H83" s="4">
        <f>IF(A93="","",IF(COUNTIF(Collection!$B$5:$B$500,A93)&gt;0,"Yes","No"))</f>
        <v/>
      </c>
      <c r="I83" s="4" t="n"/>
    </row>
    <row r="84" ht="15.75" customHeight="1" s="108">
      <c r="A84" s="4" t="n"/>
      <c r="B84" s="4" t="n"/>
      <c r="C84" s="4" t="n"/>
      <c r="D84" s="4" t="n"/>
      <c r="E84" s="4" t="n"/>
      <c r="F84" s="4" t="n"/>
      <c r="G84" s="4" t="n"/>
      <c r="H84" s="4">
        <f>IF(A94="","",IF(COUNTIF(Collection!$B$5:$B$500,A94)&gt;0,"Yes","No"))</f>
        <v/>
      </c>
      <c r="I84" s="4" t="n"/>
    </row>
    <row r="85" ht="15.75" customHeight="1" s="108">
      <c r="A85" s="4" t="n"/>
      <c r="B85" s="4" t="n"/>
      <c r="C85" s="4" t="n"/>
      <c r="D85" s="4" t="n"/>
      <c r="E85" s="4" t="n"/>
      <c r="F85" s="4" t="n"/>
      <c r="G85" s="4" t="n"/>
      <c r="H85" s="4">
        <f>IF(A95="","",IF(COUNTIF(Collection!$B$5:$B$500,A95)&gt;0,"Yes","No"))</f>
        <v/>
      </c>
      <c r="I85" s="4" t="n"/>
    </row>
    <row r="86" ht="15.75" customHeight="1" s="108">
      <c r="A86" s="4" t="n"/>
      <c r="B86" s="4" t="n"/>
      <c r="C86" s="4" t="n"/>
      <c r="D86" s="4" t="n"/>
      <c r="E86" s="4" t="n"/>
      <c r="F86" s="4" t="n"/>
      <c r="G86" s="4" t="n"/>
      <c r="H86" s="4">
        <f>IF(A96="","",IF(COUNTIF(Collection!$B$5:$B$500,A96)&gt;0,"Yes","No"))</f>
        <v/>
      </c>
      <c r="I86" s="4" t="n"/>
    </row>
    <row r="87" ht="15.75" customHeight="1" s="108">
      <c r="A87" s="4" t="n"/>
      <c r="B87" s="4" t="n"/>
      <c r="C87" s="4" t="n"/>
      <c r="D87" s="4" t="n"/>
      <c r="E87" s="4" t="n"/>
      <c r="F87" s="4" t="n"/>
      <c r="G87" s="4" t="n"/>
      <c r="H87" s="4">
        <f>IF(A97="","",IF(COUNTIF(Collection!$B$5:$B$500,A97)&gt;0,"Yes","No"))</f>
        <v/>
      </c>
      <c r="I87" s="4" t="n"/>
    </row>
    <row r="88" ht="15.75" customHeight="1" s="108">
      <c r="A88" s="4" t="n"/>
      <c r="B88" s="4" t="n"/>
      <c r="C88" s="4" t="n"/>
      <c r="D88" s="4" t="n"/>
      <c r="E88" s="4" t="n"/>
      <c r="F88" s="4" t="n"/>
      <c r="G88" s="4" t="n"/>
      <c r="H88" s="4" t="n"/>
      <c r="I88" s="4" t="n"/>
    </row>
    <row r="89" ht="15.75" customHeight="1" s="108">
      <c r="A89" s="4" t="n"/>
      <c r="B89" s="4" t="n"/>
      <c r="C89" s="4" t="n"/>
      <c r="D89" s="4" t="n"/>
      <c r="E89" s="4" t="n"/>
      <c r="F89" s="4" t="n"/>
      <c r="G89" s="4" t="n"/>
      <c r="H89" s="4" t="n"/>
      <c r="I89" s="4" t="n"/>
    </row>
    <row r="90" ht="15.75" customHeight="1" s="108">
      <c r="A90" s="4" t="n"/>
      <c r="B90" s="4" t="n"/>
      <c r="C90" s="4" t="n"/>
      <c r="D90" s="4" t="n"/>
      <c r="E90" s="4" t="n"/>
      <c r="F90" s="4" t="n"/>
      <c r="G90" s="4" t="n"/>
      <c r="H90" s="4" t="n"/>
      <c r="I90" s="4" t="n"/>
    </row>
    <row r="91" ht="15.75" customHeight="1" s="108">
      <c r="A91" s="18" t="inlineStr">
        <is>
          <t>Pulp Fiction</t>
        </is>
      </c>
      <c r="B91" s="4" t="n"/>
      <c r="C91" s="18" t="n">
        <v>2</v>
      </c>
      <c r="D91" s="18" t="n">
        <v>8</v>
      </c>
      <c r="E91" s="4" t="n"/>
      <c r="F91" s="4" t="n"/>
      <c r="G91" s="4" t="n"/>
      <c r="H91" s="18" t="inlineStr">
        <is>
          <t>No</t>
        </is>
      </c>
      <c r="I91" s="4" t="n"/>
    </row>
    <row r="92" ht="15.75" customHeight="1" s="108">
      <c r="A92" s="18" t="inlineStr">
        <is>
          <t>Jumanji</t>
        </is>
      </c>
      <c r="B92" s="4" t="n"/>
      <c r="C92" s="18" t="n">
        <v>3</v>
      </c>
      <c r="D92" s="4" t="n"/>
      <c r="E92" s="4" t="n"/>
      <c r="F92" s="4" t="n"/>
      <c r="G92" s="4" t="n"/>
      <c r="H92" s="18" t="inlineStr">
        <is>
          <t>No</t>
        </is>
      </c>
      <c r="I92" s="4" t="n"/>
    </row>
    <row r="93" ht="15.75" customHeight="1" s="108">
      <c r="A93" s="18" t="inlineStr">
        <is>
          <t>Pirates of the Caribbean: Dead Men Tell No Tales</t>
        </is>
      </c>
      <c r="B93" s="4" t="n"/>
      <c r="C93" s="18" t="n">
        <v>3</v>
      </c>
      <c r="D93" s="4" t="n"/>
      <c r="E93" s="4" t="n"/>
      <c r="F93" s="4" t="n"/>
      <c r="G93" s="4" t="n"/>
      <c r="H93" s="18" t="inlineStr">
        <is>
          <t>No</t>
        </is>
      </c>
      <c r="I93" s="4" t="n"/>
    </row>
    <row r="94" ht="15.75" customHeight="1" s="108">
      <c r="A94" s="18" t="inlineStr">
        <is>
          <t>Pirates of the Caribbean: Dead Man's Chest</t>
        </is>
      </c>
      <c r="B94" s="4" t="n"/>
      <c r="C94" s="18" t="n">
        <v>3</v>
      </c>
      <c r="D94" s="4" t="n"/>
      <c r="E94" s="4" t="n"/>
      <c r="F94" s="4" t="n"/>
      <c r="G94" s="4" t="n"/>
      <c r="H94" s="18" t="inlineStr">
        <is>
          <t>No</t>
        </is>
      </c>
      <c r="I94" s="4" t="n"/>
    </row>
    <row r="95" ht="15.75" customHeight="1" s="108">
      <c r="A95" s="18" t="inlineStr">
        <is>
          <t>Napoleon Dynamite</t>
        </is>
      </c>
      <c r="B95" s="4" t="n"/>
      <c r="C95" s="18" t="n">
        <v>3</v>
      </c>
      <c r="D95" s="4" t="n"/>
      <c r="E95" s="4" t="n"/>
      <c r="F95" s="4" t="n"/>
      <c r="G95" s="4" t="n"/>
      <c r="H95" s="18" t="inlineStr">
        <is>
          <t>No</t>
        </is>
      </c>
      <c r="I95" s="4" t="n"/>
    </row>
    <row r="96" ht="15.75" customHeight="1" s="108">
      <c r="B96" s="4" t="n"/>
      <c r="D96" s="4" t="n"/>
      <c r="E96" s="4" t="n"/>
      <c r="F96" s="4" t="n"/>
      <c r="G96" s="4" t="n"/>
      <c r="I96" s="4" t="n"/>
    </row>
    <row r="97" ht="15.75" customHeight="1" s="108">
      <c r="B97" s="4" t="n"/>
      <c r="D97" s="4" t="n"/>
      <c r="E97" s="4" t="n"/>
      <c r="F97" s="4" t="n"/>
      <c r="G97" s="4" t="n"/>
      <c r="I97" s="4" t="n"/>
    </row>
    <row r="98" ht="15.75" customHeight="1" s="108">
      <c r="B98" s="4" t="n"/>
      <c r="D98" s="4" t="n"/>
      <c r="E98" s="4" t="n"/>
      <c r="F98" s="4" t="n"/>
      <c r="G98" s="4" t="n"/>
      <c r="I98" s="4" t="n"/>
    </row>
    <row r="99" ht="15.75" customHeight="1" s="108">
      <c r="B99" s="4" t="n"/>
      <c r="D99" s="4" t="n"/>
      <c r="E99" s="4" t="n"/>
      <c r="F99" s="4" t="n"/>
      <c r="G99" s="4" t="n"/>
      <c r="I99" s="4" t="n"/>
    </row>
    <row r="100" ht="15.75" customHeight="1" s="108">
      <c r="B100" s="4" t="n"/>
      <c r="D100" s="4" t="n"/>
      <c r="E100" s="4" t="n"/>
      <c r="F100" s="4" t="n"/>
      <c r="G100" s="4" t="n"/>
      <c r="I100" s="4" t="n"/>
    </row>
    <row r="101" ht="15.75" customHeight="1" s="108">
      <c r="B101" s="4" t="n"/>
      <c r="D101" s="4" t="n"/>
      <c r="E101" s="4" t="n"/>
      <c r="F101" s="4" t="n"/>
      <c r="G101" s="4" t="n"/>
      <c r="I101" s="4" t="n"/>
    </row>
    <row r="102" ht="15.75" customHeight="1" s="108">
      <c r="B102" s="4" t="n"/>
      <c r="D102" s="4" t="n"/>
      <c r="E102" s="4" t="n"/>
      <c r="F102" s="4" t="n"/>
      <c r="G102" s="4" t="n"/>
      <c r="I102" s="4" t="n"/>
    </row>
    <row r="103" ht="15.75" customHeight="1" s="108">
      <c r="B103" s="4" t="n"/>
      <c r="D103" s="4" t="n"/>
      <c r="E103" s="4" t="n"/>
      <c r="F103" s="4" t="n"/>
      <c r="G103" s="4" t="n"/>
      <c r="I103" s="4" t="n"/>
    </row>
    <row r="104" ht="15.75" customHeight="1" s="108">
      <c r="B104" s="4" t="n"/>
      <c r="D104" s="4" t="n"/>
      <c r="E104" s="4" t="n"/>
      <c r="F104" s="4" t="n"/>
      <c r="G104" s="4" t="n"/>
      <c r="I104" s="4" t="n"/>
    </row>
    <row r="105" ht="15.75" customHeight="1" s="108">
      <c r="B105" s="4" t="n"/>
      <c r="D105" s="4" t="n"/>
      <c r="E105" s="4" t="n"/>
      <c r="F105" s="4" t="n"/>
      <c r="G105" s="4" t="n"/>
      <c r="I105" s="4" t="n"/>
    </row>
    <row r="106" ht="15.75" customHeight="1" s="108">
      <c r="B106" s="4" t="n"/>
      <c r="D106" s="4" t="n"/>
      <c r="E106" s="4" t="n"/>
      <c r="F106" s="4" t="n"/>
      <c r="G106" s="4" t="n"/>
      <c r="I106" s="4" t="n"/>
    </row>
    <row r="107" ht="15.75" customHeight="1" s="108">
      <c r="B107" s="4" t="n"/>
      <c r="D107" s="4" t="n"/>
      <c r="E107" s="4" t="n"/>
      <c r="F107" s="4" t="n"/>
      <c r="G107" s="4" t="n"/>
      <c r="I107" s="4" t="n"/>
    </row>
    <row r="108" ht="15.75" customHeight="1" s="108">
      <c r="B108" s="4" t="n"/>
      <c r="D108" s="4" t="n"/>
      <c r="E108" s="4" t="n"/>
      <c r="F108" s="4" t="n"/>
      <c r="G108" s="4" t="n"/>
      <c r="I108" s="4" t="n"/>
    </row>
    <row r="109" ht="15.75" customHeight="1" s="108">
      <c r="B109" s="4" t="n"/>
      <c r="D109" s="4" t="n"/>
      <c r="E109" s="4" t="n"/>
      <c r="F109" s="4" t="n"/>
      <c r="G109" s="4" t="n"/>
      <c r="I109" s="4" t="n"/>
    </row>
    <row r="110" ht="15.75" customHeight="1" s="108">
      <c r="B110" s="4" t="n"/>
      <c r="D110" s="4" t="n"/>
      <c r="E110" s="4" t="n"/>
      <c r="F110" s="4" t="n"/>
      <c r="G110" s="4" t="n"/>
      <c r="I110" s="4" t="n"/>
    </row>
    <row r="111" ht="15.75" customHeight="1" s="108">
      <c r="B111" s="4" t="n"/>
      <c r="D111" s="4" t="n"/>
      <c r="E111" s="4" t="n"/>
      <c r="F111" s="4" t="n"/>
      <c r="G111" s="4" t="n"/>
      <c r="I111" s="4" t="n"/>
    </row>
    <row r="112" ht="15.75" customHeight="1" s="108">
      <c r="B112" s="4" t="n"/>
      <c r="D112" s="4" t="n"/>
      <c r="E112" s="4" t="n"/>
      <c r="F112" s="4" t="n"/>
      <c r="G112" s="4" t="n"/>
      <c r="I112" s="4" t="n"/>
    </row>
    <row r="113" ht="15.75" customHeight="1" s="108">
      <c r="B113" s="4" t="n"/>
      <c r="D113" s="4" t="n"/>
      <c r="E113" s="4" t="n"/>
      <c r="F113" s="4" t="n"/>
      <c r="G113" s="4" t="n"/>
      <c r="I113" s="4" t="n"/>
    </row>
    <row r="114" ht="15.75" customHeight="1" s="108">
      <c r="B114" s="4" t="n"/>
      <c r="D114" s="4" t="n"/>
      <c r="E114" s="4" t="n"/>
      <c r="F114" s="4" t="n"/>
      <c r="G114" s="4" t="n"/>
      <c r="I114" s="4" t="n"/>
    </row>
    <row r="115" ht="15.75" customHeight="1" s="108">
      <c r="B115" s="4" t="n"/>
      <c r="D115" s="4" t="n"/>
      <c r="E115" s="4" t="n"/>
      <c r="F115" s="4" t="n"/>
      <c r="G115" s="4" t="n"/>
      <c r="I115" s="4" t="n"/>
    </row>
    <row r="116" ht="15.75" customHeight="1" s="108">
      <c r="B116" s="4" t="n"/>
      <c r="D116" s="4" t="n"/>
      <c r="E116" s="4" t="n"/>
      <c r="F116" s="4" t="n"/>
      <c r="G116" s="4" t="n"/>
      <c r="I116" s="4" t="n"/>
    </row>
    <row r="117" ht="15.75" customHeight="1" s="108">
      <c r="B117" s="4" t="n"/>
      <c r="D117" s="4" t="n"/>
      <c r="E117" s="4" t="n"/>
      <c r="F117" s="4" t="n"/>
      <c r="G117" s="4" t="n"/>
      <c r="I117" s="4" t="n"/>
    </row>
    <row r="118" ht="15.75" customHeight="1" s="108">
      <c r="B118" s="4" t="n"/>
      <c r="D118" s="4" t="n"/>
      <c r="E118" s="4" t="n"/>
      <c r="F118" s="4" t="n"/>
      <c r="G118" s="4" t="n"/>
      <c r="I118" s="4" t="n"/>
    </row>
    <row r="119" ht="15.75" customHeight="1" s="108">
      <c r="B119" s="4" t="n"/>
      <c r="D119" s="4" t="n"/>
      <c r="E119" s="4" t="n"/>
      <c r="F119" s="4" t="n"/>
      <c r="G119" s="4" t="n"/>
      <c r="I119" s="4" t="n"/>
    </row>
    <row r="120" ht="15.75" customHeight="1" s="108">
      <c r="B120" s="4" t="n"/>
      <c r="D120" s="4" t="n"/>
      <c r="E120" s="4" t="n"/>
      <c r="F120" s="4" t="n"/>
      <c r="G120" s="4" t="n"/>
      <c r="I120" s="4" t="n"/>
    </row>
    <row r="121" ht="15.75" customHeight="1" s="108">
      <c r="B121" s="4" t="n"/>
      <c r="D121" s="4" t="n"/>
      <c r="E121" s="4" t="n"/>
      <c r="F121" s="4" t="n"/>
      <c r="G121" s="4" t="n"/>
      <c r="I121" s="4" t="n"/>
    </row>
    <row r="122" ht="15.75" customHeight="1" s="108">
      <c r="B122" s="4" t="n"/>
      <c r="D122" s="4" t="n"/>
      <c r="E122" s="4" t="n"/>
      <c r="F122" s="4" t="n"/>
      <c r="G122" s="4" t="n"/>
      <c r="I122" s="4" t="n"/>
    </row>
    <row r="123" ht="15.75" customHeight="1" s="108">
      <c r="B123" s="4" t="n"/>
      <c r="D123" s="4" t="n"/>
      <c r="E123" s="4" t="n"/>
      <c r="F123" s="4" t="n"/>
      <c r="G123" s="4" t="n"/>
      <c r="I123" s="4" t="n"/>
    </row>
    <row r="124" ht="15.75" customHeight="1" s="108">
      <c r="B124" s="4" t="n"/>
      <c r="D124" s="4" t="n"/>
      <c r="E124" s="4" t="n"/>
      <c r="F124" s="4" t="n"/>
      <c r="G124" s="4" t="n"/>
      <c r="I124" s="4" t="n"/>
    </row>
    <row r="125" ht="15.75" customHeight="1" s="108">
      <c r="B125" s="4" t="n"/>
      <c r="D125" s="4" t="n"/>
      <c r="E125" s="4" t="n"/>
      <c r="F125" s="4" t="n"/>
      <c r="G125" s="4" t="n"/>
      <c r="I125" s="4" t="n"/>
    </row>
    <row r="126" ht="15.75" customHeight="1" s="108">
      <c r="B126" s="4" t="n"/>
      <c r="D126" s="4" t="n"/>
      <c r="E126" s="4" t="n"/>
      <c r="F126" s="4" t="n"/>
      <c r="G126" s="4" t="n"/>
      <c r="I126" s="4" t="n"/>
    </row>
    <row r="127" ht="15.75" customHeight="1" s="108">
      <c r="B127" s="4" t="n"/>
      <c r="D127" s="4" t="n"/>
      <c r="E127" s="4" t="n"/>
      <c r="F127" s="4" t="n"/>
      <c r="G127" s="4" t="n"/>
      <c r="I127" s="4" t="n"/>
    </row>
    <row r="128" ht="15.75" customHeight="1" s="108">
      <c r="B128" s="4" t="n"/>
      <c r="D128" s="4" t="n"/>
      <c r="E128" s="4" t="n"/>
      <c r="F128" s="4" t="n"/>
      <c r="G128" s="4" t="n"/>
      <c r="I128" s="4" t="n"/>
    </row>
    <row r="129" ht="15.75" customHeight="1" s="108">
      <c r="B129" s="4" t="n"/>
      <c r="D129" s="4" t="n"/>
      <c r="E129" s="4" t="n"/>
      <c r="F129" s="4" t="n"/>
      <c r="G129" s="4" t="n"/>
      <c r="I129" s="4" t="n"/>
    </row>
    <row r="130" ht="15.75" customHeight="1" s="108">
      <c r="B130" s="4" t="n"/>
      <c r="D130" s="4" t="n"/>
      <c r="E130" s="4" t="n"/>
      <c r="F130" s="4" t="n"/>
      <c r="G130" s="4" t="n"/>
      <c r="I130" s="4" t="n"/>
    </row>
    <row r="131" ht="15.75" customHeight="1" s="108">
      <c r="B131" s="4" t="n"/>
      <c r="D131" s="4" t="n"/>
      <c r="E131" s="4" t="n"/>
      <c r="F131" s="4" t="n"/>
      <c r="G131" s="4" t="n"/>
      <c r="I131" s="4" t="n"/>
    </row>
    <row r="132" ht="15.75" customHeight="1" s="108">
      <c r="B132" s="4" t="n"/>
      <c r="D132" s="4" t="n"/>
      <c r="E132" s="4" t="n"/>
      <c r="F132" s="4" t="n"/>
      <c r="G132" s="4" t="n"/>
      <c r="I132" s="4" t="n"/>
    </row>
    <row r="133" ht="15.75" customHeight="1" s="108">
      <c r="B133" s="4" t="n"/>
      <c r="D133" s="4" t="n"/>
      <c r="E133" s="4" t="n"/>
      <c r="F133" s="4" t="n"/>
      <c r="G133" s="4" t="n"/>
      <c r="I133" s="4" t="n"/>
    </row>
    <row r="134" ht="15.75" customHeight="1" s="108">
      <c r="B134" s="4" t="n"/>
      <c r="D134" s="4" t="n"/>
      <c r="E134" s="4" t="n"/>
      <c r="F134" s="4" t="n"/>
      <c r="G134" s="4" t="n"/>
      <c r="I134" s="4" t="n"/>
    </row>
    <row r="135" ht="15.75" customHeight="1" s="108">
      <c r="B135" s="4" t="n"/>
      <c r="D135" s="4" t="n"/>
      <c r="E135" s="4" t="n"/>
      <c r="F135" s="4" t="n"/>
      <c r="G135" s="4" t="n"/>
      <c r="I135" s="4" t="n"/>
    </row>
    <row r="136" ht="15.75" customHeight="1" s="108">
      <c r="B136" s="4" t="n"/>
      <c r="D136" s="4" t="n"/>
      <c r="E136" s="4" t="n"/>
      <c r="F136" s="4" t="n"/>
      <c r="G136" s="4" t="n"/>
      <c r="I136" s="4" t="n"/>
    </row>
    <row r="137" ht="15.75" customHeight="1" s="108">
      <c r="B137" s="4" t="n"/>
      <c r="D137" s="4" t="n"/>
      <c r="E137" s="4" t="n"/>
      <c r="F137" s="4" t="n"/>
      <c r="G137" s="4" t="n"/>
      <c r="I137" s="4" t="n"/>
    </row>
    <row r="138" ht="15.75" customHeight="1" s="108">
      <c r="B138" s="4" t="n"/>
      <c r="D138" s="4" t="n"/>
      <c r="E138" s="4" t="n"/>
      <c r="F138" s="4" t="n"/>
      <c r="G138" s="4" t="n"/>
      <c r="I138" s="4" t="n"/>
    </row>
    <row r="139" ht="15.75" customHeight="1" s="108">
      <c r="A139" s="4" t="n"/>
      <c r="B139" s="4" t="n"/>
      <c r="C139" s="4" t="n"/>
      <c r="D139" s="4" t="n"/>
      <c r="E139" s="4" t="n"/>
      <c r="F139" s="4" t="n"/>
      <c r="G139" s="4" t="n"/>
      <c r="H139" s="4" t="n"/>
      <c r="I139" s="4" t="n"/>
    </row>
    <row r="140" ht="15.75" customHeight="1" s="108">
      <c r="A140" s="4" t="n"/>
      <c r="B140" s="4" t="n"/>
      <c r="C140" s="4" t="n"/>
      <c r="D140" s="4" t="n"/>
      <c r="E140" s="4" t="n"/>
      <c r="F140" s="4" t="n"/>
      <c r="G140" s="4" t="n"/>
      <c r="H140" s="4" t="n"/>
      <c r="I140" s="4" t="n"/>
    </row>
    <row r="141" ht="15.75" customHeight="1" s="108">
      <c r="A141" s="4" t="n"/>
      <c r="B141" s="4" t="n"/>
      <c r="C141" s="4" t="n"/>
      <c r="D141" s="4" t="n"/>
      <c r="E141" s="4" t="n"/>
      <c r="F141" s="4" t="n"/>
      <c r="G141" s="4" t="n"/>
      <c r="H141" s="4" t="n"/>
      <c r="I141" s="4" t="n"/>
    </row>
    <row r="142" ht="15.75" customHeight="1" s="108">
      <c r="A142" s="4" t="n"/>
      <c r="B142" s="4" t="n"/>
      <c r="C142" s="4" t="n"/>
      <c r="D142" s="4" t="n"/>
      <c r="E142" s="4" t="n"/>
      <c r="F142" s="4" t="n"/>
      <c r="G142" s="4" t="n"/>
      <c r="H142" s="4" t="n"/>
      <c r="I142" s="4" t="n"/>
    </row>
    <row r="143" ht="15.75" customHeight="1" s="108">
      <c r="A143" s="4" t="n"/>
      <c r="B143" s="4" t="n"/>
      <c r="C143" s="4" t="n"/>
      <c r="D143" s="4" t="n"/>
      <c r="E143" s="4" t="n"/>
      <c r="F143" s="4" t="n"/>
      <c r="G143" s="4" t="n"/>
      <c r="H143" s="4" t="n"/>
      <c r="I143" s="4" t="n"/>
    </row>
    <row r="144" ht="15.75" customHeight="1" s="108">
      <c r="A144" s="4" t="n"/>
      <c r="B144" s="4" t="n"/>
      <c r="C144" s="4" t="n"/>
      <c r="D144" s="4" t="n"/>
      <c r="E144" s="4" t="n"/>
      <c r="F144" s="4" t="n"/>
      <c r="G144" s="4" t="n"/>
      <c r="H144" s="4" t="n"/>
      <c r="I144" s="4" t="n"/>
    </row>
    <row r="145" ht="15.75" customHeight="1" s="108">
      <c r="A145" s="4" t="n"/>
      <c r="B145" s="4" t="n"/>
      <c r="C145" s="4" t="n"/>
      <c r="D145" s="4" t="n"/>
      <c r="E145" s="4" t="n"/>
      <c r="F145" s="4" t="n"/>
      <c r="G145" s="4" t="n"/>
      <c r="H145" s="4" t="n"/>
      <c r="I145" s="4" t="n"/>
    </row>
    <row r="146" ht="15.75" customHeight="1" s="108">
      <c r="A146" s="4" t="n"/>
      <c r="B146" s="4" t="n"/>
      <c r="C146" s="4" t="n"/>
      <c r="D146" s="4" t="n"/>
      <c r="E146" s="4" t="n"/>
      <c r="F146" s="4" t="n"/>
      <c r="G146" s="4" t="n"/>
      <c r="H146" s="4" t="n"/>
      <c r="I146" s="4" t="n"/>
    </row>
    <row r="147" ht="15.75" customHeight="1" s="108">
      <c r="A147" s="4" t="n"/>
      <c r="B147" s="4" t="n"/>
      <c r="C147" s="4" t="n"/>
      <c r="D147" s="4" t="n"/>
      <c r="E147" s="4" t="n"/>
      <c r="F147" s="4" t="n"/>
      <c r="G147" s="4" t="n"/>
      <c r="H147" s="4" t="n"/>
      <c r="I147" s="4" t="n"/>
    </row>
    <row r="148" ht="15.75" customHeight="1" s="108">
      <c r="A148" s="4" t="n"/>
      <c r="B148" s="4" t="n"/>
      <c r="C148" s="4" t="n"/>
      <c r="D148" s="4" t="n"/>
      <c r="E148" s="4" t="n"/>
      <c r="F148" s="4" t="n"/>
      <c r="G148" s="4" t="n"/>
      <c r="H148" s="4" t="n"/>
      <c r="I148" s="4" t="n"/>
    </row>
    <row r="149" ht="15.75" customHeight="1" s="108">
      <c r="A149" s="4" t="n"/>
      <c r="B149" s="4" t="n"/>
      <c r="C149" s="4" t="n"/>
      <c r="D149" s="4" t="n"/>
      <c r="E149" s="4" t="n"/>
      <c r="F149" s="4" t="n"/>
      <c r="G149" s="4" t="n"/>
      <c r="H149" s="4" t="n"/>
      <c r="I149" s="4" t="n"/>
    </row>
    <row r="150" ht="15.75" customHeight="1" s="108">
      <c r="A150" s="4" t="n"/>
      <c r="B150" s="4" t="n"/>
      <c r="C150" s="4" t="n"/>
      <c r="D150" s="4" t="n"/>
      <c r="E150" s="4" t="n"/>
      <c r="F150" s="4" t="n"/>
      <c r="G150" s="4" t="n"/>
      <c r="H150" s="4" t="n"/>
      <c r="I150" s="4" t="n"/>
    </row>
    <row r="151" ht="15.75" customHeight="1" s="108">
      <c r="A151" s="4" t="n"/>
      <c r="B151" s="4" t="n"/>
      <c r="C151" s="4" t="n"/>
      <c r="D151" s="4" t="n"/>
      <c r="E151" s="4" t="n"/>
      <c r="F151" s="4" t="n"/>
      <c r="G151" s="4" t="n"/>
      <c r="H151" s="4" t="n"/>
      <c r="I151" s="4" t="n"/>
    </row>
    <row r="152" ht="15.75" customHeight="1" s="108">
      <c r="A152" s="4" t="n"/>
      <c r="B152" s="4" t="n"/>
      <c r="C152" s="4" t="n"/>
      <c r="D152" s="4" t="n"/>
      <c r="E152" s="4" t="n"/>
      <c r="F152" s="4" t="n"/>
      <c r="G152" s="4" t="n"/>
      <c r="H152" s="4" t="n"/>
      <c r="I152" s="4" t="n"/>
    </row>
    <row r="153" ht="15.75" customHeight="1" s="108">
      <c r="A153" s="4" t="n"/>
      <c r="B153" s="4" t="n"/>
      <c r="C153" s="4" t="n"/>
      <c r="D153" s="4" t="n"/>
      <c r="E153" s="4" t="n"/>
      <c r="F153" s="4" t="n"/>
      <c r="G153" s="4" t="n"/>
      <c r="H153" s="4" t="n"/>
      <c r="I153" s="4" t="n"/>
    </row>
    <row r="154" ht="15.75" customHeight="1" s="108">
      <c r="A154" s="4" t="n"/>
      <c r="B154" s="4" t="n"/>
      <c r="C154" s="4" t="n"/>
      <c r="D154" s="4" t="n"/>
      <c r="E154" s="4" t="n"/>
      <c r="F154" s="4" t="n"/>
      <c r="G154" s="4" t="n"/>
      <c r="H154" s="4" t="n"/>
      <c r="I154" s="4" t="n"/>
    </row>
    <row r="155" ht="15.75" customHeight="1" s="108">
      <c r="A155" s="4" t="n"/>
      <c r="B155" s="4" t="n"/>
      <c r="C155" s="4" t="n"/>
      <c r="D155" s="4" t="n"/>
      <c r="E155" s="4" t="n"/>
      <c r="F155" s="4" t="n"/>
      <c r="G155" s="4" t="n"/>
      <c r="H155" s="4" t="n"/>
      <c r="I155" s="4" t="n"/>
    </row>
    <row r="156" ht="15.75" customHeight="1" s="108">
      <c r="A156" s="4" t="n"/>
      <c r="B156" s="4" t="n"/>
      <c r="C156" s="4" t="n"/>
      <c r="D156" s="4" t="n"/>
      <c r="E156" s="4" t="n"/>
      <c r="F156" s="4" t="n"/>
      <c r="G156" s="4" t="n"/>
      <c r="H156" s="4" t="n"/>
      <c r="I156" s="4" t="n"/>
    </row>
    <row r="157" ht="15.75" customHeight="1" s="108">
      <c r="A157" s="4" t="n"/>
      <c r="B157" s="4" t="n"/>
      <c r="C157" s="4" t="n"/>
      <c r="D157" s="4" t="n"/>
      <c r="E157" s="4" t="n"/>
      <c r="F157" s="4" t="n"/>
      <c r="G157" s="4" t="n"/>
      <c r="H157" s="4" t="n"/>
      <c r="I157" s="4" t="n"/>
    </row>
    <row r="158" ht="15.75" customHeight="1" s="108">
      <c r="A158" s="4" t="n"/>
      <c r="B158" s="4" t="n"/>
      <c r="C158" s="4" t="n"/>
      <c r="D158" s="4" t="n"/>
      <c r="E158" s="4" t="n"/>
      <c r="F158" s="4" t="n"/>
      <c r="G158" s="4" t="n"/>
      <c r="H158" s="4" t="n"/>
      <c r="I158" s="4" t="n"/>
    </row>
    <row r="159" ht="15.75" customHeight="1" s="108">
      <c r="A159" s="4" t="n"/>
      <c r="B159" s="4" t="n"/>
      <c r="C159" s="4" t="n"/>
      <c r="D159" s="4" t="n"/>
      <c r="E159" s="4" t="n"/>
      <c r="F159" s="4" t="n"/>
      <c r="G159" s="4" t="n"/>
      <c r="H159" s="4" t="n"/>
      <c r="I159" s="4" t="n"/>
    </row>
    <row r="160" ht="15.75" customHeight="1" s="108">
      <c r="A160" s="4" t="n"/>
      <c r="B160" s="4" t="n"/>
      <c r="C160" s="4" t="n"/>
      <c r="D160" s="4" t="n"/>
      <c r="E160" s="4" t="n"/>
      <c r="F160" s="4" t="n"/>
      <c r="G160" s="4" t="n"/>
      <c r="H160" s="4" t="n"/>
      <c r="I160" s="4" t="n"/>
    </row>
    <row r="161" ht="15.75" customHeight="1" s="108">
      <c r="A161" s="4" t="n"/>
      <c r="B161" s="4" t="n"/>
      <c r="C161" s="4" t="n"/>
      <c r="D161" s="4" t="n"/>
      <c r="E161" s="4" t="n"/>
      <c r="F161" s="4" t="n"/>
      <c r="G161" s="4" t="n"/>
      <c r="H161" s="4" t="n"/>
      <c r="I161" s="4" t="n"/>
    </row>
    <row r="162" ht="15.75" customHeight="1" s="108">
      <c r="A162" s="4" t="n"/>
      <c r="B162" s="4" t="n"/>
      <c r="C162" s="4" t="n"/>
      <c r="D162" s="4" t="n"/>
      <c r="E162" s="4" t="n"/>
      <c r="F162" s="4" t="n"/>
      <c r="G162" s="4" t="n"/>
      <c r="H162" s="4" t="n"/>
      <c r="I162" s="4" t="n"/>
    </row>
    <row r="163" ht="15.75" customHeight="1" s="108">
      <c r="A163" s="4" t="n"/>
      <c r="B163" s="4" t="n"/>
      <c r="C163" s="4" t="n"/>
      <c r="D163" s="4" t="n"/>
      <c r="E163" s="4" t="n"/>
      <c r="F163" s="4" t="n"/>
      <c r="G163" s="4" t="n"/>
      <c r="H163" s="4" t="n"/>
      <c r="I163" s="4" t="n"/>
    </row>
    <row r="164" ht="15.75" customHeight="1" s="108">
      <c r="A164" s="4" t="n"/>
      <c r="B164" s="4" t="n"/>
      <c r="C164" s="4" t="n"/>
      <c r="D164" s="4" t="n"/>
      <c r="E164" s="4" t="n"/>
      <c r="F164" s="4" t="n"/>
      <c r="G164" s="4" t="n"/>
      <c r="H164" s="4" t="n"/>
      <c r="I164" s="4" t="n"/>
    </row>
    <row r="165" ht="15.75" customHeight="1" s="108">
      <c r="A165" s="4" t="n"/>
      <c r="B165" s="4" t="n"/>
      <c r="C165" s="4" t="n"/>
      <c r="D165" s="4" t="n"/>
      <c r="E165" s="4" t="n"/>
      <c r="F165" s="4" t="n"/>
      <c r="G165" s="4" t="n"/>
      <c r="H165" s="4" t="n"/>
      <c r="I165" s="4" t="n"/>
    </row>
    <row r="166" ht="15.75" customHeight="1" s="108">
      <c r="A166" s="4" t="n"/>
      <c r="B166" s="4" t="n"/>
      <c r="C166" s="4" t="n"/>
      <c r="D166" s="4" t="n"/>
      <c r="E166" s="4" t="n"/>
      <c r="F166" s="4" t="n"/>
      <c r="G166" s="4" t="n"/>
      <c r="H166" s="4" t="n"/>
      <c r="I166" s="4" t="n"/>
    </row>
    <row r="167" ht="15.75" customHeight="1" s="108">
      <c r="A167" s="4" t="n"/>
      <c r="B167" s="4" t="n"/>
      <c r="C167" s="4" t="n"/>
      <c r="D167" s="4" t="n"/>
      <c r="E167" s="4" t="n"/>
      <c r="F167" s="4" t="n"/>
      <c r="G167" s="4" t="n"/>
      <c r="H167" s="4" t="n"/>
      <c r="I167" s="4" t="n"/>
    </row>
    <row r="168" ht="15.75" customHeight="1" s="108">
      <c r="A168" s="4" t="n"/>
      <c r="B168" s="4" t="n"/>
      <c r="C168" s="4" t="n"/>
      <c r="D168" s="4" t="n"/>
      <c r="E168" s="4" t="n"/>
      <c r="F168" s="4" t="n"/>
      <c r="G168" s="4" t="n"/>
      <c r="H168" s="4" t="n"/>
      <c r="I168" s="4" t="n"/>
    </row>
    <row r="169" ht="15.75" customHeight="1" s="108">
      <c r="A169" s="4" t="n"/>
      <c r="B169" s="4" t="n"/>
      <c r="C169" s="4" t="n"/>
      <c r="D169" s="4" t="n"/>
      <c r="E169" s="4" t="n"/>
      <c r="F169" s="4" t="n"/>
      <c r="G169" s="4" t="n"/>
      <c r="H169" s="4" t="n"/>
      <c r="I169" s="4" t="n"/>
    </row>
    <row r="170" ht="15.75" customHeight="1" s="108">
      <c r="A170" s="4" t="n"/>
      <c r="B170" s="4" t="n"/>
      <c r="C170" s="4" t="n"/>
      <c r="D170" s="4" t="n"/>
      <c r="E170" s="4" t="n"/>
      <c r="F170" s="4" t="n"/>
      <c r="G170" s="4" t="n"/>
      <c r="H170" s="4" t="n"/>
      <c r="I170" s="4" t="n"/>
    </row>
    <row r="171" ht="15.75" customHeight="1" s="108">
      <c r="A171" s="4" t="n"/>
      <c r="B171" s="4" t="n"/>
      <c r="C171" s="4" t="n"/>
      <c r="D171" s="4" t="n"/>
      <c r="E171" s="4" t="n"/>
      <c r="F171" s="4" t="n"/>
      <c r="G171" s="4" t="n"/>
      <c r="H171" s="4" t="n"/>
      <c r="I171" s="4" t="n"/>
    </row>
    <row r="172" ht="15.75" customHeight="1" s="108">
      <c r="A172" s="4" t="n"/>
      <c r="B172" s="4" t="n"/>
      <c r="C172" s="4" t="n"/>
      <c r="D172" s="4" t="n"/>
      <c r="E172" s="4" t="n"/>
      <c r="F172" s="4" t="n"/>
      <c r="G172" s="4" t="n"/>
      <c r="H172" s="4" t="n"/>
      <c r="I172" s="4" t="n"/>
    </row>
    <row r="173" ht="15.75" customHeight="1" s="108">
      <c r="A173" s="4" t="n"/>
      <c r="B173" s="4" t="n"/>
      <c r="C173" s="4" t="n"/>
      <c r="D173" s="4" t="n"/>
      <c r="E173" s="4" t="n"/>
      <c r="F173" s="4" t="n"/>
      <c r="G173" s="4" t="n"/>
      <c r="H173" s="4" t="n"/>
      <c r="I173" s="4" t="n"/>
    </row>
    <row r="174" ht="15.75" customHeight="1" s="108">
      <c r="A174" s="4" t="n"/>
      <c r="B174" s="4" t="n"/>
      <c r="C174" s="4" t="n"/>
      <c r="D174" s="4" t="n"/>
      <c r="E174" s="4" t="n"/>
      <c r="F174" s="4" t="n"/>
      <c r="G174" s="4" t="n"/>
      <c r="H174" s="4" t="n"/>
      <c r="I174" s="4" t="n"/>
    </row>
    <row r="175" ht="15.75" customHeight="1" s="108">
      <c r="A175" s="4" t="n"/>
      <c r="B175" s="4" t="n"/>
      <c r="C175" s="4" t="n"/>
      <c r="D175" s="4" t="n"/>
      <c r="E175" s="4" t="n"/>
      <c r="F175" s="4" t="n"/>
      <c r="G175" s="4" t="n"/>
      <c r="H175" s="4" t="n"/>
      <c r="I175" s="4" t="n"/>
    </row>
    <row r="176" ht="15.75" customHeight="1" s="108">
      <c r="A176" s="4" t="n"/>
      <c r="B176" s="4" t="n"/>
      <c r="C176" s="4" t="n"/>
      <c r="D176" s="4" t="n"/>
      <c r="E176" s="4" t="n"/>
      <c r="F176" s="4" t="n"/>
      <c r="G176" s="4" t="n"/>
      <c r="H176" s="4" t="n"/>
      <c r="I176" s="4" t="n"/>
    </row>
    <row r="177" ht="15.75" customHeight="1" s="108">
      <c r="A177" s="4" t="n"/>
      <c r="B177" s="4" t="n"/>
      <c r="C177" s="4" t="n"/>
      <c r="D177" s="4" t="n"/>
      <c r="E177" s="4" t="n"/>
      <c r="F177" s="4" t="n"/>
      <c r="G177" s="4" t="n"/>
      <c r="H177" s="4" t="n"/>
      <c r="I177" s="4" t="n"/>
    </row>
    <row r="178" ht="15.75" customHeight="1" s="108">
      <c r="A178" s="4" t="n"/>
      <c r="B178" s="4" t="n"/>
      <c r="C178" s="4" t="n"/>
      <c r="D178" s="4" t="n"/>
      <c r="E178" s="4" t="n"/>
      <c r="F178" s="4" t="n"/>
      <c r="G178" s="4" t="n"/>
      <c r="H178" s="4" t="n"/>
      <c r="I178" s="4" t="n"/>
    </row>
    <row r="179" ht="15.75" customHeight="1" s="108">
      <c r="A179" s="4" t="n"/>
      <c r="B179" s="4" t="n"/>
      <c r="C179" s="4" t="n"/>
      <c r="D179" s="4" t="n"/>
      <c r="E179" s="4" t="n"/>
      <c r="F179" s="4" t="n"/>
      <c r="G179" s="4" t="n"/>
      <c r="H179" s="4" t="n"/>
      <c r="I179" s="4" t="n"/>
    </row>
    <row r="180" ht="15.75" customHeight="1" s="108">
      <c r="A180" s="4" t="n"/>
      <c r="B180" s="4" t="n"/>
      <c r="C180" s="4" t="n"/>
      <c r="D180" s="4" t="n"/>
      <c r="E180" s="4" t="n"/>
      <c r="F180" s="4" t="n"/>
      <c r="G180" s="4" t="n"/>
      <c r="H180" s="4" t="n"/>
      <c r="I180" s="4" t="n"/>
    </row>
    <row r="181" ht="15.75" customHeight="1" s="108">
      <c r="A181" s="4" t="n"/>
      <c r="B181" s="4" t="n"/>
      <c r="C181" s="4" t="n"/>
      <c r="D181" s="4" t="n"/>
      <c r="E181" s="4" t="n"/>
      <c r="F181" s="4" t="n"/>
      <c r="G181" s="4" t="n"/>
      <c r="H181" s="4" t="n"/>
      <c r="I181" s="4" t="n"/>
    </row>
    <row r="182" ht="15.75" customHeight="1" s="108">
      <c r="A182" s="4" t="n"/>
      <c r="B182" s="4" t="n"/>
      <c r="C182" s="4" t="n"/>
      <c r="D182" s="4" t="n"/>
      <c r="E182" s="4" t="n"/>
      <c r="F182" s="4" t="n"/>
      <c r="G182" s="4" t="n"/>
      <c r="H182" s="4" t="n"/>
      <c r="I182" s="4" t="n"/>
    </row>
    <row r="183" ht="15.75" customHeight="1" s="108">
      <c r="A183" s="4" t="n"/>
      <c r="B183" s="4" t="n"/>
      <c r="C183" s="4" t="n"/>
      <c r="D183" s="4" t="n"/>
      <c r="E183" s="4" t="n"/>
      <c r="F183" s="4" t="n"/>
      <c r="G183" s="4" t="n"/>
      <c r="H183" s="4" t="n"/>
      <c r="I183" s="4" t="n"/>
    </row>
    <row r="184" ht="15.75" customHeight="1" s="108">
      <c r="A184" s="4" t="n"/>
      <c r="B184" s="4" t="n"/>
      <c r="C184" s="4" t="n"/>
      <c r="D184" s="4" t="n"/>
      <c r="E184" s="4" t="n"/>
      <c r="F184" s="4" t="n"/>
      <c r="G184" s="4" t="n"/>
      <c r="H184" s="4" t="n"/>
      <c r="I184" s="4" t="n"/>
    </row>
    <row r="185" ht="15.75" customHeight="1" s="108">
      <c r="A185" s="4" t="n"/>
      <c r="B185" s="4" t="n"/>
      <c r="C185" s="4" t="n"/>
      <c r="D185" s="4" t="n"/>
      <c r="E185" s="4" t="n"/>
      <c r="F185" s="4" t="n"/>
      <c r="G185" s="4" t="n"/>
      <c r="H185" s="4" t="n"/>
      <c r="I185" s="4" t="n"/>
    </row>
    <row r="186" ht="15.75" customHeight="1" s="108">
      <c r="A186" s="4" t="n"/>
      <c r="B186" s="4" t="n"/>
      <c r="C186" s="4" t="n"/>
      <c r="D186" s="4" t="n"/>
      <c r="E186" s="4" t="n"/>
      <c r="F186" s="4" t="n"/>
      <c r="G186" s="4" t="n"/>
      <c r="H186" s="4" t="n"/>
      <c r="I186" s="4" t="n"/>
    </row>
    <row r="187" ht="15.75" customHeight="1" s="108">
      <c r="A187" s="4" t="n"/>
      <c r="B187" s="4" t="n"/>
      <c r="C187" s="4" t="n"/>
      <c r="D187" s="4" t="n"/>
      <c r="E187" s="4" t="n"/>
      <c r="F187" s="4" t="n"/>
      <c r="G187" s="4" t="n"/>
      <c r="H187" s="4" t="n"/>
      <c r="I187" s="4" t="n"/>
    </row>
    <row r="188" ht="15.75" customHeight="1" s="108">
      <c r="A188" s="4" t="n"/>
      <c r="B188" s="4" t="n"/>
      <c r="C188" s="4" t="n"/>
      <c r="D188" s="4" t="n"/>
      <c r="E188" s="4" t="n"/>
      <c r="F188" s="4" t="n"/>
      <c r="G188" s="4" t="n"/>
      <c r="H188" s="4" t="n"/>
      <c r="I188" s="4" t="n"/>
    </row>
    <row r="189" ht="15.75" customHeight="1" s="108">
      <c r="A189" s="4" t="n"/>
      <c r="B189" s="4" t="n"/>
      <c r="C189" s="4" t="n"/>
      <c r="D189" s="4" t="n"/>
      <c r="E189" s="4" t="n"/>
      <c r="F189" s="4" t="n"/>
      <c r="G189" s="4" t="n"/>
      <c r="H189" s="4" t="n"/>
      <c r="I189" s="4" t="n"/>
    </row>
    <row r="190" ht="15.75" customHeight="1" s="108">
      <c r="A190" s="4" t="n"/>
      <c r="B190" s="4" t="n"/>
      <c r="C190" s="4" t="n"/>
      <c r="D190" s="4" t="n"/>
      <c r="E190" s="4" t="n"/>
      <c r="F190" s="4" t="n"/>
      <c r="G190" s="4" t="n"/>
      <c r="H190" s="4" t="n"/>
      <c r="I190" s="4" t="n"/>
    </row>
    <row r="191" ht="15.75" customHeight="1" s="108">
      <c r="A191" s="4" t="n"/>
      <c r="B191" s="4" t="n"/>
      <c r="C191" s="4" t="n"/>
      <c r="D191" s="4" t="n"/>
      <c r="E191" s="4" t="n"/>
      <c r="F191" s="4" t="n"/>
      <c r="G191" s="4" t="n"/>
      <c r="H191" s="4" t="n"/>
      <c r="I191" s="4" t="n"/>
    </row>
    <row r="192" ht="15.75" customHeight="1" s="108">
      <c r="A192" s="4" t="n"/>
      <c r="B192" s="4" t="n"/>
      <c r="C192" s="4" t="n"/>
      <c r="D192" s="4" t="n"/>
      <c r="E192" s="4" t="n"/>
      <c r="F192" s="4" t="n"/>
      <c r="G192" s="4" t="n"/>
      <c r="H192" s="4" t="n"/>
      <c r="I192" s="4" t="n"/>
    </row>
    <row r="193" ht="15.75" customHeight="1" s="108">
      <c r="A193" s="4" t="n"/>
      <c r="B193" s="4" t="n"/>
      <c r="C193" s="4" t="n"/>
      <c r="D193" s="4" t="n"/>
      <c r="E193" s="4" t="n"/>
      <c r="F193" s="4" t="n"/>
      <c r="G193" s="4" t="n"/>
      <c r="H193" s="4" t="n"/>
      <c r="I193" s="4" t="n"/>
    </row>
    <row r="194" ht="15.75" customHeight="1" s="108">
      <c r="A194" s="4" t="n"/>
      <c r="B194" s="4" t="n"/>
      <c r="C194" s="4" t="n"/>
      <c r="D194" s="4" t="n"/>
      <c r="E194" s="4" t="n"/>
      <c r="F194" s="4" t="n"/>
      <c r="G194" s="4" t="n"/>
      <c r="H194" s="4" t="n"/>
      <c r="I194" s="4" t="n"/>
    </row>
    <row r="195" ht="15.75" customHeight="1" s="108">
      <c r="A195" s="4" t="n"/>
      <c r="B195" s="4" t="n"/>
      <c r="C195" s="4" t="n"/>
      <c r="D195" s="4" t="n"/>
      <c r="E195" s="4" t="n"/>
      <c r="F195" s="4" t="n"/>
      <c r="G195" s="4" t="n"/>
      <c r="H195" s="4" t="n"/>
      <c r="I195" s="4" t="n"/>
    </row>
    <row r="196" ht="15.75" customHeight="1" s="108">
      <c r="A196" s="4" t="n"/>
      <c r="B196" s="4" t="n"/>
      <c r="C196" s="4" t="n"/>
      <c r="D196" s="4" t="n"/>
      <c r="E196" s="4" t="n"/>
      <c r="F196" s="4" t="n"/>
      <c r="G196" s="4" t="n"/>
      <c r="H196" s="4" t="n"/>
      <c r="I196" s="4" t="n"/>
    </row>
    <row r="197" ht="15.75" customHeight="1" s="108">
      <c r="A197" s="4" t="n"/>
      <c r="B197" s="4" t="n"/>
      <c r="C197" s="4" t="n"/>
      <c r="D197" s="4" t="n"/>
      <c r="E197" s="4" t="n"/>
      <c r="F197" s="4" t="n"/>
      <c r="G197" s="4" t="n"/>
      <c r="H197" s="4" t="n"/>
      <c r="I197" s="4" t="n"/>
    </row>
    <row r="198" ht="15.75" customHeight="1" s="108">
      <c r="A198" s="4" t="n"/>
      <c r="B198" s="4" t="n"/>
      <c r="C198" s="4" t="n"/>
      <c r="D198" s="4" t="n"/>
      <c r="E198" s="4" t="n"/>
      <c r="F198" s="4" t="n"/>
      <c r="G198" s="4" t="n"/>
      <c r="H198" s="4" t="n"/>
      <c r="I198" s="4" t="n"/>
    </row>
    <row r="199" ht="15.75" customHeight="1" s="108">
      <c r="A199" s="4" t="n"/>
      <c r="B199" s="4" t="n"/>
      <c r="C199" s="4" t="n"/>
      <c r="D199" s="4" t="n"/>
      <c r="E199" s="4" t="n"/>
      <c r="F199" s="4" t="n"/>
      <c r="G199" s="4" t="n"/>
      <c r="H199" s="4" t="n"/>
      <c r="I199" s="4" t="n"/>
    </row>
    <row r="200" ht="15.75" customHeight="1" s="108">
      <c r="A200" s="4" t="n"/>
      <c r="B200" s="4" t="n"/>
      <c r="C200" s="4" t="n"/>
      <c r="D200" s="4" t="n"/>
      <c r="E200" s="4" t="n"/>
      <c r="F200" s="4" t="n"/>
      <c r="G200" s="4" t="n"/>
      <c r="H200" s="4" t="n"/>
      <c r="I200" s="4" t="n"/>
    </row>
    <row r="201" ht="15.75" customHeight="1" s="108">
      <c r="A201" s="4" t="n"/>
      <c r="B201" s="4" t="n"/>
      <c r="C201" s="4" t="n"/>
      <c r="D201" s="4" t="n"/>
      <c r="E201" s="4" t="n"/>
      <c r="F201" s="4" t="n"/>
      <c r="G201" s="4" t="n"/>
      <c r="H201" s="4" t="n"/>
      <c r="I201" s="4" t="n"/>
    </row>
    <row r="202" ht="15.75" customHeight="1" s="108">
      <c r="A202" s="4" t="n"/>
      <c r="B202" s="4" t="n"/>
      <c r="C202" s="4" t="n"/>
      <c r="D202" s="4" t="n"/>
      <c r="E202" s="4" t="n"/>
      <c r="F202" s="4" t="n"/>
      <c r="G202" s="4" t="n"/>
      <c r="H202" s="4" t="n"/>
      <c r="I202" s="4" t="n"/>
    </row>
    <row r="203" ht="15.75" customHeight="1" s="108">
      <c r="A203" s="4" t="n"/>
      <c r="B203" s="4" t="n"/>
      <c r="C203" s="4" t="n"/>
      <c r="D203" s="4" t="n"/>
      <c r="E203" s="4" t="n"/>
      <c r="F203" s="4" t="n"/>
      <c r="G203" s="4" t="n"/>
      <c r="H203" s="4" t="n"/>
      <c r="I203" s="4" t="n"/>
    </row>
    <row r="204" ht="15.75" customHeight="1" s="108">
      <c r="A204" s="4" t="n"/>
      <c r="B204" s="4" t="n"/>
      <c r="C204" s="4" t="n"/>
      <c r="D204" s="4" t="n"/>
      <c r="E204" s="4" t="n"/>
      <c r="F204" s="4" t="n"/>
      <c r="G204" s="4" t="n"/>
      <c r="H204" s="4" t="n"/>
      <c r="I204" s="4" t="n"/>
    </row>
    <row r="205" ht="15.75" customHeight="1" s="108">
      <c r="A205" s="4" t="n"/>
      <c r="B205" s="4" t="n"/>
      <c r="C205" s="4" t="n"/>
      <c r="D205" s="4" t="n"/>
      <c r="E205" s="4" t="n"/>
      <c r="F205" s="4" t="n"/>
      <c r="G205" s="4" t="n"/>
      <c r="H205" s="4" t="n"/>
      <c r="I205" s="4" t="n"/>
    </row>
    <row r="206" ht="15.75" customHeight="1" s="108">
      <c r="A206" s="4" t="n"/>
      <c r="B206" s="4" t="n"/>
      <c r="C206" s="4" t="n"/>
      <c r="D206" s="4" t="n"/>
      <c r="E206" s="4" t="n"/>
      <c r="F206" s="4" t="n"/>
      <c r="G206" s="4" t="n"/>
      <c r="H206" s="4" t="n"/>
      <c r="I206" s="4" t="n"/>
    </row>
    <row r="207" ht="15.75" customHeight="1" s="108">
      <c r="A207" s="4" t="n"/>
      <c r="B207" s="4" t="n"/>
      <c r="C207" s="4" t="n"/>
      <c r="D207" s="4" t="n"/>
      <c r="E207" s="4" t="n"/>
      <c r="F207" s="4" t="n"/>
      <c r="G207" s="4" t="n"/>
      <c r="H207" s="4" t="n"/>
      <c r="I207" s="4" t="n"/>
    </row>
    <row r="208" ht="15.75" customHeight="1" s="108">
      <c r="A208" s="4" t="n"/>
      <c r="B208" s="4" t="n"/>
      <c r="C208" s="4" t="n"/>
      <c r="D208" s="4" t="n"/>
      <c r="E208" s="4" t="n"/>
      <c r="F208" s="4" t="n"/>
      <c r="G208" s="4" t="n"/>
      <c r="H208" s="4" t="n"/>
      <c r="I208" s="4" t="n"/>
    </row>
    <row r="209" ht="15.75" customHeight="1" s="108">
      <c r="A209" s="4" t="n"/>
      <c r="B209" s="4" t="n"/>
      <c r="C209" s="4" t="n"/>
      <c r="D209" s="4" t="n"/>
      <c r="E209" s="4" t="n"/>
      <c r="F209" s="4" t="n"/>
      <c r="G209" s="4" t="n"/>
      <c r="H209" s="4" t="n"/>
      <c r="I209" s="4" t="n"/>
    </row>
    <row r="210" ht="15.75" customHeight="1" s="108">
      <c r="A210" s="4" t="n"/>
      <c r="B210" s="4" t="n"/>
      <c r="C210" s="4" t="n"/>
      <c r="D210" s="4" t="n"/>
      <c r="E210" s="4" t="n"/>
      <c r="F210" s="4" t="n"/>
      <c r="G210" s="4" t="n"/>
      <c r="H210" s="4" t="n"/>
      <c r="I210" s="4" t="n"/>
    </row>
    <row r="211" ht="15.75" customHeight="1" s="108">
      <c r="A211" s="4" t="n"/>
      <c r="B211" s="4" t="n"/>
      <c r="C211" s="4" t="n"/>
      <c r="D211" s="4" t="n"/>
      <c r="E211" s="4" t="n"/>
      <c r="F211" s="4" t="n"/>
      <c r="G211" s="4" t="n"/>
      <c r="H211" s="4" t="n"/>
      <c r="I211" s="4" t="n"/>
    </row>
    <row r="212" ht="15.75" customHeight="1" s="108">
      <c r="A212" s="4" t="n"/>
      <c r="B212" s="4" t="n"/>
      <c r="C212" s="4" t="n"/>
      <c r="D212" s="4" t="n"/>
      <c r="E212" s="4" t="n"/>
      <c r="F212" s="4" t="n"/>
      <c r="G212" s="4" t="n"/>
      <c r="H212" s="4" t="n"/>
      <c r="I212" s="4" t="n"/>
    </row>
    <row r="213" ht="15.75" customHeight="1" s="108">
      <c r="A213" s="4" t="n"/>
      <c r="B213" s="4" t="n"/>
      <c r="C213" s="4" t="n"/>
      <c r="D213" s="4" t="n"/>
      <c r="E213" s="4" t="n"/>
      <c r="F213" s="4" t="n"/>
      <c r="G213" s="4" t="n"/>
      <c r="H213" s="4" t="n"/>
      <c r="I213" s="4" t="n"/>
    </row>
    <row r="214" ht="15.75" customHeight="1" s="108">
      <c r="A214" s="4" t="n"/>
      <c r="B214" s="4" t="n"/>
      <c r="C214" s="4" t="n"/>
      <c r="D214" s="4" t="n"/>
      <c r="E214" s="4" t="n"/>
      <c r="F214" s="4" t="n"/>
      <c r="G214" s="4" t="n"/>
      <c r="H214" s="4" t="n"/>
      <c r="I214" s="4" t="n"/>
    </row>
    <row r="215" ht="15.75" customHeight="1" s="108">
      <c r="A215" s="4" t="n"/>
      <c r="B215" s="4" t="n"/>
      <c r="C215" s="4" t="n"/>
      <c r="D215" s="4" t="n"/>
      <c r="E215" s="4" t="n"/>
      <c r="F215" s="4" t="n"/>
      <c r="G215" s="4" t="n"/>
      <c r="H215" s="4" t="n"/>
      <c r="I215" s="4" t="n"/>
    </row>
    <row r="216" ht="15.75" customHeight="1" s="108">
      <c r="A216" s="4" t="n"/>
      <c r="B216" s="4" t="n"/>
      <c r="C216" s="4" t="n"/>
      <c r="D216" s="4" t="n"/>
      <c r="E216" s="4" t="n"/>
      <c r="F216" s="4" t="n"/>
      <c r="G216" s="4" t="n"/>
      <c r="H216" s="4" t="n"/>
      <c r="I216" s="4" t="n"/>
    </row>
    <row r="217" ht="15.75" customHeight="1" s="108">
      <c r="A217" s="4" t="n"/>
      <c r="B217" s="4" t="n"/>
      <c r="C217" s="4" t="n"/>
      <c r="D217" s="4" t="n"/>
      <c r="E217" s="4" t="n"/>
      <c r="F217" s="4" t="n"/>
      <c r="G217" s="4" t="n"/>
      <c r="H217" s="4" t="n"/>
      <c r="I217" s="4" t="n"/>
    </row>
    <row r="218" ht="15.75" customHeight="1" s="108">
      <c r="A218" s="4" t="n"/>
      <c r="B218" s="4" t="n"/>
      <c r="C218" s="4" t="n"/>
      <c r="D218" s="4" t="n"/>
      <c r="E218" s="4" t="n"/>
      <c r="F218" s="4" t="n"/>
      <c r="G218" s="4" t="n"/>
      <c r="H218" s="4" t="n"/>
      <c r="I218" s="4" t="n"/>
    </row>
    <row r="219" ht="15.75" customHeight="1" s="108">
      <c r="A219" s="4" t="n"/>
      <c r="B219" s="4" t="n"/>
      <c r="C219" s="4" t="n"/>
      <c r="D219" s="4" t="n"/>
      <c r="E219" s="4" t="n"/>
      <c r="F219" s="4" t="n"/>
      <c r="G219" s="4" t="n"/>
      <c r="H219" s="4" t="n"/>
      <c r="I219" s="4" t="n"/>
    </row>
    <row r="220" ht="15.75" customHeight="1" s="108">
      <c r="A220" s="4" t="n"/>
      <c r="B220" s="4" t="n"/>
      <c r="C220" s="4" t="n"/>
      <c r="D220" s="4" t="n"/>
      <c r="E220" s="4" t="n"/>
      <c r="F220" s="4" t="n"/>
      <c r="G220" s="4" t="n"/>
      <c r="H220" s="4" t="n"/>
      <c r="I220" s="4" t="n"/>
    </row>
    <row r="221" ht="15.75" customHeight="1" s="108">
      <c r="A221" s="4" t="n"/>
      <c r="B221" s="4" t="n"/>
      <c r="C221" s="4" t="n"/>
      <c r="D221" s="4" t="n"/>
      <c r="E221" s="4" t="n"/>
      <c r="F221" s="4" t="n"/>
      <c r="G221" s="4" t="n"/>
      <c r="H221" s="4" t="n"/>
      <c r="I221" s="4" t="n"/>
    </row>
    <row r="222" ht="15.75" customHeight="1" s="108">
      <c r="A222" s="4" t="n"/>
      <c r="B222" s="4" t="n"/>
      <c r="C222" s="4" t="n"/>
      <c r="D222" s="4" t="n"/>
      <c r="E222" s="4" t="n"/>
      <c r="F222" s="4" t="n"/>
      <c r="G222" s="4" t="n"/>
      <c r="H222" s="4" t="n"/>
      <c r="I222" s="4" t="n"/>
    </row>
    <row r="223" ht="15.75" customHeight="1" s="108">
      <c r="A223" s="4" t="n"/>
      <c r="B223" s="4" t="n"/>
      <c r="C223" s="4" t="n"/>
      <c r="D223" s="4" t="n"/>
      <c r="E223" s="4" t="n"/>
      <c r="F223" s="4" t="n"/>
      <c r="G223" s="4" t="n"/>
      <c r="H223" s="4" t="n"/>
      <c r="I223" s="4" t="n"/>
    </row>
    <row r="224" ht="15.75" customHeight="1" s="108">
      <c r="A224" s="4" t="n"/>
      <c r="B224" s="4" t="n"/>
      <c r="C224" s="4" t="n"/>
      <c r="D224" s="4" t="n"/>
      <c r="E224" s="4" t="n"/>
      <c r="F224" s="4" t="n"/>
      <c r="G224" s="4" t="n"/>
      <c r="H224" s="4" t="n"/>
      <c r="I224" s="4" t="n"/>
    </row>
    <row r="225" ht="15.75" customHeight="1" s="108">
      <c r="A225" s="4" t="n"/>
      <c r="B225" s="4" t="n"/>
      <c r="C225" s="4" t="n"/>
      <c r="D225" s="4" t="n"/>
      <c r="E225" s="4" t="n"/>
      <c r="F225" s="4" t="n"/>
      <c r="G225" s="4" t="n"/>
      <c r="H225" s="4" t="n"/>
      <c r="I225" s="4" t="n"/>
    </row>
    <row r="226" ht="15.75" customHeight="1" s="108">
      <c r="A226" s="4" t="n"/>
      <c r="B226" s="4" t="n"/>
      <c r="C226" s="4" t="n"/>
      <c r="D226" s="4" t="n"/>
      <c r="E226" s="4" t="n"/>
      <c r="F226" s="4" t="n"/>
      <c r="G226" s="4" t="n"/>
      <c r="H226" s="4" t="n"/>
      <c r="I226" s="4" t="n"/>
    </row>
    <row r="227" ht="15.75" customHeight="1" s="108">
      <c r="A227" s="4" t="n"/>
      <c r="B227" s="4" t="n"/>
      <c r="C227" s="4" t="n"/>
      <c r="D227" s="4" t="n"/>
      <c r="E227" s="4" t="n"/>
      <c r="F227" s="4" t="n"/>
      <c r="G227" s="4" t="n"/>
      <c r="H227" s="4" t="n"/>
      <c r="I227" s="4" t="n"/>
    </row>
    <row r="228" ht="15.75" customHeight="1" s="108">
      <c r="A228" s="4" t="n"/>
      <c r="B228" s="4" t="n"/>
      <c r="C228" s="4" t="n"/>
      <c r="D228" s="4" t="n"/>
      <c r="E228" s="4" t="n"/>
      <c r="F228" s="4" t="n"/>
      <c r="G228" s="4" t="n"/>
      <c r="H228" s="4" t="n"/>
      <c r="I228" s="4" t="n"/>
    </row>
    <row r="229" ht="15.75" customHeight="1" s="108">
      <c r="A229" s="4" t="n"/>
      <c r="B229" s="4" t="n"/>
      <c r="C229" s="4" t="n"/>
      <c r="D229" s="4" t="n"/>
      <c r="E229" s="4" t="n"/>
      <c r="F229" s="4" t="n"/>
      <c r="G229" s="4" t="n"/>
      <c r="H229" s="4" t="n"/>
      <c r="I229" s="4" t="n"/>
    </row>
    <row r="230" ht="15.75" customHeight="1" s="108">
      <c r="A230" s="4" t="n"/>
      <c r="B230" s="4" t="n"/>
      <c r="C230" s="4" t="n"/>
      <c r="D230" s="4" t="n"/>
      <c r="E230" s="4" t="n"/>
      <c r="F230" s="4" t="n"/>
      <c r="G230" s="4" t="n"/>
      <c r="H230" s="4" t="n"/>
      <c r="I230" s="4" t="n"/>
    </row>
    <row r="231" ht="15.75" customHeight="1" s="108">
      <c r="A231" s="4" t="n"/>
      <c r="B231" s="4" t="n"/>
      <c r="C231" s="4" t="n"/>
      <c r="D231" s="4" t="n"/>
      <c r="E231" s="4" t="n"/>
      <c r="F231" s="4" t="n"/>
      <c r="G231" s="4" t="n"/>
      <c r="H231" s="4" t="n"/>
      <c r="I231" s="4" t="n"/>
    </row>
    <row r="232" ht="15.75" customHeight="1" s="108">
      <c r="A232" s="4" t="n"/>
      <c r="B232" s="4" t="n"/>
      <c r="C232" s="4" t="n"/>
      <c r="D232" s="4" t="n"/>
      <c r="E232" s="4" t="n"/>
      <c r="F232" s="4" t="n"/>
      <c r="G232" s="4" t="n"/>
      <c r="H232" s="4" t="n"/>
      <c r="I232" s="4" t="n"/>
    </row>
    <row r="233" ht="15.75" customHeight="1" s="108">
      <c r="A233" s="4" t="n"/>
      <c r="B233" s="4" t="n"/>
      <c r="C233" s="4" t="n"/>
      <c r="D233" s="4" t="n"/>
      <c r="E233" s="4" t="n"/>
      <c r="F233" s="4" t="n"/>
      <c r="G233" s="4" t="n"/>
      <c r="H233" s="4" t="n"/>
      <c r="I233" s="4" t="n"/>
    </row>
    <row r="234" ht="15.75" customHeight="1" s="108">
      <c r="A234" s="4" t="n"/>
      <c r="B234" s="4" t="n"/>
      <c r="C234" s="4" t="n"/>
      <c r="D234" s="4" t="n"/>
      <c r="E234" s="4" t="n"/>
      <c r="F234" s="4" t="n"/>
      <c r="G234" s="4" t="n"/>
      <c r="H234" s="4" t="n"/>
      <c r="I234" s="4" t="n"/>
    </row>
    <row r="235" ht="15.75" customHeight="1" s="108">
      <c r="A235" s="4" t="n"/>
      <c r="B235" s="4" t="n"/>
      <c r="C235" s="4" t="n"/>
      <c r="D235" s="4" t="n"/>
      <c r="E235" s="4" t="n"/>
      <c r="F235" s="4" t="n"/>
      <c r="G235" s="4" t="n"/>
      <c r="H235" s="4" t="n"/>
      <c r="I235" s="4" t="n"/>
    </row>
    <row r="236" ht="15.75" customHeight="1" s="108">
      <c r="A236" s="4" t="n"/>
      <c r="B236" s="4" t="n"/>
      <c r="C236" s="4" t="n"/>
      <c r="D236" s="4" t="n"/>
      <c r="E236" s="4" t="n"/>
      <c r="F236" s="4" t="n"/>
      <c r="G236" s="4" t="n"/>
      <c r="H236" s="4" t="n"/>
      <c r="I236" s="4" t="n"/>
    </row>
    <row r="237" ht="15.75" customHeight="1" s="108">
      <c r="A237" s="4" t="n"/>
      <c r="B237" s="4" t="n"/>
      <c r="C237" s="4" t="n"/>
      <c r="D237" s="4" t="n"/>
      <c r="E237" s="4" t="n"/>
      <c r="F237" s="4" t="n"/>
      <c r="G237" s="4" t="n"/>
      <c r="H237" s="4" t="n"/>
      <c r="I237" s="4" t="n"/>
    </row>
    <row r="238" ht="15.75" customHeight="1" s="108">
      <c r="A238" s="4" t="n"/>
      <c r="B238" s="4" t="n"/>
      <c r="C238" s="4" t="n"/>
      <c r="D238" s="4" t="n"/>
      <c r="E238" s="4" t="n"/>
      <c r="F238" s="4" t="n"/>
      <c r="G238" s="4" t="n"/>
      <c r="H238" s="4" t="n"/>
      <c r="I238" s="4" t="n"/>
    </row>
    <row r="239" ht="15.75" customHeight="1" s="108">
      <c r="A239" s="4" t="n"/>
      <c r="B239" s="4" t="n"/>
      <c r="C239" s="4" t="n"/>
      <c r="D239" s="4" t="n"/>
      <c r="E239" s="4" t="n"/>
      <c r="F239" s="4" t="n"/>
      <c r="G239" s="4" t="n"/>
      <c r="H239" s="4" t="n"/>
      <c r="I239" s="4" t="n"/>
    </row>
    <row r="240" ht="15.75" customHeight="1" s="108">
      <c r="A240" s="4" t="n"/>
      <c r="B240" s="4" t="n"/>
      <c r="C240" s="4" t="n"/>
      <c r="D240" s="4" t="n"/>
      <c r="E240" s="4" t="n"/>
      <c r="F240" s="4" t="n"/>
      <c r="G240" s="4" t="n"/>
      <c r="H240" s="4" t="n"/>
      <c r="I240" s="4" t="n"/>
    </row>
    <row r="241" ht="15.75" customHeight="1" s="108">
      <c r="A241" s="4" t="n"/>
      <c r="B241" s="4" t="n"/>
      <c r="C241" s="4" t="n"/>
      <c r="D241" s="4" t="n"/>
      <c r="E241" s="4" t="n"/>
      <c r="F241" s="4" t="n"/>
      <c r="G241" s="4" t="n"/>
      <c r="H241" s="4" t="n"/>
      <c r="I241" s="4" t="n"/>
    </row>
    <row r="242" ht="15.75" customHeight="1" s="108">
      <c r="A242" s="4" t="n"/>
      <c r="B242" s="4" t="n"/>
      <c r="C242" s="4" t="n"/>
      <c r="D242" s="4" t="n"/>
      <c r="E242" s="4" t="n"/>
      <c r="F242" s="4" t="n"/>
      <c r="G242" s="4" t="n"/>
      <c r="H242" s="4" t="n"/>
      <c r="I242" s="4" t="n"/>
    </row>
    <row r="243" ht="15.75" customHeight="1" s="108">
      <c r="A243" s="4" t="n"/>
      <c r="B243" s="4" t="n"/>
      <c r="C243" s="4" t="n"/>
      <c r="D243" s="4" t="n"/>
      <c r="E243" s="4" t="n"/>
      <c r="F243" s="4" t="n"/>
      <c r="G243" s="4" t="n"/>
      <c r="H243" s="4" t="n"/>
      <c r="I243" s="4" t="n"/>
    </row>
    <row r="244" ht="15.75" customHeight="1" s="108">
      <c r="A244" s="4" t="n"/>
      <c r="B244" s="4" t="n"/>
      <c r="C244" s="4" t="n"/>
      <c r="D244" s="4" t="n"/>
      <c r="E244" s="4" t="n"/>
      <c r="F244" s="4" t="n"/>
      <c r="G244" s="4" t="n"/>
      <c r="H244" s="4" t="n"/>
      <c r="I244" s="4" t="n"/>
    </row>
    <row r="245" ht="15.75" customHeight="1" s="108">
      <c r="A245" s="4" t="n"/>
      <c r="B245" s="4" t="n"/>
      <c r="C245" s="4" t="n"/>
      <c r="D245" s="4" t="n"/>
      <c r="E245" s="4" t="n"/>
      <c r="F245" s="4" t="n"/>
      <c r="G245" s="4" t="n"/>
      <c r="H245" s="4" t="n"/>
      <c r="I245" s="4" t="n"/>
    </row>
    <row r="246" ht="15.75" customHeight="1" s="108">
      <c r="A246" s="4" t="n"/>
      <c r="B246" s="4" t="n"/>
      <c r="C246" s="4" t="n"/>
      <c r="D246" s="4" t="n"/>
      <c r="E246" s="4" t="n"/>
      <c r="F246" s="4" t="n"/>
      <c r="G246" s="4" t="n"/>
      <c r="H246" s="4" t="n"/>
      <c r="I246" s="4" t="n"/>
    </row>
    <row r="247" ht="15.75" customHeight="1" s="108">
      <c r="A247" s="4" t="n"/>
      <c r="B247" s="4" t="n"/>
      <c r="C247" s="4" t="n"/>
      <c r="D247" s="4" t="n"/>
      <c r="E247" s="4" t="n"/>
      <c r="F247" s="4" t="n"/>
      <c r="G247" s="4" t="n"/>
      <c r="H247" s="4" t="n"/>
      <c r="I247" s="4" t="n"/>
    </row>
    <row r="248" ht="15.75" customHeight="1" s="108">
      <c r="A248" s="4" t="n"/>
      <c r="B248" s="4" t="n"/>
      <c r="C248" s="4" t="n"/>
      <c r="D248" s="4" t="n"/>
      <c r="E248" s="4" t="n"/>
      <c r="F248" s="4" t="n"/>
      <c r="G248" s="4" t="n"/>
      <c r="H248" s="4" t="n"/>
      <c r="I248" s="4" t="n"/>
    </row>
    <row r="249" ht="15.75" customHeight="1" s="108">
      <c r="A249" s="4" t="n"/>
      <c r="B249" s="4" t="n"/>
      <c r="C249" s="4" t="n"/>
      <c r="D249" s="4" t="n"/>
      <c r="E249" s="4" t="n"/>
      <c r="F249" s="4" t="n"/>
      <c r="G249" s="4" t="n"/>
      <c r="H249" s="4" t="n"/>
      <c r="I249" s="4" t="n"/>
    </row>
    <row r="250" ht="15.75" customHeight="1" s="108">
      <c r="A250" s="4" t="n"/>
      <c r="B250" s="4" t="n"/>
      <c r="C250" s="4" t="n"/>
      <c r="D250" s="4" t="n"/>
      <c r="E250" s="4" t="n"/>
      <c r="F250" s="4" t="n"/>
      <c r="G250" s="4" t="n"/>
      <c r="H250" s="4" t="n"/>
      <c r="I250" s="4" t="n"/>
    </row>
    <row r="251" ht="15.75" customHeight="1" s="108">
      <c r="A251" s="4" t="n"/>
      <c r="B251" s="4" t="n"/>
      <c r="C251" s="4" t="n"/>
      <c r="D251" s="4" t="n"/>
      <c r="E251" s="4" t="n"/>
      <c r="F251" s="4" t="n"/>
      <c r="G251" s="4" t="n"/>
      <c r="H251" s="4" t="n"/>
      <c r="I251" s="4" t="n"/>
    </row>
    <row r="252" ht="15.75" customHeight="1" s="108">
      <c r="A252" s="4" t="n"/>
      <c r="B252" s="4" t="n"/>
      <c r="C252" s="4" t="n"/>
      <c r="D252" s="4" t="n"/>
      <c r="E252" s="4" t="n"/>
      <c r="F252" s="4" t="n"/>
      <c r="G252" s="4" t="n"/>
      <c r="H252" s="4" t="n"/>
      <c r="I252" s="4" t="n"/>
    </row>
    <row r="253" ht="15.75" customHeight="1" s="108">
      <c r="A253" s="4" t="n"/>
      <c r="B253" s="4" t="n"/>
      <c r="C253" s="4" t="n"/>
      <c r="D253" s="4" t="n"/>
      <c r="E253" s="4" t="n"/>
      <c r="F253" s="4" t="n"/>
      <c r="G253" s="4" t="n"/>
      <c r="H253" s="4" t="n"/>
      <c r="I253" s="4" t="n"/>
    </row>
    <row r="254" ht="15.75" customHeight="1" s="108">
      <c r="A254" s="4" t="n"/>
      <c r="B254" s="4" t="n"/>
      <c r="C254" s="4" t="n"/>
      <c r="D254" s="4" t="n"/>
      <c r="E254" s="4" t="n"/>
      <c r="F254" s="4" t="n"/>
      <c r="G254" s="4" t="n"/>
      <c r="H254" s="4" t="n"/>
      <c r="I254" s="4" t="n"/>
    </row>
    <row r="255" ht="15.75" customHeight="1" s="108">
      <c r="A255" s="4" t="n"/>
      <c r="B255" s="4" t="n"/>
      <c r="C255" s="4" t="n"/>
      <c r="D255" s="4" t="n"/>
      <c r="E255" s="4" t="n"/>
      <c r="F255" s="4" t="n"/>
      <c r="G255" s="4" t="n"/>
      <c r="H255" s="4" t="n"/>
      <c r="I255" s="4" t="n"/>
    </row>
    <row r="256" ht="15.75" customHeight="1" s="108">
      <c r="A256" s="4" t="n"/>
      <c r="B256" s="4" t="n"/>
      <c r="C256" s="4" t="n"/>
      <c r="D256" s="4" t="n"/>
      <c r="E256" s="4" t="n"/>
      <c r="F256" s="4" t="n"/>
      <c r="G256" s="4" t="n"/>
      <c r="H256" s="4" t="n"/>
      <c r="I256" s="4" t="n"/>
    </row>
    <row r="257" ht="15.75" customHeight="1" s="108">
      <c r="A257" s="4" t="n"/>
      <c r="B257" s="4" t="n"/>
      <c r="C257" s="4" t="n"/>
      <c r="D257" s="4" t="n"/>
      <c r="E257" s="4" t="n"/>
      <c r="F257" s="4" t="n"/>
      <c r="G257" s="4" t="n"/>
      <c r="H257" s="4" t="n"/>
      <c r="I257" s="4" t="n"/>
    </row>
    <row r="258" ht="15.75" customHeight="1" s="108">
      <c r="A258" s="4" t="n"/>
      <c r="B258" s="4" t="n"/>
      <c r="C258" s="4" t="n"/>
      <c r="D258" s="4" t="n"/>
      <c r="E258" s="4" t="n"/>
      <c r="F258" s="4" t="n"/>
      <c r="G258" s="4" t="n"/>
      <c r="H258" s="4" t="n"/>
      <c r="I258" s="4" t="n"/>
    </row>
    <row r="259" ht="15.75" customHeight="1" s="108">
      <c r="A259" s="4" t="n"/>
      <c r="B259" s="4" t="n"/>
      <c r="C259" s="4" t="n"/>
      <c r="D259" s="4" t="n"/>
      <c r="E259" s="4" t="n"/>
      <c r="F259" s="4" t="n"/>
      <c r="G259" s="4" t="n"/>
      <c r="H259" s="4" t="n"/>
      <c r="I259" s="4" t="n"/>
    </row>
    <row r="260" ht="15.75" customHeight="1" s="108">
      <c r="A260" s="4" t="n"/>
      <c r="B260" s="4" t="n"/>
      <c r="C260" s="4" t="n"/>
      <c r="D260" s="4" t="n"/>
      <c r="E260" s="4" t="n"/>
      <c r="F260" s="4" t="n"/>
      <c r="G260" s="4" t="n"/>
      <c r="H260" s="4" t="n"/>
      <c r="I260" s="4" t="n"/>
    </row>
    <row r="261" ht="15.75" customHeight="1" s="108">
      <c r="A261" s="4" t="n"/>
      <c r="B261" s="4" t="n"/>
      <c r="C261" s="4" t="n"/>
      <c r="D261" s="4" t="n"/>
      <c r="E261" s="4" t="n"/>
      <c r="F261" s="4" t="n"/>
      <c r="G261" s="4" t="n"/>
      <c r="H261" s="4" t="n"/>
      <c r="I261" s="4" t="n"/>
    </row>
    <row r="262" ht="15.75" customHeight="1" s="108">
      <c r="A262" s="4" t="n"/>
      <c r="B262" s="4" t="n"/>
      <c r="C262" s="4" t="n"/>
      <c r="D262" s="4" t="n"/>
      <c r="E262" s="4" t="n"/>
      <c r="F262" s="4" t="n"/>
      <c r="G262" s="4" t="n"/>
      <c r="H262" s="4" t="n"/>
      <c r="I262" s="4" t="n"/>
    </row>
    <row r="263" ht="15.75" customHeight="1" s="108">
      <c r="A263" s="4" t="n"/>
      <c r="B263" s="4" t="n"/>
      <c r="C263" s="4" t="n"/>
      <c r="D263" s="4" t="n"/>
      <c r="E263" s="4" t="n"/>
      <c r="F263" s="4" t="n"/>
      <c r="G263" s="4" t="n"/>
      <c r="H263" s="4" t="n"/>
      <c r="I263" s="4" t="n"/>
    </row>
    <row r="264" ht="15.75" customHeight="1" s="108">
      <c r="A264" s="4" t="n"/>
      <c r="B264" s="4" t="n"/>
      <c r="C264" s="4" t="n"/>
      <c r="D264" s="4" t="n"/>
      <c r="E264" s="4" t="n"/>
      <c r="F264" s="4" t="n"/>
      <c r="G264" s="4" t="n"/>
      <c r="H264" s="4" t="n"/>
      <c r="I264" s="4" t="n"/>
    </row>
    <row r="265" ht="15.75" customHeight="1" s="108">
      <c r="A265" s="4" t="n"/>
      <c r="B265" s="4" t="n"/>
      <c r="C265" s="4" t="n"/>
      <c r="D265" s="4" t="n"/>
      <c r="E265" s="4" t="n"/>
      <c r="F265" s="4" t="n"/>
      <c r="G265" s="4" t="n"/>
      <c r="H265" s="4" t="n"/>
      <c r="I265" s="4" t="n"/>
    </row>
    <row r="266" ht="15.75" customHeight="1" s="108">
      <c r="A266" s="4" t="n"/>
      <c r="B266" s="4" t="n"/>
      <c r="C266" s="4" t="n"/>
      <c r="D266" s="4" t="n"/>
      <c r="E266" s="4" t="n"/>
      <c r="F266" s="4" t="n"/>
      <c r="G266" s="4" t="n"/>
      <c r="H266" s="4" t="n"/>
      <c r="I266" s="4" t="n"/>
    </row>
    <row r="267" ht="15.75" customHeight="1" s="108">
      <c r="A267" s="4" t="n"/>
      <c r="B267" s="4" t="n"/>
      <c r="C267" s="4" t="n"/>
      <c r="D267" s="4" t="n"/>
      <c r="E267" s="4" t="n"/>
      <c r="F267" s="4" t="n"/>
      <c r="G267" s="4" t="n"/>
      <c r="H267" s="4" t="n"/>
      <c r="I267" s="4" t="n"/>
    </row>
    <row r="268" ht="15.75" customHeight="1" s="108">
      <c r="A268" s="4" t="n"/>
      <c r="B268" s="4" t="n"/>
      <c r="C268" s="4" t="n"/>
      <c r="D268" s="4" t="n"/>
      <c r="E268" s="4" t="n"/>
      <c r="F268" s="4" t="n"/>
      <c r="G268" s="4" t="n"/>
      <c r="H268" s="4" t="n"/>
      <c r="I268" s="4" t="n"/>
    </row>
    <row r="269" ht="15.75" customHeight="1" s="108">
      <c r="A269" s="4" t="n"/>
      <c r="B269" s="4" t="n"/>
      <c r="C269" s="4" t="n"/>
      <c r="D269" s="4" t="n"/>
      <c r="E269" s="4" t="n"/>
      <c r="F269" s="4" t="n"/>
      <c r="G269" s="4" t="n"/>
      <c r="H269" s="4" t="n"/>
      <c r="I269" s="4" t="n"/>
    </row>
    <row r="270" ht="15.75" customHeight="1" s="108">
      <c r="A270" s="4" t="n"/>
      <c r="B270" s="4" t="n"/>
      <c r="C270" s="4" t="n"/>
      <c r="D270" s="4" t="n"/>
      <c r="E270" s="4" t="n"/>
      <c r="F270" s="4" t="n"/>
      <c r="G270" s="4" t="n"/>
      <c r="H270" s="4" t="n"/>
      <c r="I270" s="4" t="n"/>
    </row>
    <row r="271" ht="15.75" customHeight="1" s="108">
      <c r="A271" s="4" t="n"/>
      <c r="B271" s="4" t="n"/>
      <c r="C271" s="4" t="n"/>
      <c r="D271" s="4" t="n"/>
      <c r="E271" s="4" t="n"/>
      <c r="F271" s="4" t="n"/>
      <c r="G271" s="4" t="n"/>
      <c r="H271" s="4" t="n"/>
      <c r="I271" s="4" t="n"/>
    </row>
    <row r="272" ht="15.75" customHeight="1" s="108">
      <c r="A272" s="4" t="n"/>
      <c r="B272" s="4" t="n"/>
      <c r="C272" s="4" t="n"/>
      <c r="D272" s="4" t="n"/>
      <c r="E272" s="4" t="n"/>
      <c r="F272" s="4" t="n"/>
      <c r="G272" s="4" t="n"/>
      <c r="H272" s="4" t="n"/>
      <c r="I272" s="4" t="n"/>
    </row>
    <row r="273" ht="15.75" customHeight="1" s="108">
      <c r="A273" s="4" t="n"/>
      <c r="B273" s="4" t="n"/>
      <c r="C273" s="4" t="n"/>
      <c r="D273" s="4" t="n"/>
      <c r="E273" s="4" t="n"/>
      <c r="F273" s="4" t="n"/>
      <c r="G273" s="4" t="n"/>
      <c r="H273" s="4" t="n"/>
      <c r="I273" s="4" t="n"/>
    </row>
    <row r="274" ht="15.75" customHeight="1" s="108">
      <c r="A274" s="4" t="n"/>
      <c r="B274" s="4" t="n"/>
      <c r="C274" s="4" t="n"/>
      <c r="D274" s="4" t="n"/>
      <c r="E274" s="4" t="n"/>
      <c r="F274" s="4" t="n"/>
      <c r="G274" s="4" t="n"/>
      <c r="H274" s="4" t="n"/>
      <c r="I274" s="4" t="n"/>
    </row>
    <row r="275" ht="15.75" customHeight="1" s="108">
      <c r="A275" s="4" t="n"/>
      <c r="B275" s="4" t="n"/>
      <c r="C275" s="4" t="n"/>
      <c r="D275" s="4" t="n"/>
      <c r="E275" s="4" t="n"/>
      <c r="F275" s="4" t="n"/>
      <c r="G275" s="4" t="n"/>
      <c r="H275" s="4" t="n"/>
      <c r="I275" s="4" t="n"/>
    </row>
    <row r="276" ht="15.75" customHeight="1" s="108">
      <c r="A276" s="4" t="n"/>
      <c r="B276" s="4" t="n"/>
      <c r="C276" s="4" t="n"/>
      <c r="D276" s="4" t="n"/>
      <c r="E276" s="4" t="n"/>
      <c r="F276" s="4" t="n"/>
      <c r="G276" s="4" t="n"/>
      <c r="H276" s="4" t="n"/>
      <c r="I276" s="4" t="n"/>
    </row>
    <row r="277" ht="15.75" customHeight="1" s="108">
      <c r="A277" s="4" t="n"/>
      <c r="B277" s="4" t="n"/>
      <c r="C277" s="4" t="n"/>
      <c r="D277" s="4" t="n"/>
      <c r="E277" s="4" t="n"/>
      <c r="F277" s="4" t="n"/>
      <c r="G277" s="4" t="n"/>
      <c r="H277" s="4" t="n"/>
      <c r="I277" s="4" t="n"/>
    </row>
    <row r="278" ht="15.75" customHeight="1" s="108">
      <c r="A278" s="4" t="n"/>
      <c r="B278" s="4" t="n"/>
      <c r="C278" s="4" t="n"/>
      <c r="D278" s="4" t="n"/>
      <c r="E278" s="4" t="n"/>
      <c r="F278" s="4" t="n"/>
      <c r="G278" s="4" t="n"/>
      <c r="H278" s="4" t="n"/>
      <c r="I278" s="4" t="n"/>
    </row>
    <row r="279" ht="15.75" customHeight="1" s="108">
      <c r="A279" s="4" t="n"/>
      <c r="B279" s="4" t="n"/>
      <c r="C279" s="4" t="n"/>
      <c r="D279" s="4" t="n"/>
      <c r="E279" s="4" t="n"/>
      <c r="F279" s="4" t="n"/>
      <c r="G279" s="4" t="n"/>
      <c r="H279" s="4" t="n"/>
      <c r="I279" s="4" t="n"/>
    </row>
    <row r="280" ht="15.75" customHeight="1" s="108">
      <c r="A280" s="4" t="n"/>
      <c r="B280" s="4" t="n"/>
      <c r="C280" s="4" t="n"/>
      <c r="D280" s="4" t="n"/>
      <c r="E280" s="4" t="n"/>
      <c r="F280" s="4" t="n"/>
      <c r="G280" s="4" t="n"/>
      <c r="H280" s="4" t="n"/>
      <c r="I280" s="4" t="n"/>
    </row>
    <row r="281" ht="15.75" customHeight="1" s="108">
      <c r="A281" s="4" t="n"/>
      <c r="B281" s="4" t="n"/>
      <c r="C281" s="4" t="n"/>
      <c r="D281" s="4" t="n"/>
      <c r="E281" s="4" t="n"/>
      <c r="F281" s="4" t="n"/>
      <c r="G281" s="4" t="n"/>
      <c r="H281" s="4" t="n"/>
      <c r="I281" s="4" t="n"/>
    </row>
    <row r="282" ht="15.75" customHeight="1" s="108">
      <c r="A282" s="4" t="n"/>
      <c r="B282" s="4" t="n"/>
      <c r="C282" s="4" t="n"/>
      <c r="D282" s="4" t="n"/>
      <c r="E282" s="4" t="n"/>
      <c r="F282" s="4" t="n"/>
      <c r="G282" s="4" t="n"/>
      <c r="H282" s="4" t="n"/>
      <c r="I282" s="4" t="n"/>
    </row>
    <row r="283" ht="15.75" customHeight="1" s="108">
      <c r="A283" s="4" t="n"/>
      <c r="B283" s="4" t="n"/>
      <c r="C283" s="4" t="n"/>
      <c r="D283" s="4" t="n"/>
      <c r="E283" s="4" t="n"/>
      <c r="F283" s="4" t="n"/>
      <c r="G283" s="4" t="n"/>
      <c r="H283" s="4" t="n"/>
      <c r="I283" s="4" t="n"/>
    </row>
    <row r="284" ht="15.75" customHeight="1" s="108">
      <c r="A284" s="4" t="n"/>
      <c r="B284" s="4" t="n"/>
      <c r="C284" s="4" t="n"/>
      <c r="D284" s="4" t="n"/>
      <c r="E284" s="4" t="n"/>
      <c r="F284" s="4" t="n"/>
      <c r="G284" s="4" t="n"/>
      <c r="H284" s="4" t="n"/>
      <c r="I284" s="4" t="n"/>
    </row>
    <row r="285" ht="15.75" customHeight="1" s="108">
      <c r="A285" s="4" t="n"/>
      <c r="B285" s="4" t="n"/>
      <c r="C285" s="4" t="n"/>
      <c r="D285" s="4" t="n"/>
      <c r="E285" s="4" t="n"/>
      <c r="F285" s="4" t="n"/>
      <c r="G285" s="4" t="n"/>
      <c r="H285" s="4" t="n"/>
      <c r="I285" s="4" t="n"/>
    </row>
    <row r="286" ht="15.75" customHeight="1" s="108">
      <c r="A286" s="4" t="n"/>
      <c r="B286" s="4" t="n"/>
      <c r="C286" s="4" t="n"/>
      <c r="D286" s="4" t="n"/>
      <c r="E286" s="4" t="n"/>
      <c r="F286" s="4" t="n"/>
      <c r="G286" s="4" t="n"/>
      <c r="H286" s="4" t="n"/>
      <c r="I286" s="4" t="n"/>
    </row>
    <row r="287" ht="15.75" customHeight="1" s="108">
      <c r="A287" s="4" t="n"/>
      <c r="B287" s="4" t="n"/>
      <c r="C287" s="4" t="n"/>
      <c r="D287" s="4" t="n"/>
      <c r="E287" s="4" t="n"/>
      <c r="F287" s="4" t="n"/>
      <c r="G287" s="4" t="n"/>
      <c r="H287" s="4" t="n"/>
      <c r="I287" s="4" t="n"/>
    </row>
    <row r="288" ht="15.75" customHeight="1" s="108">
      <c r="A288" s="4" t="n"/>
      <c r="B288" s="4" t="n"/>
      <c r="C288" s="4" t="n"/>
      <c r="D288" s="4" t="n"/>
      <c r="E288" s="4" t="n"/>
      <c r="F288" s="4" t="n"/>
      <c r="G288" s="4" t="n"/>
      <c r="H288" s="4" t="n"/>
      <c r="I288" s="4" t="n"/>
    </row>
    <row r="289" ht="15.75" customHeight="1" s="108">
      <c r="A289" s="4" t="n"/>
      <c r="B289" s="4" t="n"/>
      <c r="C289" s="4" t="n"/>
      <c r="D289" s="4" t="n"/>
      <c r="E289" s="4" t="n"/>
      <c r="F289" s="4" t="n"/>
      <c r="G289" s="4" t="n"/>
      <c r="H289" s="4" t="n"/>
      <c r="I289" s="4" t="n"/>
    </row>
    <row r="290" ht="15.75" customHeight="1" s="108">
      <c r="A290" s="4" t="n"/>
      <c r="B290" s="4" t="n"/>
      <c r="C290" s="4" t="n"/>
      <c r="D290" s="4" t="n"/>
      <c r="E290" s="4" t="n"/>
      <c r="F290" s="4" t="n"/>
      <c r="G290" s="4" t="n"/>
      <c r="H290" s="4" t="n"/>
      <c r="I290" s="4" t="n"/>
    </row>
    <row r="291" ht="15.75" customHeight="1" s="108">
      <c r="A291" s="4" t="n"/>
      <c r="B291" s="4" t="n"/>
      <c r="C291" s="4" t="n"/>
      <c r="D291" s="4" t="n"/>
      <c r="E291" s="4" t="n"/>
      <c r="F291" s="4" t="n"/>
      <c r="G291" s="4" t="n"/>
      <c r="H291" s="4" t="n"/>
      <c r="I291" s="4" t="n"/>
    </row>
    <row r="292" ht="15.75" customHeight="1" s="108">
      <c r="A292" s="4" t="n"/>
      <c r="B292" s="4" t="n"/>
      <c r="C292" s="4" t="n"/>
      <c r="D292" s="4" t="n"/>
      <c r="E292" s="4" t="n"/>
      <c r="F292" s="4" t="n"/>
      <c r="G292" s="4" t="n"/>
      <c r="H292" s="4" t="n"/>
      <c r="I292" s="4" t="n"/>
    </row>
    <row r="293" ht="15.75" customHeight="1" s="108">
      <c r="A293" s="4" t="n"/>
      <c r="B293" s="4" t="n"/>
      <c r="C293" s="4" t="n"/>
      <c r="D293" s="4" t="n"/>
      <c r="E293" s="4" t="n"/>
      <c r="F293" s="4" t="n"/>
      <c r="G293" s="4" t="n"/>
      <c r="H293" s="4" t="n"/>
      <c r="I293" s="4" t="n"/>
    </row>
    <row r="294" ht="15.75" customHeight="1" s="108">
      <c r="A294" s="4" t="n"/>
      <c r="B294" s="4" t="n"/>
      <c r="C294" s="4" t="n"/>
      <c r="D294" s="4" t="n"/>
      <c r="E294" s="4" t="n"/>
      <c r="F294" s="4" t="n"/>
      <c r="G294" s="4" t="n"/>
      <c r="H294" s="4" t="n"/>
      <c r="I294" s="4" t="n"/>
    </row>
    <row r="295" ht="15.75" customHeight="1" s="108">
      <c r="A295" s="4" t="n"/>
      <c r="B295" s="4" t="n"/>
      <c r="C295" s="4" t="n"/>
      <c r="D295" s="4" t="n"/>
      <c r="E295" s="4" t="n"/>
      <c r="F295" s="4" t="n"/>
      <c r="G295" s="4" t="n"/>
      <c r="H295" s="4" t="n"/>
      <c r="I295" s="4" t="n"/>
    </row>
    <row r="296" ht="15.75" customHeight="1" s="108">
      <c r="A296" s="4" t="n"/>
      <c r="B296" s="4" t="n"/>
      <c r="C296" s="4" t="n"/>
      <c r="D296" s="4" t="n"/>
      <c r="E296" s="4" t="n"/>
      <c r="F296" s="4" t="n"/>
      <c r="G296" s="4" t="n"/>
      <c r="H296" s="4" t="n"/>
      <c r="I296" s="4" t="n"/>
    </row>
    <row r="297" ht="15.75" customHeight="1" s="108">
      <c r="A297" s="4" t="n"/>
      <c r="B297" s="4" t="n"/>
      <c r="C297" s="4" t="n"/>
      <c r="D297" s="4" t="n"/>
      <c r="E297" s="4" t="n"/>
      <c r="F297" s="4" t="n"/>
      <c r="G297" s="4" t="n"/>
      <c r="H297" s="4" t="n"/>
      <c r="I297" s="4" t="n"/>
    </row>
    <row r="298" ht="15.75" customHeight="1" s="108">
      <c r="A298" s="4" t="n"/>
      <c r="B298" s="4" t="n"/>
      <c r="C298" s="4" t="n"/>
      <c r="D298" s="4" t="n"/>
      <c r="E298" s="4" t="n"/>
      <c r="F298" s="4" t="n"/>
      <c r="G298" s="4" t="n"/>
      <c r="H298" s="4" t="n"/>
      <c r="I298" s="4" t="n"/>
    </row>
    <row r="299" ht="15.75" customHeight="1" s="108">
      <c r="A299" s="4" t="n"/>
      <c r="B299" s="4" t="n"/>
      <c r="C299" s="4" t="n"/>
      <c r="D299" s="4" t="n"/>
      <c r="E299" s="4" t="n"/>
      <c r="F299" s="4" t="n"/>
      <c r="G299" s="4" t="n"/>
      <c r="H299" s="4" t="n"/>
      <c r="I299" s="4" t="n"/>
    </row>
    <row r="300" ht="15.75" customHeight="1" s="108">
      <c r="A300" s="4" t="n"/>
      <c r="B300" s="4" t="n"/>
      <c r="C300" s="4" t="n"/>
      <c r="D300" s="4" t="n"/>
      <c r="E300" s="4" t="n"/>
      <c r="F300" s="4" t="n"/>
      <c r="G300" s="4" t="n"/>
      <c r="H300" s="4" t="n"/>
      <c r="I300" s="4" t="n"/>
    </row>
    <row r="301" ht="15.75" customHeight="1" s="108">
      <c r="A301" s="4" t="n"/>
      <c r="B301" s="4" t="n"/>
      <c r="C301" s="4" t="n"/>
      <c r="D301" s="4" t="n"/>
      <c r="E301" s="4" t="n"/>
      <c r="F301" s="4" t="n"/>
      <c r="G301" s="4" t="n"/>
      <c r="H301" s="4" t="n"/>
      <c r="I301" s="4" t="n"/>
    </row>
    <row r="302" ht="15.75" customHeight="1" s="108">
      <c r="A302" s="4" t="n"/>
      <c r="B302" s="4" t="n"/>
      <c r="C302" s="4" t="n"/>
      <c r="D302" s="4" t="n"/>
      <c r="E302" s="4" t="n"/>
      <c r="F302" s="4" t="n"/>
      <c r="G302" s="4" t="n"/>
      <c r="H302" s="4" t="n"/>
      <c r="I302" s="4" t="n"/>
    </row>
    <row r="303" ht="15.75" customHeight="1" s="108">
      <c r="A303" s="4" t="n"/>
      <c r="B303" s="4" t="n"/>
      <c r="C303" s="4" t="n"/>
      <c r="D303" s="4" t="n"/>
      <c r="E303" s="4" t="n"/>
      <c r="F303" s="4" t="n"/>
      <c r="G303" s="4" t="n"/>
      <c r="H303" s="4" t="n"/>
      <c r="I303" s="4" t="n"/>
    </row>
    <row r="304" ht="15.75" customHeight="1" s="108">
      <c r="A304" s="4" t="n"/>
      <c r="B304" s="4" t="n"/>
      <c r="C304" s="4" t="n"/>
      <c r="D304" s="4" t="n"/>
      <c r="E304" s="4" t="n"/>
      <c r="F304" s="4" t="n"/>
      <c r="G304" s="4" t="n"/>
      <c r="H304" s="4" t="n"/>
      <c r="I304" s="4" t="n"/>
    </row>
    <row r="305" ht="15.75" customHeight="1" s="108">
      <c r="A305" s="4" t="n"/>
      <c r="B305" s="4" t="n"/>
      <c r="C305" s="4" t="n"/>
      <c r="D305" s="4" t="n"/>
      <c r="E305" s="4" t="n"/>
      <c r="F305" s="4" t="n"/>
      <c r="G305" s="4" t="n"/>
      <c r="H305" s="4" t="n"/>
      <c r="I305" s="4" t="n"/>
    </row>
    <row r="306" ht="15.75" customHeight="1" s="108">
      <c r="A306" s="4" t="n"/>
      <c r="B306" s="4" t="n"/>
      <c r="C306" s="4" t="n"/>
      <c r="D306" s="4" t="n"/>
      <c r="E306" s="4" t="n"/>
      <c r="F306" s="4" t="n"/>
      <c r="G306" s="4" t="n"/>
      <c r="H306" s="4" t="n"/>
      <c r="I306" s="4" t="n"/>
    </row>
    <row r="307" ht="15.75" customHeight="1" s="108">
      <c r="A307" s="4" t="n"/>
      <c r="B307" s="4" t="n"/>
      <c r="C307" s="4" t="n"/>
      <c r="D307" s="4" t="n"/>
      <c r="E307" s="4" t="n"/>
      <c r="F307" s="4" t="n"/>
      <c r="G307" s="4" t="n"/>
      <c r="H307" s="4" t="n"/>
      <c r="I307" s="4" t="n"/>
    </row>
    <row r="308" ht="15.75" customHeight="1" s="108">
      <c r="A308" s="4" t="n"/>
      <c r="B308" s="4" t="n"/>
      <c r="C308" s="4" t="n"/>
      <c r="D308" s="4" t="n"/>
      <c r="E308" s="4" t="n"/>
      <c r="F308" s="4" t="n"/>
      <c r="G308" s="4" t="n"/>
      <c r="H308" s="4" t="n"/>
      <c r="I308" s="4" t="n"/>
    </row>
    <row r="309" ht="15.75" customHeight="1" s="108">
      <c r="A309" s="4" t="n"/>
      <c r="B309" s="4" t="n"/>
      <c r="C309" s="4" t="n"/>
      <c r="D309" s="4" t="n"/>
      <c r="E309" s="4" t="n"/>
      <c r="F309" s="4" t="n"/>
      <c r="G309" s="4" t="n"/>
      <c r="H309" s="4" t="n"/>
      <c r="I309" s="4" t="n"/>
    </row>
    <row r="310" ht="15.75" customHeight="1" s="108">
      <c r="A310" s="4" t="n"/>
      <c r="B310" s="4" t="n"/>
      <c r="C310" s="4" t="n"/>
      <c r="D310" s="4" t="n"/>
      <c r="E310" s="4" t="n"/>
      <c r="F310" s="4" t="n"/>
      <c r="G310" s="4" t="n"/>
      <c r="H310" s="4" t="n"/>
      <c r="I310" s="4" t="n"/>
    </row>
    <row r="311" ht="15.75" customHeight="1" s="108">
      <c r="A311" s="4" t="n"/>
      <c r="B311" s="4" t="n"/>
      <c r="C311" s="4" t="n"/>
      <c r="D311" s="4" t="n"/>
      <c r="E311" s="4" t="n"/>
      <c r="F311" s="4" t="n"/>
      <c r="G311" s="4" t="n"/>
      <c r="H311" s="4" t="n"/>
      <c r="I311" s="4" t="n"/>
    </row>
    <row r="312" ht="15.75" customHeight="1" s="108">
      <c r="A312" s="4" t="n"/>
      <c r="B312" s="4" t="n"/>
      <c r="C312" s="4" t="n"/>
      <c r="D312" s="4" t="n"/>
      <c r="E312" s="4" t="n"/>
      <c r="F312" s="4" t="n"/>
      <c r="G312" s="4" t="n"/>
      <c r="H312" s="4" t="n"/>
      <c r="I312" s="4" t="n"/>
    </row>
    <row r="313" ht="15.75" customHeight="1" s="108">
      <c r="A313" s="4" t="n"/>
      <c r="B313" s="4" t="n"/>
      <c r="C313" s="4" t="n"/>
      <c r="D313" s="4" t="n"/>
      <c r="E313" s="4" t="n"/>
      <c r="F313" s="4" t="n"/>
      <c r="G313" s="4" t="n"/>
      <c r="H313" s="4" t="n"/>
      <c r="I313" s="4" t="n"/>
    </row>
    <row r="314" ht="15.75" customHeight="1" s="108">
      <c r="A314" s="4" t="n"/>
      <c r="B314" s="4" t="n"/>
      <c r="C314" s="4" t="n"/>
      <c r="D314" s="4" t="n"/>
      <c r="E314" s="4" t="n"/>
      <c r="F314" s="4" t="n"/>
      <c r="G314" s="4" t="n"/>
      <c r="H314" s="4" t="n"/>
      <c r="I314" s="4" t="n"/>
    </row>
    <row r="315" ht="15.75" customHeight="1" s="108">
      <c r="A315" s="4" t="n"/>
      <c r="B315" s="4" t="n"/>
      <c r="C315" s="4" t="n"/>
      <c r="D315" s="4" t="n"/>
      <c r="E315" s="4" t="n"/>
      <c r="F315" s="4" t="n"/>
      <c r="G315" s="4" t="n"/>
      <c r="H315" s="4" t="n"/>
      <c r="I315" s="4" t="n"/>
    </row>
    <row r="316" ht="15.75" customHeight="1" s="108">
      <c r="A316" s="4" t="n"/>
      <c r="B316" s="4" t="n"/>
      <c r="C316" s="4" t="n"/>
      <c r="D316" s="4" t="n"/>
      <c r="E316" s="4" t="n"/>
      <c r="F316" s="4" t="n"/>
      <c r="G316" s="4" t="n"/>
      <c r="H316" s="4" t="n"/>
      <c r="I316" s="4" t="n"/>
    </row>
    <row r="317" ht="15.75" customHeight="1" s="108">
      <c r="A317" s="4" t="n"/>
      <c r="B317" s="4" t="n"/>
      <c r="C317" s="4" t="n"/>
      <c r="D317" s="4" t="n"/>
      <c r="E317" s="4" t="n"/>
      <c r="F317" s="4" t="n"/>
      <c r="G317" s="4" t="n"/>
      <c r="H317" s="4" t="n"/>
      <c r="I317" s="4" t="n"/>
    </row>
    <row r="318" ht="15.75" customHeight="1" s="108">
      <c r="A318" s="4" t="n"/>
      <c r="B318" s="4" t="n"/>
      <c r="C318" s="4" t="n"/>
      <c r="D318" s="4" t="n"/>
      <c r="E318" s="4" t="n"/>
      <c r="F318" s="4" t="n"/>
      <c r="G318" s="4" t="n"/>
      <c r="H318" s="4" t="n"/>
      <c r="I318" s="4" t="n"/>
    </row>
    <row r="319" ht="15.75" customHeight="1" s="108">
      <c r="A319" s="4" t="n"/>
      <c r="B319" s="4" t="n"/>
      <c r="C319" s="4" t="n"/>
      <c r="D319" s="4" t="n"/>
      <c r="E319" s="4" t="n"/>
      <c r="F319" s="4" t="n"/>
      <c r="G319" s="4" t="n"/>
      <c r="H319" s="4" t="n"/>
      <c r="I319" s="4" t="n"/>
    </row>
    <row r="320" ht="15.75" customHeight="1" s="108">
      <c r="A320" s="4" t="n"/>
      <c r="B320" s="4" t="n"/>
      <c r="C320" s="4" t="n"/>
      <c r="D320" s="4" t="n"/>
      <c r="E320" s="4" t="n"/>
      <c r="F320" s="4" t="n"/>
      <c r="G320" s="4" t="n"/>
      <c r="H320" s="4" t="n"/>
      <c r="I320" s="4" t="n"/>
    </row>
    <row r="321" ht="15.75" customHeight="1" s="108">
      <c r="A321" s="4" t="n"/>
      <c r="B321" s="4" t="n"/>
      <c r="C321" s="4" t="n"/>
      <c r="D321" s="4" t="n"/>
      <c r="E321" s="4" t="n"/>
      <c r="F321" s="4" t="n"/>
      <c r="G321" s="4" t="n"/>
      <c r="H321" s="4" t="n"/>
      <c r="I321" s="4" t="n"/>
    </row>
    <row r="322" ht="15.75" customHeight="1" s="108">
      <c r="A322" s="4" t="n"/>
      <c r="B322" s="4" t="n"/>
      <c r="C322" s="4" t="n"/>
      <c r="D322" s="4" t="n"/>
      <c r="E322" s="4" t="n"/>
      <c r="F322" s="4" t="n"/>
      <c r="G322" s="4" t="n"/>
      <c r="H322" s="4" t="n"/>
      <c r="I322" s="4" t="n"/>
    </row>
    <row r="323" ht="15.75" customHeight="1" s="108">
      <c r="A323" s="4" t="n"/>
      <c r="B323" s="4" t="n"/>
      <c r="C323" s="4" t="n"/>
      <c r="D323" s="4" t="n"/>
      <c r="E323" s="4" t="n"/>
      <c r="F323" s="4" t="n"/>
      <c r="G323" s="4" t="n"/>
      <c r="H323" s="4" t="n"/>
      <c r="I323" s="4" t="n"/>
    </row>
    <row r="324" ht="15.75" customHeight="1" s="108">
      <c r="A324" s="4" t="n"/>
      <c r="B324" s="4" t="n"/>
      <c r="C324" s="4" t="n"/>
      <c r="D324" s="4" t="n"/>
      <c r="E324" s="4" t="n"/>
      <c r="F324" s="4" t="n"/>
      <c r="G324" s="4" t="n"/>
      <c r="H324" s="4" t="n"/>
      <c r="I324" s="4" t="n"/>
    </row>
    <row r="325" ht="15.75" customHeight="1" s="108">
      <c r="A325" s="4" t="n"/>
      <c r="B325" s="4" t="n"/>
      <c r="C325" s="4" t="n"/>
      <c r="D325" s="4" t="n"/>
      <c r="E325" s="4" t="n"/>
      <c r="F325" s="4" t="n"/>
      <c r="G325" s="4" t="n"/>
      <c r="H325" s="4" t="n"/>
      <c r="I325" s="4" t="n"/>
    </row>
    <row r="326" ht="15.75" customHeight="1" s="108">
      <c r="A326" s="4" t="n"/>
      <c r="B326" s="4" t="n"/>
      <c r="C326" s="4" t="n"/>
      <c r="D326" s="4" t="n"/>
      <c r="E326" s="4" t="n"/>
      <c r="F326" s="4" t="n"/>
      <c r="G326" s="4" t="n"/>
      <c r="H326" s="4" t="n"/>
      <c r="I326" s="4" t="n"/>
    </row>
    <row r="327" ht="15.75" customHeight="1" s="108">
      <c r="A327" s="4" t="n"/>
      <c r="B327" s="4" t="n"/>
      <c r="C327" s="4" t="n"/>
      <c r="D327" s="4" t="n"/>
      <c r="E327" s="4" t="n"/>
      <c r="F327" s="4" t="n"/>
      <c r="G327" s="4" t="n"/>
      <c r="H327" s="4" t="n"/>
      <c r="I327" s="4" t="n"/>
    </row>
    <row r="328" ht="15.75" customHeight="1" s="108">
      <c r="A328" s="4" t="n"/>
      <c r="B328" s="4" t="n"/>
      <c r="C328" s="4" t="n"/>
      <c r="D328" s="4" t="n"/>
      <c r="E328" s="4" t="n"/>
      <c r="F328" s="4" t="n"/>
      <c r="G328" s="4" t="n"/>
      <c r="H328" s="4" t="n"/>
      <c r="I328" s="4" t="n"/>
    </row>
    <row r="329" ht="15.75" customHeight="1" s="108">
      <c r="A329" s="4" t="n"/>
      <c r="B329" s="4" t="n"/>
      <c r="C329" s="4" t="n"/>
      <c r="D329" s="4" t="n"/>
      <c r="E329" s="4" t="n"/>
      <c r="F329" s="4" t="n"/>
      <c r="G329" s="4" t="n"/>
      <c r="H329" s="4" t="n"/>
      <c r="I329" s="4" t="n"/>
    </row>
    <row r="330" ht="15.75" customHeight="1" s="108">
      <c r="A330" s="4" t="n"/>
      <c r="B330" s="4" t="n"/>
      <c r="C330" s="4" t="n"/>
      <c r="D330" s="4" t="n"/>
      <c r="E330" s="4" t="n"/>
      <c r="F330" s="4" t="n"/>
      <c r="G330" s="4" t="n"/>
      <c r="H330" s="4" t="n"/>
      <c r="I330" s="4" t="n"/>
    </row>
    <row r="331" ht="15.75" customHeight="1" s="108">
      <c r="A331" s="4" t="n"/>
      <c r="B331" s="4" t="n"/>
      <c r="C331" s="4" t="n"/>
      <c r="D331" s="4" t="n"/>
      <c r="E331" s="4" t="n"/>
      <c r="F331" s="4" t="n"/>
      <c r="G331" s="4" t="n"/>
      <c r="H331" s="4" t="n"/>
      <c r="I331" s="4" t="n"/>
    </row>
    <row r="332" ht="15.75" customHeight="1" s="108">
      <c r="A332" s="4" t="n"/>
      <c r="B332" s="4" t="n"/>
      <c r="C332" s="4" t="n"/>
      <c r="D332" s="4" t="n"/>
      <c r="E332" s="4" t="n"/>
      <c r="F332" s="4" t="n"/>
      <c r="G332" s="4" t="n"/>
      <c r="H332" s="4" t="n"/>
      <c r="I332" s="4" t="n"/>
    </row>
    <row r="333" ht="15.75" customHeight="1" s="108">
      <c r="A333" s="4" t="n"/>
      <c r="B333" s="4" t="n"/>
      <c r="C333" s="4" t="n"/>
      <c r="D333" s="4" t="n"/>
      <c r="E333" s="4" t="n"/>
      <c r="F333" s="4" t="n"/>
      <c r="G333" s="4" t="n"/>
      <c r="H333" s="4" t="n"/>
      <c r="I333" s="4" t="n"/>
    </row>
    <row r="334" ht="15.75" customHeight="1" s="108">
      <c r="A334" s="4" t="n"/>
      <c r="B334" s="4" t="n"/>
      <c r="C334" s="4" t="n"/>
      <c r="D334" s="4" t="n"/>
      <c r="E334" s="4" t="n"/>
      <c r="F334" s="4" t="n"/>
      <c r="G334" s="4" t="n"/>
      <c r="H334" s="4" t="n"/>
      <c r="I334" s="4" t="n"/>
    </row>
    <row r="335" ht="15.75" customHeight="1" s="108">
      <c r="A335" s="4" t="n"/>
      <c r="B335" s="4" t="n"/>
      <c r="C335" s="4" t="n"/>
      <c r="D335" s="4" t="n"/>
      <c r="E335" s="4" t="n"/>
      <c r="F335" s="4" t="n"/>
      <c r="G335" s="4" t="n"/>
      <c r="H335" s="4" t="n"/>
      <c r="I335" s="4" t="n"/>
    </row>
    <row r="336" ht="15.75" customHeight="1" s="108">
      <c r="A336" s="4" t="n"/>
      <c r="B336" s="4" t="n"/>
      <c r="C336" s="4" t="n"/>
      <c r="D336" s="4" t="n"/>
      <c r="E336" s="4" t="n"/>
      <c r="F336" s="4" t="n"/>
      <c r="G336" s="4" t="n"/>
      <c r="H336" s="4" t="n"/>
      <c r="I336" s="4" t="n"/>
    </row>
    <row r="337" ht="15.75" customHeight="1" s="108">
      <c r="A337" s="4" t="n"/>
      <c r="B337" s="4" t="n"/>
      <c r="C337" s="4" t="n"/>
      <c r="D337" s="4" t="n"/>
      <c r="E337" s="4" t="n"/>
      <c r="F337" s="4" t="n"/>
      <c r="G337" s="4" t="n"/>
      <c r="H337" s="4" t="n"/>
      <c r="I337" s="4" t="n"/>
    </row>
    <row r="338" ht="15.75" customHeight="1" s="108">
      <c r="A338" s="4" t="n"/>
      <c r="B338" s="4" t="n"/>
      <c r="C338" s="4" t="n"/>
      <c r="D338" s="4" t="n"/>
      <c r="E338" s="4" t="n"/>
      <c r="F338" s="4" t="n"/>
      <c r="G338" s="4" t="n"/>
      <c r="H338" s="4" t="n"/>
      <c r="I338" s="4" t="n"/>
    </row>
    <row r="339" ht="15.75" customHeight="1" s="108">
      <c r="A339" s="4" t="n"/>
      <c r="B339" s="4" t="n"/>
      <c r="C339" s="4" t="n"/>
      <c r="D339" s="4" t="n"/>
      <c r="E339" s="4" t="n"/>
      <c r="F339" s="4" t="n"/>
      <c r="G339" s="4" t="n"/>
      <c r="H339" s="4" t="n"/>
      <c r="I339" s="4" t="n"/>
    </row>
    <row r="340" ht="15.75" customHeight="1" s="108">
      <c r="A340" s="4" t="n"/>
      <c r="B340" s="4" t="n"/>
      <c r="C340" s="4" t="n"/>
      <c r="D340" s="4" t="n"/>
      <c r="E340" s="4" t="n"/>
      <c r="F340" s="4" t="n"/>
      <c r="G340" s="4" t="n"/>
      <c r="H340" s="4" t="n"/>
      <c r="I340" s="4" t="n"/>
    </row>
    <row r="341" ht="15.75" customHeight="1" s="108">
      <c r="A341" s="4" t="n"/>
      <c r="B341" s="4" t="n"/>
      <c r="C341" s="4" t="n"/>
      <c r="D341" s="4" t="n"/>
      <c r="E341" s="4" t="n"/>
      <c r="F341" s="4" t="n"/>
      <c r="G341" s="4" t="n"/>
      <c r="H341" s="4" t="n"/>
      <c r="I341" s="4" t="n"/>
    </row>
    <row r="342" ht="15.75" customHeight="1" s="108">
      <c r="A342" s="4" t="n"/>
      <c r="B342" s="4" t="n"/>
      <c r="C342" s="4" t="n"/>
      <c r="D342" s="4" t="n"/>
      <c r="E342" s="4" t="n"/>
      <c r="F342" s="4" t="n"/>
      <c r="G342" s="4" t="n"/>
      <c r="H342" s="4" t="n"/>
      <c r="I342" s="4" t="n"/>
    </row>
    <row r="343" ht="15.75" customHeight="1" s="108">
      <c r="A343" s="4" t="n"/>
      <c r="B343" s="4" t="n"/>
      <c r="C343" s="4" t="n"/>
      <c r="D343" s="4" t="n"/>
      <c r="E343" s="4" t="n"/>
      <c r="F343" s="4" t="n"/>
      <c r="G343" s="4" t="n"/>
      <c r="H343" s="4" t="n"/>
      <c r="I343" s="4" t="n"/>
    </row>
    <row r="344" ht="15.75" customHeight="1" s="108">
      <c r="A344" s="4" t="n"/>
      <c r="B344" s="4" t="n"/>
      <c r="C344" s="4" t="n"/>
      <c r="D344" s="4" t="n"/>
      <c r="E344" s="4" t="n"/>
      <c r="F344" s="4" t="n"/>
      <c r="G344" s="4" t="n"/>
      <c r="H344" s="4" t="n"/>
      <c r="I344" s="4" t="n"/>
    </row>
    <row r="345" ht="15.75" customHeight="1" s="108">
      <c r="A345" s="4" t="n"/>
      <c r="B345" s="4" t="n"/>
      <c r="C345" s="4" t="n"/>
      <c r="D345" s="4" t="n"/>
      <c r="E345" s="4" t="n"/>
      <c r="F345" s="4" t="n"/>
      <c r="G345" s="4" t="n"/>
      <c r="H345" s="4" t="n"/>
      <c r="I345" s="4" t="n"/>
    </row>
    <row r="346" ht="15.75" customHeight="1" s="108">
      <c r="A346" s="4" t="n"/>
      <c r="B346" s="4" t="n"/>
      <c r="C346" s="4" t="n"/>
      <c r="D346" s="4" t="n"/>
      <c r="E346" s="4" t="n"/>
      <c r="F346" s="4" t="n"/>
      <c r="G346" s="4" t="n"/>
      <c r="H346" s="4" t="n"/>
      <c r="I346" s="4" t="n"/>
    </row>
    <row r="347" ht="15.75" customHeight="1" s="108">
      <c r="A347" s="4" t="n"/>
      <c r="B347" s="4" t="n"/>
      <c r="C347" s="4" t="n"/>
      <c r="D347" s="4" t="n"/>
      <c r="E347" s="4" t="n"/>
      <c r="F347" s="4" t="n"/>
      <c r="G347" s="4" t="n"/>
      <c r="H347" s="4" t="n"/>
      <c r="I347" s="4" t="n"/>
    </row>
    <row r="348" ht="15.75" customHeight="1" s="108">
      <c r="A348" s="4" t="n"/>
      <c r="B348" s="4" t="n"/>
      <c r="C348" s="4" t="n"/>
      <c r="D348" s="4" t="n"/>
      <c r="E348" s="4" t="n"/>
      <c r="F348" s="4" t="n"/>
      <c r="G348" s="4" t="n"/>
      <c r="H348" s="4" t="n"/>
      <c r="I348" s="4" t="n"/>
    </row>
    <row r="349" ht="15.75" customHeight="1" s="108">
      <c r="A349" s="4" t="n"/>
      <c r="B349" s="4" t="n"/>
      <c r="C349" s="4" t="n"/>
      <c r="D349" s="4" t="n"/>
      <c r="E349" s="4" t="n"/>
      <c r="F349" s="4" t="n"/>
      <c r="G349" s="4" t="n"/>
      <c r="H349" s="4" t="n"/>
      <c r="I349" s="4" t="n"/>
    </row>
    <row r="350" ht="15.75" customHeight="1" s="108">
      <c r="A350" s="4" t="n"/>
      <c r="B350" s="4" t="n"/>
      <c r="C350" s="4" t="n"/>
      <c r="D350" s="4" t="n"/>
      <c r="E350" s="4" t="n"/>
      <c r="F350" s="4" t="n"/>
      <c r="G350" s="4" t="n"/>
      <c r="H350" s="4" t="n"/>
      <c r="I350" s="4" t="n"/>
    </row>
    <row r="351" ht="15.75" customHeight="1" s="108">
      <c r="A351" s="4" t="n"/>
      <c r="B351" s="4" t="n"/>
      <c r="C351" s="4" t="n"/>
      <c r="D351" s="4" t="n"/>
      <c r="E351" s="4" t="n"/>
      <c r="F351" s="4" t="n"/>
      <c r="G351" s="4" t="n"/>
      <c r="H351" s="4" t="n"/>
      <c r="I351" s="4" t="n"/>
    </row>
    <row r="352" ht="15.75" customHeight="1" s="108">
      <c r="A352" s="4" t="n"/>
      <c r="B352" s="4" t="n"/>
      <c r="C352" s="4" t="n"/>
      <c r="D352" s="4" t="n"/>
      <c r="E352" s="4" t="n"/>
      <c r="F352" s="4" t="n"/>
      <c r="G352" s="4" t="n"/>
      <c r="H352" s="4" t="n"/>
      <c r="I352" s="4" t="n"/>
    </row>
    <row r="353" ht="15.75" customHeight="1" s="108">
      <c r="A353" s="4" t="n"/>
      <c r="B353" s="4" t="n"/>
      <c r="C353" s="4" t="n"/>
      <c r="D353" s="4" t="n"/>
      <c r="E353" s="4" t="n"/>
      <c r="F353" s="4" t="n"/>
      <c r="G353" s="4" t="n"/>
      <c r="H353" s="4" t="n"/>
      <c r="I353" s="4" t="n"/>
    </row>
    <row r="354" ht="15.75" customHeight="1" s="108">
      <c r="A354" s="4" t="n"/>
      <c r="B354" s="4" t="n"/>
      <c r="C354" s="4" t="n"/>
      <c r="D354" s="4" t="n"/>
      <c r="E354" s="4" t="n"/>
      <c r="F354" s="4" t="n"/>
      <c r="G354" s="4" t="n"/>
      <c r="H354" s="4" t="n"/>
      <c r="I354" s="4" t="n"/>
    </row>
    <row r="355" ht="15.75" customHeight="1" s="108">
      <c r="A355" s="4" t="n"/>
      <c r="B355" s="4" t="n"/>
      <c r="C355" s="4" t="n"/>
      <c r="D355" s="4" t="n"/>
      <c r="E355" s="4" t="n"/>
      <c r="F355" s="4" t="n"/>
      <c r="G355" s="4" t="n"/>
      <c r="H355" s="4" t="n"/>
      <c r="I355" s="4" t="n"/>
    </row>
    <row r="356" ht="15.75" customHeight="1" s="108">
      <c r="A356" s="4" t="n"/>
      <c r="B356" s="4" t="n"/>
      <c r="C356" s="4" t="n"/>
      <c r="D356" s="4" t="n"/>
      <c r="E356" s="4" t="n"/>
      <c r="F356" s="4" t="n"/>
      <c r="G356" s="4" t="n"/>
      <c r="H356" s="4" t="n"/>
      <c r="I356" s="4" t="n"/>
    </row>
    <row r="357" ht="15.75" customHeight="1" s="108">
      <c r="A357" s="4" t="n"/>
      <c r="B357" s="4" t="n"/>
      <c r="C357" s="4" t="n"/>
      <c r="D357" s="4" t="n"/>
      <c r="E357" s="4" t="n"/>
      <c r="F357" s="4" t="n"/>
      <c r="G357" s="4" t="n"/>
      <c r="H357" s="4" t="n"/>
      <c r="I357" s="4" t="n"/>
    </row>
    <row r="358" ht="15.75" customHeight="1" s="108">
      <c r="A358" s="4" t="n"/>
      <c r="B358" s="4" t="n"/>
      <c r="C358" s="4" t="n"/>
      <c r="D358" s="4" t="n"/>
      <c r="E358" s="4" t="n"/>
      <c r="F358" s="4" t="n"/>
      <c r="G358" s="4" t="n"/>
      <c r="H358" s="4" t="n"/>
      <c r="I358" s="4" t="n"/>
    </row>
    <row r="359" ht="15.75" customHeight="1" s="108">
      <c r="A359" s="4" t="n"/>
      <c r="B359" s="4" t="n"/>
      <c r="C359" s="4" t="n"/>
      <c r="D359" s="4" t="n"/>
      <c r="E359" s="4" t="n"/>
      <c r="F359" s="4" t="n"/>
      <c r="G359" s="4" t="n"/>
      <c r="H359" s="4" t="n"/>
      <c r="I359" s="4" t="n"/>
    </row>
    <row r="360" ht="15.75" customHeight="1" s="108">
      <c r="A360" s="4" t="n"/>
      <c r="B360" s="4" t="n"/>
      <c r="C360" s="4" t="n"/>
      <c r="D360" s="4" t="n"/>
      <c r="E360" s="4" t="n"/>
      <c r="F360" s="4" t="n"/>
      <c r="G360" s="4" t="n"/>
      <c r="H360" s="4" t="n"/>
      <c r="I360" s="4" t="n"/>
    </row>
    <row r="361" ht="15.75" customHeight="1" s="108">
      <c r="A361" s="4" t="n"/>
      <c r="B361" s="4" t="n"/>
      <c r="C361" s="4" t="n"/>
      <c r="D361" s="4" t="n"/>
      <c r="E361" s="4" t="n"/>
      <c r="F361" s="4" t="n"/>
      <c r="G361" s="4" t="n"/>
      <c r="H361" s="4" t="n"/>
      <c r="I361" s="4" t="n"/>
    </row>
    <row r="362" ht="15.75" customHeight="1" s="108">
      <c r="A362" s="4" t="n"/>
      <c r="B362" s="4" t="n"/>
      <c r="C362" s="4" t="n"/>
      <c r="D362" s="4" t="n"/>
      <c r="E362" s="4" t="n"/>
      <c r="F362" s="4" t="n"/>
      <c r="G362" s="4" t="n"/>
      <c r="H362" s="4" t="n"/>
      <c r="I362" s="4" t="n"/>
    </row>
    <row r="363" ht="15.75" customHeight="1" s="108">
      <c r="A363" s="4" t="n"/>
      <c r="B363" s="4" t="n"/>
      <c r="C363" s="4" t="n"/>
      <c r="D363" s="4" t="n"/>
      <c r="E363" s="4" t="n"/>
      <c r="F363" s="4" t="n"/>
      <c r="G363" s="4" t="n"/>
      <c r="H363" s="4" t="n"/>
      <c r="I363" s="4" t="n"/>
    </row>
    <row r="364" ht="15.75" customHeight="1" s="108">
      <c r="A364" s="4" t="n"/>
      <c r="B364" s="4" t="n"/>
      <c r="C364" s="4" t="n"/>
      <c r="D364" s="4" t="n"/>
      <c r="E364" s="4" t="n"/>
      <c r="F364" s="4" t="n"/>
      <c r="G364" s="4" t="n"/>
      <c r="H364" s="4" t="n"/>
      <c r="I364" s="4" t="n"/>
    </row>
    <row r="365" ht="15.75" customHeight="1" s="108">
      <c r="A365" s="4" t="n"/>
      <c r="B365" s="4" t="n"/>
      <c r="C365" s="4" t="n"/>
      <c r="D365" s="4" t="n"/>
      <c r="E365" s="4" t="n"/>
      <c r="F365" s="4" t="n"/>
      <c r="G365" s="4" t="n"/>
      <c r="H365" s="4" t="n"/>
      <c r="I365" s="4" t="n"/>
    </row>
    <row r="366" ht="15.75" customHeight="1" s="108">
      <c r="A366" s="4" t="n"/>
      <c r="B366" s="4" t="n"/>
      <c r="C366" s="4" t="n"/>
      <c r="D366" s="4" t="n"/>
      <c r="E366" s="4" t="n"/>
      <c r="F366" s="4" t="n"/>
      <c r="G366" s="4" t="n"/>
      <c r="H366" s="4" t="n"/>
      <c r="I366" s="4" t="n"/>
    </row>
    <row r="367" ht="15.75" customHeight="1" s="108">
      <c r="A367" s="4" t="n"/>
      <c r="B367" s="4" t="n"/>
      <c r="C367" s="4" t="n"/>
      <c r="D367" s="4" t="n"/>
      <c r="E367" s="4" t="n"/>
      <c r="F367" s="4" t="n"/>
      <c r="G367" s="4" t="n"/>
      <c r="H367" s="4" t="n"/>
      <c r="I367" s="4" t="n"/>
    </row>
    <row r="368" ht="15.75" customHeight="1" s="108">
      <c r="A368" s="4" t="n"/>
      <c r="B368" s="4" t="n"/>
      <c r="C368" s="4" t="n"/>
      <c r="D368" s="4" t="n"/>
      <c r="E368" s="4" t="n"/>
      <c r="F368" s="4" t="n"/>
      <c r="G368" s="4" t="n"/>
      <c r="H368" s="4" t="n"/>
      <c r="I368" s="4" t="n"/>
    </row>
    <row r="369" ht="15.75" customHeight="1" s="108">
      <c r="A369" s="4" t="n"/>
      <c r="B369" s="4" t="n"/>
      <c r="C369" s="4" t="n"/>
      <c r="D369" s="4" t="n"/>
      <c r="E369" s="4" t="n"/>
      <c r="F369" s="4" t="n"/>
      <c r="G369" s="4" t="n"/>
      <c r="H369" s="4" t="n"/>
      <c r="I369" s="4" t="n"/>
    </row>
    <row r="370" ht="15.75" customHeight="1" s="108">
      <c r="A370" s="4" t="n"/>
      <c r="B370" s="4" t="n"/>
      <c r="C370" s="4" t="n"/>
      <c r="D370" s="4" t="n"/>
      <c r="E370" s="4" t="n"/>
      <c r="F370" s="4" t="n"/>
      <c r="G370" s="4" t="n"/>
      <c r="H370" s="4" t="n"/>
      <c r="I370" s="4" t="n"/>
    </row>
    <row r="371" ht="15.75" customHeight="1" s="108">
      <c r="A371" s="4" t="n"/>
      <c r="B371" s="4" t="n"/>
      <c r="C371" s="4" t="n"/>
      <c r="D371" s="4" t="n"/>
      <c r="E371" s="4" t="n"/>
      <c r="F371" s="4" t="n"/>
      <c r="G371" s="4" t="n"/>
      <c r="H371" s="4" t="n"/>
      <c r="I371" s="4" t="n"/>
    </row>
    <row r="372" ht="15.75" customHeight="1" s="108">
      <c r="A372" s="4" t="n"/>
      <c r="B372" s="4" t="n"/>
      <c r="C372" s="4" t="n"/>
      <c r="D372" s="4" t="n"/>
      <c r="E372" s="4" t="n"/>
      <c r="F372" s="4" t="n"/>
      <c r="G372" s="4" t="n"/>
      <c r="H372" s="4" t="n"/>
      <c r="I372" s="4" t="n"/>
    </row>
    <row r="373" ht="15.75" customHeight="1" s="108">
      <c r="A373" s="4" t="n"/>
      <c r="B373" s="4" t="n"/>
      <c r="C373" s="4" t="n"/>
      <c r="D373" s="4" t="n"/>
      <c r="E373" s="4" t="n"/>
      <c r="F373" s="4" t="n"/>
      <c r="G373" s="4" t="n"/>
      <c r="H373" s="4" t="n"/>
      <c r="I373" s="4" t="n"/>
    </row>
    <row r="374" ht="15.75" customHeight="1" s="108">
      <c r="A374" s="4" t="n"/>
      <c r="B374" s="4" t="n"/>
      <c r="C374" s="4" t="n"/>
      <c r="D374" s="4" t="n"/>
      <c r="E374" s="4" t="n"/>
      <c r="F374" s="4" t="n"/>
      <c r="G374" s="4" t="n"/>
      <c r="H374" s="4" t="n"/>
      <c r="I374" s="4" t="n"/>
    </row>
    <row r="375" ht="15.75" customHeight="1" s="108">
      <c r="A375" s="4" t="n"/>
      <c r="B375" s="4" t="n"/>
      <c r="C375" s="4" t="n"/>
      <c r="D375" s="4" t="n"/>
      <c r="E375" s="4" t="n"/>
      <c r="F375" s="4" t="n"/>
      <c r="G375" s="4" t="n"/>
      <c r="H375" s="4" t="n"/>
      <c r="I375" s="4" t="n"/>
    </row>
    <row r="376" ht="15.75" customHeight="1" s="108">
      <c r="A376" s="4" t="n"/>
      <c r="B376" s="4" t="n"/>
      <c r="C376" s="4" t="n"/>
      <c r="D376" s="4" t="n"/>
      <c r="E376" s="4" t="n"/>
      <c r="F376" s="4" t="n"/>
      <c r="G376" s="4" t="n"/>
      <c r="H376" s="4" t="n"/>
      <c r="I376" s="4" t="n"/>
    </row>
    <row r="377" ht="15.75" customHeight="1" s="108">
      <c r="A377" s="4" t="n"/>
      <c r="B377" s="4" t="n"/>
      <c r="C377" s="4" t="n"/>
      <c r="D377" s="4" t="n"/>
      <c r="E377" s="4" t="n"/>
      <c r="F377" s="4" t="n"/>
      <c r="G377" s="4" t="n"/>
      <c r="H377" s="4" t="n"/>
      <c r="I377" s="4" t="n"/>
    </row>
    <row r="378" ht="15.75" customHeight="1" s="108">
      <c r="A378" s="4" t="n"/>
      <c r="B378" s="4" t="n"/>
      <c r="C378" s="4" t="n"/>
      <c r="D378" s="4" t="n"/>
      <c r="E378" s="4" t="n"/>
      <c r="F378" s="4" t="n"/>
      <c r="G378" s="4" t="n"/>
      <c r="H378" s="4" t="n"/>
      <c r="I378" s="4" t="n"/>
    </row>
    <row r="379" ht="15.75" customHeight="1" s="108">
      <c r="A379" s="4" t="n"/>
      <c r="B379" s="4" t="n"/>
      <c r="C379" s="4" t="n"/>
      <c r="D379" s="4" t="n"/>
      <c r="E379" s="4" t="n"/>
      <c r="F379" s="4" t="n"/>
      <c r="G379" s="4" t="n"/>
      <c r="H379" s="4" t="n"/>
      <c r="I379" s="4" t="n"/>
    </row>
    <row r="380" ht="15.75" customHeight="1" s="108">
      <c r="A380" s="4" t="n"/>
      <c r="B380" s="4" t="n"/>
      <c r="C380" s="4" t="n"/>
      <c r="D380" s="4" t="n"/>
      <c r="E380" s="4" t="n"/>
      <c r="F380" s="4" t="n"/>
      <c r="G380" s="4" t="n"/>
      <c r="H380" s="4" t="n"/>
      <c r="I380" s="4" t="n"/>
    </row>
    <row r="381" ht="15.75" customHeight="1" s="108">
      <c r="A381" s="4" t="n"/>
      <c r="B381" s="4" t="n"/>
      <c r="C381" s="4" t="n"/>
      <c r="D381" s="4" t="n"/>
      <c r="E381" s="4" t="n"/>
      <c r="F381" s="4" t="n"/>
      <c r="G381" s="4" t="n"/>
      <c r="H381" s="4" t="n"/>
      <c r="I381" s="4" t="n"/>
    </row>
    <row r="382" ht="15.75" customHeight="1" s="108">
      <c r="A382" s="4" t="n"/>
      <c r="B382" s="4" t="n"/>
      <c r="C382" s="4" t="n"/>
      <c r="D382" s="4" t="n"/>
      <c r="E382" s="4" t="n"/>
      <c r="F382" s="4" t="n"/>
      <c r="G382" s="4" t="n"/>
      <c r="H382" s="4" t="n"/>
      <c r="I382" s="4" t="n"/>
    </row>
    <row r="383" ht="15.75" customHeight="1" s="108">
      <c r="A383" s="4" t="n"/>
      <c r="B383" s="4" t="n"/>
      <c r="C383" s="4" t="n"/>
      <c r="D383" s="4" t="n"/>
      <c r="E383" s="4" t="n"/>
      <c r="F383" s="4" t="n"/>
      <c r="G383" s="4" t="n"/>
      <c r="H383" s="4" t="n"/>
      <c r="I383" s="4" t="n"/>
    </row>
    <row r="384" ht="15.75" customHeight="1" s="108">
      <c r="A384" s="4" t="n"/>
      <c r="B384" s="4" t="n"/>
      <c r="C384" s="4" t="n"/>
      <c r="D384" s="4" t="n"/>
      <c r="E384" s="4" t="n"/>
      <c r="F384" s="4" t="n"/>
      <c r="G384" s="4" t="n"/>
      <c r="H384" s="4" t="n"/>
      <c r="I384" s="4" t="n"/>
    </row>
    <row r="385" ht="15.75" customHeight="1" s="108">
      <c r="A385" s="4" t="n"/>
      <c r="B385" s="4" t="n"/>
      <c r="C385" s="4" t="n"/>
      <c r="D385" s="4" t="n"/>
      <c r="E385" s="4" t="n"/>
      <c r="F385" s="4" t="n"/>
      <c r="G385" s="4" t="n"/>
      <c r="H385" s="4" t="n"/>
      <c r="I385" s="4" t="n"/>
    </row>
    <row r="386" ht="15.75" customHeight="1" s="108">
      <c r="A386" s="4" t="n"/>
      <c r="B386" s="4" t="n"/>
      <c r="C386" s="4" t="n"/>
      <c r="D386" s="4" t="n"/>
      <c r="E386" s="4" t="n"/>
      <c r="F386" s="4" t="n"/>
      <c r="G386" s="4" t="n"/>
      <c r="H386" s="4" t="n"/>
      <c r="I386" s="4" t="n"/>
    </row>
    <row r="387" ht="15.75" customHeight="1" s="108">
      <c r="A387" s="4" t="n"/>
      <c r="B387" s="4" t="n"/>
      <c r="C387" s="4" t="n"/>
      <c r="D387" s="4" t="n"/>
      <c r="E387" s="4" t="n"/>
      <c r="F387" s="4" t="n"/>
      <c r="G387" s="4" t="n"/>
      <c r="H387" s="4" t="n"/>
      <c r="I387" s="4" t="n"/>
    </row>
    <row r="388" ht="15.75" customHeight="1" s="108">
      <c r="A388" s="4" t="n"/>
      <c r="B388" s="4" t="n"/>
      <c r="C388" s="4" t="n"/>
      <c r="D388" s="4" t="n"/>
      <c r="E388" s="4" t="n"/>
      <c r="F388" s="4" t="n"/>
      <c r="G388" s="4" t="n"/>
      <c r="H388" s="4" t="n"/>
      <c r="I388" s="4" t="n"/>
    </row>
    <row r="389" ht="15.75" customHeight="1" s="108">
      <c r="A389" s="4" t="n"/>
      <c r="B389" s="4" t="n"/>
      <c r="C389" s="4" t="n"/>
      <c r="D389" s="4" t="n"/>
      <c r="E389" s="4" t="n"/>
      <c r="F389" s="4" t="n"/>
      <c r="G389" s="4" t="n"/>
      <c r="H389" s="4" t="n"/>
      <c r="I389" s="4" t="n"/>
    </row>
    <row r="390" ht="15.75" customHeight="1" s="108">
      <c r="A390" s="4" t="n"/>
      <c r="B390" s="4" t="n"/>
      <c r="C390" s="4" t="n"/>
      <c r="D390" s="4" t="n"/>
      <c r="E390" s="4" t="n"/>
      <c r="F390" s="4" t="n"/>
      <c r="G390" s="4" t="n"/>
      <c r="H390" s="4" t="n"/>
      <c r="I390" s="4" t="n"/>
    </row>
    <row r="391" ht="15.75" customHeight="1" s="108">
      <c r="A391" s="4" t="n"/>
      <c r="B391" s="4" t="n"/>
      <c r="C391" s="4" t="n"/>
      <c r="D391" s="4" t="n"/>
      <c r="E391" s="4" t="n"/>
      <c r="F391" s="4" t="n"/>
      <c r="G391" s="4" t="n"/>
      <c r="H391" s="4" t="n"/>
      <c r="I391" s="4" t="n"/>
    </row>
    <row r="392" ht="15.75" customHeight="1" s="108">
      <c r="A392" s="4" t="n"/>
      <c r="B392" s="4" t="n"/>
      <c r="C392" s="4" t="n"/>
      <c r="D392" s="4" t="n"/>
      <c r="E392" s="4" t="n"/>
      <c r="F392" s="4" t="n"/>
      <c r="G392" s="4" t="n"/>
      <c r="H392" s="4" t="n"/>
      <c r="I392" s="4" t="n"/>
    </row>
    <row r="393" ht="15.75" customHeight="1" s="108">
      <c r="A393" s="4" t="n"/>
      <c r="B393" s="4" t="n"/>
      <c r="C393" s="4" t="n"/>
      <c r="D393" s="4" t="n"/>
      <c r="E393" s="4" t="n"/>
      <c r="F393" s="4" t="n"/>
      <c r="G393" s="4" t="n"/>
      <c r="H393" s="4" t="n"/>
      <c r="I393" s="4" t="n"/>
    </row>
    <row r="394" ht="15.75" customHeight="1" s="108">
      <c r="A394" s="4" t="n"/>
      <c r="B394" s="4" t="n"/>
      <c r="C394" s="4" t="n"/>
      <c r="D394" s="4" t="n"/>
      <c r="E394" s="4" t="n"/>
      <c r="F394" s="4" t="n"/>
      <c r="G394" s="4" t="n"/>
      <c r="H394" s="4" t="n"/>
      <c r="I394" s="4" t="n"/>
    </row>
    <row r="395" ht="15.75" customHeight="1" s="108">
      <c r="A395" s="4" t="n"/>
      <c r="B395" s="4" t="n"/>
      <c r="C395" s="4" t="n"/>
      <c r="D395" s="4" t="n"/>
      <c r="E395" s="4" t="n"/>
      <c r="F395" s="4" t="n"/>
      <c r="G395" s="4" t="n"/>
      <c r="H395" s="4" t="n"/>
      <c r="I395" s="4" t="n"/>
    </row>
    <row r="396" ht="15.75" customHeight="1" s="108">
      <c r="A396" s="4" t="n"/>
      <c r="B396" s="4" t="n"/>
      <c r="C396" s="4" t="n"/>
      <c r="D396" s="4" t="n"/>
      <c r="E396" s="4" t="n"/>
      <c r="F396" s="4" t="n"/>
      <c r="G396" s="4" t="n"/>
      <c r="H396" s="4" t="n"/>
      <c r="I396" s="4" t="n"/>
    </row>
    <row r="397" ht="15.75" customHeight="1" s="108">
      <c r="A397" s="4" t="n"/>
      <c r="B397" s="4" t="n"/>
      <c r="C397" s="4" t="n"/>
      <c r="D397" s="4" t="n"/>
      <c r="E397" s="4" t="n"/>
      <c r="F397" s="4" t="n"/>
      <c r="G397" s="4" t="n"/>
      <c r="H397" s="4" t="n"/>
      <c r="I397" s="4" t="n"/>
    </row>
    <row r="398" ht="15.75" customHeight="1" s="108">
      <c r="A398" s="4" t="n"/>
      <c r="B398" s="4" t="n"/>
      <c r="C398" s="4" t="n"/>
      <c r="D398" s="4" t="n"/>
      <c r="E398" s="4" t="n"/>
      <c r="F398" s="4" t="n"/>
      <c r="G398" s="4" t="n"/>
      <c r="H398" s="4" t="n"/>
      <c r="I398" s="4" t="n"/>
    </row>
    <row r="399" ht="15.75" customHeight="1" s="108">
      <c r="A399" s="4" t="n"/>
      <c r="B399" s="4" t="n"/>
      <c r="C399" s="4" t="n"/>
      <c r="D399" s="4" t="n"/>
      <c r="E399" s="4" t="n"/>
      <c r="F399" s="4" t="n"/>
      <c r="G399" s="4" t="n"/>
      <c r="H399" s="4" t="n"/>
      <c r="I399" s="4" t="n"/>
    </row>
    <row r="400" ht="15.75" customHeight="1" s="108">
      <c r="A400" s="4" t="n"/>
      <c r="B400" s="4" t="n"/>
      <c r="C400" s="4" t="n"/>
      <c r="D400" s="4" t="n"/>
      <c r="E400" s="4" t="n"/>
      <c r="F400" s="4" t="n"/>
      <c r="G400" s="4" t="n"/>
      <c r="H400" s="4" t="n"/>
      <c r="I400" s="4" t="n"/>
    </row>
    <row r="401" ht="15.75" customHeight="1" s="108">
      <c r="A401" s="4" t="n"/>
      <c r="B401" s="4" t="n"/>
      <c r="C401" s="4" t="n"/>
      <c r="D401" s="4" t="n"/>
      <c r="E401" s="4" t="n"/>
      <c r="F401" s="4" t="n"/>
      <c r="G401" s="4" t="n"/>
      <c r="H401" s="4" t="n"/>
      <c r="I401" s="4" t="n"/>
    </row>
    <row r="402" ht="15.75" customHeight="1" s="108">
      <c r="A402" s="4" t="n"/>
      <c r="B402" s="4" t="n"/>
      <c r="C402" s="4" t="n"/>
      <c r="D402" s="4" t="n"/>
      <c r="E402" s="4" t="n"/>
      <c r="F402" s="4" t="n"/>
      <c r="G402" s="4" t="n"/>
      <c r="H402" s="4" t="n"/>
      <c r="I402" s="4" t="n"/>
    </row>
    <row r="403" ht="15.75" customHeight="1" s="108">
      <c r="A403" s="4" t="n"/>
      <c r="B403" s="4" t="n"/>
      <c r="C403" s="4" t="n"/>
      <c r="D403" s="4" t="n"/>
      <c r="E403" s="4" t="n"/>
      <c r="F403" s="4" t="n"/>
      <c r="G403" s="4" t="n"/>
      <c r="H403" s="4" t="n"/>
      <c r="I403" s="4" t="n"/>
    </row>
    <row r="404" ht="15.75" customHeight="1" s="108">
      <c r="A404" s="4" t="n"/>
      <c r="B404" s="4" t="n"/>
      <c r="C404" s="4" t="n"/>
      <c r="D404" s="4" t="n"/>
      <c r="E404" s="4" t="n"/>
      <c r="F404" s="4" t="n"/>
      <c r="G404" s="4" t="n"/>
      <c r="H404" s="4" t="n"/>
      <c r="I404" s="4" t="n"/>
    </row>
    <row r="405" ht="15.75" customHeight="1" s="108">
      <c r="A405" s="4" t="n"/>
      <c r="B405" s="4" t="n"/>
      <c r="C405" s="4" t="n"/>
      <c r="D405" s="4" t="n"/>
      <c r="E405" s="4" t="n"/>
      <c r="F405" s="4" t="n"/>
      <c r="G405" s="4" t="n"/>
      <c r="H405" s="4" t="n"/>
      <c r="I405" s="4" t="n"/>
    </row>
    <row r="406" ht="15.75" customHeight="1" s="108">
      <c r="A406" s="4" t="n"/>
      <c r="B406" s="4" t="n"/>
      <c r="C406" s="4" t="n"/>
      <c r="D406" s="4" t="n"/>
      <c r="E406" s="4" t="n"/>
      <c r="F406" s="4" t="n"/>
      <c r="G406" s="4" t="n"/>
      <c r="H406" s="4" t="n"/>
      <c r="I406" s="4" t="n"/>
    </row>
    <row r="407" ht="15.75" customHeight="1" s="108">
      <c r="A407" s="4" t="n"/>
      <c r="B407" s="4" t="n"/>
      <c r="C407" s="4" t="n"/>
      <c r="D407" s="4" t="n"/>
      <c r="E407" s="4" t="n"/>
      <c r="F407" s="4" t="n"/>
      <c r="G407" s="4" t="n"/>
      <c r="H407" s="4" t="n"/>
      <c r="I407" s="4" t="n"/>
    </row>
    <row r="408" ht="15.75" customHeight="1" s="108">
      <c r="A408" s="4" t="n"/>
      <c r="B408" s="4" t="n"/>
      <c r="C408" s="4" t="n"/>
      <c r="D408" s="4" t="n"/>
      <c r="E408" s="4" t="n"/>
      <c r="F408" s="4" t="n"/>
      <c r="G408" s="4" t="n"/>
      <c r="H408" s="4" t="n"/>
      <c r="I408" s="4" t="n"/>
    </row>
    <row r="409" ht="15.75" customHeight="1" s="108">
      <c r="A409" s="4" t="n"/>
      <c r="B409" s="4" t="n"/>
      <c r="C409" s="4" t="n"/>
      <c r="D409" s="4" t="n"/>
      <c r="E409" s="4" t="n"/>
      <c r="F409" s="4" t="n"/>
      <c r="G409" s="4" t="n"/>
      <c r="H409" s="4" t="n"/>
      <c r="I409" s="4" t="n"/>
    </row>
    <row r="410" ht="15.75" customHeight="1" s="108">
      <c r="A410" s="4" t="n"/>
      <c r="B410" s="4" t="n"/>
      <c r="C410" s="4" t="n"/>
      <c r="D410" s="4" t="n"/>
      <c r="E410" s="4" t="n"/>
      <c r="F410" s="4" t="n"/>
      <c r="G410" s="4" t="n"/>
      <c r="H410" s="4" t="n"/>
      <c r="I410" s="4" t="n"/>
    </row>
    <row r="411" ht="15.75" customHeight="1" s="108">
      <c r="A411" s="4" t="n"/>
      <c r="B411" s="4" t="n"/>
      <c r="C411" s="4" t="n"/>
      <c r="D411" s="4" t="n"/>
      <c r="E411" s="4" t="n"/>
      <c r="F411" s="4" t="n"/>
      <c r="G411" s="4" t="n"/>
      <c r="H411" s="4" t="n"/>
      <c r="I411" s="4" t="n"/>
    </row>
    <row r="412" ht="15.75" customHeight="1" s="108">
      <c r="A412" s="4" t="n"/>
      <c r="B412" s="4" t="n"/>
      <c r="C412" s="4" t="n"/>
      <c r="D412" s="4" t="n"/>
      <c r="E412" s="4" t="n"/>
      <c r="F412" s="4" t="n"/>
      <c r="G412" s="4" t="n"/>
      <c r="H412" s="4" t="n"/>
      <c r="I412" s="4" t="n"/>
    </row>
    <row r="413" ht="15.75" customHeight="1" s="108">
      <c r="A413" s="4" t="n"/>
      <c r="B413" s="4" t="n"/>
      <c r="C413" s="4" t="n"/>
      <c r="D413" s="4" t="n"/>
      <c r="E413" s="4" t="n"/>
      <c r="F413" s="4" t="n"/>
      <c r="G413" s="4" t="n"/>
      <c r="H413" s="4" t="n"/>
      <c r="I413" s="4" t="n"/>
    </row>
    <row r="414" ht="15.75" customHeight="1" s="108">
      <c r="A414" s="4" t="n"/>
      <c r="B414" s="4" t="n"/>
      <c r="C414" s="4" t="n"/>
      <c r="D414" s="4" t="n"/>
      <c r="E414" s="4" t="n"/>
      <c r="F414" s="4" t="n"/>
      <c r="G414" s="4" t="n"/>
      <c r="H414" s="4" t="n"/>
      <c r="I414" s="4" t="n"/>
    </row>
    <row r="415" ht="15.75" customHeight="1" s="108">
      <c r="A415" s="4" t="n"/>
      <c r="B415" s="4" t="n"/>
      <c r="C415" s="4" t="n"/>
      <c r="D415" s="4" t="n"/>
      <c r="E415" s="4" t="n"/>
      <c r="F415" s="4" t="n"/>
      <c r="G415" s="4" t="n"/>
      <c r="H415" s="4" t="n"/>
      <c r="I415" s="4" t="n"/>
    </row>
    <row r="416" ht="15.75" customHeight="1" s="108">
      <c r="A416" s="4" t="n"/>
      <c r="B416" s="4" t="n"/>
      <c r="C416" s="4" t="n"/>
      <c r="D416" s="4" t="n"/>
      <c r="E416" s="4" t="n"/>
      <c r="F416" s="4" t="n"/>
      <c r="G416" s="4" t="n"/>
      <c r="H416" s="4" t="n"/>
      <c r="I416" s="4" t="n"/>
    </row>
    <row r="417" ht="15.75" customHeight="1" s="108">
      <c r="A417" s="4" t="n"/>
      <c r="B417" s="4" t="n"/>
      <c r="C417" s="4" t="n"/>
      <c r="D417" s="4" t="n"/>
      <c r="E417" s="4" t="n"/>
      <c r="F417" s="4" t="n"/>
      <c r="G417" s="4" t="n"/>
      <c r="H417" s="4" t="n"/>
      <c r="I417" s="4" t="n"/>
    </row>
    <row r="418" ht="15.75" customHeight="1" s="108">
      <c r="A418" s="4" t="n"/>
      <c r="B418" s="4" t="n"/>
      <c r="C418" s="4" t="n"/>
      <c r="D418" s="4" t="n"/>
      <c r="E418" s="4" t="n"/>
      <c r="F418" s="4" t="n"/>
      <c r="G418" s="4" t="n"/>
      <c r="H418" s="4" t="n"/>
      <c r="I418" s="4" t="n"/>
    </row>
    <row r="419" ht="15.75" customHeight="1" s="108">
      <c r="A419" s="4" t="n"/>
      <c r="B419" s="4" t="n"/>
      <c r="C419" s="4" t="n"/>
      <c r="D419" s="4" t="n"/>
      <c r="E419" s="4" t="n"/>
      <c r="F419" s="4" t="n"/>
      <c r="G419" s="4" t="n"/>
      <c r="H419" s="4" t="n"/>
      <c r="I419" s="4" t="n"/>
    </row>
    <row r="420" ht="15.75" customHeight="1" s="108">
      <c r="A420" s="4" t="n"/>
      <c r="B420" s="4" t="n"/>
      <c r="C420" s="4" t="n"/>
      <c r="D420" s="4" t="n"/>
      <c r="E420" s="4" t="n"/>
      <c r="F420" s="4" t="n"/>
      <c r="G420" s="4" t="n"/>
      <c r="H420" s="4" t="n"/>
      <c r="I420" s="4" t="n"/>
    </row>
    <row r="421" ht="15.75" customHeight="1" s="108">
      <c r="A421" s="4" t="n"/>
      <c r="B421" s="4" t="n"/>
      <c r="C421" s="4" t="n"/>
      <c r="D421" s="4" t="n"/>
      <c r="E421" s="4" t="n"/>
      <c r="F421" s="4" t="n"/>
      <c r="G421" s="4" t="n"/>
      <c r="H421" s="4" t="n"/>
      <c r="I421" s="4" t="n"/>
    </row>
    <row r="422" ht="15.75" customHeight="1" s="108">
      <c r="A422" s="4" t="n"/>
      <c r="B422" s="4" t="n"/>
      <c r="C422" s="4" t="n"/>
      <c r="D422" s="4" t="n"/>
      <c r="E422" s="4" t="n"/>
      <c r="F422" s="4" t="n"/>
      <c r="G422" s="4" t="n"/>
      <c r="H422" s="4" t="n"/>
      <c r="I422" s="4" t="n"/>
    </row>
    <row r="423" ht="15.75" customHeight="1" s="108">
      <c r="A423" s="4" t="n"/>
      <c r="B423" s="4" t="n"/>
      <c r="C423" s="4" t="n"/>
      <c r="D423" s="4" t="n"/>
      <c r="E423" s="4" t="n"/>
      <c r="F423" s="4" t="n"/>
      <c r="G423" s="4" t="n"/>
      <c r="H423" s="4" t="n"/>
      <c r="I423" s="4" t="n"/>
    </row>
    <row r="424" ht="15.75" customHeight="1" s="108">
      <c r="A424" s="4" t="n"/>
      <c r="B424" s="4" t="n"/>
      <c r="C424" s="4" t="n"/>
      <c r="D424" s="4" t="n"/>
      <c r="E424" s="4" t="n"/>
      <c r="F424" s="4" t="n"/>
      <c r="G424" s="4" t="n"/>
      <c r="H424" s="4" t="n"/>
      <c r="I424" s="4" t="n"/>
    </row>
    <row r="425" ht="15.75" customHeight="1" s="108">
      <c r="A425" s="4" t="n"/>
      <c r="B425" s="4" t="n"/>
      <c r="C425" s="4" t="n"/>
      <c r="D425" s="4" t="n"/>
      <c r="E425" s="4" t="n"/>
      <c r="F425" s="4" t="n"/>
      <c r="G425" s="4" t="n"/>
      <c r="H425" s="4" t="n"/>
      <c r="I425" s="4" t="n"/>
    </row>
    <row r="426" ht="15.75" customHeight="1" s="108">
      <c r="A426" s="4" t="n"/>
      <c r="B426" s="4" t="n"/>
      <c r="C426" s="4" t="n"/>
      <c r="D426" s="4" t="n"/>
      <c r="E426" s="4" t="n"/>
      <c r="F426" s="4" t="n"/>
      <c r="G426" s="4" t="n"/>
      <c r="H426" s="4" t="n"/>
      <c r="I426" s="4" t="n"/>
    </row>
    <row r="427" ht="15.75" customHeight="1" s="108">
      <c r="A427" s="4" t="n"/>
      <c r="B427" s="4" t="n"/>
      <c r="C427" s="4" t="n"/>
      <c r="D427" s="4" t="n"/>
      <c r="E427" s="4" t="n"/>
      <c r="F427" s="4" t="n"/>
      <c r="G427" s="4" t="n"/>
      <c r="H427" s="4" t="n"/>
      <c r="I427" s="4" t="n"/>
    </row>
    <row r="428" ht="15.75" customHeight="1" s="108">
      <c r="A428" s="4" t="n"/>
      <c r="B428" s="4" t="n"/>
      <c r="C428" s="4" t="n"/>
      <c r="D428" s="4" t="n"/>
      <c r="E428" s="4" t="n"/>
      <c r="F428" s="4" t="n"/>
      <c r="G428" s="4" t="n"/>
      <c r="H428" s="4" t="n"/>
      <c r="I428" s="4" t="n"/>
    </row>
    <row r="429" ht="15.75" customHeight="1" s="108">
      <c r="A429" s="4" t="n"/>
      <c r="B429" s="4" t="n"/>
      <c r="C429" s="4" t="n"/>
      <c r="D429" s="4" t="n"/>
      <c r="E429" s="4" t="n"/>
      <c r="F429" s="4" t="n"/>
      <c r="G429" s="4" t="n"/>
      <c r="H429" s="4" t="n"/>
      <c r="I429" s="4" t="n"/>
    </row>
    <row r="430" ht="15.75" customHeight="1" s="108">
      <c r="A430" s="4" t="n"/>
      <c r="B430" s="4" t="n"/>
      <c r="C430" s="4" t="n"/>
      <c r="D430" s="4" t="n"/>
      <c r="E430" s="4" t="n"/>
      <c r="F430" s="4" t="n"/>
      <c r="G430" s="4" t="n"/>
      <c r="H430" s="4" t="n"/>
      <c r="I430" s="4" t="n"/>
    </row>
    <row r="431" ht="15.75" customHeight="1" s="108">
      <c r="A431" s="4" t="n"/>
      <c r="B431" s="4" t="n"/>
      <c r="C431" s="4" t="n"/>
      <c r="D431" s="4" t="n"/>
      <c r="E431" s="4" t="n"/>
      <c r="F431" s="4" t="n"/>
      <c r="G431" s="4" t="n"/>
      <c r="H431" s="4" t="n"/>
      <c r="I431" s="4" t="n"/>
    </row>
    <row r="432" ht="15.75" customHeight="1" s="108">
      <c r="A432" s="4" t="n"/>
      <c r="B432" s="4" t="n"/>
      <c r="C432" s="4" t="n"/>
      <c r="D432" s="4" t="n"/>
      <c r="E432" s="4" t="n"/>
      <c r="F432" s="4" t="n"/>
      <c r="G432" s="4" t="n"/>
      <c r="H432" s="4" t="n"/>
      <c r="I432" s="4" t="n"/>
    </row>
    <row r="433" ht="15.75" customHeight="1" s="108">
      <c r="A433" s="4" t="n"/>
      <c r="B433" s="4" t="n"/>
      <c r="C433" s="4" t="n"/>
      <c r="D433" s="4" t="n"/>
      <c r="E433" s="4" t="n"/>
      <c r="F433" s="4" t="n"/>
      <c r="G433" s="4" t="n"/>
      <c r="H433" s="4" t="n"/>
      <c r="I433" s="4" t="n"/>
    </row>
    <row r="434" ht="15.75" customHeight="1" s="108">
      <c r="A434" s="4" t="n"/>
      <c r="B434" s="4" t="n"/>
      <c r="C434" s="4" t="n"/>
      <c r="D434" s="4" t="n"/>
      <c r="E434" s="4" t="n"/>
      <c r="F434" s="4" t="n"/>
      <c r="G434" s="4" t="n"/>
      <c r="H434" s="4" t="n"/>
      <c r="I434" s="4" t="n"/>
    </row>
    <row r="435" ht="15.75" customHeight="1" s="108">
      <c r="A435" s="4" t="n"/>
      <c r="B435" s="4" t="n"/>
      <c r="C435" s="4" t="n"/>
      <c r="D435" s="4" t="n"/>
      <c r="E435" s="4" t="n"/>
      <c r="F435" s="4" t="n"/>
      <c r="G435" s="4" t="n"/>
      <c r="H435" s="4" t="n"/>
      <c r="I435" s="4" t="n"/>
    </row>
    <row r="436" ht="15.75" customHeight="1" s="108">
      <c r="A436" s="4" t="n"/>
      <c r="B436" s="4" t="n"/>
      <c r="C436" s="4" t="n"/>
      <c r="D436" s="4" t="n"/>
      <c r="E436" s="4" t="n"/>
      <c r="F436" s="4" t="n"/>
      <c r="G436" s="4" t="n"/>
      <c r="H436" s="4" t="n"/>
      <c r="I436" s="4" t="n"/>
    </row>
    <row r="437" ht="15.75" customHeight="1" s="108">
      <c r="A437" s="4" t="n"/>
      <c r="B437" s="4" t="n"/>
      <c r="C437" s="4" t="n"/>
      <c r="D437" s="4" t="n"/>
      <c r="E437" s="4" t="n"/>
      <c r="F437" s="4" t="n"/>
      <c r="G437" s="4" t="n"/>
      <c r="H437" s="4" t="n"/>
      <c r="I437" s="4" t="n"/>
    </row>
    <row r="438" ht="15.75" customHeight="1" s="108">
      <c r="A438" s="4" t="n"/>
      <c r="B438" s="4" t="n"/>
      <c r="C438" s="4" t="n"/>
      <c r="D438" s="4" t="n"/>
      <c r="E438" s="4" t="n"/>
      <c r="F438" s="4" t="n"/>
      <c r="G438" s="4" t="n"/>
      <c r="H438" s="4" t="n"/>
      <c r="I438" s="4" t="n"/>
    </row>
    <row r="439" ht="15.75" customHeight="1" s="108">
      <c r="A439" s="4" t="n"/>
      <c r="B439" s="4" t="n"/>
      <c r="C439" s="4" t="n"/>
      <c r="D439" s="4" t="n"/>
      <c r="E439" s="4" t="n"/>
      <c r="F439" s="4" t="n"/>
      <c r="G439" s="4" t="n"/>
      <c r="H439" s="4" t="n"/>
      <c r="I439" s="4" t="n"/>
    </row>
    <row r="440" ht="15.75" customHeight="1" s="108">
      <c r="A440" s="4" t="n"/>
      <c r="B440" s="4" t="n"/>
      <c r="C440" s="4" t="n"/>
      <c r="D440" s="4" t="n"/>
      <c r="E440" s="4" t="n"/>
      <c r="F440" s="4" t="n"/>
      <c r="G440" s="4" t="n"/>
      <c r="H440" s="4" t="n"/>
      <c r="I440" s="4" t="n"/>
    </row>
    <row r="441" ht="15.75" customHeight="1" s="108">
      <c r="A441" s="4" t="n"/>
      <c r="B441" s="4" t="n"/>
      <c r="C441" s="4" t="n"/>
      <c r="D441" s="4" t="n"/>
      <c r="E441" s="4" t="n"/>
      <c r="F441" s="4" t="n"/>
      <c r="G441" s="4" t="n"/>
      <c r="H441" s="4" t="n"/>
      <c r="I441" s="4" t="n"/>
    </row>
    <row r="442" ht="15.75" customHeight="1" s="108">
      <c r="A442" s="4" t="n"/>
      <c r="B442" s="4" t="n"/>
      <c r="C442" s="4" t="n"/>
      <c r="D442" s="4" t="n"/>
      <c r="E442" s="4" t="n"/>
      <c r="F442" s="4" t="n"/>
      <c r="G442" s="4" t="n"/>
      <c r="H442" s="4" t="n"/>
      <c r="I442" s="4" t="n"/>
    </row>
    <row r="443" ht="15.75" customHeight="1" s="108">
      <c r="A443" s="4" t="n"/>
      <c r="B443" s="4" t="n"/>
      <c r="C443" s="4" t="n"/>
      <c r="D443" s="4" t="n"/>
      <c r="E443" s="4" t="n"/>
      <c r="F443" s="4" t="n"/>
      <c r="G443" s="4" t="n"/>
      <c r="H443" s="4" t="n"/>
      <c r="I443" s="4" t="n"/>
    </row>
    <row r="444" ht="15.75" customHeight="1" s="108">
      <c r="A444" s="4" t="n"/>
      <c r="B444" s="4" t="n"/>
      <c r="C444" s="4" t="n"/>
      <c r="D444" s="4" t="n"/>
      <c r="E444" s="4" t="n"/>
      <c r="F444" s="4" t="n"/>
      <c r="G444" s="4" t="n"/>
      <c r="H444" s="4" t="n"/>
      <c r="I444" s="4" t="n"/>
    </row>
    <row r="445" ht="15.75" customHeight="1" s="108">
      <c r="A445" s="4" t="n"/>
      <c r="B445" s="4" t="n"/>
      <c r="C445" s="4" t="n"/>
      <c r="D445" s="4" t="n"/>
      <c r="E445" s="4" t="n"/>
      <c r="F445" s="4" t="n"/>
      <c r="G445" s="4" t="n"/>
      <c r="H445" s="4" t="n"/>
      <c r="I445" s="4" t="n"/>
    </row>
    <row r="446" ht="15.75" customHeight="1" s="108">
      <c r="A446" s="4" t="n"/>
      <c r="B446" s="4" t="n"/>
      <c r="C446" s="4" t="n"/>
      <c r="D446" s="4" t="n"/>
      <c r="E446" s="4" t="n"/>
      <c r="F446" s="4" t="n"/>
      <c r="G446" s="4" t="n"/>
      <c r="H446" s="4" t="n"/>
      <c r="I446" s="4" t="n"/>
    </row>
    <row r="447" ht="15.75" customHeight="1" s="108">
      <c r="A447" s="4" t="n"/>
      <c r="B447" s="4" t="n"/>
      <c r="C447" s="4" t="n"/>
      <c r="D447" s="4" t="n"/>
      <c r="E447" s="4" t="n"/>
      <c r="F447" s="4" t="n"/>
      <c r="G447" s="4" t="n"/>
      <c r="H447" s="4" t="n"/>
      <c r="I447" s="4" t="n"/>
    </row>
    <row r="448" ht="15.75" customHeight="1" s="108">
      <c r="A448" s="4" t="n"/>
      <c r="B448" s="4" t="n"/>
      <c r="C448" s="4" t="n"/>
      <c r="D448" s="4" t="n"/>
      <c r="E448" s="4" t="n"/>
      <c r="F448" s="4" t="n"/>
      <c r="G448" s="4" t="n"/>
      <c r="H448" s="4" t="n"/>
      <c r="I448" s="4" t="n"/>
    </row>
    <row r="449" ht="15.75" customHeight="1" s="108">
      <c r="A449" s="4" t="n"/>
      <c r="B449" s="4" t="n"/>
      <c r="C449" s="4" t="n"/>
      <c r="D449" s="4" t="n"/>
      <c r="E449" s="4" t="n"/>
      <c r="F449" s="4" t="n"/>
      <c r="G449" s="4" t="n"/>
      <c r="H449" s="4" t="n"/>
      <c r="I449" s="4" t="n"/>
    </row>
    <row r="450" ht="15.75" customHeight="1" s="108">
      <c r="A450" s="4" t="n"/>
      <c r="B450" s="4" t="n"/>
      <c r="C450" s="4" t="n"/>
      <c r="D450" s="4" t="n"/>
      <c r="E450" s="4" t="n"/>
      <c r="F450" s="4" t="n"/>
      <c r="G450" s="4" t="n"/>
      <c r="H450" s="4" t="n"/>
      <c r="I450" s="4" t="n"/>
    </row>
    <row r="451" ht="15.75" customHeight="1" s="108">
      <c r="A451" s="4" t="n"/>
      <c r="B451" s="4" t="n"/>
      <c r="C451" s="4" t="n"/>
      <c r="D451" s="4" t="n"/>
      <c r="E451" s="4" t="n"/>
      <c r="F451" s="4" t="n"/>
      <c r="G451" s="4" t="n"/>
      <c r="H451" s="4" t="n"/>
      <c r="I451" s="4" t="n"/>
    </row>
    <row r="452" ht="15.75" customHeight="1" s="108">
      <c r="A452" s="4" t="n"/>
      <c r="B452" s="4" t="n"/>
      <c r="C452" s="4" t="n"/>
      <c r="D452" s="4" t="n"/>
      <c r="E452" s="4" t="n"/>
      <c r="F452" s="4" t="n"/>
      <c r="G452" s="4" t="n"/>
      <c r="H452" s="4" t="n"/>
      <c r="I452" s="4" t="n"/>
    </row>
    <row r="453" ht="15.75" customHeight="1" s="108">
      <c r="A453" s="4" t="n"/>
      <c r="B453" s="4" t="n"/>
      <c r="C453" s="4" t="n"/>
      <c r="D453" s="4" t="n"/>
      <c r="E453" s="4" t="n"/>
      <c r="F453" s="4" t="n"/>
      <c r="G453" s="4" t="n"/>
      <c r="H453" s="4" t="n"/>
      <c r="I453" s="4" t="n"/>
    </row>
    <row r="454" ht="15.75" customHeight="1" s="108">
      <c r="A454" s="4" t="n"/>
      <c r="B454" s="4" t="n"/>
      <c r="C454" s="4" t="n"/>
      <c r="D454" s="4" t="n"/>
      <c r="E454" s="4" t="n"/>
      <c r="F454" s="4" t="n"/>
      <c r="G454" s="4" t="n"/>
      <c r="H454" s="4" t="n"/>
      <c r="I454" s="4" t="n"/>
    </row>
    <row r="455" ht="15.75" customHeight="1" s="108">
      <c r="A455" s="4" t="n"/>
      <c r="B455" s="4" t="n"/>
      <c r="C455" s="4" t="n"/>
      <c r="D455" s="4" t="n"/>
      <c r="E455" s="4" t="n"/>
      <c r="F455" s="4" t="n"/>
      <c r="G455" s="4" t="n"/>
      <c r="H455" s="4" t="n"/>
      <c r="I455" s="4" t="n"/>
    </row>
    <row r="456" ht="15.75" customHeight="1" s="108">
      <c r="A456" s="4" t="n"/>
      <c r="B456" s="4" t="n"/>
      <c r="C456" s="4" t="n"/>
      <c r="D456" s="4" t="n"/>
      <c r="E456" s="4" t="n"/>
      <c r="F456" s="4" t="n"/>
      <c r="G456" s="4" t="n"/>
      <c r="H456" s="4" t="n"/>
      <c r="I456" s="4" t="n"/>
    </row>
    <row r="457" ht="15.75" customHeight="1" s="108">
      <c r="A457" s="4" t="n"/>
      <c r="B457" s="4" t="n"/>
      <c r="C457" s="4" t="n"/>
      <c r="D457" s="4" t="n"/>
      <c r="E457" s="4" t="n"/>
      <c r="F457" s="4" t="n"/>
      <c r="G457" s="4" t="n"/>
      <c r="H457" s="4" t="n"/>
      <c r="I457" s="4" t="n"/>
    </row>
    <row r="458" ht="15.75" customHeight="1" s="108">
      <c r="A458" s="4" t="n"/>
      <c r="B458" s="4" t="n"/>
      <c r="C458" s="4" t="n"/>
      <c r="D458" s="4" t="n"/>
      <c r="E458" s="4" t="n"/>
      <c r="F458" s="4" t="n"/>
      <c r="G458" s="4" t="n"/>
      <c r="H458" s="4" t="n"/>
      <c r="I458" s="4" t="n"/>
    </row>
    <row r="459" ht="15.75" customHeight="1" s="108">
      <c r="A459" s="4" t="n"/>
      <c r="B459" s="4" t="n"/>
      <c r="C459" s="4" t="n"/>
      <c r="D459" s="4" t="n"/>
      <c r="E459" s="4" t="n"/>
      <c r="F459" s="4" t="n"/>
      <c r="G459" s="4" t="n"/>
      <c r="H459" s="4" t="n"/>
      <c r="I459" s="4" t="n"/>
    </row>
    <row r="460" ht="15.75" customHeight="1" s="108">
      <c r="A460" s="4" t="n"/>
      <c r="B460" s="4" t="n"/>
      <c r="C460" s="4" t="n"/>
      <c r="D460" s="4" t="n"/>
      <c r="E460" s="4" t="n"/>
      <c r="F460" s="4" t="n"/>
      <c r="G460" s="4" t="n"/>
      <c r="H460" s="4" t="n"/>
      <c r="I460" s="4" t="n"/>
    </row>
    <row r="461" ht="15.75" customHeight="1" s="108">
      <c r="A461" s="4" t="n"/>
      <c r="B461" s="4" t="n"/>
      <c r="C461" s="4" t="n"/>
      <c r="D461" s="4" t="n"/>
      <c r="E461" s="4" t="n"/>
      <c r="F461" s="4" t="n"/>
      <c r="G461" s="4" t="n"/>
      <c r="H461" s="4" t="n"/>
      <c r="I461" s="4" t="n"/>
    </row>
    <row r="462" ht="15.75" customHeight="1" s="108">
      <c r="A462" s="4" t="n"/>
      <c r="B462" s="4" t="n"/>
      <c r="C462" s="4" t="n"/>
      <c r="D462" s="4" t="n"/>
      <c r="E462" s="4" t="n"/>
      <c r="F462" s="4" t="n"/>
      <c r="G462" s="4" t="n"/>
      <c r="H462" s="4" t="n"/>
      <c r="I462" s="4" t="n"/>
    </row>
    <row r="463" ht="15.75" customHeight="1" s="108">
      <c r="A463" s="4" t="n"/>
      <c r="B463" s="4" t="n"/>
      <c r="C463" s="4" t="n"/>
      <c r="D463" s="4" t="n"/>
      <c r="E463" s="4" t="n"/>
      <c r="F463" s="4" t="n"/>
      <c r="G463" s="4" t="n"/>
      <c r="H463" s="4" t="n"/>
      <c r="I463" s="4" t="n"/>
    </row>
    <row r="464" ht="15.75" customHeight="1" s="108">
      <c r="A464" s="4" t="n"/>
      <c r="B464" s="4" t="n"/>
      <c r="C464" s="4" t="n"/>
      <c r="D464" s="4" t="n"/>
      <c r="E464" s="4" t="n"/>
      <c r="F464" s="4" t="n"/>
      <c r="G464" s="4" t="n"/>
      <c r="H464" s="4" t="n"/>
      <c r="I464" s="4" t="n"/>
    </row>
    <row r="465" ht="15.75" customHeight="1" s="108">
      <c r="A465" s="4" t="n"/>
      <c r="B465" s="4" t="n"/>
      <c r="C465" s="4" t="n"/>
      <c r="D465" s="4" t="n"/>
      <c r="E465" s="4" t="n"/>
      <c r="F465" s="4" t="n"/>
      <c r="G465" s="4" t="n"/>
      <c r="H465" s="4" t="n"/>
      <c r="I465" s="4" t="n"/>
    </row>
    <row r="466" ht="15.75" customHeight="1" s="108">
      <c r="A466" s="4" t="n"/>
      <c r="B466" s="4" t="n"/>
      <c r="C466" s="4" t="n"/>
      <c r="D466" s="4" t="n"/>
      <c r="E466" s="4" t="n"/>
      <c r="F466" s="4" t="n"/>
      <c r="G466" s="4" t="n"/>
      <c r="H466" s="4" t="n"/>
      <c r="I466" s="4" t="n"/>
    </row>
    <row r="467" ht="15.75" customHeight="1" s="108">
      <c r="A467" s="4" t="n"/>
      <c r="B467" s="4" t="n"/>
      <c r="C467" s="4" t="n"/>
      <c r="D467" s="4" t="n"/>
      <c r="E467" s="4" t="n"/>
      <c r="F467" s="4" t="n"/>
      <c r="G467" s="4" t="n"/>
      <c r="H467" s="4" t="n"/>
      <c r="I467" s="4" t="n"/>
    </row>
    <row r="468" ht="15.75" customHeight="1" s="108">
      <c r="A468" s="4" t="n"/>
      <c r="B468" s="4" t="n"/>
      <c r="C468" s="4" t="n"/>
      <c r="D468" s="4" t="n"/>
      <c r="E468" s="4" t="n"/>
      <c r="F468" s="4" t="n"/>
      <c r="G468" s="4" t="n"/>
      <c r="H468" s="4" t="n"/>
      <c r="I468" s="4" t="n"/>
    </row>
    <row r="469" ht="15.75" customHeight="1" s="108">
      <c r="A469" s="4" t="n"/>
      <c r="B469" s="4" t="n"/>
      <c r="C469" s="4" t="n"/>
      <c r="D469" s="4" t="n"/>
      <c r="E469" s="4" t="n"/>
      <c r="F469" s="4" t="n"/>
      <c r="G469" s="4" t="n"/>
      <c r="H469" s="4" t="n"/>
      <c r="I469" s="4" t="n"/>
    </row>
    <row r="470" ht="15.75" customHeight="1" s="108">
      <c r="A470" s="4" t="n"/>
      <c r="B470" s="4" t="n"/>
      <c r="C470" s="4" t="n"/>
      <c r="D470" s="4" t="n"/>
      <c r="E470" s="4" t="n"/>
      <c r="F470" s="4" t="n"/>
      <c r="G470" s="4" t="n"/>
      <c r="H470" s="4" t="n"/>
      <c r="I470" s="4" t="n"/>
    </row>
    <row r="471" ht="15.75" customHeight="1" s="108">
      <c r="A471" s="4" t="n"/>
      <c r="B471" s="4" t="n"/>
      <c r="C471" s="4" t="n"/>
      <c r="D471" s="4" t="n"/>
      <c r="E471" s="4" t="n"/>
      <c r="F471" s="4" t="n"/>
      <c r="G471" s="4" t="n"/>
      <c r="H471" s="4" t="n"/>
      <c r="I471" s="4" t="n"/>
    </row>
    <row r="472" ht="15.75" customHeight="1" s="108">
      <c r="A472" s="4" t="n"/>
      <c r="B472" s="4" t="n"/>
      <c r="C472" s="4" t="n"/>
      <c r="D472" s="4" t="n"/>
      <c r="E472" s="4" t="n"/>
      <c r="F472" s="4" t="n"/>
      <c r="G472" s="4" t="n"/>
      <c r="H472" s="4" t="n"/>
      <c r="I472" s="4" t="n"/>
    </row>
    <row r="473" ht="15.75" customHeight="1" s="108">
      <c r="A473" s="4" t="n"/>
      <c r="B473" s="4" t="n"/>
      <c r="C473" s="4" t="n"/>
      <c r="D473" s="4" t="n"/>
      <c r="E473" s="4" t="n"/>
      <c r="F473" s="4" t="n"/>
      <c r="G473" s="4" t="n"/>
      <c r="H473" s="4" t="n"/>
      <c r="I473" s="4" t="n"/>
    </row>
    <row r="474" ht="15.75" customHeight="1" s="108">
      <c r="A474" s="4" t="n"/>
      <c r="B474" s="4" t="n"/>
      <c r="C474" s="4" t="n"/>
      <c r="D474" s="4" t="n"/>
      <c r="E474" s="4" t="n"/>
      <c r="F474" s="4" t="n"/>
      <c r="G474" s="4" t="n"/>
      <c r="H474" s="4" t="n"/>
      <c r="I474" s="4" t="n"/>
    </row>
    <row r="475" ht="15.75" customHeight="1" s="108">
      <c r="A475" s="4" t="n"/>
      <c r="B475" s="4" t="n"/>
      <c r="C475" s="4" t="n"/>
      <c r="D475" s="4" t="n"/>
      <c r="E475" s="4" t="n"/>
      <c r="F475" s="4" t="n"/>
      <c r="G475" s="4" t="n"/>
      <c r="H475" s="4" t="n"/>
      <c r="I475" s="4" t="n"/>
    </row>
    <row r="476" ht="15.75" customHeight="1" s="108">
      <c r="A476" s="4" t="n"/>
      <c r="B476" s="4" t="n"/>
      <c r="C476" s="4" t="n"/>
      <c r="D476" s="4" t="n"/>
      <c r="E476" s="4" t="n"/>
      <c r="F476" s="4" t="n"/>
      <c r="G476" s="4" t="n"/>
      <c r="H476" s="4" t="n"/>
      <c r="I476" s="4" t="n"/>
    </row>
    <row r="477" ht="15.75" customHeight="1" s="108">
      <c r="A477" s="4" t="n"/>
      <c r="B477" s="4" t="n"/>
      <c r="C477" s="4" t="n"/>
      <c r="D477" s="4" t="n"/>
      <c r="E477" s="4" t="n"/>
      <c r="F477" s="4" t="n"/>
      <c r="G477" s="4" t="n"/>
      <c r="H477" s="4" t="n"/>
      <c r="I477" s="4" t="n"/>
    </row>
    <row r="478" ht="15.75" customHeight="1" s="108">
      <c r="A478" s="4" t="n"/>
      <c r="B478" s="4" t="n"/>
      <c r="C478" s="4" t="n"/>
      <c r="D478" s="4" t="n"/>
      <c r="E478" s="4" t="n"/>
      <c r="F478" s="4" t="n"/>
      <c r="G478" s="4" t="n"/>
      <c r="H478" s="4" t="n"/>
      <c r="I478" s="4" t="n"/>
    </row>
    <row r="479" ht="15.75" customHeight="1" s="108">
      <c r="A479" s="4" t="n"/>
      <c r="B479" s="4" t="n"/>
      <c r="C479" s="4" t="n"/>
      <c r="D479" s="4" t="n"/>
      <c r="E479" s="4" t="n"/>
      <c r="F479" s="4" t="n"/>
      <c r="G479" s="4" t="n"/>
      <c r="H479" s="4" t="n"/>
      <c r="I479" s="4" t="n"/>
    </row>
    <row r="480" ht="15.75" customHeight="1" s="108">
      <c r="A480" s="4" t="n"/>
      <c r="B480" s="4" t="n"/>
      <c r="C480" s="4" t="n"/>
      <c r="D480" s="4" t="n"/>
      <c r="E480" s="4" t="n"/>
      <c r="F480" s="4" t="n"/>
      <c r="G480" s="4" t="n"/>
      <c r="H480" s="4" t="n"/>
      <c r="I480" s="4" t="n"/>
    </row>
    <row r="481" ht="15.75" customHeight="1" s="108">
      <c r="A481" s="4" t="n"/>
      <c r="B481" s="4" t="n"/>
      <c r="C481" s="4" t="n"/>
      <c r="D481" s="4" t="n"/>
      <c r="E481" s="4" t="n"/>
      <c r="F481" s="4" t="n"/>
      <c r="G481" s="4" t="n"/>
      <c r="H481" s="4" t="n"/>
      <c r="I481" s="4" t="n"/>
    </row>
    <row r="482" ht="15.75" customHeight="1" s="108">
      <c r="A482" s="4" t="n"/>
      <c r="B482" s="4" t="n"/>
      <c r="C482" s="4" t="n"/>
      <c r="D482" s="4" t="n"/>
      <c r="E482" s="4" t="n"/>
      <c r="F482" s="4" t="n"/>
      <c r="G482" s="4" t="n"/>
      <c r="H482" s="4" t="n"/>
      <c r="I482" s="4" t="n"/>
    </row>
    <row r="483" ht="15.75" customHeight="1" s="108">
      <c r="A483" s="4" t="n"/>
      <c r="B483" s="4" t="n"/>
      <c r="C483" s="4" t="n"/>
      <c r="D483" s="4" t="n"/>
      <c r="E483" s="4" t="n"/>
      <c r="F483" s="4" t="n"/>
      <c r="G483" s="4" t="n"/>
      <c r="H483" s="4" t="n"/>
      <c r="I483" s="4" t="n"/>
    </row>
    <row r="484" ht="15.75" customHeight="1" s="108">
      <c r="A484" s="4" t="n"/>
      <c r="B484" s="4" t="n"/>
      <c r="C484" s="4" t="n"/>
      <c r="D484" s="4" t="n"/>
      <c r="E484" s="4" t="n"/>
      <c r="F484" s="4" t="n"/>
      <c r="G484" s="4" t="n"/>
      <c r="H484" s="4" t="n"/>
      <c r="I484" s="4" t="n"/>
    </row>
    <row r="485" ht="15.75" customHeight="1" s="108">
      <c r="A485" s="4" t="n"/>
      <c r="B485" s="4" t="n"/>
      <c r="C485" s="4" t="n"/>
      <c r="D485" s="4" t="n"/>
      <c r="E485" s="4" t="n"/>
      <c r="F485" s="4" t="n"/>
      <c r="G485" s="4" t="n"/>
      <c r="H485" s="4" t="n"/>
      <c r="I485" s="4" t="n"/>
    </row>
    <row r="486" ht="15.75" customHeight="1" s="108">
      <c r="A486" s="4" t="n"/>
      <c r="B486" s="4" t="n"/>
      <c r="C486" s="4" t="n"/>
      <c r="D486" s="4" t="n"/>
      <c r="E486" s="4" t="n"/>
      <c r="F486" s="4" t="n"/>
      <c r="G486" s="4" t="n"/>
      <c r="H486" s="4" t="n"/>
      <c r="I486" s="4" t="n"/>
    </row>
    <row r="487" ht="15.75" customHeight="1" s="108">
      <c r="A487" s="4" t="n"/>
      <c r="B487" s="4" t="n"/>
      <c r="C487" s="4" t="n"/>
      <c r="D487" s="4" t="n"/>
      <c r="E487" s="4" t="n"/>
      <c r="F487" s="4" t="n"/>
      <c r="G487" s="4" t="n"/>
      <c r="H487" s="4" t="n"/>
      <c r="I487" s="4" t="n"/>
    </row>
    <row r="488" ht="15.75" customHeight="1" s="108">
      <c r="A488" s="4" t="n"/>
      <c r="B488" s="4" t="n"/>
      <c r="C488" s="4" t="n"/>
      <c r="D488" s="4" t="n"/>
      <c r="E488" s="4" t="n"/>
      <c r="F488" s="4" t="n"/>
      <c r="G488" s="4" t="n"/>
      <c r="H488" s="4" t="n"/>
      <c r="I488" s="4" t="n"/>
    </row>
    <row r="489" ht="15.75" customHeight="1" s="108">
      <c r="A489" s="4" t="n"/>
      <c r="B489" s="4" t="n"/>
      <c r="C489" s="4" t="n"/>
      <c r="D489" s="4" t="n"/>
      <c r="E489" s="4" t="n"/>
      <c r="F489" s="4" t="n"/>
      <c r="G489" s="4" t="n"/>
      <c r="H489" s="4" t="n"/>
      <c r="I489" s="4" t="n"/>
    </row>
    <row r="490" ht="15.75" customHeight="1" s="108">
      <c r="A490" s="4" t="n"/>
      <c r="B490" s="4" t="n"/>
      <c r="C490" s="4" t="n"/>
      <c r="D490" s="4" t="n"/>
      <c r="E490" s="4" t="n"/>
      <c r="F490" s="4" t="n"/>
      <c r="G490" s="4" t="n"/>
      <c r="H490" s="4" t="n"/>
      <c r="I490" s="4" t="n"/>
    </row>
    <row r="491" ht="15.75" customHeight="1" s="108">
      <c r="A491" s="4" t="n"/>
      <c r="B491" s="4" t="n"/>
      <c r="C491" s="4" t="n"/>
      <c r="D491" s="4" t="n"/>
      <c r="E491" s="4" t="n"/>
      <c r="F491" s="4" t="n"/>
      <c r="G491" s="4" t="n"/>
      <c r="H491" s="4" t="n"/>
      <c r="I491" s="4" t="n"/>
    </row>
    <row r="492" ht="15.75" customHeight="1" s="108">
      <c r="A492" s="4" t="n"/>
      <c r="B492" s="4" t="n"/>
      <c r="C492" s="4" t="n"/>
      <c r="D492" s="4" t="n"/>
      <c r="E492" s="4" t="n"/>
      <c r="F492" s="4" t="n"/>
      <c r="G492" s="4" t="n"/>
      <c r="H492" s="4" t="n"/>
      <c r="I492" s="4" t="n"/>
    </row>
    <row r="493" ht="15.75" customHeight="1" s="108">
      <c r="A493" s="4" t="n"/>
      <c r="B493" s="4" t="n"/>
      <c r="C493" s="4" t="n"/>
      <c r="D493" s="4" t="n"/>
      <c r="E493" s="4" t="n"/>
      <c r="F493" s="4" t="n"/>
      <c r="G493" s="4" t="n"/>
      <c r="H493" s="4" t="n"/>
      <c r="I493" s="4" t="n"/>
    </row>
    <row r="494" ht="15.75" customHeight="1" s="108">
      <c r="A494" s="4" t="n"/>
      <c r="B494" s="4" t="n"/>
      <c r="C494" s="4" t="n"/>
      <c r="D494" s="4" t="n"/>
      <c r="E494" s="4" t="n"/>
      <c r="F494" s="4" t="n"/>
      <c r="G494" s="4" t="n"/>
      <c r="H494" s="4" t="n"/>
      <c r="I494" s="4" t="n"/>
    </row>
    <row r="495" ht="15.75" customHeight="1" s="108">
      <c r="A495" s="4" t="n"/>
      <c r="B495" s="4" t="n"/>
      <c r="C495" s="4" t="n"/>
      <c r="D495" s="4" t="n"/>
      <c r="E495" s="4" t="n"/>
      <c r="F495" s="4" t="n"/>
      <c r="G495" s="4" t="n"/>
      <c r="H495" s="4" t="n"/>
      <c r="I495" s="4" t="n"/>
    </row>
    <row r="496" ht="15.75" customHeight="1" s="108">
      <c r="A496" s="4" t="n"/>
      <c r="B496" s="4" t="n"/>
      <c r="C496" s="4" t="n"/>
      <c r="D496" s="4" t="n"/>
      <c r="E496" s="4" t="n"/>
      <c r="F496" s="4" t="n"/>
      <c r="G496" s="4" t="n"/>
      <c r="H496" s="4" t="n"/>
      <c r="I496" s="4" t="n"/>
    </row>
    <row r="497" ht="15.75" customHeight="1" s="108">
      <c r="A497" s="4" t="n"/>
      <c r="B497" s="4" t="n"/>
      <c r="C497" s="4" t="n"/>
      <c r="D497" s="4" t="n"/>
      <c r="E497" s="4" t="n"/>
      <c r="F497" s="4" t="n"/>
      <c r="G497" s="4" t="n"/>
      <c r="H497" s="4" t="n"/>
      <c r="I497" s="4" t="n"/>
    </row>
    <row r="498" ht="15.75" customHeight="1" s="108">
      <c r="A498" s="4" t="n"/>
      <c r="B498" s="4" t="n"/>
      <c r="C498" s="4" t="n"/>
      <c r="D498" s="4" t="n"/>
      <c r="E498" s="4" t="n"/>
      <c r="F498" s="4" t="n"/>
      <c r="G498" s="4" t="n"/>
      <c r="H498" s="4" t="n"/>
      <c r="I498" s="4" t="n"/>
    </row>
    <row r="499" ht="15.75" customHeight="1" s="108">
      <c r="A499" s="4" t="n"/>
      <c r="B499" s="4" t="n"/>
      <c r="C499" s="4" t="n"/>
      <c r="D499" s="4" t="n"/>
      <c r="E499" s="4" t="n"/>
      <c r="F499" s="4" t="n"/>
      <c r="G499" s="4" t="n"/>
      <c r="H499" s="4" t="n"/>
      <c r="I499" s="4" t="n"/>
    </row>
    <row r="500" ht="15.75" customHeight="1" s="108">
      <c r="A500" s="4" t="n"/>
      <c r="B500" s="4" t="n"/>
      <c r="C500" s="4" t="n"/>
      <c r="D500" s="4" t="n"/>
      <c r="E500" s="4" t="n"/>
      <c r="F500" s="4" t="n"/>
      <c r="G500" s="4" t="n"/>
      <c r="H500" s="4" t="n"/>
      <c r="I500" s="4" t="n"/>
    </row>
    <row r="501" ht="15.75" customHeight="1" s="108">
      <c r="A501" s="4" t="n"/>
      <c r="B501" s="4" t="n"/>
      <c r="C501" s="4" t="n"/>
      <c r="D501" s="4" t="n"/>
      <c r="E501" s="4" t="n"/>
      <c r="F501" s="4" t="n"/>
      <c r="G501" s="4" t="n"/>
      <c r="H501" s="4" t="n"/>
      <c r="I501" s="4" t="n"/>
    </row>
    <row r="502" ht="15.75" customHeight="1" s="108">
      <c r="A502" s="4" t="n"/>
      <c r="B502" s="4" t="n"/>
      <c r="C502" s="4" t="n"/>
      <c r="D502" s="4" t="n"/>
      <c r="E502" s="4" t="n"/>
      <c r="F502" s="4" t="n"/>
      <c r="G502" s="4" t="n"/>
      <c r="H502" s="4" t="n"/>
      <c r="I502" s="4" t="n"/>
    </row>
    <row r="503" ht="15.75" customHeight="1" s="108">
      <c r="A503" s="4" t="n"/>
      <c r="B503" s="4" t="n"/>
      <c r="C503" s="4" t="n"/>
      <c r="D503" s="4" t="n"/>
      <c r="E503" s="4" t="n"/>
      <c r="F503" s="4" t="n"/>
      <c r="G503" s="4" t="n"/>
      <c r="H503" s="4" t="n"/>
      <c r="I503" s="4" t="n"/>
    </row>
    <row r="504" ht="15.75" customHeight="1" s="108">
      <c r="A504" s="4" t="n"/>
      <c r="B504" s="4" t="n"/>
      <c r="C504" s="4" t="n"/>
      <c r="D504" s="4" t="n"/>
      <c r="E504" s="4" t="n"/>
      <c r="F504" s="4" t="n"/>
      <c r="G504" s="4" t="n"/>
      <c r="H504" s="4" t="n"/>
      <c r="I504" s="4" t="n"/>
    </row>
    <row r="505" ht="15.75" customHeight="1" s="108">
      <c r="A505" s="4" t="n"/>
      <c r="B505" s="4" t="n"/>
      <c r="C505" s="4" t="n"/>
      <c r="D505" s="4" t="n"/>
      <c r="E505" s="4" t="n"/>
      <c r="F505" s="4" t="n"/>
      <c r="G505" s="4" t="n"/>
      <c r="H505" s="4" t="n"/>
      <c r="I505" s="4" t="n"/>
    </row>
    <row r="506" ht="15.75" customHeight="1" s="108">
      <c r="A506" s="4" t="n"/>
      <c r="B506" s="4" t="n"/>
      <c r="C506" s="4" t="n"/>
      <c r="D506" s="4" t="n"/>
      <c r="E506" s="4" t="n"/>
      <c r="F506" s="4" t="n"/>
      <c r="G506" s="4" t="n"/>
      <c r="H506" s="4" t="n"/>
      <c r="I506" s="4" t="n"/>
    </row>
    <row r="507" ht="15.75" customHeight="1" s="108">
      <c r="A507" s="4" t="n"/>
      <c r="B507" s="4" t="n"/>
      <c r="C507" s="4" t="n"/>
      <c r="D507" s="4" t="n"/>
      <c r="E507" s="4" t="n"/>
      <c r="F507" s="4" t="n"/>
      <c r="G507" s="4" t="n"/>
      <c r="H507" s="4" t="n"/>
      <c r="I507" s="4" t="n"/>
    </row>
    <row r="508" ht="15.75" customHeight="1" s="108">
      <c r="A508" s="4" t="n"/>
      <c r="B508" s="4" t="n"/>
      <c r="C508" s="4" t="n"/>
      <c r="D508" s="4" t="n"/>
      <c r="E508" s="4" t="n"/>
      <c r="F508" s="4" t="n"/>
      <c r="G508" s="4" t="n"/>
      <c r="H508" s="4" t="n"/>
      <c r="I508" s="4" t="n"/>
    </row>
    <row r="509" ht="15.75" customHeight="1" s="108">
      <c r="A509" s="4" t="n"/>
      <c r="B509" s="4" t="n"/>
      <c r="C509" s="4" t="n"/>
      <c r="D509" s="4" t="n"/>
      <c r="E509" s="4" t="n"/>
      <c r="F509" s="4" t="n"/>
      <c r="G509" s="4" t="n"/>
      <c r="H509" s="4" t="n"/>
      <c r="I509" s="4" t="n"/>
    </row>
    <row r="510" ht="15.75" customHeight="1" s="108">
      <c r="A510" s="4" t="n"/>
      <c r="B510" s="4" t="n"/>
      <c r="C510" s="4" t="n"/>
      <c r="D510" s="4" t="n"/>
      <c r="E510" s="4" t="n"/>
      <c r="F510" s="4" t="n"/>
      <c r="G510" s="4" t="n"/>
      <c r="H510" s="4" t="n"/>
      <c r="I510" s="4" t="n"/>
    </row>
    <row r="511" ht="15.75" customHeight="1" s="108">
      <c r="A511" s="4" t="n"/>
      <c r="B511" s="4" t="n"/>
      <c r="C511" s="4" t="n"/>
      <c r="D511" s="4" t="n"/>
      <c r="E511" s="4" t="n"/>
      <c r="F511" s="4" t="n"/>
      <c r="G511" s="4" t="n"/>
      <c r="H511" s="4" t="n"/>
      <c r="I511" s="4" t="n"/>
    </row>
    <row r="512" ht="15.75" customHeight="1" s="108">
      <c r="A512" s="4" t="n"/>
      <c r="B512" s="4" t="n"/>
      <c r="C512" s="4" t="n"/>
      <c r="D512" s="4" t="n"/>
      <c r="E512" s="4" t="n"/>
      <c r="F512" s="4" t="n"/>
      <c r="G512" s="4" t="n"/>
      <c r="H512" s="4" t="n"/>
      <c r="I512" s="4" t="n"/>
    </row>
    <row r="513" ht="15.75" customHeight="1" s="108">
      <c r="A513" s="4" t="n"/>
      <c r="B513" s="4" t="n"/>
      <c r="C513" s="4" t="n"/>
      <c r="D513" s="4" t="n"/>
      <c r="E513" s="4" t="n"/>
      <c r="F513" s="4" t="n"/>
      <c r="G513" s="4" t="n"/>
      <c r="H513" s="4" t="n"/>
      <c r="I513" s="4" t="n"/>
    </row>
    <row r="514" ht="15.75" customHeight="1" s="108">
      <c r="A514" s="4" t="n"/>
      <c r="B514" s="4" t="n"/>
      <c r="C514" s="4" t="n"/>
      <c r="D514" s="4" t="n"/>
      <c r="E514" s="4" t="n"/>
      <c r="F514" s="4" t="n"/>
      <c r="G514" s="4" t="n"/>
      <c r="H514" s="4" t="n"/>
      <c r="I514" s="4" t="n"/>
    </row>
    <row r="515" ht="15.75" customHeight="1" s="108">
      <c r="A515" s="4" t="n"/>
      <c r="B515" s="4" t="n"/>
      <c r="C515" s="4" t="n"/>
      <c r="D515" s="4" t="n"/>
      <c r="E515" s="4" t="n"/>
      <c r="F515" s="4" t="n"/>
      <c r="G515" s="4" t="n"/>
      <c r="H515" s="4" t="n"/>
      <c r="I515" s="4" t="n"/>
    </row>
    <row r="516" ht="15.75" customHeight="1" s="108">
      <c r="A516" s="4" t="n"/>
      <c r="B516" s="4" t="n"/>
      <c r="C516" s="4" t="n"/>
      <c r="D516" s="4" t="n"/>
      <c r="E516" s="4" t="n"/>
      <c r="F516" s="4" t="n"/>
      <c r="G516" s="4" t="n"/>
      <c r="H516" s="4" t="n"/>
      <c r="I516" s="4" t="n"/>
    </row>
    <row r="517" ht="15.75" customHeight="1" s="108">
      <c r="A517" s="4" t="n"/>
      <c r="B517" s="4" t="n"/>
      <c r="C517" s="4" t="n"/>
      <c r="D517" s="4" t="n"/>
      <c r="E517" s="4" t="n"/>
      <c r="F517" s="4" t="n"/>
      <c r="G517" s="4" t="n"/>
      <c r="H517" s="4" t="n"/>
      <c r="I517" s="4" t="n"/>
    </row>
    <row r="518" ht="15.75" customHeight="1" s="108">
      <c r="A518" s="4" t="n"/>
      <c r="B518" s="4" t="n"/>
      <c r="C518" s="4" t="n"/>
      <c r="D518" s="4" t="n"/>
      <c r="E518" s="4" t="n"/>
      <c r="F518" s="4" t="n"/>
      <c r="G518" s="4" t="n"/>
      <c r="H518" s="4" t="n"/>
      <c r="I518" s="4" t="n"/>
    </row>
    <row r="519" ht="15.75" customHeight="1" s="108">
      <c r="A519" s="4" t="n"/>
      <c r="B519" s="4" t="n"/>
      <c r="C519" s="4" t="n"/>
      <c r="D519" s="4" t="n"/>
      <c r="E519" s="4" t="n"/>
      <c r="F519" s="4" t="n"/>
      <c r="G519" s="4" t="n"/>
      <c r="H519" s="4" t="n"/>
      <c r="I519" s="4" t="n"/>
    </row>
    <row r="520" ht="15.75" customHeight="1" s="108">
      <c r="A520" s="4" t="n"/>
      <c r="B520" s="4" t="n"/>
      <c r="C520" s="4" t="n"/>
      <c r="D520" s="4" t="n"/>
      <c r="E520" s="4" t="n"/>
      <c r="F520" s="4" t="n"/>
      <c r="G520" s="4" t="n"/>
      <c r="H520" s="4" t="n"/>
      <c r="I520" s="4" t="n"/>
    </row>
    <row r="521" ht="15.75" customHeight="1" s="108">
      <c r="A521" s="4" t="n"/>
      <c r="B521" s="4" t="n"/>
      <c r="C521" s="4" t="n"/>
      <c r="D521" s="4" t="n"/>
      <c r="E521" s="4" t="n"/>
      <c r="F521" s="4" t="n"/>
      <c r="G521" s="4" t="n"/>
      <c r="H521" s="4" t="n"/>
      <c r="I521" s="4" t="n"/>
    </row>
    <row r="522" ht="15.75" customHeight="1" s="108">
      <c r="A522" s="4" t="n"/>
      <c r="B522" s="4" t="n"/>
      <c r="C522" s="4" t="n"/>
      <c r="D522" s="4" t="n"/>
      <c r="E522" s="4" t="n"/>
      <c r="F522" s="4" t="n"/>
      <c r="G522" s="4" t="n"/>
      <c r="H522" s="4" t="n"/>
      <c r="I522" s="4" t="n"/>
    </row>
    <row r="523" ht="15.75" customHeight="1" s="108">
      <c r="A523" s="4" t="n"/>
      <c r="B523" s="4" t="n"/>
      <c r="C523" s="4" t="n"/>
      <c r="D523" s="4" t="n"/>
      <c r="E523" s="4" t="n"/>
      <c r="F523" s="4" t="n"/>
      <c r="G523" s="4" t="n"/>
      <c r="H523" s="4" t="n"/>
      <c r="I523" s="4" t="n"/>
    </row>
    <row r="524" ht="15.75" customHeight="1" s="108">
      <c r="A524" s="4" t="n"/>
      <c r="B524" s="4" t="n"/>
      <c r="C524" s="4" t="n"/>
      <c r="D524" s="4" t="n"/>
      <c r="E524" s="4" t="n"/>
      <c r="F524" s="4" t="n"/>
      <c r="G524" s="4" t="n"/>
      <c r="H524" s="4" t="n"/>
      <c r="I524" s="4" t="n"/>
    </row>
    <row r="525" ht="15.75" customHeight="1" s="108">
      <c r="A525" s="4" t="n"/>
      <c r="B525" s="4" t="n"/>
      <c r="C525" s="4" t="n"/>
      <c r="D525" s="4" t="n"/>
      <c r="E525" s="4" t="n"/>
      <c r="F525" s="4" t="n"/>
      <c r="G525" s="4" t="n"/>
      <c r="H525" s="4" t="n"/>
      <c r="I525" s="4" t="n"/>
    </row>
    <row r="526" ht="15.75" customHeight="1" s="108">
      <c r="A526" s="4" t="n"/>
      <c r="B526" s="4" t="n"/>
      <c r="C526" s="4" t="n"/>
      <c r="D526" s="4" t="n"/>
      <c r="E526" s="4" t="n"/>
      <c r="F526" s="4" t="n"/>
      <c r="G526" s="4" t="n"/>
      <c r="H526" s="4" t="n"/>
      <c r="I526" s="4" t="n"/>
    </row>
    <row r="527" ht="15.75" customHeight="1" s="108">
      <c r="A527" s="4" t="n"/>
      <c r="B527" s="4" t="n"/>
      <c r="C527" s="4" t="n"/>
      <c r="D527" s="4" t="n"/>
      <c r="E527" s="4" t="n"/>
      <c r="F527" s="4" t="n"/>
      <c r="G527" s="4" t="n"/>
      <c r="H527" s="4" t="n"/>
      <c r="I527" s="4" t="n"/>
    </row>
    <row r="528" ht="15.75" customHeight="1" s="108">
      <c r="A528" s="4" t="n"/>
      <c r="B528" s="4" t="n"/>
      <c r="C528" s="4" t="n"/>
      <c r="D528" s="4" t="n"/>
      <c r="E528" s="4" t="n"/>
      <c r="F528" s="4" t="n"/>
      <c r="G528" s="4" t="n"/>
      <c r="H528" s="4" t="n"/>
      <c r="I528" s="4" t="n"/>
    </row>
    <row r="529" ht="15.75" customHeight="1" s="108">
      <c r="A529" s="4" t="n"/>
      <c r="B529" s="4" t="n"/>
      <c r="C529" s="4" t="n"/>
      <c r="D529" s="4" t="n"/>
      <c r="E529" s="4" t="n"/>
      <c r="F529" s="4" t="n"/>
      <c r="G529" s="4" t="n"/>
      <c r="H529" s="4" t="n"/>
      <c r="I529" s="4" t="n"/>
    </row>
    <row r="530" ht="15.75" customHeight="1" s="108">
      <c r="A530" s="4" t="n"/>
      <c r="B530" s="4" t="n"/>
      <c r="C530" s="4" t="n"/>
      <c r="D530" s="4" t="n"/>
      <c r="E530" s="4" t="n"/>
      <c r="F530" s="4" t="n"/>
      <c r="G530" s="4" t="n"/>
      <c r="H530" s="4" t="n"/>
      <c r="I530" s="4" t="n"/>
    </row>
    <row r="531" ht="15.75" customHeight="1" s="108">
      <c r="A531" s="4" t="n"/>
      <c r="B531" s="4" t="n"/>
      <c r="C531" s="4" t="n"/>
      <c r="D531" s="4" t="n"/>
      <c r="E531" s="4" t="n"/>
      <c r="F531" s="4" t="n"/>
      <c r="G531" s="4" t="n"/>
      <c r="H531" s="4" t="n"/>
      <c r="I531" s="4" t="n"/>
    </row>
    <row r="532" ht="15.75" customHeight="1" s="108">
      <c r="A532" s="4" t="n"/>
      <c r="B532" s="4" t="n"/>
      <c r="C532" s="4" t="n"/>
      <c r="D532" s="4" t="n"/>
      <c r="E532" s="4" t="n"/>
      <c r="F532" s="4" t="n"/>
      <c r="G532" s="4" t="n"/>
      <c r="H532" s="4" t="n"/>
      <c r="I532" s="4" t="n"/>
    </row>
    <row r="533" ht="15.75" customHeight="1" s="108">
      <c r="A533" s="4" t="n"/>
      <c r="B533" s="4" t="n"/>
      <c r="C533" s="4" t="n"/>
      <c r="D533" s="4" t="n"/>
      <c r="E533" s="4" t="n"/>
      <c r="F533" s="4" t="n"/>
      <c r="G533" s="4" t="n"/>
      <c r="H533" s="4" t="n"/>
      <c r="I533" s="4" t="n"/>
    </row>
    <row r="534" ht="15.75" customHeight="1" s="108">
      <c r="A534" s="4" t="n"/>
      <c r="B534" s="4" t="n"/>
      <c r="C534" s="4" t="n"/>
      <c r="D534" s="4" t="n"/>
      <c r="E534" s="4" t="n"/>
      <c r="F534" s="4" t="n"/>
      <c r="G534" s="4" t="n"/>
      <c r="H534" s="4" t="n"/>
      <c r="I534" s="4" t="n"/>
    </row>
    <row r="535" ht="15.75" customHeight="1" s="108">
      <c r="A535" s="4" t="n"/>
      <c r="B535" s="4" t="n"/>
      <c r="C535" s="4" t="n"/>
      <c r="D535" s="4" t="n"/>
      <c r="E535" s="4" t="n"/>
      <c r="F535" s="4" t="n"/>
      <c r="G535" s="4" t="n"/>
      <c r="H535" s="4" t="n"/>
      <c r="I535" s="4" t="n"/>
    </row>
    <row r="536" ht="15.75" customHeight="1" s="108">
      <c r="A536" s="4" t="n"/>
      <c r="B536" s="4" t="n"/>
      <c r="C536" s="4" t="n"/>
      <c r="D536" s="4" t="n"/>
      <c r="E536" s="4" t="n"/>
      <c r="F536" s="4" t="n"/>
      <c r="G536" s="4" t="n"/>
      <c r="H536" s="4" t="n"/>
      <c r="I536" s="4" t="n"/>
    </row>
    <row r="537" ht="15.75" customHeight="1" s="108">
      <c r="A537" s="4" t="n"/>
      <c r="B537" s="4" t="n"/>
      <c r="C537" s="4" t="n"/>
      <c r="D537" s="4" t="n"/>
      <c r="E537" s="4" t="n"/>
      <c r="F537" s="4" t="n"/>
      <c r="G537" s="4" t="n"/>
      <c r="H537" s="4" t="n"/>
      <c r="I537" s="4" t="n"/>
    </row>
    <row r="538" ht="15.75" customHeight="1" s="108">
      <c r="A538" s="4" t="n"/>
      <c r="B538" s="4" t="n"/>
      <c r="C538" s="4" t="n"/>
      <c r="D538" s="4" t="n"/>
      <c r="E538" s="4" t="n"/>
      <c r="F538" s="4" t="n"/>
      <c r="G538" s="4" t="n"/>
      <c r="H538" s="4" t="n"/>
      <c r="I538" s="4" t="n"/>
    </row>
    <row r="539" ht="15.75" customHeight="1" s="108">
      <c r="A539" s="4" t="n"/>
      <c r="B539" s="4" t="n"/>
      <c r="C539" s="4" t="n"/>
      <c r="D539" s="4" t="n"/>
      <c r="E539" s="4" t="n"/>
      <c r="F539" s="4" t="n"/>
      <c r="G539" s="4" t="n"/>
      <c r="H539" s="4" t="n"/>
      <c r="I539" s="4" t="n"/>
    </row>
    <row r="540" ht="15.75" customHeight="1" s="108">
      <c r="A540" s="4" t="n"/>
      <c r="B540" s="4" t="n"/>
      <c r="C540" s="4" t="n"/>
      <c r="D540" s="4" t="n"/>
      <c r="E540" s="4" t="n"/>
      <c r="F540" s="4" t="n"/>
      <c r="G540" s="4" t="n"/>
      <c r="H540" s="4" t="n"/>
      <c r="I540" s="4" t="n"/>
    </row>
    <row r="541" ht="15.75" customHeight="1" s="108">
      <c r="A541" s="4" t="n"/>
      <c r="B541" s="4" t="n"/>
      <c r="C541" s="4" t="n"/>
      <c r="D541" s="4" t="n"/>
      <c r="E541" s="4" t="n"/>
      <c r="F541" s="4" t="n"/>
      <c r="G541" s="4" t="n"/>
      <c r="H541" s="4" t="n"/>
      <c r="I541" s="4" t="n"/>
    </row>
    <row r="542" ht="15.75" customHeight="1" s="108">
      <c r="A542" s="4" t="n"/>
      <c r="B542" s="4" t="n"/>
      <c r="C542" s="4" t="n"/>
      <c r="D542" s="4" t="n"/>
      <c r="E542" s="4" t="n"/>
      <c r="F542" s="4" t="n"/>
      <c r="G542" s="4" t="n"/>
      <c r="H542" s="4" t="n"/>
      <c r="I542" s="4" t="n"/>
    </row>
    <row r="543" ht="15.75" customHeight="1" s="108">
      <c r="A543" s="4" t="n"/>
      <c r="B543" s="4" t="n"/>
      <c r="C543" s="4" t="n"/>
      <c r="D543" s="4" t="n"/>
      <c r="E543" s="4" t="n"/>
      <c r="F543" s="4" t="n"/>
      <c r="G543" s="4" t="n"/>
      <c r="H543" s="4" t="n"/>
      <c r="I543" s="4" t="n"/>
    </row>
    <row r="544" ht="15.75" customHeight="1" s="108">
      <c r="A544" s="4" t="n"/>
      <c r="B544" s="4" t="n"/>
      <c r="C544" s="4" t="n"/>
      <c r="D544" s="4" t="n"/>
      <c r="E544" s="4" t="n"/>
      <c r="F544" s="4" t="n"/>
      <c r="G544" s="4" t="n"/>
      <c r="H544" s="4" t="n"/>
      <c r="I544" s="4" t="n"/>
    </row>
    <row r="545" ht="15.75" customHeight="1" s="108">
      <c r="A545" s="4" t="n"/>
      <c r="B545" s="4" t="n"/>
      <c r="C545" s="4" t="n"/>
      <c r="D545" s="4" t="n"/>
      <c r="E545" s="4" t="n"/>
      <c r="F545" s="4" t="n"/>
      <c r="G545" s="4" t="n"/>
      <c r="H545" s="4" t="n"/>
      <c r="I545" s="4" t="n"/>
    </row>
    <row r="546" ht="15.75" customHeight="1" s="108">
      <c r="A546" s="4" t="n"/>
      <c r="B546" s="4" t="n"/>
      <c r="C546" s="4" t="n"/>
      <c r="D546" s="4" t="n"/>
      <c r="E546" s="4" t="n"/>
      <c r="F546" s="4" t="n"/>
      <c r="G546" s="4" t="n"/>
      <c r="H546" s="4" t="n"/>
      <c r="I546" s="4" t="n"/>
    </row>
    <row r="547" ht="15.75" customHeight="1" s="108">
      <c r="A547" s="4" t="n"/>
      <c r="B547" s="4" t="n"/>
      <c r="C547" s="4" t="n"/>
      <c r="D547" s="4" t="n"/>
      <c r="E547" s="4" t="n"/>
      <c r="F547" s="4" t="n"/>
      <c r="G547" s="4" t="n"/>
      <c r="H547" s="4" t="n"/>
      <c r="I547" s="4" t="n"/>
    </row>
    <row r="548" ht="15.75" customHeight="1" s="108">
      <c r="A548" s="4" t="n"/>
      <c r="B548" s="4" t="n"/>
      <c r="C548" s="4" t="n"/>
      <c r="D548" s="4" t="n"/>
      <c r="E548" s="4" t="n"/>
      <c r="F548" s="4" t="n"/>
      <c r="G548" s="4" t="n"/>
      <c r="H548" s="4" t="n"/>
      <c r="I548" s="4" t="n"/>
    </row>
    <row r="549" ht="15.75" customHeight="1" s="108">
      <c r="A549" s="4" t="n"/>
      <c r="B549" s="4" t="n"/>
      <c r="C549" s="4" t="n"/>
      <c r="D549" s="4" t="n"/>
      <c r="E549" s="4" t="n"/>
      <c r="F549" s="4" t="n"/>
      <c r="G549" s="4" t="n"/>
      <c r="H549" s="4" t="n"/>
      <c r="I549" s="4" t="n"/>
    </row>
    <row r="550" ht="15.75" customHeight="1" s="108">
      <c r="A550" s="4" t="n"/>
      <c r="B550" s="4" t="n"/>
      <c r="C550" s="4" t="n"/>
      <c r="D550" s="4" t="n"/>
      <c r="E550" s="4" t="n"/>
      <c r="F550" s="4" t="n"/>
      <c r="G550" s="4" t="n"/>
      <c r="H550" s="4" t="n"/>
      <c r="I550" s="4" t="n"/>
    </row>
    <row r="551" ht="15.75" customHeight="1" s="108">
      <c r="A551" s="4" t="n"/>
      <c r="B551" s="4" t="n"/>
      <c r="C551" s="4" t="n"/>
      <c r="D551" s="4" t="n"/>
      <c r="E551" s="4" t="n"/>
      <c r="F551" s="4" t="n"/>
      <c r="G551" s="4" t="n"/>
      <c r="H551" s="4" t="n"/>
      <c r="I551" s="4" t="n"/>
    </row>
    <row r="552" ht="15.75" customHeight="1" s="108">
      <c r="A552" s="4" t="n"/>
      <c r="B552" s="4" t="n"/>
      <c r="C552" s="4" t="n"/>
      <c r="D552" s="4" t="n"/>
      <c r="E552" s="4" t="n"/>
      <c r="F552" s="4" t="n"/>
      <c r="G552" s="4" t="n"/>
      <c r="H552" s="4" t="n"/>
      <c r="I552" s="4" t="n"/>
    </row>
    <row r="553" ht="15.75" customHeight="1" s="108">
      <c r="A553" s="4" t="n"/>
      <c r="B553" s="4" t="n"/>
      <c r="C553" s="4" t="n"/>
      <c r="D553" s="4" t="n"/>
      <c r="E553" s="4" t="n"/>
      <c r="F553" s="4" t="n"/>
      <c r="G553" s="4" t="n"/>
      <c r="H553" s="4" t="n"/>
      <c r="I553" s="4" t="n"/>
    </row>
    <row r="554" ht="15.75" customHeight="1" s="108">
      <c r="A554" s="4" t="n"/>
      <c r="B554" s="4" t="n"/>
      <c r="C554" s="4" t="n"/>
      <c r="D554" s="4" t="n"/>
      <c r="E554" s="4" t="n"/>
      <c r="F554" s="4" t="n"/>
      <c r="G554" s="4" t="n"/>
      <c r="H554" s="4" t="n"/>
      <c r="I554" s="4" t="n"/>
    </row>
    <row r="555" ht="15.75" customHeight="1" s="108">
      <c r="A555" s="4" t="n"/>
      <c r="B555" s="4" t="n"/>
      <c r="C555" s="4" t="n"/>
      <c r="D555" s="4" t="n"/>
      <c r="E555" s="4" t="n"/>
      <c r="F555" s="4" t="n"/>
      <c r="G555" s="4" t="n"/>
      <c r="H555" s="4" t="n"/>
      <c r="I555" s="4" t="n"/>
    </row>
    <row r="556" ht="15.75" customHeight="1" s="108">
      <c r="A556" s="4" t="n"/>
      <c r="B556" s="4" t="n"/>
      <c r="C556" s="4" t="n"/>
      <c r="D556" s="4" t="n"/>
      <c r="E556" s="4" t="n"/>
      <c r="F556" s="4" t="n"/>
      <c r="G556" s="4" t="n"/>
      <c r="H556" s="4" t="n"/>
      <c r="I556" s="4" t="n"/>
    </row>
    <row r="557" ht="15.75" customHeight="1" s="108">
      <c r="A557" s="4" t="n"/>
      <c r="B557" s="4" t="n"/>
      <c r="C557" s="4" t="n"/>
      <c r="D557" s="4" t="n"/>
      <c r="E557" s="4" t="n"/>
      <c r="F557" s="4" t="n"/>
      <c r="G557" s="4" t="n"/>
      <c r="H557" s="4" t="n"/>
      <c r="I557" s="4" t="n"/>
    </row>
    <row r="558" ht="15.75" customHeight="1" s="108">
      <c r="A558" s="4" t="n"/>
      <c r="B558" s="4" t="n"/>
      <c r="C558" s="4" t="n"/>
      <c r="D558" s="4" t="n"/>
      <c r="E558" s="4" t="n"/>
      <c r="F558" s="4" t="n"/>
      <c r="G558" s="4" t="n"/>
      <c r="H558" s="4" t="n"/>
      <c r="I558" s="4" t="n"/>
    </row>
    <row r="559" ht="15.75" customHeight="1" s="108">
      <c r="A559" s="4" t="n"/>
      <c r="B559" s="4" t="n"/>
      <c r="C559" s="4" t="n"/>
      <c r="D559" s="4" t="n"/>
      <c r="E559" s="4" t="n"/>
      <c r="F559" s="4" t="n"/>
      <c r="G559" s="4" t="n"/>
      <c r="H559" s="4" t="n"/>
      <c r="I559" s="4" t="n"/>
    </row>
    <row r="560" ht="15.75" customHeight="1" s="108">
      <c r="A560" s="4" t="n"/>
      <c r="B560" s="4" t="n"/>
      <c r="C560" s="4" t="n"/>
      <c r="D560" s="4" t="n"/>
      <c r="E560" s="4" t="n"/>
      <c r="F560" s="4" t="n"/>
      <c r="G560" s="4" t="n"/>
      <c r="H560" s="4" t="n"/>
      <c r="I560" s="4" t="n"/>
    </row>
    <row r="561" ht="15.75" customHeight="1" s="108">
      <c r="A561" s="4" t="n"/>
      <c r="B561" s="4" t="n"/>
      <c r="C561" s="4" t="n"/>
      <c r="D561" s="4" t="n"/>
      <c r="E561" s="4" t="n"/>
      <c r="F561" s="4" t="n"/>
      <c r="G561" s="4" t="n"/>
      <c r="H561" s="4" t="n"/>
      <c r="I561" s="4" t="n"/>
    </row>
    <row r="562" ht="15.75" customHeight="1" s="108">
      <c r="A562" s="4" t="n"/>
      <c r="B562" s="4" t="n"/>
      <c r="C562" s="4" t="n"/>
      <c r="D562" s="4" t="n"/>
      <c r="E562" s="4" t="n"/>
      <c r="F562" s="4" t="n"/>
      <c r="G562" s="4" t="n"/>
      <c r="H562" s="4" t="n"/>
      <c r="I562" s="4" t="n"/>
    </row>
    <row r="563" ht="15.75" customHeight="1" s="108">
      <c r="A563" s="4" t="n"/>
      <c r="B563" s="4" t="n"/>
      <c r="C563" s="4" t="n"/>
      <c r="D563" s="4" t="n"/>
      <c r="E563" s="4" t="n"/>
      <c r="F563" s="4" t="n"/>
      <c r="G563" s="4" t="n"/>
      <c r="H563" s="4" t="n"/>
      <c r="I563" s="4" t="n"/>
    </row>
    <row r="564" ht="15.75" customHeight="1" s="108">
      <c r="A564" s="4" t="n"/>
      <c r="B564" s="4" t="n"/>
      <c r="C564" s="4" t="n"/>
      <c r="D564" s="4" t="n"/>
      <c r="E564" s="4" t="n"/>
      <c r="F564" s="4" t="n"/>
      <c r="G564" s="4" t="n"/>
      <c r="H564" s="4" t="n"/>
      <c r="I564" s="4" t="n"/>
    </row>
    <row r="565" ht="15.75" customHeight="1" s="108">
      <c r="A565" s="4" t="n"/>
      <c r="B565" s="4" t="n"/>
      <c r="C565" s="4" t="n"/>
      <c r="D565" s="4" t="n"/>
      <c r="E565" s="4" t="n"/>
      <c r="F565" s="4" t="n"/>
      <c r="G565" s="4" t="n"/>
      <c r="H565" s="4" t="n"/>
      <c r="I565" s="4" t="n"/>
    </row>
    <row r="566" ht="15.75" customHeight="1" s="108">
      <c r="A566" s="4" t="n"/>
      <c r="B566" s="4" t="n"/>
      <c r="C566" s="4" t="n"/>
      <c r="D566" s="4" t="n"/>
      <c r="E566" s="4" t="n"/>
      <c r="F566" s="4" t="n"/>
      <c r="G566" s="4" t="n"/>
      <c r="H566" s="4" t="n"/>
      <c r="I566" s="4" t="n"/>
    </row>
    <row r="567" ht="15.75" customHeight="1" s="108">
      <c r="A567" s="4" t="n"/>
      <c r="B567" s="4" t="n"/>
      <c r="C567" s="4" t="n"/>
      <c r="D567" s="4" t="n"/>
      <c r="E567" s="4" t="n"/>
      <c r="F567" s="4" t="n"/>
      <c r="G567" s="4" t="n"/>
      <c r="H567" s="4" t="n"/>
      <c r="I567" s="4" t="n"/>
    </row>
    <row r="568" ht="15.75" customHeight="1" s="108">
      <c r="A568" s="4" t="n"/>
      <c r="B568" s="4" t="n"/>
      <c r="C568" s="4" t="n"/>
      <c r="D568" s="4" t="n"/>
      <c r="E568" s="4" t="n"/>
      <c r="F568" s="4" t="n"/>
      <c r="G568" s="4" t="n"/>
      <c r="H568" s="4" t="n"/>
      <c r="I568" s="4" t="n"/>
    </row>
    <row r="569" ht="15.75" customHeight="1" s="108">
      <c r="A569" s="4" t="n"/>
      <c r="B569" s="4" t="n"/>
      <c r="C569" s="4" t="n"/>
      <c r="D569" s="4" t="n"/>
      <c r="E569" s="4" t="n"/>
      <c r="F569" s="4" t="n"/>
      <c r="G569" s="4" t="n"/>
      <c r="H569" s="4" t="n"/>
      <c r="I569" s="4" t="n"/>
    </row>
    <row r="570" ht="15.75" customHeight="1" s="108">
      <c r="A570" s="4" t="n"/>
      <c r="B570" s="4" t="n"/>
      <c r="C570" s="4" t="n"/>
      <c r="D570" s="4" t="n"/>
      <c r="E570" s="4" t="n"/>
      <c r="F570" s="4" t="n"/>
      <c r="G570" s="4" t="n"/>
      <c r="H570" s="4" t="n"/>
      <c r="I570" s="4" t="n"/>
    </row>
    <row r="571" ht="15.75" customHeight="1" s="108">
      <c r="A571" s="4" t="n"/>
      <c r="B571" s="4" t="n"/>
      <c r="C571" s="4" t="n"/>
      <c r="D571" s="4" t="n"/>
      <c r="E571" s="4" t="n"/>
      <c r="F571" s="4" t="n"/>
      <c r="G571" s="4" t="n"/>
      <c r="H571" s="4" t="n"/>
      <c r="I571" s="4" t="n"/>
    </row>
    <row r="572" ht="15.75" customHeight="1" s="108">
      <c r="A572" s="4" t="n"/>
      <c r="B572" s="4" t="n"/>
      <c r="C572" s="4" t="n"/>
      <c r="D572" s="4" t="n"/>
      <c r="E572" s="4" t="n"/>
      <c r="F572" s="4" t="n"/>
      <c r="G572" s="4" t="n"/>
      <c r="H572" s="4" t="n"/>
      <c r="I572" s="4" t="n"/>
    </row>
    <row r="573" ht="15.75" customHeight="1" s="108">
      <c r="A573" s="4" t="n"/>
      <c r="B573" s="4" t="n"/>
      <c r="C573" s="4" t="n"/>
      <c r="D573" s="4" t="n"/>
      <c r="E573" s="4" t="n"/>
      <c r="F573" s="4" t="n"/>
      <c r="G573" s="4" t="n"/>
      <c r="H573" s="4" t="n"/>
      <c r="I573" s="4" t="n"/>
    </row>
    <row r="574" ht="15.75" customHeight="1" s="108">
      <c r="A574" s="4" t="n"/>
      <c r="B574" s="4" t="n"/>
      <c r="C574" s="4" t="n"/>
      <c r="D574" s="4" t="n"/>
      <c r="E574" s="4" t="n"/>
      <c r="F574" s="4" t="n"/>
      <c r="G574" s="4" t="n"/>
      <c r="H574" s="4" t="n"/>
      <c r="I574" s="4" t="n"/>
    </row>
    <row r="575" ht="15.75" customHeight="1" s="108">
      <c r="A575" s="4" t="n"/>
      <c r="B575" s="4" t="n"/>
      <c r="C575" s="4" t="n"/>
      <c r="D575" s="4" t="n"/>
      <c r="E575" s="4" t="n"/>
      <c r="F575" s="4" t="n"/>
      <c r="G575" s="4" t="n"/>
      <c r="H575" s="4" t="n"/>
      <c r="I575" s="4" t="n"/>
    </row>
    <row r="576" ht="15.75" customHeight="1" s="108">
      <c r="A576" s="4" t="n"/>
      <c r="B576" s="4" t="n"/>
      <c r="C576" s="4" t="n"/>
      <c r="D576" s="4" t="n"/>
      <c r="E576" s="4" t="n"/>
      <c r="F576" s="4" t="n"/>
      <c r="G576" s="4" t="n"/>
      <c r="H576" s="4" t="n"/>
      <c r="I576" s="4" t="n"/>
    </row>
    <row r="577" ht="15.75" customHeight="1" s="108">
      <c r="A577" s="4" t="n"/>
      <c r="B577" s="4" t="n"/>
      <c r="C577" s="4" t="n"/>
      <c r="D577" s="4" t="n"/>
      <c r="E577" s="4" t="n"/>
      <c r="F577" s="4" t="n"/>
      <c r="G577" s="4" t="n"/>
      <c r="H577" s="4" t="n"/>
      <c r="I577" s="4" t="n"/>
    </row>
    <row r="578" ht="15.75" customHeight="1" s="108">
      <c r="A578" s="4" t="n"/>
      <c r="B578" s="4" t="n"/>
      <c r="C578" s="4" t="n"/>
      <c r="D578" s="4" t="n"/>
      <c r="E578" s="4" t="n"/>
      <c r="F578" s="4" t="n"/>
      <c r="G578" s="4" t="n"/>
      <c r="H578" s="4" t="n"/>
      <c r="I578" s="4" t="n"/>
    </row>
    <row r="579" ht="15.75" customHeight="1" s="108">
      <c r="A579" s="4" t="n"/>
      <c r="B579" s="4" t="n"/>
      <c r="C579" s="4" t="n"/>
      <c r="D579" s="4" t="n"/>
      <c r="E579" s="4" t="n"/>
      <c r="F579" s="4" t="n"/>
      <c r="G579" s="4" t="n"/>
      <c r="H579" s="4" t="n"/>
      <c r="I579" s="4" t="n"/>
    </row>
    <row r="580" ht="15.75" customHeight="1" s="108">
      <c r="A580" s="4" t="n"/>
      <c r="B580" s="4" t="n"/>
      <c r="C580" s="4" t="n"/>
      <c r="D580" s="4" t="n"/>
      <c r="E580" s="4" t="n"/>
      <c r="F580" s="4" t="n"/>
      <c r="G580" s="4" t="n"/>
      <c r="H580" s="4" t="n"/>
      <c r="I580" s="4" t="n"/>
    </row>
    <row r="581" ht="15.75" customHeight="1" s="108">
      <c r="A581" s="4" t="n"/>
      <c r="B581" s="4" t="n"/>
      <c r="C581" s="4" t="n"/>
      <c r="D581" s="4" t="n"/>
      <c r="E581" s="4" t="n"/>
      <c r="F581" s="4" t="n"/>
      <c r="G581" s="4" t="n"/>
      <c r="H581" s="4" t="n"/>
      <c r="I581" s="4" t="n"/>
    </row>
    <row r="582" ht="15.75" customHeight="1" s="108">
      <c r="A582" s="4" t="n"/>
      <c r="B582" s="4" t="n"/>
      <c r="C582" s="4" t="n"/>
      <c r="D582" s="4" t="n"/>
      <c r="E582" s="4" t="n"/>
      <c r="F582" s="4" t="n"/>
      <c r="G582" s="4" t="n"/>
      <c r="H582" s="4" t="n"/>
      <c r="I582" s="4" t="n"/>
    </row>
    <row r="583" ht="15.75" customHeight="1" s="108">
      <c r="A583" s="4" t="n"/>
      <c r="B583" s="4" t="n"/>
      <c r="C583" s="4" t="n"/>
      <c r="D583" s="4" t="n"/>
      <c r="E583" s="4" t="n"/>
      <c r="F583" s="4" t="n"/>
      <c r="G583" s="4" t="n"/>
      <c r="H583" s="4" t="n"/>
      <c r="I583" s="4" t="n"/>
    </row>
    <row r="584" ht="15.75" customHeight="1" s="108">
      <c r="A584" s="4" t="n"/>
      <c r="B584" s="4" t="n"/>
      <c r="C584" s="4" t="n"/>
      <c r="D584" s="4" t="n"/>
      <c r="E584" s="4" t="n"/>
      <c r="F584" s="4" t="n"/>
      <c r="G584" s="4" t="n"/>
      <c r="H584" s="4" t="n"/>
      <c r="I584" s="4" t="n"/>
    </row>
    <row r="585" ht="15.75" customHeight="1" s="108">
      <c r="A585" s="4" t="n"/>
      <c r="B585" s="4" t="n"/>
      <c r="C585" s="4" t="n"/>
      <c r="D585" s="4" t="n"/>
      <c r="E585" s="4" t="n"/>
      <c r="F585" s="4" t="n"/>
      <c r="G585" s="4" t="n"/>
      <c r="H585" s="4" t="n"/>
      <c r="I585" s="4" t="n"/>
    </row>
    <row r="586" ht="15.75" customHeight="1" s="108">
      <c r="A586" s="4" t="n"/>
      <c r="B586" s="4" t="n"/>
      <c r="C586" s="4" t="n"/>
      <c r="D586" s="4" t="n"/>
      <c r="E586" s="4" t="n"/>
      <c r="F586" s="4" t="n"/>
      <c r="G586" s="4" t="n"/>
      <c r="H586" s="4" t="n"/>
      <c r="I586" s="4" t="n"/>
    </row>
    <row r="587" ht="15.75" customHeight="1" s="108">
      <c r="A587" s="4" t="n"/>
      <c r="B587" s="4" t="n"/>
      <c r="C587" s="4" t="n"/>
      <c r="D587" s="4" t="n"/>
      <c r="E587" s="4" t="n"/>
      <c r="F587" s="4" t="n"/>
      <c r="G587" s="4" t="n"/>
      <c r="H587" s="4" t="n"/>
      <c r="I587" s="4" t="n"/>
    </row>
    <row r="588" ht="15.75" customHeight="1" s="108">
      <c r="A588" s="4" t="n"/>
      <c r="B588" s="4" t="n"/>
      <c r="C588" s="4" t="n"/>
      <c r="D588" s="4" t="n"/>
      <c r="E588" s="4" t="n"/>
      <c r="F588" s="4" t="n"/>
      <c r="G588" s="4" t="n"/>
      <c r="H588" s="4" t="n"/>
      <c r="I588" s="4" t="n"/>
    </row>
    <row r="589" ht="15.75" customHeight="1" s="108">
      <c r="A589" s="4" t="n"/>
      <c r="B589" s="4" t="n"/>
      <c r="C589" s="4" t="n"/>
      <c r="D589" s="4" t="n"/>
      <c r="E589" s="4" t="n"/>
      <c r="F589" s="4" t="n"/>
      <c r="G589" s="4" t="n"/>
      <c r="H589" s="4" t="n"/>
      <c r="I589" s="4" t="n"/>
    </row>
    <row r="590" ht="15.75" customHeight="1" s="108">
      <c r="A590" s="4" t="n"/>
      <c r="B590" s="4" t="n"/>
      <c r="C590" s="4" t="n"/>
      <c r="D590" s="4" t="n"/>
      <c r="E590" s="4" t="n"/>
      <c r="F590" s="4" t="n"/>
      <c r="G590" s="4" t="n"/>
      <c r="H590" s="4" t="n"/>
      <c r="I590" s="4" t="n"/>
    </row>
    <row r="591" ht="15.75" customHeight="1" s="108">
      <c r="A591" s="4" t="n"/>
      <c r="B591" s="4" t="n"/>
      <c r="C591" s="4" t="n"/>
      <c r="D591" s="4" t="n"/>
      <c r="E591" s="4" t="n"/>
      <c r="F591" s="4" t="n"/>
      <c r="G591" s="4" t="n"/>
      <c r="H591" s="4" t="n"/>
      <c r="I591" s="4" t="n"/>
    </row>
    <row r="592" ht="15.75" customHeight="1" s="108">
      <c r="A592" s="4" t="n"/>
      <c r="B592" s="4" t="n"/>
      <c r="C592" s="4" t="n"/>
      <c r="D592" s="4" t="n"/>
      <c r="E592" s="4" t="n"/>
      <c r="F592" s="4" t="n"/>
      <c r="G592" s="4" t="n"/>
      <c r="H592" s="4" t="n"/>
      <c r="I592" s="4" t="n"/>
    </row>
    <row r="593" ht="15.75" customHeight="1" s="108">
      <c r="A593" s="4" t="n"/>
      <c r="B593" s="4" t="n"/>
      <c r="C593" s="4" t="n"/>
      <c r="D593" s="4" t="n"/>
      <c r="E593" s="4" t="n"/>
      <c r="F593" s="4" t="n"/>
      <c r="G593" s="4" t="n"/>
      <c r="H593" s="4" t="n"/>
      <c r="I593" s="4" t="n"/>
    </row>
    <row r="594" ht="15.75" customHeight="1" s="108">
      <c r="A594" s="4" t="n"/>
      <c r="B594" s="4" t="n"/>
      <c r="C594" s="4" t="n"/>
      <c r="D594" s="4" t="n"/>
      <c r="E594" s="4" t="n"/>
      <c r="F594" s="4" t="n"/>
      <c r="G594" s="4" t="n"/>
      <c r="H594" s="4" t="n"/>
      <c r="I594" s="4" t="n"/>
    </row>
    <row r="595" ht="15.75" customHeight="1" s="108">
      <c r="A595" s="4" t="n"/>
      <c r="B595" s="4" t="n"/>
      <c r="C595" s="4" t="n"/>
      <c r="D595" s="4" t="n"/>
      <c r="E595" s="4" t="n"/>
      <c r="F595" s="4" t="n"/>
      <c r="G595" s="4" t="n"/>
      <c r="H595" s="4" t="n"/>
      <c r="I595" s="4" t="n"/>
    </row>
    <row r="596" ht="15.75" customHeight="1" s="108">
      <c r="A596" s="4" t="n"/>
      <c r="B596" s="4" t="n"/>
      <c r="C596" s="4" t="n"/>
      <c r="D596" s="4" t="n"/>
      <c r="E596" s="4" t="n"/>
      <c r="F596" s="4" t="n"/>
      <c r="G596" s="4" t="n"/>
      <c r="H596" s="4" t="n"/>
      <c r="I596" s="4" t="n"/>
    </row>
    <row r="597" ht="15.75" customHeight="1" s="108">
      <c r="A597" s="4" t="n"/>
      <c r="B597" s="4" t="n"/>
      <c r="C597" s="4" t="n"/>
      <c r="D597" s="4" t="n"/>
      <c r="E597" s="4" t="n"/>
      <c r="F597" s="4" t="n"/>
      <c r="G597" s="4" t="n"/>
      <c r="H597" s="4" t="n"/>
      <c r="I597" s="4" t="n"/>
    </row>
    <row r="598" ht="15.75" customHeight="1" s="108">
      <c r="A598" s="4" t="n"/>
      <c r="B598" s="4" t="n"/>
      <c r="C598" s="4" t="n"/>
      <c r="D598" s="4" t="n"/>
      <c r="E598" s="4" t="n"/>
      <c r="F598" s="4" t="n"/>
      <c r="G598" s="4" t="n"/>
      <c r="H598" s="4" t="n"/>
      <c r="I598" s="4" t="n"/>
    </row>
    <row r="599" ht="15.75" customHeight="1" s="108">
      <c r="A599" s="4" t="n"/>
      <c r="B599" s="4" t="n"/>
      <c r="C599" s="4" t="n"/>
      <c r="D599" s="4" t="n"/>
      <c r="E599" s="4" t="n"/>
      <c r="F599" s="4" t="n"/>
      <c r="G599" s="4" t="n"/>
      <c r="H599" s="4" t="n"/>
      <c r="I599" s="4" t="n"/>
    </row>
    <row r="600" ht="15.75" customHeight="1" s="108">
      <c r="A600" s="4" t="n"/>
      <c r="B600" s="4" t="n"/>
      <c r="C600" s="4" t="n"/>
      <c r="D600" s="4" t="n"/>
      <c r="E600" s="4" t="n"/>
      <c r="F600" s="4" t="n"/>
      <c r="G600" s="4" t="n"/>
      <c r="H600" s="4" t="n"/>
      <c r="I600" s="4" t="n"/>
    </row>
    <row r="601" ht="15.75" customHeight="1" s="108">
      <c r="A601" s="4" t="n"/>
      <c r="B601" s="4" t="n"/>
      <c r="C601" s="4" t="n"/>
      <c r="D601" s="4" t="n"/>
      <c r="E601" s="4" t="n"/>
      <c r="F601" s="4" t="n"/>
      <c r="G601" s="4" t="n"/>
      <c r="H601" s="4" t="n"/>
      <c r="I601" s="4" t="n"/>
    </row>
    <row r="602" ht="15.75" customHeight="1" s="108">
      <c r="A602" s="4" t="n"/>
      <c r="B602" s="4" t="n"/>
      <c r="C602" s="4" t="n"/>
      <c r="D602" s="4" t="n"/>
      <c r="E602" s="4" t="n"/>
      <c r="F602" s="4" t="n"/>
      <c r="G602" s="4" t="n"/>
      <c r="H602" s="4" t="n"/>
      <c r="I602" s="4" t="n"/>
    </row>
    <row r="603" ht="15.75" customHeight="1" s="108">
      <c r="A603" s="4" t="n"/>
      <c r="B603" s="4" t="n"/>
      <c r="C603" s="4" t="n"/>
      <c r="D603" s="4" t="n"/>
      <c r="E603" s="4" t="n"/>
      <c r="F603" s="4" t="n"/>
      <c r="G603" s="4" t="n"/>
      <c r="H603" s="4" t="n"/>
      <c r="I603" s="4" t="n"/>
    </row>
    <row r="604" ht="15.75" customHeight="1" s="108">
      <c r="A604" s="4" t="n"/>
      <c r="B604" s="4" t="n"/>
      <c r="C604" s="4" t="n"/>
      <c r="D604" s="4" t="n"/>
      <c r="E604" s="4" t="n"/>
      <c r="F604" s="4" t="n"/>
      <c r="G604" s="4" t="n"/>
      <c r="H604" s="4" t="n"/>
      <c r="I604" s="4" t="n"/>
    </row>
    <row r="605" ht="15.75" customHeight="1" s="108">
      <c r="A605" s="4" t="n"/>
      <c r="B605" s="4" t="n"/>
      <c r="C605" s="4" t="n"/>
      <c r="D605" s="4" t="n"/>
      <c r="E605" s="4" t="n"/>
      <c r="F605" s="4" t="n"/>
      <c r="G605" s="4" t="n"/>
      <c r="H605" s="4" t="n"/>
      <c r="I605" s="4" t="n"/>
    </row>
    <row r="606" ht="15.75" customHeight="1" s="108">
      <c r="A606" s="4" t="n"/>
      <c r="B606" s="4" t="n"/>
      <c r="C606" s="4" t="n"/>
      <c r="D606" s="4" t="n"/>
      <c r="E606" s="4" t="n"/>
      <c r="F606" s="4" t="n"/>
      <c r="G606" s="4" t="n"/>
      <c r="H606" s="4" t="n"/>
      <c r="I606" s="4" t="n"/>
    </row>
    <row r="607" ht="15.75" customHeight="1" s="108">
      <c r="A607" s="4" t="n"/>
      <c r="B607" s="4" t="n"/>
      <c r="C607" s="4" t="n"/>
      <c r="D607" s="4" t="n"/>
      <c r="E607" s="4" t="n"/>
      <c r="F607" s="4" t="n"/>
      <c r="G607" s="4" t="n"/>
      <c r="H607" s="4" t="n"/>
      <c r="I607" s="4" t="n"/>
    </row>
    <row r="608" ht="15.75" customHeight="1" s="108">
      <c r="A608" s="4" t="n"/>
      <c r="B608" s="4" t="n"/>
      <c r="C608" s="4" t="n"/>
      <c r="D608" s="4" t="n"/>
      <c r="E608" s="4" t="n"/>
      <c r="F608" s="4" t="n"/>
      <c r="G608" s="4" t="n"/>
      <c r="H608" s="4" t="n"/>
      <c r="I608" s="4" t="n"/>
    </row>
    <row r="609" ht="15.75" customHeight="1" s="108">
      <c r="A609" s="4" t="n"/>
      <c r="B609" s="4" t="n"/>
      <c r="C609" s="4" t="n"/>
      <c r="D609" s="4" t="n"/>
      <c r="E609" s="4" t="n"/>
      <c r="F609" s="4" t="n"/>
      <c r="G609" s="4" t="n"/>
      <c r="H609" s="4" t="n"/>
      <c r="I609" s="4" t="n"/>
    </row>
    <row r="610" ht="15.75" customHeight="1" s="108">
      <c r="A610" s="4" t="n"/>
      <c r="B610" s="4" t="n"/>
      <c r="C610" s="4" t="n"/>
      <c r="D610" s="4" t="n"/>
      <c r="E610" s="4" t="n"/>
      <c r="F610" s="4" t="n"/>
      <c r="G610" s="4" t="n"/>
      <c r="H610" s="4" t="n"/>
      <c r="I610" s="4" t="n"/>
    </row>
    <row r="611" ht="15.75" customHeight="1" s="108">
      <c r="A611" s="4" t="n"/>
      <c r="B611" s="4" t="n"/>
      <c r="C611" s="4" t="n"/>
      <c r="D611" s="4" t="n"/>
      <c r="E611" s="4" t="n"/>
      <c r="F611" s="4" t="n"/>
      <c r="G611" s="4" t="n"/>
      <c r="H611" s="4" t="n"/>
      <c r="I611" s="4" t="n"/>
    </row>
    <row r="612" ht="15.75" customHeight="1" s="108">
      <c r="A612" s="4" t="n"/>
      <c r="B612" s="4" t="n"/>
      <c r="C612" s="4" t="n"/>
      <c r="D612" s="4" t="n"/>
      <c r="E612" s="4" t="n"/>
      <c r="F612" s="4" t="n"/>
      <c r="G612" s="4" t="n"/>
      <c r="H612" s="4" t="n"/>
      <c r="I612" s="4" t="n"/>
    </row>
    <row r="613" ht="15.75" customHeight="1" s="108">
      <c r="A613" s="4" t="n"/>
      <c r="B613" s="4" t="n"/>
      <c r="C613" s="4" t="n"/>
      <c r="D613" s="4" t="n"/>
      <c r="E613" s="4" t="n"/>
      <c r="F613" s="4" t="n"/>
      <c r="G613" s="4" t="n"/>
      <c r="H613" s="4" t="n"/>
      <c r="I613" s="4" t="n"/>
    </row>
    <row r="614" ht="15.75" customHeight="1" s="108">
      <c r="A614" s="4" t="n"/>
      <c r="B614" s="4" t="n"/>
      <c r="C614" s="4" t="n"/>
      <c r="D614" s="4" t="n"/>
      <c r="E614" s="4" t="n"/>
      <c r="F614" s="4" t="n"/>
      <c r="G614" s="4" t="n"/>
      <c r="H614" s="4" t="n"/>
      <c r="I614" s="4" t="n"/>
    </row>
    <row r="615" ht="15.75" customHeight="1" s="108">
      <c r="A615" s="4" t="n"/>
      <c r="B615" s="4" t="n"/>
      <c r="C615" s="4" t="n"/>
      <c r="D615" s="4" t="n"/>
      <c r="E615" s="4" t="n"/>
      <c r="F615" s="4" t="n"/>
      <c r="G615" s="4" t="n"/>
      <c r="H615" s="4" t="n"/>
      <c r="I615" s="4" t="n"/>
    </row>
    <row r="616" ht="15.75" customHeight="1" s="108">
      <c r="A616" s="4" t="n"/>
      <c r="B616" s="4" t="n"/>
      <c r="C616" s="4" t="n"/>
      <c r="D616" s="4" t="n"/>
      <c r="E616" s="4" t="n"/>
      <c r="F616" s="4" t="n"/>
      <c r="G616" s="4" t="n"/>
      <c r="H616" s="4" t="n"/>
      <c r="I616" s="4" t="n"/>
    </row>
    <row r="617" ht="15.75" customHeight="1" s="108">
      <c r="A617" s="4" t="n"/>
      <c r="B617" s="4" t="n"/>
      <c r="C617" s="4" t="n"/>
      <c r="D617" s="4" t="n"/>
      <c r="E617" s="4" t="n"/>
      <c r="F617" s="4" t="n"/>
      <c r="G617" s="4" t="n"/>
      <c r="H617" s="4" t="n"/>
      <c r="I617" s="4" t="n"/>
    </row>
    <row r="618" ht="15.75" customHeight="1" s="108">
      <c r="A618" s="4" t="n"/>
      <c r="B618" s="4" t="n"/>
      <c r="C618" s="4" t="n"/>
      <c r="D618" s="4" t="n"/>
      <c r="E618" s="4" t="n"/>
      <c r="F618" s="4" t="n"/>
      <c r="G618" s="4" t="n"/>
      <c r="H618" s="4" t="n"/>
      <c r="I618" s="4" t="n"/>
    </row>
    <row r="619" ht="15.75" customHeight="1" s="108">
      <c r="A619" s="4" t="n"/>
      <c r="B619" s="4" t="n"/>
      <c r="C619" s="4" t="n"/>
      <c r="D619" s="4" t="n"/>
      <c r="E619" s="4" t="n"/>
      <c r="F619" s="4" t="n"/>
      <c r="G619" s="4" t="n"/>
      <c r="H619" s="4" t="n"/>
      <c r="I619" s="4" t="n"/>
    </row>
    <row r="620" ht="15.75" customHeight="1" s="108">
      <c r="A620" s="4" t="n"/>
      <c r="B620" s="4" t="n"/>
      <c r="C620" s="4" t="n"/>
      <c r="D620" s="4" t="n"/>
      <c r="E620" s="4" t="n"/>
      <c r="F620" s="4" t="n"/>
      <c r="G620" s="4" t="n"/>
      <c r="H620" s="4" t="n"/>
      <c r="I620" s="4" t="n"/>
    </row>
    <row r="621" ht="15.75" customHeight="1" s="108">
      <c r="A621" s="4" t="n"/>
      <c r="B621" s="4" t="n"/>
      <c r="C621" s="4" t="n"/>
      <c r="D621" s="4" t="n"/>
      <c r="E621" s="4" t="n"/>
      <c r="F621" s="4" t="n"/>
      <c r="G621" s="4" t="n"/>
      <c r="H621" s="4" t="n"/>
      <c r="I621" s="4" t="n"/>
    </row>
    <row r="622" ht="15.75" customHeight="1" s="108">
      <c r="A622" s="4" t="n"/>
      <c r="B622" s="4" t="n"/>
      <c r="C622" s="4" t="n"/>
      <c r="D622" s="4" t="n"/>
      <c r="E622" s="4" t="n"/>
      <c r="F622" s="4" t="n"/>
      <c r="G622" s="4" t="n"/>
      <c r="H622" s="4" t="n"/>
      <c r="I622" s="4" t="n"/>
    </row>
    <row r="623" ht="15.75" customHeight="1" s="108">
      <c r="A623" s="4" t="n"/>
      <c r="B623" s="4" t="n"/>
      <c r="C623" s="4" t="n"/>
      <c r="D623" s="4" t="n"/>
      <c r="E623" s="4" t="n"/>
      <c r="F623" s="4" t="n"/>
      <c r="G623" s="4" t="n"/>
      <c r="H623" s="4" t="n"/>
      <c r="I623" s="4" t="n"/>
    </row>
    <row r="624" ht="15.75" customHeight="1" s="108">
      <c r="A624" s="4" t="n"/>
      <c r="B624" s="4" t="n"/>
      <c r="C624" s="4" t="n"/>
      <c r="D624" s="4" t="n"/>
      <c r="E624" s="4" t="n"/>
      <c r="F624" s="4" t="n"/>
      <c r="G624" s="4" t="n"/>
      <c r="H624" s="4" t="n"/>
      <c r="I624" s="4" t="n"/>
    </row>
    <row r="625" ht="15.75" customHeight="1" s="108">
      <c r="A625" s="4" t="n"/>
      <c r="B625" s="4" t="n"/>
      <c r="C625" s="4" t="n"/>
      <c r="D625" s="4" t="n"/>
      <c r="E625" s="4" t="n"/>
      <c r="F625" s="4" t="n"/>
      <c r="G625" s="4" t="n"/>
      <c r="H625" s="4" t="n"/>
      <c r="I625" s="4" t="n"/>
    </row>
    <row r="626" ht="15.75" customHeight="1" s="108">
      <c r="A626" s="4" t="n"/>
      <c r="B626" s="4" t="n"/>
      <c r="C626" s="4" t="n"/>
      <c r="D626" s="4" t="n"/>
      <c r="E626" s="4" t="n"/>
      <c r="F626" s="4" t="n"/>
      <c r="G626" s="4" t="n"/>
      <c r="H626" s="4" t="n"/>
      <c r="I626" s="4" t="n"/>
    </row>
    <row r="627" ht="15.75" customHeight="1" s="108">
      <c r="A627" s="4" t="n"/>
      <c r="B627" s="4" t="n"/>
      <c r="C627" s="4" t="n"/>
      <c r="D627" s="4" t="n"/>
      <c r="E627" s="4" t="n"/>
      <c r="F627" s="4" t="n"/>
      <c r="G627" s="4" t="n"/>
      <c r="H627" s="4" t="n"/>
      <c r="I627" s="4" t="n"/>
    </row>
    <row r="628" ht="15.75" customHeight="1" s="108">
      <c r="A628" s="4" t="n"/>
      <c r="B628" s="4" t="n"/>
      <c r="C628" s="4" t="n"/>
      <c r="D628" s="4" t="n"/>
      <c r="E628" s="4" t="n"/>
      <c r="F628" s="4" t="n"/>
      <c r="G628" s="4" t="n"/>
      <c r="H628" s="4" t="n"/>
      <c r="I628" s="4" t="n"/>
    </row>
    <row r="629" ht="15.75" customHeight="1" s="108">
      <c r="A629" s="4" t="n"/>
      <c r="B629" s="4" t="n"/>
      <c r="C629" s="4" t="n"/>
      <c r="D629" s="4" t="n"/>
      <c r="E629" s="4" t="n"/>
      <c r="F629" s="4" t="n"/>
      <c r="G629" s="4" t="n"/>
      <c r="H629" s="4" t="n"/>
      <c r="I629" s="4" t="n"/>
    </row>
    <row r="630" ht="15.75" customHeight="1" s="108">
      <c r="A630" s="4" t="n"/>
      <c r="B630" s="4" t="n"/>
      <c r="C630" s="4" t="n"/>
      <c r="D630" s="4" t="n"/>
      <c r="E630" s="4" t="n"/>
      <c r="F630" s="4" t="n"/>
      <c r="G630" s="4" t="n"/>
      <c r="H630" s="4" t="n"/>
      <c r="I630" s="4" t="n"/>
    </row>
    <row r="631" ht="15.75" customHeight="1" s="108">
      <c r="A631" s="4" t="n"/>
      <c r="B631" s="4" t="n"/>
      <c r="C631" s="4" t="n"/>
      <c r="D631" s="4" t="n"/>
      <c r="E631" s="4" t="n"/>
      <c r="F631" s="4" t="n"/>
      <c r="G631" s="4" t="n"/>
      <c r="H631" s="4" t="n"/>
      <c r="I631" s="4" t="n"/>
    </row>
    <row r="632" ht="15.75" customHeight="1" s="108">
      <c r="A632" s="4" t="n"/>
      <c r="B632" s="4" t="n"/>
      <c r="C632" s="4" t="n"/>
      <c r="D632" s="4" t="n"/>
      <c r="E632" s="4" t="n"/>
      <c r="F632" s="4" t="n"/>
      <c r="G632" s="4" t="n"/>
      <c r="H632" s="4" t="n"/>
      <c r="I632" s="4" t="n"/>
    </row>
    <row r="633" ht="15.75" customHeight="1" s="108">
      <c r="A633" s="4" t="n"/>
      <c r="B633" s="4" t="n"/>
      <c r="C633" s="4" t="n"/>
      <c r="D633" s="4" t="n"/>
      <c r="E633" s="4" t="n"/>
      <c r="F633" s="4" t="n"/>
      <c r="G633" s="4" t="n"/>
      <c r="H633" s="4" t="n"/>
      <c r="I633" s="4" t="n"/>
    </row>
    <row r="634" ht="15.75" customHeight="1" s="108">
      <c r="A634" s="4" t="n"/>
      <c r="B634" s="4" t="n"/>
      <c r="C634" s="4" t="n"/>
      <c r="D634" s="4" t="n"/>
      <c r="E634" s="4" t="n"/>
      <c r="F634" s="4" t="n"/>
      <c r="G634" s="4" t="n"/>
      <c r="H634" s="4" t="n"/>
      <c r="I634" s="4" t="n"/>
    </row>
    <row r="635" ht="15.75" customHeight="1" s="108">
      <c r="A635" s="4" t="n"/>
      <c r="B635" s="4" t="n"/>
      <c r="C635" s="4" t="n"/>
      <c r="D635" s="4" t="n"/>
      <c r="E635" s="4" t="n"/>
      <c r="F635" s="4" t="n"/>
      <c r="G635" s="4" t="n"/>
      <c r="H635" s="4" t="n"/>
      <c r="I635" s="4" t="n"/>
    </row>
    <row r="636" ht="15.75" customHeight="1" s="108">
      <c r="A636" s="4" t="n"/>
      <c r="B636" s="4" t="n"/>
      <c r="C636" s="4" t="n"/>
      <c r="D636" s="4" t="n"/>
      <c r="E636" s="4" t="n"/>
      <c r="F636" s="4" t="n"/>
      <c r="G636" s="4" t="n"/>
      <c r="H636" s="4" t="n"/>
      <c r="I636" s="4" t="n"/>
    </row>
    <row r="637" ht="15.75" customHeight="1" s="108">
      <c r="A637" s="4" t="n"/>
      <c r="B637" s="4" t="n"/>
      <c r="C637" s="4" t="n"/>
      <c r="D637" s="4" t="n"/>
      <c r="E637" s="4" t="n"/>
      <c r="F637" s="4" t="n"/>
      <c r="G637" s="4" t="n"/>
      <c r="H637" s="4" t="n"/>
      <c r="I637" s="4" t="n"/>
    </row>
    <row r="638" ht="15.75" customHeight="1" s="108">
      <c r="A638" s="4" t="n"/>
      <c r="B638" s="4" t="n"/>
      <c r="C638" s="4" t="n"/>
      <c r="D638" s="4" t="n"/>
      <c r="E638" s="4" t="n"/>
      <c r="F638" s="4" t="n"/>
      <c r="G638" s="4" t="n"/>
      <c r="H638" s="4" t="n"/>
      <c r="I638" s="4" t="n"/>
    </row>
    <row r="639" ht="15.75" customHeight="1" s="108">
      <c r="A639" s="4" t="n"/>
      <c r="B639" s="4" t="n"/>
      <c r="C639" s="4" t="n"/>
      <c r="D639" s="4" t="n"/>
      <c r="E639" s="4" t="n"/>
      <c r="F639" s="4" t="n"/>
      <c r="G639" s="4" t="n"/>
      <c r="H639" s="4" t="n"/>
      <c r="I639" s="4" t="n"/>
    </row>
    <row r="640" ht="15.75" customHeight="1" s="108">
      <c r="A640" s="4" t="n"/>
      <c r="B640" s="4" t="n"/>
      <c r="C640" s="4" t="n"/>
      <c r="D640" s="4" t="n"/>
      <c r="E640" s="4" t="n"/>
      <c r="F640" s="4" t="n"/>
      <c r="G640" s="4" t="n"/>
      <c r="H640" s="4" t="n"/>
      <c r="I640" s="4" t="n"/>
    </row>
    <row r="641" ht="15.75" customHeight="1" s="108">
      <c r="A641" s="4" t="n"/>
      <c r="B641" s="4" t="n"/>
      <c r="C641" s="4" t="n"/>
      <c r="D641" s="4" t="n"/>
      <c r="E641" s="4" t="n"/>
      <c r="F641" s="4" t="n"/>
      <c r="G641" s="4" t="n"/>
      <c r="H641" s="4" t="n"/>
      <c r="I641" s="4" t="n"/>
    </row>
    <row r="642" ht="15.75" customHeight="1" s="108">
      <c r="A642" s="4" t="n"/>
      <c r="B642" s="4" t="n"/>
      <c r="C642" s="4" t="n"/>
      <c r="D642" s="4" t="n"/>
      <c r="E642" s="4" t="n"/>
      <c r="F642" s="4" t="n"/>
      <c r="G642" s="4" t="n"/>
      <c r="H642" s="4" t="n"/>
      <c r="I642" s="4" t="n"/>
    </row>
    <row r="643" ht="15.75" customHeight="1" s="108">
      <c r="A643" s="4" t="n"/>
      <c r="B643" s="4" t="n"/>
      <c r="C643" s="4" t="n"/>
      <c r="D643" s="4" t="n"/>
      <c r="E643" s="4" t="n"/>
      <c r="F643" s="4" t="n"/>
      <c r="G643" s="4" t="n"/>
      <c r="H643" s="4" t="n"/>
      <c r="I643" s="4" t="n"/>
    </row>
    <row r="644" ht="15.75" customHeight="1" s="108">
      <c r="A644" s="4" t="n"/>
      <c r="B644" s="4" t="n"/>
      <c r="C644" s="4" t="n"/>
      <c r="D644" s="4" t="n"/>
      <c r="E644" s="4" t="n"/>
      <c r="F644" s="4" t="n"/>
      <c r="G644" s="4" t="n"/>
      <c r="H644" s="4" t="n"/>
      <c r="I644" s="4" t="n"/>
    </row>
    <row r="645" ht="15.75" customHeight="1" s="108">
      <c r="A645" s="4" t="n"/>
      <c r="B645" s="4" t="n"/>
      <c r="C645" s="4" t="n"/>
      <c r="D645" s="4" t="n"/>
      <c r="E645" s="4" t="n"/>
      <c r="F645" s="4" t="n"/>
      <c r="G645" s="4" t="n"/>
      <c r="H645" s="4" t="n"/>
      <c r="I645" s="4" t="n"/>
    </row>
    <row r="646" ht="15.75" customHeight="1" s="108">
      <c r="A646" s="4" t="n"/>
      <c r="B646" s="4" t="n"/>
      <c r="C646" s="4" t="n"/>
      <c r="D646" s="4" t="n"/>
      <c r="E646" s="4" t="n"/>
      <c r="F646" s="4" t="n"/>
      <c r="G646" s="4" t="n"/>
      <c r="H646" s="4" t="n"/>
      <c r="I646" s="4" t="n"/>
    </row>
    <row r="647" ht="15.75" customHeight="1" s="108">
      <c r="A647" s="4" t="n"/>
      <c r="B647" s="4" t="n"/>
      <c r="C647" s="4" t="n"/>
      <c r="D647" s="4" t="n"/>
      <c r="E647" s="4" t="n"/>
      <c r="F647" s="4" t="n"/>
      <c r="G647" s="4" t="n"/>
      <c r="H647" s="4" t="n"/>
      <c r="I647" s="4" t="n"/>
    </row>
    <row r="648" ht="15.75" customHeight="1" s="108">
      <c r="A648" s="4" t="n"/>
      <c r="B648" s="4" t="n"/>
      <c r="C648" s="4" t="n"/>
      <c r="D648" s="4" t="n"/>
      <c r="E648" s="4" t="n"/>
      <c r="F648" s="4" t="n"/>
      <c r="G648" s="4" t="n"/>
      <c r="H648" s="4" t="n"/>
      <c r="I648" s="4" t="n"/>
    </row>
    <row r="649" ht="15.75" customHeight="1" s="108">
      <c r="A649" s="4" t="n"/>
      <c r="B649" s="4" t="n"/>
      <c r="C649" s="4" t="n"/>
      <c r="D649" s="4" t="n"/>
      <c r="E649" s="4" t="n"/>
      <c r="F649" s="4" t="n"/>
      <c r="G649" s="4" t="n"/>
      <c r="H649" s="4" t="n"/>
      <c r="I649" s="4" t="n"/>
    </row>
    <row r="650" ht="15.75" customHeight="1" s="108">
      <c r="A650" s="4" t="n"/>
      <c r="B650" s="4" t="n"/>
      <c r="C650" s="4" t="n"/>
      <c r="D650" s="4" t="n"/>
      <c r="E650" s="4" t="n"/>
      <c r="F650" s="4" t="n"/>
      <c r="G650" s="4" t="n"/>
      <c r="H650" s="4" t="n"/>
      <c r="I650" s="4" t="n"/>
    </row>
    <row r="651" ht="15.75" customHeight="1" s="108">
      <c r="A651" s="4" t="n"/>
      <c r="B651" s="4" t="n"/>
      <c r="C651" s="4" t="n"/>
      <c r="D651" s="4" t="n"/>
      <c r="E651" s="4" t="n"/>
      <c r="F651" s="4" t="n"/>
      <c r="G651" s="4" t="n"/>
      <c r="H651" s="4" t="n"/>
      <c r="I651" s="4" t="n"/>
    </row>
    <row r="652" ht="15.75" customHeight="1" s="108">
      <c r="A652" s="4" t="n"/>
      <c r="B652" s="4" t="n"/>
      <c r="C652" s="4" t="n"/>
      <c r="D652" s="4" t="n"/>
      <c r="E652" s="4" t="n"/>
      <c r="F652" s="4" t="n"/>
      <c r="G652" s="4" t="n"/>
      <c r="H652" s="4" t="n"/>
      <c r="I652" s="4" t="n"/>
    </row>
    <row r="653" ht="15.75" customHeight="1" s="108">
      <c r="A653" s="4" t="n"/>
      <c r="B653" s="4" t="n"/>
      <c r="C653" s="4" t="n"/>
      <c r="D653" s="4" t="n"/>
      <c r="E653" s="4" t="n"/>
      <c r="F653" s="4" t="n"/>
      <c r="G653" s="4" t="n"/>
      <c r="H653" s="4" t="n"/>
      <c r="I653" s="4" t="n"/>
    </row>
    <row r="654" ht="15.75" customHeight="1" s="108">
      <c r="A654" s="4" t="n"/>
      <c r="B654" s="4" t="n"/>
      <c r="C654" s="4" t="n"/>
      <c r="D654" s="4" t="n"/>
      <c r="E654" s="4" t="n"/>
      <c r="F654" s="4" t="n"/>
      <c r="G654" s="4" t="n"/>
      <c r="H654" s="4" t="n"/>
      <c r="I654" s="4" t="n"/>
    </row>
    <row r="655" ht="15.75" customHeight="1" s="108">
      <c r="A655" s="4" t="n"/>
      <c r="B655" s="4" t="n"/>
      <c r="C655" s="4" t="n"/>
      <c r="D655" s="4" t="n"/>
      <c r="E655" s="4" t="n"/>
      <c r="F655" s="4" t="n"/>
      <c r="G655" s="4" t="n"/>
      <c r="H655" s="4" t="n"/>
      <c r="I655" s="4" t="n"/>
    </row>
    <row r="656" ht="15.75" customHeight="1" s="108">
      <c r="A656" s="4" t="n"/>
      <c r="B656" s="4" t="n"/>
      <c r="C656" s="4" t="n"/>
      <c r="D656" s="4" t="n"/>
      <c r="E656" s="4" t="n"/>
      <c r="F656" s="4" t="n"/>
      <c r="G656" s="4" t="n"/>
      <c r="H656" s="4" t="n"/>
      <c r="I656" s="4" t="n"/>
    </row>
    <row r="657" ht="15.75" customHeight="1" s="108">
      <c r="A657" s="4" t="n"/>
      <c r="B657" s="4" t="n"/>
      <c r="C657" s="4" t="n"/>
      <c r="D657" s="4" t="n"/>
      <c r="E657" s="4" t="n"/>
      <c r="F657" s="4" t="n"/>
      <c r="G657" s="4" t="n"/>
      <c r="H657" s="4" t="n"/>
      <c r="I657" s="4" t="n"/>
    </row>
    <row r="658" ht="15.75" customHeight="1" s="108">
      <c r="A658" s="4" t="n"/>
      <c r="B658" s="4" t="n"/>
      <c r="C658" s="4" t="n"/>
      <c r="D658" s="4" t="n"/>
      <c r="E658" s="4" t="n"/>
      <c r="F658" s="4" t="n"/>
      <c r="G658" s="4" t="n"/>
      <c r="H658" s="4" t="n"/>
      <c r="I658" s="4" t="n"/>
    </row>
    <row r="659" ht="15.75" customHeight="1" s="108">
      <c r="A659" s="4" t="n"/>
      <c r="B659" s="4" t="n"/>
      <c r="C659" s="4" t="n"/>
      <c r="D659" s="4" t="n"/>
      <c r="E659" s="4" t="n"/>
      <c r="F659" s="4" t="n"/>
      <c r="G659" s="4" t="n"/>
      <c r="H659" s="4" t="n"/>
      <c r="I659" s="4" t="n"/>
    </row>
    <row r="660" ht="15.75" customHeight="1" s="108">
      <c r="A660" s="4" t="n"/>
      <c r="B660" s="4" t="n"/>
      <c r="C660" s="4" t="n"/>
      <c r="D660" s="4" t="n"/>
      <c r="E660" s="4" t="n"/>
      <c r="F660" s="4" t="n"/>
      <c r="G660" s="4" t="n"/>
      <c r="H660" s="4" t="n"/>
      <c r="I660" s="4" t="n"/>
    </row>
    <row r="661" ht="15.75" customHeight="1" s="108">
      <c r="A661" s="4" t="n"/>
      <c r="B661" s="4" t="n"/>
      <c r="C661" s="4" t="n"/>
      <c r="D661" s="4" t="n"/>
      <c r="E661" s="4" t="n"/>
      <c r="F661" s="4" t="n"/>
      <c r="G661" s="4" t="n"/>
      <c r="H661" s="4" t="n"/>
      <c r="I661" s="4" t="n"/>
    </row>
    <row r="662" ht="15.75" customHeight="1" s="108">
      <c r="A662" s="4" t="n"/>
      <c r="B662" s="4" t="n"/>
      <c r="C662" s="4" t="n"/>
      <c r="D662" s="4" t="n"/>
      <c r="E662" s="4" t="n"/>
      <c r="F662" s="4" t="n"/>
      <c r="G662" s="4" t="n"/>
      <c r="H662" s="4" t="n"/>
      <c r="I662" s="4" t="n"/>
    </row>
    <row r="663" ht="15.75" customHeight="1" s="108">
      <c r="A663" s="4" t="n"/>
      <c r="B663" s="4" t="n"/>
      <c r="C663" s="4" t="n"/>
      <c r="D663" s="4" t="n"/>
      <c r="E663" s="4" t="n"/>
      <c r="F663" s="4" t="n"/>
      <c r="G663" s="4" t="n"/>
      <c r="H663" s="4" t="n"/>
      <c r="I663" s="4" t="n"/>
    </row>
    <row r="664" ht="15.75" customHeight="1" s="108">
      <c r="A664" s="4" t="n"/>
      <c r="B664" s="4" t="n"/>
      <c r="C664" s="4" t="n"/>
      <c r="D664" s="4" t="n"/>
      <c r="E664" s="4" t="n"/>
      <c r="F664" s="4" t="n"/>
      <c r="G664" s="4" t="n"/>
      <c r="H664" s="4" t="n"/>
      <c r="I664" s="4" t="n"/>
    </row>
    <row r="665" ht="15.75" customHeight="1" s="108">
      <c r="A665" s="4" t="n"/>
      <c r="B665" s="4" t="n"/>
      <c r="C665" s="4" t="n"/>
      <c r="D665" s="4" t="n"/>
      <c r="E665" s="4" t="n"/>
      <c r="F665" s="4" t="n"/>
      <c r="G665" s="4" t="n"/>
      <c r="H665" s="4" t="n"/>
      <c r="I665" s="4" t="n"/>
    </row>
    <row r="666" ht="15.75" customHeight="1" s="108">
      <c r="A666" s="4" t="n"/>
      <c r="B666" s="4" t="n"/>
      <c r="C666" s="4" t="n"/>
      <c r="D666" s="4" t="n"/>
      <c r="E666" s="4" t="n"/>
      <c r="F666" s="4" t="n"/>
      <c r="G666" s="4" t="n"/>
      <c r="H666" s="4" t="n"/>
      <c r="I666" s="4" t="n"/>
    </row>
    <row r="667" ht="15.75" customHeight="1" s="108">
      <c r="A667" s="4" t="n"/>
      <c r="B667" s="4" t="n"/>
      <c r="C667" s="4" t="n"/>
      <c r="D667" s="4" t="n"/>
      <c r="E667" s="4" t="n"/>
      <c r="F667" s="4" t="n"/>
      <c r="G667" s="4" t="n"/>
      <c r="H667" s="4" t="n"/>
      <c r="I667" s="4" t="n"/>
    </row>
    <row r="668" ht="15.75" customHeight="1" s="108">
      <c r="A668" s="4" t="n"/>
      <c r="B668" s="4" t="n"/>
      <c r="C668" s="4" t="n"/>
      <c r="D668" s="4" t="n"/>
      <c r="E668" s="4" t="n"/>
      <c r="F668" s="4" t="n"/>
      <c r="G668" s="4" t="n"/>
      <c r="H668" s="4" t="n"/>
      <c r="I668" s="4" t="n"/>
    </row>
    <row r="669" ht="15.75" customHeight="1" s="108">
      <c r="A669" s="4" t="n"/>
      <c r="B669" s="4" t="n"/>
      <c r="C669" s="4" t="n"/>
      <c r="D669" s="4" t="n"/>
      <c r="E669" s="4" t="n"/>
      <c r="F669" s="4" t="n"/>
      <c r="G669" s="4" t="n"/>
      <c r="H669" s="4" t="n"/>
      <c r="I669" s="4" t="n"/>
    </row>
    <row r="670" ht="15.75" customHeight="1" s="108">
      <c r="A670" s="4" t="n"/>
      <c r="B670" s="4" t="n"/>
      <c r="C670" s="4" t="n"/>
      <c r="D670" s="4" t="n"/>
      <c r="E670" s="4" t="n"/>
      <c r="F670" s="4" t="n"/>
      <c r="G670" s="4" t="n"/>
      <c r="H670" s="4" t="n"/>
      <c r="I670" s="4" t="n"/>
    </row>
    <row r="671" ht="15.75" customHeight="1" s="108">
      <c r="A671" s="4" t="n"/>
      <c r="B671" s="4" t="n"/>
      <c r="C671" s="4" t="n"/>
      <c r="D671" s="4" t="n"/>
      <c r="E671" s="4" t="n"/>
      <c r="F671" s="4" t="n"/>
      <c r="G671" s="4" t="n"/>
      <c r="H671" s="4" t="n"/>
      <c r="I671" s="4" t="n"/>
    </row>
    <row r="672" ht="15.75" customHeight="1" s="108">
      <c r="A672" s="4" t="n"/>
      <c r="B672" s="4" t="n"/>
      <c r="C672" s="4" t="n"/>
      <c r="D672" s="4" t="n"/>
      <c r="E672" s="4" t="n"/>
      <c r="F672" s="4" t="n"/>
      <c r="G672" s="4" t="n"/>
      <c r="H672" s="4" t="n"/>
      <c r="I672" s="4" t="n"/>
    </row>
    <row r="673" ht="15.75" customHeight="1" s="108">
      <c r="A673" s="4" t="n"/>
      <c r="B673" s="4" t="n"/>
      <c r="C673" s="4" t="n"/>
      <c r="D673" s="4" t="n"/>
      <c r="E673" s="4" t="n"/>
      <c r="F673" s="4" t="n"/>
      <c r="G673" s="4" t="n"/>
      <c r="H673" s="4" t="n"/>
      <c r="I673" s="4" t="n"/>
    </row>
    <row r="674" ht="15.75" customHeight="1" s="108">
      <c r="A674" s="4" t="n"/>
      <c r="B674" s="4" t="n"/>
      <c r="C674" s="4" t="n"/>
      <c r="D674" s="4" t="n"/>
      <c r="E674" s="4" t="n"/>
      <c r="F674" s="4" t="n"/>
      <c r="G674" s="4" t="n"/>
      <c r="H674" s="4" t="n"/>
      <c r="I674" s="4" t="n"/>
    </row>
    <row r="675" ht="15.75" customHeight="1" s="108">
      <c r="A675" s="4" t="n"/>
      <c r="B675" s="4" t="n"/>
      <c r="C675" s="4" t="n"/>
      <c r="D675" s="4" t="n"/>
      <c r="E675" s="4" t="n"/>
      <c r="F675" s="4" t="n"/>
      <c r="G675" s="4" t="n"/>
      <c r="H675" s="4" t="n"/>
      <c r="I675" s="4" t="n"/>
    </row>
    <row r="676" ht="15.75" customHeight="1" s="108">
      <c r="A676" s="4" t="n"/>
      <c r="B676" s="4" t="n"/>
      <c r="C676" s="4" t="n"/>
      <c r="D676" s="4" t="n"/>
      <c r="E676" s="4" t="n"/>
      <c r="F676" s="4" t="n"/>
      <c r="G676" s="4" t="n"/>
      <c r="H676" s="4" t="n"/>
      <c r="I676" s="4" t="n"/>
    </row>
    <row r="677" ht="15.75" customHeight="1" s="108">
      <c r="A677" s="4" t="n"/>
      <c r="B677" s="4" t="n"/>
      <c r="C677" s="4" t="n"/>
      <c r="D677" s="4" t="n"/>
      <c r="E677" s="4" t="n"/>
      <c r="F677" s="4" t="n"/>
      <c r="G677" s="4" t="n"/>
      <c r="H677" s="4" t="n"/>
      <c r="I677" s="4" t="n"/>
    </row>
    <row r="678" ht="15.75" customHeight="1" s="108">
      <c r="A678" s="4" t="n"/>
      <c r="B678" s="4" t="n"/>
      <c r="C678" s="4" t="n"/>
      <c r="D678" s="4" t="n"/>
      <c r="E678" s="4" t="n"/>
      <c r="F678" s="4" t="n"/>
      <c r="G678" s="4" t="n"/>
      <c r="H678" s="4" t="n"/>
      <c r="I678" s="4" t="n"/>
    </row>
    <row r="679" ht="15.75" customHeight="1" s="108">
      <c r="A679" s="4" t="n"/>
      <c r="B679" s="4" t="n"/>
      <c r="C679" s="4" t="n"/>
      <c r="D679" s="4" t="n"/>
      <c r="E679" s="4" t="n"/>
      <c r="F679" s="4" t="n"/>
      <c r="G679" s="4" t="n"/>
      <c r="H679" s="4" t="n"/>
      <c r="I679" s="4" t="n"/>
    </row>
    <row r="680" ht="15.75" customHeight="1" s="108">
      <c r="A680" s="4" t="n"/>
      <c r="B680" s="4" t="n"/>
      <c r="C680" s="4" t="n"/>
      <c r="D680" s="4" t="n"/>
      <c r="E680" s="4" t="n"/>
      <c r="F680" s="4" t="n"/>
      <c r="G680" s="4" t="n"/>
      <c r="H680" s="4" t="n"/>
      <c r="I680" s="4" t="n"/>
    </row>
    <row r="681" ht="15.75" customHeight="1" s="108">
      <c r="A681" s="4" t="n"/>
      <c r="B681" s="4" t="n"/>
      <c r="C681" s="4" t="n"/>
      <c r="D681" s="4" t="n"/>
      <c r="E681" s="4" t="n"/>
      <c r="F681" s="4" t="n"/>
      <c r="G681" s="4" t="n"/>
      <c r="H681" s="4" t="n"/>
      <c r="I681" s="4" t="n"/>
    </row>
    <row r="682" ht="15.75" customHeight="1" s="108">
      <c r="A682" s="4" t="n"/>
      <c r="B682" s="4" t="n"/>
      <c r="C682" s="4" t="n"/>
      <c r="D682" s="4" t="n"/>
      <c r="E682" s="4" t="n"/>
      <c r="F682" s="4" t="n"/>
      <c r="G682" s="4" t="n"/>
      <c r="H682" s="4" t="n"/>
      <c r="I682" s="4" t="n"/>
    </row>
    <row r="683" ht="15.75" customHeight="1" s="108">
      <c r="A683" s="4" t="n"/>
      <c r="B683" s="4" t="n"/>
      <c r="C683" s="4" t="n"/>
      <c r="D683" s="4" t="n"/>
      <c r="E683" s="4" t="n"/>
      <c r="F683" s="4" t="n"/>
      <c r="G683" s="4" t="n"/>
      <c r="H683" s="4" t="n"/>
      <c r="I683" s="4" t="n"/>
    </row>
    <row r="684" ht="15.75" customHeight="1" s="108">
      <c r="A684" s="4" t="n"/>
      <c r="B684" s="4" t="n"/>
      <c r="C684" s="4" t="n"/>
      <c r="D684" s="4" t="n"/>
      <c r="E684" s="4" t="n"/>
      <c r="F684" s="4" t="n"/>
      <c r="G684" s="4" t="n"/>
      <c r="H684" s="4" t="n"/>
      <c r="I684" s="4" t="n"/>
    </row>
    <row r="685" ht="15.75" customHeight="1" s="108">
      <c r="A685" s="4" t="n"/>
      <c r="B685" s="4" t="n"/>
      <c r="C685" s="4" t="n"/>
      <c r="D685" s="4" t="n"/>
      <c r="E685" s="4" t="n"/>
      <c r="F685" s="4" t="n"/>
      <c r="G685" s="4" t="n"/>
      <c r="H685" s="4" t="n"/>
      <c r="I685" s="4" t="n"/>
    </row>
    <row r="686" ht="15.75" customHeight="1" s="108">
      <c r="A686" s="4" t="n"/>
      <c r="B686" s="4" t="n"/>
      <c r="C686" s="4" t="n"/>
      <c r="D686" s="4" t="n"/>
      <c r="E686" s="4" t="n"/>
      <c r="F686" s="4" t="n"/>
      <c r="G686" s="4" t="n"/>
      <c r="H686" s="4" t="n"/>
      <c r="I686" s="4" t="n"/>
    </row>
    <row r="687" ht="15.75" customHeight="1" s="108">
      <c r="A687" s="4" t="n"/>
      <c r="B687" s="4" t="n"/>
      <c r="C687" s="4" t="n"/>
      <c r="D687" s="4" t="n"/>
      <c r="E687" s="4" t="n"/>
      <c r="F687" s="4" t="n"/>
      <c r="G687" s="4" t="n"/>
      <c r="H687" s="4" t="n"/>
      <c r="I687" s="4" t="n"/>
    </row>
    <row r="688" ht="15.75" customHeight="1" s="108">
      <c r="A688" s="4" t="n"/>
      <c r="B688" s="4" t="n"/>
      <c r="C688" s="4" t="n"/>
      <c r="D688" s="4" t="n"/>
      <c r="E688" s="4" t="n"/>
      <c r="F688" s="4" t="n"/>
      <c r="G688" s="4" t="n"/>
      <c r="H688" s="4" t="n"/>
      <c r="I688" s="4" t="n"/>
    </row>
    <row r="689" ht="15.75" customHeight="1" s="108">
      <c r="A689" s="4" t="n"/>
      <c r="B689" s="4" t="n"/>
      <c r="C689" s="4" t="n"/>
      <c r="D689" s="4" t="n"/>
      <c r="E689" s="4" t="n"/>
      <c r="F689" s="4" t="n"/>
      <c r="G689" s="4" t="n"/>
      <c r="H689" s="4" t="n"/>
      <c r="I689" s="4" t="n"/>
    </row>
    <row r="690" ht="15.75" customHeight="1" s="108">
      <c r="A690" s="4" t="n"/>
      <c r="B690" s="4" t="n"/>
      <c r="C690" s="4" t="n"/>
      <c r="D690" s="4" t="n"/>
      <c r="E690" s="4" t="n"/>
      <c r="F690" s="4" t="n"/>
      <c r="G690" s="4" t="n"/>
      <c r="H690" s="4" t="n"/>
      <c r="I690" s="4" t="n"/>
    </row>
    <row r="691" ht="15.75" customHeight="1" s="108">
      <c r="A691" s="4" t="n"/>
      <c r="B691" s="4" t="n"/>
      <c r="C691" s="4" t="n"/>
      <c r="D691" s="4" t="n"/>
      <c r="E691" s="4" t="n"/>
      <c r="F691" s="4" t="n"/>
      <c r="G691" s="4" t="n"/>
      <c r="H691" s="4" t="n"/>
      <c r="I691" s="4" t="n"/>
    </row>
    <row r="692" ht="15.75" customHeight="1" s="108">
      <c r="A692" s="4" t="n"/>
      <c r="B692" s="4" t="n"/>
      <c r="C692" s="4" t="n"/>
      <c r="D692" s="4" t="n"/>
      <c r="E692" s="4" t="n"/>
      <c r="F692" s="4" t="n"/>
      <c r="G692" s="4" t="n"/>
      <c r="H692" s="4" t="n"/>
      <c r="I692" s="4" t="n"/>
    </row>
    <row r="693" ht="15.75" customHeight="1" s="108">
      <c r="A693" s="4" t="n"/>
      <c r="B693" s="4" t="n"/>
      <c r="C693" s="4" t="n"/>
      <c r="D693" s="4" t="n"/>
      <c r="E693" s="4" t="n"/>
      <c r="F693" s="4" t="n"/>
      <c r="G693" s="4" t="n"/>
      <c r="H693" s="4" t="n"/>
      <c r="I693" s="4" t="n"/>
    </row>
    <row r="694" ht="15.75" customHeight="1" s="108">
      <c r="A694" s="4" t="n"/>
      <c r="B694" s="4" t="n"/>
      <c r="C694" s="4" t="n"/>
      <c r="D694" s="4" t="n"/>
      <c r="E694" s="4" t="n"/>
      <c r="F694" s="4" t="n"/>
      <c r="G694" s="4" t="n"/>
      <c r="H694" s="4" t="n"/>
      <c r="I694" s="4" t="n"/>
    </row>
    <row r="695" ht="15.75" customHeight="1" s="108">
      <c r="A695" s="4" t="n"/>
      <c r="B695" s="4" t="n"/>
      <c r="C695" s="4" t="n"/>
      <c r="D695" s="4" t="n"/>
      <c r="E695" s="4" t="n"/>
      <c r="F695" s="4" t="n"/>
      <c r="G695" s="4" t="n"/>
      <c r="H695" s="4" t="n"/>
      <c r="I695" s="4" t="n"/>
    </row>
    <row r="696" ht="15.75" customHeight="1" s="108">
      <c r="A696" s="4" t="n"/>
      <c r="B696" s="4" t="n"/>
      <c r="C696" s="4" t="n"/>
      <c r="D696" s="4" t="n"/>
      <c r="E696" s="4" t="n"/>
      <c r="F696" s="4" t="n"/>
      <c r="G696" s="4" t="n"/>
      <c r="H696" s="4" t="n"/>
      <c r="I696" s="4" t="n"/>
    </row>
    <row r="697" ht="15.75" customHeight="1" s="108">
      <c r="A697" s="4" t="n"/>
      <c r="B697" s="4" t="n"/>
      <c r="C697" s="4" t="n"/>
      <c r="D697" s="4" t="n"/>
      <c r="E697" s="4" t="n"/>
      <c r="F697" s="4" t="n"/>
      <c r="G697" s="4" t="n"/>
      <c r="H697" s="4" t="n"/>
      <c r="I697" s="4" t="n"/>
    </row>
    <row r="698" ht="15.75" customHeight="1" s="108">
      <c r="A698" s="4" t="n"/>
      <c r="B698" s="4" t="n"/>
      <c r="C698" s="4" t="n"/>
      <c r="D698" s="4" t="n"/>
      <c r="E698" s="4" t="n"/>
      <c r="F698" s="4" t="n"/>
      <c r="G698" s="4" t="n"/>
      <c r="H698" s="4" t="n"/>
      <c r="I698" s="4" t="n"/>
    </row>
    <row r="699" ht="15.75" customHeight="1" s="108">
      <c r="A699" s="4" t="n"/>
      <c r="B699" s="4" t="n"/>
      <c r="C699" s="4" t="n"/>
      <c r="D699" s="4" t="n"/>
      <c r="E699" s="4" t="n"/>
      <c r="F699" s="4" t="n"/>
      <c r="G699" s="4" t="n"/>
      <c r="H699" s="4" t="n"/>
      <c r="I699" s="4" t="n"/>
    </row>
    <row r="700" ht="15.75" customHeight="1" s="108">
      <c r="A700" s="4" t="n"/>
      <c r="B700" s="4" t="n"/>
      <c r="C700" s="4" t="n"/>
      <c r="D700" s="4" t="n"/>
      <c r="E700" s="4" t="n"/>
      <c r="F700" s="4" t="n"/>
      <c r="G700" s="4" t="n"/>
      <c r="H700" s="4" t="n"/>
      <c r="I700" s="4" t="n"/>
    </row>
    <row r="701" ht="15.75" customHeight="1" s="108">
      <c r="A701" s="4" t="n"/>
      <c r="B701" s="4" t="n"/>
      <c r="C701" s="4" t="n"/>
      <c r="D701" s="4" t="n"/>
      <c r="E701" s="4" t="n"/>
      <c r="F701" s="4" t="n"/>
      <c r="G701" s="4" t="n"/>
      <c r="H701" s="4" t="n"/>
      <c r="I701" s="4" t="n"/>
    </row>
    <row r="702" ht="15.75" customHeight="1" s="108">
      <c r="A702" s="4" t="n"/>
      <c r="B702" s="4" t="n"/>
      <c r="C702" s="4" t="n"/>
      <c r="D702" s="4" t="n"/>
      <c r="E702" s="4" t="n"/>
      <c r="F702" s="4" t="n"/>
      <c r="G702" s="4" t="n"/>
      <c r="H702" s="4" t="n"/>
      <c r="I702" s="4" t="n"/>
    </row>
    <row r="703" ht="15.75" customHeight="1" s="108">
      <c r="A703" s="4" t="n"/>
      <c r="B703" s="4" t="n"/>
      <c r="C703" s="4" t="n"/>
      <c r="D703" s="4" t="n"/>
      <c r="E703" s="4" t="n"/>
      <c r="F703" s="4" t="n"/>
      <c r="G703" s="4" t="n"/>
      <c r="H703" s="4" t="n"/>
      <c r="I703" s="4" t="n"/>
    </row>
    <row r="704" ht="15.75" customHeight="1" s="108">
      <c r="A704" s="4" t="n"/>
      <c r="B704" s="4" t="n"/>
      <c r="C704" s="4" t="n"/>
      <c r="D704" s="4" t="n"/>
      <c r="E704" s="4" t="n"/>
      <c r="F704" s="4" t="n"/>
      <c r="G704" s="4" t="n"/>
      <c r="H704" s="4" t="n"/>
      <c r="I704" s="4" t="n"/>
    </row>
    <row r="705" ht="15.75" customHeight="1" s="108">
      <c r="A705" s="4" t="n"/>
      <c r="B705" s="4" t="n"/>
      <c r="C705" s="4" t="n"/>
      <c r="D705" s="4" t="n"/>
      <c r="E705" s="4" t="n"/>
      <c r="F705" s="4" t="n"/>
      <c r="G705" s="4" t="n"/>
      <c r="H705" s="4" t="n"/>
      <c r="I705" s="4" t="n"/>
    </row>
    <row r="706" ht="15.75" customHeight="1" s="108">
      <c r="A706" s="4" t="n"/>
      <c r="B706" s="4" t="n"/>
      <c r="C706" s="4" t="n"/>
      <c r="D706" s="4" t="n"/>
      <c r="E706" s="4" t="n"/>
      <c r="F706" s="4" t="n"/>
      <c r="G706" s="4" t="n"/>
      <c r="H706" s="4" t="n"/>
      <c r="I706" s="4" t="n"/>
    </row>
    <row r="707" ht="15.75" customHeight="1" s="108">
      <c r="A707" s="4" t="n"/>
      <c r="B707" s="4" t="n"/>
      <c r="C707" s="4" t="n"/>
      <c r="D707" s="4" t="n"/>
      <c r="E707" s="4" t="n"/>
      <c r="F707" s="4" t="n"/>
      <c r="G707" s="4" t="n"/>
      <c r="H707" s="4" t="n"/>
      <c r="I707" s="4" t="n"/>
    </row>
    <row r="708" ht="15.75" customHeight="1" s="108">
      <c r="A708" s="4" t="n"/>
      <c r="B708" s="4" t="n"/>
      <c r="C708" s="4" t="n"/>
      <c r="D708" s="4" t="n"/>
      <c r="E708" s="4" t="n"/>
      <c r="F708" s="4" t="n"/>
      <c r="G708" s="4" t="n"/>
      <c r="H708" s="4" t="n"/>
      <c r="I708" s="4" t="n"/>
    </row>
    <row r="709" ht="15.75" customHeight="1" s="108">
      <c r="A709" s="4" t="n"/>
      <c r="B709" s="4" t="n"/>
      <c r="C709" s="4" t="n"/>
      <c r="D709" s="4" t="n"/>
      <c r="E709" s="4" t="n"/>
      <c r="F709" s="4" t="n"/>
      <c r="G709" s="4" t="n"/>
      <c r="H709" s="4" t="n"/>
      <c r="I709" s="4" t="n"/>
    </row>
    <row r="710" ht="15.75" customHeight="1" s="108">
      <c r="A710" s="4" t="n"/>
      <c r="B710" s="4" t="n"/>
      <c r="C710" s="4" t="n"/>
      <c r="D710" s="4" t="n"/>
      <c r="E710" s="4" t="n"/>
      <c r="F710" s="4" t="n"/>
      <c r="G710" s="4" t="n"/>
      <c r="H710" s="4" t="n"/>
      <c r="I710" s="4" t="n"/>
    </row>
    <row r="711" ht="15.75" customHeight="1" s="108">
      <c r="A711" s="4" t="n"/>
      <c r="B711" s="4" t="n"/>
      <c r="C711" s="4" t="n"/>
      <c r="D711" s="4" t="n"/>
      <c r="E711" s="4" t="n"/>
      <c r="F711" s="4" t="n"/>
      <c r="G711" s="4" t="n"/>
      <c r="H711" s="4" t="n"/>
      <c r="I711" s="4" t="n"/>
    </row>
    <row r="712" ht="15.75" customHeight="1" s="108">
      <c r="A712" s="4" t="n"/>
      <c r="B712" s="4" t="n"/>
      <c r="C712" s="4" t="n"/>
      <c r="D712" s="4" t="n"/>
      <c r="E712" s="4" t="n"/>
      <c r="F712" s="4" t="n"/>
      <c r="G712" s="4" t="n"/>
      <c r="H712" s="4" t="n"/>
      <c r="I712" s="4" t="n"/>
    </row>
    <row r="713" ht="15.75" customHeight="1" s="108">
      <c r="A713" s="4" t="n"/>
      <c r="B713" s="4" t="n"/>
      <c r="C713" s="4" t="n"/>
      <c r="D713" s="4" t="n"/>
      <c r="E713" s="4" t="n"/>
      <c r="F713" s="4" t="n"/>
      <c r="G713" s="4" t="n"/>
      <c r="H713" s="4" t="n"/>
      <c r="I713" s="4" t="n"/>
    </row>
    <row r="714" ht="15.75" customHeight="1" s="108">
      <c r="A714" s="4" t="n"/>
      <c r="B714" s="4" t="n"/>
      <c r="C714" s="4" t="n"/>
      <c r="D714" s="4" t="n"/>
      <c r="E714" s="4" t="n"/>
      <c r="F714" s="4" t="n"/>
      <c r="G714" s="4" t="n"/>
      <c r="H714" s="4" t="n"/>
      <c r="I714" s="4" t="n"/>
    </row>
    <row r="715" ht="15.75" customHeight="1" s="108">
      <c r="A715" s="4" t="n"/>
      <c r="B715" s="4" t="n"/>
      <c r="C715" s="4" t="n"/>
      <c r="D715" s="4" t="n"/>
      <c r="E715" s="4" t="n"/>
      <c r="F715" s="4" t="n"/>
      <c r="G715" s="4" t="n"/>
      <c r="H715" s="4" t="n"/>
      <c r="I715" s="4" t="n"/>
    </row>
    <row r="716" ht="15.75" customHeight="1" s="108">
      <c r="A716" s="4" t="n"/>
      <c r="B716" s="4" t="n"/>
      <c r="C716" s="4" t="n"/>
      <c r="D716" s="4" t="n"/>
      <c r="E716" s="4" t="n"/>
      <c r="F716" s="4" t="n"/>
      <c r="G716" s="4" t="n"/>
      <c r="H716" s="4" t="n"/>
      <c r="I716" s="4" t="n"/>
    </row>
    <row r="717" ht="15.75" customHeight="1" s="108">
      <c r="A717" s="4" t="n"/>
      <c r="B717" s="4" t="n"/>
      <c r="C717" s="4" t="n"/>
      <c r="D717" s="4" t="n"/>
      <c r="E717" s="4" t="n"/>
      <c r="F717" s="4" t="n"/>
      <c r="G717" s="4" t="n"/>
      <c r="H717" s="4" t="n"/>
      <c r="I717" s="4" t="n"/>
    </row>
    <row r="718" ht="15.75" customHeight="1" s="108">
      <c r="A718" s="4" t="n"/>
      <c r="B718" s="4" t="n"/>
      <c r="C718" s="4" t="n"/>
      <c r="D718" s="4" t="n"/>
      <c r="E718" s="4" t="n"/>
      <c r="F718" s="4" t="n"/>
      <c r="G718" s="4" t="n"/>
      <c r="H718" s="4" t="n"/>
      <c r="I718" s="4" t="n"/>
    </row>
    <row r="719" ht="15.75" customHeight="1" s="108">
      <c r="A719" s="4" t="n"/>
      <c r="B719" s="4" t="n"/>
      <c r="C719" s="4" t="n"/>
      <c r="D719" s="4" t="n"/>
      <c r="E719" s="4" t="n"/>
      <c r="F719" s="4" t="n"/>
      <c r="G719" s="4" t="n"/>
      <c r="H719" s="4" t="n"/>
      <c r="I719" s="4" t="n"/>
    </row>
    <row r="720" ht="15.75" customHeight="1" s="108">
      <c r="A720" s="4" t="n"/>
      <c r="B720" s="4" t="n"/>
      <c r="C720" s="4" t="n"/>
      <c r="D720" s="4" t="n"/>
      <c r="E720" s="4" t="n"/>
      <c r="F720" s="4" t="n"/>
      <c r="G720" s="4" t="n"/>
      <c r="H720" s="4" t="n"/>
      <c r="I720" s="4" t="n"/>
    </row>
    <row r="721" ht="15.75" customHeight="1" s="108">
      <c r="A721" s="4" t="n"/>
      <c r="B721" s="4" t="n"/>
      <c r="C721" s="4" t="n"/>
      <c r="D721" s="4" t="n"/>
      <c r="E721" s="4" t="n"/>
      <c r="F721" s="4" t="n"/>
      <c r="G721" s="4" t="n"/>
      <c r="H721" s="4" t="n"/>
      <c r="I721" s="4" t="n"/>
    </row>
    <row r="722" ht="15.75" customHeight="1" s="108">
      <c r="A722" s="4" t="n"/>
      <c r="B722" s="4" t="n"/>
      <c r="C722" s="4" t="n"/>
      <c r="D722" s="4" t="n"/>
      <c r="E722" s="4" t="n"/>
      <c r="F722" s="4" t="n"/>
      <c r="G722" s="4" t="n"/>
      <c r="H722" s="4" t="n"/>
      <c r="I722" s="4" t="n"/>
    </row>
    <row r="723" ht="15.75" customHeight="1" s="108">
      <c r="A723" s="4" t="n"/>
      <c r="B723" s="4" t="n"/>
      <c r="C723" s="4" t="n"/>
      <c r="D723" s="4" t="n"/>
      <c r="E723" s="4" t="n"/>
      <c r="F723" s="4" t="n"/>
      <c r="G723" s="4" t="n"/>
      <c r="H723" s="4" t="n"/>
      <c r="I723" s="4" t="n"/>
    </row>
    <row r="724" ht="15.75" customHeight="1" s="108">
      <c r="A724" s="4" t="n"/>
      <c r="B724" s="4" t="n"/>
      <c r="C724" s="4" t="n"/>
      <c r="D724" s="4" t="n"/>
      <c r="E724" s="4" t="n"/>
      <c r="F724" s="4" t="n"/>
      <c r="G724" s="4" t="n"/>
      <c r="H724" s="4" t="n"/>
      <c r="I724" s="4" t="n"/>
    </row>
    <row r="725" ht="15.75" customHeight="1" s="108">
      <c r="A725" s="4" t="n"/>
      <c r="B725" s="4" t="n"/>
      <c r="C725" s="4" t="n"/>
      <c r="D725" s="4" t="n"/>
      <c r="E725" s="4" t="n"/>
      <c r="F725" s="4" t="n"/>
      <c r="G725" s="4" t="n"/>
      <c r="H725" s="4" t="n"/>
      <c r="I725" s="4" t="n"/>
    </row>
    <row r="726" ht="15.75" customHeight="1" s="108">
      <c r="A726" s="4" t="n"/>
      <c r="B726" s="4" t="n"/>
      <c r="C726" s="4" t="n"/>
      <c r="D726" s="4" t="n"/>
      <c r="E726" s="4" t="n"/>
      <c r="F726" s="4" t="n"/>
      <c r="G726" s="4" t="n"/>
      <c r="H726" s="4" t="n"/>
      <c r="I726" s="4" t="n"/>
    </row>
    <row r="727" ht="15.75" customHeight="1" s="108">
      <c r="A727" s="4" t="n"/>
      <c r="B727" s="4" t="n"/>
      <c r="C727" s="4" t="n"/>
      <c r="D727" s="4" t="n"/>
      <c r="E727" s="4" t="n"/>
      <c r="F727" s="4" t="n"/>
      <c r="G727" s="4" t="n"/>
      <c r="H727" s="4" t="n"/>
      <c r="I727" s="4" t="n"/>
    </row>
    <row r="728" ht="15.75" customHeight="1" s="108">
      <c r="A728" s="4" t="n"/>
      <c r="B728" s="4" t="n"/>
      <c r="C728" s="4" t="n"/>
      <c r="D728" s="4" t="n"/>
      <c r="E728" s="4" t="n"/>
      <c r="F728" s="4" t="n"/>
      <c r="G728" s="4" t="n"/>
      <c r="H728" s="4" t="n"/>
      <c r="I728" s="4" t="n"/>
    </row>
    <row r="729" ht="15.75" customHeight="1" s="108">
      <c r="A729" s="4" t="n"/>
      <c r="B729" s="4" t="n"/>
      <c r="C729" s="4" t="n"/>
      <c r="D729" s="4" t="n"/>
      <c r="E729" s="4" t="n"/>
      <c r="F729" s="4" t="n"/>
      <c r="G729" s="4" t="n"/>
      <c r="H729" s="4" t="n"/>
      <c r="I729" s="4" t="n"/>
    </row>
    <row r="730" ht="15.75" customHeight="1" s="108">
      <c r="A730" s="4" t="n"/>
      <c r="B730" s="4" t="n"/>
      <c r="C730" s="4" t="n"/>
      <c r="D730" s="4" t="n"/>
      <c r="E730" s="4" t="n"/>
      <c r="F730" s="4" t="n"/>
      <c r="G730" s="4" t="n"/>
      <c r="H730" s="4" t="n"/>
      <c r="I730" s="4" t="n"/>
    </row>
    <row r="731" ht="15.75" customHeight="1" s="108">
      <c r="A731" s="4" t="n"/>
      <c r="B731" s="4" t="n"/>
      <c r="C731" s="4" t="n"/>
      <c r="D731" s="4" t="n"/>
      <c r="E731" s="4" t="n"/>
      <c r="F731" s="4" t="n"/>
      <c r="G731" s="4" t="n"/>
      <c r="H731" s="4" t="n"/>
      <c r="I731" s="4" t="n"/>
    </row>
    <row r="732" ht="15.75" customHeight="1" s="108">
      <c r="A732" s="4" t="n"/>
      <c r="B732" s="4" t="n"/>
      <c r="C732" s="4" t="n"/>
      <c r="D732" s="4" t="n"/>
      <c r="E732" s="4" t="n"/>
      <c r="F732" s="4" t="n"/>
      <c r="G732" s="4" t="n"/>
      <c r="H732" s="4" t="n"/>
      <c r="I732" s="4" t="n"/>
    </row>
    <row r="733" ht="15.75" customHeight="1" s="108">
      <c r="A733" s="4" t="n"/>
      <c r="B733" s="4" t="n"/>
      <c r="C733" s="4" t="n"/>
      <c r="D733" s="4" t="n"/>
      <c r="E733" s="4" t="n"/>
      <c r="F733" s="4" t="n"/>
      <c r="G733" s="4" t="n"/>
      <c r="H733" s="4" t="n"/>
      <c r="I733" s="4" t="n"/>
    </row>
    <row r="734" ht="15.75" customHeight="1" s="108">
      <c r="A734" s="4" t="n"/>
      <c r="B734" s="4" t="n"/>
      <c r="C734" s="4" t="n"/>
      <c r="D734" s="4" t="n"/>
      <c r="E734" s="4" t="n"/>
      <c r="F734" s="4" t="n"/>
      <c r="G734" s="4" t="n"/>
      <c r="H734" s="4" t="n"/>
      <c r="I734" s="4" t="n"/>
    </row>
    <row r="735" ht="15.75" customHeight="1" s="108">
      <c r="A735" s="4" t="n"/>
      <c r="B735" s="4" t="n"/>
      <c r="C735" s="4" t="n"/>
      <c r="D735" s="4" t="n"/>
      <c r="E735" s="4" t="n"/>
      <c r="F735" s="4" t="n"/>
      <c r="G735" s="4" t="n"/>
      <c r="H735" s="4" t="n"/>
      <c r="I735" s="4" t="n"/>
    </row>
    <row r="736" ht="15.75" customHeight="1" s="108">
      <c r="A736" s="4" t="n"/>
      <c r="B736" s="4" t="n"/>
      <c r="C736" s="4" t="n"/>
      <c r="D736" s="4" t="n"/>
      <c r="E736" s="4" t="n"/>
      <c r="F736" s="4" t="n"/>
      <c r="G736" s="4" t="n"/>
      <c r="H736" s="4" t="n"/>
      <c r="I736" s="4" t="n"/>
    </row>
    <row r="737" ht="15.75" customHeight="1" s="108">
      <c r="A737" s="4" t="n"/>
      <c r="B737" s="4" t="n"/>
      <c r="C737" s="4" t="n"/>
      <c r="D737" s="4" t="n"/>
      <c r="E737" s="4" t="n"/>
      <c r="F737" s="4" t="n"/>
      <c r="G737" s="4" t="n"/>
      <c r="H737" s="4" t="n"/>
      <c r="I737" s="4" t="n"/>
    </row>
    <row r="738" ht="15.75" customHeight="1" s="108">
      <c r="A738" s="4" t="n"/>
      <c r="B738" s="4" t="n"/>
      <c r="C738" s="4" t="n"/>
      <c r="D738" s="4" t="n"/>
      <c r="E738" s="4" t="n"/>
      <c r="F738" s="4" t="n"/>
      <c r="G738" s="4" t="n"/>
      <c r="H738" s="4" t="n"/>
      <c r="I738" s="4" t="n"/>
    </row>
    <row r="739" ht="15.75" customHeight="1" s="108">
      <c r="A739" s="4" t="n"/>
      <c r="B739" s="4" t="n"/>
      <c r="C739" s="4" t="n"/>
      <c r="D739" s="4" t="n"/>
      <c r="E739" s="4" t="n"/>
      <c r="F739" s="4" t="n"/>
      <c r="G739" s="4" t="n"/>
      <c r="H739" s="4" t="n"/>
      <c r="I739" s="4" t="n"/>
    </row>
    <row r="740" ht="15.75" customHeight="1" s="108">
      <c r="A740" s="4" t="n"/>
      <c r="B740" s="4" t="n"/>
      <c r="C740" s="4" t="n"/>
      <c r="D740" s="4" t="n"/>
      <c r="E740" s="4" t="n"/>
      <c r="F740" s="4" t="n"/>
      <c r="G740" s="4" t="n"/>
      <c r="H740" s="4" t="n"/>
      <c r="I740" s="4" t="n"/>
    </row>
    <row r="741" ht="15.75" customHeight="1" s="108">
      <c r="A741" s="4" t="n"/>
      <c r="B741" s="4" t="n"/>
      <c r="C741" s="4" t="n"/>
      <c r="D741" s="4" t="n"/>
      <c r="E741" s="4" t="n"/>
      <c r="F741" s="4" t="n"/>
      <c r="G741" s="4" t="n"/>
      <c r="H741" s="4" t="n"/>
      <c r="I741" s="4" t="n"/>
    </row>
    <row r="742" ht="15.75" customHeight="1" s="108">
      <c r="A742" s="4" t="n"/>
      <c r="B742" s="4" t="n"/>
      <c r="C742" s="4" t="n"/>
      <c r="D742" s="4" t="n"/>
      <c r="E742" s="4" t="n"/>
      <c r="F742" s="4" t="n"/>
      <c r="G742" s="4" t="n"/>
      <c r="H742" s="4" t="n"/>
      <c r="I742" s="4" t="n"/>
    </row>
    <row r="743" ht="15.75" customHeight="1" s="108">
      <c r="A743" s="4" t="n"/>
      <c r="B743" s="4" t="n"/>
      <c r="C743" s="4" t="n"/>
      <c r="D743" s="4" t="n"/>
      <c r="E743" s="4" t="n"/>
      <c r="F743" s="4" t="n"/>
      <c r="G743" s="4" t="n"/>
      <c r="H743" s="4" t="n"/>
      <c r="I743" s="4" t="n"/>
    </row>
    <row r="744" ht="15.75" customHeight="1" s="108">
      <c r="A744" s="4" t="n"/>
      <c r="B744" s="4" t="n"/>
      <c r="C744" s="4" t="n"/>
      <c r="D744" s="4" t="n"/>
      <c r="E744" s="4" t="n"/>
      <c r="F744" s="4" t="n"/>
      <c r="G744" s="4" t="n"/>
      <c r="H744" s="4" t="n"/>
      <c r="I744" s="4" t="n"/>
    </row>
    <row r="745" ht="15.75" customHeight="1" s="108">
      <c r="A745" s="4" t="n"/>
      <c r="B745" s="4" t="n"/>
      <c r="C745" s="4" t="n"/>
      <c r="D745" s="4" t="n"/>
      <c r="E745" s="4" t="n"/>
      <c r="F745" s="4" t="n"/>
      <c r="G745" s="4" t="n"/>
      <c r="H745" s="4" t="n"/>
      <c r="I745" s="4" t="n"/>
    </row>
    <row r="746" ht="15.75" customHeight="1" s="108">
      <c r="A746" s="4" t="n"/>
      <c r="B746" s="4" t="n"/>
      <c r="C746" s="4" t="n"/>
      <c r="D746" s="4" t="n"/>
      <c r="E746" s="4" t="n"/>
      <c r="F746" s="4" t="n"/>
      <c r="G746" s="4" t="n"/>
      <c r="H746" s="4" t="n"/>
      <c r="I746" s="4" t="n"/>
    </row>
    <row r="747" ht="15.75" customHeight="1" s="108">
      <c r="A747" s="4" t="n"/>
      <c r="B747" s="4" t="n"/>
      <c r="C747" s="4" t="n"/>
      <c r="D747" s="4" t="n"/>
      <c r="E747" s="4" t="n"/>
      <c r="F747" s="4" t="n"/>
      <c r="G747" s="4" t="n"/>
      <c r="H747" s="4" t="n"/>
      <c r="I747" s="4" t="n"/>
    </row>
    <row r="748" ht="15.75" customHeight="1" s="108">
      <c r="A748" s="4" t="n"/>
      <c r="B748" s="4" t="n"/>
      <c r="C748" s="4" t="n"/>
      <c r="D748" s="4" t="n"/>
      <c r="E748" s="4" t="n"/>
      <c r="F748" s="4" t="n"/>
      <c r="G748" s="4" t="n"/>
      <c r="H748" s="4" t="n"/>
      <c r="I748" s="4" t="n"/>
    </row>
    <row r="749" ht="15.75" customHeight="1" s="108">
      <c r="A749" s="4" t="n"/>
      <c r="B749" s="4" t="n"/>
      <c r="C749" s="4" t="n"/>
      <c r="D749" s="4" t="n"/>
      <c r="E749" s="4" t="n"/>
      <c r="F749" s="4" t="n"/>
      <c r="G749" s="4" t="n"/>
      <c r="H749" s="4" t="n"/>
      <c r="I749" s="4" t="n"/>
    </row>
    <row r="750" ht="15.75" customHeight="1" s="108">
      <c r="A750" s="4" t="n"/>
      <c r="B750" s="4" t="n"/>
      <c r="C750" s="4" t="n"/>
      <c r="D750" s="4" t="n"/>
      <c r="E750" s="4" t="n"/>
      <c r="F750" s="4" t="n"/>
      <c r="G750" s="4" t="n"/>
      <c r="H750" s="4" t="n"/>
      <c r="I750" s="4" t="n"/>
    </row>
    <row r="751" ht="15.75" customHeight="1" s="108">
      <c r="A751" s="4" t="n"/>
      <c r="B751" s="4" t="n"/>
      <c r="C751" s="4" t="n"/>
      <c r="D751" s="4" t="n"/>
      <c r="E751" s="4" t="n"/>
      <c r="F751" s="4" t="n"/>
      <c r="G751" s="4" t="n"/>
      <c r="H751" s="4" t="n"/>
      <c r="I751" s="4" t="n"/>
    </row>
    <row r="752" ht="15.75" customHeight="1" s="108">
      <c r="A752" s="4" t="n"/>
      <c r="B752" s="4" t="n"/>
      <c r="C752" s="4" t="n"/>
      <c r="D752" s="4" t="n"/>
      <c r="E752" s="4" t="n"/>
      <c r="F752" s="4" t="n"/>
      <c r="G752" s="4" t="n"/>
      <c r="H752" s="4" t="n"/>
      <c r="I752" s="4" t="n"/>
    </row>
    <row r="753" ht="15.75" customHeight="1" s="108">
      <c r="A753" s="4" t="n"/>
      <c r="B753" s="4" t="n"/>
      <c r="C753" s="4" t="n"/>
      <c r="D753" s="4" t="n"/>
      <c r="E753" s="4" t="n"/>
      <c r="F753" s="4" t="n"/>
      <c r="G753" s="4" t="n"/>
      <c r="H753" s="4" t="n"/>
      <c r="I753" s="4" t="n"/>
    </row>
    <row r="754" ht="15.75" customHeight="1" s="108">
      <c r="A754" s="4" t="n"/>
      <c r="B754" s="4" t="n"/>
      <c r="C754" s="4" t="n"/>
      <c r="D754" s="4" t="n"/>
      <c r="E754" s="4" t="n"/>
      <c r="F754" s="4" t="n"/>
      <c r="G754" s="4" t="n"/>
      <c r="H754" s="4" t="n"/>
      <c r="I754" s="4" t="n"/>
    </row>
    <row r="755" ht="15.75" customHeight="1" s="108">
      <c r="A755" s="4" t="n"/>
      <c r="B755" s="4" t="n"/>
      <c r="C755" s="4" t="n"/>
      <c r="D755" s="4" t="n"/>
      <c r="E755" s="4" t="n"/>
      <c r="F755" s="4" t="n"/>
      <c r="G755" s="4" t="n"/>
      <c r="H755" s="4" t="n"/>
      <c r="I755" s="4" t="n"/>
    </row>
    <row r="756" ht="15.75" customHeight="1" s="108">
      <c r="A756" s="4" t="n"/>
      <c r="B756" s="4" t="n"/>
      <c r="C756" s="4" t="n"/>
      <c r="D756" s="4" t="n"/>
      <c r="E756" s="4" t="n"/>
      <c r="F756" s="4" t="n"/>
      <c r="G756" s="4" t="n"/>
      <c r="H756" s="4" t="n"/>
      <c r="I756" s="4" t="n"/>
    </row>
    <row r="757" ht="15.75" customHeight="1" s="108">
      <c r="A757" s="4" t="n"/>
      <c r="B757" s="4" t="n"/>
      <c r="C757" s="4" t="n"/>
      <c r="D757" s="4" t="n"/>
      <c r="E757" s="4" t="n"/>
      <c r="F757" s="4" t="n"/>
      <c r="G757" s="4" t="n"/>
      <c r="H757" s="4" t="n"/>
      <c r="I757" s="4" t="n"/>
    </row>
    <row r="758" ht="15.75" customHeight="1" s="108">
      <c r="A758" s="4" t="n"/>
      <c r="B758" s="4" t="n"/>
      <c r="C758" s="4" t="n"/>
      <c r="D758" s="4" t="n"/>
      <c r="E758" s="4" t="n"/>
      <c r="F758" s="4" t="n"/>
      <c r="G758" s="4" t="n"/>
      <c r="H758" s="4" t="n"/>
      <c r="I758" s="4" t="n"/>
    </row>
    <row r="759" ht="15.75" customHeight="1" s="108">
      <c r="A759" s="4" t="n"/>
      <c r="B759" s="4" t="n"/>
      <c r="C759" s="4" t="n"/>
      <c r="D759" s="4" t="n"/>
      <c r="E759" s="4" t="n"/>
      <c r="F759" s="4" t="n"/>
      <c r="G759" s="4" t="n"/>
      <c r="H759" s="4" t="n"/>
      <c r="I759" s="4" t="n"/>
    </row>
    <row r="760" ht="15.75" customHeight="1" s="108">
      <c r="A760" s="4" t="n"/>
      <c r="B760" s="4" t="n"/>
      <c r="C760" s="4" t="n"/>
      <c r="D760" s="4" t="n"/>
      <c r="E760" s="4" t="n"/>
      <c r="F760" s="4" t="n"/>
      <c r="G760" s="4" t="n"/>
      <c r="H760" s="4" t="n"/>
      <c r="I760" s="4" t="n"/>
    </row>
    <row r="761" ht="15.75" customHeight="1" s="108">
      <c r="A761" s="4" t="n"/>
      <c r="B761" s="4" t="n"/>
      <c r="C761" s="4" t="n"/>
      <c r="D761" s="4" t="n"/>
      <c r="E761" s="4" t="n"/>
      <c r="F761" s="4" t="n"/>
      <c r="G761" s="4" t="n"/>
      <c r="H761" s="4" t="n"/>
      <c r="I761" s="4" t="n"/>
    </row>
    <row r="762" ht="15.75" customHeight="1" s="108">
      <c r="A762" s="4" t="n"/>
      <c r="B762" s="4" t="n"/>
      <c r="C762" s="4" t="n"/>
      <c r="D762" s="4" t="n"/>
      <c r="E762" s="4" t="n"/>
      <c r="F762" s="4" t="n"/>
      <c r="G762" s="4" t="n"/>
      <c r="H762" s="4" t="n"/>
      <c r="I762" s="4" t="n"/>
    </row>
    <row r="763" ht="15.75" customHeight="1" s="108">
      <c r="A763" s="4" t="n"/>
      <c r="B763" s="4" t="n"/>
      <c r="C763" s="4" t="n"/>
      <c r="D763" s="4" t="n"/>
      <c r="E763" s="4" t="n"/>
      <c r="F763" s="4" t="n"/>
      <c r="G763" s="4" t="n"/>
      <c r="H763" s="4" t="n"/>
      <c r="I763" s="4" t="n"/>
    </row>
    <row r="764" ht="15.75" customHeight="1" s="108">
      <c r="A764" s="4" t="n"/>
      <c r="B764" s="4" t="n"/>
      <c r="C764" s="4" t="n"/>
      <c r="D764" s="4" t="n"/>
      <c r="E764" s="4" t="n"/>
      <c r="F764" s="4" t="n"/>
      <c r="G764" s="4" t="n"/>
      <c r="H764" s="4" t="n"/>
      <c r="I764" s="4" t="n"/>
    </row>
    <row r="765" ht="15.75" customHeight="1" s="108">
      <c r="A765" s="4" t="n"/>
      <c r="B765" s="4" t="n"/>
      <c r="C765" s="4" t="n"/>
      <c r="D765" s="4" t="n"/>
      <c r="E765" s="4" t="n"/>
      <c r="F765" s="4" t="n"/>
      <c r="G765" s="4" t="n"/>
      <c r="H765" s="4" t="n"/>
      <c r="I765" s="4" t="n"/>
    </row>
    <row r="766" ht="15.75" customHeight="1" s="108">
      <c r="A766" s="4" t="n"/>
      <c r="B766" s="4" t="n"/>
      <c r="C766" s="4" t="n"/>
      <c r="D766" s="4" t="n"/>
      <c r="E766" s="4" t="n"/>
      <c r="F766" s="4" t="n"/>
      <c r="G766" s="4" t="n"/>
      <c r="H766" s="4" t="n"/>
      <c r="I766" s="4" t="n"/>
    </row>
    <row r="767" ht="15.75" customHeight="1" s="108">
      <c r="A767" s="4" t="n"/>
      <c r="B767" s="4" t="n"/>
      <c r="C767" s="4" t="n"/>
      <c r="D767" s="4" t="n"/>
      <c r="E767" s="4" t="n"/>
      <c r="F767" s="4" t="n"/>
      <c r="G767" s="4" t="n"/>
      <c r="H767" s="4" t="n"/>
      <c r="I767" s="4" t="n"/>
    </row>
    <row r="768" ht="15.75" customHeight="1" s="108">
      <c r="A768" s="4" t="n"/>
      <c r="B768" s="4" t="n"/>
      <c r="C768" s="4" t="n"/>
      <c r="D768" s="4" t="n"/>
      <c r="E768" s="4" t="n"/>
      <c r="F768" s="4" t="n"/>
      <c r="G768" s="4" t="n"/>
      <c r="H768" s="4" t="n"/>
      <c r="I768" s="4" t="n"/>
    </row>
    <row r="769" ht="15.75" customHeight="1" s="108">
      <c r="A769" s="4" t="n"/>
      <c r="B769" s="4" t="n"/>
      <c r="C769" s="4" t="n"/>
      <c r="D769" s="4" t="n"/>
      <c r="E769" s="4" t="n"/>
      <c r="F769" s="4" t="n"/>
      <c r="G769" s="4" t="n"/>
      <c r="H769" s="4" t="n"/>
      <c r="I769" s="4" t="n"/>
    </row>
    <row r="770" ht="15.75" customHeight="1" s="108">
      <c r="A770" s="4" t="n"/>
      <c r="B770" s="4" t="n"/>
      <c r="C770" s="4" t="n"/>
      <c r="D770" s="4" t="n"/>
      <c r="E770" s="4" t="n"/>
      <c r="F770" s="4" t="n"/>
      <c r="G770" s="4" t="n"/>
      <c r="H770" s="4" t="n"/>
      <c r="I770" s="4" t="n"/>
    </row>
    <row r="771" ht="15.75" customHeight="1" s="108">
      <c r="A771" s="4" t="n"/>
      <c r="B771" s="4" t="n"/>
      <c r="C771" s="4" t="n"/>
      <c r="D771" s="4" t="n"/>
      <c r="E771" s="4" t="n"/>
      <c r="F771" s="4" t="n"/>
      <c r="G771" s="4" t="n"/>
      <c r="H771" s="4" t="n"/>
      <c r="I771" s="4" t="n"/>
    </row>
    <row r="772" ht="15.75" customHeight="1" s="108">
      <c r="A772" s="4" t="n"/>
      <c r="B772" s="4" t="n"/>
      <c r="C772" s="4" t="n"/>
      <c r="D772" s="4" t="n"/>
      <c r="E772" s="4" t="n"/>
      <c r="F772" s="4" t="n"/>
      <c r="G772" s="4" t="n"/>
      <c r="H772" s="4" t="n"/>
      <c r="I772" s="4" t="n"/>
    </row>
    <row r="773" ht="15.75" customHeight="1" s="108">
      <c r="A773" s="4" t="n"/>
      <c r="B773" s="4" t="n"/>
      <c r="C773" s="4" t="n"/>
      <c r="D773" s="4" t="n"/>
      <c r="E773" s="4" t="n"/>
      <c r="F773" s="4" t="n"/>
      <c r="G773" s="4" t="n"/>
      <c r="H773" s="4" t="n"/>
      <c r="I773" s="4" t="n"/>
    </row>
    <row r="774" ht="15.75" customHeight="1" s="108">
      <c r="A774" s="4" t="n"/>
      <c r="B774" s="4" t="n"/>
      <c r="C774" s="4" t="n"/>
      <c r="D774" s="4" t="n"/>
      <c r="E774" s="4" t="n"/>
      <c r="F774" s="4" t="n"/>
      <c r="G774" s="4" t="n"/>
      <c r="H774" s="4" t="n"/>
      <c r="I774" s="4" t="n"/>
    </row>
    <row r="775" ht="15.75" customHeight="1" s="108">
      <c r="A775" s="4" t="n"/>
      <c r="B775" s="4" t="n"/>
      <c r="C775" s="4" t="n"/>
      <c r="D775" s="4" t="n"/>
      <c r="E775" s="4" t="n"/>
      <c r="F775" s="4" t="n"/>
      <c r="G775" s="4" t="n"/>
      <c r="H775" s="4" t="n"/>
      <c r="I775" s="4" t="n"/>
    </row>
    <row r="776" ht="15.75" customHeight="1" s="108">
      <c r="A776" s="4" t="n"/>
      <c r="B776" s="4" t="n"/>
      <c r="C776" s="4" t="n"/>
      <c r="D776" s="4" t="n"/>
      <c r="E776" s="4" t="n"/>
      <c r="F776" s="4" t="n"/>
      <c r="G776" s="4" t="n"/>
      <c r="H776" s="4" t="n"/>
      <c r="I776" s="4" t="n"/>
    </row>
    <row r="777" ht="15.75" customHeight="1" s="108">
      <c r="A777" s="4" t="n"/>
      <c r="B777" s="4" t="n"/>
      <c r="C777" s="4" t="n"/>
      <c r="D777" s="4" t="n"/>
      <c r="E777" s="4" t="n"/>
      <c r="F777" s="4" t="n"/>
      <c r="G777" s="4" t="n"/>
      <c r="H777" s="4" t="n"/>
      <c r="I777" s="4" t="n"/>
    </row>
    <row r="778" ht="15.75" customHeight="1" s="108">
      <c r="A778" s="4" t="n"/>
      <c r="B778" s="4" t="n"/>
      <c r="C778" s="4" t="n"/>
      <c r="D778" s="4" t="n"/>
      <c r="E778" s="4" t="n"/>
      <c r="F778" s="4" t="n"/>
      <c r="G778" s="4" t="n"/>
      <c r="H778" s="4" t="n"/>
      <c r="I778" s="4" t="n"/>
    </row>
    <row r="779" ht="15.75" customHeight="1" s="108">
      <c r="A779" s="4" t="n"/>
      <c r="B779" s="4" t="n"/>
      <c r="C779" s="4" t="n"/>
      <c r="D779" s="4" t="n"/>
      <c r="E779" s="4" t="n"/>
      <c r="F779" s="4" t="n"/>
      <c r="G779" s="4" t="n"/>
      <c r="H779" s="4" t="n"/>
      <c r="I779" s="4" t="n"/>
    </row>
    <row r="780" ht="15.75" customHeight="1" s="108">
      <c r="A780" s="4" t="n"/>
      <c r="B780" s="4" t="n"/>
      <c r="C780" s="4" t="n"/>
      <c r="D780" s="4" t="n"/>
      <c r="E780" s="4" t="n"/>
      <c r="F780" s="4" t="n"/>
      <c r="G780" s="4" t="n"/>
      <c r="H780" s="4" t="n"/>
      <c r="I780" s="4" t="n"/>
    </row>
    <row r="781" ht="15.75" customHeight="1" s="108">
      <c r="A781" s="4" t="n"/>
      <c r="B781" s="4" t="n"/>
      <c r="C781" s="4" t="n"/>
      <c r="D781" s="4" t="n"/>
      <c r="E781" s="4" t="n"/>
      <c r="F781" s="4" t="n"/>
      <c r="G781" s="4" t="n"/>
      <c r="H781" s="4" t="n"/>
      <c r="I781" s="4" t="n"/>
    </row>
    <row r="782" ht="15.75" customHeight="1" s="108">
      <c r="A782" s="4" t="n"/>
      <c r="B782" s="4" t="n"/>
      <c r="C782" s="4" t="n"/>
      <c r="D782" s="4" t="n"/>
      <c r="E782" s="4" t="n"/>
      <c r="F782" s="4" t="n"/>
      <c r="G782" s="4" t="n"/>
      <c r="H782" s="4" t="n"/>
      <c r="I782" s="4" t="n"/>
    </row>
    <row r="783" ht="15.75" customHeight="1" s="108">
      <c r="A783" s="4" t="n"/>
      <c r="B783" s="4" t="n"/>
      <c r="C783" s="4" t="n"/>
      <c r="D783" s="4" t="n"/>
      <c r="E783" s="4" t="n"/>
      <c r="F783" s="4" t="n"/>
      <c r="G783" s="4" t="n"/>
      <c r="H783" s="4" t="n"/>
      <c r="I783" s="4" t="n"/>
    </row>
    <row r="784" ht="15.75" customHeight="1" s="108">
      <c r="A784" s="4" t="n"/>
      <c r="B784" s="4" t="n"/>
      <c r="C784" s="4" t="n"/>
      <c r="D784" s="4" t="n"/>
      <c r="E784" s="4" t="n"/>
      <c r="F784" s="4" t="n"/>
      <c r="G784" s="4" t="n"/>
      <c r="H784" s="4" t="n"/>
      <c r="I784" s="4" t="n"/>
    </row>
    <row r="785" ht="15.75" customHeight="1" s="108">
      <c r="A785" s="4" t="n"/>
      <c r="B785" s="4" t="n"/>
      <c r="C785" s="4" t="n"/>
      <c r="D785" s="4" t="n"/>
      <c r="E785" s="4" t="n"/>
      <c r="F785" s="4" t="n"/>
      <c r="G785" s="4" t="n"/>
      <c r="H785" s="4" t="n"/>
      <c r="I785" s="4" t="n"/>
    </row>
    <row r="786" ht="15.75" customHeight="1" s="108">
      <c r="A786" s="4" t="n"/>
      <c r="B786" s="4" t="n"/>
      <c r="C786" s="4" t="n"/>
      <c r="D786" s="4" t="n"/>
      <c r="E786" s="4" t="n"/>
      <c r="F786" s="4" t="n"/>
      <c r="G786" s="4" t="n"/>
      <c r="H786" s="4" t="n"/>
      <c r="I786" s="4" t="n"/>
    </row>
    <row r="787" ht="15.75" customHeight="1" s="108">
      <c r="A787" s="4" t="n"/>
      <c r="B787" s="4" t="n"/>
      <c r="C787" s="4" t="n"/>
      <c r="D787" s="4" t="n"/>
      <c r="E787" s="4" t="n"/>
      <c r="F787" s="4" t="n"/>
      <c r="G787" s="4" t="n"/>
      <c r="H787" s="4" t="n"/>
      <c r="I787" s="4" t="n"/>
    </row>
    <row r="788" ht="15.75" customHeight="1" s="108">
      <c r="A788" s="4" t="n"/>
      <c r="B788" s="4" t="n"/>
      <c r="C788" s="4" t="n"/>
      <c r="D788" s="4" t="n"/>
      <c r="E788" s="4" t="n"/>
      <c r="F788" s="4" t="n"/>
      <c r="G788" s="4" t="n"/>
      <c r="H788" s="4" t="n"/>
      <c r="I788" s="4" t="n"/>
    </row>
    <row r="789" ht="15.75" customHeight="1" s="108">
      <c r="A789" s="4" t="n"/>
      <c r="B789" s="4" t="n"/>
      <c r="C789" s="4" t="n"/>
      <c r="D789" s="4" t="n"/>
      <c r="E789" s="4" t="n"/>
      <c r="F789" s="4" t="n"/>
      <c r="G789" s="4" t="n"/>
      <c r="H789" s="4" t="n"/>
      <c r="I789" s="4" t="n"/>
    </row>
    <row r="790" ht="15.75" customHeight="1" s="108">
      <c r="A790" s="4" t="n"/>
      <c r="B790" s="4" t="n"/>
      <c r="C790" s="4" t="n"/>
      <c r="D790" s="4" t="n"/>
      <c r="E790" s="4" t="n"/>
      <c r="F790" s="4" t="n"/>
      <c r="G790" s="4" t="n"/>
      <c r="H790" s="4" t="n"/>
      <c r="I790" s="4" t="n"/>
    </row>
    <row r="791" ht="15.75" customHeight="1" s="108">
      <c r="A791" s="4" t="n"/>
      <c r="B791" s="4" t="n"/>
      <c r="C791" s="4" t="n"/>
      <c r="D791" s="4" t="n"/>
      <c r="E791" s="4" t="n"/>
      <c r="F791" s="4" t="n"/>
      <c r="G791" s="4" t="n"/>
      <c r="H791" s="4" t="n"/>
      <c r="I791" s="4" t="n"/>
    </row>
    <row r="792" ht="15.75" customHeight="1" s="108">
      <c r="A792" s="4" t="n"/>
      <c r="B792" s="4" t="n"/>
      <c r="C792" s="4" t="n"/>
      <c r="D792" s="4" t="n"/>
      <c r="E792" s="4" t="n"/>
      <c r="F792" s="4" t="n"/>
      <c r="G792" s="4" t="n"/>
      <c r="H792" s="4" t="n"/>
      <c r="I792" s="4" t="n"/>
    </row>
    <row r="793" ht="15.75" customHeight="1" s="108">
      <c r="A793" s="4" t="n"/>
      <c r="B793" s="4" t="n"/>
      <c r="C793" s="4" t="n"/>
      <c r="D793" s="4" t="n"/>
      <c r="E793" s="4" t="n"/>
      <c r="F793" s="4" t="n"/>
      <c r="G793" s="4" t="n"/>
      <c r="H793" s="4" t="n"/>
      <c r="I793" s="4" t="n"/>
    </row>
    <row r="794" ht="15.75" customHeight="1" s="108">
      <c r="A794" s="4" t="n"/>
      <c r="B794" s="4" t="n"/>
      <c r="C794" s="4" t="n"/>
      <c r="D794" s="4" t="n"/>
      <c r="E794" s="4" t="n"/>
      <c r="F794" s="4" t="n"/>
      <c r="G794" s="4" t="n"/>
      <c r="H794" s="4" t="n"/>
      <c r="I794" s="4" t="n"/>
    </row>
    <row r="795" ht="15.75" customHeight="1" s="108">
      <c r="A795" s="4" t="n"/>
      <c r="B795" s="4" t="n"/>
      <c r="C795" s="4" t="n"/>
      <c r="D795" s="4" t="n"/>
      <c r="E795" s="4" t="n"/>
      <c r="F795" s="4" t="n"/>
      <c r="G795" s="4" t="n"/>
      <c r="H795" s="4" t="n"/>
      <c r="I795" s="4" t="n"/>
    </row>
    <row r="796" ht="15.75" customHeight="1" s="108">
      <c r="A796" s="4" t="n"/>
      <c r="B796" s="4" t="n"/>
      <c r="C796" s="4" t="n"/>
      <c r="D796" s="4" t="n"/>
      <c r="E796" s="4" t="n"/>
      <c r="F796" s="4" t="n"/>
      <c r="G796" s="4" t="n"/>
      <c r="H796" s="4" t="n"/>
      <c r="I796" s="4" t="n"/>
    </row>
    <row r="797" ht="15.75" customHeight="1" s="108">
      <c r="A797" s="4" t="n"/>
      <c r="B797" s="4" t="n"/>
      <c r="C797" s="4" t="n"/>
      <c r="D797" s="4" t="n"/>
      <c r="E797" s="4" t="n"/>
      <c r="F797" s="4" t="n"/>
      <c r="G797" s="4" t="n"/>
      <c r="H797" s="4" t="n"/>
      <c r="I797" s="4" t="n"/>
    </row>
    <row r="798" ht="15.75" customHeight="1" s="108">
      <c r="A798" s="4" t="n"/>
      <c r="B798" s="4" t="n"/>
      <c r="C798" s="4" t="n"/>
      <c r="D798" s="4" t="n"/>
      <c r="E798" s="4" t="n"/>
      <c r="F798" s="4" t="n"/>
      <c r="G798" s="4" t="n"/>
      <c r="H798" s="4" t="n"/>
      <c r="I798" s="4" t="n"/>
    </row>
    <row r="799" ht="15.75" customHeight="1" s="108">
      <c r="A799" s="4" t="n"/>
      <c r="B799" s="4" t="n"/>
      <c r="C799" s="4" t="n"/>
      <c r="D799" s="4" t="n"/>
      <c r="E799" s="4" t="n"/>
      <c r="F799" s="4" t="n"/>
      <c r="G799" s="4" t="n"/>
      <c r="H799" s="4" t="n"/>
      <c r="I799" s="4" t="n"/>
    </row>
    <row r="800" ht="15.75" customHeight="1" s="108">
      <c r="A800" s="4" t="n"/>
      <c r="B800" s="4" t="n"/>
      <c r="C800" s="4" t="n"/>
      <c r="D800" s="4" t="n"/>
      <c r="E800" s="4" t="n"/>
      <c r="F800" s="4" t="n"/>
      <c r="G800" s="4" t="n"/>
      <c r="H800" s="4" t="n"/>
      <c r="I800" s="4" t="n"/>
    </row>
    <row r="801" ht="15.75" customHeight="1" s="108">
      <c r="A801" s="4" t="n"/>
      <c r="B801" s="4" t="n"/>
      <c r="C801" s="4" t="n"/>
      <c r="D801" s="4" t="n"/>
      <c r="E801" s="4" t="n"/>
      <c r="F801" s="4" t="n"/>
      <c r="G801" s="4" t="n"/>
      <c r="H801" s="4" t="n"/>
      <c r="I801" s="4" t="n"/>
    </row>
    <row r="802" ht="15.75" customHeight="1" s="108">
      <c r="A802" s="4" t="n"/>
      <c r="B802" s="4" t="n"/>
      <c r="C802" s="4" t="n"/>
      <c r="D802" s="4" t="n"/>
      <c r="E802" s="4" t="n"/>
      <c r="F802" s="4" t="n"/>
      <c r="G802" s="4" t="n"/>
      <c r="H802" s="4" t="n"/>
      <c r="I802" s="4" t="n"/>
    </row>
    <row r="803" ht="15.75" customHeight="1" s="108">
      <c r="A803" s="4" t="n"/>
      <c r="B803" s="4" t="n"/>
      <c r="C803" s="4" t="n"/>
      <c r="D803" s="4" t="n"/>
      <c r="E803" s="4" t="n"/>
      <c r="F803" s="4" t="n"/>
      <c r="G803" s="4" t="n"/>
      <c r="H803" s="4" t="n"/>
      <c r="I803" s="4" t="n"/>
    </row>
    <row r="804" ht="15.75" customHeight="1" s="108">
      <c r="A804" s="4" t="n"/>
      <c r="B804" s="4" t="n"/>
      <c r="C804" s="4" t="n"/>
      <c r="D804" s="4" t="n"/>
      <c r="E804" s="4" t="n"/>
      <c r="F804" s="4" t="n"/>
      <c r="G804" s="4" t="n"/>
      <c r="H804" s="4" t="n"/>
      <c r="I804" s="4" t="n"/>
    </row>
    <row r="805" ht="15.75" customHeight="1" s="108">
      <c r="A805" s="4" t="n"/>
      <c r="B805" s="4" t="n"/>
      <c r="C805" s="4" t="n"/>
      <c r="D805" s="4" t="n"/>
      <c r="E805" s="4" t="n"/>
      <c r="F805" s="4" t="n"/>
      <c r="G805" s="4" t="n"/>
      <c r="H805" s="4" t="n"/>
      <c r="I805" s="4" t="n"/>
    </row>
    <row r="806" ht="15.75" customHeight="1" s="108">
      <c r="A806" s="4" t="n"/>
      <c r="B806" s="4" t="n"/>
      <c r="C806" s="4" t="n"/>
      <c r="D806" s="4" t="n"/>
      <c r="E806" s="4" t="n"/>
      <c r="F806" s="4" t="n"/>
      <c r="G806" s="4" t="n"/>
      <c r="H806" s="4" t="n"/>
      <c r="I806" s="4" t="n"/>
    </row>
    <row r="807" ht="15.75" customHeight="1" s="108">
      <c r="A807" s="4" t="n"/>
      <c r="B807" s="4" t="n"/>
      <c r="C807" s="4" t="n"/>
      <c r="D807" s="4" t="n"/>
      <c r="E807" s="4" t="n"/>
      <c r="F807" s="4" t="n"/>
      <c r="G807" s="4" t="n"/>
      <c r="H807" s="4" t="n"/>
      <c r="I807" s="4" t="n"/>
    </row>
    <row r="808" ht="15.75" customHeight="1" s="108">
      <c r="A808" s="4" t="n"/>
      <c r="B808" s="4" t="n"/>
      <c r="C808" s="4" t="n"/>
      <c r="D808" s="4" t="n"/>
      <c r="E808" s="4" t="n"/>
      <c r="F808" s="4" t="n"/>
      <c r="G808" s="4" t="n"/>
      <c r="H808" s="4" t="n"/>
      <c r="I808" s="4" t="n"/>
    </row>
    <row r="809" ht="15.75" customHeight="1" s="108">
      <c r="A809" s="4" t="n"/>
      <c r="B809" s="4" t="n"/>
      <c r="C809" s="4" t="n"/>
      <c r="D809" s="4" t="n"/>
      <c r="E809" s="4" t="n"/>
      <c r="F809" s="4" t="n"/>
      <c r="G809" s="4" t="n"/>
      <c r="H809" s="4" t="n"/>
      <c r="I809" s="4" t="n"/>
    </row>
    <row r="810" ht="15.75" customHeight="1" s="108">
      <c r="A810" s="4" t="n"/>
      <c r="B810" s="4" t="n"/>
      <c r="C810" s="4" t="n"/>
      <c r="D810" s="4" t="n"/>
      <c r="E810" s="4" t="n"/>
      <c r="F810" s="4" t="n"/>
      <c r="G810" s="4" t="n"/>
      <c r="H810" s="4" t="n"/>
      <c r="I810" s="4" t="n"/>
    </row>
    <row r="811" ht="15.75" customHeight="1" s="108">
      <c r="A811" s="4" t="n"/>
      <c r="B811" s="4" t="n"/>
      <c r="C811" s="4" t="n"/>
      <c r="D811" s="4" t="n"/>
      <c r="E811" s="4" t="n"/>
      <c r="F811" s="4" t="n"/>
      <c r="G811" s="4" t="n"/>
      <c r="H811" s="4" t="n"/>
      <c r="I811" s="4" t="n"/>
    </row>
    <row r="812" ht="15.75" customHeight="1" s="108">
      <c r="A812" s="4" t="n"/>
      <c r="B812" s="4" t="n"/>
      <c r="C812" s="4" t="n"/>
      <c r="D812" s="4" t="n"/>
      <c r="E812" s="4" t="n"/>
      <c r="F812" s="4" t="n"/>
      <c r="G812" s="4" t="n"/>
      <c r="H812" s="4" t="n"/>
      <c r="I812" s="4" t="n"/>
    </row>
    <row r="813" ht="15.75" customHeight="1" s="108">
      <c r="A813" s="4" t="n"/>
      <c r="B813" s="4" t="n"/>
      <c r="C813" s="4" t="n"/>
      <c r="D813" s="4" t="n"/>
      <c r="E813" s="4" t="n"/>
      <c r="F813" s="4" t="n"/>
      <c r="G813" s="4" t="n"/>
      <c r="H813" s="4" t="n"/>
      <c r="I813" s="4" t="n"/>
    </row>
    <row r="814" ht="15.75" customHeight="1" s="108">
      <c r="A814" s="4" t="n"/>
      <c r="B814" s="4" t="n"/>
      <c r="C814" s="4" t="n"/>
      <c r="D814" s="4" t="n"/>
      <c r="E814" s="4" t="n"/>
      <c r="F814" s="4" t="n"/>
      <c r="G814" s="4" t="n"/>
      <c r="H814" s="4" t="n"/>
      <c r="I814" s="4" t="n"/>
    </row>
    <row r="815" ht="15.75" customHeight="1" s="108">
      <c r="A815" s="4" t="n"/>
      <c r="B815" s="4" t="n"/>
      <c r="C815" s="4" t="n"/>
      <c r="D815" s="4" t="n"/>
      <c r="E815" s="4" t="n"/>
      <c r="F815" s="4" t="n"/>
      <c r="G815" s="4" t="n"/>
      <c r="H815" s="4" t="n"/>
      <c r="I815" s="4" t="n"/>
    </row>
    <row r="816" ht="15.75" customHeight="1" s="108">
      <c r="A816" s="4" t="n"/>
      <c r="B816" s="4" t="n"/>
      <c r="C816" s="4" t="n"/>
      <c r="D816" s="4" t="n"/>
      <c r="E816" s="4" t="n"/>
      <c r="F816" s="4" t="n"/>
      <c r="G816" s="4" t="n"/>
      <c r="H816" s="4" t="n"/>
      <c r="I816" s="4" t="n"/>
    </row>
    <row r="817" ht="15.75" customHeight="1" s="108">
      <c r="A817" s="4" t="n"/>
      <c r="B817" s="4" t="n"/>
      <c r="C817" s="4" t="n"/>
      <c r="D817" s="4" t="n"/>
      <c r="E817" s="4" t="n"/>
      <c r="F817" s="4" t="n"/>
      <c r="G817" s="4" t="n"/>
      <c r="H817" s="4" t="n"/>
      <c r="I817" s="4" t="n"/>
    </row>
    <row r="818" ht="15.75" customHeight="1" s="108">
      <c r="A818" s="4" t="n"/>
      <c r="B818" s="4" t="n"/>
      <c r="C818" s="4" t="n"/>
      <c r="D818" s="4" t="n"/>
      <c r="E818" s="4" t="n"/>
      <c r="F818" s="4" t="n"/>
      <c r="G818" s="4" t="n"/>
      <c r="H818" s="4" t="n"/>
      <c r="I818" s="4" t="n"/>
    </row>
    <row r="819" ht="15.75" customHeight="1" s="108">
      <c r="A819" s="4" t="n"/>
      <c r="B819" s="4" t="n"/>
      <c r="C819" s="4" t="n"/>
      <c r="D819" s="4" t="n"/>
      <c r="E819" s="4" t="n"/>
      <c r="F819" s="4" t="n"/>
      <c r="G819" s="4" t="n"/>
      <c r="H819" s="4" t="n"/>
      <c r="I819" s="4" t="n"/>
    </row>
    <row r="820" ht="15.75" customHeight="1" s="108">
      <c r="A820" s="4" t="n"/>
      <c r="B820" s="4" t="n"/>
      <c r="C820" s="4" t="n"/>
      <c r="D820" s="4" t="n"/>
      <c r="E820" s="4" t="n"/>
      <c r="F820" s="4" t="n"/>
      <c r="G820" s="4" t="n"/>
      <c r="H820" s="4" t="n"/>
      <c r="I820" s="4" t="n"/>
    </row>
    <row r="821" ht="15.75" customHeight="1" s="108">
      <c r="A821" s="4" t="n"/>
      <c r="B821" s="4" t="n"/>
      <c r="C821" s="4" t="n"/>
      <c r="D821" s="4" t="n"/>
      <c r="E821" s="4" t="n"/>
      <c r="F821" s="4" t="n"/>
      <c r="G821" s="4" t="n"/>
      <c r="H821" s="4" t="n"/>
      <c r="I821" s="4" t="n"/>
    </row>
    <row r="822" ht="15.75" customHeight="1" s="108">
      <c r="A822" s="4" t="n"/>
      <c r="B822" s="4" t="n"/>
      <c r="C822" s="4" t="n"/>
      <c r="D822" s="4" t="n"/>
      <c r="E822" s="4" t="n"/>
      <c r="F822" s="4" t="n"/>
      <c r="G822" s="4" t="n"/>
      <c r="H822" s="4" t="n"/>
      <c r="I822" s="4" t="n"/>
    </row>
    <row r="823" ht="15.75" customHeight="1" s="108">
      <c r="A823" s="4" t="n"/>
      <c r="B823" s="4" t="n"/>
      <c r="C823" s="4" t="n"/>
      <c r="D823" s="4" t="n"/>
      <c r="E823" s="4" t="n"/>
      <c r="F823" s="4" t="n"/>
      <c r="G823" s="4" t="n"/>
      <c r="H823" s="4" t="n"/>
      <c r="I823" s="4" t="n"/>
    </row>
    <row r="824" ht="15.75" customHeight="1" s="108">
      <c r="A824" s="4" t="n"/>
      <c r="B824" s="4" t="n"/>
      <c r="C824" s="4" t="n"/>
      <c r="D824" s="4" t="n"/>
      <c r="E824" s="4" t="n"/>
      <c r="F824" s="4" t="n"/>
      <c r="G824" s="4" t="n"/>
      <c r="H824" s="4" t="n"/>
      <c r="I824" s="4" t="n"/>
    </row>
    <row r="825" ht="15.75" customHeight="1" s="108">
      <c r="A825" s="4" t="n"/>
      <c r="B825" s="4" t="n"/>
      <c r="C825" s="4" t="n"/>
      <c r="D825" s="4" t="n"/>
      <c r="E825" s="4" t="n"/>
      <c r="F825" s="4" t="n"/>
      <c r="G825" s="4" t="n"/>
      <c r="H825" s="4" t="n"/>
      <c r="I825" s="4" t="n"/>
    </row>
    <row r="826" ht="15.75" customHeight="1" s="108">
      <c r="A826" s="4" t="n"/>
      <c r="B826" s="4" t="n"/>
      <c r="C826" s="4" t="n"/>
      <c r="D826" s="4" t="n"/>
      <c r="E826" s="4" t="n"/>
      <c r="F826" s="4" t="n"/>
      <c r="G826" s="4" t="n"/>
      <c r="H826" s="4" t="n"/>
      <c r="I826" s="4" t="n"/>
    </row>
    <row r="827" ht="15.75" customHeight="1" s="108">
      <c r="A827" s="4" t="n"/>
      <c r="B827" s="4" t="n"/>
      <c r="C827" s="4" t="n"/>
      <c r="D827" s="4" t="n"/>
      <c r="E827" s="4" t="n"/>
      <c r="F827" s="4" t="n"/>
      <c r="G827" s="4" t="n"/>
      <c r="H827" s="4" t="n"/>
      <c r="I827" s="4" t="n"/>
    </row>
    <row r="828" ht="15.75" customHeight="1" s="108">
      <c r="A828" s="4" t="n"/>
      <c r="B828" s="4" t="n"/>
      <c r="C828" s="4" t="n"/>
      <c r="D828" s="4" t="n"/>
      <c r="E828" s="4" t="n"/>
      <c r="F828" s="4" t="n"/>
      <c r="G828" s="4" t="n"/>
      <c r="H828" s="4" t="n"/>
      <c r="I828" s="4" t="n"/>
    </row>
    <row r="829" ht="15.75" customHeight="1" s="108">
      <c r="A829" s="4" t="n"/>
      <c r="B829" s="4" t="n"/>
      <c r="C829" s="4" t="n"/>
      <c r="D829" s="4" t="n"/>
      <c r="E829" s="4" t="n"/>
      <c r="F829" s="4" t="n"/>
      <c r="G829" s="4" t="n"/>
      <c r="H829" s="4" t="n"/>
      <c r="I829" s="4" t="n"/>
    </row>
    <row r="830" ht="15.75" customHeight="1" s="108">
      <c r="A830" s="4" t="n"/>
      <c r="B830" s="4" t="n"/>
      <c r="C830" s="4" t="n"/>
      <c r="D830" s="4" t="n"/>
      <c r="E830" s="4" t="n"/>
      <c r="F830" s="4" t="n"/>
      <c r="G830" s="4" t="n"/>
      <c r="H830" s="4" t="n"/>
      <c r="I830" s="4" t="n"/>
    </row>
    <row r="831" ht="15.75" customHeight="1" s="108">
      <c r="A831" s="4" t="n"/>
      <c r="B831" s="4" t="n"/>
      <c r="C831" s="4" t="n"/>
      <c r="D831" s="4" t="n"/>
      <c r="E831" s="4" t="n"/>
      <c r="F831" s="4" t="n"/>
      <c r="G831" s="4" t="n"/>
      <c r="H831" s="4" t="n"/>
      <c r="I831" s="4" t="n"/>
    </row>
    <row r="832" ht="15.75" customHeight="1" s="108">
      <c r="A832" s="4" t="n"/>
      <c r="B832" s="4" t="n"/>
      <c r="C832" s="4" t="n"/>
      <c r="D832" s="4" t="n"/>
      <c r="E832" s="4" t="n"/>
      <c r="F832" s="4" t="n"/>
      <c r="G832" s="4" t="n"/>
      <c r="H832" s="4" t="n"/>
      <c r="I832" s="4" t="n"/>
    </row>
    <row r="833" ht="15.75" customHeight="1" s="108">
      <c r="A833" s="4" t="n"/>
      <c r="B833" s="4" t="n"/>
      <c r="C833" s="4" t="n"/>
      <c r="D833" s="4" t="n"/>
      <c r="E833" s="4" t="n"/>
      <c r="F833" s="4" t="n"/>
      <c r="G833" s="4" t="n"/>
      <c r="H833" s="4" t="n"/>
      <c r="I833" s="4" t="n"/>
    </row>
    <row r="834" ht="15.75" customHeight="1" s="108">
      <c r="A834" s="4" t="n"/>
      <c r="B834" s="4" t="n"/>
      <c r="C834" s="4" t="n"/>
      <c r="D834" s="4" t="n"/>
      <c r="E834" s="4" t="n"/>
      <c r="F834" s="4" t="n"/>
      <c r="G834" s="4" t="n"/>
      <c r="H834" s="4" t="n"/>
      <c r="I834" s="4" t="n"/>
    </row>
    <row r="835" ht="15.75" customHeight="1" s="108">
      <c r="A835" s="4" t="n"/>
      <c r="B835" s="4" t="n"/>
      <c r="C835" s="4" t="n"/>
      <c r="D835" s="4" t="n"/>
      <c r="E835" s="4" t="n"/>
      <c r="F835" s="4" t="n"/>
      <c r="G835" s="4" t="n"/>
      <c r="H835" s="4" t="n"/>
      <c r="I835" s="4" t="n"/>
    </row>
    <row r="836" ht="15.75" customHeight="1" s="108">
      <c r="A836" s="4" t="n"/>
      <c r="B836" s="4" t="n"/>
      <c r="C836" s="4" t="n"/>
      <c r="D836" s="4" t="n"/>
      <c r="E836" s="4" t="n"/>
      <c r="F836" s="4" t="n"/>
      <c r="G836" s="4" t="n"/>
      <c r="H836" s="4" t="n"/>
      <c r="I836" s="4" t="n"/>
    </row>
    <row r="837" ht="15.75" customHeight="1" s="108">
      <c r="A837" s="4" t="n"/>
      <c r="B837" s="4" t="n"/>
      <c r="C837" s="4" t="n"/>
      <c r="D837" s="4" t="n"/>
      <c r="E837" s="4" t="n"/>
      <c r="F837" s="4" t="n"/>
      <c r="G837" s="4" t="n"/>
      <c r="H837" s="4" t="n"/>
      <c r="I837" s="4" t="n"/>
    </row>
    <row r="838" ht="15.75" customHeight="1" s="108">
      <c r="A838" s="4" t="n"/>
      <c r="B838" s="4" t="n"/>
      <c r="C838" s="4" t="n"/>
      <c r="D838" s="4" t="n"/>
      <c r="E838" s="4" t="n"/>
      <c r="F838" s="4" t="n"/>
      <c r="G838" s="4" t="n"/>
      <c r="H838" s="4" t="n"/>
      <c r="I838" s="4" t="n"/>
    </row>
    <row r="839" ht="15.75" customHeight="1" s="108">
      <c r="A839" s="4" t="n"/>
      <c r="B839" s="4" t="n"/>
      <c r="C839" s="4" t="n"/>
      <c r="D839" s="4" t="n"/>
      <c r="E839" s="4" t="n"/>
      <c r="F839" s="4" t="n"/>
      <c r="G839" s="4" t="n"/>
      <c r="H839" s="4" t="n"/>
      <c r="I839" s="4" t="n"/>
    </row>
    <row r="840" ht="15.75" customHeight="1" s="108">
      <c r="A840" s="4" t="n"/>
      <c r="B840" s="4" t="n"/>
      <c r="C840" s="4" t="n"/>
      <c r="D840" s="4" t="n"/>
      <c r="E840" s="4" t="n"/>
      <c r="F840" s="4" t="n"/>
      <c r="G840" s="4" t="n"/>
      <c r="H840" s="4" t="n"/>
      <c r="I840" s="4" t="n"/>
    </row>
    <row r="841" ht="15.75" customHeight="1" s="108">
      <c r="A841" s="4" t="n"/>
      <c r="B841" s="4" t="n"/>
      <c r="C841" s="4" t="n"/>
      <c r="D841" s="4" t="n"/>
      <c r="E841" s="4" t="n"/>
      <c r="F841" s="4" t="n"/>
      <c r="G841" s="4" t="n"/>
      <c r="H841" s="4" t="n"/>
      <c r="I841" s="4" t="n"/>
    </row>
    <row r="842" ht="15.75" customHeight="1" s="108">
      <c r="A842" s="4" t="n"/>
      <c r="B842" s="4" t="n"/>
      <c r="C842" s="4" t="n"/>
      <c r="D842" s="4" t="n"/>
      <c r="E842" s="4" t="n"/>
      <c r="F842" s="4" t="n"/>
      <c r="G842" s="4" t="n"/>
      <c r="H842" s="4" t="n"/>
      <c r="I842" s="4" t="n"/>
    </row>
    <row r="843" ht="15.75" customHeight="1" s="108">
      <c r="A843" s="4" t="n"/>
      <c r="B843" s="4" t="n"/>
      <c r="C843" s="4" t="n"/>
      <c r="D843" s="4" t="n"/>
      <c r="E843" s="4" t="n"/>
      <c r="F843" s="4" t="n"/>
      <c r="G843" s="4" t="n"/>
      <c r="H843" s="4" t="n"/>
      <c r="I843" s="4" t="n"/>
    </row>
    <row r="844" ht="15.75" customHeight="1" s="108">
      <c r="A844" s="4" t="n"/>
      <c r="B844" s="4" t="n"/>
      <c r="C844" s="4" t="n"/>
      <c r="D844" s="4" t="n"/>
      <c r="E844" s="4" t="n"/>
      <c r="F844" s="4" t="n"/>
      <c r="G844" s="4" t="n"/>
      <c r="H844" s="4" t="n"/>
      <c r="I844" s="4" t="n"/>
    </row>
    <row r="845" ht="15.75" customHeight="1" s="108">
      <c r="A845" s="4" t="n"/>
      <c r="B845" s="4" t="n"/>
      <c r="C845" s="4" t="n"/>
      <c r="D845" s="4" t="n"/>
      <c r="E845" s="4" t="n"/>
      <c r="F845" s="4" t="n"/>
      <c r="G845" s="4" t="n"/>
      <c r="H845" s="4" t="n"/>
      <c r="I845" s="4" t="n"/>
    </row>
    <row r="846" ht="15.75" customHeight="1" s="108">
      <c r="A846" s="4" t="n"/>
      <c r="B846" s="4" t="n"/>
      <c r="C846" s="4" t="n"/>
      <c r="D846" s="4" t="n"/>
      <c r="E846" s="4" t="n"/>
      <c r="F846" s="4" t="n"/>
      <c r="G846" s="4" t="n"/>
      <c r="H846" s="4" t="n"/>
      <c r="I846" s="4" t="n"/>
    </row>
    <row r="847" ht="15.75" customHeight="1" s="108">
      <c r="A847" s="4" t="n"/>
      <c r="B847" s="4" t="n"/>
      <c r="C847" s="4" t="n"/>
      <c r="D847" s="4" t="n"/>
      <c r="E847" s="4" t="n"/>
      <c r="F847" s="4" t="n"/>
      <c r="G847" s="4" t="n"/>
      <c r="H847" s="4" t="n"/>
      <c r="I847" s="4" t="n"/>
    </row>
    <row r="848" ht="15.75" customHeight="1" s="108">
      <c r="A848" s="4" t="n"/>
      <c r="B848" s="4" t="n"/>
      <c r="C848" s="4" t="n"/>
      <c r="D848" s="4" t="n"/>
      <c r="E848" s="4" t="n"/>
      <c r="F848" s="4" t="n"/>
      <c r="G848" s="4" t="n"/>
      <c r="H848" s="4" t="n"/>
      <c r="I848" s="4" t="n"/>
    </row>
    <row r="849" ht="15.75" customHeight="1" s="108">
      <c r="A849" s="4" t="n"/>
      <c r="B849" s="4" t="n"/>
      <c r="C849" s="4" t="n"/>
      <c r="D849" s="4" t="n"/>
      <c r="E849" s="4" t="n"/>
      <c r="F849" s="4" t="n"/>
      <c r="G849" s="4" t="n"/>
      <c r="H849" s="4" t="n"/>
      <c r="I849" s="4" t="n"/>
    </row>
    <row r="850" ht="15.75" customHeight="1" s="108">
      <c r="A850" s="4" t="n"/>
      <c r="B850" s="4" t="n"/>
      <c r="C850" s="4" t="n"/>
      <c r="D850" s="4" t="n"/>
      <c r="E850" s="4" t="n"/>
      <c r="F850" s="4" t="n"/>
      <c r="G850" s="4" t="n"/>
      <c r="H850" s="4" t="n"/>
      <c r="I850" s="4" t="n"/>
    </row>
    <row r="851" ht="15.75" customHeight="1" s="108">
      <c r="A851" s="4" t="n"/>
      <c r="B851" s="4" t="n"/>
      <c r="C851" s="4" t="n"/>
      <c r="D851" s="4" t="n"/>
      <c r="E851" s="4" t="n"/>
      <c r="F851" s="4" t="n"/>
      <c r="G851" s="4" t="n"/>
      <c r="H851" s="4" t="n"/>
      <c r="I851" s="4" t="n"/>
    </row>
    <row r="852" ht="15.75" customHeight="1" s="108">
      <c r="A852" s="4" t="n"/>
      <c r="B852" s="4" t="n"/>
      <c r="C852" s="4" t="n"/>
      <c r="D852" s="4" t="n"/>
      <c r="E852" s="4" t="n"/>
      <c r="F852" s="4" t="n"/>
      <c r="G852" s="4" t="n"/>
      <c r="H852" s="4" t="n"/>
      <c r="I852" s="4" t="n"/>
    </row>
    <row r="853" ht="15.75" customHeight="1" s="108">
      <c r="A853" s="4" t="n"/>
      <c r="B853" s="4" t="n"/>
      <c r="C853" s="4" t="n"/>
      <c r="D853" s="4" t="n"/>
      <c r="E853" s="4" t="n"/>
      <c r="F853" s="4" t="n"/>
      <c r="G853" s="4" t="n"/>
      <c r="H853" s="4" t="n"/>
      <c r="I853" s="4" t="n"/>
    </row>
    <row r="854" ht="15.75" customHeight="1" s="108">
      <c r="A854" s="4" t="n"/>
      <c r="B854" s="4" t="n"/>
      <c r="C854" s="4" t="n"/>
      <c r="D854" s="4" t="n"/>
      <c r="E854" s="4" t="n"/>
      <c r="F854" s="4" t="n"/>
      <c r="G854" s="4" t="n"/>
      <c r="H854" s="4" t="n"/>
      <c r="I854" s="4" t="n"/>
    </row>
    <row r="855" ht="15.75" customHeight="1" s="108">
      <c r="A855" s="4" t="n"/>
      <c r="B855" s="4" t="n"/>
      <c r="C855" s="4" t="n"/>
      <c r="D855" s="4" t="n"/>
      <c r="E855" s="4" t="n"/>
      <c r="F855" s="4" t="n"/>
      <c r="G855" s="4" t="n"/>
      <c r="H855" s="4" t="n"/>
      <c r="I855" s="4" t="n"/>
    </row>
    <row r="856" ht="15.75" customHeight="1" s="108">
      <c r="A856" s="4" t="n"/>
      <c r="B856" s="4" t="n"/>
      <c r="C856" s="4" t="n"/>
      <c r="D856" s="4" t="n"/>
      <c r="E856" s="4" t="n"/>
      <c r="F856" s="4" t="n"/>
      <c r="G856" s="4" t="n"/>
      <c r="H856" s="4" t="n"/>
      <c r="I856" s="4" t="n"/>
    </row>
    <row r="857" ht="15.75" customHeight="1" s="108">
      <c r="A857" s="4" t="n"/>
      <c r="B857" s="4" t="n"/>
      <c r="C857" s="4" t="n"/>
      <c r="D857" s="4" t="n"/>
      <c r="E857" s="4" t="n"/>
      <c r="F857" s="4" t="n"/>
      <c r="G857" s="4" t="n"/>
      <c r="H857" s="4" t="n"/>
      <c r="I857" s="4" t="n"/>
    </row>
    <row r="858" ht="15.75" customHeight="1" s="108">
      <c r="A858" s="4" t="n"/>
      <c r="B858" s="4" t="n"/>
      <c r="C858" s="4" t="n"/>
      <c r="D858" s="4" t="n"/>
      <c r="E858" s="4" t="n"/>
      <c r="F858" s="4" t="n"/>
      <c r="G858" s="4" t="n"/>
      <c r="H858" s="4" t="n"/>
      <c r="I858" s="4" t="n"/>
    </row>
    <row r="859" ht="15.75" customHeight="1" s="108">
      <c r="A859" s="4" t="n"/>
      <c r="B859" s="4" t="n"/>
      <c r="C859" s="4" t="n"/>
      <c r="D859" s="4" t="n"/>
      <c r="E859" s="4" t="n"/>
      <c r="F859" s="4" t="n"/>
      <c r="G859" s="4" t="n"/>
      <c r="H859" s="4" t="n"/>
      <c r="I859" s="4" t="n"/>
    </row>
    <row r="860" ht="15.75" customHeight="1" s="108">
      <c r="A860" s="4" t="n"/>
      <c r="B860" s="4" t="n"/>
      <c r="C860" s="4" t="n"/>
      <c r="D860" s="4" t="n"/>
      <c r="E860" s="4" t="n"/>
      <c r="F860" s="4" t="n"/>
      <c r="G860" s="4" t="n"/>
      <c r="H860" s="4" t="n"/>
      <c r="I860" s="4" t="n"/>
    </row>
    <row r="861" ht="15.75" customHeight="1" s="108">
      <c r="A861" s="4" t="n"/>
      <c r="B861" s="4" t="n"/>
      <c r="C861" s="4" t="n"/>
      <c r="D861" s="4" t="n"/>
      <c r="E861" s="4" t="n"/>
      <c r="F861" s="4" t="n"/>
      <c r="G861" s="4" t="n"/>
      <c r="H861" s="4" t="n"/>
      <c r="I861" s="4" t="n"/>
    </row>
    <row r="862" ht="15.75" customHeight="1" s="108">
      <c r="A862" s="4" t="n"/>
      <c r="B862" s="4" t="n"/>
      <c r="C862" s="4" t="n"/>
      <c r="D862" s="4" t="n"/>
      <c r="E862" s="4" t="n"/>
      <c r="F862" s="4" t="n"/>
      <c r="G862" s="4" t="n"/>
      <c r="H862" s="4" t="n"/>
      <c r="I862" s="4" t="n"/>
    </row>
    <row r="863" ht="15.75" customHeight="1" s="108">
      <c r="A863" s="4" t="n"/>
      <c r="B863" s="4" t="n"/>
      <c r="C863" s="4" t="n"/>
      <c r="D863" s="4" t="n"/>
      <c r="E863" s="4" t="n"/>
      <c r="F863" s="4" t="n"/>
      <c r="G863" s="4" t="n"/>
      <c r="H863" s="4" t="n"/>
      <c r="I863" s="4" t="n"/>
    </row>
    <row r="864" ht="15.75" customHeight="1" s="108">
      <c r="A864" s="4" t="n"/>
      <c r="B864" s="4" t="n"/>
      <c r="C864" s="4" t="n"/>
      <c r="D864" s="4" t="n"/>
      <c r="E864" s="4" t="n"/>
      <c r="F864" s="4" t="n"/>
      <c r="G864" s="4" t="n"/>
      <c r="H864" s="4" t="n"/>
      <c r="I864" s="4" t="n"/>
    </row>
    <row r="865" ht="15.75" customHeight="1" s="108">
      <c r="A865" s="4" t="n"/>
      <c r="B865" s="4" t="n"/>
      <c r="C865" s="4" t="n"/>
      <c r="D865" s="4" t="n"/>
      <c r="E865" s="4" t="n"/>
      <c r="F865" s="4" t="n"/>
      <c r="G865" s="4" t="n"/>
      <c r="H865" s="4" t="n"/>
      <c r="I865" s="4" t="n"/>
    </row>
    <row r="866" ht="15.75" customHeight="1" s="108">
      <c r="A866" s="4" t="n"/>
      <c r="B866" s="4" t="n"/>
      <c r="C866" s="4" t="n"/>
      <c r="D866" s="4" t="n"/>
      <c r="E866" s="4" t="n"/>
      <c r="F866" s="4" t="n"/>
      <c r="G866" s="4" t="n"/>
      <c r="H866" s="4" t="n"/>
      <c r="I866" s="4" t="n"/>
    </row>
    <row r="867" ht="15.75" customHeight="1" s="108">
      <c r="A867" s="4" t="n"/>
      <c r="B867" s="4" t="n"/>
      <c r="C867" s="4" t="n"/>
      <c r="D867" s="4" t="n"/>
      <c r="E867" s="4" t="n"/>
      <c r="F867" s="4" t="n"/>
      <c r="G867" s="4" t="n"/>
      <c r="H867" s="4" t="n"/>
      <c r="I867" s="4" t="n"/>
    </row>
    <row r="868" ht="15.75" customHeight="1" s="108">
      <c r="A868" s="4" t="n"/>
      <c r="B868" s="4" t="n"/>
      <c r="C868" s="4" t="n"/>
      <c r="D868" s="4" t="n"/>
      <c r="E868" s="4" t="n"/>
      <c r="F868" s="4" t="n"/>
      <c r="G868" s="4" t="n"/>
      <c r="H868" s="4" t="n"/>
      <c r="I868" s="4" t="n"/>
    </row>
    <row r="869" ht="15.75" customHeight="1" s="108">
      <c r="A869" s="4" t="n"/>
      <c r="B869" s="4" t="n"/>
      <c r="C869" s="4" t="n"/>
      <c r="D869" s="4" t="n"/>
      <c r="E869" s="4" t="n"/>
      <c r="F869" s="4" t="n"/>
      <c r="G869" s="4" t="n"/>
      <c r="H869" s="4" t="n"/>
      <c r="I869" s="4" t="n"/>
    </row>
    <row r="870" ht="15.75" customHeight="1" s="108">
      <c r="A870" s="4" t="n"/>
      <c r="B870" s="4" t="n"/>
      <c r="C870" s="4" t="n"/>
      <c r="D870" s="4" t="n"/>
      <c r="E870" s="4" t="n"/>
      <c r="F870" s="4" t="n"/>
      <c r="G870" s="4" t="n"/>
      <c r="H870" s="4" t="n"/>
      <c r="I870" s="4" t="n"/>
    </row>
    <row r="871" ht="15.75" customHeight="1" s="108">
      <c r="A871" s="4" t="n"/>
      <c r="B871" s="4" t="n"/>
      <c r="C871" s="4" t="n"/>
      <c r="D871" s="4" t="n"/>
      <c r="E871" s="4" t="n"/>
      <c r="F871" s="4" t="n"/>
      <c r="G871" s="4" t="n"/>
      <c r="H871" s="4" t="n"/>
      <c r="I871" s="4" t="n"/>
    </row>
    <row r="872" ht="15.75" customHeight="1" s="108">
      <c r="A872" s="4" t="n"/>
      <c r="B872" s="4" t="n"/>
      <c r="C872" s="4" t="n"/>
      <c r="D872" s="4" t="n"/>
      <c r="E872" s="4" t="n"/>
      <c r="F872" s="4" t="n"/>
      <c r="G872" s="4" t="n"/>
      <c r="H872" s="4" t="n"/>
      <c r="I872" s="4" t="n"/>
    </row>
    <row r="873" ht="15.75" customHeight="1" s="108">
      <c r="A873" s="4" t="n"/>
      <c r="B873" s="4" t="n"/>
      <c r="C873" s="4" t="n"/>
      <c r="D873" s="4" t="n"/>
      <c r="E873" s="4" t="n"/>
      <c r="F873" s="4" t="n"/>
      <c r="G873" s="4" t="n"/>
      <c r="H873" s="4" t="n"/>
      <c r="I873" s="4" t="n"/>
    </row>
    <row r="874" ht="15.75" customHeight="1" s="108">
      <c r="A874" s="4" t="n"/>
      <c r="B874" s="4" t="n"/>
      <c r="C874" s="4" t="n"/>
      <c r="D874" s="4" t="n"/>
      <c r="E874" s="4" t="n"/>
      <c r="F874" s="4" t="n"/>
      <c r="G874" s="4" t="n"/>
      <c r="H874" s="4" t="n"/>
      <c r="I874" s="4" t="n"/>
    </row>
    <row r="875" ht="15.75" customHeight="1" s="108">
      <c r="A875" s="4" t="n"/>
      <c r="B875" s="4" t="n"/>
      <c r="C875" s="4" t="n"/>
      <c r="D875" s="4" t="n"/>
      <c r="E875" s="4" t="n"/>
      <c r="F875" s="4" t="n"/>
      <c r="G875" s="4" t="n"/>
      <c r="H875" s="4" t="n"/>
      <c r="I875" s="4" t="n"/>
    </row>
    <row r="876" ht="15.75" customHeight="1" s="108">
      <c r="A876" s="4" t="n"/>
      <c r="B876" s="4" t="n"/>
      <c r="C876" s="4" t="n"/>
      <c r="D876" s="4" t="n"/>
      <c r="E876" s="4" t="n"/>
      <c r="F876" s="4" t="n"/>
      <c r="G876" s="4" t="n"/>
      <c r="H876" s="4" t="n"/>
      <c r="I876" s="4" t="n"/>
    </row>
    <row r="877" ht="15.75" customHeight="1" s="108">
      <c r="A877" s="4" t="n"/>
      <c r="B877" s="4" t="n"/>
      <c r="C877" s="4" t="n"/>
      <c r="D877" s="4" t="n"/>
      <c r="E877" s="4" t="n"/>
      <c r="F877" s="4" t="n"/>
      <c r="G877" s="4" t="n"/>
      <c r="H877" s="4" t="n"/>
      <c r="I877" s="4" t="n"/>
    </row>
    <row r="878" ht="15.75" customHeight="1" s="108">
      <c r="A878" s="4" t="n"/>
      <c r="B878" s="4" t="n"/>
      <c r="C878" s="4" t="n"/>
      <c r="D878" s="4" t="n"/>
      <c r="E878" s="4" t="n"/>
      <c r="F878" s="4" t="n"/>
      <c r="G878" s="4" t="n"/>
      <c r="H878" s="4" t="n"/>
      <c r="I878" s="4" t="n"/>
    </row>
    <row r="879" ht="15.75" customHeight="1" s="108">
      <c r="A879" s="4" t="n"/>
      <c r="B879" s="4" t="n"/>
      <c r="C879" s="4" t="n"/>
      <c r="D879" s="4" t="n"/>
      <c r="E879" s="4" t="n"/>
      <c r="F879" s="4" t="n"/>
      <c r="G879" s="4" t="n"/>
      <c r="H879" s="4" t="n"/>
      <c r="I879" s="4" t="n"/>
    </row>
    <row r="880" ht="15.75" customHeight="1" s="108">
      <c r="A880" s="4" t="n"/>
      <c r="B880" s="4" t="n"/>
      <c r="C880" s="4" t="n"/>
      <c r="D880" s="4" t="n"/>
      <c r="E880" s="4" t="n"/>
      <c r="F880" s="4" t="n"/>
      <c r="G880" s="4" t="n"/>
      <c r="H880" s="4" t="n"/>
      <c r="I880" s="4" t="n"/>
    </row>
    <row r="881" ht="15.75" customHeight="1" s="108">
      <c r="A881" s="4" t="n"/>
      <c r="B881" s="4" t="n"/>
      <c r="C881" s="4" t="n"/>
      <c r="D881" s="4" t="n"/>
      <c r="E881" s="4" t="n"/>
      <c r="F881" s="4" t="n"/>
      <c r="G881" s="4" t="n"/>
      <c r="H881" s="4" t="n"/>
      <c r="I881" s="4" t="n"/>
    </row>
    <row r="882" ht="15.75" customHeight="1" s="108">
      <c r="A882" s="4" t="n"/>
      <c r="B882" s="4" t="n"/>
      <c r="C882" s="4" t="n"/>
      <c r="D882" s="4" t="n"/>
      <c r="E882" s="4" t="n"/>
      <c r="F882" s="4" t="n"/>
      <c r="G882" s="4" t="n"/>
      <c r="H882" s="4" t="n"/>
      <c r="I882" s="4" t="n"/>
    </row>
    <row r="883" ht="15.75" customHeight="1" s="108">
      <c r="A883" s="4" t="n"/>
      <c r="B883" s="4" t="n"/>
      <c r="C883" s="4" t="n"/>
      <c r="D883" s="4" t="n"/>
      <c r="E883" s="4" t="n"/>
      <c r="F883" s="4" t="n"/>
      <c r="G883" s="4" t="n"/>
      <c r="H883" s="4" t="n"/>
      <c r="I883" s="4" t="n"/>
    </row>
    <row r="884" ht="15.75" customHeight="1" s="108">
      <c r="A884" s="4" t="n"/>
      <c r="B884" s="4" t="n"/>
      <c r="C884" s="4" t="n"/>
      <c r="D884" s="4" t="n"/>
      <c r="E884" s="4" t="n"/>
      <c r="F884" s="4" t="n"/>
      <c r="G884" s="4" t="n"/>
      <c r="H884" s="4" t="n"/>
      <c r="I884" s="4" t="n"/>
    </row>
    <row r="885" ht="15.75" customHeight="1" s="108">
      <c r="A885" s="4" t="n"/>
      <c r="B885" s="4" t="n"/>
      <c r="C885" s="4" t="n"/>
      <c r="D885" s="4" t="n"/>
      <c r="E885" s="4" t="n"/>
      <c r="F885" s="4" t="n"/>
      <c r="G885" s="4" t="n"/>
      <c r="H885" s="4" t="n"/>
      <c r="I885" s="4" t="n"/>
    </row>
    <row r="886" ht="15.75" customHeight="1" s="108">
      <c r="A886" s="4" t="n"/>
      <c r="B886" s="4" t="n"/>
      <c r="C886" s="4" t="n"/>
      <c r="D886" s="4" t="n"/>
      <c r="E886" s="4" t="n"/>
      <c r="F886" s="4" t="n"/>
      <c r="G886" s="4" t="n"/>
      <c r="H886" s="4" t="n"/>
      <c r="I886" s="4" t="n"/>
    </row>
    <row r="887" ht="15.75" customHeight="1" s="108">
      <c r="A887" s="4" t="n"/>
      <c r="B887" s="4" t="n"/>
      <c r="C887" s="4" t="n"/>
      <c r="D887" s="4" t="n"/>
      <c r="E887" s="4" t="n"/>
      <c r="F887" s="4" t="n"/>
      <c r="G887" s="4" t="n"/>
      <c r="H887" s="4" t="n"/>
      <c r="I887" s="4" t="n"/>
    </row>
    <row r="888" ht="15.75" customHeight="1" s="108">
      <c r="A888" s="4" t="n"/>
      <c r="B888" s="4" t="n"/>
      <c r="C888" s="4" t="n"/>
      <c r="D888" s="4" t="n"/>
      <c r="E888" s="4" t="n"/>
      <c r="F888" s="4" t="n"/>
      <c r="G888" s="4" t="n"/>
      <c r="H888" s="4" t="n"/>
      <c r="I888" s="4" t="n"/>
    </row>
    <row r="889" ht="15.75" customHeight="1" s="108">
      <c r="A889" s="4" t="n"/>
      <c r="B889" s="4" t="n"/>
      <c r="C889" s="4" t="n"/>
      <c r="D889" s="4" t="n"/>
      <c r="E889" s="4" t="n"/>
      <c r="F889" s="4" t="n"/>
      <c r="G889" s="4" t="n"/>
      <c r="H889" s="4" t="n"/>
      <c r="I889" s="4" t="n"/>
    </row>
    <row r="890" ht="15.75" customHeight="1" s="108">
      <c r="A890" s="4" t="n"/>
      <c r="B890" s="4" t="n"/>
      <c r="C890" s="4" t="n"/>
      <c r="D890" s="4" t="n"/>
      <c r="E890" s="4" t="n"/>
      <c r="F890" s="4" t="n"/>
      <c r="G890" s="4" t="n"/>
      <c r="H890" s="4" t="n"/>
      <c r="I890" s="4" t="n"/>
    </row>
    <row r="891" ht="15.75" customHeight="1" s="108">
      <c r="A891" s="4" t="n"/>
      <c r="B891" s="4" t="n"/>
      <c r="C891" s="4" t="n"/>
      <c r="D891" s="4" t="n"/>
      <c r="E891" s="4" t="n"/>
      <c r="F891" s="4" t="n"/>
      <c r="G891" s="4" t="n"/>
      <c r="H891" s="4" t="n"/>
      <c r="I891" s="4" t="n"/>
    </row>
    <row r="892" ht="15.75" customHeight="1" s="108">
      <c r="A892" s="4" t="n"/>
      <c r="B892" s="4" t="n"/>
      <c r="C892" s="4" t="n"/>
      <c r="D892" s="4" t="n"/>
      <c r="E892" s="4" t="n"/>
      <c r="F892" s="4" t="n"/>
      <c r="G892" s="4" t="n"/>
      <c r="H892" s="4" t="n"/>
      <c r="I892" s="4" t="n"/>
    </row>
    <row r="893" ht="15.75" customHeight="1" s="108">
      <c r="A893" s="4" t="n"/>
      <c r="B893" s="4" t="n"/>
      <c r="C893" s="4" t="n"/>
      <c r="D893" s="4" t="n"/>
      <c r="E893" s="4" t="n"/>
      <c r="F893" s="4" t="n"/>
      <c r="G893" s="4" t="n"/>
      <c r="H893" s="4" t="n"/>
      <c r="I893" s="4" t="n"/>
    </row>
    <row r="894" ht="15.75" customHeight="1" s="108">
      <c r="A894" s="4" t="n"/>
      <c r="B894" s="4" t="n"/>
      <c r="C894" s="4" t="n"/>
      <c r="D894" s="4" t="n"/>
      <c r="E894" s="4" t="n"/>
      <c r="F894" s="4" t="n"/>
      <c r="G894" s="4" t="n"/>
      <c r="H894" s="4" t="n"/>
      <c r="I894" s="4" t="n"/>
    </row>
    <row r="895" ht="15.75" customHeight="1" s="108">
      <c r="A895" s="4" t="n"/>
      <c r="B895" s="4" t="n"/>
      <c r="C895" s="4" t="n"/>
      <c r="D895" s="4" t="n"/>
      <c r="E895" s="4" t="n"/>
      <c r="F895" s="4" t="n"/>
      <c r="G895" s="4" t="n"/>
      <c r="H895" s="4" t="n"/>
      <c r="I895" s="4" t="n"/>
    </row>
    <row r="896" ht="15.75" customHeight="1" s="108">
      <c r="A896" s="4" t="n"/>
      <c r="B896" s="4" t="n"/>
      <c r="C896" s="4" t="n"/>
      <c r="D896" s="4" t="n"/>
      <c r="E896" s="4" t="n"/>
      <c r="F896" s="4" t="n"/>
      <c r="G896" s="4" t="n"/>
      <c r="H896" s="4" t="n"/>
      <c r="I896" s="4" t="n"/>
    </row>
    <row r="897" ht="15.75" customHeight="1" s="108">
      <c r="A897" s="4" t="n"/>
      <c r="B897" s="4" t="n"/>
      <c r="C897" s="4" t="n"/>
      <c r="D897" s="4" t="n"/>
      <c r="E897" s="4" t="n"/>
      <c r="F897" s="4" t="n"/>
      <c r="G897" s="4" t="n"/>
      <c r="H897" s="4" t="n"/>
      <c r="I897" s="4" t="n"/>
    </row>
    <row r="898" ht="15.75" customHeight="1" s="108">
      <c r="A898" s="4" t="n"/>
      <c r="B898" s="4" t="n"/>
      <c r="C898" s="4" t="n"/>
      <c r="D898" s="4" t="n"/>
      <c r="E898" s="4" t="n"/>
      <c r="F898" s="4" t="n"/>
      <c r="G898" s="4" t="n"/>
      <c r="H898" s="4" t="n"/>
      <c r="I898" s="4" t="n"/>
    </row>
    <row r="899" ht="15.75" customHeight="1" s="108">
      <c r="A899" s="4" t="n"/>
      <c r="B899" s="4" t="n"/>
      <c r="C899" s="4" t="n"/>
      <c r="D899" s="4" t="n"/>
      <c r="E899" s="4" t="n"/>
      <c r="F899" s="4" t="n"/>
      <c r="G899" s="4" t="n"/>
      <c r="H899" s="4" t="n"/>
      <c r="I899" s="4" t="n"/>
    </row>
    <row r="900" ht="15.75" customHeight="1" s="108">
      <c r="A900" s="4" t="n"/>
      <c r="B900" s="4" t="n"/>
      <c r="C900" s="4" t="n"/>
      <c r="D900" s="4" t="n"/>
      <c r="E900" s="4" t="n"/>
      <c r="F900" s="4" t="n"/>
      <c r="G900" s="4" t="n"/>
      <c r="H900" s="4" t="n"/>
      <c r="I900" s="4" t="n"/>
    </row>
    <row r="901" ht="15.75" customHeight="1" s="108">
      <c r="A901" s="4" t="n"/>
      <c r="B901" s="4" t="n"/>
      <c r="C901" s="4" t="n"/>
      <c r="D901" s="4" t="n"/>
      <c r="E901" s="4" t="n"/>
      <c r="F901" s="4" t="n"/>
      <c r="G901" s="4" t="n"/>
      <c r="H901" s="4" t="n"/>
      <c r="I901" s="4" t="n"/>
    </row>
    <row r="902" ht="15.75" customHeight="1" s="108">
      <c r="A902" s="4" t="n"/>
      <c r="B902" s="4" t="n"/>
      <c r="C902" s="4" t="n"/>
      <c r="D902" s="4" t="n"/>
      <c r="E902" s="4" t="n"/>
      <c r="F902" s="4" t="n"/>
      <c r="G902" s="4" t="n"/>
      <c r="H902" s="4" t="n"/>
      <c r="I902" s="4" t="n"/>
    </row>
    <row r="903" ht="15.75" customHeight="1" s="108">
      <c r="A903" s="4" t="n"/>
      <c r="B903" s="4" t="n"/>
      <c r="C903" s="4" t="n"/>
      <c r="D903" s="4" t="n"/>
      <c r="E903" s="4" t="n"/>
      <c r="F903" s="4" t="n"/>
      <c r="G903" s="4" t="n"/>
      <c r="H903" s="4" t="n"/>
      <c r="I903" s="4" t="n"/>
    </row>
    <row r="904" ht="15.75" customHeight="1" s="108">
      <c r="A904" s="4" t="n"/>
      <c r="B904" s="4" t="n"/>
      <c r="C904" s="4" t="n"/>
      <c r="D904" s="4" t="n"/>
      <c r="E904" s="4" t="n"/>
      <c r="F904" s="4" t="n"/>
      <c r="G904" s="4" t="n"/>
      <c r="H904" s="4" t="n"/>
      <c r="I904" s="4" t="n"/>
    </row>
    <row r="905" ht="15.75" customHeight="1" s="108">
      <c r="A905" s="4" t="n"/>
      <c r="B905" s="4" t="n"/>
      <c r="C905" s="4" t="n"/>
      <c r="D905" s="4" t="n"/>
      <c r="E905" s="4" t="n"/>
      <c r="F905" s="4" t="n"/>
      <c r="G905" s="4" t="n"/>
      <c r="H905" s="4" t="n"/>
      <c r="I905" s="4" t="n"/>
    </row>
    <row r="906" ht="15.75" customHeight="1" s="108">
      <c r="A906" s="4" t="n"/>
      <c r="B906" s="4" t="n"/>
      <c r="C906" s="4" t="n"/>
      <c r="D906" s="4" t="n"/>
      <c r="E906" s="4" t="n"/>
      <c r="F906" s="4" t="n"/>
      <c r="G906" s="4" t="n"/>
      <c r="H906" s="4" t="n"/>
      <c r="I906" s="4" t="n"/>
    </row>
    <row r="907" ht="15.75" customHeight="1" s="108">
      <c r="A907" s="4" t="n"/>
      <c r="B907" s="4" t="n"/>
      <c r="C907" s="4" t="n"/>
      <c r="D907" s="4" t="n"/>
      <c r="E907" s="4" t="n"/>
      <c r="F907" s="4" t="n"/>
      <c r="G907" s="4" t="n"/>
      <c r="H907" s="4" t="n"/>
      <c r="I907" s="4" t="n"/>
    </row>
    <row r="908" ht="15.75" customHeight="1" s="108">
      <c r="A908" s="4" t="n"/>
      <c r="B908" s="4" t="n"/>
      <c r="C908" s="4" t="n"/>
      <c r="D908" s="4" t="n"/>
      <c r="E908" s="4" t="n"/>
      <c r="F908" s="4" t="n"/>
      <c r="G908" s="4" t="n"/>
      <c r="H908" s="4" t="n"/>
      <c r="I908" s="4" t="n"/>
    </row>
    <row r="909" ht="15.75" customHeight="1" s="108">
      <c r="A909" s="4" t="n"/>
      <c r="B909" s="4" t="n"/>
      <c r="C909" s="4" t="n"/>
      <c r="D909" s="4" t="n"/>
      <c r="E909" s="4" t="n"/>
      <c r="F909" s="4" t="n"/>
      <c r="G909" s="4" t="n"/>
      <c r="H909" s="4" t="n"/>
      <c r="I909" s="4" t="n"/>
    </row>
    <row r="910" ht="15.75" customHeight="1" s="108">
      <c r="A910" s="4" t="n"/>
      <c r="B910" s="4" t="n"/>
      <c r="C910" s="4" t="n"/>
      <c r="D910" s="4" t="n"/>
      <c r="E910" s="4" t="n"/>
      <c r="F910" s="4" t="n"/>
      <c r="G910" s="4" t="n"/>
      <c r="H910" s="4" t="n"/>
      <c r="I910" s="4" t="n"/>
    </row>
    <row r="911" ht="15.75" customHeight="1" s="108">
      <c r="A911" s="4" t="n"/>
      <c r="B911" s="4" t="n"/>
      <c r="C911" s="4" t="n"/>
      <c r="D911" s="4" t="n"/>
      <c r="E911" s="4" t="n"/>
      <c r="F911" s="4" t="n"/>
      <c r="G911" s="4" t="n"/>
      <c r="H911" s="4" t="n"/>
      <c r="I911" s="4" t="n"/>
    </row>
    <row r="912" ht="15.75" customHeight="1" s="108">
      <c r="A912" s="4" t="n"/>
      <c r="B912" s="4" t="n"/>
      <c r="C912" s="4" t="n"/>
      <c r="D912" s="4" t="n"/>
      <c r="E912" s="4" t="n"/>
      <c r="F912" s="4" t="n"/>
      <c r="G912" s="4" t="n"/>
      <c r="H912" s="4" t="n"/>
      <c r="I912" s="4" t="n"/>
    </row>
    <row r="913" ht="15.75" customHeight="1" s="108">
      <c r="A913" s="4" t="n"/>
      <c r="B913" s="4" t="n"/>
      <c r="C913" s="4" t="n"/>
      <c r="D913" s="4" t="n"/>
      <c r="E913" s="4" t="n"/>
      <c r="F913" s="4" t="n"/>
      <c r="G913" s="4" t="n"/>
      <c r="H913" s="4" t="n"/>
      <c r="I913" s="4" t="n"/>
    </row>
    <row r="914" ht="15.75" customHeight="1" s="108">
      <c r="A914" s="4" t="n"/>
      <c r="B914" s="4" t="n"/>
      <c r="C914" s="4" t="n"/>
      <c r="D914" s="4" t="n"/>
      <c r="E914" s="4" t="n"/>
      <c r="F914" s="4" t="n"/>
      <c r="G914" s="4" t="n"/>
      <c r="H914" s="4" t="n"/>
      <c r="I914" s="4" t="n"/>
    </row>
    <row r="915" ht="15.75" customHeight="1" s="108">
      <c r="A915" s="4" t="n"/>
      <c r="B915" s="4" t="n"/>
      <c r="C915" s="4" t="n"/>
      <c r="D915" s="4" t="n"/>
      <c r="E915" s="4" t="n"/>
      <c r="F915" s="4" t="n"/>
      <c r="G915" s="4" t="n"/>
      <c r="H915" s="4" t="n"/>
      <c r="I915" s="4" t="n"/>
    </row>
    <row r="916" ht="15.75" customHeight="1" s="108">
      <c r="A916" s="4" t="n"/>
      <c r="B916" s="4" t="n"/>
      <c r="C916" s="4" t="n"/>
      <c r="D916" s="4" t="n"/>
      <c r="E916" s="4" t="n"/>
      <c r="F916" s="4" t="n"/>
      <c r="G916" s="4" t="n"/>
      <c r="H916" s="4" t="n"/>
      <c r="I916" s="4" t="n"/>
    </row>
    <row r="917" ht="15.75" customHeight="1" s="108">
      <c r="A917" s="4" t="n"/>
      <c r="B917" s="4" t="n"/>
      <c r="C917" s="4" t="n"/>
      <c r="D917" s="4" t="n"/>
      <c r="E917" s="4" t="n"/>
      <c r="F917" s="4" t="n"/>
      <c r="G917" s="4" t="n"/>
      <c r="H917" s="4" t="n"/>
      <c r="I917" s="4" t="n"/>
    </row>
    <row r="918" ht="15.75" customHeight="1" s="108">
      <c r="A918" s="4" t="n"/>
      <c r="B918" s="4" t="n"/>
      <c r="C918" s="4" t="n"/>
      <c r="D918" s="4" t="n"/>
      <c r="E918" s="4" t="n"/>
      <c r="F918" s="4" t="n"/>
      <c r="G918" s="4" t="n"/>
      <c r="H918" s="4" t="n"/>
      <c r="I918" s="4" t="n"/>
    </row>
    <row r="919" ht="15.75" customHeight="1" s="108">
      <c r="A919" s="4" t="n"/>
      <c r="B919" s="4" t="n"/>
      <c r="C919" s="4" t="n"/>
      <c r="D919" s="4" t="n"/>
      <c r="E919" s="4" t="n"/>
      <c r="F919" s="4" t="n"/>
      <c r="G919" s="4" t="n"/>
      <c r="H919" s="4" t="n"/>
      <c r="I919" s="4" t="n"/>
    </row>
    <row r="920" ht="15.75" customHeight="1" s="108">
      <c r="A920" s="4" t="n"/>
      <c r="B920" s="4" t="n"/>
      <c r="C920" s="4" t="n"/>
      <c r="D920" s="4" t="n"/>
      <c r="E920" s="4" t="n"/>
      <c r="F920" s="4" t="n"/>
      <c r="G920" s="4" t="n"/>
      <c r="H920" s="4" t="n"/>
      <c r="I920" s="4" t="n"/>
    </row>
    <row r="921" ht="15.75" customHeight="1" s="108">
      <c r="A921" s="4" t="n"/>
      <c r="B921" s="4" t="n"/>
      <c r="C921" s="4" t="n"/>
      <c r="D921" s="4" t="n"/>
      <c r="E921" s="4" t="n"/>
      <c r="F921" s="4" t="n"/>
      <c r="G921" s="4" t="n"/>
      <c r="H921" s="4" t="n"/>
      <c r="I921" s="4" t="n"/>
    </row>
    <row r="922" ht="15.75" customHeight="1" s="108">
      <c r="A922" s="4" t="n"/>
      <c r="B922" s="4" t="n"/>
      <c r="C922" s="4" t="n"/>
      <c r="D922" s="4" t="n"/>
      <c r="E922" s="4" t="n"/>
      <c r="F922" s="4" t="n"/>
      <c r="G922" s="4" t="n"/>
      <c r="H922" s="4" t="n"/>
      <c r="I922" s="4" t="n"/>
    </row>
    <row r="923" ht="15.75" customHeight="1" s="108">
      <c r="A923" s="4" t="n"/>
      <c r="B923" s="4" t="n"/>
      <c r="C923" s="4" t="n"/>
      <c r="D923" s="4" t="n"/>
      <c r="E923" s="4" t="n"/>
      <c r="F923" s="4" t="n"/>
      <c r="G923" s="4" t="n"/>
      <c r="H923" s="4" t="n"/>
      <c r="I923" s="4" t="n"/>
    </row>
    <row r="924" ht="15.75" customHeight="1" s="108">
      <c r="A924" s="4" t="n"/>
      <c r="B924" s="4" t="n"/>
      <c r="C924" s="4" t="n"/>
      <c r="D924" s="4" t="n"/>
      <c r="E924" s="4" t="n"/>
      <c r="F924" s="4" t="n"/>
      <c r="G924" s="4" t="n"/>
      <c r="H924" s="4" t="n"/>
      <c r="I924" s="4" t="n"/>
    </row>
    <row r="925" ht="15.75" customHeight="1" s="108">
      <c r="A925" s="4" t="n"/>
      <c r="B925" s="4" t="n"/>
      <c r="C925" s="4" t="n"/>
      <c r="D925" s="4" t="n"/>
      <c r="E925" s="4" t="n"/>
      <c r="F925" s="4" t="n"/>
      <c r="G925" s="4" t="n"/>
      <c r="H925" s="4" t="n"/>
      <c r="I925" s="4" t="n"/>
    </row>
    <row r="926" ht="15.75" customHeight="1" s="108">
      <c r="A926" s="4" t="n"/>
      <c r="B926" s="4" t="n"/>
      <c r="C926" s="4" t="n"/>
      <c r="D926" s="4" t="n"/>
      <c r="E926" s="4" t="n"/>
      <c r="F926" s="4" t="n"/>
      <c r="G926" s="4" t="n"/>
      <c r="H926" s="4" t="n"/>
      <c r="I926" s="4" t="n"/>
    </row>
    <row r="927" ht="15.75" customHeight="1" s="108">
      <c r="A927" s="4" t="n"/>
      <c r="B927" s="4" t="n"/>
      <c r="C927" s="4" t="n"/>
      <c r="D927" s="4" t="n"/>
      <c r="E927" s="4" t="n"/>
      <c r="F927" s="4" t="n"/>
      <c r="G927" s="4" t="n"/>
      <c r="H927" s="4" t="n"/>
      <c r="I927" s="4" t="n"/>
    </row>
    <row r="928" ht="15.75" customHeight="1" s="108">
      <c r="A928" s="4" t="n"/>
      <c r="B928" s="4" t="n"/>
      <c r="C928" s="4" t="n"/>
      <c r="D928" s="4" t="n"/>
      <c r="E928" s="4" t="n"/>
      <c r="F928" s="4" t="n"/>
      <c r="G928" s="4" t="n"/>
      <c r="H928" s="4" t="n"/>
      <c r="I928" s="4" t="n"/>
    </row>
    <row r="929" ht="15.75" customHeight="1" s="108">
      <c r="A929" s="4" t="n"/>
      <c r="B929" s="4" t="n"/>
      <c r="C929" s="4" t="n"/>
      <c r="D929" s="4" t="n"/>
      <c r="E929" s="4" t="n"/>
      <c r="F929" s="4" t="n"/>
      <c r="G929" s="4" t="n"/>
      <c r="H929" s="4" t="n"/>
      <c r="I929" s="4" t="n"/>
    </row>
    <row r="930" ht="15.75" customHeight="1" s="108">
      <c r="A930" s="4" t="n"/>
      <c r="B930" s="4" t="n"/>
      <c r="C930" s="4" t="n"/>
      <c r="D930" s="4" t="n"/>
      <c r="E930" s="4" t="n"/>
      <c r="F930" s="4" t="n"/>
      <c r="G930" s="4" t="n"/>
      <c r="H930" s="4" t="n"/>
      <c r="I930" s="4" t="n"/>
    </row>
    <row r="931" ht="15.75" customHeight="1" s="108">
      <c r="A931" s="4" t="n"/>
      <c r="B931" s="4" t="n"/>
      <c r="C931" s="4" t="n"/>
      <c r="D931" s="4" t="n"/>
      <c r="E931" s="4" t="n"/>
      <c r="F931" s="4" t="n"/>
      <c r="G931" s="4" t="n"/>
      <c r="H931" s="4" t="n"/>
      <c r="I931" s="4" t="n"/>
    </row>
    <row r="932" ht="15.75" customHeight="1" s="108">
      <c r="A932" s="4" t="n"/>
      <c r="B932" s="4" t="n"/>
      <c r="C932" s="4" t="n"/>
      <c r="D932" s="4" t="n"/>
      <c r="E932" s="4" t="n"/>
      <c r="F932" s="4" t="n"/>
      <c r="G932" s="4" t="n"/>
      <c r="H932" s="4" t="n"/>
      <c r="I932" s="4" t="n"/>
    </row>
    <row r="933" ht="15.75" customHeight="1" s="108">
      <c r="A933" s="4" t="n"/>
      <c r="B933" s="4" t="n"/>
      <c r="C933" s="4" t="n"/>
      <c r="D933" s="4" t="n"/>
      <c r="E933" s="4" t="n"/>
      <c r="F933" s="4" t="n"/>
      <c r="G933" s="4" t="n"/>
      <c r="H933" s="4" t="n"/>
      <c r="I933" s="4" t="n"/>
    </row>
    <row r="934" ht="15.75" customHeight="1" s="108">
      <c r="A934" s="4" t="n"/>
      <c r="B934" s="4" t="n"/>
      <c r="C934" s="4" t="n"/>
      <c r="D934" s="4" t="n"/>
      <c r="E934" s="4" t="n"/>
      <c r="F934" s="4" t="n"/>
      <c r="G934" s="4" t="n"/>
      <c r="H934" s="4" t="n"/>
      <c r="I934" s="4" t="n"/>
    </row>
    <row r="935" ht="15.75" customHeight="1" s="108">
      <c r="A935" s="4" t="n"/>
      <c r="B935" s="4" t="n"/>
      <c r="C935" s="4" t="n"/>
      <c r="D935" s="4" t="n"/>
      <c r="E935" s="4" t="n"/>
      <c r="F935" s="4" t="n"/>
      <c r="G935" s="4" t="n"/>
      <c r="H935" s="4" t="n"/>
      <c r="I935" s="4" t="n"/>
    </row>
    <row r="936" ht="15.75" customHeight="1" s="108">
      <c r="A936" s="4" t="n"/>
      <c r="B936" s="4" t="n"/>
      <c r="C936" s="4" t="n"/>
      <c r="D936" s="4" t="n"/>
      <c r="E936" s="4" t="n"/>
      <c r="F936" s="4" t="n"/>
      <c r="G936" s="4" t="n"/>
      <c r="H936" s="4" t="n"/>
      <c r="I936" s="4" t="n"/>
    </row>
    <row r="937" ht="15.75" customHeight="1" s="108">
      <c r="A937" s="4" t="n"/>
      <c r="B937" s="4" t="n"/>
      <c r="C937" s="4" t="n"/>
      <c r="D937" s="4" t="n"/>
      <c r="E937" s="4" t="n"/>
      <c r="F937" s="4" t="n"/>
      <c r="G937" s="4" t="n"/>
      <c r="H937" s="4" t="n"/>
      <c r="I937" s="4" t="n"/>
    </row>
    <row r="938" ht="15.75" customHeight="1" s="108">
      <c r="A938" s="4" t="n"/>
      <c r="B938" s="4" t="n"/>
      <c r="C938" s="4" t="n"/>
      <c r="D938" s="4" t="n"/>
      <c r="E938" s="4" t="n"/>
      <c r="F938" s="4" t="n"/>
      <c r="G938" s="4" t="n"/>
      <c r="H938" s="4" t="n"/>
      <c r="I938" s="4" t="n"/>
    </row>
    <row r="939" ht="15.75" customHeight="1" s="108">
      <c r="A939" s="4" t="n"/>
      <c r="B939" s="4" t="n"/>
      <c r="C939" s="4" t="n"/>
      <c r="D939" s="4" t="n"/>
      <c r="E939" s="4" t="n"/>
      <c r="F939" s="4" t="n"/>
      <c r="G939" s="4" t="n"/>
      <c r="H939" s="4" t="n"/>
      <c r="I939" s="4" t="n"/>
    </row>
    <row r="940" ht="15.75" customHeight="1" s="108">
      <c r="A940" s="4" t="n"/>
      <c r="B940" s="4" t="n"/>
      <c r="C940" s="4" t="n"/>
      <c r="D940" s="4" t="n"/>
      <c r="E940" s="4" t="n"/>
      <c r="F940" s="4" t="n"/>
      <c r="G940" s="4" t="n"/>
      <c r="H940" s="4" t="n"/>
      <c r="I940" s="4" t="n"/>
    </row>
    <row r="941" ht="15.75" customHeight="1" s="108">
      <c r="A941" s="4" t="n"/>
      <c r="B941" s="4" t="n"/>
      <c r="C941" s="4" t="n"/>
      <c r="D941" s="4" t="n"/>
      <c r="E941" s="4" t="n"/>
      <c r="F941" s="4" t="n"/>
      <c r="G941" s="4" t="n"/>
      <c r="H941" s="4" t="n"/>
      <c r="I941" s="4" t="n"/>
    </row>
    <row r="942" ht="15.75" customHeight="1" s="108">
      <c r="A942" s="4" t="n"/>
      <c r="B942" s="4" t="n"/>
      <c r="C942" s="4" t="n"/>
      <c r="D942" s="4" t="n"/>
      <c r="E942" s="4" t="n"/>
      <c r="F942" s="4" t="n"/>
      <c r="G942" s="4" t="n"/>
      <c r="H942" s="4" t="n"/>
      <c r="I942" s="4" t="n"/>
    </row>
    <row r="943" ht="15.75" customHeight="1" s="108">
      <c r="A943" s="4" t="n"/>
      <c r="B943" s="4" t="n"/>
      <c r="C943" s="4" t="n"/>
      <c r="D943" s="4" t="n"/>
      <c r="E943" s="4" t="n"/>
      <c r="F943" s="4" t="n"/>
      <c r="G943" s="4" t="n"/>
      <c r="H943" s="4" t="n"/>
      <c r="I943" s="4" t="n"/>
    </row>
    <row r="944" ht="15.75" customHeight="1" s="108">
      <c r="A944" s="4" t="n"/>
      <c r="B944" s="4" t="n"/>
      <c r="C944" s="4" t="n"/>
      <c r="D944" s="4" t="n"/>
      <c r="E944" s="4" t="n"/>
      <c r="F944" s="4" t="n"/>
      <c r="G944" s="4" t="n"/>
      <c r="H944" s="4" t="n"/>
      <c r="I944" s="4" t="n"/>
    </row>
    <row r="945" ht="15.75" customHeight="1" s="108">
      <c r="A945" s="4" t="n"/>
      <c r="B945" s="4" t="n"/>
      <c r="C945" s="4" t="n"/>
      <c r="D945" s="4" t="n"/>
      <c r="E945" s="4" t="n"/>
      <c r="F945" s="4" t="n"/>
      <c r="G945" s="4" t="n"/>
      <c r="H945" s="4" t="n"/>
      <c r="I945" s="4" t="n"/>
    </row>
    <row r="946" ht="15.75" customHeight="1" s="108">
      <c r="A946" s="4" t="n"/>
      <c r="B946" s="4" t="n"/>
      <c r="C946" s="4" t="n"/>
      <c r="D946" s="4" t="n"/>
      <c r="E946" s="4" t="n"/>
      <c r="F946" s="4" t="n"/>
      <c r="G946" s="4" t="n"/>
      <c r="H946" s="4" t="n"/>
      <c r="I946" s="4" t="n"/>
    </row>
    <row r="947" ht="15.75" customHeight="1" s="108">
      <c r="A947" s="4" t="n"/>
      <c r="B947" s="4" t="n"/>
      <c r="C947" s="4" t="n"/>
      <c r="D947" s="4" t="n"/>
      <c r="E947" s="4" t="n"/>
      <c r="F947" s="4" t="n"/>
      <c r="G947" s="4" t="n"/>
      <c r="H947" s="4" t="n"/>
      <c r="I947" s="4" t="n"/>
    </row>
    <row r="948" ht="15.75" customHeight="1" s="108">
      <c r="A948" s="4" t="n"/>
      <c r="B948" s="4" t="n"/>
      <c r="C948" s="4" t="n"/>
      <c r="D948" s="4" t="n"/>
      <c r="E948" s="4" t="n"/>
      <c r="F948" s="4" t="n"/>
      <c r="G948" s="4" t="n"/>
      <c r="H948" s="4" t="n"/>
      <c r="I948" s="4" t="n"/>
    </row>
    <row r="949" ht="15.75" customHeight="1" s="108">
      <c r="A949" s="4" t="n"/>
      <c r="B949" s="4" t="n"/>
      <c r="C949" s="4" t="n"/>
      <c r="D949" s="4" t="n"/>
      <c r="E949" s="4" t="n"/>
      <c r="F949" s="4" t="n"/>
      <c r="G949" s="4" t="n"/>
      <c r="H949" s="4" t="n"/>
      <c r="I949" s="4" t="n"/>
    </row>
    <row r="950" ht="15.75" customHeight="1" s="108">
      <c r="A950" s="4" t="n"/>
      <c r="B950" s="4" t="n"/>
      <c r="C950" s="4" t="n"/>
      <c r="D950" s="4" t="n"/>
      <c r="E950" s="4" t="n"/>
      <c r="F950" s="4" t="n"/>
      <c r="G950" s="4" t="n"/>
      <c r="H950" s="4" t="n"/>
      <c r="I950" s="4" t="n"/>
    </row>
    <row r="951" ht="15.75" customHeight="1" s="108">
      <c r="A951" s="4" t="n"/>
      <c r="B951" s="4" t="n"/>
      <c r="C951" s="4" t="n"/>
      <c r="D951" s="4" t="n"/>
      <c r="E951" s="4" t="n"/>
      <c r="F951" s="4" t="n"/>
      <c r="G951" s="4" t="n"/>
      <c r="H951" s="4" t="n"/>
      <c r="I951" s="4" t="n"/>
    </row>
    <row r="952" ht="15.75" customHeight="1" s="108">
      <c r="A952" s="4" t="n"/>
      <c r="B952" s="4" t="n"/>
      <c r="C952" s="4" t="n"/>
      <c r="D952" s="4" t="n"/>
      <c r="E952" s="4" t="n"/>
      <c r="F952" s="4" t="n"/>
      <c r="G952" s="4" t="n"/>
      <c r="H952" s="4" t="n"/>
      <c r="I952" s="4" t="n"/>
    </row>
    <row r="953" ht="15.75" customHeight="1" s="108">
      <c r="A953" s="4" t="n"/>
      <c r="B953" s="4" t="n"/>
      <c r="C953" s="4" t="n"/>
      <c r="D953" s="4" t="n"/>
      <c r="E953" s="4" t="n"/>
      <c r="F953" s="4" t="n"/>
      <c r="G953" s="4" t="n"/>
      <c r="H953" s="4" t="n"/>
      <c r="I953" s="4" t="n"/>
    </row>
    <row r="954" ht="15.75" customHeight="1" s="108">
      <c r="A954" s="4" t="n"/>
      <c r="B954" s="4" t="n"/>
      <c r="C954" s="4" t="n"/>
      <c r="D954" s="4" t="n"/>
      <c r="E954" s="4" t="n"/>
      <c r="F954" s="4" t="n"/>
      <c r="G954" s="4" t="n"/>
      <c r="H954" s="4" t="n"/>
      <c r="I954" s="4" t="n"/>
    </row>
    <row r="955" ht="15.75" customHeight="1" s="108">
      <c r="A955" s="4" t="n"/>
      <c r="B955" s="4" t="n"/>
      <c r="C955" s="4" t="n"/>
      <c r="D955" s="4" t="n"/>
      <c r="E955" s="4" t="n"/>
      <c r="F955" s="4" t="n"/>
      <c r="G955" s="4" t="n"/>
      <c r="H955" s="4" t="n"/>
      <c r="I955" s="4" t="n"/>
    </row>
    <row r="956" ht="15.75" customHeight="1" s="108">
      <c r="A956" s="4" t="n"/>
      <c r="B956" s="4" t="n"/>
      <c r="C956" s="4" t="n"/>
      <c r="D956" s="4" t="n"/>
      <c r="E956" s="4" t="n"/>
      <c r="F956" s="4" t="n"/>
      <c r="G956" s="4" t="n"/>
      <c r="H956" s="4" t="n"/>
      <c r="I956" s="4" t="n"/>
    </row>
    <row r="957" ht="15.75" customHeight="1" s="108">
      <c r="A957" s="4" t="n"/>
      <c r="B957" s="4" t="n"/>
      <c r="C957" s="4" t="n"/>
      <c r="D957" s="4" t="n"/>
      <c r="E957" s="4" t="n"/>
      <c r="F957" s="4" t="n"/>
      <c r="G957" s="4" t="n"/>
      <c r="H957" s="4" t="n"/>
      <c r="I957" s="4" t="n"/>
    </row>
    <row r="958" ht="15.75" customHeight="1" s="108">
      <c r="A958" s="4" t="n"/>
      <c r="B958" s="4" t="n"/>
      <c r="C958" s="4" t="n"/>
      <c r="D958" s="4" t="n"/>
      <c r="E958" s="4" t="n"/>
      <c r="F958" s="4" t="n"/>
      <c r="G958" s="4" t="n"/>
      <c r="H958" s="4" t="n"/>
      <c r="I958" s="4" t="n"/>
    </row>
    <row r="959" ht="15.75" customHeight="1" s="108">
      <c r="A959" s="4" t="n"/>
      <c r="B959" s="4" t="n"/>
      <c r="C959" s="4" t="n"/>
      <c r="D959" s="4" t="n"/>
      <c r="E959" s="4" t="n"/>
      <c r="F959" s="4" t="n"/>
      <c r="G959" s="4" t="n"/>
      <c r="H959" s="4" t="n"/>
      <c r="I959" s="4" t="n"/>
    </row>
    <row r="960" ht="15.75" customHeight="1" s="108">
      <c r="A960" s="4" t="n"/>
      <c r="B960" s="4" t="n"/>
      <c r="C960" s="4" t="n"/>
      <c r="D960" s="4" t="n"/>
      <c r="E960" s="4" t="n"/>
      <c r="F960" s="4" t="n"/>
      <c r="G960" s="4" t="n"/>
      <c r="H960" s="4" t="n"/>
      <c r="I960" s="4" t="n"/>
    </row>
    <row r="961" ht="15.75" customHeight="1" s="108">
      <c r="A961" s="4" t="n"/>
      <c r="B961" s="4" t="n"/>
      <c r="C961" s="4" t="n"/>
      <c r="D961" s="4" t="n"/>
      <c r="E961" s="4" t="n"/>
      <c r="F961" s="4" t="n"/>
      <c r="G961" s="4" t="n"/>
      <c r="H961" s="4" t="n"/>
      <c r="I961" s="4" t="n"/>
    </row>
    <row r="962" ht="15.75" customHeight="1" s="108">
      <c r="A962" s="4" t="n"/>
      <c r="B962" s="4" t="n"/>
      <c r="C962" s="4" t="n"/>
      <c r="D962" s="4" t="n"/>
      <c r="E962" s="4" t="n"/>
      <c r="F962" s="4" t="n"/>
      <c r="G962" s="4" t="n"/>
      <c r="H962" s="4" t="n"/>
      <c r="I962" s="4" t="n"/>
    </row>
    <row r="963" ht="15.75" customHeight="1" s="108">
      <c r="A963" s="4" t="n"/>
      <c r="B963" s="4" t="n"/>
      <c r="C963" s="4" t="n"/>
      <c r="D963" s="4" t="n"/>
      <c r="E963" s="4" t="n"/>
      <c r="F963" s="4" t="n"/>
      <c r="G963" s="4" t="n"/>
      <c r="H963" s="4" t="n"/>
      <c r="I963" s="4" t="n"/>
    </row>
    <row r="964" ht="15.75" customHeight="1" s="108">
      <c r="A964" s="4" t="n"/>
      <c r="B964" s="4" t="n"/>
      <c r="C964" s="4" t="n"/>
      <c r="D964" s="4" t="n"/>
      <c r="E964" s="4" t="n"/>
      <c r="F964" s="4" t="n"/>
      <c r="G964" s="4" t="n"/>
      <c r="H964" s="4" t="n"/>
      <c r="I964" s="4" t="n"/>
    </row>
    <row r="965" ht="15.75" customHeight="1" s="108">
      <c r="A965" s="4" t="n"/>
      <c r="B965" s="4" t="n"/>
      <c r="C965" s="4" t="n"/>
      <c r="D965" s="4" t="n"/>
      <c r="E965" s="4" t="n"/>
      <c r="F965" s="4" t="n"/>
      <c r="G965" s="4" t="n"/>
      <c r="H965" s="4" t="n"/>
      <c r="I965" s="4" t="n"/>
    </row>
    <row r="966" ht="15.75" customHeight="1" s="108">
      <c r="A966" s="4" t="n"/>
      <c r="B966" s="4" t="n"/>
      <c r="C966" s="4" t="n"/>
      <c r="D966" s="4" t="n"/>
      <c r="E966" s="4" t="n"/>
      <c r="F966" s="4" t="n"/>
      <c r="G966" s="4" t="n"/>
      <c r="H966" s="4" t="n"/>
      <c r="I966" s="4" t="n"/>
    </row>
    <row r="967" ht="15.75" customHeight="1" s="108">
      <c r="A967" s="4" t="n"/>
      <c r="B967" s="4" t="n"/>
      <c r="C967" s="4" t="n"/>
      <c r="D967" s="4" t="n"/>
      <c r="E967" s="4" t="n"/>
      <c r="F967" s="4" t="n"/>
      <c r="G967" s="4" t="n"/>
      <c r="H967" s="4" t="n"/>
      <c r="I967" s="4" t="n"/>
    </row>
    <row r="968" ht="15.75" customHeight="1" s="108">
      <c r="A968" s="4" t="n"/>
      <c r="B968" s="4" t="n"/>
      <c r="C968" s="4" t="n"/>
      <c r="D968" s="4" t="n"/>
      <c r="E968" s="4" t="n"/>
      <c r="F968" s="4" t="n"/>
      <c r="G968" s="4" t="n"/>
      <c r="H968" s="4" t="n"/>
      <c r="I968" s="4" t="n"/>
    </row>
    <row r="969" ht="15.75" customHeight="1" s="108">
      <c r="A969" s="4" t="n"/>
      <c r="B969" s="4" t="n"/>
      <c r="C969" s="4" t="n"/>
      <c r="D969" s="4" t="n"/>
      <c r="E969" s="4" t="n"/>
      <c r="F969" s="4" t="n"/>
      <c r="G969" s="4" t="n"/>
      <c r="H969" s="4" t="n"/>
      <c r="I969" s="4" t="n"/>
    </row>
    <row r="970" ht="15.75" customHeight="1" s="108">
      <c r="A970" s="4" t="n"/>
      <c r="B970" s="4" t="n"/>
      <c r="C970" s="4" t="n"/>
      <c r="D970" s="4" t="n"/>
      <c r="E970" s="4" t="n"/>
      <c r="F970" s="4" t="n"/>
      <c r="G970" s="4" t="n"/>
      <c r="H970" s="4" t="n"/>
      <c r="I970" s="4" t="n"/>
    </row>
    <row r="971" ht="15.75" customHeight="1" s="108">
      <c r="A971" s="4" t="n"/>
      <c r="B971" s="4" t="n"/>
      <c r="C971" s="4" t="n"/>
      <c r="D971" s="4" t="n"/>
      <c r="E971" s="4" t="n"/>
      <c r="F971" s="4" t="n"/>
      <c r="G971" s="4" t="n"/>
      <c r="H971" s="4" t="n"/>
      <c r="I971" s="4" t="n"/>
    </row>
    <row r="972" ht="15.75" customHeight="1" s="108">
      <c r="A972" s="4" t="n"/>
      <c r="B972" s="4" t="n"/>
      <c r="C972" s="4" t="n"/>
      <c r="D972" s="4" t="n"/>
      <c r="E972" s="4" t="n"/>
      <c r="F972" s="4" t="n"/>
      <c r="G972" s="4" t="n"/>
      <c r="H972" s="4" t="n"/>
      <c r="I972" s="4" t="n"/>
    </row>
    <row r="973" ht="15.75" customHeight="1" s="108">
      <c r="A973" s="4" t="n"/>
      <c r="B973" s="4" t="n"/>
      <c r="C973" s="4" t="n"/>
      <c r="D973" s="4" t="n"/>
      <c r="E973" s="4" t="n"/>
      <c r="F973" s="4" t="n"/>
      <c r="G973" s="4" t="n"/>
      <c r="H973" s="4" t="n"/>
      <c r="I973" s="4" t="n"/>
    </row>
    <row r="974" ht="15.75" customHeight="1" s="108">
      <c r="A974" s="4" t="n"/>
      <c r="B974" s="4" t="n"/>
      <c r="C974" s="4" t="n"/>
      <c r="D974" s="4" t="n"/>
      <c r="E974" s="4" t="n"/>
      <c r="F974" s="4" t="n"/>
      <c r="G974" s="4" t="n"/>
      <c r="H974" s="4" t="n"/>
      <c r="I974" s="4" t="n"/>
    </row>
    <row r="975" ht="15.75" customHeight="1" s="108">
      <c r="A975" s="4" t="n"/>
      <c r="B975" s="4" t="n"/>
      <c r="C975" s="4" t="n"/>
      <c r="D975" s="4" t="n"/>
      <c r="E975" s="4" t="n"/>
      <c r="F975" s="4" t="n"/>
      <c r="G975" s="4" t="n"/>
      <c r="H975" s="4" t="n"/>
      <c r="I975" s="4" t="n"/>
    </row>
    <row r="976" ht="15.75" customHeight="1" s="108">
      <c r="A976" s="4" t="n"/>
      <c r="B976" s="4" t="n"/>
      <c r="C976" s="4" t="n"/>
      <c r="D976" s="4" t="n"/>
      <c r="E976" s="4" t="n"/>
      <c r="F976" s="4" t="n"/>
      <c r="G976" s="4" t="n"/>
      <c r="H976" s="4" t="n"/>
      <c r="I976" s="4" t="n"/>
    </row>
    <row r="977" ht="15.75" customHeight="1" s="108">
      <c r="A977" s="4" t="n"/>
      <c r="B977" s="4" t="n"/>
      <c r="C977" s="4" t="n"/>
      <c r="D977" s="4" t="n"/>
      <c r="E977" s="4" t="n"/>
      <c r="F977" s="4" t="n"/>
      <c r="G977" s="4" t="n"/>
      <c r="H977" s="4" t="n"/>
      <c r="I977" s="4" t="n"/>
    </row>
    <row r="978" ht="15.75" customHeight="1" s="108">
      <c r="A978" s="4" t="n"/>
      <c r="B978" s="4" t="n"/>
      <c r="C978" s="4" t="n"/>
      <c r="D978" s="4" t="n"/>
      <c r="E978" s="4" t="n"/>
      <c r="F978" s="4" t="n"/>
      <c r="G978" s="4" t="n"/>
      <c r="H978" s="4" t="n"/>
      <c r="I978" s="4" t="n"/>
    </row>
    <row r="979" ht="15.75" customHeight="1" s="108">
      <c r="A979" s="4" t="n"/>
      <c r="B979" s="4" t="n"/>
      <c r="C979" s="4" t="n"/>
      <c r="D979" s="4" t="n"/>
      <c r="E979" s="4" t="n"/>
      <c r="F979" s="4" t="n"/>
      <c r="G979" s="4" t="n"/>
      <c r="H979" s="4" t="n"/>
      <c r="I979" s="4" t="n"/>
    </row>
    <row r="980" ht="15.75" customHeight="1" s="108">
      <c r="A980" s="4" t="n"/>
      <c r="B980" s="4" t="n"/>
      <c r="C980" s="4" t="n"/>
      <c r="D980" s="4" t="n"/>
      <c r="E980" s="4" t="n"/>
      <c r="F980" s="4" t="n"/>
      <c r="G980" s="4" t="n"/>
      <c r="H980" s="4" t="n"/>
      <c r="I980" s="4" t="n"/>
    </row>
    <row r="981" ht="15.75" customHeight="1" s="108">
      <c r="A981" s="4" t="n"/>
      <c r="B981" s="4" t="n"/>
      <c r="C981" s="4" t="n"/>
      <c r="D981" s="4" t="n"/>
      <c r="E981" s="4" t="n"/>
      <c r="F981" s="4" t="n"/>
      <c r="G981" s="4" t="n"/>
      <c r="H981" s="4" t="n"/>
      <c r="I981" s="4" t="n"/>
    </row>
    <row r="982" ht="15.75" customHeight="1" s="108">
      <c r="A982" s="4" t="n"/>
      <c r="B982" s="4" t="n"/>
      <c r="C982" s="4" t="n"/>
      <c r="D982" s="4" t="n"/>
      <c r="E982" s="4" t="n"/>
      <c r="F982" s="4" t="n"/>
      <c r="G982" s="4" t="n"/>
      <c r="H982" s="4" t="n"/>
      <c r="I982" s="4" t="n"/>
    </row>
    <row r="983" ht="15.75" customHeight="1" s="108">
      <c r="A983" s="4" t="n"/>
      <c r="B983" s="4" t="n"/>
      <c r="C983" s="4" t="n"/>
      <c r="D983" s="4" t="n"/>
      <c r="E983" s="4" t="n"/>
      <c r="F983" s="4" t="n"/>
      <c r="G983" s="4" t="n"/>
      <c r="H983" s="4" t="n"/>
      <c r="I983" s="4" t="n"/>
    </row>
    <row r="984" ht="15.75" customHeight="1" s="108">
      <c r="A984" s="4" t="n"/>
      <c r="B984" s="4" t="n"/>
      <c r="C984" s="4" t="n"/>
      <c r="D984" s="4" t="n"/>
      <c r="E984" s="4" t="n"/>
      <c r="F984" s="4" t="n"/>
      <c r="G984" s="4" t="n"/>
      <c r="H984" s="4" t="n"/>
      <c r="I984" s="4" t="n"/>
    </row>
    <row r="985" ht="15.75" customHeight="1" s="108">
      <c r="A985" s="4" t="n"/>
      <c r="B985" s="4" t="n"/>
      <c r="C985" s="4" t="n"/>
      <c r="D985" s="4" t="n"/>
      <c r="E985" s="4" t="n"/>
      <c r="F985" s="4" t="n"/>
      <c r="G985" s="4" t="n"/>
      <c r="H985" s="4" t="n"/>
      <c r="I985" s="4" t="n"/>
    </row>
    <row r="986" ht="15.75" customHeight="1" s="108">
      <c r="A986" s="4" t="n"/>
      <c r="B986" s="4" t="n"/>
      <c r="C986" s="4" t="n"/>
      <c r="D986" s="4" t="n"/>
      <c r="E986" s="4" t="n"/>
      <c r="F986" s="4" t="n"/>
      <c r="G986" s="4" t="n"/>
      <c r="H986" s="4" t="n"/>
      <c r="I986" s="4" t="n"/>
    </row>
    <row r="987" ht="15.75" customHeight="1" s="108">
      <c r="A987" s="4" t="n"/>
      <c r="B987" s="4" t="n"/>
      <c r="C987" s="4" t="n"/>
      <c r="D987" s="4" t="n"/>
      <c r="E987" s="4" t="n"/>
      <c r="F987" s="4" t="n"/>
      <c r="G987" s="4" t="n"/>
      <c r="H987" s="4" t="n"/>
      <c r="I987" s="4" t="n"/>
    </row>
    <row r="988" ht="15.75" customHeight="1" s="108">
      <c r="A988" s="4" t="n"/>
      <c r="B988" s="4" t="n"/>
      <c r="C988" s="4" t="n"/>
      <c r="D988" s="4" t="n"/>
      <c r="E988" s="4" t="n"/>
      <c r="F988" s="4" t="n"/>
      <c r="G988" s="4" t="n"/>
      <c r="H988" s="4" t="n"/>
      <c r="I988" s="4" t="n"/>
    </row>
    <row r="989" ht="15.75" customHeight="1" s="108">
      <c r="A989" s="4" t="n"/>
      <c r="B989" s="4" t="n"/>
      <c r="C989" s="4" t="n"/>
      <c r="D989" s="4" t="n"/>
      <c r="E989" s="4" t="n"/>
      <c r="F989" s="4" t="n"/>
      <c r="G989" s="4" t="n"/>
      <c r="H989" s="4" t="n"/>
      <c r="I989" s="4" t="n"/>
    </row>
    <row r="990" ht="15.75" customHeight="1" s="108">
      <c r="A990" s="4" t="n"/>
      <c r="B990" s="4" t="n"/>
      <c r="C990" s="4" t="n"/>
      <c r="D990" s="4" t="n"/>
      <c r="E990" s="4" t="n"/>
      <c r="F990" s="4" t="n"/>
      <c r="G990" s="4" t="n"/>
      <c r="H990" s="4" t="n"/>
      <c r="I990" s="4" t="n"/>
    </row>
    <row r="991" ht="15.75" customHeight="1" s="108">
      <c r="A991" s="4" t="n"/>
      <c r="B991" s="4" t="n"/>
      <c r="C991" s="4" t="n"/>
      <c r="D991" s="4" t="n"/>
      <c r="E991" s="4" t="n"/>
      <c r="F991" s="4" t="n"/>
      <c r="G991" s="4" t="n"/>
      <c r="H991" s="4" t="n"/>
      <c r="I991" s="4" t="n"/>
    </row>
    <row r="992" ht="15.75" customHeight="1" s="108">
      <c r="A992" s="4" t="n"/>
      <c r="B992" s="4" t="n"/>
      <c r="C992" s="4" t="n"/>
      <c r="D992" s="4" t="n"/>
      <c r="E992" s="4" t="n"/>
      <c r="F992" s="4" t="n"/>
      <c r="G992" s="4" t="n"/>
      <c r="H992" s="4" t="n"/>
      <c r="I992" s="4" t="n"/>
    </row>
    <row r="993" ht="15.75" customHeight="1" s="108">
      <c r="A993" s="4" t="n"/>
      <c r="B993" s="4" t="n"/>
      <c r="C993" s="4" t="n"/>
      <c r="D993" s="4" t="n"/>
      <c r="E993" s="4" t="n"/>
      <c r="F993" s="4" t="n"/>
      <c r="G993" s="4" t="n"/>
      <c r="H993" s="4" t="n"/>
      <c r="I993" s="4" t="n"/>
    </row>
    <row r="994" ht="15.75" customHeight="1" s="108">
      <c r="A994" s="0" t="inlineStr">
        <is>
          <t>The accountant 2</t>
        </is>
      </c>
      <c r="C994" s="0" t="n">
        <v>4</v>
      </c>
      <c r="H994" s="0" t="inlineStr">
        <is>
          <t>No</t>
        </is>
      </c>
    </row>
    <row r="995" ht="15.75" customHeight="1" s="108">
      <c r="A995" s="0" t="inlineStr">
        <is>
          <t>Air</t>
        </is>
      </c>
      <c r="C995" s="0" t="n">
        <v>4</v>
      </c>
      <c r="H995" s="0" t="inlineStr">
        <is>
          <t>No</t>
        </is>
      </c>
    </row>
    <row r="996" ht="15.75" customHeight="1" s="108">
      <c r="A996" s="0" t="inlineStr">
        <is>
          <t>Avatar 3</t>
        </is>
      </c>
      <c r="C996" s="0" t="n">
        <v>4</v>
      </c>
      <c r="H996" s="0" t="inlineStr">
        <is>
          <t>No</t>
        </is>
      </c>
    </row>
    <row r="997" ht="15.75" customHeight="1" s="108">
      <c r="A997" s="0" t="inlineStr">
        <is>
          <t>Cloudy with a chance of meatballs</t>
        </is>
      </c>
      <c r="C997" s="0" t="n">
        <v>4</v>
      </c>
      <c r="H997" s="0" t="inlineStr">
        <is>
          <t>No</t>
        </is>
      </c>
    </row>
    <row r="998" ht="15.75" customHeight="1" s="108">
      <c r="A998" s="0" t="inlineStr">
        <is>
          <t>Clerks</t>
        </is>
      </c>
      <c r="C998" s="0" t="n">
        <v>4</v>
      </c>
      <c r="E998" s="0" t="n">
        <v>5</v>
      </c>
      <c r="F998" s="0" t="inlineStr">
        <is>
          <t>cex</t>
        </is>
      </c>
      <c r="G998" s="0" t="inlineStr">
        <is>
          <t>2026-08-27</t>
        </is>
      </c>
      <c r="H998" s="0" t="inlineStr">
        <is>
          <t>No</t>
        </is>
      </c>
    </row>
    <row r="999" ht="15.75" customHeight="1" s="108">
      <c r="A999" s="0" t="inlineStr">
        <is>
          <t>Clerks 2</t>
        </is>
      </c>
      <c r="C999" s="0" t="n">
        <v>4</v>
      </c>
      <c r="H999" s="0" t="inlineStr">
        <is>
          <t>No</t>
        </is>
      </c>
    </row>
    <row r="1000" ht="15.75" customHeight="1" s="108">
      <c r="A1000" s="0" t="inlineStr">
        <is>
          <t>Clerks 3</t>
        </is>
      </c>
      <c r="C1000" s="0" t="n">
        <v>4</v>
      </c>
      <c r="E1000" s="0" t="n">
        <v>6</v>
      </c>
      <c r="F1000" s="0" t="inlineStr">
        <is>
          <t>CEX</t>
        </is>
      </c>
      <c r="G1000" s="0" t="inlineStr">
        <is>
          <t>2026-08-27</t>
        </is>
      </c>
      <c r="H1000" s="0" t="inlineStr">
        <is>
          <t>No</t>
        </is>
      </c>
    </row>
    <row r="1001">
      <c r="A1001" s="0" t="inlineStr">
        <is>
          <t>Die hard</t>
        </is>
      </c>
      <c r="C1001" s="0" t="n">
        <v>4</v>
      </c>
      <c r="H1001" s="0" t="inlineStr">
        <is>
          <t>No</t>
        </is>
      </c>
    </row>
    <row r="1002">
      <c r="A1002" s="0" t="inlineStr">
        <is>
          <t>Die hard 2</t>
        </is>
      </c>
      <c r="C1002" s="0" t="n">
        <v>4</v>
      </c>
      <c r="H1002" s="0" t="inlineStr">
        <is>
          <t>No</t>
        </is>
      </c>
    </row>
    <row r="1003">
      <c r="A1003" s="0" t="inlineStr">
        <is>
          <t>Die hard 3</t>
        </is>
      </c>
      <c r="C1003" s="0" t="n">
        <v>4</v>
      </c>
      <c r="H1003" s="0" t="inlineStr">
        <is>
          <t>No</t>
        </is>
      </c>
    </row>
    <row r="1004">
      <c r="A1004" s="0" t="inlineStr">
        <is>
          <t>Die hard 5</t>
        </is>
      </c>
      <c r="C1004" s="0" t="n">
        <v>4</v>
      </c>
      <c r="H1004" s="0" t="inlineStr">
        <is>
          <t>No</t>
        </is>
      </c>
    </row>
    <row r="1005">
      <c r="A1005" s="0" t="inlineStr">
        <is>
          <t>Despicable me 4</t>
        </is>
      </c>
      <c r="C1005" s="0" t="n">
        <v>4</v>
      </c>
      <c r="E1005" s="0" t="n">
        <v>8</v>
      </c>
      <c r="F1005" s="0" t="inlineStr">
        <is>
          <t>CEX</t>
        </is>
      </c>
      <c r="G1005" s="0" t="inlineStr">
        <is>
          <t>2026-08-26</t>
        </is>
      </c>
      <c r="H1005" s="0" t="inlineStr">
        <is>
          <t>No</t>
        </is>
      </c>
    </row>
    <row r="1006">
      <c r="A1006" s="0" t="inlineStr">
        <is>
          <t>Dodgeball</t>
        </is>
      </c>
      <c r="C1006" s="0" t="n">
        <v>4</v>
      </c>
      <c r="E1006" s="0" t="n">
        <v>12</v>
      </c>
      <c r="F1006" s="0" t="inlineStr">
        <is>
          <t>Amazon</t>
        </is>
      </c>
      <c r="G1006" s="0" t="inlineStr">
        <is>
          <t>2026-08-23</t>
        </is>
      </c>
      <c r="H1006" s="0" t="inlineStr">
        <is>
          <t>No</t>
        </is>
      </c>
    </row>
    <row r="1007">
      <c r="A1007" s="0" t="inlineStr">
        <is>
          <t>Expendables 4</t>
        </is>
      </c>
      <c r="C1007" s="0" t="n">
        <v>4</v>
      </c>
      <c r="E1007" s="0" t="n">
        <v>7</v>
      </c>
      <c r="F1007" s="0" t="inlineStr">
        <is>
          <t xml:space="preserve">HMV </t>
        </is>
      </c>
      <c r="G1007" s="0" t="inlineStr">
        <is>
          <t>2026-08-23</t>
        </is>
      </c>
      <c r="H1007" s="0" t="inlineStr">
        <is>
          <t>No</t>
        </is>
      </c>
    </row>
    <row r="1008">
      <c r="A1008" s="0" t="inlineStr">
        <is>
          <t>Happy feet</t>
        </is>
      </c>
      <c r="C1008" s="0" t="n">
        <v>4</v>
      </c>
      <c r="E1008" s="0" t="n">
        <v>3</v>
      </c>
      <c r="F1008" s="0" t="inlineStr">
        <is>
          <t>CEX</t>
        </is>
      </c>
      <c r="G1008" s="0" t="inlineStr">
        <is>
          <t>2026-08-26</t>
        </is>
      </c>
      <c r="H1008" s="0" t="inlineStr">
        <is>
          <t>No</t>
        </is>
      </c>
    </row>
    <row r="1009">
      <c r="A1009" s="0" t="inlineStr">
        <is>
          <t>Httyd 2</t>
        </is>
      </c>
      <c r="C1009" s="0" t="n">
        <v>4</v>
      </c>
      <c r="H1009" s="0" t="inlineStr">
        <is>
          <t>No</t>
        </is>
      </c>
    </row>
    <row r="1010">
      <c r="A1010" s="0" t="inlineStr">
        <is>
          <t>Httyd 3</t>
        </is>
      </c>
      <c r="C1010" s="0" t="n">
        <v>4</v>
      </c>
      <c r="H1010" s="0" t="inlineStr">
        <is>
          <t>No</t>
        </is>
      </c>
    </row>
    <row r="1011">
      <c r="A1011" s="0" t="inlineStr">
        <is>
          <t>Howls moving castle</t>
        </is>
      </c>
      <c r="C1011" s="0" t="n">
        <v>4</v>
      </c>
      <c r="E1011" s="0" t="n">
        <v>18</v>
      </c>
      <c r="F1011" s="0" t="inlineStr">
        <is>
          <t xml:space="preserve">CEX </t>
        </is>
      </c>
      <c r="G1011" s="0" t="inlineStr">
        <is>
          <t>2026-08-23</t>
        </is>
      </c>
      <c r="H1011" s="0" t="inlineStr">
        <is>
          <t>No</t>
        </is>
      </c>
    </row>
    <row r="1012">
      <c r="A1012" s="0" t="inlineStr">
        <is>
          <t>Ice age 1</t>
        </is>
      </c>
      <c r="C1012" s="0" t="n">
        <v>4</v>
      </c>
      <c r="H1012" s="0" t="inlineStr">
        <is>
          <t>No</t>
        </is>
      </c>
    </row>
    <row r="1013">
      <c r="A1013" s="0" t="inlineStr">
        <is>
          <t>Ice age 4</t>
        </is>
      </c>
      <c r="C1013" s="0" t="n">
        <v>4</v>
      </c>
      <c r="H1013" s="0" t="inlineStr">
        <is>
          <t>No</t>
        </is>
      </c>
    </row>
    <row r="1014">
      <c r="A1014" s="0" t="inlineStr">
        <is>
          <t>Ice age 5</t>
        </is>
      </c>
      <c r="C1014" s="0" t="n">
        <v>4</v>
      </c>
      <c r="H1014" s="0" t="inlineStr">
        <is>
          <t>No</t>
        </is>
      </c>
    </row>
    <row r="1015">
      <c r="A1015" s="0" t="inlineStr">
        <is>
          <t>Inside out 2</t>
        </is>
      </c>
      <c r="C1015" s="0" t="n">
        <v>4</v>
      </c>
      <c r="H1015" s="0" t="inlineStr">
        <is>
          <t>No</t>
        </is>
      </c>
    </row>
    <row r="1016">
      <c r="A1016" s="0" t="inlineStr">
        <is>
          <t>Jason bourne</t>
        </is>
      </c>
      <c r="C1016" s="0" t="n">
        <v>4</v>
      </c>
      <c r="H1016" s="0" t="inlineStr">
        <is>
          <t>No</t>
        </is>
      </c>
    </row>
    <row r="1017">
      <c r="A1017" s="0" t="inlineStr">
        <is>
          <t>John wick 3</t>
        </is>
      </c>
      <c r="C1017" s="0" t="n">
        <v>4</v>
      </c>
      <c r="H1017" s="0" t="inlineStr">
        <is>
          <t>No</t>
        </is>
      </c>
    </row>
    <row r="1018">
      <c r="A1018" s="0" t="inlineStr">
        <is>
          <t>John wick 4</t>
        </is>
      </c>
      <c r="C1018" s="0" t="n">
        <v>4</v>
      </c>
      <c r="H1018" s="0" t="inlineStr">
        <is>
          <t>No</t>
        </is>
      </c>
    </row>
    <row r="1019">
      <c r="A1019" s="0" t="inlineStr">
        <is>
          <t>Madagascar 1</t>
        </is>
      </c>
      <c r="C1019" s="0" t="n">
        <v>4</v>
      </c>
      <c r="H1019" s="0" t="inlineStr">
        <is>
          <t>No</t>
        </is>
      </c>
    </row>
    <row r="1020">
      <c r="A1020" s="0" t="inlineStr">
        <is>
          <t>Madagascar 2</t>
        </is>
      </c>
      <c r="C1020" s="0" t="n">
        <v>4</v>
      </c>
      <c r="H1020" s="0" t="inlineStr">
        <is>
          <t>No</t>
        </is>
      </c>
    </row>
    <row r="1021">
      <c r="A1021" s="0" t="inlineStr">
        <is>
          <t>Madagascar 3</t>
        </is>
      </c>
      <c r="C1021" s="0" t="n">
        <v>4</v>
      </c>
      <c r="H1021" s="0" t="inlineStr">
        <is>
          <t>No</t>
        </is>
      </c>
    </row>
    <row r="1022">
      <c r="A1022" s="0" t="inlineStr">
        <is>
          <t>Matrix 4</t>
        </is>
      </c>
      <c r="C1022" s="0" t="n">
        <v>4</v>
      </c>
      <c r="H1022" s="0" t="inlineStr">
        <is>
          <t>No</t>
        </is>
      </c>
    </row>
    <row r="1023">
      <c r="A1023" s="0" t="inlineStr">
        <is>
          <t>Men in black 2</t>
        </is>
      </c>
      <c r="C1023" s="0" t="n">
        <v>4</v>
      </c>
      <c r="H1023" s="0" t="inlineStr">
        <is>
          <t>No</t>
        </is>
      </c>
    </row>
    <row r="1024">
      <c r="A1024" s="0" t="inlineStr">
        <is>
          <t>Minions 2</t>
        </is>
      </c>
      <c r="C1024" s="0" t="n">
        <v>4</v>
      </c>
      <c r="H1024" s="0" t="inlineStr">
        <is>
          <t>No</t>
        </is>
      </c>
    </row>
    <row r="1025">
      <c r="A1025" s="0" t="inlineStr">
        <is>
          <t>Night at the museum 3</t>
        </is>
      </c>
      <c r="C1025" s="0" t="n">
        <v>4</v>
      </c>
      <c r="H1025" s="0" t="inlineStr">
        <is>
          <t>No</t>
        </is>
      </c>
    </row>
    <row r="1026">
      <c r="A1026" s="0" t="inlineStr">
        <is>
          <t>Pacific rim 2</t>
        </is>
      </c>
      <c r="C1026" s="0" t="n">
        <v>4</v>
      </c>
      <c r="H1026" s="0" t="inlineStr">
        <is>
          <t>No</t>
        </is>
      </c>
    </row>
    <row r="1027">
      <c r="A1027" s="0" t="inlineStr">
        <is>
          <t>Paddington 2</t>
        </is>
      </c>
      <c r="C1027" s="0" t="n">
        <v>4</v>
      </c>
      <c r="H1027" s="0" t="inlineStr">
        <is>
          <t>No</t>
        </is>
      </c>
    </row>
    <row r="1028">
      <c r="A1028" s="0" t="inlineStr">
        <is>
          <t>Chronicle of Riddick</t>
        </is>
      </c>
      <c r="C1028" s="0" t="n">
        <v>4</v>
      </c>
      <c r="H1028" s="0" t="inlineStr">
        <is>
          <t>No</t>
        </is>
      </c>
    </row>
    <row r="1029">
      <c r="A1029" s="0" t="inlineStr">
        <is>
          <t>Rush hour 1</t>
        </is>
      </c>
      <c r="C1029" s="0" t="n">
        <v>4</v>
      </c>
      <c r="H1029" s="0" t="inlineStr">
        <is>
          <t>No</t>
        </is>
      </c>
    </row>
    <row r="1030">
      <c r="A1030" s="0" t="inlineStr">
        <is>
          <t>Rush hour 2</t>
        </is>
      </c>
      <c r="C1030" s="0" t="n">
        <v>4</v>
      </c>
      <c r="H1030" s="0" t="inlineStr">
        <is>
          <t>No</t>
        </is>
      </c>
    </row>
    <row r="1031">
      <c r="A1031" s="0" t="inlineStr">
        <is>
          <t>Sin city 2</t>
        </is>
      </c>
      <c r="C1031" s="0" t="n">
        <v>4</v>
      </c>
      <c r="H1031" s="0" t="inlineStr">
        <is>
          <t>No</t>
        </is>
      </c>
    </row>
    <row r="1032">
      <c r="A1032" s="0" t="inlineStr">
        <is>
          <t>School of rock</t>
        </is>
      </c>
      <c r="C1032" s="0" t="n">
        <v>4</v>
      </c>
      <c r="H1032" s="0" t="inlineStr">
        <is>
          <t>No</t>
        </is>
      </c>
    </row>
    <row r="1033">
      <c r="A1033" s="0" t="inlineStr">
        <is>
          <t>Spirited away</t>
        </is>
      </c>
      <c r="C1033" s="0" t="n">
        <v>4</v>
      </c>
      <c r="H1033" s="0" t="inlineStr">
        <is>
          <t>No</t>
        </is>
      </c>
    </row>
    <row r="1034">
      <c r="A1034" s="0" t="inlineStr">
        <is>
          <t>Taken 3</t>
        </is>
      </c>
      <c r="C1034" s="0" t="n">
        <v>4</v>
      </c>
      <c r="H1034" s="0" t="inlineStr">
        <is>
          <t>No</t>
        </is>
      </c>
    </row>
    <row r="1035">
      <c r="A1035" s="0" t="inlineStr">
        <is>
          <t>Ted 2</t>
        </is>
      </c>
      <c r="C1035" s="0" t="n">
        <v>4</v>
      </c>
      <c r="H1035" s="0" t="inlineStr">
        <is>
          <t>No</t>
        </is>
      </c>
    </row>
    <row r="1036">
      <c r="A1036" s="0" t="inlineStr">
        <is>
          <t>Underworld blood wars</t>
        </is>
      </c>
      <c r="C1036" s="0" t="n">
        <v>4</v>
      </c>
      <c r="H1036" s="0" t="inlineStr">
        <is>
          <t>No</t>
        </is>
      </c>
    </row>
  </sheetData>
  <mergeCells count="2">
    <mergeCell ref="A1:I1"/>
    <mergeCell ref="A2:I2"/>
  </mergeCells>
  <conditionalFormatting sqref="B5:B46">
    <cfRule type="expression" priority="1" dxfId="0">
      <formula>B5="Your list"</formula>
    </cfRule>
    <cfRule type="expression" priority="2" dxfId="1">
      <formula>B5="Recommended"</formula>
    </cfRule>
  </conditionalFormatting>
  <conditionalFormatting sqref="H5:H46">
    <cfRule type="expression" priority="3" dxfId="2">
      <formula>H5="Yes"</formula>
    </cfRule>
  </conditionalFormatting>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F1000"/>
  <sheetViews>
    <sheetView workbookViewId="0">
      <selection activeCell="A1" sqref="A1"/>
    </sheetView>
  </sheetViews>
  <sheetFormatPr baseColWidth="8" defaultColWidth="14.43" defaultRowHeight="15" customHeight="1"/>
  <cols>
    <col width="26" customWidth="1" style="108" min="1" max="2"/>
    <col width="14" customWidth="1" style="108" min="3" max="3"/>
    <col width="12" customWidth="1" style="108" min="4" max="5"/>
    <col width="8.710000000000001" customWidth="1" style="108" min="6" max="6"/>
  </cols>
  <sheetData>
    <row r="1" ht="23.25" customHeight="1" s="108">
      <c r="A1" s="115" t="inlineStr">
        <is>
          <t>🏆 COLLECTION / FRANCHISE TRACKER</t>
        </is>
      </c>
      <c r="F1" s="4" t="n"/>
    </row>
    <row r="2">
      <c r="A2" s="116" t="inlineStr">
        <is>
          <t>Owned counts are calculated from the Collection tab. Target totals are editable so you can define exactly what 'complete' means to you.</t>
        </is>
      </c>
      <c r="F2" s="4" t="n"/>
    </row>
    <row r="3">
      <c r="A3" s="4" t="n"/>
      <c r="B3" s="4" t="n"/>
      <c r="C3" s="4" t="n"/>
      <c r="D3" s="4" t="n"/>
      <c r="E3" s="4" t="n"/>
      <c r="F3" s="4" t="n"/>
    </row>
    <row r="4" ht="30" customHeight="1" s="108">
      <c r="A4" s="8" t="inlineStr">
        <is>
          <t>Collection</t>
        </is>
      </c>
      <c r="B4" s="8" t="inlineStr">
        <is>
          <t>Owned Films</t>
        </is>
      </c>
      <c r="C4" s="8" t="inlineStr">
        <is>
          <t>Target Films</t>
        </is>
      </c>
      <c r="D4" s="8" t="inlineStr">
        <is>
          <t>Missing</t>
        </is>
      </c>
      <c r="E4" s="8" t="inlineStr">
        <is>
          <t>% Complete</t>
        </is>
      </c>
      <c r="F4" s="4" t="n"/>
    </row>
    <row r="5">
      <c r="A5" s="9" t="inlineStr">
        <is>
          <t>James Bond</t>
        </is>
      </c>
      <c r="B5" s="9">
        <f>COUNTIF(Collection!$E$5:$E$500,A5)</f>
        <v/>
      </c>
      <c r="C5" s="13" t="n">
        <v>5</v>
      </c>
      <c r="D5" s="9">
        <f>IF(C5="","",MAX(C5-B5,0))</f>
        <v/>
      </c>
      <c r="E5" s="16">
        <f>IF(C5="","",MIN(B5/C5,1))</f>
        <v/>
      </c>
      <c r="F5" s="4" t="n"/>
    </row>
    <row r="6">
      <c r="A6" s="9" t="inlineStr">
        <is>
          <t>Alien</t>
        </is>
      </c>
      <c r="B6" s="9">
        <f>COUNTIF(Collection!$E$5:$E$500,A6)</f>
        <v/>
      </c>
      <c r="C6" s="13" t="n">
        <v>7</v>
      </c>
      <c r="D6" s="9">
        <f>IF(C6="","",MAX(C6-B6,0))</f>
        <v/>
      </c>
      <c r="E6" s="16">
        <f>IF(C6="","",MIN(B6/C6,1))</f>
        <v/>
      </c>
      <c r="F6" s="4" t="n"/>
    </row>
    <row r="7">
      <c r="A7" s="9" t="inlineStr">
        <is>
          <t>Bourne</t>
        </is>
      </c>
      <c r="B7" s="9">
        <f>COUNTIF(Collection!$E$5:$E$500,A7)</f>
        <v/>
      </c>
      <c r="C7" s="13" t="n">
        <v>5</v>
      </c>
      <c r="D7" s="9">
        <f>IF(C7="","",MAX(C7-B7,0))</f>
        <v/>
      </c>
      <c r="E7" s="16">
        <f>IF(C7="","",MIN(B7/C7,1))</f>
        <v/>
      </c>
      <c r="F7" s="4" t="n"/>
    </row>
    <row r="8">
      <c r="A8" s="9" t="inlineStr">
        <is>
          <t>Fast &amp; Furious</t>
        </is>
      </c>
      <c r="B8" s="9">
        <f>COUNTIF(Collection!$E$5:$E$500,A8)</f>
        <v/>
      </c>
      <c r="C8" s="13" t="n">
        <v>11</v>
      </c>
      <c r="D8" s="9">
        <f>IF(C8="","",MAX(C8-B8,0))</f>
        <v/>
      </c>
      <c r="E8" s="16">
        <f>IF(C8="","",MIN(B8/C8,1))</f>
        <v/>
      </c>
      <c r="F8" s="4" t="n"/>
    </row>
    <row r="9">
      <c r="A9" s="9" t="inlineStr">
        <is>
          <t>Harry Potter</t>
        </is>
      </c>
      <c r="B9" s="9">
        <f>COUNTIF(Collection!$E$5:$E$500,A9)</f>
        <v/>
      </c>
      <c r="C9" s="13" t="n">
        <v>8</v>
      </c>
      <c r="D9" s="9">
        <f>IF(C9="","",MAX(C9-B9,0))</f>
        <v/>
      </c>
      <c r="E9" s="16">
        <f>IF(C9="","",MIN(B9/C9,1))</f>
        <v/>
      </c>
      <c r="F9" s="4" t="n"/>
    </row>
    <row r="10">
      <c r="A10" s="9" t="inlineStr">
        <is>
          <t>Wizarding World</t>
        </is>
      </c>
      <c r="B10" s="9">
        <f>COUNTIF(Collection!$E$5:$E$500,A10)</f>
        <v/>
      </c>
      <c r="C10" s="13" t="n">
        <v>3</v>
      </c>
      <c r="D10" s="9">
        <f>IF(C10="","",MAX(C10-B10,0))</f>
        <v/>
      </c>
      <c r="E10" s="16">
        <f>IF(C10="","",MIN(B10/C10,1))</f>
        <v/>
      </c>
      <c r="F10" s="4" t="n"/>
    </row>
    <row r="11">
      <c r="A11" s="9" t="inlineStr">
        <is>
          <t>Hobbit</t>
        </is>
      </c>
      <c r="B11" s="9">
        <f>COUNTIF(Collection!$E$5:$E$500,A11)</f>
        <v/>
      </c>
      <c r="C11" s="13" t="n">
        <v>3</v>
      </c>
      <c r="D11" s="9">
        <f>IF(C11="","",MAX(C11-B11,0))</f>
        <v/>
      </c>
      <c r="E11" s="16">
        <f>IF(C11="","",MIN(B11/C11,1))</f>
        <v/>
      </c>
      <c r="F11" s="4" t="n"/>
    </row>
    <row r="12">
      <c r="A12" s="9" t="inlineStr">
        <is>
          <t>Lord of the Rings</t>
        </is>
      </c>
      <c r="B12" s="9">
        <f>COUNTIF(Collection!$E$5:$E$500,A12)</f>
        <v/>
      </c>
      <c r="C12" s="13" t="n">
        <v>3</v>
      </c>
      <c r="D12" s="9">
        <f>IF(C12="","",MAX(C12-B12,0))</f>
        <v/>
      </c>
      <c r="E12" s="16">
        <f>IF(C12="","",MIN(B12/C12,1))</f>
        <v/>
      </c>
      <c r="F12" s="4" t="n"/>
    </row>
    <row r="13">
      <c r="A13" s="9" t="inlineStr">
        <is>
          <t>Mission: Impossible</t>
        </is>
      </c>
      <c r="B13" s="9">
        <f>COUNTIF(Collection!$E$5:$E$500,A13)</f>
        <v/>
      </c>
      <c r="C13" s="13" t="n">
        <v>8</v>
      </c>
      <c r="D13" s="9">
        <f>IF(C13="","",MAX(C13-B13,0))</f>
        <v/>
      </c>
      <c r="E13" s="16">
        <f>IF(C13="","",MIN(B13/C13,1))</f>
        <v/>
      </c>
      <c r="F13" s="4" t="n"/>
    </row>
    <row r="14">
      <c r="A14" s="9" t="inlineStr">
        <is>
          <t>X-Men</t>
        </is>
      </c>
      <c r="B14" s="9">
        <f>COUNTIF(Collection!$E$5:$E$500,A14)</f>
        <v/>
      </c>
      <c r="C14" s="13" t="n">
        <v>10</v>
      </c>
      <c r="D14" s="9">
        <f>IF(C14="","",MAX(C14-B14,0))</f>
        <v/>
      </c>
      <c r="E14" s="16">
        <f>IF(C14="","",MIN(B14/C14,1))</f>
        <v/>
      </c>
      <c r="F14" s="4" t="n"/>
    </row>
    <row r="15">
      <c r="A15" s="9" t="inlineStr">
        <is>
          <t>Deadpool / X-Men</t>
        </is>
      </c>
      <c r="B15" s="9">
        <f>COUNTIF(Collection!$E$5:$E$500,A15)</f>
        <v/>
      </c>
      <c r="C15" s="13" t="n">
        <v>3</v>
      </c>
      <c r="D15" s="9">
        <f>IF(C15="","",MAX(C15-B15,0))</f>
        <v/>
      </c>
      <c r="E15" s="16">
        <f>IF(C15="","",MIN(B15/C15,1))</f>
        <v/>
      </c>
      <c r="F15" s="4" t="n"/>
    </row>
    <row r="16">
      <c r="A16" s="9" t="inlineStr">
        <is>
          <t>Transformers</t>
        </is>
      </c>
      <c r="B16" s="9">
        <f>COUNTIF(Collection!$E$5:$E$500,A16)</f>
        <v/>
      </c>
      <c r="C16" s="13" t="n">
        <v>8</v>
      </c>
      <c r="D16" s="9">
        <f>IF(C16="","",MAX(C16-B16,0))</f>
        <v/>
      </c>
      <c r="E16" s="16">
        <f>IF(C16="","",MIN(B16/C16,1))</f>
        <v/>
      </c>
      <c r="F16" s="4" t="n"/>
    </row>
    <row r="17">
      <c r="A17" s="9" t="inlineStr">
        <is>
          <t>Despicable Me / Minions</t>
        </is>
      </c>
      <c r="B17" s="9">
        <f>COUNTIF(Collection!$E$5:$E$500,A17)</f>
        <v/>
      </c>
      <c r="C17" s="13" t="n">
        <v>6</v>
      </c>
      <c r="D17" s="9">
        <f>IF(C17="","",MAX(C17-B17,0))</f>
        <v/>
      </c>
      <c r="E17" s="16">
        <f>IF(C17="","",MIN(B17/C17,1))</f>
        <v/>
      </c>
      <c r="F17" s="4" t="n"/>
    </row>
    <row r="18">
      <c r="A18" s="9" t="inlineStr">
        <is>
          <t>Planet of the Apes (reboot)</t>
        </is>
      </c>
      <c r="B18" s="9">
        <f>COUNTIF(Collection!$E$5:$E$500,A18)</f>
        <v/>
      </c>
      <c r="C18" s="13" t="n">
        <v>4</v>
      </c>
      <c r="D18" s="9">
        <f>IF(C18="","",MAX(C18-B18,0))</f>
        <v/>
      </c>
      <c r="E18" s="16">
        <f>IF(C18="","",MIN(B18/C18,1))</f>
        <v/>
      </c>
      <c r="F18" s="4" t="n"/>
    </row>
    <row r="19">
      <c r="A19" s="9" t="inlineStr">
        <is>
          <t>Toy Story</t>
        </is>
      </c>
      <c r="B19" s="9">
        <f>COUNTIF(Collection!$E$5:$E$500,A19)</f>
        <v/>
      </c>
      <c r="C19" s="13" t="n">
        <v>4</v>
      </c>
      <c r="D19" s="9">
        <f>IF(C19="","",MAX(C19-B19,0))</f>
        <v/>
      </c>
      <c r="E19" s="16">
        <f>IF(C19="","",MIN(B19/C19,1))</f>
        <v/>
      </c>
      <c r="F19" s="4" t="n"/>
    </row>
    <row r="20">
      <c r="A20" s="9" t="inlineStr">
        <is>
          <t>Underworld</t>
        </is>
      </c>
      <c r="B20" s="9">
        <f>COUNTIF(Collection!$E$5:$E$500,A20)</f>
        <v/>
      </c>
      <c r="C20" s="13" t="n">
        <v>5</v>
      </c>
      <c r="D20" s="9">
        <f>IF(C20="","",MAX(C20-B20,0))</f>
        <v/>
      </c>
      <c r="E20" s="16">
        <f>IF(C20="","",MIN(B20/C20,1))</f>
        <v/>
      </c>
      <c r="F20" s="4" t="n"/>
    </row>
    <row r="21" ht="15.75" customHeight="1" s="108">
      <c r="A21" s="9" t="inlineStr">
        <is>
          <t>Star Wars</t>
        </is>
      </c>
      <c r="B21" s="9">
        <f>COUNTIF(Collection!$E$5:$E$500,A21)</f>
        <v/>
      </c>
      <c r="C21" s="13" t="n">
        <v>11</v>
      </c>
      <c r="D21" s="9">
        <f>IF(C21="","",MAX(C21-B21,0))</f>
        <v/>
      </c>
      <c r="E21" s="16">
        <f>IF(C21="","",MIN(B21/C21,1))</f>
        <v/>
      </c>
      <c r="F21" s="4" t="n"/>
    </row>
    <row r="22" ht="15.75" customHeight="1" s="108">
      <c r="A22" s="9" t="inlineStr">
        <is>
          <t>Star Trek</t>
        </is>
      </c>
      <c r="B22" s="9">
        <f>COUNTIF(Collection!$E$5:$E$500,A22)</f>
        <v/>
      </c>
      <c r="C22" s="13" t="n">
        <v>13</v>
      </c>
      <c r="D22" s="9">
        <f>IF(C22="","",MAX(C22-B22,0))</f>
        <v/>
      </c>
      <c r="E22" s="16">
        <f>IF(C22="","",MIN(B22/C22,1))</f>
        <v/>
      </c>
      <c r="F22" s="4" t="n"/>
    </row>
    <row r="23" ht="15.75" customHeight="1" s="108">
      <c r="A23" s="9" t="inlineStr">
        <is>
          <t>Ice Age</t>
        </is>
      </c>
      <c r="B23" s="9">
        <f>COUNTIF(Collection!$E$5:$E$500,A23)</f>
        <v/>
      </c>
      <c r="C23" s="13" t="n">
        <v>5</v>
      </c>
      <c r="D23" s="9">
        <f>IF(C23="","",MAX(C23-B23,0))</f>
        <v/>
      </c>
      <c r="E23" s="16">
        <f>IF(C23="","",MIN(B23/C23,1))</f>
        <v/>
      </c>
      <c r="F23" s="4" t="n"/>
    </row>
    <row r="24" ht="15.75" customHeight="1" s="108">
      <c r="A24" s="9" t="inlineStr">
        <is>
          <t>Hangover</t>
        </is>
      </c>
      <c r="B24" s="9">
        <f>COUNTIF(Collection!$E$5:$E$500,A24)</f>
        <v/>
      </c>
      <c r="C24" s="13" t="n">
        <v>3</v>
      </c>
      <c r="D24" s="9">
        <f>IF(C24="","",MAX(C24-B24,0))</f>
        <v/>
      </c>
      <c r="E24" s="16">
        <f>IF(C24="","",MIN(B24/C24,1))</f>
        <v/>
      </c>
      <c r="F24" s="4" t="n"/>
    </row>
    <row r="25" ht="15.75" customHeight="1" s="108">
      <c r="A25" s="9" t="inlineStr">
        <is>
          <t>Expendables</t>
        </is>
      </c>
      <c r="B25" s="9">
        <f>COUNTIF(Collection!$E$5:$E$500,A25)</f>
        <v/>
      </c>
      <c r="C25" s="13" t="n">
        <v>4</v>
      </c>
      <c r="D25" s="9">
        <f>IF(C25="","",MAX(C25-B25,0))</f>
        <v/>
      </c>
      <c r="E25" s="16">
        <f>IF(C25="","",MIN(B25/C25,1))</f>
        <v/>
      </c>
      <c r="F25" s="4" t="n"/>
    </row>
    <row r="26" ht="15.75" customHeight="1" s="108">
      <c r="A26" s="9" t="inlineStr">
        <is>
          <t>Men in Black</t>
        </is>
      </c>
      <c r="B26" s="9">
        <f>COUNTIF(Collection!$E$5:$E$500,A26)</f>
        <v/>
      </c>
      <c r="C26" s="13" t="n">
        <v>4</v>
      </c>
      <c r="D26" s="9">
        <f>IF(C26="","",MAX(C26-B26,0))</f>
        <v/>
      </c>
      <c r="E26" s="16">
        <f>IF(C26="","",MIN(B26/C26,1))</f>
        <v/>
      </c>
      <c r="F26" s="4" t="n"/>
    </row>
    <row r="27" ht="15.75" customHeight="1" s="108">
      <c r="A27" s="9" t="inlineStr">
        <is>
          <t>Spider-Man</t>
        </is>
      </c>
      <c r="B27" s="9">
        <f>COUNTIF(Collection!$E$5:$E$500,A27)</f>
        <v/>
      </c>
      <c r="C27" s="13" t="n">
        <v>5</v>
      </c>
      <c r="D27" s="9">
        <f>IF(C27="","",MAX(C27-B27,0))</f>
        <v/>
      </c>
      <c r="E27" s="16">
        <f>IF(C27="","",MIN(B27/C27,1))</f>
        <v/>
      </c>
      <c r="F27" s="4" t="n"/>
    </row>
    <row r="28" ht="15.75" customHeight="1" s="108">
      <c r="A28" s="9" t="inlineStr">
        <is>
          <t>Matrix</t>
        </is>
      </c>
      <c r="B28" s="9">
        <f>COUNTIF(Collection!$E$5:$E$500,A28)</f>
        <v/>
      </c>
      <c r="C28" s="13" t="n">
        <v>4</v>
      </c>
      <c r="D28" s="9">
        <f>IF(C28="","",MAX(C28-B28,0))</f>
        <v/>
      </c>
      <c r="E28" s="16">
        <f>IF(C28="","",MIN(B28/C28,1))</f>
        <v/>
      </c>
      <c r="F28" s="4" t="n"/>
    </row>
    <row r="29" ht="15.75" customHeight="1" s="108">
      <c r="A29" s="28" t="inlineStr">
        <is>
          <t>Rio</t>
        </is>
      </c>
      <c r="B29" s="4">
        <f>COUNTIF(Collection!$E$5:$E$500,A29)</f>
        <v/>
      </c>
      <c r="C29" s="29" t="n">
        <v>2</v>
      </c>
      <c r="D29" s="4">
        <f>IF(C29="","",MAX(C29-B29,0))</f>
        <v/>
      </c>
      <c r="E29" s="30">
        <f>IF(C29="","",MIN(B29/C29,1))</f>
        <v/>
      </c>
      <c r="F29" s="4" t="n"/>
    </row>
    <row r="30" ht="15.75" customHeight="1" s="108">
      <c r="A30" s="117" t="inlineStr">
        <is>
          <t>Pitch Perfect</t>
        </is>
      </c>
      <c r="E30" s="118" t="n"/>
      <c r="F30" s="4" t="n"/>
    </row>
    <row r="31" ht="15.75" customHeight="1" s="108">
      <c r="A31" s="28" t="inlineStr">
        <is>
          <t>Jurassic Park / World</t>
        </is>
      </c>
      <c r="B31" s="4">
        <f>COUNTIF(Collection!$E$5:$E$500,A31)</f>
        <v/>
      </c>
      <c r="C31" s="29" t="n">
        <v>7</v>
      </c>
      <c r="D31" s="4">
        <f>IF(C31="","",MAX(C31-B31,0))</f>
        <v/>
      </c>
      <c r="E31" s="30">
        <f>IF(C31="","",MIN(B31/C31,1))</f>
        <v/>
      </c>
      <c r="F31" s="4" t="n"/>
    </row>
    <row r="32" ht="15.75" customHeight="1" s="108">
      <c r="A32" s="28" t="inlineStr">
        <is>
          <t>Kick-Ass</t>
        </is>
      </c>
      <c r="B32" s="4">
        <f>COUNTIF(Collection!$E$5:$E$500,A32)</f>
        <v/>
      </c>
      <c r="C32" s="29" t="n">
        <v>2</v>
      </c>
      <c r="D32" s="4">
        <f>IF(C32="","",MAX(C32-B32,0))</f>
        <v/>
      </c>
      <c r="E32" s="30">
        <f>IF(C32="","",MIN(B32/C32,1))</f>
        <v/>
      </c>
      <c r="F32" s="4" t="n"/>
    </row>
    <row r="33" ht="15.75" customHeight="1" s="108">
      <c r="A33" s="28" t="inlineStr">
        <is>
          <t>LEGO Movie</t>
        </is>
      </c>
      <c r="B33" s="4">
        <f>COUNTIF(Collection!$E$5:$E$500,A33)</f>
        <v/>
      </c>
      <c r="C33" s="29" t="n">
        <v>4</v>
      </c>
      <c r="D33" s="4">
        <f>IF(C33="","",MAX(C33-B33,0))</f>
        <v/>
      </c>
      <c r="E33" s="30">
        <f>IF(C33="","",MIN(B33/C33,1))</f>
        <v/>
      </c>
      <c r="F33" s="4" t="n"/>
    </row>
    <row r="34" ht="15.75" customHeight="1" s="108">
      <c r="A34" s="28" t="inlineStr">
        <is>
          <t>How to Train Your Dragon</t>
        </is>
      </c>
      <c r="B34" s="4">
        <f>COUNTIF(Collection!$E$5:$E$500,A34)</f>
        <v/>
      </c>
      <c r="C34" s="29" t="n">
        <v>3</v>
      </c>
      <c r="D34" s="4">
        <f>IF(C34="","",MAX(C34-B34,0))</f>
        <v/>
      </c>
      <c r="E34" s="30">
        <f>IF(C34="","",MIN(B34/C34,1))</f>
        <v/>
      </c>
      <c r="F34" s="4" t="n"/>
    </row>
    <row r="35" ht="15.75" customHeight="1" s="108">
      <c r="A35" s="28" t="inlineStr">
        <is>
          <t>Grown Ups</t>
        </is>
      </c>
      <c r="B35" s="4">
        <f>COUNTIF(Collection!$E$5:$E$500,A35)</f>
        <v/>
      </c>
      <c r="C35" s="29" t="n">
        <v>2</v>
      </c>
      <c r="D35" s="4">
        <f>IF(C35="","",MAX(C35-B35,0))</f>
        <v/>
      </c>
      <c r="E35" s="30">
        <f>IF(C35="","",MIN(B35/C35,1))</f>
        <v/>
      </c>
      <c r="F35" s="4" t="n"/>
    </row>
    <row r="36" ht="15.75" customHeight="1" s="108">
      <c r="A36" s="28" t="inlineStr">
        <is>
          <t>Sherlock Holmes</t>
        </is>
      </c>
      <c r="B36" s="4">
        <f>COUNTIF(Collection!$E$5:$E$500,A36)</f>
        <v/>
      </c>
      <c r="C36" s="29" t="n">
        <v>2</v>
      </c>
      <c r="D36" s="4">
        <f>IF(C36="","",MAX(C36-B36,0))</f>
        <v/>
      </c>
      <c r="E36" s="30">
        <f>IF(C36="","",MIN(B36/C36,1))</f>
        <v/>
      </c>
      <c r="F36" s="4" t="n"/>
    </row>
    <row r="37" ht="15.75" customHeight="1" s="108">
      <c r="A37" s="28" t="inlineStr">
        <is>
          <t>Taken</t>
        </is>
      </c>
      <c r="B37" s="4">
        <f>COUNTIF(Collection!$E$5:$E$500,A37)</f>
        <v/>
      </c>
      <c r="C37" s="29" t="n">
        <v>3</v>
      </c>
      <c r="D37" s="4">
        <f>IF(C37="","",MAX(C37-B37,0))</f>
        <v/>
      </c>
      <c r="E37" s="30">
        <f>IF(C37="","",MIN(B37/C37,1))</f>
        <v/>
      </c>
      <c r="F37" s="4" t="n"/>
    </row>
    <row r="38" ht="15.75" customHeight="1" s="108">
      <c r="A38" s="28" t="inlineStr">
        <is>
          <t>Wreck-It Ralph</t>
        </is>
      </c>
      <c r="B38" s="4">
        <f>COUNTIF(Collection!$E$5:$E$500,A38)</f>
        <v/>
      </c>
      <c r="C38" s="29" t="n">
        <v>2</v>
      </c>
      <c r="D38" s="4">
        <f>IF(C38="","",MAX(C38-B38,0))</f>
        <v/>
      </c>
      <c r="E38" s="30">
        <f>IF(C38="","",MIN(B38/C38,1))</f>
        <v/>
      </c>
      <c r="F38" s="4" t="n"/>
    </row>
    <row r="39" ht="15.75" customHeight="1" s="108">
      <c r="A39" s="28" t="inlineStr">
        <is>
          <t>Monsters, Inc.</t>
        </is>
      </c>
      <c r="B39" s="4">
        <f>COUNTIF(Collection!$E$5:$E$500,A39)</f>
        <v/>
      </c>
      <c r="C39" s="29" t="n">
        <v>2</v>
      </c>
      <c r="D39" s="4">
        <f>IF(C39="","",MAX(C39-B39,0))</f>
        <v/>
      </c>
      <c r="E39" s="30">
        <f>IF(C39="","",MIN(B39/C39,1))</f>
        <v/>
      </c>
      <c r="F39" s="4" t="n"/>
    </row>
    <row r="40" ht="15.75" customHeight="1" s="108">
      <c r="A40" s="28" t="inlineStr">
        <is>
          <t>MonsterVerse</t>
        </is>
      </c>
      <c r="B40" s="4">
        <f>COUNTIF(Collection!$E$5:$E$500,A40)</f>
        <v/>
      </c>
      <c r="C40" s="29" t="n">
        <v>5</v>
      </c>
      <c r="D40" s="4">
        <f>IF(C40="","",MAX(C40-B40,0))</f>
        <v/>
      </c>
      <c r="E40" s="30">
        <f>IF(C40="","",MIN(B40/C40,1))</f>
        <v/>
      </c>
      <c r="F40" s="4" t="n"/>
    </row>
    <row r="41" ht="15.75" customHeight="1" s="108">
      <c r="A41" s="28" t="inlineStr">
        <is>
          <t>The Inbetweeners</t>
        </is>
      </c>
      <c r="B41" s="4">
        <f>COUNTIF(Collection!$E$5:$E$500,A41)</f>
        <v/>
      </c>
      <c r="C41" s="29" t="n">
        <v>2</v>
      </c>
      <c r="D41" s="4">
        <f>IF(C41="","",MAX(C41-B41,0))</f>
        <v/>
      </c>
      <c r="E41" s="30">
        <f>IF(C41="","",MIN(B41/C41,1))</f>
        <v/>
      </c>
      <c r="F41" s="4" t="n"/>
    </row>
    <row r="42" ht="15.75" customHeight="1" s="108">
      <c r="A42" s="28" t="inlineStr">
        <is>
          <t>Anchorman</t>
        </is>
      </c>
      <c r="B42" s="4">
        <f>COUNTIF(Collection!$E$5:$E$500,A42)</f>
        <v/>
      </c>
      <c r="C42" s="29" t="n">
        <v>2</v>
      </c>
      <c r="D42" s="4">
        <f>IF(C42="","",MAX(C42-B42,0))</f>
        <v/>
      </c>
      <c r="E42" s="30">
        <f>IF(C42="","",MIN(B42/C42,1))</f>
        <v/>
      </c>
      <c r="F42" s="4" t="n"/>
    </row>
    <row r="43" ht="15.75" customHeight="1" s="108">
      <c r="A43" s="28" t="inlineStr">
        <is>
          <t>Bad Boys</t>
        </is>
      </c>
      <c r="B43" s="4">
        <f>COUNTIF(Collection!$E$5:$E$500,A43)</f>
        <v/>
      </c>
      <c r="C43" s="29" t="n">
        <v>4</v>
      </c>
      <c r="D43" s="4">
        <f>IF(C43="","",MAX(C43-B43,0))</f>
        <v/>
      </c>
      <c r="E43" s="30">
        <f>IF(C43="","",MIN(B43/C43,1))</f>
        <v/>
      </c>
      <c r="F43" s="4" t="n"/>
    </row>
    <row r="44" ht="15.75" customHeight="1" s="108">
      <c r="A44" s="28" t="inlineStr">
        <is>
          <t>Cloudy with a Chance of Meatballs</t>
        </is>
      </c>
      <c r="B44" s="4">
        <f>COUNTIF(Collection!$E$5:$E$500,A44)</f>
        <v/>
      </c>
      <c r="C44" s="29" t="n">
        <v>2</v>
      </c>
      <c r="D44" s="4">
        <f>IF(C44="","",MAX(C44-B44,0))</f>
        <v/>
      </c>
      <c r="E44" s="30">
        <f>IF(C44="","",MIN(B44/C44,1))</f>
        <v/>
      </c>
      <c r="F44" s="4" t="n"/>
    </row>
    <row r="45" ht="15.75" customHeight="1" s="108">
      <c r="A45" s="28" t="inlineStr">
        <is>
          <t>Back to the Future</t>
        </is>
      </c>
      <c r="B45" s="4">
        <f>COUNTIF(Collection!$E$5:$E$500,A45)</f>
        <v/>
      </c>
      <c r="C45" s="29" t="n">
        <v>3</v>
      </c>
      <c r="D45" s="4">
        <f>IF(C45="","",MAX(C45-B45,0))</f>
        <v/>
      </c>
      <c r="E45" s="30">
        <f>IF(C45="","",MIN(B45/C45,1))</f>
        <v/>
      </c>
      <c r="F45" s="4" t="n"/>
    </row>
    <row r="46" ht="15.75" customHeight="1" s="108">
      <c r="A46" s="28" t="inlineStr">
        <is>
          <t>MCU</t>
        </is>
      </c>
      <c r="B46" s="4">
        <f>COUNTIF(Collection!$E$5:$E$500,A46)</f>
        <v/>
      </c>
      <c r="C46" s="29" t="n"/>
      <c r="D46" s="4">
        <f>IF(C46="","",MAX(C46-B46,0))</f>
        <v/>
      </c>
      <c r="E46" s="30">
        <f>IF(C46="","",MIN(B46/C46,1))</f>
        <v/>
      </c>
      <c r="F46" s="4" t="n"/>
    </row>
    <row r="47" ht="15.75" customHeight="1" s="108">
      <c r="A47" s="44" t="inlineStr">
        <is>
          <t>The Dark Knight Trilogy</t>
        </is>
      </c>
      <c r="B47" s="45">
        <f>COUNTIF(Collection!$E$5:$E$500,A47)</f>
        <v/>
      </c>
      <c r="C47" s="46" t="n">
        <v>3</v>
      </c>
      <c r="D47" s="45">
        <f>IF(C47="","",MAX(C47-B47,0))</f>
        <v/>
      </c>
      <c r="E47" s="47">
        <f>IF(C47="","",MIN(B47/C47,1))</f>
        <v/>
      </c>
      <c r="F47" s="4" t="n"/>
    </row>
    <row r="48" ht="15.75" customHeight="1" s="108">
      <c r="A48" s="4" t="n"/>
      <c r="B48" s="4" t="n"/>
      <c r="C48" s="4" t="n"/>
      <c r="D48" s="4" t="n"/>
      <c r="E48" s="4" t="n"/>
      <c r="F48" s="4" t="n"/>
    </row>
    <row r="49" ht="15.75" customHeight="1" s="108">
      <c r="A49" s="4" t="n"/>
      <c r="B49" s="4" t="n"/>
      <c r="C49" s="4" t="n"/>
      <c r="D49" s="4" t="n"/>
      <c r="E49" s="4" t="n"/>
      <c r="F49" s="4" t="n"/>
    </row>
    <row r="50" ht="15.75" customHeight="1" s="108">
      <c r="A50" s="4" t="n"/>
      <c r="B50" s="4" t="n"/>
      <c r="C50" s="4" t="n"/>
      <c r="D50" s="4" t="n"/>
      <c r="E50" s="4" t="n"/>
      <c r="F50" s="4" t="n"/>
    </row>
    <row r="51" ht="15.75" customHeight="1" s="108">
      <c r="A51" s="4" t="n"/>
      <c r="B51" s="4" t="n"/>
      <c r="C51" s="4" t="n"/>
      <c r="D51" s="4" t="n"/>
      <c r="E51" s="4" t="n"/>
      <c r="F51" s="4" t="n"/>
    </row>
    <row r="52" ht="15.75" customHeight="1" s="108">
      <c r="A52" s="4" t="n"/>
      <c r="B52" s="4" t="n"/>
      <c r="C52" s="4" t="n"/>
      <c r="D52" s="4" t="n"/>
      <c r="E52" s="4" t="n"/>
      <c r="F52" s="4" t="n"/>
    </row>
    <row r="53" ht="15.75" customHeight="1" s="108">
      <c r="A53" s="4" t="n"/>
      <c r="B53" s="4" t="n"/>
      <c r="C53" s="4" t="n"/>
      <c r="D53" s="4" t="n"/>
      <c r="E53" s="4" t="n"/>
      <c r="F53" s="4" t="n"/>
    </row>
    <row r="54" ht="15.75" customHeight="1" s="108">
      <c r="A54" s="4" t="n"/>
      <c r="B54" s="4" t="n"/>
      <c r="C54" s="4" t="n"/>
      <c r="D54" s="4" t="n"/>
      <c r="E54" s="4" t="n"/>
      <c r="F54" s="4" t="n"/>
    </row>
    <row r="55" ht="15.75" customHeight="1" s="108">
      <c r="A55" s="4" t="n"/>
      <c r="B55" s="4" t="n"/>
      <c r="C55" s="4" t="n"/>
      <c r="D55" s="4" t="n"/>
      <c r="E55" s="4" t="n"/>
      <c r="F55" s="4" t="n"/>
    </row>
    <row r="56" ht="15.75" customHeight="1" s="108">
      <c r="A56" s="4" t="n"/>
      <c r="B56" s="4" t="n"/>
      <c r="C56" s="4" t="n"/>
      <c r="D56" s="4" t="n"/>
      <c r="E56" s="4" t="n"/>
      <c r="F56" s="4" t="n"/>
    </row>
    <row r="57" ht="15.75" customHeight="1" s="108">
      <c r="A57" s="4" t="n"/>
      <c r="B57" s="4" t="n"/>
      <c r="C57" s="4" t="n"/>
      <c r="D57" s="4" t="n"/>
      <c r="E57" s="4" t="n"/>
      <c r="F57" s="4" t="n"/>
    </row>
    <row r="58" ht="15.75" customHeight="1" s="108">
      <c r="A58" s="4" t="n"/>
      <c r="B58" s="4" t="n"/>
      <c r="C58" s="4" t="n"/>
      <c r="D58" s="4" t="n"/>
      <c r="E58" s="4" t="n"/>
      <c r="F58" s="4" t="n"/>
    </row>
    <row r="59" ht="15.75" customHeight="1" s="108">
      <c r="A59" s="4" t="n"/>
      <c r="B59" s="4" t="n"/>
      <c r="C59" s="4" t="n"/>
      <c r="D59" s="4" t="n"/>
      <c r="E59" s="4" t="n"/>
      <c r="F59" s="4" t="n"/>
    </row>
    <row r="60" ht="15.75" customHeight="1" s="108">
      <c r="A60" s="4" t="n"/>
      <c r="B60" s="4" t="n"/>
      <c r="C60" s="4" t="n"/>
      <c r="D60" s="4" t="n"/>
      <c r="E60" s="4" t="n"/>
      <c r="F60" s="4" t="n"/>
    </row>
    <row r="61" ht="15.75" customHeight="1" s="108">
      <c r="A61" s="4" t="n"/>
      <c r="B61" s="4" t="n"/>
      <c r="C61" s="4" t="n"/>
      <c r="D61" s="4" t="n"/>
      <c r="E61" s="4" t="n"/>
      <c r="F61" s="4" t="n"/>
    </row>
    <row r="62" ht="15.75" customHeight="1" s="108">
      <c r="A62" s="4" t="n"/>
      <c r="B62" s="4" t="n"/>
      <c r="C62" s="4" t="n"/>
      <c r="D62" s="4" t="n"/>
      <c r="E62" s="4" t="n"/>
      <c r="F62" s="4" t="n"/>
    </row>
    <row r="63" ht="15.75" customHeight="1" s="108">
      <c r="A63" s="4" t="n"/>
      <c r="B63" s="4" t="n"/>
      <c r="C63" s="4" t="n"/>
      <c r="D63" s="4" t="n"/>
      <c r="E63" s="4" t="n"/>
      <c r="F63" s="4" t="n"/>
    </row>
    <row r="64" ht="15.75" customHeight="1" s="108">
      <c r="A64" s="4" t="n"/>
      <c r="B64" s="4" t="n"/>
      <c r="C64" s="4" t="n"/>
      <c r="D64" s="4" t="n"/>
      <c r="E64" s="4" t="n"/>
      <c r="F64" s="4" t="n"/>
    </row>
    <row r="65" ht="15.75" customHeight="1" s="108">
      <c r="A65" s="4" t="n"/>
      <c r="B65" s="4" t="n"/>
      <c r="C65" s="4" t="n"/>
      <c r="D65" s="4" t="n"/>
      <c r="E65" s="4" t="n"/>
      <c r="F65" s="4" t="n"/>
    </row>
    <row r="66" ht="15.75" customHeight="1" s="108">
      <c r="A66" s="4" t="n"/>
      <c r="B66" s="4" t="n"/>
      <c r="C66" s="4" t="n"/>
      <c r="D66" s="4" t="n"/>
      <c r="E66" s="4" t="n"/>
      <c r="F66" s="4" t="n"/>
    </row>
    <row r="67" ht="15.75" customHeight="1" s="108">
      <c r="A67" s="4" t="n"/>
      <c r="B67" s="4" t="n"/>
      <c r="C67" s="4" t="n"/>
      <c r="D67" s="4" t="n"/>
      <c r="E67" s="4" t="n"/>
      <c r="F67" s="4" t="n"/>
    </row>
    <row r="68" ht="15.75" customHeight="1" s="108">
      <c r="A68" s="4" t="n"/>
      <c r="B68" s="4" t="n"/>
      <c r="C68" s="4" t="n"/>
      <c r="D68" s="4" t="n"/>
      <c r="E68" s="4" t="n"/>
      <c r="F68" s="4" t="n"/>
    </row>
    <row r="69" ht="15.75" customHeight="1" s="108">
      <c r="A69" s="4" t="n"/>
      <c r="B69" s="4" t="n"/>
      <c r="C69" s="4" t="n"/>
      <c r="D69" s="4" t="n"/>
      <c r="E69" s="4" t="n"/>
      <c r="F69" s="4" t="n"/>
    </row>
    <row r="70" ht="15.75" customHeight="1" s="108">
      <c r="A70" s="4" t="n"/>
      <c r="B70" s="4" t="n"/>
      <c r="C70" s="4" t="n"/>
      <c r="D70" s="4" t="n"/>
      <c r="E70" s="4" t="n"/>
      <c r="F70" s="4" t="n"/>
    </row>
    <row r="71" ht="15.75" customHeight="1" s="108">
      <c r="A71" s="4" t="n"/>
      <c r="B71" s="4" t="n"/>
      <c r="C71" s="4" t="n"/>
      <c r="D71" s="4" t="n"/>
      <c r="E71" s="4" t="n"/>
      <c r="F71" s="4" t="n"/>
    </row>
    <row r="72" ht="15.75" customHeight="1" s="108">
      <c r="A72" s="4" t="n"/>
      <c r="B72" s="4" t="n"/>
      <c r="C72" s="4" t="n"/>
      <c r="D72" s="4" t="n"/>
      <c r="E72" s="4" t="n"/>
      <c r="F72" s="4" t="n"/>
    </row>
    <row r="73" ht="15.75" customHeight="1" s="108">
      <c r="A73" s="4" t="n"/>
      <c r="B73" s="4" t="n"/>
      <c r="C73" s="4" t="n"/>
      <c r="D73" s="4" t="n"/>
      <c r="E73" s="4" t="n"/>
      <c r="F73" s="4" t="n"/>
    </row>
    <row r="74" ht="15.75" customHeight="1" s="108">
      <c r="A74" s="4" t="n"/>
      <c r="B74" s="4" t="n"/>
      <c r="C74" s="4" t="n"/>
      <c r="D74" s="4" t="n"/>
      <c r="E74" s="4" t="n"/>
      <c r="F74" s="4" t="n"/>
    </row>
    <row r="75" ht="15.75" customHeight="1" s="108">
      <c r="A75" s="4" t="n"/>
      <c r="B75" s="4" t="n"/>
      <c r="C75" s="4" t="n"/>
      <c r="D75" s="4" t="n"/>
      <c r="E75" s="4" t="n"/>
      <c r="F75" s="4" t="n"/>
    </row>
    <row r="76" ht="15.75" customHeight="1" s="108">
      <c r="A76" s="4" t="n"/>
      <c r="B76" s="4" t="n"/>
      <c r="C76" s="4" t="n"/>
      <c r="D76" s="4" t="n"/>
      <c r="E76" s="4" t="n"/>
      <c r="F76" s="4" t="n"/>
    </row>
    <row r="77" ht="15.75" customHeight="1" s="108">
      <c r="A77" s="4" t="n"/>
      <c r="B77" s="4" t="n"/>
      <c r="C77" s="4" t="n"/>
      <c r="D77" s="4" t="n"/>
      <c r="E77" s="4" t="n"/>
      <c r="F77" s="4" t="n"/>
    </row>
    <row r="78" ht="15.75" customHeight="1" s="108">
      <c r="A78" s="4" t="n"/>
      <c r="B78" s="4" t="n"/>
      <c r="C78" s="4" t="n"/>
      <c r="D78" s="4" t="n"/>
      <c r="E78" s="4" t="n"/>
      <c r="F78" s="4" t="n"/>
    </row>
    <row r="79" ht="15.75" customHeight="1" s="108">
      <c r="A79" s="4" t="n"/>
      <c r="B79" s="4" t="n"/>
      <c r="C79" s="4" t="n"/>
      <c r="D79" s="4" t="n"/>
      <c r="E79" s="4" t="n"/>
      <c r="F79" s="4" t="n"/>
    </row>
    <row r="80" ht="15.75" customHeight="1" s="108">
      <c r="A80" s="4" t="n"/>
      <c r="B80" s="4" t="n"/>
      <c r="C80" s="4" t="n"/>
      <c r="D80" s="4" t="n"/>
      <c r="E80" s="4" t="n"/>
      <c r="F80" s="4" t="n"/>
    </row>
    <row r="81" ht="15.75" customHeight="1" s="108">
      <c r="A81" s="4" t="n"/>
      <c r="B81" s="4" t="n"/>
      <c r="C81" s="4" t="n"/>
      <c r="D81" s="4" t="n"/>
      <c r="E81" s="4" t="n"/>
      <c r="F81" s="4" t="n"/>
    </row>
    <row r="82" ht="15.75" customHeight="1" s="108">
      <c r="A82" s="4" t="n"/>
      <c r="B82" s="4" t="n"/>
      <c r="C82" s="4" t="n"/>
      <c r="D82" s="4" t="n"/>
      <c r="E82" s="4" t="n"/>
      <c r="F82" s="4" t="n"/>
    </row>
    <row r="83" ht="15.75" customHeight="1" s="108">
      <c r="A83" s="4" t="n"/>
      <c r="B83" s="4" t="n"/>
      <c r="C83" s="4" t="n"/>
      <c r="D83" s="4" t="n"/>
      <c r="E83" s="4" t="n"/>
      <c r="F83" s="4" t="n"/>
    </row>
    <row r="84" ht="15.75" customHeight="1" s="108">
      <c r="A84" s="4" t="n"/>
      <c r="B84" s="4" t="n"/>
      <c r="C84" s="4" t="n"/>
      <c r="D84" s="4" t="n"/>
      <c r="E84" s="4" t="n"/>
      <c r="F84" s="4" t="n"/>
    </row>
    <row r="85" ht="15.75" customHeight="1" s="108">
      <c r="A85" s="4" t="n"/>
      <c r="B85" s="4" t="n"/>
      <c r="C85" s="4" t="n"/>
      <c r="D85" s="4" t="n"/>
      <c r="E85" s="4" t="n"/>
      <c r="F85" s="4" t="n"/>
    </row>
    <row r="86" ht="15.75" customHeight="1" s="108">
      <c r="A86" s="4" t="n"/>
      <c r="B86" s="4" t="n"/>
      <c r="C86" s="4" t="n"/>
      <c r="D86" s="4" t="n"/>
      <c r="E86" s="4" t="n"/>
      <c r="F86" s="4" t="n"/>
    </row>
    <row r="87" ht="15.75" customHeight="1" s="108">
      <c r="A87" s="4" t="n"/>
      <c r="B87" s="4" t="n"/>
      <c r="C87" s="4" t="n"/>
      <c r="D87" s="4" t="n"/>
      <c r="E87" s="4" t="n"/>
      <c r="F87" s="4" t="n"/>
    </row>
    <row r="88" ht="15.75" customHeight="1" s="108">
      <c r="A88" s="4" t="n"/>
      <c r="B88" s="4" t="n"/>
      <c r="C88" s="4" t="n"/>
      <c r="D88" s="4" t="n"/>
      <c r="E88" s="4" t="n"/>
      <c r="F88" s="4" t="n"/>
    </row>
    <row r="89" ht="15.75" customHeight="1" s="108">
      <c r="A89" s="4" t="n"/>
      <c r="B89" s="4" t="n"/>
      <c r="C89" s="4" t="n"/>
      <c r="D89" s="4" t="n"/>
      <c r="E89" s="4" t="n"/>
      <c r="F89" s="4" t="n"/>
    </row>
    <row r="90" ht="15.75" customHeight="1" s="108">
      <c r="A90" s="4" t="n"/>
      <c r="B90" s="4" t="n"/>
      <c r="C90" s="4" t="n"/>
      <c r="D90" s="4" t="n"/>
      <c r="E90" s="4" t="n"/>
      <c r="F90" s="4" t="n"/>
    </row>
    <row r="91" ht="15.75" customHeight="1" s="108">
      <c r="A91" s="4" t="n"/>
      <c r="B91" s="4" t="n"/>
      <c r="C91" s="4" t="n"/>
      <c r="D91" s="4" t="n"/>
      <c r="E91" s="4" t="n"/>
      <c r="F91" s="4" t="n"/>
    </row>
    <row r="92" ht="15.75" customHeight="1" s="108">
      <c r="A92" s="4" t="n"/>
      <c r="B92" s="4" t="n"/>
      <c r="C92" s="4" t="n"/>
      <c r="D92" s="4" t="n"/>
      <c r="E92" s="4" t="n"/>
      <c r="F92" s="4" t="n"/>
    </row>
    <row r="93" ht="15.75" customHeight="1" s="108">
      <c r="A93" s="4" t="n"/>
      <c r="B93" s="4" t="n"/>
      <c r="C93" s="4" t="n"/>
      <c r="D93" s="4" t="n"/>
      <c r="E93" s="4" t="n"/>
      <c r="F93" s="4" t="n"/>
    </row>
    <row r="94" ht="15.75" customHeight="1" s="108">
      <c r="A94" s="4" t="n"/>
      <c r="B94" s="4" t="n"/>
      <c r="C94" s="4" t="n"/>
      <c r="D94" s="4" t="n"/>
      <c r="E94" s="4" t="n"/>
      <c r="F94" s="4" t="n"/>
    </row>
    <row r="95" ht="15.75" customHeight="1" s="108">
      <c r="A95" s="4" t="n"/>
      <c r="B95" s="4" t="n"/>
      <c r="C95" s="4" t="n"/>
      <c r="D95" s="4" t="n"/>
      <c r="E95" s="4" t="n"/>
      <c r="F95" s="4" t="n"/>
    </row>
    <row r="96" ht="15.75" customHeight="1" s="108">
      <c r="A96" s="4" t="n"/>
      <c r="B96" s="4" t="n"/>
      <c r="C96" s="4" t="n"/>
      <c r="D96" s="4" t="n"/>
      <c r="E96" s="4" t="n"/>
      <c r="F96" s="4" t="n"/>
    </row>
    <row r="97" ht="15.75" customHeight="1" s="108">
      <c r="A97" s="4" t="n"/>
      <c r="B97" s="4" t="n"/>
      <c r="C97" s="4" t="n"/>
      <c r="D97" s="4" t="n"/>
      <c r="E97" s="4" t="n"/>
      <c r="F97" s="4" t="n"/>
    </row>
    <row r="98" ht="15.75" customHeight="1" s="108">
      <c r="A98" s="4" t="n"/>
      <c r="B98" s="4" t="n"/>
      <c r="C98" s="4" t="n"/>
      <c r="D98" s="4" t="n"/>
      <c r="E98" s="4" t="n"/>
      <c r="F98" s="4" t="n"/>
    </row>
    <row r="99" ht="15.75" customHeight="1" s="108">
      <c r="A99" s="4" t="n"/>
      <c r="B99" s="4" t="n"/>
      <c r="C99" s="4" t="n"/>
      <c r="D99" s="4" t="n"/>
      <c r="E99" s="4" t="n"/>
      <c r="F99" s="4" t="n"/>
    </row>
    <row r="100" ht="15.75" customHeight="1" s="108">
      <c r="A100" s="4" t="n"/>
      <c r="B100" s="4" t="n"/>
      <c r="C100" s="4" t="n"/>
      <c r="D100" s="4" t="n"/>
      <c r="E100" s="4" t="n"/>
      <c r="F100" s="4" t="n"/>
    </row>
    <row r="101" ht="15.75" customHeight="1" s="108">
      <c r="A101" s="4" t="n"/>
      <c r="B101" s="4" t="n"/>
      <c r="C101" s="4" t="n"/>
      <c r="D101" s="4" t="n"/>
      <c r="E101" s="4" t="n"/>
      <c r="F101" s="4" t="n"/>
    </row>
    <row r="102" ht="15.75" customHeight="1" s="108">
      <c r="A102" s="4" t="n"/>
      <c r="B102" s="4" t="n"/>
      <c r="C102" s="4" t="n"/>
      <c r="D102" s="4" t="n"/>
      <c r="E102" s="4" t="n"/>
      <c r="F102" s="4" t="n"/>
    </row>
    <row r="103" ht="15.75" customHeight="1" s="108">
      <c r="A103" s="4" t="n"/>
      <c r="B103" s="4" t="n"/>
      <c r="C103" s="4" t="n"/>
      <c r="D103" s="4" t="n"/>
      <c r="E103" s="4" t="n"/>
      <c r="F103" s="4" t="n"/>
    </row>
    <row r="104" ht="15.75" customHeight="1" s="108">
      <c r="A104" s="4" t="n"/>
      <c r="B104" s="4" t="n"/>
      <c r="C104" s="4" t="n"/>
      <c r="D104" s="4" t="n"/>
      <c r="E104" s="4" t="n"/>
      <c r="F104" s="4" t="n"/>
    </row>
    <row r="105" ht="15.75" customHeight="1" s="108">
      <c r="A105" s="4" t="n"/>
      <c r="B105" s="4" t="n"/>
      <c r="C105" s="4" t="n"/>
      <c r="D105" s="4" t="n"/>
      <c r="E105" s="4" t="n"/>
      <c r="F105" s="4" t="n"/>
    </row>
    <row r="106" ht="15.75" customHeight="1" s="108">
      <c r="A106" s="4" t="n"/>
      <c r="B106" s="4" t="n"/>
      <c r="C106" s="4" t="n"/>
      <c r="D106" s="4" t="n"/>
      <c r="E106" s="4" t="n"/>
      <c r="F106" s="4" t="n"/>
    </row>
    <row r="107" ht="15.75" customHeight="1" s="108">
      <c r="A107" s="4" t="n"/>
      <c r="B107" s="4" t="n"/>
      <c r="C107" s="4" t="n"/>
      <c r="D107" s="4" t="n"/>
      <c r="E107" s="4" t="n"/>
      <c r="F107" s="4" t="n"/>
    </row>
    <row r="108" ht="15.75" customHeight="1" s="108">
      <c r="A108" s="4" t="n"/>
      <c r="B108" s="4" t="n"/>
      <c r="C108" s="4" t="n"/>
      <c r="D108" s="4" t="n"/>
      <c r="E108" s="4" t="n"/>
      <c r="F108" s="4" t="n"/>
    </row>
    <row r="109" ht="15.75" customHeight="1" s="108">
      <c r="A109" s="4" t="n"/>
      <c r="B109" s="4" t="n"/>
      <c r="C109" s="4" t="n"/>
      <c r="D109" s="4" t="n"/>
      <c r="E109" s="4" t="n"/>
      <c r="F109" s="4" t="n"/>
    </row>
    <row r="110" ht="15.75" customHeight="1" s="108">
      <c r="A110" s="4" t="n"/>
      <c r="B110" s="4" t="n"/>
      <c r="C110" s="4" t="n"/>
      <c r="D110" s="4" t="n"/>
      <c r="E110" s="4" t="n"/>
      <c r="F110" s="4" t="n"/>
    </row>
    <row r="111" ht="15.75" customHeight="1" s="108">
      <c r="A111" s="4" t="n"/>
      <c r="B111" s="4" t="n"/>
      <c r="C111" s="4" t="n"/>
      <c r="D111" s="4" t="n"/>
      <c r="E111" s="4" t="n"/>
      <c r="F111" s="4" t="n"/>
    </row>
    <row r="112" ht="15.75" customHeight="1" s="108">
      <c r="A112" s="4" t="n"/>
      <c r="B112" s="4" t="n"/>
      <c r="C112" s="4" t="n"/>
      <c r="D112" s="4" t="n"/>
      <c r="E112" s="4" t="n"/>
      <c r="F112" s="4" t="n"/>
    </row>
    <row r="113" ht="15.75" customHeight="1" s="108">
      <c r="A113" s="4" t="n"/>
      <c r="B113" s="4" t="n"/>
      <c r="C113" s="4" t="n"/>
      <c r="D113" s="4" t="n"/>
      <c r="E113" s="4" t="n"/>
      <c r="F113" s="4" t="n"/>
    </row>
    <row r="114" ht="15.75" customHeight="1" s="108">
      <c r="A114" s="4" t="n"/>
      <c r="B114" s="4" t="n"/>
      <c r="C114" s="4" t="n"/>
      <c r="D114" s="4" t="n"/>
      <c r="E114" s="4" t="n"/>
      <c r="F114" s="4" t="n"/>
    </row>
    <row r="115" ht="15.75" customHeight="1" s="108">
      <c r="A115" s="4" t="n"/>
      <c r="B115" s="4" t="n"/>
      <c r="C115" s="4" t="n"/>
      <c r="D115" s="4" t="n"/>
      <c r="E115" s="4" t="n"/>
      <c r="F115" s="4" t="n"/>
    </row>
    <row r="116" ht="15.75" customHeight="1" s="108">
      <c r="A116" s="4" t="n"/>
      <c r="B116" s="4" t="n"/>
      <c r="C116" s="4" t="n"/>
      <c r="D116" s="4" t="n"/>
      <c r="E116" s="4" t="n"/>
      <c r="F116" s="4" t="n"/>
    </row>
    <row r="117" ht="15.75" customHeight="1" s="108">
      <c r="A117" s="4" t="n"/>
      <c r="B117" s="4" t="n"/>
      <c r="C117" s="4" t="n"/>
      <c r="D117" s="4" t="n"/>
      <c r="E117" s="4" t="n"/>
      <c r="F117" s="4" t="n"/>
    </row>
    <row r="118" ht="15.75" customHeight="1" s="108">
      <c r="A118" s="4" t="n"/>
      <c r="B118" s="4" t="n"/>
      <c r="C118" s="4" t="n"/>
      <c r="D118" s="4" t="n"/>
      <c r="E118" s="4" t="n"/>
      <c r="F118" s="4" t="n"/>
    </row>
    <row r="119" ht="15.75" customHeight="1" s="108">
      <c r="A119" s="4" t="n"/>
      <c r="B119" s="4" t="n"/>
      <c r="C119" s="4" t="n"/>
      <c r="D119" s="4" t="n"/>
      <c r="E119" s="4" t="n"/>
      <c r="F119" s="4" t="n"/>
    </row>
    <row r="120" ht="15.75" customHeight="1" s="108">
      <c r="A120" s="4" t="n"/>
      <c r="B120" s="4" t="n"/>
      <c r="C120" s="4" t="n"/>
      <c r="D120" s="4" t="n"/>
      <c r="E120" s="4" t="n"/>
      <c r="F120" s="4" t="n"/>
    </row>
    <row r="121" ht="15.75" customHeight="1" s="108">
      <c r="A121" s="4" t="n"/>
      <c r="B121" s="4" t="n"/>
      <c r="C121" s="4" t="n"/>
      <c r="D121" s="4" t="n"/>
      <c r="E121" s="4" t="n"/>
      <c r="F121" s="4" t="n"/>
    </row>
    <row r="122" ht="15.75" customHeight="1" s="108">
      <c r="A122" s="4" t="n"/>
      <c r="B122" s="4" t="n"/>
      <c r="C122" s="4" t="n"/>
      <c r="D122" s="4" t="n"/>
      <c r="E122" s="4" t="n"/>
      <c r="F122" s="4" t="n"/>
    </row>
    <row r="123" ht="15.75" customHeight="1" s="108">
      <c r="A123" s="4" t="n"/>
      <c r="B123" s="4" t="n"/>
      <c r="C123" s="4" t="n"/>
      <c r="D123" s="4" t="n"/>
      <c r="E123" s="4" t="n"/>
      <c r="F123" s="4" t="n"/>
    </row>
    <row r="124" ht="15.75" customHeight="1" s="108">
      <c r="A124" s="4" t="n"/>
      <c r="B124" s="4" t="n"/>
      <c r="C124" s="4" t="n"/>
      <c r="D124" s="4" t="n"/>
      <c r="E124" s="4" t="n"/>
      <c r="F124" s="4" t="n"/>
    </row>
    <row r="125" ht="15.75" customHeight="1" s="108">
      <c r="A125" s="4" t="n"/>
      <c r="B125" s="4" t="n"/>
      <c r="C125" s="4" t="n"/>
      <c r="D125" s="4" t="n"/>
      <c r="E125" s="4" t="n"/>
      <c r="F125" s="4" t="n"/>
    </row>
    <row r="126" ht="15.75" customHeight="1" s="108">
      <c r="A126" s="4" t="n"/>
      <c r="B126" s="4" t="n"/>
      <c r="C126" s="4" t="n"/>
      <c r="D126" s="4" t="n"/>
      <c r="E126" s="4" t="n"/>
      <c r="F126" s="4" t="n"/>
    </row>
    <row r="127" ht="15.75" customHeight="1" s="108">
      <c r="A127" s="4" t="n"/>
      <c r="B127" s="4" t="n"/>
      <c r="C127" s="4" t="n"/>
      <c r="D127" s="4" t="n"/>
      <c r="E127" s="4" t="n"/>
      <c r="F127" s="4" t="n"/>
    </row>
    <row r="128" ht="15.75" customHeight="1" s="108">
      <c r="A128" s="4" t="n"/>
      <c r="B128" s="4" t="n"/>
      <c r="C128" s="4" t="n"/>
      <c r="D128" s="4" t="n"/>
      <c r="E128" s="4" t="n"/>
      <c r="F128" s="4" t="n"/>
    </row>
    <row r="129" ht="15.75" customHeight="1" s="108">
      <c r="A129" s="4" t="n"/>
      <c r="B129" s="4" t="n"/>
      <c r="C129" s="4" t="n"/>
      <c r="D129" s="4" t="n"/>
      <c r="E129" s="4" t="n"/>
      <c r="F129" s="4" t="n"/>
    </row>
    <row r="130" ht="15.75" customHeight="1" s="108">
      <c r="A130" s="4" t="n"/>
      <c r="B130" s="4" t="n"/>
      <c r="C130" s="4" t="n"/>
      <c r="D130" s="4" t="n"/>
      <c r="E130" s="4" t="n"/>
      <c r="F130" s="4" t="n"/>
    </row>
    <row r="131" ht="15.75" customHeight="1" s="108">
      <c r="A131" s="4" t="n"/>
      <c r="B131" s="4" t="n"/>
      <c r="C131" s="4" t="n"/>
      <c r="D131" s="4" t="n"/>
      <c r="E131" s="4" t="n"/>
      <c r="F131" s="4" t="n"/>
    </row>
    <row r="132" ht="15.75" customHeight="1" s="108">
      <c r="A132" s="4" t="n"/>
      <c r="B132" s="4" t="n"/>
      <c r="C132" s="4" t="n"/>
      <c r="D132" s="4" t="n"/>
      <c r="E132" s="4" t="n"/>
      <c r="F132" s="4" t="n"/>
    </row>
    <row r="133" ht="15.75" customHeight="1" s="108">
      <c r="A133" s="4" t="n"/>
      <c r="B133" s="4" t="n"/>
      <c r="C133" s="4" t="n"/>
      <c r="D133" s="4" t="n"/>
      <c r="E133" s="4" t="n"/>
      <c r="F133" s="4" t="n"/>
    </row>
    <row r="134" ht="15.75" customHeight="1" s="108">
      <c r="A134" s="4" t="n"/>
      <c r="B134" s="4" t="n"/>
      <c r="C134" s="4" t="n"/>
      <c r="D134" s="4" t="n"/>
      <c r="E134" s="4" t="n"/>
      <c r="F134" s="4" t="n"/>
    </row>
    <row r="135" ht="15.75" customHeight="1" s="108">
      <c r="A135" s="4" t="n"/>
      <c r="B135" s="4" t="n"/>
      <c r="C135" s="4" t="n"/>
      <c r="D135" s="4" t="n"/>
      <c r="E135" s="4" t="n"/>
      <c r="F135" s="4" t="n"/>
    </row>
    <row r="136" ht="15.75" customHeight="1" s="108">
      <c r="A136" s="4" t="n"/>
      <c r="B136" s="4" t="n"/>
      <c r="C136" s="4" t="n"/>
      <c r="D136" s="4" t="n"/>
      <c r="E136" s="4" t="n"/>
      <c r="F136" s="4" t="n"/>
    </row>
    <row r="137" ht="15.75" customHeight="1" s="108">
      <c r="A137" s="4" t="n"/>
      <c r="B137" s="4" t="n"/>
      <c r="C137" s="4" t="n"/>
      <c r="D137" s="4" t="n"/>
      <c r="E137" s="4" t="n"/>
      <c r="F137" s="4" t="n"/>
    </row>
    <row r="138" ht="15.75" customHeight="1" s="108">
      <c r="A138" s="4" t="n"/>
      <c r="B138" s="4" t="n"/>
      <c r="C138" s="4" t="n"/>
      <c r="D138" s="4" t="n"/>
      <c r="E138" s="4" t="n"/>
      <c r="F138" s="4" t="n"/>
    </row>
    <row r="139" ht="15.75" customHeight="1" s="108">
      <c r="A139" s="4" t="n"/>
      <c r="B139" s="4" t="n"/>
      <c r="C139" s="4" t="n"/>
      <c r="D139" s="4" t="n"/>
      <c r="E139" s="4" t="n"/>
      <c r="F139" s="4" t="n"/>
    </row>
    <row r="140" ht="15.75" customHeight="1" s="108">
      <c r="A140" s="4" t="n"/>
      <c r="B140" s="4" t="n"/>
      <c r="C140" s="4" t="n"/>
      <c r="D140" s="4" t="n"/>
      <c r="E140" s="4" t="n"/>
      <c r="F140" s="4" t="n"/>
    </row>
    <row r="141" ht="15.75" customHeight="1" s="108">
      <c r="A141" s="4" t="n"/>
      <c r="B141" s="4" t="n"/>
      <c r="C141" s="4" t="n"/>
      <c r="D141" s="4" t="n"/>
      <c r="E141" s="4" t="n"/>
      <c r="F141" s="4" t="n"/>
    </row>
    <row r="142" ht="15.75" customHeight="1" s="108">
      <c r="A142" s="4" t="n"/>
      <c r="B142" s="4" t="n"/>
      <c r="C142" s="4" t="n"/>
      <c r="D142" s="4" t="n"/>
      <c r="E142" s="4" t="n"/>
      <c r="F142" s="4" t="n"/>
    </row>
    <row r="143" ht="15.75" customHeight="1" s="108">
      <c r="A143" s="4" t="n"/>
      <c r="B143" s="4" t="n"/>
      <c r="C143" s="4" t="n"/>
      <c r="D143" s="4" t="n"/>
      <c r="E143" s="4" t="n"/>
      <c r="F143" s="4" t="n"/>
    </row>
    <row r="144" ht="15.75" customHeight="1" s="108">
      <c r="A144" s="4" t="n"/>
      <c r="B144" s="4" t="n"/>
      <c r="C144" s="4" t="n"/>
      <c r="D144" s="4" t="n"/>
      <c r="E144" s="4" t="n"/>
      <c r="F144" s="4" t="n"/>
    </row>
    <row r="145" ht="15.75" customHeight="1" s="108">
      <c r="A145" s="4" t="n"/>
      <c r="B145" s="4" t="n"/>
      <c r="C145" s="4" t="n"/>
      <c r="D145" s="4" t="n"/>
      <c r="E145" s="4" t="n"/>
      <c r="F145" s="4" t="n"/>
    </row>
    <row r="146" ht="15.75" customHeight="1" s="108">
      <c r="A146" s="4" t="n"/>
      <c r="B146" s="4" t="n"/>
      <c r="C146" s="4" t="n"/>
      <c r="D146" s="4" t="n"/>
      <c r="E146" s="4" t="n"/>
      <c r="F146" s="4" t="n"/>
    </row>
    <row r="147" ht="15.75" customHeight="1" s="108">
      <c r="A147" s="4" t="n"/>
      <c r="B147" s="4" t="n"/>
      <c r="C147" s="4" t="n"/>
      <c r="D147" s="4" t="n"/>
      <c r="E147" s="4" t="n"/>
      <c r="F147" s="4" t="n"/>
    </row>
    <row r="148" ht="15.75" customHeight="1" s="108">
      <c r="A148" s="4" t="n"/>
      <c r="B148" s="4" t="n"/>
      <c r="C148" s="4" t="n"/>
      <c r="D148" s="4" t="n"/>
      <c r="E148" s="4" t="n"/>
      <c r="F148" s="4" t="n"/>
    </row>
    <row r="149" ht="15.75" customHeight="1" s="108">
      <c r="A149" s="4" t="n"/>
      <c r="B149" s="4" t="n"/>
      <c r="C149" s="4" t="n"/>
      <c r="D149" s="4" t="n"/>
      <c r="E149" s="4" t="n"/>
      <c r="F149" s="4" t="n"/>
    </row>
    <row r="150" ht="15.75" customHeight="1" s="108">
      <c r="A150" s="4" t="n"/>
      <c r="B150" s="4" t="n"/>
      <c r="C150" s="4" t="n"/>
      <c r="D150" s="4" t="n"/>
      <c r="E150" s="4" t="n"/>
      <c r="F150" s="4" t="n"/>
    </row>
    <row r="151" ht="15.75" customHeight="1" s="108">
      <c r="A151" s="4" t="n"/>
      <c r="B151" s="4" t="n"/>
      <c r="C151" s="4" t="n"/>
      <c r="D151" s="4" t="n"/>
      <c r="E151" s="4" t="n"/>
      <c r="F151" s="4" t="n"/>
    </row>
    <row r="152" ht="15.75" customHeight="1" s="108">
      <c r="A152" s="4" t="n"/>
      <c r="B152" s="4" t="n"/>
      <c r="C152" s="4" t="n"/>
      <c r="D152" s="4" t="n"/>
      <c r="E152" s="4" t="n"/>
      <c r="F152" s="4" t="n"/>
    </row>
    <row r="153" ht="15.75" customHeight="1" s="108">
      <c r="A153" s="4" t="n"/>
      <c r="B153" s="4" t="n"/>
      <c r="C153" s="4" t="n"/>
      <c r="D153" s="4" t="n"/>
      <c r="E153" s="4" t="n"/>
      <c r="F153" s="4" t="n"/>
    </row>
    <row r="154" ht="15.75" customHeight="1" s="108">
      <c r="A154" s="4" t="n"/>
      <c r="B154" s="4" t="n"/>
      <c r="C154" s="4" t="n"/>
      <c r="D154" s="4" t="n"/>
      <c r="E154" s="4" t="n"/>
      <c r="F154" s="4" t="n"/>
    </row>
    <row r="155" ht="15.75" customHeight="1" s="108">
      <c r="A155" s="4" t="n"/>
      <c r="B155" s="4" t="n"/>
      <c r="C155" s="4" t="n"/>
      <c r="D155" s="4" t="n"/>
      <c r="E155" s="4" t="n"/>
      <c r="F155" s="4" t="n"/>
    </row>
    <row r="156" ht="15.75" customHeight="1" s="108">
      <c r="A156" s="4" t="n"/>
      <c r="B156" s="4" t="n"/>
      <c r="C156" s="4" t="n"/>
      <c r="D156" s="4" t="n"/>
      <c r="E156" s="4" t="n"/>
      <c r="F156" s="4" t="n"/>
    </row>
    <row r="157" ht="15.75" customHeight="1" s="108">
      <c r="A157" s="4" t="n"/>
      <c r="B157" s="4" t="n"/>
      <c r="C157" s="4" t="n"/>
      <c r="D157" s="4" t="n"/>
      <c r="E157" s="4" t="n"/>
      <c r="F157" s="4" t="n"/>
    </row>
    <row r="158" ht="15.75" customHeight="1" s="108">
      <c r="A158" s="4" t="n"/>
      <c r="B158" s="4" t="n"/>
      <c r="C158" s="4" t="n"/>
      <c r="D158" s="4" t="n"/>
      <c r="E158" s="4" t="n"/>
      <c r="F158" s="4" t="n"/>
    </row>
    <row r="159" ht="15.75" customHeight="1" s="108">
      <c r="A159" s="4" t="n"/>
      <c r="B159" s="4" t="n"/>
      <c r="C159" s="4" t="n"/>
      <c r="D159" s="4" t="n"/>
      <c r="E159" s="4" t="n"/>
      <c r="F159" s="4" t="n"/>
    </row>
    <row r="160" ht="15.75" customHeight="1" s="108">
      <c r="A160" s="4" t="n"/>
      <c r="B160" s="4" t="n"/>
      <c r="C160" s="4" t="n"/>
      <c r="D160" s="4" t="n"/>
      <c r="E160" s="4" t="n"/>
      <c r="F160" s="4" t="n"/>
    </row>
    <row r="161" ht="15.75" customHeight="1" s="108">
      <c r="A161" s="4" t="n"/>
      <c r="B161" s="4" t="n"/>
      <c r="C161" s="4" t="n"/>
      <c r="D161" s="4" t="n"/>
      <c r="E161" s="4" t="n"/>
      <c r="F161" s="4" t="n"/>
    </row>
    <row r="162" ht="15.75" customHeight="1" s="108">
      <c r="A162" s="4" t="n"/>
      <c r="B162" s="4" t="n"/>
      <c r="C162" s="4" t="n"/>
      <c r="D162" s="4" t="n"/>
      <c r="E162" s="4" t="n"/>
      <c r="F162" s="4" t="n"/>
    </row>
    <row r="163" ht="15.75" customHeight="1" s="108">
      <c r="A163" s="4" t="n"/>
      <c r="B163" s="4" t="n"/>
      <c r="C163" s="4" t="n"/>
      <c r="D163" s="4" t="n"/>
      <c r="E163" s="4" t="n"/>
      <c r="F163" s="4" t="n"/>
    </row>
    <row r="164" ht="15.75" customHeight="1" s="108">
      <c r="A164" s="4" t="n"/>
      <c r="B164" s="4" t="n"/>
      <c r="C164" s="4" t="n"/>
      <c r="D164" s="4" t="n"/>
      <c r="E164" s="4" t="n"/>
      <c r="F164" s="4" t="n"/>
    </row>
    <row r="165" ht="15.75" customHeight="1" s="108">
      <c r="A165" s="4" t="n"/>
      <c r="B165" s="4" t="n"/>
      <c r="C165" s="4" t="n"/>
      <c r="D165" s="4" t="n"/>
      <c r="E165" s="4" t="n"/>
      <c r="F165" s="4" t="n"/>
    </row>
    <row r="166" ht="15.75" customHeight="1" s="108">
      <c r="A166" s="4" t="n"/>
      <c r="B166" s="4" t="n"/>
      <c r="C166" s="4" t="n"/>
      <c r="D166" s="4" t="n"/>
      <c r="E166" s="4" t="n"/>
      <c r="F166" s="4" t="n"/>
    </row>
    <row r="167" ht="15.75" customHeight="1" s="108">
      <c r="A167" s="4" t="n"/>
      <c r="B167" s="4" t="n"/>
      <c r="C167" s="4" t="n"/>
      <c r="D167" s="4" t="n"/>
      <c r="E167" s="4" t="n"/>
      <c r="F167" s="4" t="n"/>
    </row>
    <row r="168" ht="15.75" customHeight="1" s="108">
      <c r="A168" s="4" t="n"/>
      <c r="B168" s="4" t="n"/>
      <c r="C168" s="4" t="n"/>
      <c r="D168" s="4" t="n"/>
      <c r="E168" s="4" t="n"/>
      <c r="F168" s="4" t="n"/>
    </row>
    <row r="169" ht="15.75" customHeight="1" s="108">
      <c r="A169" s="4" t="n"/>
      <c r="B169" s="4" t="n"/>
      <c r="C169" s="4" t="n"/>
      <c r="D169" s="4" t="n"/>
      <c r="E169" s="4" t="n"/>
      <c r="F169" s="4" t="n"/>
    </row>
    <row r="170" ht="15.75" customHeight="1" s="108">
      <c r="A170" s="4" t="n"/>
      <c r="B170" s="4" t="n"/>
      <c r="C170" s="4" t="n"/>
      <c r="D170" s="4" t="n"/>
      <c r="E170" s="4" t="n"/>
      <c r="F170" s="4" t="n"/>
    </row>
    <row r="171" ht="15.75" customHeight="1" s="108">
      <c r="A171" s="4" t="n"/>
      <c r="B171" s="4" t="n"/>
      <c r="C171" s="4" t="n"/>
      <c r="D171" s="4" t="n"/>
      <c r="E171" s="4" t="n"/>
      <c r="F171" s="4" t="n"/>
    </row>
    <row r="172" ht="15.75" customHeight="1" s="108">
      <c r="A172" s="4" t="n"/>
      <c r="B172" s="4" t="n"/>
      <c r="C172" s="4" t="n"/>
      <c r="D172" s="4" t="n"/>
      <c r="E172" s="4" t="n"/>
      <c r="F172" s="4" t="n"/>
    </row>
    <row r="173" ht="15.75" customHeight="1" s="108">
      <c r="A173" s="4" t="n"/>
      <c r="B173" s="4" t="n"/>
      <c r="C173" s="4" t="n"/>
      <c r="D173" s="4" t="n"/>
      <c r="E173" s="4" t="n"/>
      <c r="F173" s="4" t="n"/>
    </row>
    <row r="174" ht="15.75" customHeight="1" s="108">
      <c r="A174" s="4" t="n"/>
      <c r="B174" s="4" t="n"/>
      <c r="C174" s="4" t="n"/>
      <c r="D174" s="4" t="n"/>
      <c r="E174" s="4" t="n"/>
      <c r="F174" s="4" t="n"/>
    </row>
    <row r="175" ht="15.75" customHeight="1" s="108">
      <c r="A175" s="4" t="n"/>
      <c r="B175" s="4" t="n"/>
      <c r="C175" s="4" t="n"/>
      <c r="D175" s="4" t="n"/>
      <c r="E175" s="4" t="n"/>
      <c r="F175" s="4" t="n"/>
    </row>
    <row r="176" ht="15.75" customHeight="1" s="108">
      <c r="A176" s="4" t="n"/>
      <c r="B176" s="4" t="n"/>
      <c r="C176" s="4" t="n"/>
      <c r="D176" s="4" t="n"/>
      <c r="E176" s="4" t="n"/>
      <c r="F176" s="4" t="n"/>
    </row>
    <row r="177" ht="15.75" customHeight="1" s="108">
      <c r="A177" s="4" t="n"/>
      <c r="B177" s="4" t="n"/>
      <c r="C177" s="4" t="n"/>
      <c r="D177" s="4" t="n"/>
      <c r="E177" s="4" t="n"/>
      <c r="F177" s="4" t="n"/>
    </row>
    <row r="178" ht="15.75" customHeight="1" s="108">
      <c r="A178" s="4" t="n"/>
      <c r="B178" s="4" t="n"/>
      <c r="C178" s="4" t="n"/>
      <c r="D178" s="4" t="n"/>
      <c r="E178" s="4" t="n"/>
      <c r="F178" s="4" t="n"/>
    </row>
    <row r="179" ht="15.75" customHeight="1" s="108">
      <c r="A179" s="4" t="n"/>
      <c r="B179" s="4" t="n"/>
      <c r="C179" s="4" t="n"/>
      <c r="D179" s="4" t="n"/>
      <c r="E179" s="4" t="n"/>
      <c r="F179" s="4" t="n"/>
    </row>
    <row r="180" ht="15.75" customHeight="1" s="108">
      <c r="A180" s="4" t="n"/>
      <c r="B180" s="4" t="n"/>
      <c r="C180" s="4" t="n"/>
      <c r="D180" s="4" t="n"/>
      <c r="E180" s="4" t="n"/>
      <c r="F180" s="4" t="n"/>
    </row>
    <row r="181" ht="15.75" customHeight="1" s="108">
      <c r="A181" s="4" t="n"/>
      <c r="B181" s="4" t="n"/>
      <c r="C181" s="4" t="n"/>
      <c r="D181" s="4" t="n"/>
      <c r="E181" s="4" t="n"/>
      <c r="F181" s="4" t="n"/>
    </row>
    <row r="182" ht="15.75" customHeight="1" s="108">
      <c r="A182" s="4" t="n"/>
      <c r="B182" s="4" t="n"/>
      <c r="C182" s="4" t="n"/>
      <c r="D182" s="4" t="n"/>
      <c r="E182" s="4" t="n"/>
      <c r="F182" s="4" t="n"/>
    </row>
    <row r="183" ht="15.75" customHeight="1" s="108">
      <c r="A183" s="4" t="n"/>
      <c r="B183" s="4" t="n"/>
      <c r="C183" s="4" t="n"/>
      <c r="D183" s="4" t="n"/>
      <c r="E183" s="4" t="n"/>
      <c r="F183" s="4" t="n"/>
    </row>
    <row r="184" ht="15.75" customHeight="1" s="108">
      <c r="A184" s="4" t="n"/>
      <c r="B184" s="4" t="n"/>
      <c r="C184" s="4" t="n"/>
      <c r="D184" s="4" t="n"/>
      <c r="E184" s="4" t="n"/>
      <c r="F184" s="4" t="n"/>
    </row>
    <row r="185" ht="15.75" customHeight="1" s="108">
      <c r="A185" s="4" t="n"/>
      <c r="B185" s="4" t="n"/>
      <c r="C185" s="4" t="n"/>
      <c r="D185" s="4" t="n"/>
      <c r="E185" s="4" t="n"/>
      <c r="F185" s="4" t="n"/>
    </row>
    <row r="186" ht="15.75" customHeight="1" s="108">
      <c r="A186" s="4" t="n"/>
      <c r="B186" s="4" t="n"/>
      <c r="C186" s="4" t="n"/>
      <c r="D186" s="4" t="n"/>
      <c r="E186" s="4" t="n"/>
      <c r="F186" s="4" t="n"/>
    </row>
    <row r="187" ht="15.75" customHeight="1" s="108">
      <c r="A187" s="4" t="n"/>
      <c r="B187" s="4" t="n"/>
      <c r="C187" s="4" t="n"/>
      <c r="D187" s="4" t="n"/>
      <c r="E187" s="4" t="n"/>
      <c r="F187" s="4" t="n"/>
    </row>
    <row r="188" ht="15.75" customHeight="1" s="108">
      <c r="A188" s="4" t="n"/>
      <c r="B188" s="4" t="n"/>
      <c r="C188" s="4" t="n"/>
      <c r="D188" s="4" t="n"/>
      <c r="E188" s="4" t="n"/>
      <c r="F188" s="4" t="n"/>
    </row>
    <row r="189" ht="15.75" customHeight="1" s="108">
      <c r="A189" s="4" t="n"/>
      <c r="B189" s="4" t="n"/>
      <c r="C189" s="4" t="n"/>
      <c r="D189" s="4" t="n"/>
      <c r="E189" s="4" t="n"/>
      <c r="F189" s="4" t="n"/>
    </row>
    <row r="190" ht="15.75" customHeight="1" s="108">
      <c r="A190" s="4" t="n"/>
      <c r="B190" s="4" t="n"/>
      <c r="C190" s="4" t="n"/>
      <c r="D190" s="4" t="n"/>
      <c r="E190" s="4" t="n"/>
      <c r="F190" s="4" t="n"/>
    </row>
    <row r="191" ht="15.75" customHeight="1" s="108">
      <c r="A191" s="4" t="n"/>
      <c r="B191" s="4" t="n"/>
      <c r="C191" s="4" t="n"/>
      <c r="D191" s="4" t="n"/>
      <c r="E191" s="4" t="n"/>
      <c r="F191" s="4" t="n"/>
    </row>
    <row r="192" ht="15.75" customHeight="1" s="108">
      <c r="A192" s="4" t="n"/>
      <c r="B192" s="4" t="n"/>
      <c r="C192" s="4" t="n"/>
      <c r="D192" s="4" t="n"/>
      <c r="E192" s="4" t="n"/>
      <c r="F192" s="4" t="n"/>
    </row>
    <row r="193" ht="15.75" customHeight="1" s="108">
      <c r="A193" s="4" t="n"/>
      <c r="B193" s="4" t="n"/>
      <c r="C193" s="4" t="n"/>
      <c r="D193" s="4" t="n"/>
      <c r="E193" s="4" t="n"/>
      <c r="F193" s="4" t="n"/>
    </row>
    <row r="194" ht="15.75" customHeight="1" s="108">
      <c r="A194" s="4" t="n"/>
      <c r="B194" s="4" t="n"/>
      <c r="C194" s="4" t="n"/>
      <c r="D194" s="4" t="n"/>
      <c r="E194" s="4" t="n"/>
      <c r="F194" s="4" t="n"/>
    </row>
    <row r="195" ht="15.75" customHeight="1" s="108">
      <c r="A195" s="4" t="n"/>
      <c r="B195" s="4" t="n"/>
      <c r="C195" s="4" t="n"/>
      <c r="D195" s="4" t="n"/>
      <c r="E195" s="4" t="n"/>
      <c r="F195" s="4" t="n"/>
    </row>
    <row r="196" ht="15.75" customHeight="1" s="108">
      <c r="A196" s="4" t="n"/>
      <c r="B196" s="4" t="n"/>
      <c r="C196" s="4" t="n"/>
      <c r="D196" s="4" t="n"/>
      <c r="E196" s="4" t="n"/>
      <c r="F196" s="4" t="n"/>
    </row>
    <row r="197" ht="15.75" customHeight="1" s="108">
      <c r="A197" s="4" t="n"/>
      <c r="B197" s="4" t="n"/>
      <c r="C197" s="4" t="n"/>
      <c r="D197" s="4" t="n"/>
      <c r="E197" s="4" t="n"/>
      <c r="F197" s="4" t="n"/>
    </row>
    <row r="198" ht="15.75" customHeight="1" s="108">
      <c r="A198" s="4" t="n"/>
      <c r="B198" s="4" t="n"/>
      <c r="C198" s="4" t="n"/>
      <c r="D198" s="4" t="n"/>
      <c r="E198" s="4" t="n"/>
      <c r="F198" s="4" t="n"/>
    </row>
    <row r="199" ht="15.75" customHeight="1" s="108">
      <c r="A199" s="4" t="n"/>
      <c r="B199" s="4" t="n"/>
      <c r="C199" s="4" t="n"/>
      <c r="D199" s="4" t="n"/>
      <c r="E199" s="4" t="n"/>
      <c r="F199" s="4" t="n"/>
    </row>
    <row r="200" ht="15.75" customHeight="1" s="108">
      <c r="A200" s="4" t="n"/>
      <c r="B200" s="4" t="n"/>
      <c r="C200" s="4" t="n"/>
      <c r="D200" s="4" t="n"/>
      <c r="E200" s="4" t="n"/>
      <c r="F200" s="4" t="n"/>
    </row>
    <row r="201" ht="15.75" customHeight="1" s="108">
      <c r="A201" s="4" t="n"/>
      <c r="B201" s="4" t="n"/>
      <c r="C201" s="4" t="n"/>
      <c r="D201" s="4" t="n"/>
      <c r="E201" s="4" t="n"/>
      <c r="F201" s="4" t="n"/>
    </row>
    <row r="202" ht="15.75" customHeight="1" s="108">
      <c r="A202" s="4" t="n"/>
      <c r="B202" s="4" t="n"/>
      <c r="C202" s="4" t="n"/>
      <c r="D202" s="4" t="n"/>
      <c r="E202" s="4" t="n"/>
      <c r="F202" s="4" t="n"/>
    </row>
    <row r="203" ht="15.75" customHeight="1" s="108">
      <c r="A203" s="4" t="n"/>
      <c r="B203" s="4" t="n"/>
      <c r="C203" s="4" t="n"/>
      <c r="D203" s="4" t="n"/>
      <c r="E203" s="4" t="n"/>
      <c r="F203" s="4" t="n"/>
    </row>
    <row r="204" ht="15.75" customHeight="1" s="108">
      <c r="A204" s="4" t="n"/>
      <c r="B204" s="4" t="n"/>
      <c r="C204" s="4" t="n"/>
      <c r="D204" s="4" t="n"/>
      <c r="E204" s="4" t="n"/>
      <c r="F204" s="4" t="n"/>
    </row>
    <row r="205" ht="15.75" customHeight="1" s="108">
      <c r="A205" s="4" t="n"/>
      <c r="B205" s="4" t="n"/>
      <c r="C205" s="4" t="n"/>
      <c r="D205" s="4" t="n"/>
      <c r="E205" s="4" t="n"/>
      <c r="F205" s="4" t="n"/>
    </row>
    <row r="206" ht="15.75" customHeight="1" s="108">
      <c r="A206" s="4" t="n"/>
      <c r="B206" s="4" t="n"/>
      <c r="C206" s="4" t="n"/>
      <c r="D206" s="4" t="n"/>
      <c r="E206" s="4" t="n"/>
      <c r="F206" s="4" t="n"/>
    </row>
    <row r="207" ht="15.75" customHeight="1" s="108">
      <c r="A207" s="4" t="n"/>
      <c r="B207" s="4" t="n"/>
      <c r="C207" s="4" t="n"/>
      <c r="D207" s="4" t="n"/>
      <c r="E207" s="4" t="n"/>
      <c r="F207" s="4" t="n"/>
    </row>
    <row r="208" ht="15.75" customHeight="1" s="108">
      <c r="A208" s="4" t="n"/>
      <c r="B208" s="4" t="n"/>
      <c r="C208" s="4" t="n"/>
      <c r="D208" s="4" t="n"/>
      <c r="E208" s="4" t="n"/>
      <c r="F208" s="4" t="n"/>
    </row>
    <row r="209" ht="15.75" customHeight="1" s="108">
      <c r="A209" s="4" t="n"/>
      <c r="B209" s="4" t="n"/>
      <c r="C209" s="4" t="n"/>
      <c r="D209" s="4" t="n"/>
      <c r="E209" s="4" t="n"/>
      <c r="F209" s="4" t="n"/>
    </row>
    <row r="210" ht="15.75" customHeight="1" s="108">
      <c r="A210" s="4" t="n"/>
      <c r="B210" s="4" t="n"/>
      <c r="C210" s="4" t="n"/>
      <c r="D210" s="4" t="n"/>
      <c r="E210" s="4" t="n"/>
      <c r="F210" s="4" t="n"/>
    </row>
    <row r="211" ht="15.75" customHeight="1" s="108">
      <c r="A211" s="4" t="n"/>
      <c r="B211" s="4" t="n"/>
      <c r="C211" s="4" t="n"/>
      <c r="D211" s="4" t="n"/>
      <c r="E211" s="4" t="n"/>
      <c r="F211" s="4" t="n"/>
    </row>
    <row r="212" ht="15.75" customHeight="1" s="108">
      <c r="A212" s="4" t="n"/>
      <c r="B212" s="4" t="n"/>
      <c r="C212" s="4" t="n"/>
      <c r="D212" s="4" t="n"/>
      <c r="E212" s="4" t="n"/>
      <c r="F212" s="4" t="n"/>
    </row>
    <row r="213" ht="15.75" customHeight="1" s="108">
      <c r="A213" s="4" t="n"/>
      <c r="B213" s="4" t="n"/>
      <c r="C213" s="4" t="n"/>
      <c r="D213" s="4" t="n"/>
      <c r="E213" s="4" t="n"/>
      <c r="F213" s="4" t="n"/>
    </row>
    <row r="214" ht="15.75" customHeight="1" s="108">
      <c r="A214" s="4" t="n"/>
      <c r="B214" s="4" t="n"/>
      <c r="C214" s="4" t="n"/>
      <c r="D214" s="4" t="n"/>
      <c r="E214" s="4" t="n"/>
      <c r="F214" s="4" t="n"/>
    </row>
    <row r="215" ht="15.75" customHeight="1" s="108">
      <c r="A215" s="4" t="n"/>
      <c r="B215" s="4" t="n"/>
      <c r="C215" s="4" t="n"/>
      <c r="D215" s="4" t="n"/>
      <c r="E215" s="4" t="n"/>
      <c r="F215" s="4" t="n"/>
    </row>
    <row r="216" ht="15.75" customHeight="1" s="108">
      <c r="A216" s="4" t="n"/>
      <c r="B216" s="4" t="n"/>
      <c r="C216" s="4" t="n"/>
      <c r="D216" s="4" t="n"/>
      <c r="E216" s="4" t="n"/>
      <c r="F216" s="4" t="n"/>
    </row>
    <row r="217" ht="15.75" customHeight="1" s="108">
      <c r="A217" s="4" t="n"/>
      <c r="B217" s="4" t="n"/>
      <c r="C217" s="4" t="n"/>
      <c r="D217" s="4" t="n"/>
      <c r="E217" s="4" t="n"/>
      <c r="F217" s="4" t="n"/>
    </row>
    <row r="218" ht="15.75" customHeight="1" s="108">
      <c r="A218" s="4" t="n"/>
      <c r="B218" s="4" t="n"/>
      <c r="C218" s="4" t="n"/>
      <c r="D218" s="4" t="n"/>
      <c r="E218" s="4" t="n"/>
      <c r="F218" s="4" t="n"/>
    </row>
    <row r="219" ht="15.75" customHeight="1" s="108">
      <c r="A219" s="4" t="n"/>
      <c r="B219" s="4" t="n"/>
      <c r="C219" s="4" t="n"/>
      <c r="D219" s="4" t="n"/>
      <c r="E219" s="4" t="n"/>
      <c r="F219" s="4" t="n"/>
    </row>
    <row r="220" ht="15.75" customHeight="1" s="108">
      <c r="A220" s="4" t="n"/>
      <c r="B220" s="4" t="n"/>
      <c r="C220" s="4" t="n"/>
      <c r="D220" s="4" t="n"/>
      <c r="E220" s="4" t="n"/>
      <c r="F220" s="4" t="n"/>
    </row>
    <row r="221" ht="15.75" customHeight="1" s="108">
      <c r="A221" s="4" t="n"/>
      <c r="B221" s="4" t="n"/>
      <c r="C221" s="4" t="n"/>
      <c r="D221" s="4" t="n"/>
      <c r="E221" s="4" t="n"/>
      <c r="F221" s="4" t="n"/>
    </row>
    <row r="222" ht="15.75" customHeight="1" s="108">
      <c r="A222" s="4" t="n"/>
      <c r="B222" s="4" t="n"/>
      <c r="C222" s="4" t="n"/>
      <c r="D222" s="4" t="n"/>
      <c r="E222" s="4" t="n"/>
      <c r="F222" s="4" t="n"/>
    </row>
    <row r="223" ht="15.75" customHeight="1" s="108">
      <c r="A223" s="4" t="n"/>
      <c r="B223" s="4" t="n"/>
      <c r="C223" s="4" t="n"/>
      <c r="D223" s="4" t="n"/>
      <c r="E223" s="4" t="n"/>
      <c r="F223" s="4" t="n"/>
    </row>
    <row r="224" ht="15.75" customHeight="1" s="108">
      <c r="A224" s="4" t="n"/>
      <c r="B224" s="4" t="n"/>
      <c r="C224" s="4" t="n"/>
      <c r="D224" s="4" t="n"/>
      <c r="E224" s="4" t="n"/>
      <c r="F224" s="4" t="n"/>
    </row>
    <row r="225" ht="15.75" customHeight="1" s="108">
      <c r="A225" s="4" t="n"/>
      <c r="B225" s="4" t="n"/>
      <c r="C225" s="4" t="n"/>
      <c r="D225" s="4" t="n"/>
      <c r="E225" s="4" t="n"/>
      <c r="F225" s="4" t="n"/>
    </row>
    <row r="226" ht="15.75" customHeight="1" s="108">
      <c r="A226" s="4" t="n"/>
      <c r="B226" s="4" t="n"/>
      <c r="C226" s="4" t="n"/>
      <c r="D226" s="4" t="n"/>
      <c r="E226" s="4" t="n"/>
      <c r="F226" s="4" t="n"/>
    </row>
    <row r="227" ht="15.75" customHeight="1" s="108">
      <c r="A227" s="4" t="n"/>
      <c r="B227" s="4" t="n"/>
      <c r="C227" s="4" t="n"/>
      <c r="D227" s="4" t="n"/>
      <c r="E227" s="4" t="n"/>
      <c r="F227" s="4" t="n"/>
    </row>
    <row r="228" ht="15.75" customHeight="1" s="108">
      <c r="A228" s="4" t="n"/>
      <c r="B228" s="4" t="n"/>
      <c r="C228" s="4" t="n"/>
      <c r="D228" s="4" t="n"/>
      <c r="E228" s="4" t="n"/>
      <c r="F228" s="4" t="n"/>
    </row>
    <row r="229" ht="15.75" customHeight="1" s="108">
      <c r="A229" s="4" t="n"/>
      <c r="B229" s="4" t="n"/>
      <c r="C229" s="4" t="n"/>
      <c r="D229" s="4" t="n"/>
      <c r="E229" s="4" t="n"/>
      <c r="F229" s="4" t="n"/>
    </row>
    <row r="230" ht="15.75" customHeight="1" s="108">
      <c r="A230" s="4" t="n"/>
      <c r="B230" s="4" t="n"/>
      <c r="C230" s="4" t="n"/>
      <c r="D230" s="4" t="n"/>
      <c r="E230" s="4" t="n"/>
      <c r="F230" s="4" t="n"/>
    </row>
    <row r="231" ht="15.75" customHeight="1" s="108">
      <c r="A231" s="4" t="n"/>
      <c r="B231" s="4" t="n"/>
      <c r="C231" s="4" t="n"/>
      <c r="D231" s="4" t="n"/>
      <c r="E231" s="4" t="n"/>
      <c r="F231" s="4" t="n"/>
    </row>
    <row r="232" ht="15.75" customHeight="1" s="108">
      <c r="A232" s="4" t="n"/>
      <c r="B232" s="4" t="n"/>
      <c r="C232" s="4" t="n"/>
      <c r="D232" s="4" t="n"/>
      <c r="E232" s="4" t="n"/>
      <c r="F232" s="4" t="n"/>
    </row>
    <row r="233" ht="15.75" customHeight="1" s="108">
      <c r="A233" s="4" t="n"/>
      <c r="B233" s="4" t="n"/>
      <c r="C233" s="4" t="n"/>
      <c r="D233" s="4" t="n"/>
      <c r="E233" s="4" t="n"/>
      <c r="F233" s="4" t="n"/>
    </row>
    <row r="234" ht="15.75" customHeight="1" s="108">
      <c r="A234" s="4" t="n"/>
      <c r="B234" s="4" t="n"/>
      <c r="C234" s="4" t="n"/>
      <c r="D234" s="4" t="n"/>
      <c r="E234" s="4" t="n"/>
      <c r="F234" s="4" t="n"/>
    </row>
    <row r="235" ht="15.75" customHeight="1" s="108">
      <c r="A235" s="4" t="n"/>
      <c r="B235" s="4" t="n"/>
      <c r="C235" s="4" t="n"/>
      <c r="D235" s="4" t="n"/>
      <c r="E235" s="4" t="n"/>
      <c r="F235" s="4" t="n"/>
    </row>
    <row r="236" ht="15.75" customHeight="1" s="108">
      <c r="A236" s="4" t="n"/>
      <c r="B236" s="4" t="n"/>
      <c r="C236" s="4" t="n"/>
      <c r="D236" s="4" t="n"/>
      <c r="E236" s="4" t="n"/>
      <c r="F236" s="4" t="n"/>
    </row>
    <row r="237" ht="15.75" customHeight="1" s="108">
      <c r="A237" s="4" t="n"/>
      <c r="B237" s="4" t="n"/>
      <c r="C237" s="4" t="n"/>
      <c r="D237" s="4" t="n"/>
      <c r="E237" s="4" t="n"/>
      <c r="F237" s="4" t="n"/>
    </row>
    <row r="238" ht="15.75" customHeight="1" s="108">
      <c r="A238" s="4" t="n"/>
      <c r="B238" s="4" t="n"/>
      <c r="C238" s="4" t="n"/>
      <c r="D238" s="4" t="n"/>
      <c r="E238" s="4" t="n"/>
      <c r="F238" s="4" t="n"/>
    </row>
    <row r="239" ht="15.75" customHeight="1" s="108">
      <c r="A239" s="4" t="n"/>
      <c r="B239" s="4" t="n"/>
      <c r="C239" s="4" t="n"/>
      <c r="D239" s="4" t="n"/>
      <c r="E239" s="4" t="n"/>
      <c r="F239" s="4" t="n"/>
    </row>
    <row r="240" ht="15.75" customHeight="1" s="108">
      <c r="A240" s="4" t="n"/>
      <c r="B240" s="4" t="n"/>
      <c r="C240" s="4" t="n"/>
      <c r="D240" s="4" t="n"/>
      <c r="E240" s="4" t="n"/>
      <c r="F240" s="4" t="n"/>
    </row>
    <row r="241" ht="15.75" customHeight="1" s="108">
      <c r="A241" s="4" t="n"/>
      <c r="B241" s="4" t="n"/>
      <c r="C241" s="4" t="n"/>
      <c r="D241" s="4" t="n"/>
      <c r="E241" s="4" t="n"/>
      <c r="F241" s="4" t="n"/>
    </row>
    <row r="242" ht="15.75" customHeight="1" s="108">
      <c r="A242" s="4" t="n"/>
      <c r="B242" s="4" t="n"/>
      <c r="C242" s="4" t="n"/>
      <c r="D242" s="4" t="n"/>
      <c r="E242" s="4" t="n"/>
      <c r="F242" s="4" t="n"/>
    </row>
    <row r="243" ht="15.75" customHeight="1" s="108">
      <c r="A243" s="4" t="n"/>
      <c r="B243" s="4" t="n"/>
      <c r="C243" s="4" t="n"/>
      <c r="D243" s="4" t="n"/>
      <c r="E243" s="4" t="n"/>
      <c r="F243" s="4" t="n"/>
    </row>
    <row r="244" ht="15.75" customHeight="1" s="108">
      <c r="A244" s="4" t="n"/>
      <c r="B244" s="4" t="n"/>
      <c r="C244" s="4" t="n"/>
      <c r="D244" s="4" t="n"/>
      <c r="E244" s="4" t="n"/>
      <c r="F244" s="4" t="n"/>
    </row>
    <row r="245" ht="15.75" customHeight="1" s="108">
      <c r="A245" s="4" t="n"/>
      <c r="B245" s="4" t="n"/>
      <c r="C245" s="4" t="n"/>
      <c r="D245" s="4" t="n"/>
      <c r="E245" s="4" t="n"/>
      <c r="F245" s="4" t="n"/>
    </row>
    <row r="246" ht="15.75" customHeight="1" s="108">
      <c r="A246" s="4" t="n"/>
      <c r="B246" s="4" t="n"/>
      <c r="C246" s="4" t="n"/>
      <c r="D246" s="4" t="n"/>
      <c r="E246" s="4" t="n"/>
      <c r="F246" s="4" t="n"/>
    </row>
    <row r="247" ht="15.75" customHeight="1" s="108">
      <c r="A247" s="4" t="n"/>
      <c r="B247" s="4" t="n"/>
      <c r="C247" s="4" t="n"/>
      <c r="D247" s="4" t="n"/>
      <c r="E247" s="4" t="n"/>
      <c r="F247" s="4" t="n"/>
    </row>
    <row r="248" ht="15.75" customHeight="1" s="108">
      <c r="A248" s="4" t="n"/>
      <c r="B248" s="4" t="n"/>
      <c r="C248" s="4" t="n"/>
      <c r="D248" s="4" t="n"/>
      <c r="E248" s="4" t="n"/>
      <c r="F248" s="4" t="n"/>
    </row>
    <row r="249" ht="15.75" customHeight="1" s="108">
      <c r="A249" s="4" t="n"/>
      <c r="B249" s="4" t="n"/>
      <c r="C249" s="4" t="n"/>
      <c r="D249" s="4" t="n"/>
      <c r="E249" s="4" t="n"/>
      <c r="F249" s="4" t="n"/>
    </row>
    <row r="250" ht="15.75" customHeight="1" s="108">
      <c r="A250" s="4" t="n"/>
      <c r="B250" s="4" t="n"/>
      <c r="C250" s="4" t="n"/>
      <c r="D250" s="4" t="n"/>
      <c r="E250" s="4" t="n"/>
      <c r="F250" s="4" t="n"/>
    </row>
    <row r="251" ht="15.75" customHeight="1" s="108">
      <c r="A251" s="4" t="n"/>
      <c r="B251" s="4" t="n"/>
      <c r="C251" s="4" t="n"/>
      <c r="D251" s="4" t="n"/>
      <c r="E251" s="4" t="n"/>
      <c r="F251" s="4" t="n"/>
    </row>
    <row r="252" ht="15.75" customHeight="1" s="108">
      <c r="A252" s="4" t="n"/>
      <c r="B252" s="4" t="n"/>
      <c r="C252" s="4" t="n"/>
      <c r="D252" s="4" t="n"/>
      <c r="E252" s="4" t="n"/>
      <c r="F252" s="4" t="n"/>
    </row>
    <row r="253" ht="15.75" customHeight="1" s="108">
      <c r="A253" s="4" t="n"/>
      <c r="B253" s="4" t="n"/>
      <c r="C253" s="4" t="n"/>
      <c r="D253" s="4" t="n"/>
      <c r="E253" s="4" t="n"/>
      <c r="F253" s="4" t="n"/>
    </row>
    <row r="254" ht="15.75" customHeight="1" s="108">
      <c r="A254" s="4" t="n"/>
      <c r="B254" s="4" t="n"/>
      <c r="C254" s="4" t="n"/>
      <c r="D254" s="4" t="n"/>
      <c r="E254" s="4" t="n"/>
      <c r="F254" s="4" t="n"/>
    </row>
    <row r="255" ht="15.75" customHeight="1" s="108">
      <c r="A255" s="4" t="n"/>
      <c r="B255" s="4" t="n"/>
      <c r="C255" s="4" t="n"/>
      <c r="D255" s="4" t="n"/>
      <c r="E255" s="4" t="n"/>
      <c r="F255" s="4" t="n"/>
    </row>
    <row r="256" ht="15.75" customHeight="1" s="108">
      <c r="A256" s="4" t="n"/>
      <c r="B256" s="4" t="n"/>
      <c r="C256" s="4" t="n"/>
      <c r="D256" s="4" t="n"/>
      <c r="E256" s="4" t="n"/>
      <c r="F256" s="4" t="n"/>
    </row>
    <row r="257" ht="15.75" customHeight="1" s="108">
      <c r="A257" s="4" t="n"/>
      <c r="B257" s="4" t="n"/>
      <c r="C257" s="4" t="n"/>
      <c r="D257" s="4" t="n"/>
      <c r="E257" s="4" t="n"/>
      <c r="F257" s="4" t="n"/>
    </row>
    <row r="258" ht="15.75" customHeight="1" s="108">
      <c r="A258" s="4" t="n"/>
      <c r="B258" s="4" t="n"/>
      <c r="C258" s="4" t="n"/>
      <c r="D258" s="4" t="n"/>
      <c r="E258" s="4" t="n"/>
      <c r="F258" s="4" t="n"/>
    </row>
    <row r="259" ht="15.75" customHeight="1" s="108">
      <c r="A259" s="4" t="n"/>
      <c r="B259" s="4" t="n"/>
      <c r="C259" s="4" t="n"/>
      <c r="D259" s="4" t="n"/>
      <c r="E259" s="4" t="n"/>
      <c r="F259" s="4" t="n"/>
    </row>
    <row r="260" ht="15.75" customHeight="1" s="108">
      <c r="A260" s="4" t="n"/>
      <c r="B260" s="4" t="n"/>
      <c r="C260" s="4" t="n"/>
      <c r="D260" s="4" t="n"/>
      <c r="E260" s="4" t="n"/>
      <c r="F260" s="4" t="n"/>
    </row>
    <row r="261" ht="15.75" customHeight="1" s="108">
      <c r="A261" s="4" t="n"/>
      <c r="B261" s="4" t="n"/>
      <c r="C261" s="4" t="n"/>
      <c r="D261" s="4" t="n"/>
      <c r="E261" s="4" t="n"/>
      <c r="F261" s="4" t="n"/>
    </row>
    <row r="262" ht="15.75" customHeight="1" s="108">
      <c r="A262" s="4" t="n"/>
      <c r="B262" s="4" t="n"/>
      <c r="C262" s="4" t="n"/>
      <c r="D262" s="4" t="n"/>
      <c r="E262" s="4" t="n"/>
      <c r="F262" s="4" t="n"/>
    </row>
    <row r="263" ht="15.75" customHeight="1" s="108">
      <c r="A263" s="4" t="n"/>
      <c r="B263" s="4" t="n"/>
      <c r="C263" s="4" t="n"/>
      <c r="D263" s="4" t="n"/>
      <c r="E263" s="4" t="n"/>
      <c r="F263" s="4" t="n"/>
    </row>
    <row r="264" ht="15.75" customHeight="1" s="108">
      <c r="A264" s="4" t="n"/>
      <c r="B264" s="4" t="n"/>
      <c r="C264" s="4" t="n"/>
      <c r="D264" s="4" t="n"/>
      <c r="E264" s="4" t="n"/>
      <c r="F264" s="4" t="n"/>
    </row>
    <row r="265" ht="15.75" customHeight="1" s="108">
      <c r="A265" s="4" t="n"/>
      <c r="B265" s="4" t="n"/>
      <c r="C265" s="4" t="n"/>
      <c r="D265" s="4" t="n"/>
      <c r="E265" s="4" t="n"/>
      <c r="F265" s="4" t="n"/>
    </row>
    <row r="266" ht="15.75" customHeight="1" s="108">
      <c r="A266" s="4" t="n"/>
      <c r="B266" s="4" t="n"/>
      <c r="C266" s="4" t="n"/>
      <c r="D266" s="4" t="n"/>
      <c r="E266" s="4" t="n"/>
      <c r="F266" s="4" t="n"/>
    </row>
    <row r="267" ht="15.75" customHeight="1" s="108">
      <c r="A267" s="4" t="n"/>
      <c r="B267" s="4" t="n"/>
      <c r="C267" s="4" t="n"/>
      <c r="D267" s="4" t="n"/>
      <c r="E267" s="4" t="n"/>
      <c r="F267" s="4" t="n"/>
    </row>
    <row r="268" ht="15.75" customHeight="1" s="108">
      <c r="A268" s="4" t="n"/>
      <c r="B268" s="4" t="n"/>
      <c r="C268" s="4" t="n"/>
      <c r="D268" s="4" t="n"/>
      <c r="E268" s="4" t="n"/>
      <c r="F268" s="4" t="n"/>
    </row>
    <row r="269" ht="15.75" customHeight="1" s="108">
      <c r="A269" s="4" t="n"/>
      <c r="B269" s="4" t="n"/>
      <c r="C269" s="4" t="n"/>
      <c r="D269" s="4" t="n"/>
      <c r="E269" s="4" t="n"/>
      <c r="F269" s="4" t="n"/>
    </row>
    <row r="270" ht="15.75" customHeight="1" s="108">
      <c r="A270" s="4" t="n"/>
      <c r="B270" s="4" t="n"/>
      <c r="C270" s="4" t="n"/>
      <c r="D270" s="4" t="n"/>
      <c r="E270" s="4" t="n"/>
      <c r="F270" s="4" t="n"/>
    </row>
    <row r="271" ht="15.75" customHeight="1" s="108">
      <c r="A271" s="4" t="n"/>
      <c r="B271" s="4" t="n"/>
      <c r="C271" s="4" t="n"/>
      <c r="D271" s="4" t="n"/>
      <c r="E271" s="4" t="n"/>
      <c r="F271" s="4" t="n"/>
    </row>
    <row r="272" ht="15.75" customHeight="1" s="108">
      <c r="A272" s="4" t="n"/>
      <c r="B272" s="4" t="n"/>
      <c r="C272" s="4" t="n"/>
      <c r="D272" s="4" t="n"/>
      <c r="E272" s="4" t="n"/>
      <c r="F272" s="4" t="n"/>
    </row>
    <row r="273" ht="15.75" customHeight="1" s="108">
      <c r="A273" s="4" t="n"/>
      <c r="B273" s="4" t="n"/>
      <c r="C273" s="4" t="n"/>
      <c r="D273" s="4" t="n"/>
      <c r="E273" s="4" t="n"/>
      <c r="F273" s="4" t="n"/>
    </row>
    <row r="274" ht="15.75" customHeight="1" s="108">
      <c r="A274" s="4" t="n"/>
      <c r="B274" s="4" t="n"/>
      <c r="C274" s="4" t="n"/>
      <c r="D274" s="4" t="n"/>
      <c r="E274" s="4" t="n"/>
      <c r="F274" s="4" t="n"/>
    </row>
    <row r="275" ht="15.75" customHeight="1" s="108">
      <c r="A275" s="4" t="n"/>
      <c r="B275" s="4" t="n"/>
      <c r="C275" s="4" t="n"/>
      <c r="D275" s="4" t="n"/>
      <c r="E275" s="4" t="n"/>
      <c r="F275" s="4" t="n"/>
    </row>
    <row r="276" ht="15.75" customHeight="1" s="108">
      <c r="A276" s="4" t="n"/>
      <c r="B276" s="4" t="n"/>
      <c r="C276" s="4" t="n"/>
      <c r="D276" s="4" t="n"/>
      <c r="E276" s="4" t="n"/>
      <c r="F276" s="4" t="n"/>
    </row>
    <row r="277" ht="15.75" customHeight="1" s="108">
      <c r="A277" s="4" t="n"/>
      <c r="B277" s="4" t="n"/>
      <c r="C277" s="4" t="n"/>
      <c r="D277" s="4" t="n"/>
      <c r="E277" s="4" t="n"/>
      <c r="F277" s="4" t="n"/>
    </row>
    <row r="278" ht="15.75" customHeight="1" s="108">
      <c r="A278" s="4" t="n"/>
      <c r="B278" s="4" t="n"/>
      <c r="C278" s="4" t="n"/>
      <c r="D278" s="4" t="n"/>
      <c r="E278" s="4" t="n"/>
      <c r="F278" s="4" t="n"/>
    </row>
    <row r="279" ht="15.75" customHeight="1" s="108">
      <c r="A279" s="4" t="n"/>
      <c r="B279" s="4" t="n"/>
      <c r="C279" s="4" t="n"/>
      <c r="D279" s="4" t="n"/>
      <c r="E279" s="4" t="n"/>
      <c r="F279" s="4" t="n"/>
    </row>
    <row r="280" ht="15.75" customHeight="1" s="108">
      <c r="A280" s="4" t="n"/>
      <c r="B280" s="4" t="n"/>
      <c r="C280" s="4" t="n"/>
      <c r="D280" s="4" t="n"/>
      <c r="E280" s="4" t="n"/>
      <c r="F280" s="4" t="n"/>
    </row>
    <row r="281" ht="15.75" customHeight="1" s="108">
      <c r="A281" s="4" t="n"/>
      <c r="B281" s="4" t="n"/>
      <c r="C281" s="4" t="n"/>
      <c r="D281" s="4" t="n"/>
      <c r="E281" s="4" t="n"/>
      <c r="F281" s="4" t="n"/>
    </row>
    <row r="282" ht="15.75" customHeight="1" s="108">
      <c r="A282" s="4" t="n"/>
      <c r="B282" s="4" t="n"/>
      <c r="C282" s="4" t="n"/>
      <c r="D282" s="4" t="n"/>
      <c r="E282" s="4" t="n"/>
      <c r="F282" s="4" t="n"/>
    </row>
    <row r="283" ht="15.75" customHeight="1" s="108">
      <c r="A283" s="4" t="n"/>
      <c r="B283" s="4" t="n"/>
      <c r="C283" s="4" t="n"/>
      <c r="D283" s="4" t="n"/>
      <c r="E283" s="4" t="n"/>
      <c r="F283" s="4" t="n"/>
    </row>
    <row r="284" ht="15.75" customHeight="1" s="108">
      <c r="A284" s="4" t="n"/>
      <c r="B284" s="4" t="n"/>
      <c r="C284" s="4" t="n"/>
      <c r="D284" s="4" t="n"/>
      <c r="E284" s="4" t="n"/>
      <c r="F284" s="4" t="n"/>
    </row>
    <row r="285" ht="15.75" customHeight="1" s="108">
      <c r="A285" s="4" t="n"/>
      <c r="B285" s="4" t="n"/>
      <c r="C285" s="4" t="n"/>
      <c r="D285" s="4" t="n"/>
      <c r="E285" s="4" t="n"/>
      <c r="F285" s="4" t="n"/>
    </row>
    <row r="286" ht="15.75" customHeight="1" s="108">
      <c r="A286" s="4" t="n"/>
      <c r="B286" s="4" t="n"/>
      <c r="C286" s="4" t="n"/>
      <c r="D286" s="4" t="n"/>
      <c r="E286" s="4" t="n"/>
      <c r="F286" s="4" t="n"/>
    </row>
    <row r="287" ht="15.75" customHeight="1" s="108">
      <c r="A287" s="4" t="n"/>
      <c r="B287" s="4" t="n"/>
      <c r="C287" s="4" t="n"/>
      <c r="D287" s="4" t="n"/>
      <c r="E287" s="4" t="n"/>
      <c r="F287" s="4" t="n"/>
    </row>
    <row r="288" ht="15.75" customHeight="1" s="108">
      <c r="A288" s="4" t="n"/>
      <c r="B288" s="4" t="n"/>
      <c r="C288" s="4" t="n"/>
      <c r="D288" s="4" t="n"/>
      <c r="E288" s="4" t="n"/>
      <c r="F288" s="4" t="n"/>
    </row>
    <row r="289" ht="15.75" customHeight="1" s="108">
      <c r="A289" s="4" t="n"/>
      <c r="B289" s="4" t="n"/>
      <c r="C289" s="4" t="n"/>
      <c r="D289" s="4" t="n"/>
      <c r="E289" s="4" t="n"/>
      <c r="F289" s="4" t="n"/>
    </row>
    <row r="290" ht="15.75" customHeight="1" s="108">
      <c r="A290" s="4" t="n"/>
      <c r="B290" s="4" t="n"/>
      <c r="C290" s="4" t="n"/>
      <c r="D290" s="4" t="n"/>
      <c r="E290" s="4" t="n"/>
      <c r="F290" s="4" t="n"/>
    </row>
    <row r="291" ht="15.75" customHeight="1" s="108">
      <c r="A291" s="4" t="n"/>
      <c r="B291" s="4" t="n"/>
      <c r="C291" s="4" t="n"/>
      <c r="D291" s="4" t="n"/>
      <c r="E291" s="4" t="n"/>
      <c r="F291" s="4" t="n"/>
    </row>
    <row r="292" ht="15.75" customHeight="1" s="108">
      <c r="A292" s="4" t="n"/>
      <c r="B292" s="4" t="n"/>
      <c r="C292" s="4" t="n"/>
      <c r="D292" s="4" t="n"/>
      <c r="E292" s="4" t="n"/>
      <c r="F292" s="4" t="n"/>
    </row>
    <row r="293" ht="15.75" customHeight="1" s="108">
      <c r="A293" s="4" t="n"/>
      <c r="B293" s="4" t="n"/>
      <c r="C293" s="4" t="n"/>
      <c r="D293" s="4" t="n"/>
      <c r="E293" s="4" t="n"/>
      <c r="F293" s="4" t="n"/>
    </row>
    <row r="294" ht="15.75" customHeight="1" s="108">
      <c r="A294" s="4" t="n"/>
      <c r="B294" s="4" t="n"/>
      <c r="C294" s="4" t="n"/>
      <c r="D294" s="4" t="n"/>
      <c r="E294" s="4" t="n"/>
      <c r="F294" s="4" t="n"/>
    </row>
    <row r="295" ht="15.75" customHeight="1" s="108">
      <c r="A295" s="4" t="n"/>
      <c r="B295" s="4" t="n"/>
      <c r="C295" s="4" t="n"/>
      <c r="D295" s="4" t="n"/>
      <c r="E295" s="4" t="n"/>
      <c r="F295" s="4" t="n"/>
    </row>
    <row r="296" ht="15.75" customHeight="1" s="108">
      <c r="A296" s="4" t="n"/>
      <c r="B296" s="4" t="n"/>
      <c r="C296" s="4" t="n"/>
      <c r="D296" s="4" t="n"/>
      <c r="E296" s="4" t="n"/>
      <c r="F296" s="4" t="n"/>
    </row>
    <row r="297" ht="15.75" customHeight="1" s="108">
      <c r="A297" s="4" t="n"/>
      <c r="B297" s="4" t="n"/>
      <c r="C297" s="4" t="n"/>
      <c r="D297" s="4" t="n"/>
      <c r="E297" s="4" t="n"/>
      <c r="F297" s="4" t="n"/>
    </row>
    <row r="298" ht="15.75" customHeight="1" s="108">
      <c r="A298" s="4" t="n"/>
      <c r="B298" s="4" t="n"/>
      <c r="C298" s="4" t="n"/>
      <c r="D298" s="4" t="n"/>
      <c r="E298" s="4" t="n"/>
      <c r="F298" s="4" t="n"/>
    </row>
    <row r="299" ht="15.75" customHeight="1" s="108">
      <c r="A299" s="4" t="n"/>
      <c r="B299" s="4" t="n"/>
      <c r="C299" s="4" t="n"/>
      <c r="D299" s="4" t="n"/>
      <c r="E299" s="4" t="n"/>
      <c r="F299" s="4" t="n"/>
    </row>
    <row r="300" ht="15.75" customHeight="1" s="108">
      <c r="A300" s="4" t="n"/>
      <c r="B300" s="4" t="n"/>
      <c r="C300" s="4" t="n"/>
      <c r="D300" s="4" t="n"/>
      <c r="E300" s="4" t="n"/>
      <c r="F300" s="4" t="n"/>
    </row>
    <row r="301" ht="15.75" customHeight="1" s="108">
      <c r="A301" s="4" t="n"/>
      <c r="B301" s="4" t="n"/>
      <c r="C301" s="4" t="n"/>
      <c r="D301" s="4" t="n"/>
      <c r="E301" s="4" t="n"/>
      <c r="F301" s="4" t="n"/>
    </row>
    <row r="302" ht="15.75" customHeight="1" s="108">
      <c r="A302" s="4" t="n"/>
      <c r="B302" s="4" t="n"/>
      <c r="C302" s="4" t="n"/>
      <c r="D302" s="4" t="n"/>
      <c r="E302" s="4" t="n"/>
      <c r="F302" s="4" t="n"/>
    </row>
    <row r="303" ht="15.75" customHeight="1" s="108">
      <c r="A303" s="4" t="n"/>
      <c r="B303" s="4" t="n"/>
      <c r="C303" s="4" t="n"/>
      <c r="D303" s="4" t="n"/>
      <c r="E303" s="4" t="n"/>
      <c r="F303" s="4" t="n"/>
    </row>
    <row r="304" ht="15.75" customHeight="1" s="108">
      <c r="A304" s="4" t="n"/>
      <c r="B304" s="4" t="n"/>
      <c r="C304" s="4" t="n"/>
      <c r="D304" s="4" t="n"/>
      <c r="E304" s="4" t="n"/>
      <c r="F304" s="4" t="n"/>
    </row>
    <row r="305" ht="15.75" customHeight="1" s="108">
      <c r="A305" s="4" t="n"/>
      <c r="B305" s="4" t="n"/>
      <c r="C305" s="4" t="n"/>
      <c r="D305" s="4" t="n"/>
      <c r="E305" s="4" t="n"/>
      <c r="F305" s="4" t="n"/>
    </row>
    <row r="306" ht="15.75" customHeight="1" s="108">
      <c r="A306" s="4" t="n"/>
      <c r="B306" s="4" t="n"/>
      <c r="C306" s="4" t="n"/>
      <c r="D306" s="4" t="n"/>
      <c r="E306" s="4" t="n"/>
      <c r="F306" s="4" t="n"/>
    </row>
    <row r="307" ht="15.75" customHeight="1" s="108">
      <c r="A307" s="4" t="n"/>
      <c r="B307" s="4" t="n"/>
      <c r="C307" s="4" t="n"/>
      <c r="D307" s="4" t="n"/>
      <c r="E307" s="4" t="n"/>
      <c r="F307" s="4" t="n"/>
    </row>
    <row r="308" ht="15.75" customHeight="1" s="108">
      <c r="A308" s="4" t="n"/>
      <c r="B308" s="4" t="n"/>
      <c r="C308" s="4" t="n"/>
      <c r="D308" s="4" t="n"/>
      <c r="E308" s="4" t="n"/>
      <c r="F308" s="4" t="n"/>
    </row>
    <row r="309" ht="15.75" customHeight="1" s="108">
      <c r="A309" s="4" t="n"/>
      <c r="B309" s="4" t="n"/>
      <c r="C309" s="4" t="n"/>
      <c r="D309" s="4" t="n"/>
      <c r="E309" s="4" t="n"/>
      <c r="F309" s="4" t="n"/>
    </row>
    <row r="310" ht="15.75" customHeight="1" s="108">
      <c r="A310" s="4" t="n"/>
      <c r="B310" s="4" t="n"/>
      <c r="C310" s="4" t="n"/>
      <c r="D310" s="4" t="n"/>
      <c r="E310" s="4" t="n"/>
      <c r="F310" s="4" t="n"/>
    </row>
    <row r="311" ht="15.75" customHeight="1" s="108">
      <c r="A311" s="4" t="n"/>
      <c r="B311" s="4" t="n"/>
      <c r="C311" s="4" t="n"/>
      <c r="D311" s="4" t="n"/>
      <c r="E311" s="4" t="n"/>
      <c r="F311" s="4" t="n"/>
    </row>
    <row r="312" ht="15.75" customHeight="1" s="108">
      <c r="A312" s="4" t="n"/>
      <c r="B312" s="4" t="n"/>
      <c r="C312" s="4" t="n"/>
      <c r="D312" s="4" t="n"/>
      <c r="E312" s="4" t="n"/>
      <c r="F312" s="4" t="n"/>
    </row>
    <row r="313" ht="15.75" customHeight="1" s="108">
      <c r="A313" s="4" t="n"/>
      <c r="B313" s="4" t="n"/>
      <c r="C313" s="4" t="n"/>
      <c r="D313" s="4" t="n"/>
      <c r="E313" s="4" t="n"/>
      <c r="F313" s="4" t="n"/>
    </row>
    <row r="314" ht="15.75" customHeight="1" s="108">
      <c r="A314" s="4" t="n"/>
      <c r="B314" s="4" t="n"/>
      <c r="C314" s="4" t="n"/>
      <c r="D314" s="4" t="n"/>
      <c r="E314" s="4" t="n"/>
      <c r="F314" s="4" t="n"/>
    </row>
    <row r="315" ht="15.75" customHeight="1" s="108">
      <c r="A315" s="4" t="n"/>
      <c r="B315" s="4" t="n"/>
      <c r="C315" s="4" t="n"/>
      <c r="D315" s="4" t="n"/>
      <c r="E315" s="4" t="n"/>
      <c r="F315" s="4" t="n"/>
    </row>
    <row r="316" ht="15.75" customHeight="1" s="108">
      <c r="A316" s="4" t="n"/>
      <c r="B316" s="4" t="n"/>
      <c r="C316" s="4" t="n"/>
      <c r="D316" s="4" t="n"/>
      <c r="E316" s="4" t="n"/>
      <c r="F316" s="4" t="n"/>
    </row>
    <row r="317" ht="15.75" customHeight="1" s="108">
      <c r="A317" s="4" t="n"/>
      <c r="B317" s="4" t="n"/>
      <c r="C317" s="4" t="n"/>
      <c r="D317" s="4" t="n"/>
      <c r="E317" s="4" t="n"/>
      <c r="F317" s="4" t="n"/>
    </row>
    <row r="318" ht="15.75" customHeight="1" s="108">
      <c r="A318" s="4" t="n"/>
      <c r="B318" s="4" t="n"/>
      <c r="C318" s="4" t="n"/>
      <c r="D318" s="4" t="n"/>
      <c r="E318" s="4" t="n"/>
      <c r="F318" s="4" t="n"/>
    </row>
    <row r="319" ht="15.75" customHeight="1" s="108">
      <c r="A319" s="4" t="n"/>
      <c r="B319" s="4" t="n"/>
      <c r="C319" s="4" t="n"/>
      <c r="D319" s="4" t="n"/>
      <c r="E319" s="4" t="n"/>
      <c r="F319" s="4" t="n"/>
    </row>
    <row r="320" ht="15.75" customHeight="1" s="108">
      <c r="A320" s="4" t="n"/>
      <c r="B320" s="4" t="n"/>
      <c r="C320" s="4" t="n"/>
      <c r="D320" s="4" t="n"/>
      <c r="E320" s="4" t="n"/>
      <c r="F320" s="4" t="n"/>
    </row>
    <row r="321" ht="15.75" customHeight="1" s="108">
      <c r="A321" s="4" t="n"/>
      <c r="B321" s="4" t="n"/>
      <c r="C321" s="4" t="n"/>
      <c r="D321" s="4" t="n"/>
      <c r="E321" s="4" t="n"/>
      <c r="F321" s="4" t="n"/>
    </row>
    <row r="322" ht="15.75" customHeight="1" s="108">
      <c r="A322" s="4" t="n"/>
      <c r="B322" s="4" t="n"/>
      <c r="C322" s="4" t="n"/>
      <c r="D322" s="4" t="n"/>
      <c r="E322" s="4" t="n"/>
      <c r="F322" s="4" t="n"/>
    </row>
    <row r="323" ht="15.75" customHeight="1" s="108">
      <c r="A323" s="4" t="n"/>
      <c r="B323" s="4" t="n"/>
      <c r="C323" s="4" t="n"/>
      <c r="D323" s="4" t="n"/>
      <c r="E323" s="4" t="n"/>
      <c r="F323" s="4" t="n"/>
    </row>
    <row r="324" ht="15.75" customHeight="1" s="108">
      <c r="A324" s="4" t="n"/>
      <c r="B324" s="4" t="n"/>
      <c r="C324" s="4" t="n"/>
      <c r="D324" s="4" t="n"/>
      <c r="E324" s="4" t="n"/>
      <c r="F324" s="4" t="n"/>
    </row>
    <row r="325" ht="15.75" customHeight="1" s="108">
      <c r="A325" s="4" t="n"/>
      <c r="B325" s="4" t="n"/>
      <c r="C325" s="4" t="n"/>
      <c r="D325" s="4" t="n"/>
      <c r="E325" s="4" t="n"/>
      <c r="F325" s="4" t="n"/>
    </row>
    <row r="326" ht="15.75" customHeight="1" s="108">
      <c r="A326" s="4" t="n"/>
      <c r="B326" s="4" t="n"/>
      <c r="C326" s="4" t="n"/>
      <c r="D326" s="4" t="n"/>
      <c r="E326" s="4" t="n"/>
      <c r="F326" s="4" t="n"/>
    </row>
    <row r="327" ht="15.75" customHeight="1" s="108">
      <c r="A327" s="4" t="n"/>
      <c r="B327" s="4" t="n"/>
      <c r="C327" s="4" t="n"/>
      <c r="D327" s="4" t="n"/>
      <c r="E327" s="4" t="n"/>
      <c r="F327" s="4" t="n"/>
    </row>
    <row r="328" ht="15.75" customHeight="1" s="108">
      <c r="A328" s="4" t="n"/>
      <c r="B328" s="4" t="n"/>
      <c r="C328" s="4" t="n"/>
      <c r="D328" s="4" t="n"/>
      <c r="E328" s="4" t="n"/>
      <c r="F328" s="4" t="n"/>
    </row>
    <row r="329" ht="15.75" customHeight="1" s="108">
      <c r="A329" s="4" t="n"/>
      <c r="B329" s="4" t="n"/>
      <c r="C329" s="4" t="n"/>
      <c r="D329" s="4" t="n"/>
      <c r="E329" s="4" t="n"/>
      <c r="F329" s="4" t="n"/>
    </row>
    <row r="330" ht="15.75" customHeight="1" s="108">
      <c r="A330" s="4" t="n"/>
      <c r="B330" s="4" t="n"/>
      <c r="C330" s="4" t="n"/>
      <c r="D330" s="4" t="n"/>
      <c r="E330" s="4" t="n"/>
      <c r="F330" s="4" t="n"/>
    </row>
    <row r="331" ht="15.75" customHeight="1" s="108">
      <c r="A331" s="4" t="n"/>
      <c r="B331" s="4" t="n"/>
      <c r="C331" s="4" t="n"/>
      <c r="D331" s="4" t="n"/>
      <c r="E331" s="4" t="n"/>
      <c r="F331" s="4" t="n"/>
    </row>
    <row r="332" ht="15.75" customHeight="1" s="108">
      <c r="A332" s="4" t="n"/>
      <c r="B332" s="4" t="n"/>
      <c r="C332" s="4" t="n"/>
      <c r="D332" s="4" t="n"/>
      <c r="E332" s="4" t="n"/>
      <c r="F332" s="4" t="n"/>
    </row>
    <row r="333" ht="15.75" customHeight="1" s="108">
      <c r="A333" s="4" t="n"/>
      <c r="B333" s="4" t="n"/>
      <c r="C333" s="4" t="n"/>
      <c r="D333" s="4" t="n"/>
      <c r="E333" s="4" t="n"/>
      <c r="F333" s="4" t="n"/>
    </row>
    <row r="334" ht="15.75" customHeight="1" s="108">
      <c r="A334" s="4" t="n"/>
      <c r="B334" s="4" t="n"/>
      <c r="C334" s="4" t="n"/>
      <c r="D334" s="4" t="n"/>
      <c r="E334" s="4" t="n"/>
      <c r="F334" s="4" t="n"/>
    </row>
    <row r="335" ht="15.75" customHeight="1" s="108">
      <c r="A335" s="4" t="n"/>
      <c r="B335" s="4" t="n"/>
      <c r="C335" s="4" t="n"/>
      <c r="D335" s="4" t="n"/>
      <c r="E335" s="4" t="n"/>
      <c r="F335" s="4" t="n"/>
    </row>
    <row r="336" ht="15.75" customHeight="1" s="108">
      <c r="A336" s="4" t="n"/>
      <c r="B336" s="4" t="n"/>
      <c r="C336" s="4" t="n"/>
      <c r="D336" s="4" t="n"/>
      <c r="E336" s="4" t="n"/>
      <c r="F336" s="4" t="n"/>
    </row>
    <row r="337" ht="15.75" customHeight="1" s="108">
      <c r="A337" s="4" t="n"/>
      <c r="B337" s="4" t="n"/>
      <c r="C337" s="4" t="n"/>
      <c r="D337" s="4" t="n"/>
      <c r="E337" s="4" t="n"/>
      <c r="F337" s="4" t="n"/>
    </row>
    <row r="338" ht="15.75" customHeight="1" s="108">
      <c r="A338" s="4" t="n"/>
      <c r="B338" s="4" t="n"/>
      <c r="C338" s="4" t="n"/>
      <c r="D338" s="4" t="n"/>
      <c r="E338" s="4" t="n"/>
      <c r="F338" s="4" t="n"/>
    </row>
    <row r="339" ht="15.75" customHeight="1" s="108">
      <c r="A339" s="4" t="n"/>
      <c r="B339" s="4" t="n"/>
      <c r="C339" s="4" t="n"/>
      <c r="D339" s="4" t="n"/>
      <c r="E339" s="4" t="n"/>
      <c r="F339" s="4" t="n"/>
    </row>
    <row r="340" ht="15.75" customHeight="1" s="108">
      <c r="A340" s="4" t="n"/>
      <c r="B340" s="4" t="n"/>
      <c r="C340" s="4" t="n"/>
      <c r="D340" s="4" t="n"/>
      <c r="E340" s="4" t="n"/>
      <c r="F340" s="4" t="n"/>
    </row>
    <row r="341" ht="15.75" customHeight="1" s="108">
      <c r="A341" s="4" t="n"/>
      <c r="B341" s="4" t="n"/>
      <c r="C341" s="4" t="n"/>
      <c r="D341" s="4" t="n"/>
      <c r="E341" s="4" t="n"/>
      <c r="F341" s="4" t="n"/>
    </row>
    <row r="342" ht="15.75" customHeight="1" s="108">
      <c r="A342" s="4" t="n"/>
      <c r="B342" s="4" t="n"/>
      <c r="C342" s="4" t="n"/>
      <c r="D342" s="4" t="n"/>
      <c r="E342" s="4" t="n"/>
      <c r="F342" s="4" t="n"/>
    </row>
    <row r="343" ht="15.75" customHeight="1" s="108">
      <c r="A343" s="4" t="n"/>
      <c r="B343" s="4" t="n"/>
      <c r="C343" s="4" t="n"/>
      <c r="D343" s="4" t="n"/>
      <c r="E343" s="4" t="n"/>
      <c r="F343" s="4" t="n"/>
    </row>
    <row r="344" ht="15.75" customHeight="1" s="108">
      <c r="A344" s="4" t="n"/>
      <c r="B344" s="4" t="n"/>
      <c r="C344" s="4" t="n"/>
      <c r="D344" s="4" t="n"/>
      <c r="E344" s="4" t="n"/>
      <c r="F344" s="4" t="n"/>
    </row>
    <row r="345" ht="15.75" customHeight="1" s="108">
      <c r="A345" s="4" t="n"/>
      <c r="B345" s="4" t="n"/>
      <c r="C345" s="4" t="n"/>
      <c r="D345" s="4" t="n"/>
      <c r="E345" s="4" t="n"/>
      <c r="F345" s="4" t="n"/>
    </row>
    <row r="346" ht="15.75" customHeight="1" s="108">
      <c r="A346" s="4" t="n"/>
      <c r="B346" s="4" t="n"/>
      <c r="C346" s="4" t="n"/>
      <c r="D346" s="4" t="n"/>
      <c r="E346" s="4" t="n"/>
      <c r="F346" s="4" t="n"/>
    </row>
    <row r="347" ht="15.75" customHeight="1" s="108">
      <c r="A347" s="4" t="n"/>
      <c r="B347" s="4" t="n"/>
      <c r="C347" s="4" t="n"/>
      <c r="D347" s="4" t="n"/>
      <c r="E347" s="4" t="n"/>
      <c r="F347" s="4" t="n"/>
    </row>
    <row r="348" ht="15.75" customHeight="1" s="108">
      <c r="A348" s="4" t="n"/>
      <c r="B348" s="4" t="n"/>
      <c r="C348" s="4" t="n"/>
      <c r="D348" s="4" t="n"/>
      <c r="E348" s="4" t="n"/>
      <c r="F348" s="4" t="n"/>
    </row>
    <row r="349" ht="15.75" customHeight="1" s="108">
      <c r="A349" s="4" t="n"/>
      <c r="B349" s="4" t="n"/>
      <c r="C349" s="4" t="n"/>
      <c r="D349" s="4" t="n"/>
      <c r="E349" s="4" t="n"/>
      <c r="F349" s="4" t="n"/>
    </row>
    <row r="350" ht="15.75" customHeight="1" s="108">
      <c r="A350" s="4" t="n"/>
      <c r="B350" s="4" t="n"/>
      <c r="C350" s="4" t="n"/>
      <c r="D350" s="4" t="n"/>
      <c r="E350" s="4" t="n"/>
      <c r="F350" s="4" t="n"/>
    </row>
    <row r="351" ht="15.75" customHeight="1" s="108">
      <c r="A351" s="4" t="n"/>
      <c r="B351" s="4" t="n"/>
      <c r="C351" s="4" t="n"/>
      <c r="D351" s="4" t="n"/>
      <c r="E351" s="4" t="n"/>
      <c r="F351" s="4" t="n"/>
    </row>
    <row r="352" ht="15.75" customHeight="1" s="108">
      <c r="A352" s="4" t="n"/>
      <c r="B352" s="4" t="n"/>
      <c r="C352" s="4" t="n"/>
      <c r="D352" s="4" t="n"/>
      <c r="E352" s="4" t="n"/>
      <c r="F352" s="4" t="n"/>
    </row>
    <row r="353" ht="15.75" customHeight="1" s="108">
      <c r="A353" s="4" t="n"/>
      <c r="B353" s="4" t="n"/>
      <c r="C353" s="4" t="n"/>
      <c r="D353" s="4" t="n"/>
      <c r="E353" s="4" t="n"/>
      <c r="F353" s="4" t="n"/>
    </row>
    <row r="354" ht="15.75" customHeight="1" s="108">
      <c r="A354" s="4" t="n"/>
      <c r="B354" s="4" t="n"/>
      <c r="C354" s="4" t="n"/>
      <c r="D354" s="4" t="n"/>
      <c r="E354" s="4" t="n"/>
      <c r="F354" s="4" t="n"/>
    </row>
    <row r="355" ht="15.75" customHeight="1" s="108">
      <c r="A355" s="4" t="n"/>
      <c r="B355" s="4" t="n"/>
      <c r="C355" s="4" t="n"/>
      <c r="D355" s="4" t="n"/>
      <c r="E355" s="4" t="n"/>
      <c r="F355" s="4" t="n"/>
    </row>
    <row r="356" ht="15.75" customHeight="1" s="108">
      <c r="A356" s="4" t="n"/>
      <c r="B356" s="4" t="n"/>
      <c r="C356" s="4" t="n"/>
      <c r="D356" s="4" t="n"/>
      <c r="E356" s="4" t="n"/>
      <c r="F356" s="4" t="n"/>
    </row>
    <row r="357" ht="15.75" customHeight="1" s="108">
      <c r="A357" s="4" t="n"/>
      <c r="B357" s="4" t="n"/>
      <c r="C357" s="4" t="n"/>
      <c r="D357" s="4" t="n"/>
      <c r="E357" s="4" t="n"/>
      <c r="F357" s="4" t="n"/>
    </row>
    <row r="358" ht="15.75" customHeight="1" s="108">
      <c r="A358" s="4" t="n"/>
      <c r="B358" s="4" t="n"/>
      <c r="C358" s="4" t="n"/>
      <c r="D358" s="4" t="n"/>
      <c r="E358" s="4" t="n"/>
      <c r="F358" s="4" t="n"/>
    </row>
    <row r="359" ht="15.75" customHeight="1" s="108">
      <c r="A359" s="4" t="n"/>
      <c r="B359" s="4" t="n"/>
      <c r="C359" s="4" t="n"/>
      <c r="D359" s="4" t="n"/>
      <c r="E359" s="4" t="n"/>
      <c r="F359" s="4" t="n"/>
    </row>
    <row r="360" ht="15.75" customHeight="1" s="108">
      <c r="A360" s="4" t="n"/>
      <c r="B360" s="4" t="n"/>
      <c r="C360" s="4" t="n"/>
      <c r="D360" s="4" t="n"/>
      <c r="E360" s="4" t="n"/>
      <c r="F360" s="4" t="n"/>
    </row>
    <row r="361" ht="15.75" customHeight="1" s="108">
      <c r="A361" s="4" t="n"/>
      <c r="B361" s="4" t="n"/>
      <c r="C361" s="4" t="n"/>
      <c r="D361" s="4" t="n"/>
      <c r="E361" s="4" t="n"/>
      <c r="F361" s="4" t="n"/>
    </row>
    <row r="362" ht="15.75" customHeight="1" s="108">
      <c r="A362" s="4" t="n"/>
      <c r="B362" s="4" t="n"/>
      <c r="C362" s="4" t="n"/>
      <c r="D362" s="4" t="n"/>
      <c r="E362" s="4" t="n"/>
      <c r="F362" s="4" t="n"/>
    </row>
    <row r="363" ht="15.75" customHeight="1" s="108">
      <c r="A363" s="4" t="n"/>
      <c r="B363" s="4" t="n"/>
      <c r="C363" s="4" t="n"/>
      <c r="D363" s="4" t="n"/>
      <c r="E363" s="4" t="n"/>
      <c r="F363" s="4" t="n"/>
    </row>
    <row r="364" ht="15.75" customHeight="1" s="108">
      <c r="A364" s="4" t="n"/>
      <c r="B364" s="4" t="n"/>
      <c r="C364" s="4" t="n"/>
      <c r="D364" s="4" t="n"/>
      <c r="E364" s="4" t="n"/>
      <c r="F364" s="4" t="n"/>
    </row>
    <row r="365" ht="15.75" customHeight="1" s="108">
      <c r="A365" s="4" t="n"/>
      <c r="B365" s="4" t="n"/>
      <c r="C365" s="4" t="n"/>
      <c r="D365" s="4" t="n"/>
      <c r="E365" s="4" t="n"/>
      <c r="F365" s="4" t="n"/>
    </row>
    <row r="366" ht="15.75" customHeight="1" s="108">
      <c r="A366" s="4" t="n"/>
      <c r="B366" s="4" t="n"/>
      <c r="C366" s="4" t="n"/>
      <c r="D366" s="4" t="n"/>
      <c r="E366" s="4" t="n"/>
      <c r="F366" s="4" t="n"/>
    </row>
    <row r="367" ht="15.75" customHeight="1" s="108">
      <c r="A367" s="4" t="n"/>
      <c r="B367" s="4" t="n"/>
      <c r="C367" s="4" t="n"/>
      <c r="D367" s="4" t="n"/>
      <c r="E367" s="4" t="n"/>
      <c r="F367" s="4" t="n"/>
    </row>
    <row r="368" ht="15.75" customHeight="1" s="108">
      <c r="A368" s="4" t="n"/>
      <c r="B368" s="4" t="n"/>
      <c r="C368" s="4" t="n"/>
      <c r="D368" s="4" t="n"/>
      <c r="E368" s="4" t="n"/>
      <c r="F368" s="4" t="n"/>
    </row>
    <row r="369" ht="15.75" customHeight="1" s="108">
      <c r="A369" s="4" t="n"/>
      <c r="B369" s="4" t="n"/>
      <c r="C369" s="4" t="n"/>
      <c r="D369" s="4" t="n"/>
      <c r="E369" s="4" t="n"/>
      <c r="F369" s="4" t="n"/>
    </row>
    <row r="370" ht="15.75" customHeight="1" s="108">
      <c r="A370" s="4" t="n"/>
      <c r="B370" s="4" t="n"/>
      <c r="C370" s="4" t="n"/>
      <c r="D370" s="4" t="n"/>
      <c r="E370" s="4" t="n"/>
      <c r="F370" s="4" t="n"/>
    </row>
    <row r="371" ht="15.75" customHeight="1" s="108">
      <c r="A371" s="4" t="n"/>
      <c r="B371" s="4" t="n"/>
      <c r="C371" s="4" t="n"/>
      <c r="D371" s="4" t="n"/>
      <c r="E371" s="4" t="n"/>
      <c r="F371" s="4" t="n"/>
    </row>
    <row r="372" ht="15.75" customHeight="1" s="108">
      <c r="A372" s="4" t="n"/>
      <c r="B372" s="4" t="n"/>
      <c r="C372" s="4" t="n"/>
      <c r="D372" s="4" t="n"/>
      <c r="E372" s="4" t="n"/>
      <c r="F372" s="4" t="n"/>
    </row>
    <row r="373" ht="15.75" customHeight="1" s="108">
      <c r="A373" s="4" t="n"/>
      <c r="B373" s="4" t="n"/>
      <c r="C373" s="4" t="n"/>
      <c r="D373" s="4" t="n"/>
      <c r="E373" s="4" t="n"/>
      <c r="F373" s="4" t="n"/>
    </row>
    <row r="374" ht="15.75" customHeight="1" s="108">
      <c r="A374" s="4" t="n"/>
      <c r="B374" s="4" t="n"/>
      <c r="C374" s="4" t="n"/>
      <c r="D374" s="4" t="n"/>
      <c r="E374" s="4" t="n"/>
      <c r="F374" s="4" t="n"/>
    </row>
    <row r="375" ht="15.75" customHeight="1" s="108">
      <c r="A375" s="4" t="n"/>
      <c r="B375" s="4" t="n"/>
      <c r="C375" s="4" t="n"/>
      <c r="D375" s="4" t="n"/>
      <c r="E375" s="4" t="n"/>
      <c r="F375" s="4" t="n"/>
    </row>
    <row r="376" ht="15.75" customHeight="1" s="108">
      <c r="A376" s="4" t="n"/>
      <c r="B376" s="4" t="n"/>
      <c r="C376" s="4" t="n"/>
      <c r="D376" s="4" t="n"/>
      <c r="E376" s="4" t="n"/>
      <c r="F376" s="4" t="n"/>
    </row>
    <row r="377" ht="15.75" customHeight="1" s="108">
      <c r="A377" s="4" t="n"/>
      <c r="B377" s="4" t="n"/>
      <c r="C377" s="4" t="n"/>
      <c r="D377" s="4" t="n"/>
      <c r="E377" s="4" t="n"/>
      <c r="F377" s="4" t="n"/>
    </row>
    <row r="378" ht="15.75" customHeight="1" s="108">
      <c r="A378" s="4" t="n"/>
      <c r="B378" s="4" t="n"/>
      <c r="C378" s="4" t="n"/>
      <c r="D378" s="4" t="n"/>
      <c r="E378" s="4" t="n"/>
      <c r="F378" s="4" t="n"/>
    </row>
    <row r="379" ht="15.75" customHeight="1" s="108">
      <c r="A379" s="4" t="n"/>
      <c r="B379" s="4" t="n"/>
      <c r="C379" s="4" t="n"/>
      <c r="D379" s="4" t="n"/>
      <c r="E379" s="4" t="n"/>
      <c r="F379" s="4" t="n"/>
    </row>
    <row r="380" ht="15.75" customHeight="1" s="108">
      <c r="A380" s="4" t="n"/>
      <c r="B380" s="4" t="n"/>
      <c r="C380" s="4" t="n"/>
      <c r="D380" s="4" t="n"/>
      <c r="E380" s="4" t="n"/>
      <c r="F380" s="4" t="n"/>
    </row>
    <row r="381" ht="15.75" customHeight="1" s="108">
      <c r="A381" s="4" t="n"/>
      <c r="B381" s="4" t="n"/>
      <c r="C381" s="4" t="n"/>
      <c r="D381" s="4" t="n"/>
      <c r="E381" s="4" t="n"/>
      <c r="F381" s="4" t="n"/>
    </row>
    <row r="382" ht="15.75" customHeight="1" s="108">
      <c r="A382" s="4" t="n"/>
      <c r="B382" s="4" t="n"/>
      <c r="C382" s="4" t="n"/>
      <c r="D382" s="4" t="n"/>
      <c r="E382" s="4" t="n"/>
      <c r="F382" s="4" t="n"/>
    </row>
    <row r="383" ht="15.75" customHeight="1" s="108">
      <c r="A383" s="4" t="n"/>
      <c r="B383" s="4" t="n"/>
      <c r="C383" s="4" t="n"/>
      <c r="D383" s="4" t="n"/>
      <c r="E383" s="4" t="n"/>
      <c r="F383" s="4" t="n"/>
    </row>
    <row r="384" ht="15.75" customHeight="1" s="108">
      <c r="A384" s="4" t="n"/>
      <c r="B384" s="4" t="n"/>
      <c r="C384" s="4" t="n"/>
      <c r="D384" s="4" t="n"/>
      <c r="E384" s="4" t="n"/>
      <c r="F384" s="4" t="n"/>
    </row>
    <row r="385" ht="15.75" customHeight="1" s="108">
      <c r="A385" s="4" t="n"/>
      <c r="B385" s="4" t="n"/>
      <c r="C385" s="4" t="n"/>
      <c r="D385" s="4" t="n"/>
      <c r="E385" s="4" t="n"/>
      <c r="F385" s="4" t="n"/>
    </row>
    <row r="386" ht="15.75" customHeight="1" s="108">
      <c r="A386" s="4" t="n"/>
      <c r="B386" s="4" t="n"/>
      <c r="C386" s="4" t="n"/>
      <c r="D386" s="4" t="n"/>
      <c r="E386" s="4" t="n"/>
      <c r="F386" s="4" t="n"/>
    </row>
    <row r="387" ht="15.75" customHeight="1" s="108">
      <c r="A387" s="4" t="n"/>
      <c r="B387" s="4" t="n"/>
      <c r="C387" s="4" t="n"/>
      <c r="D387" s="4" t="n"/>
      <c r="E387" s="4" t="n"/>
      <c r="F387" s="4" t="n"/>
    </row>
    <row r="388" ht="15.75" customHeight="1" s="108">
      <c r="A388" s="4" t="n"/>
      <c r="B388" s="4" t="n"/>
      <c r="C388" s="4" t="n"/>
      <c r="D388" s="4" t="n"/>
      <c r="E388" s="4" t="n"/>
      <c r="F388" s="4" t="n"/>
    </row>
    <row r="389" ht="15.75" customHeight="1" s="108">
      <c r="A389" s="4" t="n"/>
      <c r="B389" s="4" t="n"/>
      <c r="C389" s="4" t="n"/>
      <c r="D389" s="4" t="n"/>
      <c r="E389" s="4" t="n"/>
      <c r="F389" s="4" t="n"/>
    </row>
    <row r="390" ht="15.75" customHeight="1" s="108">
      <c r="A390" s="4" t="n"/>
      <c r="B390" s="4" t="n"/>
      <c r="C390" s="4" t="n"/>
      <c r="D390" s="4" t="n"/>
      <c r="E390" s="4" t="n"/>
      <c r="F390" s="4" t="n"/>
    </row>
    <row r="391" ht="15.75" customHeight="1" s="108">
      <c r="A391" s="4" t="n"/>
      <c r="B391" s="4" t="n"/>
      <c r="C391" s="4" t="n"/>
      <c r="D391" s="4" t="n"/>
      <c r="E391" s="4" t="n"/>
      <c r="F391" s="4" t="n"/>
    </row>
    <row r="392" ht="15.75" customHeight="1" s="108">
      <c r="A392" s="4" t="n"/>
      <c r="B392" s="4" t="n"/>
      <c r="C392" s="4" t="n"/>
      <c r="D392" s="4" t="n"/>
      <c r="E392" s="4" t="n"/>
      <c r="F392" s="4" t="n"/>
    </row>
    <row r="393" ht="15.75" customHeight="1" s="108">
      <c r="A393" s="4" t="n"/>
      <c r="B393" s="4" t="n"/>
      <c r="C393" s="4" t="n"/>
      <c r="D393" s="4" t="n"/>
      <c r="E393" s="4" t="n"/>
      <c r="F393" s="4" t="n"/>
    </row>
    <row r="394" ht="15.75" customHeight="1" s="108">
      <c r="A394" s="4" t="n"/>
      <c r="B394" s="4" t="n"/>
      <c r="C394" s="4" t="n"/>
      <c r="D394" s="4" t="n"/>
      <c r="E394" s="4" t="n"/>
      <c r="F394" s="4" t="n"/>
    </row>
    <row r="395" ht="15.75" customHeight="1" s="108">
      <c r="A395" s="4" t="n"/>
      <c r="B395" s="4" t="n"/>
      <c r="C395" s="4" t="n"/>
      <c r="D395" s="4" t="n"/>
      <c r="E395" s="4" t="n"/>
      <c r="F395" s="4" t="n"/>
    </row>
    <row r="396" ht="15.75" customHeight="1" s="108">
      <c r="A396" s="4" t="n"/>
      <c r="B396" s="4" t="n"/>
      <c r="C396" s="4" t="n"/>
      <c r="D396" s="4" t="n"/>
      <c r="E396" s="4" t="n"/>
      <c r="F396" s="4" t="n"/>
    </row>
    <row r="397" ht="15.75" customHeight="1" s="108">
      <c r="A397" s="4" t="n"/>
      <c r="B397" s="4" t="n"/>
      <c r="C397" s="4" t="n"/>
      <c r="D397" s="4" t="n"/>
      <c r="E397" s="4" t="n"/>
      <c r="F397" s="4" t="n"/>
    </row>
    <row r="398" ht="15.75" customHeight="1" s="108">
      <c r="A398" s="4" t="n"/>
      <c r="B398" s="4" t="n"/>
      <c r="C398" s="4" t="n"/>
      <c r="D398" s="4" t="n"/>
      <c r="E398" s="4" t="n"/>
      <c r="F398" s="4" t="n"/>
    </row>
    <row r="399" ht="15.75" customHeight="1" s="108">
      <c r="A399" s="4" t="n"/>
      <c r="B399" s="4" t="n"/>
      <c r="C399" s="4" t="n"/>
      <c r="D399" s="4" t="n"/>
      <c r="E399" s="4" t="n"/>
      <c r="F399" s="4" t="n"/>
    </row>
    <row r="400" ht="15.75" customHeight="1" s="108">
      <c r="A400" s="4" t="n"/>
      <c r="B400" s="4" t="n"/>
      <c r="C400" s="4" t="n"/>
      <c r="D400" s="4" t="n"/>
      <c r="E400" s="4" t="n"/>
      <c r="F400" s="4" t="n"/>
    </row>
    <row r="401" ht="15.75" customHeight="1" s="108">
      <c r="A401" s="4" t="n"/>
      <c r="B401" s="4" t="n"/>
      <c r="C401" s="4" t="n"/>
      <c r="D401" s="4" t="n"/>
      <c r="E401" s="4" t="n"/>
      <c r="F401" s="4" t="n"/>
    </row>
    <row r="402" ht="15.75" customHeight="1" s="108">
      <c r="A402" s="4" t="n"/>
      <c r="B402" s="4" t="n"/>
      <c r="C402" s="4" t="n"/>
      <c r="D402" s="4" t="n"/>
      <c r="E402" s="4" t="n"/>
      <c r="F402" s="4" t="n"/>
    </row>
    <row r="403" ht="15.75" customHeight="1" s="108">
      <c r="A403" s="4" t="n"/>
      <c r="B403" s="4" t="n"/>
      <c r="C403" s="4" t="n"/>
      <c r="D403" s="4" t="n"/>
      <c r="E403" s="4" t="n"/>
      <c r="F403" s="4" t="n"/>
    </row>
    <row r="404" ht="15.75" customHeight="1" s="108">
      <c r="A404" s="4" t="n"/>
      <c r="B404" s="4" t="n"/>
      <c r="C404" s="4" t="n"/>
      <c r="D404" s="4" t="n"/>
      <c r="E404" s="4" t="n"/>
      <c r="F404" s="4" t="n"/>
    </row>
    <row r="405" ht="15.75" customHeight="1" s="108">
      <c r="A405" s="4" t="n"/>
      <c r="B405" s="4" t="n"/>
      <c r="C405" s="4" t="n"/>
      <c r="D405" s="4" t="n"/>
      <c r="E405" s="4" t="n"/>
      <c r="F405" s="4" t="n"/>
    </row>
    <row r="406" ht="15.75" customHeight="1" s="108">
      <c r="A406" s="4" t="n"/>
      <c r="B406" s="4" t="n"/>
      <c r="C406" s="4" t="n"/>
      <c r="D406" s="4" t="n"/>
      <c r="E406" s="4" t="n"/>
      <c r="F406" s="4" t="n"/>
    </row>
    <row r="407" ht="15.75" customHeight="1" s="108">
      <c r="A407" s="4" t="n"/>
      <c r="B407" s="4" t="n"/>
      <c r="C407" s="4" t="n"/>
      <c r="D407" s="4" t="n"/>
      <c r="E407" s="4" t="n"/>
      <c r="F407" s="4" t="n"/>
    </row>
    <row r="408" ht="15.75" customHeight="1" s="108">
      <c r="A408" s="4" t="n"/>
      <c r="B408" s="4" t="n"/>
      <c r="C408" s="4" t="n"/>
      <c r="D408" s="4" t="n"/>
      <c r="E408" s="4" t="n"/>
      <c r="F408" s="4" t="n"/>
    </row>
    <row r="409" ht="15.75" customHeight="1" s="108">
      <c r="A409" s="4" t="n"/>
      <c r="B409" s="4" t="n"/>
      <c r="C409" s="4" t="n"/>
      <c r="D409" s="4" t="n"/>
      <c r="E409" s="4" t="n"/>
      <c r="F409" s="4" t="n"/>
    </row>
    <row r="410" ht="15.75" customHeight="1" s="108">
      <c r="A410" s="4" t="n"/>
      <c r="B410" s="4" t="n"/>
      <c r="C410" s="4" t="n"/>
      <c r="D410" s="4" t="n"/>
      <c r="E410" s="4" t="n"/>
      <c r="F410" s="4" t="n"/>
    </row>
    <row r="411" ht="15.75" customHeight="1" s="108">
      <c r="A411" s="4" t="n"/>
      <c r="B411" s="4" t="n"/>
      <c r="C411" s="4" t="n"/>
      <c r="D411" s="4" t="n"/>
      <c r="E411" s="4" t="n"/>
      <c r="F411" s="4" t="n"/>
    </row>
    <row r="412" ht="15.75" customHeight="1" s="108">
      <c r="A412" s="4" t="n"/>
      <c r="B412" s="4" t="n"/>
      <c r="C412" s="4" t="n"/>
      <c r="D412" s="4" t="n"/>
      <c r="E412" s="4" t="n"/>
      <c r="F412" s="4" t="n"/>
    </row>
    <row r="413" ht="15.75" customHeight="1" s="108">
      <c r="A413" s="4" t="n"/>
      <c r="B413" s="4" t="n"/>
      <c r="C413" s="4" t="n"/>
      <c r="D413" s="4" t="n"/>
      <c r="E413" s="4" t="n"/>
      <c r="F413" s="4" t="n"/>
    </row>
    <row r="414" ht="15.75" customHeight="1" s="108">
      <c r="A414" s="4" t="n"/>
      <c r="B414" s="4" t="n"/>
      <c r="C414" s="4" t="n"/>
      <c r="D414" s="4" t="n"/>
      <c r="E414" s="4" t="n"/>
      <c r="F414" s="4" t="n"/>
    </row>
    <row r="415" ht="15.75" customHeight="1" s="108">
      <c r="A415" s="4" t="n"/>
      <c r="B415" s="4" t="n"/>
      <c r="C415" s="4" t="n"/>
      <c r="D415" s="4" t="n"/>
      <c r="E415" s="4" t="n"/>
      <c r="F415" s="4" t="n"/>
    </row>
    <row r="416" ht="15.75" customHeight="1" s="108">
      <c r="A416" s="4" t="n"/>
      <c r="B416" s="4" t="n"/>
      <c r="C416" s="4" t="n"/>
      <c r="D416" s="4" t="n"/>
      <c r="E416" s="4" t="n"/>
      <c r="F416" s="4" t="n"/>
    </row>
    <row r="417" ht="15.75" customHeight="1" s="108">
      <c r="A417" s="4" t="n"/>
      <c r="B417" s="4" t="n"/>
      <c r="C417" s="4" t="n"/>
      <c r="D417" s="4" t="n"/>
      <c r="E417" s="4" t="n"/>
      <c r="F417" s="4" t="n"/>
    </row>
    <row r="418" ht="15.75" customHeight="1" s="108">
      <c r="A418" s="4" t="n"/>
      <c r="B418" s="4" t="n"/>
      <c r="C418" s="4" t="n"/>
      <c r="D418" s="4" t="n"/>
      <c r="E418" s="4" t="n"/>
      <c r="F418" s="4" t="n"/>
    </row>
    <row r="419" ht="15.75" customHeight="1" s="108">
      <c r="A419" s="4" t="n"/>
      <c r="B419" s="4" t="n"/>
      <c r="C419" s="4" t="n"/>
      <c r="D419" s="4" t="n"/>
      <c r="E419" s="4" t="n"/>
      <c r="F419" s="4" t="n"/>
    </row>
    <row r="420" ht="15.75" customHeight="1" s="108">
      <c r="A420" s="4" t="n"/>
      <c r="B420" s="4" t="n"/>
      <c r="C420" s="4" t="n"/>
      <c r="D420" s="4" t="n"/>
      <c r="E420" s="4" t="n"/>
      <c r="F420" s="4" t="n"/>
    </row>
    <row r="421" ht="15.75" customHeight="1" s="108">
      <c r="A421" s="4" t="n"/>
      <c r="B421" s="4" t="n"/>
      <c r="C421" s="4" t="n"/>
      <c r="D421" s="4" t="n"/>
      <c r="E421" s="4" t="n"/>
      <c r="F421" s="4" t="n"/>
    </row>
    <row r="422" ht="15.75" customHeight="1" s="108">
      <c r="A422" s="4" t="n"/>
      <c r="B422" s="4" t="n"/>
      <c r="C422" s="4" t="n"/>
      <c r="D422" s="4" t="n"/>
      <c r="E422" s="4" t="n"/>
      <c r="F422" s="4" t="n"/>
    </row>
    <row r="423" ht="15.75" customHeight="1" s="108">
      <c r="A423" s="4" t="n"/>
      <c r="B423" s="4" t="n"/>
      <c r="C423" s="4" t="n"/>
      <c r="D423" s="4" t="n"/>
      <c r="E423" s="4" t="n"/>
      <c r="F423" s="4" t="n"/>
    </row>
    <row r="424" ht="15.75" customHeight="1" s="108">
      <c r="A424" s="4" t="n"/>
      <c r="B424" s="4" t="n"/>
      <c r="C424" s="4" t="n"/>
      <c r="D424" s="4" t="n"/>
      <c r="E424" s="4" t="n"/>
      <c r="F424" s="4" t="n"/>
    </row>
    <row r="425" ht="15.75" customHeight="1" s="108">
      <c r="A425" s="4" t="n"/>
      <c r="B425" s="4" t="n"/>
      <c r="C425" s="4" t="n"/>
      <c r="D425" s="4" t="n"/>
      <c r="E425" s="4" t="n"/>
      <c r="F425" s="4" t="n"/>
    </row>
    <row r="426" ht="15.75" customHeight="1" s="108">
      <c r="A426" s="4" t="n"/>
      <c r="B426" s="4" t="n"/>
      <c r="C426" s="4" t="n"/>
      <c r="D426" s="4" t="n"/>
      <c r="E426" s="4" t="n"/>
      <c r="F426" s="4" t="n"/>
    </row>
    <row r="427" ht="15.75" customHeight="1" s="108">
      <c r="A427" s="4" t="n"/>
      <c r="B427" s="4" t="n"/>
      <c r="C427" s="4" t="n"/>
      <c r="D427" s="4" t="n"/>
      <c r="E427" s="4" t="n"/>
      <c r="F427" s="4" t="n"/>
    </row>
    <row r="428" ht="15.75" customHeight="1" s="108">
      <c r="A428" s="4" t="n"/>
      <c r="B428" s="4" t="n"/>
      <c r="C428" s="4" t="n"/>
      <c r="D428" s="4" t="n"/>
      <c r="E428" s="4" t="n"/>
      <c r="F428" s="4" t="n"/>
    </row>
    <row r="429" ht="15.75" customHeight="1" s="108">
      <c r="A429" s="4" t="n"/>
      <c r="B429" s="4" t="n"/>
      <c r="C429" s="4" t="n"/>
      <c r="D429" s="4" t="n"/>
      <c r="E429" s="4" t="n"/>
      <c r="F429" s="4" t="n"/>
    </row>
    <row r="430" ht="15.75" customHeight="1" s="108">
      <c r="A430" s="4" t="n"/>
      <c r="B430" s="4" t="n"/>
      <c r="C430" s="4" t="n"/>
      <c r="D430" s="4" t="n"/>
      <c r="E430" s="4" t="n"/>
      <c r="F430" s="4" t="n"/>
    </row>
    <row r="431" ht="15.75" customHeight="1" s="108">
      <c r="A431" s="4" t="n"/>
      <c r="B431" s="4" t="n"/>
      <c r="C431" s="4" t="n"/>
      <c r="D431" s="4" t="n"/>
      <c r="E431" s="4" t="n"/>
      <c r="F431" s="4" t="n"/>
    </row>
    <row r="432" ht="15.75" customHeight="1" s="108">
      <c r="A432" s="4" t="n"/>
      <c r="B432" s="4" t="n"/>
      <c r="C432" s="4" t="n"/>
      <c r="D432" s="4" t="n"/>
      <c r="E432" s="4" t="n"/>
      <c r="F432" s="4" t="n"/>
    </row>
    <row r="433" ht="15.75" customHeight="1" s="108">
      <c r="A433" s="4" t="n"/>
      <c r="B433" s="4" t="n"/>
      <c r="C433" s="4" t="n"/>
      <c r="D433" s="4" t="n"/>
      <c r="E433" s="4" t="n"/>
      <c r="F433" s="4" t="n"/>
    </row>
    <row r="434" ht="15.75" customHeight="1" s="108">
      <c r="A434" s="4" t="n"/>
      <c r="B434" s="4" t="n"/>
      <c r="C434" s="4" t="n"/>
      <c r="D434" s="4" t="n"/>
      <c r="E434" s="4" t="n"/>
      <c r="F434" s="4" t="n"/>
    </row>
    <row r="435" ht="15.75" customHeight="1" s="108">
      <c r="A435" s="4" t="n"/>
      <c r="B435" s="4" t="n"/>
      <c r="C435" s="4" t="n"/>
      <c r="D435" s="4" t="n"/>
      <c r="E435" s="4" t="n"/>
      <c r="F435" s="4" t="n"/>
    </row>
    <row r="436" ht="15.75" customHeight="1" s="108">
      <c r="A436" s="4" t="n"/>
      <c r="B436" s="4" t="n"/>
      <c r="C436" s="4" t="n"/>
      <c r="D436" s="4" t="n"/>
      <c r="E436" s="4" t="n"/>
      <c r="F436" s="4" t="n"/>
    </row>
    <row r="437" ht="15.75" customHeight="1" s="108">
      <c r="A437" s="4" t="n"/>
      <c r="B437" s="4" t="n"/>
      <c r="C437" s="4" t="n"/>
      <c r="D437" s="4" t="n"/>
      <c r="E437" s="4" t="n"/>
      <c r="F437" s="4" t="n"/>
    </row>
    <row r="438" ht="15.75" customHeight="1" s="108">
      <c r="A438" s="4" t="n"/>
      <c r="B438" s="4" t="n"/>
      <c r="C438" s="4" t="n"/>
      <c r="D438" s="4" t="n"/>
      <c r="E438" s="4" t="n"/>
      <c r="F438" s="4" t="n"/>
    </row>
    <row r="439" ht="15.75" customHeight="1" s="108">
      <c r="A439" s="4" t="n"/>
      <c r="B439" s="4" t="n"/>
      <c r="C439" s="4" t="n"/>
      <c r="D439" s="4" t="n"/>
      <c r="E439" s="4" t="n"/>
      <c r="F439" s="4" t="n"/>
    </row>
    <row r="440" ht="15.75" customHeight="1" s="108">
      <c r="A440" s="4" t="n"/>
      <c r="B440" s="4" t="n"/>
      <c r="C440" s="4" t="n"/>
      <c r="D440" s="4" t="n"/>
      <c r="E440" s="4" t="n"/>
      <c r="F440" s="4" t="n"/>
    </row>
    <row r="441" ht="15.75" customHeight="1" s="108">
      <c r="A441" s="4" t="n"/>
      <c r="B441" s="4" t="n"/>
      <c r="C441" s="4" t="n"/>
      <c r="D441" s="4" t="n"/>
      <c r="E441" s="4" t="n"/>
      <c r="F441" s="4" t="n"/>
    </row>
    <row r="442" ht="15.75" customHeight="1" s="108">
      <c r="A442" s="4" t="n"/>
      <c r="B442" s="4" t="n"/>
      <c r="C442" s="4" t="n"/>
      <c r="D442" s="4" t="n"/>
      <c r="E442" s="4" t="n"/>
      <c r="F442" s="4" t="n"/>
    </row>
    <row r="443" ht="15.75" customHeight="1" s="108">
      <c r="A443" s="4" t="n"/>
      <c r="B443" s="4" t="n"/>
      <c r="C443" s="4" t="n"/>
      <c r="D443" s="4" t="n"/>
      <c r="E443" s="4" t="n"/>
      <c r="F443" s="4" t="n"/>
    </row>
    <row r="444" ht="15.75" customHeight="1" s="108">
      <c r="A444" s="4" t="n"/>
      <c r="B444" s="4" t="n"/>
      <c r="C444" s="4" t="n"/>
      <c r="D444" s="4" t="n"/>
      <c r="E444" s="4" t="n"/>
      <c r="F444" s="4" t="n"/>
    </row>
    <row r="445" ht="15.75" customHeight="1" s="108">
      <c r="A445" s="4" t="n"/>
      <c r="B445" s="4" t="n"/>
      <c r="C445" s="4" t="n"/>
      <c r="D445" s="4" t="n"/>
      <c r="E445" s="4" t="n"/>
      <c r="F445" s="4" t="n"/>
    </row>
    <row r="446" ht="15.75" customHeight="1" s="108">
      <c r="A446" s="4" t="n"/>
      <c r="B446" s="4" t="n"/>
      <c r="C446" s="4" t="n"/>
      <c r="D446" s="4" t="n"/>
      <c r="E446" s="4" t="n"/>
      <c r="F446" s="4" t="n"/>
    </row>
    <row r="447" ht="15.75" customHeight="1" s="108">
      <c r="A447" s="4" t="n"/>
      <c r="B447" s="4" t="n"/>
      <c r="C447" s="4" t="n"/>
      <c r="D447" s="4" t="n"/>
      <c r="E447" s="4" t="n"/>
      <c r="F447" s="4" t="n"/>
    </row>
    <row r="448" ht="15.75" customHeight="1" s="108">
      <c r="A448" s="4" t="n"/>
      <c r="B448" s="4" t="n"/>
      <c r="C448" s="4" t="n"/>
      <c r="D448" s="4" t="n"/>
      <c r="E448" s="4" t="n"/>
      <c r="F448" s="4" t="n"/>
    </row>
    <row r="449" ht="15.75" customHeight="1" s="108">
      <c r="A449" s="4" t="n"/>
      <c r="B449" s="4" t="n"/>
      <c r="C449" s="4" t="n"/>
      <c r="D449" s="4" t="n"/>
      <c r="E449" s="4" t="n"/>
      <c r="F449" s="4" t="n"/>
    </row>
    <row r="450" ht="15.75" customHeight="1" s="108">
      <c r="A450" s="4" t="n"/>
      <c r="B450" s="4" t="n"/>
      <c r="C450" s="4" t="n"/>
      <c r="D450" s="4" t="n"/>
      <c r="E450" s="4" t="n"/>
      <c r="F450" s="4" t="n"/>
    </row>
    <row r="451" ht="15.75" customHeight="1" s="108">
      <c r="A451" s="4" t="n"/>
      <c r="B451" s="4" t="n"/>
      <c r="C451" s="4" t="n"/>
      <c r="D451" s="4" t="n"/>
      <c r="E451" s="4" t="n"/>
      <c r="F451" s="4" t="n"/>
    </row>
    <row r="452" ht="15.75" customHeight="1" s="108">
      <c r="A452" s="4" t="n"/>
      <c r="B452" s="4" t="n"/>
      <c r="C452" s="4" t="n"/>
      <c r="D452" s="4" t="n"/>
      <c r="E452" s="4" t="n"/>
      <c r="F452" s="4" t="n"/>
    </row>
    <row r="453" ht="15.75" customHeight="1" s="108">
      <c r="A453" s="4" t="n"/>
      <c r="B453" s="4" t="n"/>
      <c r="C453" s="4" t="n"/>
      <c r="D453" s="4" t="n"/>
      <c r="E453" s="4" t="n"/>
      <c r="F453" s="4" t="n"/>
    </row>
    <row r="454" ht="15.75" customHeight="1" s="108">
      <c r="A454" s="4" t="n"/>
      <c r="B454" s="4" t="n"/>
      <c r="C454" s="4" t="n"/>
      <c r="D454" s="4" t="n"/>
      <c r="E454" s="4" t="n"/>
      <c r="F454" s="4" t="n"/>
    </row>
    <row r="455" ht="15.75" customHeight="1" s="108">
      <c r="A455" s="4" t="n"/>
      <c r="B455" s="4" t="n"/>
      <c r="C455" s="4" t="n"/>
      <c r="D455" s="4" t="n"/>
      <c r="E455" s="4" t="n"/>
      <c r="F455" s="4" t="n"/>
    </row>
    <row r="456" ht="15.75" customHeight="1" s="108">
      <c r="A456" s="4" t="n"/>
      <c r="B456" s="4" t="n"/>
      <c r="C456" s="4" t="n"/>
      <c r="D456" s="4" t="n"/>
      <c r="E456" s="4" t="n"/>
      <c r="F456" s="4" t="n"/>
    </row>
    <row r="457" ht="15.75" customHeight="1" s="108">
      <c r="A457" s="4" t="n"/>
      <c r="B457" s="4" t="n"/>
      <c r="C457" s="4" t="n"/>
      <c r="D457" s="4" t="n"/>
      <c r="E457" s="4" t="n"/>
      <c r="F457" s="4" t="n"/>
    </row>
    <row r="458" ht="15.75" customHeight="1" s="108">
      <c r="A458" s="4" t="n"/>
      <c r="B458" s="4" t="n"/>
      <c r="C458" s="4" t="n"/>
      <c r="D458" s="4" t="n"/>
      <c r="E458" s="4" t="n"/>
      <c r="F458" s="4" t="n"/>
    </row>
    <row r="459" ht="15.75" customHeight="1" s="108">
      <c r="A459" s="4" t="n"/>
      <c r="B459" s="4" t="n"/>
      <c r="C459" s="4" t="n"/>
      <c r="D459" s="4" t="n"/>
      <c r="E459" s="4" t="n"/>
      <c r="F459" s="4" t="n"/>
    </row>
    <row r="460" ht="15.75" customHeight="1" s="108">
      <c r="A460" s="4" t="n"/>
      <c r="B460" s="4" t="n"/>
      <c r="C460" s="4" t="n"/>
      <c r="D460" s="4" t="n"/>
      <c r="E460" s="4" t="n"/>
      <c r="F460" s="4" t="n"/>
    </row>
    <row r="461" ht="15.75" customHeight="1" s="108">
      <c r="A461" s="4" t="n"/>
      <c r="B461" s="4" t="n"/>
      <c r="C461" s="4" t="n"/>
      <c r="D461" s="4" t="n"/>
      <c r="E461" s="4" t="n"/>
      <c r="F461" s="4" t="n"/>
    </row>
    <row r="462" ht="15.75" customHeight="1" s="108">
      <c r="A462" s="4" t="n"/>
      <c r="B462" s="4" t="n"/>
      <c r="C462" s="4" t="n"/>
      <c r="D462" s="4" t="n"/>
      <c r="E462" s="4" t="n"/>
      <c r="F462" s="4" t="n"/>
    </row>
    <row r="463" ht="15.75" customHeight="1" s="108">
      <c r="A463" s="4" t="n"/>
      <c r="B463" s="4" t="n"/>
      <c r="C463" s="4" t="n"/>
      <c r="D463" s="4" t="n"/>
      <c r="E463" s="4" t="n"/>
      <c r="F463" s="4" t="n"/>
    </row>
    <row r="464" ht="15.75" customHeight="1" s="108">
      <c r="A464" s="4" t="n"/>
      <c r="B464" s="4" t="n"/>
      <c r="C464" s="4" t="n"/>
      <c r="D464" s="4" t="n"/>
      <c r="E464" s="4" t="n"/>
      <c r="F464" s="4" t="n"/>
    </row>
    <row r="465" ht="15.75" customHeight="1" s="108">
      <c r="A465" s="4" t="n"/>
      <c r="B465" s="4" t="n"/>
      <c r="C465" s="4" t="n"/>
      <c r="D465" s="4" t="n"/>
      <c r="E465" s="4" t="n"/>
      <c r="F465" s="4" t="n"/>
    </row>
    <row r="466" ht="15.75" customHeight="1" s="108">
      <c r="A466" s="4" t="n"/>
      <c r="B466" s="4" t="n"/>
      <c r="C466" s="4" t="n"/>
      <c r="D466" s="4" t="n"/>
      <c r="E466" s="4" t="n"/>
      <c r="F466" s="4" t="n"/>
    </row>
    <row r="467" ht="15.75" customHeight="1" s="108">
      <c r="A467" s="4" t="n"/>
      <c r="B467" s="4" t="n"/>
      <c r="C467" s="4" t="n"/>
      <c r="D467" s="4" t="n"/>
      <c r="E467" s="4" t="n"/>
      <c r="F467" s="4" t="n"/>
    </row>
    <row r="468" ht="15.75" customHeight="1" s="108">
      <c r="A468" s="4" t="n"/>
      <c r="B468" s="4" t="n"/>
      <c r="C468" s="4" t="n"/>
      <c r="D468" s="4" t="n"/>
      <c r="E468" s="4" t="n"/>
      <c r="F468" s="4" t="n"/>
    </row>
    <row r="469" ht="15.75" customHeight="1" s="108">
      <c r="A469" s="4" t="n"/>
      <c r="B469" s="4" t="n"/>
      <c r="C469" s="4" t="n"/>
      <c r="D469" s="4" t="n"/>
      <c r="E469" s="4" t="n"/>
      <c r="F469" s="4" t="n"/>
    </row>
    <row r="470" ht="15.75" customHeight="1" s="108">
      <c r="A470" s="4" t="n"/>
      <c r="B470" s="4" t="n"/>
      <c r="C470" s="4" t="n"/>
      <c r="D470" s="4" t="n"/>
      <c r="E470" s="4" t="n"/>
      <c r="F470" s="4" t="n"/>
    </row>
    <row r="471" ht="15.75" customHeight="1" s="108">
      <c r="A471" s="4" t="n"/>
      <c r="B471" s="4" t="n"/>
      <c r="C471" s="4" t="n"/>
      <c r="D471" s="4" t="n"/>
      <c r="E471" s="4" t="n"/>
      <c r="F471" s="4" t="n"/>
    </row>
    <row r="472" ht="15.75" customHeight="1" s="108">
      <c r="A472" s="4" t="n"/>
      <c r="B472" s="4" t="n"/>
      <c r="C472" s="4" t="n"/>
      <c r="D472" s="4" t="n"/>
      <c r="E472" s="4" t="n"/>
      <c r="F472" s="4" t="n"/>
    </row>
    <row r="473" ht="15.75" customHeight="1" s="108">
      <c r="A473" s="4" t="n"/>
      <c r="B473" s="4" t="n"/>
      <c r="C473" s="4" t="n"/>
      <c r="D473" s="4" t="n"/>
      <c r="E473" s="4" t="n"/>
      <c r="F473" s="4" t="n"/>
    </row>
    <row r="474" ht="15.75" customHeight="1" s="108">
      <c r="A474" s="4" t="n"/>
      <c r="B474" s="4" t="n"/>
      <c r="C474" s="4" t="n"/>
      <c r="D474" s="4" t="n"/>
      <c r="E474" s="4" t="n"/>
      <c r="F474" s="4" t="n"/>
    </row>
    <row r="475" ht="15.75" customHeight="1" s="108">
      <c r="A475" s="4" t="n"/>
      <c r="B475" s="4" t="n"/>
      <c r="C475" s="4" t="n"/>
      <c r="D475" s="4" t="n"/>
      <c r="E475" s="4" t="n"/>
      <c r="F475" s="4" t="n"/>
    </row>
    <row r="476" ht="15.75" customHeight="1" s="108">
      <c r="A476" s="4" t="n"/>
      <c r="B476" s="4" t="n"/>
      <c r="C476" s="4" t="n"/>
      <c r="D476" s="4" t="n"/>
      <c r="E476" s="4" t="n"/>
      <c r="F476" s="4" t="n"/>
    </row>
    <row r="477" ht="15.75" customHeight="1" s="108">
      <c r="A477" s="4" t="n"/>
      <c r="B477" s="4" t="n"/>
      <c r="C477" s="4" t="n"/>
      <c r="D477" s="4" t="n"/>
      <c r="E477" s="4" t="n"/>
      <c r="F477" s="4" t="n"/>
    </row>
    <row r="478" ht="15.75" customHeight="1" s="108">
      <c r="A478" s="4" t="n"/>
      <c r="B478" s="4" t="n"/>
      <c r="C478" s="4" t="n"/>
      <c r="D478" s="4" t="n"/>
      <c r="E478" s="4" t="n"/>
      <c r="F478" s="4" t="n"/>
    </row>
    <row r="479" ht="15.75" customHeight="1" s="108">
      <c r="A479" s="4" t="n"/>
      <c r="B479" s="4" t="n"/>
      <c r="C479" s="4" t="n"/>
      <c r="D479" s="4" t="n"/>
      <c r="E479" s="4" t="n"/>
      <c r="F479" s="4" t="n"/>
    </row>
    <row r="480" ht="15.75" customHeight="1" s="108">
      <c r="A480" s="4" t="n"/>
      <c r="B480" s="4" t="n"/>
      <c r="C480" s="4" t="n"/>
      <c r="D480" s="4" t="n"/>
      <c r="E480" s="4" t="n"/>
      <c r="F480" s="4" t="n"/>
    </row>
    <row r="481" ht="15.75" customHeight="1" s="108">
      <c r="A481" s="4" t="n"/>
      <c r="B481" s="4" t="n"/>
      <c r="C481" s="4" t="n"/>
      <c r="D481" s="4" t="n"/>
      <c r="E481" s="4" t="n"/>
      <c r="F481" s="4" t="n"/>
    </row>
    <row r="482" ht="15.75" customHeight="1" s="108">
      <c r="A482" s="4" t="n"/>
      <c r="B482" s="4" t="n"/>
      <c r="C482" s="4" t="n"/>
      <c r="D482" s="4" t="n"/>
      <c r="E482" s="4" t="n"/>
      <c r="F482" s="4" t="n"/>
    </row>
    <row r="483" ht="15.75" customHeight="1" s="108">
      <c r="A483" s="4" t="n"/>
      <c r="B483" s="4" t="n"/>
      <c r="C483" s="4" t="n"/>
      <c r="D483" s="4" t="n"/>
      <c r="E483" s="4" t="n"/>
      <c r="F483" s="4" t="n"/>
    </row>
    <row r="484" ht="15.75" customHeight="1" s="108">
      <c r="A484" s="4" t="n"/>
      <c r="B484" s="4" t="n"/>
      <c r="C484" s="4" t="n"/>
      <c r="D484" s="4" t="n"/>
      <c r="E484" s="4" t="n"/>
      <c r="F484" s="4" t="n"/>
    </row>
    <row r="485" ht="15.75" customHeight="1" s="108">
      <c r="A485" s="4" t="n"/>
      <c r="B485" s="4" t="n"/>
      <c r="C485" s="4" t="n"/>
      <c r="D485" s="4" t="n"/>
      <c r="E485" s="4" t="n"/>
      <c r="F485" s="4" t="n"/>
    </row>
    <row r="486" ht="15.75" customHeight="1" s="108">
      <c r="A486" s="4" t="n"/>
      <c r="B486" s="4" t="n"/>
      <c r="C486" s="4" t="n"/>
      <c r="D486" s="4" t="n"/>
      <c r="E486" s="4" t="n"/>
      <c r="F486" s="4" t="n"/>
    </row>
    <row r="487" ht="15.75" customHeight="1" s="108">
      <c r="A487" s="4" t="n"/>
      <c r="B487" s="4" t="n"/>
      <c r="C487" s="4" t="n"/>
      <c r="D487" s="4" t="n"/>
      <c r="E487" s="4" t="n"/>
      <c r="F487" s="4" t="n"/>
    </row>
    <row r="488" ht="15.75" customHeight="1" s="108">
      <c r="A488" s="4" t="n"/>
      <c r="B488" s="4" t="n"/>
      <c r="C488" s="4" t="n"/>
      <c r="D488" s="4" t="n"/>
      <c r="E488" s="4" t="n"/>
      <c r="F488" s="4" t="n"/>
    </row>
    <row r="489" ht="15.75" customHeight="1" s="108">
      <c r="A489" s="4" t="n"/>
      <c r="B489" s="4" t="n"/>
      <c r="C489" s="4" t="n"/>
      <c r="D489" s="4" t="n"/>
      <c r="E489" s="4" t="n"/>
      <c r="F489" s="4" t="n"/>
    </row>
    <row r="490" ht="15.75" customHeight="1" s="108">
      <c r="A490" s="4" t="n"/>
      <c r="B490" s="4" t="n"/>
      <c r="C490" s="4" t="n"/>
      <c r="D490" s="4" t="n"/>
      <c r="E490" s="4" t="n"/>
      <c r="F490" s="4" t="n"/>
    </row>
    <row r="491" ht="15.75" customHeight="1" s="108">
      <c r="A491" s="4" t="n"/>
      <c r="B491" s="4" t="n"/>
      <c r="C491" s="4" t="n"/>
      <c r="D491" s="4" t="n"/>
      <c r="E491" s="4" t="n"/>
      <c r="F491" s="4" t="n"/>
    </row>
    <row r="492" ht="15.75" customHeight="1" s="108">
      <c r="A492" s="4" t="n"/>
      <c r="B492" s="4" t="n"/>
      <c r="C492" s="4" t="n"/>
      <c r="D492" s="4" t="n"/>
      <c r="E492" s="4" t="n"/>
      <c r="F492" s="4" t="n"/>
    </row>
    <row r="493" ht="15.75" customHeight="1" s="108">
      <c r="A493" s="4" t="n"/>
      <c r="B493" s="4" t="n"/>
      <c r="C493" s="4" t="n"/>
      <c r="D493" s="4" t="n"/>
      <c r="E493" s="4" t="n"/>
      <c r="F493" s="4" t="n"/>
    </row>
    <row r="494" ht="15.75" customHeight="1" s="108">
      <c r="A494" s="4" t="n"/>
      <c r="B494" s="4" t="n"/>
      <c r="C494" s="4" t="n"/>
      <c r="D494" s="4" t="n"/>
      <c r="E494" s="4" t="n"/>
      <c r="F494" s="4" t="n"/>
    </row>
    <row r="495" ht="15.75" customHeight="1" s="108">
      <c r="A495" s="4" t="n"/>
      <c r="B495" s="4" t="n"/>
      <c r="C495" s="4" t="n"/>
      <c r="D495" s="4" t="n"/>
      <c r="E495" s="4" t="n"/>
      <c r="F495" s="4" t="n"/>
    </row>
    <row r="496" ht="15.75" customHeight="1" s="108">
      <c r="A496" s="4" t="n"/>
      <c r="B496" s="4" t="n"/>
      <c r="C496" s="4" t="n"/>
      <c r="D496" s="4" t="n"/>
      <c r="E496" s="4" t="n"/>
      <c r="F496" s="4" t="n"/>
    </row>
    <row r="497" ht="15.75" customHeight="1" s="108">
      <c r="A497" s="4" t="n"/>
      <c r="B497" s="4" t="n"/>
      <c r="C497" s="4" t="n"/>
      <c r="D497" s="4" t="n"/>
      <c r="E497" s="4" t="n"/>
      <c r="F497" s="4" t="n"/>
    </row>
    <row r="498" ht="15.75" customHeight="1" s="108">
      <c r="A498" s="4" t="n"/>
      <c r="B498" s="4" t="n"/>
      <c r="C498" s="4" t="n"/>
      <c r="D498" s="4" t="n"/>
      <c r="E498" s="4" t="n"/>
      <c r="F498" s="4" t="n"/>
    </row>
    <row r="499" ht="15.75" customHeight="1" s="108">
      <c r="A499" s="4" t="n"/>
      <c r="B499" s="4" t="n"/>
      <c r="C499" s="4" t="n"/>
      <c r="D499" s="4" t="n"/>
      <c r="E499" s="4" t="n"/>
      <c r="F499" s="4" t="n"/>
    </row>
    <row r="500" ht="15.75" customHeight="1" s="108">
      <c r="A500" s="4" t="n"/>
      <c r="B500" s="4" t="n"/>
      <c r="C500" s="4" t="n"/>
      <c r="D500" s="4" t="n"/>
      <c r="E500" s="4" t="n"/>
      <c r="F500" s="4" t="n"/>
    </row>
    <row r="501" ht="15.75" customHeight="1" s="108">
      <c r="A501" s="4" t="n"/>
      <c r="B501" s="4" t="n"/>
      <c r="C501" s="4" t="n"/>
      <c r="D501" s="4" t="n"/>
      <c r="E501" s="4" t="n"/>
      <c r="F501" s="4" t="n"/>
    </row>
    <row r="502" ht="15.75" customHeight="1" s="108">
      <c r="A502" s="4" t="n"/>
      <c r="B502" s="4" t="n"/>
      <c r="C502" s="4" t="n"/>
      <c r="D502" s="4" t="n"/>
      <c r="E502" s="4" t="n"/>
      <c r="F502" s="4" t="n"/>
    </row>
    <row r="503" ht="15.75" customHeight="1" s="108">
      <c r="A503" s="4" t="n"/>
      <c r="B503" s="4" t="n"/>
      <c r="C503" s="4" t="n"/>
      <c r="D503" s="4" t="n"/>
      <c r="E503" s="4" t="n"/>
      <c r="F503" s="4" t="n"/>
    </row>
    <row r="504" ht="15.75" customHeight="1" s="108">
      <c r="A504" s="4" t="n"/>
      <c r="B504" s="4" t="n"/>
      <c r="C504" s="4" t="n"/>
      <c r="D504" s="4" t="n"/>
      <c r="E504" s="4" t="n"/>
      <c r="F504" s="4" t="n"/>
    </row>
    <row r="505" ht="15.75" customHeight="1" s="108">
      <c r="A505" s="4" t="n"/>
      <c r="B505" s="4" t="n"/>
      <c r="C505" s="4" t="n"/>
      <c r="D505" s="4" t="n"/>
      <c r="E505" s="4" t="n"/>
      <c r="F505" s="4" t="n"/>
    </row>
    <row r="506" ht="15.75" customHeight="1" s="108">
      <c r="A506" s="4" t="n"/>
      <c r="B506" s="4" t="n"/>
      <c r="C506" s="4" t="n"/>
      <c r="D506" s="4" t="n"/>
      <c r="E506" s="4" t="n"/>
      <c r="F506" s="4" t="n"/>
    </row>
    <row r="507" ht="15.75" customHeight="1" s="108">
      <c r="A507" s="4" t="n"/>
      <c r="B507" s="4" t="n"/>
      <c r="C507" s="4" t="n"/>
      <c r="D507" s="4" t="n"/>
      <c r="E507" s="4" t="n"/>
      <c r="F507" s="4" t="n"/>
    </row>
    <row r="508" ht="15.75" customHeight="1" s="108">
      <c r="A508" s="4" t="n"/>
      <c r="B508" s="4" t="n"/>
      <c r="C508" s="4" t="n"/>
      <c r="D508" s="4" t="n"/>
      <c r="E508" s="4" t="n"/>
      <c r="F508" s="4" t="n"/>
    </row>
    <row r="509" ht="15.75" customHeight="1" s="108">
      <c r="A509" s="4" t="n"/>
      <c r="B509" s="4" t="n"/>
      <c r="C509" s="4" t="n"/>
      <c r="D509" s="4" t="n"/>
      <c r="E509" s="4" t="n"/>
      <c r="F509" s="4" t="n"/>
    </row>
    <row r="510" ht="15.75" customHeight="1" s="108">
      <c r="A510" s="4" t="n"/>
      <c r="B510" s="4" t="n"/>
      <c r="C510" s="4" t="n"/>
      <c r="D510" s="4" t="n"/>
      <c r="E510" s="4" t="n"/>
      <c r="F510" s="4" t="n"/>
    </row>
    <row r="511" ht="15.75" customHeight="1" s="108">
      <c r="A511" s="4" t="n"/>
      <c r="B511" s="4" t="n"/>
      <c r="C511" s="4" t="n"/>
      <c r="D511" s="4" t="n"/>
      <c r="E511" s="4" t="n"/>
      <c r="F511" s="4" t="n"/>
    </row>
    <row r="512" ht="15.75" customHeight="1" s="108">
      <c r="A512" s="4" t="n"/>
      <c r="B512" s="4" t="n"/>
      <c r="C512" s="4" t="n"/>
      <c r="D512" s="4" t="n"/>
      <c r="E512" s="4" t="n"/>
      <c r="F512" s="4" t="n"/>
    </row>
    <row r="513" ht="15.75" customHeight="1" s="108">
      <c r="A513" s="4" t="n"/>
      <c r="B513" s="4" t="n"/>
      <c r="C513" s="4" t="n"/>
      <c r="D513" s="4" t="n"/>
      <c r="E513" s="4" t="n"/>
      <c r="F513" s="4" t="n"/>
    </row>
    <row r="514" ht="15.75" customHeight="1" s="108">
      <c r="A514" s="4" t="n"/>
      <c r="B514" s="4" t="n"/>
      <c r="C514" s="4" t="n"/>
      <c r="D514" s="4" t="n"/>
      <c r="E514" s="4" t="n"/>
      <c r="F514" s="4" t="n"/>
    </row>
    <row r="515" ht="15.75" customHeight="1" s="108">
      <c r="A515" s="4" t="n"/>
      <c r="B515" s="4" t="n"/>
      <c r="C515" s="4" t="n"/>
      <c r="D515" s="4" t="n"/>
      <c r="E515" s="4" t="n"/>
      <c r="F515" s="4" t="n"/>
    </row>
    <row r="516" ht="15.75" customHeight="1" s="108">
      <c r="A516" s="4" t="n"/>
      <c r="B516" s="4" t="n"/>
      <c r="C516" s="4" t="n"/>
      <c r="D516" s="4" t="n"/>
      <c r="E516" s="4" t="n"/>
      <c r="F516" s="4" t="n"/>
    </row>
    <row r="517" ht="15.75" customHeight="1" s="108">
      <c r="A517" s="4" t="n"/>
      <c r="B517" s="4" t="n"/>
      <c r="C517" s="4" t="n"/>
      <c r="D517" s="4" t="n"/>
      <c r="E517" s="4" t="n"/>
      <c r="F517" s="4" t="n"/>
    </row>
    <row r="518" ht="15.75" customHeight="1" s="108">
      <c r="A518" s="4" t="n"/>
      <c r="B518" s="4" t="n"/>
      <c r="C518" s="4" t="n"/>
      <c r="D518" s="4" t="n"/>
      <c r="E518" s="4" t="n"/>
      <c r="F518" s="4" t="n"/>
    </row>
    <row r="519" ht="15.75" customHeight="1" s="108">
      <c r="A519" s="4" t="n"/>
      <c r="B519" s="4" t="n"/>
      <c r="C519" s="4" t="n"/>
      <c r="D519" s="4" t="n"/>
      <c r="E519" s="4" t="n"/>
      <c r="F519" s="4" t="n"/>
    </row>
    <row r="520" ht="15.75" customHeight="1" s="108">
      <c r="A520" s="4" t="n"/>
      <c r="B520" s="4" t="n"/>
      <c r="C520" s="4" t="n"/>
      <c r="D520" s="4" t="n"/>
      <c r="E520" s="4" t="n"/>
      <c r="F520" s="4" t="n"/>
    </row>
    <row r="521" ht="15.75" customHeight="1" s="108">
      <c r="A521" s="4" t="n"/>
      <c r="B521" s="4" t="n"/>
      <c r="C521" s="4" t="n"/>
      <c r="D521" s="4" t="n"/>
      <c r="E521" s="4" t="n"/>
      <c r="F521" s="4" t="n"/>
    </row>
    <row r="522" ht="15.75" customHeight="1" s="108">
      <c r="A522" s="4" t="n"/>
      <c r="B522" s="4" t="n"/>
      <c r="C522" s="4" t="n"/>
      <c r="D522" s="4" t="n"/>
      <c r="E522" s="4" t="n"/>
      <c r="F522" s="4" t="n"/>
    </row>
    <row r="523" ht="15.75" customHeight="1" s="108">
      <c r="A523" s="4" t="n"/>
      <c r="B523" s="4" t="n"/>
      <c r="C523" s="4" t="n"/>
      <c r="D523" s="4" t="n"/>
      <c r="E523" s="4" t="n"/>
      <c r="F523" s="4" t="n"/>
    </row>
    <row r="524" ht="15.75" customHeight="1" s="108">
      <c r="A524" s="4" t="n"/>
      <c r="B524" s="4" t="n"/>
      <c r="C524" s="4" t="n"/>
      <c r="D524" s="4" t="n"/>
      <c r="E524" s="4" t="n"/>
      <c r="F524" s="4" t="n"/>
    </row>
    <row r="525" ht="15.75" customHeight="1" s="108">
      <c r="A525" s="4" t="n"/>
      <c r="B525" s="4" t="n"/>
      <c r="C525" s="4" t="n"/>
      <c r="D525" s="4" t="n"/>
      <c r="E525" s="4" t="n"/>
      <c r="F525" s="4" t="n"/>
    </row>
    <row r="526" ht="15.75" customHeight="1" s="108">
      <c r="A526" s="4" t="n"/>
      <c r="B526" s="4" t="n"/>
      <c r="C526" s="4" t="n"/>
      <c r="D526" s="4" t="n"/>
      <c r="E526" s="4" t="n"/>
      <c r="F526" s="4" t="n"/>
    </row>
    <row r="527" ht="15.75" customHeight="1" s="108">
      <c r="A527" s="4" t="n"/>
      <c r="B527" s="4" t="n"/>
      <c r="C527" s="4" t="n"/>
      <c r="D527" s="4" t="n"/>
      <c r="E527" s="4" t="n"/>
      <c r="F527" s="4" t="n"/>
    </row>
    <row r="528" ht="15.75" customHeight="1" s="108">
      <c r="A528" s="4" t="n"/>
      <c r="B528" s="4" t="n"/>
      <c r="C528" s="4" t="n"/>
      <c r="D528" s="4" t="n"/>
      <c r="E528" s="4" t="n"/>
      <c r="F528" s="4" t="n"/>
    </row>
    <row r="529" ht="15.75" customHeight="1" s="108">
      <c r="A529" s="4" t="n"/>
      <c r="B529" s="4" t="n"/>
      <c r="C529" s="4" t="n"/>
      <c r="D529" s="4" t="n"/>
      <c r="E529" s="4" t="n"/>
      <c r="F529" s="4" t="n"/>
    </row>
    <row r="530" ht="15.75" customHeight="1" s="108">
      <c r="A530" s="4" t="n"/>
      <c r="B530" s="4" t="n"/>
      <c r="C530" s="4" t="n"/>
      <c r="D530" s="4" t="n"/>
      <c r="E530" s="4" t="n"/>
      <c r="F530" s="4" t="n"/>
    </row>
    <row r="531" ht="15.75" customHeight="1" s="108">
      <c r="A531" s="4" t="n"/>
      <c r="B531" s="4" t="n"/>
      <c r="C531" s="4" t="n"/>
      <c r="D531" s="4" t="n"/>
      <c r="E531" s="4" t="n"/>
      <c r="F531" s="4" t="n"/>
    </row>
    <row r="532" ht="15.75" customHeight="1" s="108">
      <c r="A532" s="4" t="n"/>
      <c r="B532" s="4" t="n"/>
      <c r="C532" s="4" t="n"/>
      <c r="D532" s="4" t="n"/>
      <c r="E532" s="4" t="n"/>
      <c r="F532" s="4" t="n"/>
    </row>
    <row r="533" ht="15.75" customHeight="1" s="108">
      <c r="A533" s="4" t="n"/>
      <c r="B533" s="4" t="n"/>
      <c r="C533" s="4" t="n"/>
      <c r="D533" s="4" t="n"/>
      <c r="E533" s="4" t="n"/>
      <c r="F533" s="4" t="n"/>
    </row>
    <row r="534" ht="15.75" customHeight="1" s="108">
      <c r="A534" s="4" t="n"/>
      <c r="B534" s="4" t="n"/>
      <c r="C534" s="4" t="n"/>
      <c r="D534" s="4" t="n"/>
      <c r="E534" s="4" t="n"/>
      <c r="F534" s="4" t="n"/>
    </row>
    <row r="535" ht="15.75" customHeight="1" s="108">
      <c r="A535" s="4" t="n"/>
      <c r="B535" s="4" t="n"/>
      <c r="C535" s="4" t="n"/>
      <c r="D535" s="4" t="n"/>
      <c r="E535" s="4" t="n"/>
      <c r="F535" s="4" t="n"/>
    </row>
    <row r="536" ht="15.75" customHeight="1" s="108">
      <c r="A536" s="4" t="n"/>
      <c r="B536" s="4" t="n"/>
      <c r="C536" s="4" t="n"/>
      <c r="D536" s="4" t="n"/>
      <c r="E536" s="4" t="n"/>
      <c r="F536" s="4" t="n"/>
    </row>
    <row r="537" ht="15.75" customHeight="1" s="108">
      <c r="A537" s="4" t="n"/>
      <c r="B537" s="4" t="n"/>
      <c r="C537" s="4" t="n"/>
      <c r="D537" s="4" t="n"/>
      <c r="E537" s="4" t="n"/>
      <c r="F537" s="4" t="n"/>
    </row>
    <row r="538" ht="15.75" customHeight="1" s="108">
      <c r="A538" s="4" t="n"/>
      <c r="B538" s="4" t="n"/>
      <c r="C538" s="4" t="n"/>
      <c r="D538" s="4" t="n"/>
      <c r="E538" s="4" t="n"/>
      <c r="F538" s="4" t="n"/>
    </row>
    <row r="539" ht="15.75" customHeight="1" s="108">
      <c r="A539" s="4" t="n"/>
      <c r="B539" s="4" t="n"/>
      <c r="C539" s="4" t="n"/>
      <c r="D539" s="4" t="n"/>
      <c r="E539" s="4" t="n"/>
      <c r="F539" s="4" t="n"/>
    </row>
    <row r="540" ht="15.75" customHeight="1" s="108">
      <c r="A540" s="4" t="n"/>
      <c r="B540" s="4" t="n"/>
      <c r="C540" s="4" t="n"/>
      <c r="D540" s="4" t="n"/>
      <c r="E540" s="4" t="n"/>
      <c r="F540" s="4" t="n"/>
    </row>
    <row r="541" ht="15.75" customHeight="1" s="108">
      <c r="A541" s="4" t="n"/>
      <c r="B541" s="4" t="n"/>
      <c r="C541" s="4" t="n"/>
      <c r="D541" s="4" t="n"/>
      <c r="E541" s="4" t="n"/>
      <c r="F541" s="4" t="n"/>
    </row>
    <row r="542" ht="15.75" customHeight="1" s="108">
      <c r="A542" s="4" t="n"/>
      <c r="B542" s="4" t="n"/>
      <c r="C542" s="4" t="n"/>
      <c r="D542" s="4" t="n"/>
      <c r="E542" s="4" t="n"/>
      <c r="F542" s="4" t="n"/>
    </row>
    <row r="543" ht="15.75" customHeight="1" s="108">
      <c r="A543" s="4" t="n"/>
      <c r="B543" s="4" t="n"/>
      <c r="C543" s="4" t="n"/>
      <c r="D543" s="4" t="n"/>
      <c r="E543" s="4" t="n"/>
      <c r="F543" s="4" t="n"/>
    </row>
    <row r="544" ht="15.75" customHeight="1" s="108">
      <c r="A544" s="4" t="n"/>
      <c r="B544" s="4" t="n"/>
      <c r="C544" s="4" t="n"/>
      <c r="D544" s="4" t="n"/>
      <c r="E544" s="4" t="n"/>
      <c r="F544" s="4" t="n"/>
    </row>
    <row r="545" ht="15.75" customHeight="1" s="108">
      <c r="A545" s="4" t="n"/>
      <c r="B545" s="4" t="n"/>
      <c r="C545" s="4" t="n"/>
      <c r="D545" s="4" t="n"/>
      <c r="E545" s="4" t="n"/>
      <c r="F545" s="4" t="n"/>
    </row>
    <row r="546" ht="15.75" customHeight="1" s="108">
      <c r="A546" s="4" t="n"/>
      <c r="B546" s="4" t="n"/>
      <c r="C546" s="4" t="n"/>
      <c r="D546" s="4" t="n"/>
      <c r="E546" s="4" t="n"/>
      <c r="F546" s="4" t="n"/>
    </row>
    <row r="547" ht="15.75" customHeight="1" s="108">
      <c r="A547" s="4" t="n"/>
      <c r="B547" s="4" t="n"/>
      <c r="C547" s="4" t="n"/>
      <c r="D547" s="4" t="n"/>
      <c r="E547" s="4" t="n"/>
      <c r="F547" s="4" t="n"/>
    </row>
    <row r="548" ht="15.75" customHeight="1" s="108">
      <c r="A548" s="4" t="n"/>
      <c r="B548" s="4" t="n"/>
      <c r="C548" s="4" t="n"/>
      <c r="D548" s="4" t="n"/>
      <c r="E548" s="4" t="n"/>
      <c r="F548" s="4" t="n"/>
    </row>
    <row r="549" ht="15.75" customHeight="1" s="108">
      <c r="A549" s="4" t="n"/>
      <c r="B549" s="4" t="n"/>
      <c r="C549" s="4" t="n"/>
      <c r="D549" s="4" t="n"/>
      <c r="E549" s="4" t="n"/>
      <c r="F549" s="4" t="n"/>
    </row>
    <row r="550" ht="15.75" customHeight="1" s="108">
      <c r="A550" s="4" t="n"/>
      <c r="B550" s="4" t="n"/>
      <c r="C550" s="4" t="n"/>
      <c r="D550" s="4" t="n"/>
      <c r="E550" s="4" t="n"/>
      <c r="F550" s="4" t="n"/>
    </row>
    <row r="551" ht="15.75" customHeight="1" s="108">
      <c r="A551" s="4" t="n"/>
      <c r="B551" s="4" t="n"/>
      <c r="C551" s="4" t="n"/>
      <c r="D551" s="4" t="n"/>
      <c r="E551" s="4" t="n"/>
      <c r="F551" s="4" t="n"/>
    </row>
    <row r="552" ht="15.75" customHeight="1" s="108">
      <c r="A552" s="4" t="n"/>
      <c r="B552" s="4" t="n"/>
      <c r="C552" s="4" t="n"/>
      <c r="D552" s="4" t="n"/>
      <c r="E552" s="4" t="n"/>
      <c r="F552" s="4" t="n"/>
    </row>
    <row r="553" ht="15.75" customHeight="1" s="108">
      <c r="A553" s="4" t="n"/>
      <c r="B553" s="4" t="n"/>
      <c r="C553" s="4" t="n"/>
      <c r="D553" s="4" t="n"/>
      <c r="E553" s="4" t="n"/>
      <c r="F553" s="4" t="n"/>
    </row>
    <row r="554" ht="15.75" customHeight="1" s="108">
      <c r="A554" s="4" t="n"/>
      <c r="B554" s="4" t="n"/>
      <c r="C554" s="4" t="n"/>
      <c r="D554" s="4" t="n"/>
      <c r="E554" s="4" t="n"/>
      <c r="F554" s="4" t="n"/>
    </row>
    <row r="555" ht="15.75" customHeight="1" s="108">
      <c r="A555" s="4" t="n"/>
      <c r="B555" s="4" t="n"/>
      <c r="C555" s="4" t="n"/>
      <c r="D555" s="4" t="n"/>
      <c r="E555" s="4" t="n"/>
      <c r="F555" s="4" t="n"/>
    </row>
    <row r="556" ht="15.75" customHeight="1" s="108">
      <c r="A556" s="4" t="n"/>
      <c r="B556" s="4" t="n"/>
      <c r="C556" s="4" t="n"/>
      <c r="D556" s="4" t="n"/>
      <c r="E556" s="4" t="n"/>
      <c r="F556" s="4" t="n"/>
    </row>
    <row r="557" ht="15.75" customHeight="1" s="108">
      <c r="A557" s="4" t="n"/>
      <c r="B557" s="4" t="n"/>
      <c r="C557" s="4" t="n"/>
      <c r="D557" s="4" t="n"/>
      <c r="E557" s="4" t="n"/>
      <c r="F557" s="4" t="n"/>
    </row>
    <row r="558" ht="15.75" customHeight="1" s="108">
      <c r="A558" s="4" t="n"/>
      <c r="B558" s="4" t="n"/>
      <c r="C558" s="4" t="n"/>
      <c r="D558" s="4" t="n"/>
      <c r="E558" s="4" t="n"/>
      <c r="F558" s="4" t="n"/>
    </row>
    <row r="559" ht="15.75" customHeight="1" s="108">
      <c r="A559" s="4" t="n"/>
      <c r="B559" s="4" t="n"/>
      <c r="C559" s="4" t="n"/>
      <c r="D559" s="4" t="n"/>
      <c r="E559" s="4" t="n"/>
      <c r="F559" s="4" t="n"/>
    </row>
    <row r="560" ht="15.75" customHeight="1" s="108">
      <c r="A560" s="4" t="n"/>
      <c r="B560" s="4" t="n"/>
      <c r="C560" s="4" t="n"/>
      <c r="D560" s="4" t="n"/>
      <c r="E560" s="4" t="n"/>
      <c r="F560" s="4" t="n"/>
    </row>
    <row r="561" ht="15.75" customHeight="1" s="108">
      <c r="A561" s="4" t="n"/>
      <c r="B561" s="4" t="n"/>
      <c r="C561" s="4" t="n"/>
      <c r="D561" s="4" t="n"/>
      <c r="E561" s="4" t="n"/>
      <c r="F561" s="4" t="n"/>
    </row>
    <row r="562" ht="15.75" customHeight="1" s="108">
      <c r="A562" s="4" t="n"/>
      <c r="B562" s="4" t="n"/>
      <c r="C562" s="4" t="n"/>
      <c r="D562" s="4" t="n"/>
      <c r="E562" s="4" t="n"/>
      <c r="F562" s="4" t="n"/>
    </row>
    <row r="563" ht="15.75" customHeight="1" s="108">
      <c r="A563" s="4" t="n"/>
      <c r="B563" s="4" t="n"/>
      <c r="C563" s="4" t="n"/>
      <c r="D563" s="4" t="n"/>
      <c r="E563" s="4" t="n"/>
      <c r="F563" s="4" t="n"/>
    </row>
    <row r="564" ht="15.75" customHeight="1" s="108">
      <c r="A564" s="4" t="n"/>
      <c r="B564" s="4" t="n"/>
      <c r="C564" s="4" t="n"/>
      <c r="D564" s="4" t="n"/>
      <c r="E564" s="4" t="n"/>
      <c r="F564" s="4" t="n"/>
    </row>
    <row r="565" ht="15.75" customHeight="1" s="108">
      <c r="A565" s="4" t="n"/>
      <c r="B565" s="4" t="n"/>
      <c r="C565" s="4" t="n"/>
      <c r="D565" s="4" t="n"/>
      <c r="E565" s="4" t="n"/>
      <c r="F565" s="4" t="n"/>
    </row>
    <row r="566" ht="15.75" customHeight="1" s="108">
      <c r="A566" s="4" t="n"/>
      <c r="B566" s="4" t="n"/>
      <c r="C566" s="4" t="n"/>
      <c r="D566" s="4" t="n"/>
      <c r="E566" s="4" t="n"/>
      <c r="F566" s="4" t="n"/>
    </row>
    <row r="567" ht="15.75" customHeight="1" s="108">
      <c r="A567" s="4" t="n"/>
      <c r="B567" s="4" t="n"/>
      <c r="C567" s="4" t="n"/>
      <c r="D567" s="4" t="n"/>
      <c r="E567" s="4" t="n"/>
      <c r="F567" s="4" t="n"/>
    </row>
    <row r="568" ht="15.75" customHeight="1" s="108">
      <c r="A568" s="4" t="n"/>
      <c r="B568" s="4" t="n"/>
      <c r="C568" s="4" t="n"/>
      <c r="D568" s="4" t="n"/>
      <c r="E568" s="4" t="n"/>
      <c r="F568" s="4" t="n"/>
    </row>
    <row r="569" ht="15.75" customHeight="1" s="108">
      <c r="A569" s="4" t="n"/>
      <c r="B569" s="4" t="n"/>
      <c r="C569" s="4" t="n"/>
      <c r="D569" s="4" t="n"/>
      <c r="E569" s="4" t="n"/>
      <c r="F569" s="4" t="n"/>
    </row>
    <row r="570" ht="15.75" customHeight="1" s="108">
      <c r="A570" s="4" t="n"/>
      <c r="B570" s="4" t="n"/>
      <c r="C570" s="4" t="n"/>
      <c r="D570" s="4" t="n"/>
      <c r="E570" s="4" t="n"/>
      <c r="F570" s="4" t="n"/>
    </row>
    <row r="571" ht="15.75" customHeight="1" s="108">
      <c r="A571" s="4" t="n"/>
      <c r="B571" s="4" t="n"/>
      <c r="C571" s="4" t="n"/>
      <c r="D571" s="4" t="n"/>
      <c r="E571" s="4" t="n"/>
      <c r="F571" s="4" t="n"/>
    </row>
    <row r="572" ht="15.75" customHeight="1" s="108">
      <c r="A572" s="4" t="n"/>
      <c r="B572" s="4" t="n"/>
      <c r="C572" s="4" t="n"/>
      <c r="D572" s="4" t="n"/>
      <c r="E572" s="4" t="n"/>
      <c r="F572" s="4" t="n"/>
    </row>
    <row r="573" ht="15.75" customHeight="1" s="108">
      <c r="A573" s="4" t="n"/>
      <c r="B573" s="4" t="n"/>
      <c r="C573" s="4" t="n"/>
      <c r="D573" s="4" t="n"/>
      <c r="E573" s="4" t="n"/>
      <c r="F573" s="4" t="n"/>
    </row>
    <row r="574" ht="15.75" customHeight="1" s="108">
      <c r="A574" s="4" t="n"/>
      <c r="B574" s="4" t="n"/>
      <c r="C574" s="4" t="n"/>
      <c r="D574" s="4" t="n"/>
      <c r="E574" s="4" t="n"/>
      <c r="F574" s="4" t="n"/>
    </row>
    <row r="575" ht="15.75" customHeight="1" s="108">
      <c r="A575" s="4" t="n"/>
      <c r="B575" s="4" t="n"/>
      <c r="C575" s="4" t="n"/>
      <c r="D575" s="4" t="n"/>
      <c r="E575" s="4" t="n"/>
      <c r="F575" s="4" t="n"/>
    </row>
    <row r="576" ht="15.75" customHeight="1" s="108">
      <c r="A576" s="4" t="n"/>
      <c r="B576" s="4" t="n"/>
      <c r="C576" s="4" t="n"/>
      <c r="D576" s="4" t="n"/>
      <c r="E576" s="4" t="n"/>
      <c r="F576" s="4" t="n"/>
    </row>
    <row r="577" ht="15.75" customHeight="1" s="108">
      <c r="A577" s="4" t="n"/>
      <c r="B577" s="4" t="n"/>
      <c r="C577" s="4" t="n"/>
      <c r="D577" s="4" t="n"/>
      <c r="E577" s="4" t="n"/>
      <c r="F577" s="4" t="n"/>
    </row>
    <row r="578" ht="15.75" customHeight="1" s="108">
      <c r="A578" s="4" t="n"/>
      <c r="B578" s="4" t="n"/>
      <c r="C578" s="4" t="n"/>
      <c r="D578" s="4" t="n"/>
      <c r="E578" s="4" t="n"/>
      <c r="F578" s="4" t="n"/>
    </row>
    <row r="579" ht="15.75" customHeight="1" s="108">
      <c r="A579" s="4" t="n"/>
      <c r="B579" s="4" t="n"/>
      <c r="C579" s="4" t="n"/>
      <c r="D579" s="4" t="n"/>
      <c r="E579" s="4" t="n"/>
      <c r="F579" s="4" t="n"/>
    </row>
    <row r="580" ht="15.75" customHeight="1" s="108">
      <c r="A580" s="4" t="n"/>
      <c r="B580" s="4" t="n"/>
      <c r="C580" s="4" t="n"/>
      <c r="D580" s="4" t="n"/>
      <c r="E580" s="4" t="n"/>
      <c r="F580" s="4" t="n"/>
    </row>
    <row r="581" ht="15.75" customHeight="1" s="108">
      <c r="A581" s="4" t="n"/>
      <c r="B581" s="4" t="n"/>
      <c r="C581" s="4" t="n"/>
      <c r="D581" s="4" t="n"/>
      <c r="E581" s="4" t="n"/>
      <c r="F581" s="4" t="n"/>
    </row>
    <row r="582" ht="15.75" customHeight="1" s="108">
      <c r="A582" s="4" t="n"/>
      <c r="B582" s="4" t="n"/>
      <c r="C582" s="4" t="n"/>
      <c r="D582" s="4" t="n"/>
      <c r="E582" s="4" t="n"/>
      <c r="F582" s="4" t="n"/>
    </row>
    <row r="583" ht="15.75" customHeight="1" s="108">
      <c r="A583" s="4" t="n"/>
      <c r="B583" s="4" t="n"/>
      <c r="C583" s="4" t="n"/>
      <c r="D583" s="4" t="n"/>
      <c r="E583" s="4" t="n"/>
      <c r="F583" s="4" t="n"/>
    </row>
    <row r="584" ht="15.75" customHeight="1" s="108">
      <c r="A584" s="4" t="n"/>
      <c r="B584" s="4" t="n"/>
      <c r="C584" s="4" t="n"/>
      <c r="D584" s="4" t="n"/>
      <c r="E584" s="4" t="n"/>
      <c r="F584" s="4" t="n"/>
    </row>
    <row r="585" ht="15.75" customHeight="1" s="108">
      <c r="A585" s="4" t="n"/>
      <c r="B585" s="4" t="n"/>
      <c r="C585" s="4" t="n"/>
      <c r="D585" s="4" t="n"/>
      <c r="E585" s="4" t="n"/>
      <c r="F585" s="4" t="n"/>
    </row>
    <row r="586" ht="15.75" customHeight="1" s="108">
      <c r="A586" s="4" t="n"/>
      <c r="B586" s="4" t="n"/>
      <c r="C586" s="4" t="n"/>
      <c r="D586" s="4" t="n"/>
      <c r="E586" s="4" t="n"/>
      <c r="F586" s="4" t="n"/>
    </row>
    <row r="587" ht="15.75" customHeight="1" s="108">
      <c r="A587" s="4" t="n"/>
      <c r="B587" s="4" t="n"/>
      <c r="C587" s="4" t="n"/>
      <c r="D587" s="4" t="n"/>
      <c r="E587" s="4" t="n"/>
      <c r="F587" s="4" t="n"/>
    </row>
    <row r="588" ht="15.75" customHeight="1" s="108">
      <c r="A588" s="4" t="n"/>
      <c r="B588" s="4" t="n"/>
      <c r="C588" s="4" t="n"/>
      <c r="D588" s="4" t="n"/>
      <c r="E588" s="4" t="n"/>
      <c r="F588" s="4" t="n"/>
    </row>
    <row r="589" ht="15.75" customHeight="1" s="108">
      <c r="A589" s="4" t="n"/>
      <c r="B589" s="4" t="n"/>
      <c r="C589" s="4" t="n"/>
      <c r="D589" s="4" t="n"/>
      <c r="E589" s="4" t="n"/>
      <c r="F589" s="4" t="n"/>
    </row>
    <row r="590" ht="15.75" customHeight="1" s="108">
      <c r="A590" s="4" t="n"/>
      <c r="B590" s="4" t="n"/>
      <c r="C590" s="4" t="n"/>
      <c r="D590" s="4" t="n"/>
      <c r="E590" s="4" t="n"/>
      <c r="F590" s="4" t="n"/>
    </row>
    <row r="591" ht="15.75" customHeight="1" s="108">
      <c r="A591" s="4" t="n"/>
      <c r="B591" s="4" t="n"/>
      <c r="C591" s="4" t="n"/>
      <c r="D591" s="4" t="n"/>
      <c r="E591" s="4" t="n"/>
      <c r="F591" s="4" t="n"/>
    </row>
    <row r="592" ht="15.75" customHeight="1" s="108">
      <c r="A592" s="4" t="n"/>
      <c r="B592" s="4" t="n"/>
      <c r="C592" s="4" t="n"/>
      <c r="D592" s="4" t="n"/>
      <c r="E592" s="4" t="n"/>
      <c r="F592" s="4" t="n"/>
    </row>
    <row r="593" ht="15.75" customHeight="1" s="108">
      <c r="A593" s="4" t="n"/>
      <c r="B593" s="4" t="n"/>
      <c r="C593" s="4" t="n"/>
      <c r="D593" s="4" t="n"/>
      <c r="E593" s="4" t="n"/>
      <c r="F593" s="4" t="n"/>
    </row>
    <row r="594" ht="15.75" customHeight="1" s="108">
      <c r="A594" s="4" t="n"/>
      <c r="B594" s="4" t="n"/>
      <c r="C594" s="4" t="n"/>
      <c r="D594" s="4" t="n"/>
      <c r="E594" s="4" t="n"/>
      <c r="F594" s="4" t="n"/>
    </row>
    <row r="595" ht="15.75" customHeight="1" s="108">
      <c r="A595" s="4" t="n"/>
      <c r="B595" s="4" t="n"/>
      <c r="C595" s="4" t="n"/>
      <c r="D595" s="4" t="n"/>
      <c r="E595" s="4" t="n"/>
      <c r="F595" s="4" t="n"/>
    </row>
    <row r="596" ht="15.75" customHeight="1" s="108">
      <c r="A596" s="4" t="n"/>
      <c r="B596" s="4" t="n"/>
      <c r="C596" s="4" t="n"/>
      <c r="D596" s="4" t="n"/>
      <c r="E596" s="4" t="n"/>
      <c r="F596" s="4" t="n"/>
    </row>
    <row r="597" ht="15.75" customHeight="1" s="108">
      <c r="A597" s="4" t="n"/>
      <c r="B597" s="4" t="n"/>
      <c r="C597" s="4" t="n"/>
      <c r="D597" s="4" t="n"/>
      <c r="E597" s="4" t="n"/>
      <c r="F597" s="4" t="n"/>
    </row>
    <row r="598" ht="15.75" customHeight="1" s="108">
      <c r="A598" s="4" t="n"/>
      <c r="B598" s="4" t="n"/>
      <c r="C598" s="4" t="n"/>
      <c r="D598" s="4" t="n"/>
      <c r="E598" s="4" t="n"/>
      <c r="F598" s="4" t="n"/>
    </row>
    <row r="599" ht="15.75" customHeight="1" s="108">
      <c r="A599" s="4" t="n"/>
      <c r="B599" s="4" t="n"/>
      <c r="C599" s="4" t="n"/>
      <c r="D599" s="4" t="n"/>
      <c r="E599" s="4" t="n"/>
      <c r="F599" s="4" t="n"/>
    </row>
    <row r="600" ht="15.75" customHeight="1" s="108">
      <c r="A600" s="4" t="n"/>
      <c r="B600" s="4" t="n"/>
      <c r="C600" s="4" t="n"/>
      <c r="D600" s="4" t="n"/>
      <c r="E600" s="4" t="n"/>
      <c r="F600" s="4" t="n"/>
    </row>
    <row r="601" ht="15.75" customHeight="1" s="108">
      <c r="A601" s="4" t="n"/>
      <c r="B601" s="4" t="n"/>
      <c r="C601" s="4" t="n"/>
      <c r="D601" s="4" t="n"/>
      <c r="E601" s="4" t="n"/>
      <c r="F601" s="4" t="n"/>
    </row>
    <row r="602" ht="15.75" customHeight="1" s="108">
      <c r="A602" s="4" t="n"/>
      <c r="B602" s="4" t="n"/>
      <c r="C602" s="4" t="n"/>
      <c r="D602" s="4" t="n"/>
      <c r="E602" s="4" t="n"/>
      <c r="F602" s="4" t="n"/>
    </row>
    <row r="603" ht="15.75" customHeight="1" s="108">
      <c r="A603" s="4" t="n"/>
      <c r="B603" s="4" t="n"/>
      <c r="C603" s="4" t="n"/>
      <c r="D603" s="4" t="n"/>
      <c r="E603" s="4" t="n"/>
      <c r="F603" s="4" t="n"/>
    </row>
    <row r="604" ht="15.75" customHeight="1" s="108">
      <c r="A604" s="4" t="n"/>
      <c r="B604" s="4" t="n"/>
      <c r="C604" s="4" t="n"/>
      <c r="D604" s="4" t="n"/>
      <c r="E604" s="4" t="n"/>
      <c r="F604" s="4" t="n"/>
    </row>
    <row r="605" ht="15.75" customHeight="1" s="108">
      <c r="A605" s="4" t="n"/>
      <c r="B605" s="4" t="n"/>
      <c r="C605" s="4" t="n"/>
      <c r="D605" s="4" t="n"/>
      <c r="E605" s="4" t="n"/>
      <c r="F605" s="4" t="n"/>
    </row>
    <row r="606" ht="15.75" customHeight="1" s="108">
      <c r="A606" s="4" t="n"/>
      <c r="B606" s="4" t="n"/>
      <c r="C606" s="4" t="n"/>
      <c r="D606" s="4" t="n"/>
      <c r="E606" s="4" t="n"/>
      <c r="F606" s="4" t="n"/>
    </row>
    <row r="607" ht="15.75" customHeight="1" s="108">
      <c r="A607" s="4" t="n"/>
      <c r="B607" s="4" t="n"/>
      <c r="C607" s="4" t="n"/>
      <c r="D607" s="4" t="n"/>
      <c r="E607" s="4" t="n"/>
      <c r="F607" s="4" t="n"/>
    </row>
    <row r="608" ht="15.75" customHeight="1" s="108">
      <c r="A608" s="4" t="n"/>
      <c r="B608" s="4" t="n"/>
      <c r="C608" s="4" t="n"/>
      <c r="D608" s="4" t="n"/>
      <c r="E608" s="4" t="n"/>
      <c r="F608" s="4" t="n"/>
    </row>
    <row r="609" ht="15.75" customHeight="1" s="108">
      <c r="A609" s="4" t="n"/>
      <c r="B609" s="4" t="n"/>
      <c r="C609" s="4" t="n"/>
      <c r="D609" s="4" t="n"/>
      <c r="E609" s="4" t="n"/>
      <c r="F609" s="4" t="n"/>
    </row>
    <row r="610" ht="15.75" customHeight="1" s="108">
      <c r="A610" s="4" t="n"/>
      <c r="B610" s="4" t="n"/>
      <c r="C610" s="4" t="n"/>
      <c r="D610" s="4" t="n"/>
      <c r="E610" s="4" t="n"/>
      <c r="F610" s="4" t="n"/>
    </row>
    <row r="611" ht="15.75" customHeight="1" s="108">
      <c r="A611" s="4" t="n"/>
      <c r="B611" s="4" t="n"/>
      <c r="C611" s="4" t="n"/>
      <c r="D611" s="4" t="n"/>
      <c r="E611" s="4" t="n"/>
      <c r="F611" s="4" t="n"/>
    </row>
    <row r="612" ht="15.75" customHeight="1" s="108">
      <c r="A612" s="4" t="n"/>
      <c r="B612" s="4" t="n"/>
      <c r="C612" s="4" t="n"/>
      <c r="D612" s="4" t="n"/>
      <c r="E612" s="4" t="n"/>
      <c r="F612" s="4" t="n"/>
    </row>
    <row r="613" ht="15.75" customHeight="1" s="108">
      <c r="A613" s="4" t="n"/>
      <c r="B613" s="4" t="n"/>
      <c r="C613" s="4" t="n"/>
      <c r="D613" s="4" t="n"/>
      <c r="E613" s="4" t="n"/>
      <c r="F613" s="4" t="n"/>
    </row>
    <row r="614" ht="15.75" customHeight="1" s="108">
      <c r="A614" s="4" t="n"/>
      <c r="B614" s="4" t="n"/>
      <c r="C614" s="4" t="n"/>
      <c r="D614" s="4" t="n"/>
      <c r="E614" s="4" t="n"/>
      <c r="F614" s="4" t="n"/>
    </row>
    <row r="615" ht="15.75" customHeight="1" s="108">
      <c r="A615" s="4" t="n"/>
      <c r="B615" s="4" t="n"/>
      <c r="C615" s="4" t="n"/>
      <c r="D615" s="4" t="n"/>
      <c r="E615" s="4" t="n"/>
      <c r="F615" s="4" t="n"/>
    </row>
    <row r="616" ht="15.75" customHeight="1" s="108">
      <c r="A616" s="4" t="n"/>
      <c r="B616" s="4" t="n"/>
      <c r="C616" s="4" t="n"/>
      <c r="D616" s="4" t="n"/>
      <c r="E616" s="4" t="n"/>
      <c r="F616" s="4" t="n"/>
    </row>
    <row r="617" ht="15.75" customHeight="1" s="108">
      <c r="A617" s="4" t="n"/>
      <c r="B617" s="4" t="n"/>
      <c r="C617" s="4" t="n"/>
      <c r="D617" s="4" t="n"/>
      <c r="E617" s="4" t="n"/>
      <c r="F617" s="4" t="n"/>
    </row>
    <row r="618" ht="15.75" customHeight="1" s="108">
      <c r="A618" s="4" t="n"/>
      <c r="B618" s="4" t="n"/>
      <c r="C618" s="4" t="n"/>
      <c r="D618" s="4" t="n"/>
      <c r="E618" s="4" t="n"/>
      <c r="F618" s="4" t="n"/>
    </row>
    <row r="619" ht="15.75" customHeight="1" s="108">
      <c r="A619" s="4" t="n"/>
      <c r="B619" s="4" t="n"/>
      <c r="C619" s="4" t="n"/>
      <c r="D619" s="4" t="n"/>
      <c r="E619" s="4" t="n"/>
      <c r="F619" s="4" t="n"/>
    </row>
    <row r="620" ht="15.75" customHeight="1" s="108">
      <c r="A620" s="4" t="n"/>
      <c r="B620" s="4" t="n"/>
      <c r="C620" s="4" t="n"/>
      <c r="D620" s="4" t="n"/>
      <c r="E620" s="4" t="n"/>
      <c r="F620" s="4" t="n"/>
    </row>
    <row r="621" ht="15.75" customHeight="1" s="108">
      <c r="A621" s="4" t="n"/>
      <c r="B621" s="4" t="n"/>
      <c r="C621" s="4" t="n"/>
      <c r="D621" s="4" t="n"/>
      <c r="E621" s="4" t="n"/>
      <c r="F621" s="4" t="n"/>
    </row>
    <row r="622" ht="15.75" customHeight="1" s="108">
      <c r="A622" s="4" t="n"/>
      <c r="B622" s="4" t="n"/>
      <c r="C622" s="4" t="n"/>
      <c r="D622" s="4" t="n"/>
      <c r="E622" s="4" t="n"/>
      <c r="F622" s="4" t="n"/>
    </row>
    <row r="623" ht="15.75" customHeight="1" s="108">
      <c r="A623" s="4" t="n"/>
      <c r="B623" s="4" t="n"/>
      <c r="C623" s="4" t="n"/>
      <c r="D623" s="4" t="n"/>
      <c r="E623" s="4" t="n"/>
      <c r="F623" s="4" t="n"/>
    </row>
    <row r="624" ht="15.75" customHeight="1" s="108">
      <c r="A624" s="4" t="n"/>
      <c r="B624" s="4" t="n"/>
      <c r="C624" s="4" t="n"/>
      <c r="D624" s="4" t="n"/>
      <c r="E624" s="4" t="n"/>
      <c r="F624" s="4" t="n"/>
    </row>
    <row r="625" ht="15.75" customHeight="1" s="108">
      <c r="A625" s="4" t="n"/>
      <c r="B625" s="4" t="n"/>
      <c r="C625" s="4" t="n"/>
      <c r="D625" s="4" t="n"/>
      <c r="E625" s="4" t="n"/>
      <c r="F625" s="4" t="n"/>
    </row>
    <row r="626" ht="15.75" customHeight="1" s="108">
      <c r="A626" s="4" t="n"/>
      <c r="B626" s="4" t="n"/>
      <c r="C626" s="4" t="n"/>
      <c r="D626" s="4" t="n"/>
      <c r="E626" s="4" t="n"/>
      <c r="F626" s="4" t="n"/>
    </row>
    <row r="627" ht="15.75" customHeight="1" s="108">
      <c r="A627" s="4" t="n"/>
      <c r="B627" s="4" t="n"/>
      <c r="C627" s="4" t="n"/>
      <c r="D627" s="4" t="n"/>
      <c r="E627" s="4" t="n"/>
      <c r="F627" s="4" t="n"/>
    </row>
    <row r="628" ht="15.75" customHeight="1" s="108">
      <c r="A628" s="4" t="n"/>
      <c r="B628" s="4" t="n"/>
      <c r="C628" s="4" t="n"/>
      <c r="D628" s="4" t="n"/>
      <c r="E628" s="4" t="n"/>
      <c r="F628" s="4" t="n"/>
    </row>
    <row r="629" ht="15.75" customHeight="1" s="108">
      <c r="A629" s="4" t="n"/>
      <c r="B629" s="4" t="n"/>
      <c r="C629" s="4" t="n"/>
      <c r="D629" s="4" t="n"/>
      <c r="E629" s="4" t="n"/>
      <c r="F629" s="4" t="n"/>
    </row>
    <row r="630" ht="15.75" customHeight="1" s="108">
      <c r="A630" s="4" t="n"/>
      <c r="B630" s="4" t="n"/>
      <c r="C630" s="4" t="n"/>
      <c r="D630" s="4" t="n"/>
      <c r="E630" s="4" t="n"/>
      <c r="F630" s="4" t="n"/>
    </row>
    <row r="631" ht="15.75" customHeight="1" s="108">
      <c r="A631" s="4" t="n"/>
      <c r="B631" s="4" t="n"/>
      <c r="C631" s="4" t="n"/>
      <c r="D631" s="4" t="n"/>
      <c r="E631" s="4" t="n"/>
      <c r="F631" s="4" t="n"/>
    </row>
    <row r="632" ht="15.75" customHeight="1" s="108">
      <c r="A632" s="4" t="n"/>
      <c r="B632" s="4" t="n"/>
      <c r="C632" s="4" t="n"/>
      <c r="D632" s="4" t="n"/>
      <c r="E632" s="4" t="n"/>
      <c r="F632" s="4" t="n"/>
    </row>
    <row r="633" ht="15.75" customHeight="1" s="108">
      <c r="A633" s="4" t="n"/>
      <c r="B633" s="4" t="n"/>
      <c r="C633" s="4" t="n"/>
      <c r="D633" s="4" t="n"/>
      <c r="E633" s="4" t="n"/>
      <c r="F633" s="4" t="n"/>
    </row>
    <row r="634" ht="15.75" customHeight="1" s="108">
      <c r="A634" s="4" t="n"/>
      <c r="B634" s="4" t="n"/>
      <c r="C634" s="4" t="n"/>
      <c r="D634" s="4" t="n"/>
      <c r="E634" s="4" t="n"/>
      <c r="F634" s="4" t="n"/>
    </row>
    <row r="635" ht="15.75" customHeight="1" s="108">
      <c r="A635" s="4" t="n"/>
      <c r="B635" s="4" t="n"/>
      <c r="C635" s="4" t="n"/>
      <c r="D635" s="4" t="n"/>
      <c r="E635" s="4" t="n"/>
      <c r="F635" s="4" t="n"/>
    </row>
    <row r="636" ht="15.75" customHeight="1" s="108">
      <c r="A636" s="4" t="n"/>
      <c r="B636" s="4" t="n"/>
      <c r="C636" s="4" t="n"/>
      <c r="D636" s="4" t="n"/>
      <c r="E636" s="4" t="n"/>
      <c r="F636" s="4" t="n"/>
    </row>
    <row r="637" ht="15.75" customHeight="1" s="108">
      <c r="A637" s="4" t="n"/>
      <c r="B637" s="4" t="n"/>
      <c r="C637" s="4" t="n"/>
      <c r="D637" s="4" t="n"/>
      <c r="E637" s="4" t="n"/>
      <c r="F637" s="4" t="n"/>
    </row>
    <row r="638" ht="15.75" customHeight="1" s="108">
      <c r="A638" s="4" t="n"/>
      <c r="B638" s="4" t="n"/>
      <c r="C638" s="4" t="n"/>
      <c r="D638" s="4" t="n"/>
      <c r="E638" s="4" t="n"/>
      <c r="F638" s="4" t="n"/>
    </row>
    <row r="639" ht="15.75" customHeight="1" s="108">
      <c r="A639" s="4" t="n"/>
      <c r="B639" s="4" t="n"/>
      <c r="C639" s="4" t="n"/>
      <c r="D639" s="4" t="n"/>
      <c r="E639" s="4" t="n"/>
      <c r="F639" s="4" t="n"/>
    </row>
    <row r="640" ht="15.75" customHeight="1" s="108">
      <c r="A640" s="4" t="n"/>
      <c r="B640" s="4" t="n"/>
      <c r="C640" s="4" t="n"/>
      <c r="D640" s="4" t="n"/>
      <c r="E640" s="4" t="n"/>
      <c r="F640" s="4" t="n"/>
    </row>
    <row r="641" ht="15.75" customHeight="1" s="108">
      <c r="A641" s="4" t="n"/>
      <c r="B641" s="4" t="n"/>
      <c r="C641" s="4" t="n"/>
      <c r="D641" s="4" t="n"/>
      <c r="E641" s="4" t="n"/>
      <c r="F641" s="4" t="n"/>
    </row>
    <row r="642" ht="15.75" customHeight="1" s="108">
      <c r="A642" s="4" t="n"/>
      <c r="B642" s="4" t="n"/>
      <c r="C642" s="4" t="n"/>
      <c r="D642" s="4" t="n"/>
      <c r="E642" s="4" t="n"/>
      <c r="F642" s="4" t="n"/>
    </row>
    <row r="643" ht="15.75" customHeight="1" s="108">
      <c r="A643" s="4" t="n"/>
      <c r="B643" s="4" t="n"/>
      <c r="C643" s="4" t="n"/>
      <c r="D643" s="4" t="n"/>
      <c r="E643" s="4" t="n"/>
      <c r="F643" s="4" t="n"/>
    </row>
    <row r="644" ht="15.75" customHeight="1" s="108">
      <c r="A644" s="4" t="n"/>
      <c r="B644" s="4" t="n"/>
      <c r="C644" s="4" t="n"/>
      <c r="D644" s="4" t="n"/>
      <c r="E644" s="4" t="n"/>
      <c r="F644" s="4" t="n"/>
    </row>
    <row r="645" ht="15.75" customHeight="1" s="108">
      <c r="A645" s="4" t="n"/>
      <c r="B645" s="4" t="n"/>
      <c r="C645" s="4" t="n"/>
      <c r="D645" s="4" t="n"/>
      <c r="E645" s="4" t="n"/>
      <c r="F645" s="4" t="n"/>
    </row>
    <row r="646" ht="15.75" customHeight="1" s="108">
      <c r="A646" s="4" t="n"/>
      <c r="B646" s="4" t="n"/>
      <c r="C646" s="4" t="n"/>
      <c r="D646" s="4" t="n"/>
      <c r="E646" s="4" t="n"/>
      <c r="F646" s="4" t="n"/>
    </row>
    <row r="647" ht="15.75" customHeight="1" s="108">
      <c r="A647" s="4" t="n"/>
      <c r="B647" s="4" t="n"/>
      <c r="C647" s="4" t="n"/>
      <c r="D647" s="4" t="n"/>
      <c r="E647" s="4" t="n"/>
      <c r="F647" s="4" t="n"/>
    </row>
    <row r="648" ht="15.75" customHeight="1" s="108">
      <c r="A648" s="4" t="n"/>
      <c r="B648" s="4" t="n"/>
      <c r="C648" s="4" t="n"/>
      <c r="D648" s="4" t="n"/>
      <c r="E648" s="4" t="n"/>
      <c r="F648" s="4" t="n"/>
    </row>
    <row r="649" ht="15.75" customHeight="1" s="108">
      <c r="A649" s="4" t="n"/>
      <c r="B649" s="4" t="n"/>
      <c r="C649" s="4" t="n"/>
      <c r="D649" s="4" t="n"/>
      <c r="E649" s="4" t="n"/>
      <c r="F649" s="4" t="n"/>
    </row>
    <row r="650" ht="15.75" customHeight="1" s="108">
      <c r="A650" s="4" t="n"/>
      <c r="B650" s="4" t="n"/>
      <c r="C650" s="4" t="n"/>
      <c r="D650" s="4" t="n"/>
      <c r="E650" s="4" t="n"/>
      <c r="F650" s="4" t="n"/>
    </row>
    <row r="651" ht="15.75" customHeight="1" s="108">
      <c r="A651" s="4" t="n"/>
      <c r="B651" s="4" t="n"/>
      <c r="C651" s="4" t="n"/>
      <c r="D651" s="4" t="n"/>
      <c r="E651" s="4" t="n"/>
      <c r="F651" s="4" t="n"/>
    </row>
    <row r="652" ht="15.75" customHeight="1" s="108">
      <c r="A652" s="4" t="n"/>
      <c r="B652" s="4" t="n"/>
      <c r="C652" s="4" t="n"/>
      <c r="D652" s="4" t="n"/>
      <c r="E652" s="4" t="n"/>
      <c r="F652" s="4" t="n"/>
    </row>
    <row r="653" ht="15.75" customHeight="1" s="108">
      <c r="A653" s="4" t="n"/>
      <c r="B653" s="4" t="n"/>
      <c r="C653" s="4" t="n"/>
      <c r="D653" s="4" t="n"/>
      <c r="E653" s="4" t="n"/>
      <c r="F653" s="4" t="n"/>
    </row>
    <row r="654" ht="15.75" customHeight="1" s="108">
      <c r="A654" s="4" t="n"/>
      <c r="B654" s="4" t="n"/>
      <c r="C654" s="4" t="n"/>
      <c r="D654" s="4" t="n"/>
      <c r="E654" s="4" t="n"/>
      <c r="F654" s="4" t="n"/>
    </row>
    <row r="655" ht="15.75" customHeight="1" s="108">
      <c r="A655" s="4" t="n"/>
      <c r="B655" s="4" t="n"/>
      <c r="C655" s="4" t="n"/>
      <c r="D655" s="4" t="n"/>
      <c r="E655" s="4" t="n"/>
      <c r="F655" s="4" t="n"/>
    </row>
    <row r="656" ht="15.75" customHeight="1" s="108">
      <c r="A656" s="4" t="n"/>
      <c r="B656" s="4" t="n"/>
      <c r="C656" s="4" t="n"/>
      <c r="D656" s="4" t="n"/>
      <c r="E656" s="4" t="n"/>
      <c r="F656" s="4" t="n"/>
    </row>
    <row r="657" ht="15.75" customHeight="1" s="108">
      <c r="A657" s="4" t="n"/>
      <c r="B657" s="4" t="n"/>
      <c r="C657" s="4" t="n"/>
      <c r="D657" s="4" t="n"/>
      <c r="E657" s="4" t="n"/>
      <c r="F657" s="4" t="n"/>
    </row>
    <row r="658" ht="15.75" customHeight="1" s="108">
      <c r="A658" s="4" t="n"/>
      <c r="B658" s="4" t="n"/>
      <c r="C658" s="4" t="n"/>
      <c r="D658" s="4" t="n"/>
      <c r="E658" s="4" t="n"/>
      <c r="F658" s="4" t="n"/>
    </row>
    <row r="659" ht="15.75" customHeight="1" s="108">
      <c r="A659" s="4" t="n"/>
      <c r="B659" s="4" t="n"/>
      <c r="C659" s="4" t="n"/>
      <c r="D659" s="4" t="n"/>
      <c r="E659" s="4" t="n"/>
      <c r="F659" s="4" t="n"/>
    </row>
    <row r="660" ht="15.75" customHeight="1" s="108">
      <c r="A660" s="4" t="n"/>
      <c r="B660" s="4" t="n"/>
      <c r="C660" s="4" t="n"/>
      <c r="D660" s="4" t="n"/>
      <c r="E660" s="4" t="n"/>
      <c r="F660" s="4" t="n"/>
    </row>
    <row r="661" ht="15.75" customHeight="1" s="108">
      <c r="A661" s="4" t="n"/>
      <c r="B661" s="4" t="n"/>
      <c r="C661" s="4" t="n"/>
      <c r="D661" s="4" t="n"/>
      <c r="E661" s="4" t="n"/>
      <c r="F661" s="4" t="n"/>
    </row>
    <row r="662" ht="15.75" customHeight="1" s="108">
      <c r="A662" s="4" t="n"/>
      <c r="B662" s="4" t="n"/>
      <c r="C662" s="4" t="n"/>
      <c r="D662" s="4" t="n"/>
      <c r="E662" s="4" t="n"/>
      <c r="F662" s="4" t="n"/>
    </row>
    <row r="663" ht="15.75" customHeight="1" s="108">
      <c r="A663" s="4" t="n"/>
      <c r="B663" s="4" t="n"/>
      <c r="C663" s="4" t="n"/>
      <c r="D663" s="4" t="n"/>
      <c r="E663" s="4" t="n"/>
      <c r="F663" s="4" t="n"/>
    </row>
    <row r="664" ht="15.75" customHeight="1" s="108">
      <c r="A664" s="4" t="n"/>
      <c r="B664" s="4" t="n"/>
      <c r="C664" s="4" t="n"/>
      <c r="D664" s="4" t="n"/>
      <c r="E664" s="4" t="n"/>
      <c r="F664" s="4" t="n"/>
    </row>
    <row r="665" ht="15.75" customHeight="1" s="108">
      <c r="A665" s="4" t="n"/>
      <c r="B665" s="4" t="n"/>
      <c r="C665" s="4" t="n"/>
      <c r="D665" s="4" t="n"/>
      <c r="E665" s="4" t="n"/>
      <c r="F665" s="4" t="n"/>
    </row>
    <row r="666" ht="15.75" customHeight="1" s="108">
      <c r="A666" s="4" t="n"/>
      <c r="B666" s="4" t="n"/>
      <c r="C666" s="4" t="n"/>
      <c r="D666" s="4" t="n"/>
      <c r="E666" s="4" t="n"/>
      <c r="F666" s="4" t="n"/>
    </row>
    <row r="667" ht="15.75" customHeight="1" s="108">
      <c r="A667" s="4" t="n"/>
      <c r="B667" s="4" t="n"/>
      <c r="C667" s="4" t="n"/>
      <c r="D667" s="4" t="n"/>
      <c r="E667" s="4" t="n"/>
      <c r="F667" s="4" t="n"/>
    </row>
    <row r="668" ht="15.75" customHeight="1" s="108">
      <c r="A668" s="4" t="n"/>
      <c r="B668" s="4" t="n"/>
      <c r="C668" s="4" t="n"/>
      <c r="D668" s="4" t="n"/>
      <c r="E668" s="4" t="n"/>
      <c r="F668" s="4" t="n"/>
    </row>
    <row r="669" ht="15.75" customHeight="1" s="108">
      <c r="A669" s="4" t="n"/>
      <c r="B669" s="4" t="n"/>
      <c r="C669" s="4" t="n"/>
      <c r="D669" s="4" t="n"/>
      <c r="E669" s="4" t="n"/>
      <c r="F669" s="4" t="n"/>
    </row>
    <row r="670" ht="15.75" customHeight="1" s="108">
      <c r="A670" s="4" t="n"/>
      <c r="B670" s="4" t="n"/>
      <c r="C670" s="4" t="n"/>
      <c r="D670" s="4" t="n"/>
      <c r="E670" s="4" t="n"/>
      <c r="F670" s="4" t="n"/>
    </row>
    <row r="671" ht="15.75" customHeight="1" s="108">
      <c r="A671" s="4" t="n"/>
      <c r="B671" s="4" t="n"/>
      <c r="C671" s="4" t="n"/>
      <c r="D671" s="4" t="n"/>
      <c r="E671" s="4" t="n"/>
      <c r="F671" s="4" t="n"/>
    </row>
    <row r="672" ht="15.75" customHeight="1" s="108">
      <c r="A672" s="4" t="n"/>
      <c r="B672" s="4" t="n"/>
      <c r="C672" s="4" t="n"/>
      <c r="D672" s="4" t="n"/>
      <c r="E672" s="4" t="n"/>
      <c r="F672" s="4" t="n"/>
    </row>
    <row r="673" ht="15.75" customHeight="1" s="108">
      <c r="A673" s="4" t="n"/>
      <c r="B673" s="4" t="n"/>
      <c r="C673" s="4" t="n"/>
      <c r="D673" s="4" t="n"/>
      <c r="E673" s="4" t="n"/>
      <c r="F673" s="4" t="n"/>
    </row>
    <row r="674" ht="15.75" customHeight="1" s="108">
      <c r="A674" s="4" t="n"/>
      <c r="B674" s="4" t="n"/>
      <c r="C674" s="4" t="n"/>
      <c r="D674" s="4" t="n"/>
      <c r="E674" s="4" t="n"/>
      <c r="F674" s="4" t="n"/>
    </row>
    <row r="675" ht="15.75" customHeight="1" s="108">
      <c r="A675" s="4" t="n"/>
      <c r="B675" s="4" t="n"/>
      <c r="C675" s="4" t="n"/>
      <c r="D675" s="4" t="n"/>
      <c r="E675" s="4" t="n"/>
      <c r="F675" s="4" t="n"/>
    </row>
    <row r="676" ht="15.75" customHeight="1" s="108">
      <c r="A676" s="4" t="n"/>
      <c r="B676" s="4" t="n"/>
      <c r="C676" s="4" t="n"/>
      <c r="D676" s="4" t="n"/>
      <c r="E676" s="4" t="n"/>
      <c r="F676" s="4" t="n"/>
    </row>
    <row r="677" ht="15.75" customHeight="1" s="108">
      <c r="A677" s="4" t="n"/>
      <c r="B677" s="4" t="n"/>
      <c r="C677" s="4" t="n"/>
      <c r="D677" s="4" t="n"/>
      <c r="E677" s="4" t="n"/>
      <c r="F677" s="4" t="n"/>
    </row>
    <row r="678" ht="15.75" customHeight="1" s="108">
      <c r="A678" s="4" t="n"/>
      <c r="B678" s="4" t="n"/>
      <c r="C678" s="4" t="n"/>
      <c r="D678" s="4" t="n"/>
      <c r="E678" s="4" t="n"/>
      <c r="F678" s="4" t="n"/>
    </row>
    <row r="679" ht="15.75" customHeight="1" s="108">
      <c r="A679" s="4" t="n"/>
      <c r="B679" s="4" t="n"/>
      <c r="C679" s="4" t="n"/>
      <c r="D679" s="4" t="n"/>
      <c r="E679" s="4" t="n"/>
      <c r="F679" s="4" t="n"/>
    </row>
    <row r="680" ht="15.75" customHeight="1" s="108">
      <c r="A680" s="4" t="n"/>
      <c r="B680" s="4" t="n"/>
      <c r="C680" s="4" t="n"/>
      <c r="D680" s="4" t="n"/>
      <c r="E680" s="4" t="n"/>
      <c r="F680" s="4" t="n"/>
    </row>
    <row r="681" ht="15.75" customHeight="1" s="108">
      <c r="A681" s="4" t="n"/>
      <c r="B681" s="4" t="n"/>
      <c r="C681" s="4" t="n"/>
      <c r="D681" s="4" t="n"/>
      <c r="E681" s="4" t="n"/>
      <c r="F681" s="4" t="n"/>
    </row>
    <row r="682" ht="15.75" customHeight="1" s="108">
      <c r="A682" s="4" t="n"/>
      <c r="B682" s="4" t="n"/>
      <c r="C682" s="4" t="n"/>
      <c r="D682" s="4" t="n"/>
      <c r="E682" s="4" t="n"/>
      <c r="F682" s="4" t="n"/>
    </row>
    <row r="683" ht="15.75" customHeight="1" s="108">
      <c r="A683" s="4" t="n"/>
      <c r="B683" s="4" t="n"/>
      <c r="C683" s="4" t="n"/>
      <c r="D683" s="4" t="n"/>
      <c r="E683" s="4" t="n"/>
      <c r="F683" s="4" t="n"/>
    </row>
    <row r="684" ht="15.75" customHeight="1" s="108">
      <c r="A684" s="4" t="n"/>
      <c r="B684" s="4" t="n"/>
      <c r="C684" s="4" t="n"/>
      <c r="D684" s="4" t="n"/>
      <c r="E684" s="4" t="n"/>
      <c r="F684" s="4" t="n"/>
    </row>
    <row r="685" ht="15.75" customHeight="1" s="108">
      <c r="A685" s="4" t="n"/>
      <c r="B685" s="4" t="n"/>
      <c r="C685" s="4" t="n"/>
      <c r="D685" s="4" t="n"/>
      <c r="E685" s="4" t="n"/>
      <c r="F685" s="4" t="n"/>
    </row>
    <row r="686" ht="15.75" customHeight="1" s="108">
      <c r="A686" s="4" t="n"/>
      <c r="B686" s="4" t="n"/>
      <c r="C686" s="4" t="n"/>
      <c r="D686" s="4" t="n"/>
      <c r="E686" s="4" t="n"/>
      <c r="F686" s="4" t="n"/>
    </row>
    <row r="687" ht="15.75" customHeight="1" s="108">
      <c r="A687" s="4" t="n"/>
      <c r="B687" s="4" t="n"/>
      <c r="C687" s="4" t="n"/>
      <c r="D687" s="4" t="n"/>
      <c r="E687" s="4" t="n"/>
      <c r="F687" s="4" t="n"/>
    </row>
    <row r="688" ht="15.75" customHeight="1" s="108">
      <c r="A688" s="4" t="n"/>
      <c r="B688" s="4" t="n"/>
      <c r="C688" s="4" t="n"/>
      <c r="D688" s="4" t="n"/>
      <c r="E688" s="4" t="n"/>
      <c r="F688" s="4" t="n"/>
    </row>
    <row r="689" ht="15.75" customHeight="1" s="108">
      <c r="A689" s="4" t="n"/>
      <c r="B689" s="4" t="n"/>
      <c r="C689" s="4" t="n"/>
      <c r="D689" s="4" t="n"/>
      <c r="E689" s="4" t="n"/>
      <c r="F689" s="4" t="n"/>
    </row>
    <row r="690" ht="15.75" customHeight="1" s="108">
      <c r="A690" s="4" t="n"/>
      <c r="B690" s="4" t="n"/>
      <c r="C690" s="4" t="n"/>
      <c r="D690" s="4" t="n"/>
      <c r="E690" s="4" t="n"/>
      <c r="F690" s="4" t="n"/>
    </row>
    <row r="691" ht="15.75" customHeight="1" s="108">
      <c r="A691" s="4" t="n"/>
      <c r="B691" s="4" t="n"/>
      <c r="C691" s="4" t="n"/>
      <c r="D691" s="4" t="n"/>
      <c r="E691" s="4" t="n"/>
      <c r="F691" s="4" t="n"/>
    </row>
    <row r="692" ht="15.75" customHeight="1" s="108">
      <c r="A692" s="4" t="n"/>
      <c r="B692" s="4" t="n"/>
      <c r="C692" s="4" t="n"/>
      <c r="D692" s="4" t="n"/>
      <c r="E692" s="4" t="n"/>
      <c r="F692" s="4" t="n"/>
    </row>
    <row r="693" ht="15.75" customHeight="1" s="108">
      <c r="A693" s="4" t="n"/>
      <c r="B693" s="4" t="n"/>
      <c r="C693" s="4" t="n"/>
      <c r="D693" s="4" t="n"/>
      <c r="E693" s="4" t="n"/>
      <c r="F693" s="4" t="n"/>
    </row>
    <row r="694" ht="15.75" customHeight="1" s="108">
      <c r="A694" s="4" t="n"/>
      <c r="B694" s="4" t="n"/>
      <c r="C694" s="4" t="n"/>
      <c r="D694" s="4" t="n"/>
      <c r="E694" s="4" t="n"/>
      <c r="F694" s="4" t="n"/>
    </row>
    <row r="695" ht="15.75" customHeight="1" s="108">
      <c r="A695" s="4" t="n"/>
      <c r="B695" s="4" t="n"/>
      <c r="C695" s="4" t="n"/>
      <c r="D695" s="4" t="n"/>
      <c r="E695" s="4" t="n"/>
      <c r="F695" s="4" t="n"/>
    </row>
    <row r="696" ht="15.75" customHeight="1" s="108">
      <c r="A696" s="4" t="n"/>
      <c r="B696" s="4" t="n"/>
      <c r="C696" s="4" t="n"/>
      <c r="D696" s="4" t="n"/>
      <c r="E696" s="4" t="n"/>
      <c r="F696" s="4" t="n"/>
    </row>
    <row r="697" ht="15.75" customHeight="1" s="108">
      <c r="A697" s="4" t="n"/>
      <c r="B697" s="4" t="n"/>
      <c r="C697" s="4" t="n"/>
      <c r="D697" s="4" t="n"/>
      <c r="E697" s="4" t="n"/>
      <c r="F697" s="4" t="n"/>
    </row>
    <row r="698" ht="15.75" customHeight="1" s="108">
      <c r="A698" s="4" t="n"/>
      <c r="B698" s="4" t="n"/>
      <c r="C698" s="4" t="n"/>
      <c r="D698" s="4" t="n"/>
      <c r="E698" s="4" t="n"/>
      <c r="F698" s="4" t="n"/>
    </row>
    <row r="699" ht="15.75" customHeight="1" s="108">
      <c r="A699" s="4" t="n"/>
      <c r="B699" s="4" t="n"/>
      <c r="C699" s="4" t="n"/>
      <c r="D699" s="4" t="n"/>
      <c r="E699" s="4" t="n"/>
      <c r="F699" s="4" t="n"/>
    </row>
    <row r="700" ht="15.75" customHeight="1" s="108">
      <c r="A700" s="4" t="n"/>
      <c r="B700" s="4" t="n"/>
      <c r="C700" s="4" t="n"/>
      <c r="D700" s="4" t="n"/>
      <c r="E700" s="4" t="n"/>
      <c r="F700" s="4" t="n"/>
    </row>
    <row r="701" ht="15.75" customHeight="1" s="108">
      <c r="A701" s="4" t="n"/>
      <c r="B701" s="4" t="n"/>
      <c r="C701" s="4" t="n"/>
      <c r="D701" s="4" t="n"/>
      <c r="E701" s="4" t="n"/>
      <c r="F701" s="4" t="n"/>
    </row>
    <row r="702" ht="15.75" customHeight="1" s="108">
      <c r="A702" s="4" t="n"/>
      <c r="B702" s="4" t="n"/>
      <c r="C702" s="4" t="n"/>
      <c r="D702" s="4" t="n"/>
      <c r="E702" s="4" t="n"/>
      <c r="F702" s="4" t="n"/>
    </row>
    <row r="703" ht="15.75" customHeight="1" s="108">
      <c r="A703" s="4" t="n"/>
      <c r="B703" s="4" t="n"/>
      <c r="C703" s="4" t="n"/>
      <c r="D703" s="4" t="n"/>
      <c r="E703" s="4" t="n"/>
      <c r="F703" s="4" t="n"/>
    </row>
    <row r="704" ht="15.75" customHeight="1" s="108">
      <c r="A704" s="4" t="n"/>
      <c r="B704" s="4" t="n"/>
      <c r="C704" s="4" t="n"/>
      <c r="D704" s="4" t="n"/>
      <c r="E704" s="4" t="n"/>
      <c r="F704" s="4" t="n"/>
    </row>
    <row r="705" ht="15.75" customHeight="1" s="108">
      <c r="A705" s="4" t="n"/>
      <c r="B705" s="4" t="n"/>
      <c r="C705" s="4" t="n"/>
      <c r="D705" s="4" t="n"/>
      <c r="E705" s="4" t="n"/>
      <c r="F705" s="4" t="n"/>
    </row>
    <row r="706" ht="15.75" customHeight="1" s="108">
      <c r="A706" s="4" t="n"/>
      <c r="B706" s="4" t="n"/>
      <c r="C706" s="4" t="n"/>
      <c r="D706" s="4" t="n"/>
      <c r="E706" s="4" t="n"/>
      <c r="F706" s="4" t="n"/>
    </row>
    <row r="707" ht="15.75" customHeight="1" s="108">
      <c r="A707" s="4" t="n"/>
      <c r="B707" s="4" t="n"/>
      <c r="C707" s="4" t="n"/>
      <c r="D707" s="4" t="n"/>
      <c r="E707" s="4" t="n"/>
      <c r="F707" s="4" t="n"/>
    </row>
    <row r="708" ht="15.75" customHeight="1" s="108">
      <c r="A708" s="4" t="n"/>
      <c r="B708" s="4" t="n"/>
      <c r="C708" s="4" t="n"/>
      <c r="D708" s="4" t="n"/>
      <c r="E708" s="4" t="n"/>
      <c r="F708" s="4" t="n"/>
    </row>
    <row r="709" ht="15.75" customHeight="1" s="108">
      <c r="A709" s="4" t="n"/>
      <c r="B709" s="4" t="n"/>
      <c r="C709" s="4" t="n"/>
      <c r="D709" s="4" t="n"/>
      <c r="E709" s="4" t="n"/>
      <c r="F709" s="4" t="n"/>
    </row>
    <row r="710" ht="15.75" customHeight="1" s="108">
      <c r="A710" s="4" t="n"/>
      <c r="B710" s="4" t="n"/>
      <c r="C710" s="4" t="n"/>
      <c r="D710" s="4" t="n"/>
      <c r="E710" s="4" t="n"/>
      <c r="F710" s="4" t="n"/>
    </row>
    <row r="711" ht="15.75" customHeight="1" s="108">
      <c r="A711" s="4" t="n"/>
      <c r="B711" s="4" t="n"/>
      <c r="C711" s="4" t="n"/>
      <c r="D711" s="4" t="n"/>
      <c r="E711" s="4" t="n"/>
      <c r="F711" s="4" t="n"/>
    </row>
    <row r="712" ht="15.75" customHeight="1" s="108">
      <c r="A712" s="4" t="n"/>
      <c r="B712" s="4" t="n"/>
      <c r="C712" s="4" t="n"/>
      <c r="D712" s="4" t="n"/>
      <c r="E712" s="4" t="n"/>
      <c r="F712" s="4" t="n"/>
    </row>
    <row r="713" ht="15.75" customHeight="1" s="108">
      <c r="A713" s="4" t="n"/>
      <c r="B713" s="4" t="n"/>
      <c r="C713" s="4" t="n"/>
      <c r="D713" s="4" t="n"/>
      <c r="E713" s="4" t="n"/>
      <c r="F713" s="4" t="n"/>
    </row>
    <row r="714" ht="15.75" customHeight="1" s="108">
      <c r="A714" s="4" t="n"/>
      <c r="B714" s="4" t="n"/>
      <c r="C714" s="4" t="n"/>
      <c r="D714" s="4" t="n"/>
      <c r="E714" s="4" t="n"/>
      <c r="F714" s="4" t="n"/>
    </row>
    <row r="715" ht="15.75" customHeight="1" s="108">
      <c r="A715" s="4" t="n"/>
      <c r="B715" s="4" t="n"/>
      <c r="C715" s="4" t="n"/>
      <c r="D715" s="4" t="n"/>
      <c r="E715" s="4" t="n"/>
      <c r="F715" s="4" t="n"/>
    </row>
    <row r="716" ht="15.75" customHeight="1" s="108">
      <c r="A716" s="4" t="n"/>
      <c r="B716" s="4" t="n"/>
      <c r="C716" s="4" t="n"/>
      <c r="D716" s="4" t="n"/>
      <c r="E716" s="4" t="n"/>
      <c r="F716" s="4" t="n"/>
    </row>
    <row r="717" ht="15.75" customHeight="1" s="108">
      <c r="A717" s="4" t="n"/>
      <c r="B717" s="4" t="n"/>
      <c r="C717" s="4" t="n"/>
      <c r="D717" s="4" t="n"/>
      <c r="E717" s="4" t="n"/>
      <c r="F717" s="4" t="n"/>
    </row>
    <row r="718" ht="15.75" customHeight="1" s="108">
      <c r="A718" s="4" t="n"/>
      <c r="B718" s="4" t="n"/>
      <c r="C718" s="4" t="n"/>
      <c r="D718" s="4" t="n"/>
      <c r="E718" s="4" t="n"/>
      <c r="F718" s="4" t="n"/>
    </row>
    <row r="719" ht="15.75" customHeight="1" s="108">
      <c r="A719" s="4" t="n"/>
      <c r="B719" s="4" t="n"/>
      <c r="C719" s="4" t="n"/>
      <c r="D719" s="4" t="n"/>
      <c r="E719" s="4" t="n"/>
      <c r="F719" s="4" t="n"/>
    </row>
    <row r="720" ht="15.75" customHeight="1" s="108">
      <c r="A720" s="4" t="n"/>
      <c r="B720" s="4" t="n"/>
      <c r="C720" s="4" t="n"/>
      <c r="D720" s="4" t="n"/>
      <c r="E720" s="4" t="n"/>
      <c r="F720" s="4" t="n"/>
    </row>
    <row r="721" ht="15.75" customHeight="1" s="108">
      <c r="A721" s="4" t="n"/>
      <c r="B721" s="4" t="n"/>
      <c r="C721" s="4" t="n"/>
      <c r="D721" s="4" t="n"/>
      <c r="E721" s="4" t="n"/>
      <c r="F721" s="4" t="n"/>
    </row>
    <row r="722" ht="15.75" customHeight="1" s="108">
      <c r="A722" s="4" t="n"/>
      <c r="B722" s="4" t="n"/>
      <c r="C722" s="4" t="n"/>
      <c r="D722" s="4" t="n"/>
      <c r="E722" s="4" t="n"/>
      <c r="F722" s="4" t="n"/>
    </row>
    <row r="723" ht="15.75" customHeight="1" s="108">
      <c r="A723" s="4" t="n"/>
      <c r="B723" s="4" t="n"/>
      <c r="C723" s="4" t="n"/>
      <c r="D723" s="4" t="n"/>
      <c r="E723" s="4" t="n"/>
      <c r="F723" s="4" t="n"/>
    </row>
    <row r="724" ht="15.75" customHeight="1" s="108">
      <c r="A724" s="4" t="n"/>
      <c r="B724" s="4" t="n"/>
      <c r="C724" s="4" t="n"/>
      <c r="D724" s="4" t="n"/>
      <c r="E724" s="4" t="n"/>
      <c r="F724" s="4" t="n"/>
    </row>
    <row r="725" ht="15.75" customHeight="1" s="108">
      <c r="A725" s="4" t="n"/>
      <c r="B725" s="4" t="n"/>
      <c r="C725" s="4" t="n"/>
      <c r="D725" s="4" t="n"/>
      <c r="E725" s="4" t="n"/>
      <c r="F725" s="4" t="n"/>
    </row>
    <row r="726" ht="15.75" customHeight="1" s="108">
      <c r="A726" s="4" t="n"/>
      <c r="B726" s="4" t="n"/>
      <c r="C726" s="4" t="n"/>
      <c r="D726" s="4" t="n"/>
      <c r="E726" s="4" t="n"/>
      <c r="F726" s="4" t="n"/>
    </row>
    <row r="727" ht="15.75" customHeight="1" s="108">
      <c r="A727" s="4" t="n"/>
      <c r="B727" s="4" t="n"/>
      <c r="C727" s="4" t="n"/>
      <c r="D727" s="4" t="n"/>
      <c r="E727" s="4" t="n"/>
      <c r="F727" s="4" t="n"/>
    </row>
    <row r="728" ht="15.75" customHeight="1" s="108">
      <c r="A728" s="4" t="n"/>
      <c r="B728" s="4" t="n"/>
      <c r="C728" s="4" t="n"/>
      <c r="D728" s="4" t="n"/>
      <c r="E728" s="4" t="n"/>
      <c r="F728" s="4" t="n"/>
    </row>
    <row r="729" ht="15.75" customHeight="1" s="108">
      <c r="A729" s="4" t="n"/>
      <c r="B729" s="4" t="n"/>
      <c r="C729" s="4" t="n"/>
      <c r="D729" s="4" t="n"/>
      <c r="E729" s="4" t="n"/>
      <c r="F729" s="4" t="n"/>
    </row>
    <row r="730" ht="15.75" customHeight="1" s="108">
      <c r="A730" s="4" t="n"/>
      <c r="B730" s="4" t="n"/>
      <c r="C730" s="4" t="n"/>
      <c r="D730" s="4" t="n"/>
      <c r="E730" s="4" t="n"/>
      <c r="F730" s="4" t="n"/>
    </row>
    <row r="731" ht="15.75" customHeight="1" s="108">
      <c r="A731" s="4" t="n"/>
      <c r="B731" s="4" t="n"/>
      <c r="C731" s="4" t="n"/>
      <c r="D731" s="4" t="n"/>
      <c r="E731" s="4" t="n"/>
      <c r="F731" s="4" t="n"/>
    </row>
    <row r="732" ht="15.75" customHeight="1" s="108">
      <c r="A732" s="4" t="n"/>
      <c r="B732" s="4" t="n"/>
      <c r="C732" s="4" t="n"/>
      <c r="D732" s="4" t="n"/>
      <c r="E732" s="4" t="n"/>
      <c r="F732" s="4" t="n"/>
    </row>
    <row r="733" ht="15.75" customHeight="1" s="108">
      <c r="A733" s="4" t="n"/>
      <c r="B733" s="4" t="n"/>
      <c r="C733" s="4" t="n"/>
      <c r="D733" s="4" t="n"/>
      <c r="E733" s="4" t="n"/>
      <c r="F733" s="4" t="n"/>
    </row>
    <row r="734" ht="15.75" customHeight="1" s="108">
      <c r="A734" s="4" t="n"/>
      <c r="B734" s="4" t="n"/>
      <c r="C734" s="4" t="n"/>
      <c r="D734" s="4" t="n"/>
      <c r="E734" s="4" t="n"/>
      <c r="F734" s="4" t="n"/>
    </row>
    <row r="735" ht="15.75" customHeight="1" s="108">
      <c r="A735" s="4" t="n"/>
      <c r="B735" s="4" t="n"/>
      <c r="C735" s="4" t="n"/>
      <c r="D735" s="4" t="n"/>
      <c r="E735" s="4" t="n"/>
      <c r="F735" s="4" t="n"/>
    </row>
    <row r="736" ht="15.75" customHeight="1" s="108">
      <c r="A736" s="4" t="n"/>
      <c r="B736" s="4" t="n"/>
      <c r="C736" s="4" t="n"/>
      <c r="D736" s="4" t="n"/>
      <c r="E736" s="4" t="n"/>
      <c r="F736" s="4" t="n"/>
    </row>
    <row r="737" ht="15.75" customHeight="1" s="108">
      <c r="A737" s="4" t="n"/>
      <c r="B737" s="4" t="n"/>
      <c r="C737" s="4" t="n"/>
      <c r="D737" s="4" t="n"/>
      <c r="E737" s="4" t="n"/>
      <c r="F737" s="4" t="n"/>
    </row>
    <row r="738" ht="15.75" customHeight="1" s="108">
      <c r="A738" s="4" t="n"/>
      <c r="B738" s="4" t="n"/>
      <c r="C738" s="4" t="n"/>
      <c r="D738" s="4" t="n"/>
      <c r="E738" s="4" t="n"/>
      <c r="F738" s="4" t="n"/>
    </row>
    <row r="739" ht="15.75" customHeight="1" s="108">
      <c r="A739" s="4" t="n"/>
      <c r="B739" s="4" t="n"/>
      <c r="C739" s="4" t="n"/>
      <c r="D739" s="4" t="n"/>
      <c r="E739" s="4" t="n"/>
      <c r="F739" s="4" t="n"/>
    </row>
    <row r="740" ht="15.75" customHeight="1" s="108">
      <c r="A740" s="4" t="n"/>
      <c r="B740" s="4" t="n"/>
      <c r="C740" s="4" t="n"/>
      <c r="D740" s="4" t="n"/>
      <c r="E740" s="4" t="n"/>
      <c r="F740" s="4" t="n"/>
    </row>
    <row r="741" ht="15.75" customHeight="1" s="108">
      <c r="A741" s="4" t="n"/>
      <c r="B741" s="4" t="n"/>
      <c r="C741" s="4" t="n"/>
      <c r="D741" s="4" t="n"/>
      <c r="E741" s="4" t="n"/>
      <c r="F741" s="4" t="n"/>
    </row>
    <row r="742" ht="15.75" customHeight="1" s="108">
      <c r="A742" s="4" t="n"/>
      <c r="B742" s="4" t="n"/>
      <c r="C742" s="4" t="n"/>
      <c r="D742" s="4" t="n"/>
      <c r="E742" s="4" t="n"/>
      <c r="F742" s="4" t="n"/>
    </row>
    <row r="743" ht="15.75" customHeight="1" s="108">
      <c r="A743" s="4" t="n"/>
      <c r="B743" s="4" t="n"/>
      <c r="C743" s="4" t="n"/>
      <c r="D743" s="4" t="n"/>
      <c r="E743" s="4" t="n"/>
      <c r="F743" s="4" t="n"/>
    </row>
    <row r="744" ht="15.75" customHeight="1" s="108">
      <c r="A744" s="4" t="n"/>
      <c r="B744" s="4" t="n"/>
      <c r="C744" s="4" t="n"/>
      <c r="D744" s="4" t="n"/>
      <c r="E744" s="4" t="n"/>
      <c r="F744" s="4" t="n"/>
    </row>
    <row r="745" ht="15.75" customHeight="1" s="108">
      <c r="A745" s="4" t="n"/>
      <c r="B745" s="4" t="n"/>
      <c r="C745" s="4" t="n"/>
      <c r="D745" s="4" t="n"/>
      <c r="E745" s="4" t="n"/>
      <c r="F745" s="4" t="n"/>
    </row>
    <row r="746" ht="15.75" customHeight="1" s="108">
      <c r="A746" s="4" t="n"/>
      <c r="B746" s="4" t="n"/>
      <c r="C746" s="4" t="n"/>
      <c r="D746" s="4" t="n"/>
      <c r="E746" s="4" t="n"/>
      <c r="F746" s="4" t="n"/>
    </row>
    <row r="747" ht="15.75" customHeight="1" s="108">
      <c r="A747" s="4" t="n"/>
      <c r="B747" s="4" t="n"/>
      <c r="C747" s="4" t="n"/>
      <c r="D747" s="4" t="n"/>
      <c r="E747" s="4" t="n"/>
      <c r="F747" s="4" t="n"/>
    </row>
    <row r="748" ht="15.75" customHeight="1" s="108">
      <c r="A748" s="4" t="n"/>
      <c r="B748" s="4" t="n"/>
      <c r="C748" s="4" t="n"/>
      <c r="D748" s="4" t="n"/>
      <c r="E748" s="4" t="n"/>
      <c r="F748" s="4" t="n"/>
    </row>
    <row r="749" ht="15.75" customHeight="1" s="108">
      <c r="A749" s="4" t="n"/>
      <c r="B749" s="4" t="n"/>
      <c r="C749" s="4" t="n"/>
      <c r="D749" s="4" t="n"/>
      <c r="E749" s="4" t="n"/>
      <c r="F749" s="4" t="n"/>
    </row>
    <row r="750" ht="15.75" customHeight="1" s="108">
      <c r="A750" s="4" t="n"/>
      <c r="B750" s="4" t="n"/>
      <c r="C750" s="4" t="n"/>
      <c r="D750" s="4" t="n"/>
      <c r="E750" s="4" t="n"/>
      <c r="F750" s="4" t="n"/>
    </row>
    <row r="751" ht="15.75" customHeight="1" s="108">
      <c r="A751" s="4" t="n"/>
      <c r="B751" s="4" t="n"/>
      <c r="C751" s="4" t="n"/>
      <c r="D751" s="4" t="n"/>
      <c r="E751" s="4" t="n"/>
      <c r="F751" s="4" t="n"/>
    </row>
    <row r="752" ht="15.75" customHeight="1" s="108">
      <c r="A752" s="4" t="n"/>
      <c r="B752" s="4" t="n"/>
      <c r="C752" s="4" t="n"/>
      <c r="D752" s="4" t="n"/>
      <c r="E752" s="4" t="n"/>
      <c r="F752" s="4" t="n"/>
    </row>
    <row r="753" ht="15.75" customHeight="1" s="108">
      <c r="A753" s="4" t="n"/>
      <c r="B753" s="4" t="n"/>
      <c r="C753" s="4" t="n"/>
      <c r="D753" s="4" t="n"/>
      <c r="E753" s="4" t="n"/>
      <c r="F753" s="4" t="n"/>
    </row>
    <row r="754" ht="15.75" customHeight="1" s="108">
      <c r="A754" s="4" t="n"/>
      <c r="B754" s="4" t="n"/>
      <c r="C754" s="4" t="n"/>
      <c r="D754" s="4" t="n"/>
      <c r="E754" s="4" t="n"/>
      <c r="F754" s="4" t="n"/>
    </row>
    <row r="755" ht="15.75" customHeight="1" s="108">
      <c r="A755" s="4" t="n"/>
      <c r="B755" s="4" t="n"/>
      <c r="C755" s="4" t="n"/>
      <c r="D755" s="4" t="n"/>
      <c r="E755" s="4" t="n"/>
      <c r="F755" s="4" t="n"/>
    </row>
    <row r="756" ht="15.75" customHeight="1" s="108">
      <c r="A756" s="4" t="n"/>
      <c r="B756" s="4" t="n"/>
      <c r="C756" s="4" t="n"/>
      <c r="D756" s="4" t="n"/>
      <c r="E756" s="4" t="n"/>
      <c r="F756" s="4" t="n"/>
    </row>
    <row r="757" ht="15.75" customHeight="1" s="108">
      <c r="A757" s="4" t="n"/>
      <c r="B757" s="4" t="n"/>
      <c r="C757" s="4" t="n"/>
      <c r="D757" s="4" t="n"/>
      <c r="E757" s="4" t="n"/>
      <c r="F757" s="4" t="n"/>
    </row>
    <row r="758" ht="15.75" customHeight="1" s="108">
      <c r="A758" s="4" t="n"/>
      <c r="B758" s="4" t="n"/>
      <c r="C758" s="4" t="n"/>
      <c r="D758" s="4" t="n"/>
      <c r="E758" s="4" t="n"/>
      <c r="F758" s="4" t="n"/>
    </row>
    <row r="759" ht="15.75" customHeight="1" s="108">
      <c r="A759" s="4" t="n"/>
      <c r="B759" s="4" t="n"/>
      <c r="C759" s="4" t="n"/>
      <c r="D759" s="4" t="n"/>
      <c r="E759" s="4" t="n"/>
      <c r="F759" s="4" t="n"/>
    </row>
    <row r="760" ht="15.75" customHeight="1" s="108">
      <c r="A760" s="4" t="n"/>
      <c r="B760" s="4" t="n"/>
      <c r="C760" s="4" t="n"/>
      <c r="D760" s="4" t="n"/>
      <c r="E760" s="4" t="n"/>
      <c r="F760" s="4" t="n"/>
    </row>
    <row r="761" ht="15.75" customHeight="1" s="108">
      <c r="A761" s="4" t="n"/>
      <c r="B761" s="4" t="n"/>
      <c r="C761" s="4" t="n"/>
      <c r="D761" s="4" t="n"/>
      <c r="E761" s="4" t="n"/>
      <c r="F761" s="4" t="n"/>
    </row>
    <row r="762" ht="15.75" customHeight="1" s="108">
      <c r="A762" s="4" t="n"/>
      <c r="B762" s="4" t="n"/>
      <c r="C762" s="4" t="n"/>
      <c r="D762" s="4" t="n"/>
      <c r="E762" s="4" t="n"/>
      <c r="F762" s="4" t="n"/>
    </row>
    <row r="763" ht="15.75" customHeight="1" s="108">
      <c r="A763" s="4" t="n"/>
      <c r="B763" s="4" t="n"/>
      <c r="C763" s="4" t="n"/>
      <c r="D763" s="4" t="n"/>
      <c r="E763" s="4" t="n"/>
      <c r="F763" s="4" t="n"/>
    </row>
    <row r="764" ht="15.75" customHeight="1" s="108">
      <c r="A764" s="4" t="n"/>
      <c r="B764" s="4" t="n"/>
      <c r="C764" s="4" t="n"/>
      <c r="D764" s="4" t="n"/>
      <c r="E764" s="4" t="n"/>
      <c r="F764" s="4" t="n"/>
    </row>
    <row r="765" ht="15.75" customHeight="1" s="108">
      <c r="A765" s="4" t="n"/>
      <c r="B765" s="4" t="n"/>
      <c r="C765" s="4" t="n"/>
      <c r="D765" s="4" t="n"/>
      <c r="E765" s="4" t="n"/>
      <c r="F765" s="4" t="n"/>
    </row>
    <row r="766" ht="15.75" customHeight="1" s="108">
      <c r="A766" s="4" t="n"/>
      <c r="B766" s="4" t="n"/>
      <c r="C766" s="4" t="n"/>
      <c r="D766" s="4" t="n"/>
      <c r="E766" s="4" t="n"/>
      <c r="F766" s="4" t="n"/>
    </row>
    <row r="767" ht="15.75" customHeight="1" s="108">
      <c r="A767" s="4" t="n"/>
      <c r="B767" s="4" t="n"/>
      <c r="C767" s="4" t="n"/>
      <c r="D767" s="4" t="n"/>
      <c r="E767" s="4" t="n"/>
      <c r="F767" s="4" t="n"/>
    </row>
    <row r="768" ht="15.75" customHeight="1" s="108">
      <c r="A768" s="4" t="n"/>
      <c r="B768" s="4" t="n"/>
      <c r="C768" s="4" t="n"/>
      <c r="D768" s="4" t="n"/>
      <c r="E768" s="4" t="n"/>
      <c r="F768" s="4" t="n"/>
    </row>
    <row r="769" ht="15.75" customHeight="1" s="108">
      <c r="A769" s="4" t="n"/>
      <c r="B769" s="4" t="n"/>
      <c r="C769" s="4" t="n"/>
      <c r="D769" s="4" t="n"/>
      <c r="E769" s="4" t="n"/>
      <c r="F769" s="4" t="n"/>
    </row>
    <row r="770" ht="15.75" customHeight="1" s="108">
      <c r="A770" s="4" t="n"/>
      <c r="B770" s="4" t="n"/>
      <c r="C770" s="4" t="n"/>
      <c r="D770" s="4" t="n"/>
      <c r="E770" s="4" t="n"/>
      <c r="F770" s="4" t="n"/>
    </row>
    <row r="771" ht="15.75" customHeight="1" s="108">
      <c r="A771" s="4" t="n"/>
      <c r="B771" s="4" t="n"/>
      <c r="C771" s="4" t="n"/>
      <c r="D771" s="4" t="n"/>
      <c r="E771" s="4" t="n"/>
      <c r="F771" s="4" t="n"/>
    </row>
    <row r="772" ht="15.75" customHeight="1" s="108">
      <c r="A772" s="4" t="n"/>
      <c r="B772" s="4" t="n"/>
      <c r="C772" s="4" t="n"/>
      <c r="D772" s="4" t="n"/>
      <c r="E772" s="4" t="n"/>
      <c r="F772" s="4" t="n"/>
    </row>
    <row r="773" ht="15.75" customHeight="1" s="108">
      <c r="A773" s="4" t="n"/>
      <c r="B773" s="4" t="n"/>
      <c r="C773" s="4" t="n"/>
      <c r="D773" s="4" t="n"/>
      <c r="E773" s="4" t="n"/>
      <c r="F773" s="4" t="n"/>
    </row>
    <row r="774" ht="15.75" customHeight="1" s="108">
      <c r="A774" s="4" t="n"/>
      <c r="B774" s="4" t="n"/>
      <c r="C774" s="4" t="n"/>
      <c r="D774" s="4" t="n"/>
      <c r="E774" s="4" t="n"/>
      <c r="F774" s="4" t="n"/>
    </row>
    <row r="775" ht="15.75" customHeight="1" s="108">
      <c r="A775" s="4" t="n"/>
      <c r="B775" s="4" t="n"/>
      <c r="C775" s="4" t="n"/>
      <c r="D775" s="4" t="n"/>
      <c r="E775" s="4" t="n"/>
      <c r="F775" s="4" t="n"/>
    </row>
    <row r="776" ht="15.75" customHeight="1" s="108">
      <c r="A776" s="4" t="n"/>
      <c r="B776" s="4" t="n"/>
      <c r="C776" s="4" t="n"/>
      <c r="D776" s="4" t="n"/>
      <c r="E776" s="4" t="n"/>
      <c r="F776" s="4" t="n"/>
    </row>
    <row r="777" ht="15.75" customHeight="1" s="108">
      <c r="A777" s="4" t="n"/>
      <c r="B777" s="4" t="n"/>
      <c r="C777" s="4" t="n"/>
      <c r="D777" s="4" t="n"/>
      <c r="E777" s="4" t="n"/>
      <c r="F777" s="4" t="n"/>
    </row>
    <row r="778" ht="15.75" customHeight="1" s="108">
      <c r="A778" s="4" t="n"/>
      <c r="B778" s="4" t="n"/>
      <c r="C778" s="4" t="n"/>
      <c r="D778" s="4" t="n"/>
      <c r="E778" s="4" t="n"/>
      <c r="F778" s="4" t="n"/>
    </row>
    <row r="779" ht="15.75" customHeight="1" s="108">
      <c r="A779" s="4" t="n"/>
      <c r="B779" s="4" t="n"/>
      <c r="C779" s="4" t="n"/>
      <c r="D779" s="4" t="n"/>
      <c r="E779" s="4" t="n"/>
      <c r="F779" s="4" t="n"/>
    </row>
    <row r="780" ht="15.75" customHeight="1" s="108">
      <c r="A780" s="4" t="n"/>
      <c r="B780" s="4" t="n"/>
      <c r="C780" s="4" t="n"/>
      <c r="D780" s="4" t="n"/>
      <c r="E780" s="4" t="n"/>
      <c r="F780" s="4" t="n"/>
    </row>
    <row r="781" ht="15.75" customHeight="1" s="108">
      <c r="A781" s="4" t="n"/>
      <c r="B781" s="4" t="n"/>
      <c r="C781" s="4" t="n"/>
      <c r="D781" s="4" t="n"/>
      <c r="E781" s="4" t="n"/>
      <c r="F781" s="4" t="n"/>
    </row>
    <row r="782" ht="15.75" customHeight="1" s="108">
      <c r="A782" s="4" t="n"/>
      <c r="B782" s="4" t="n"/>
      <c r="C782" s="4" t="n"/>
      <c r="D782" s="4" t="n"/>
      <c r="E782" s="4" t="n"/>
      <c r="F782" s="4" t="n"/>
    </row>
    <row r="783" ht="15.75" customHeight="1" s="108">
      <c r="A783" s="4" t="n"/>
      <c r="B783" s="4" t="n"/>
      <c r="C783" s="4" t="n"/>
      <c r="D783" s="4" t="n"/>
      <c r="E783" s="4" t="n"/>
      <c r="F783" s="4" t="n"/>
    </row>
    <row r="784" ht="15.75" customHeight="1" s="108">
      <c r="A784" s="4" t="n"/>
      <c r="B784" s="4" t="n"/>
      <c r="C784" s="4" t="n"/>
      <c r="D784" s="4" t="n"/>
      <c r="E784" s="4" t="n"/>
      <c r="F784" s="4" t="n"/>
    </row>
    <row r="785" ht="15.75" customHeight="1" s="108">
      <c r="A785" s="4" t="n"/>
      <c r="B785" s="4" t="n"/>
      <c r="C785" s="4" t="n"/>
      <c r="D785" s="4" t="n"/>
      <c r="E785" s="4" t="n"/>
      <c r="F785" s="4" t="n"/>
    </row>
    <row r="786" ht="15.75" customHeight="1" s="108">
      <c r="A786" s="4" t="n"/>
      <c r="B786" s="4" t="n"/>
      <c r="C786" s="4" t="n"/>
      <c r="D786" s="4" t="n"/>
      <c r="E786" s="4" t="n"/>
      <c r="F786" s="4" t="n"/>
    </row>
    <row r="787" ht="15.75" customHeight="1" s="108">
      <c r="A787" s="4" t="n"/>
      <c r="B787" s="4" t="n"/>
      <c r="C787" s="4" t="n"/>
      <c r="D787" s="4" t="n"/>
      <c r="E787" s="4" t="n"/>
      <c r="F787" s="4" t="n"/>
    </row>
    <row r="788" ht="15.75" customHeight="1" s="108">
      <c r="A788" s="4" t="n"/>
      <c r="B788" s="4" t="n"/>
      <c r="C788" s="4" t="n"/>
      <c r="D788" s="4" t="n"/>
      <c r="E788" s="4" t="n"/>
      <c r="F788" s="4" t="n"/>
    </row>
    <row r="789" ht="15.75" customHeight="1" s="108">
      <c r="A789" s="4" t="n"/>
      <c r="B789" s="4" t="n"/>
      <c r="C789" s="4" t="n"/>
      <c r="D789" s="4" t="n"/>
      <c r="E789" s="4" t="n"/>
      <c r="F789" s="4" t="n"/>
    </row>
    <row r="790" ht="15.75" customHeight="1" s="108">
      <c r="A790" s="4" t="n"/>
      <c r="B790" s="4" t="n"/>
      <c r="C790" s="4" t="n"/>
      <c r="D790" s="4" t="n"/>
      <c r="E790" s="4" t="n"/>
      <c r="F790" s="4" t="n"/>
    </row>
    <row r="791" ht="15.75" customHeight="1" s="108">
      <c r="A791" s="4" t="n"/>
      <c r="B791" s="4" t="n"/>
      <c r="C791" s="4" t="n"/>
      <c r="D791" s="4" t="n"/>
      <c r="E791" s="4" t="n"/>
      <c r="F791" s="4" t="n"/>
    </row>
    <row r="792" ht="15.75" customHeight="1" s="108">
      <c r="A792" s="4" t="n"/>
      <c r="B792" s="4" t="n"/>
      <c r="C792" s="4" t="n"/>
      <c r="D792" s="4" t="n"/>
      <c r="E792" s="4" t="n"/>
      <c r="F792" s="4" t="n"/>
    </row>
    <row r="793" ht="15.75" customHeight="1" s="108">
      <c r="A793" s="4" t="n"/>
      <c r="B793" s="4" t="n"/>
      <c r="C793" s="4" t="n"/>
      <c r="D793" s="4" t="n"/>
      <c r="E793" s="4" t="n"/>
      <c r="F793" s="4" t="n"/>
    </row>
    <row r="794" ht="15.75" customHeight="1" s="108">
      <c r="A794" s="4" t="n"/>
      <c r="B794" s="4" t="n"/>
      <c r="C794" s="4" t="n"/>
      <c r="D794" s="4" t="n"/>
      <c r="E794" s="4" t="n"/>
      <c r="F794" s="4" t="n"/>
    </row>
    <row r="795" ht="15.75" customHeight="1" s="108">
      <c r="A795" s="4" t="n"/>
      <c r="B795" s="4" t="n"/>
      <c r="C795" s="4" t="n"/>
      <c r="D795" s="4" t="n"/>
      <c r="E795" s="4" t="n"/>
      <c r="F795" s="4" t="n"/>
    </row>
    <row r="796" ht="15.75" customHeight="1" s="108">
      <c r="A796" s="4" t="n"/>
      <c r="B796" s="4" t="n"/>
      <c r="C796" s="4" t="n"/>
      <c r="D796" s="4" t="n"/>
      <c r="E796" s="4" t="n"/>
      <c r="F796" s="4" t="n"/>
    </row>
    <row r="797" ht="15.75" customHeight="1" s="108">
      <c r="A797" s="4" t="n"/>
      <c r="B797" s="4" t="n"/>
      <c r="C797" s="4" t="n"/>
      <c r="D797" s="4" t="n"/>
      <c r="E797" s="4" t="n"/>
      <c r="F797" s="4" t="n"/>
    </row>
    <row r="798" ht="15.75" customHeight="1" s="108">
      <c r="A798" s="4" t="n"/>
      <c r="B798" s="4" t="n"/>
      <c r="C798" s="4" t="n"/>
      <c r="D798" s="4" t="n"/>
      <c r="E798" s="4" t="n"/>
      <c r="F798" s="4" t="n"/>
    </row>
    <row r="799" ht="15.75" customHeight="1" s="108">
      <c r="A799" s="4" t="n"/>
      <c r="B799" s="4" t="n"/>
      <c r="C799" s="4" t="n"/>
      <c r="D799" s="4" t="n"/>
      <c r="E799" s="4" t="n"/>
      <c r="F799" s="4" t="n"/>
    </row>
    <row r="800" ht="15.75" customHeight="1" s="108">
      <c r="A800" s="4" t="n"/>
      <c r="B800" s="4" t="n"/>
      <c r="C800" s="4" t="n"/>
      <c r="D800" s="4" t="n"/>
      <c r="E800" s="4" t="n"/>
      <c r="F800" s="4" t="n"/>
    </row>
    <row r="801" ht="15.75" customHeight="1" s="108">
      <c r="A801" s="4" t="n"/>
      <c r="B801" s="4" t="n"/>
      <c r="C801" s="4" t="n"/>
      <c r="D801" s="4" t="n"/>
      <c r="E801" s="4" t="n"/>
      <c r="F801" s="4" t="n"/>
    </row>
    <row r="802" ht="15.75" customHeight="1" s="108">
      <c r="A802" s="4" t="n"/>
      <c r="B802" s="4" t="n"/>
      <c r="C802" s="4" t="n"/>
      <c r="D802" s="4" t="n"/>
      <c r="E802" s="4" t="n"/>
      <c r="F802" s="4" t="n"/>
    </row>
    <row r="803" ht="15.75" customHeight="1" s="108">
      <c r="A803" s="4" t="n"/>
      <c r="B803" s="4" t="n"/>
      <c r="C803" s="4" t="n"/>
      <c r="D803" s="4" t="n"/>
      <c r="E803" s="4" t="n"/>
      <c r="F803" s="4" t="n"/>
    </row>
    <row r="804" ht="15.75" customHeight="1" s="108">
      <c r="A804" s="4" t="n"/>
      <c r="B804" s="4" t="n"/>
      <c r="C804" s="4" t="n"/>
      <c r="D804" s="4" t="n"/>
      <c r="E804" s="4" t="n"/>
      <c r="F804" s="4" t="n"/>
    </row>
    <row r="805" ht="15.75" customHeight="1" s="108">
      <c r="A805" s="4" t="n"/>
      <c r="B805" s="4" t="n"/>
      <c r="C805" s="4" t="n"/>
      <c r="D805" s="4" t="n"/>
      <c r="E805" s="4" t="n"/>
      <c r="F805" s="4" t="n"/>
    </row>
    <row r="806" ht="15.75" customHeight="1" s="108">
      <c r="A806" s="4" t="n"/>
      <c r="B806" s="4" t="n"/>
      <c r="C806" s="4" t="n"/>
      <c r="D806" s="4" t="n"/>
      <c r="E806" s="4" t="n"/>
      <c r="F806" s="4" t="n"/>
    </row>
    <row r="807" ht="15.75" customHeight="1" s="108">
      <c r="A807" s="4" t="n"/>
      <c r="B807" s="4" t="n"/>
      <c r="C807" s="4" t="n"/>
      <c r="D807" s="4" t="n"/>
      <c r="E807" s="4" t="n"/>
      <c r="F807" s="4" t="n"/>
    </row>
    <row r="808" ht="15.75" customHeight="1" s="108">
      <c r="A808" s="4" t="n"/>
      <c r="B808" s="4" t="n"/>
      <c r="C808" s="4" t="n"/>
      <c r="D808" s="4" t="n"/>
      <c r="E808" s="4" t="n"/>
      <c r="F808" s="4" t="n"/>
    </row>
    <row r="809" ht="15.75" customHeight="1" s="108">
      <c r="A809" s="4" t="n"/>
      <c r="B809" s="4" t="n"/>
      <c r="C809" s="4" t="n"/>
      <c r="D809" s="4" t="n"/>
      <c r="E809" s="4" t="n"/>
      <c r="F809" s="4" t="n"/>
    </row>
    <row r="810" ht="15.75" customHeight="1" s="108">
      <c r="A810" s="4" t="n"/>
      <c r="B810" s="4" t="n"/>
      <c r="C810" s="4" t="n"/>
      <c r="D810" s="4" t="n"/>
      <c r="E810" s="4" t="n"/>
      <c r="F810" s="4" t="n"/>
    </row>
    <row r="811" ht="15.75" customHeight="1" s="108">
      <c r="A811" s="4" t="n"/>
      <c r="B811" s="4" t="n"/>
      <c r="C811" s="4" t="n"/>
      <c r="D811" s="4" t="n"/>
      <c r="E811" s="4" t="n"/>
      <c r="F811" s="4" t="n"/>
    </row>
    <row r="812" ht="15.75" customHeight="1" s="108">
      <c r="A812" s="4" t="n"/>
      <c r="B812" s="4" t="n"/>
      <c r="C812" s="4" t="n"/>
      <c r="D812" s="4" t="n"/>
      <c r="E812" s="4" t="n"/>
      <c r="F812" s="4" t="n"/>
    </row>
    <row r="813" ht="15.75" customHeight="1" s="108">
      <c r="A813" s="4" t="n"/>
      <c r="B813" s="4" t="n"/>
      <c r="C813" s="4" t="n"/>
      <c r="D813" s="4" t="n"/>
      <c r="E813" s="4" t="n"/>
      <c r="F813" s="4" t="n"/>
    </row>
    <row r="814" ht="15.75" customHeight="1" s="108">
      <c r="A814" s="4" t="n"/>
      <c r="B814" s="4" t="n"/>
      <c r="C814" s="4" t="n"/>
      <c r="D814" s="4" t="n"/>
      <c r="E814" s="4" t="n"/>
      <c r="F814" s="4" t="n"/>
    </row>
    <row r="815" ht="15.75" customHeight="1" s="108">
      <c r="A815" s="4" t="n"/>
      <c r="B815" s="4" t="n"/>
      <c r="C815" s="4" t="n"/>
      <c r="D815" s="4" t="n"/>
      <c r="E815" s="4" t="n"/>
      <c r="F815" s="4" t="n"/>
    </row>
    <row r="816" ht="15.75" customHeight="1" s="108">
      <c r="A816" s="4" t="n"/>
      <c r="B816" s="4" t="n"/>
      <c r="C816" s="4" t="n"/>
      <c r="D816" s="4" t="n"/>
      <c r="E816" s="4" t="n"/>
      <c r="F816" s="4" t="n"/>
    </row>
    <row r="817" ht="15.75" customHeight="1" s="108">
      <c r="A817" s="4" t="n"/>
      <c r="B817" s="4" t="n"/>
      <c r="C817" s="4" t="n"/>
      <c r="D817" s="4" t="n"/>
      <c r="E817" s="4" t="n"/>
      <c r="F817" s="4" t="n"/>
    </row>
    <row r="818" ht="15.75" customHeight="1" s="108">
      <c r="A818" s="4" t="n"/>
      <c r="B818" s="4" t="n"/>
      <c r="C818" s="4" t="n"/>
      <c r="D818" s="4" t="n"/>
      <c r="E818" s="4" t="n"/>
      <c r="F818" s="4" t="n"/>
    </row>
    <row r="819" ht="15.75" customHeight="1" s="108">
      <c r="A819" s="4" t="n"/>
      <c r="B819" s="4" t="n"/>
      <c r="C819" s="4" t="n"/>
      <c r="D819" s="4" t="n"/>
      <c r="E819" s="4" t="n"/>
      <c r="F819" s="4" t="n"/>
    </row>
    <row r="820" ht="15.75" customHeight="1" s="108">
      <c r="A820" s="4" t="n"/>
      <c r="B820" s="4" t="n"/>
      <c r="C820" s="4" t="n"/>
      <c r="D820" s="4" t="n"/>
      <c r="E820" s="4" t="n"/>
      <c r="F820" s="4" t="n"/>
    </row>
    <row r="821" ht="15.75" customHeight="1" s="108">
      <c r="A821" s="4" t="n"/>
      <c r="B821" s="4" t="n"/>
      <c r="C821" s="4" t="n"/>
      <c r="D821" s="4" t="n"/>
      <c r="E821" s="4" t="n"/>
      <c r="F821" s="4" t="n"/>
    </row>
    <row r="822" ht="15.75" customHeight="1" s="108">
      <c r="A822" s="4" t="n"/>
      <c r="B822" s="4" t="n"/>
      <c r="C822" s="4" t="n"/>
      <c r="D822" s="4" t="n"/>
      <c r="E822" s="4" t="n"/>
      <c r="F822" s="4" t="n"/>
    </row>
    <row r="823" ht="15.75" customHeight="1" s="108">
      <c r="A823" s="4" t="n"/>
      <c r="B823" s="4" t="n"/>
      <c r="C823" s="4" t="n"/>
      <c r="D823" s="4" t="n"/>
      <c r="E823" s="4" t="n"/>
      <c r="F823" s="4" t="n"/>
    </row>
    <row r="824" ht="15.75" customHeight="1" s="108">
      <c r="A824" s="4" t="n"/>
      <c r="B824" s="4" t="n"/>
      <c r="C824" s="4" t="n"/>
      <c r="D824" s="4" t="n"/>
      <c r="E824" s="4" t="n"/>
      <c r="F824" s="4" t="n"/>
    </row>
    <row r="825" ht="15.75" customHeight="1" s="108">
      <c r="A825" s="4" t="n"/>
      <c r="B825" s="4" t="n"/>
      <c r="C825" s="4" t="n"/>
      <c r="D825" s="4" t="n"/>
      <c r="E825" s="4" t="n"/>
      <c r="F825" s="4" t="n"/>
    </row>
    <row r="826" ht="15.75" customHeight="1" s="108">
      <c r="A826" s="4" t="n"/>
      <c r="B826" s="4" t="n"/>
      <c r="C826" s="4" t="n"/>
      <c r="D826" s="4" t="n"/>
      <c r="E826" s="4" t="n"/>
      <c r="F826" s="4" t="n"/>
    </row>
    <row r="827" ht="15.75" customHeight="1" s="108">
      <c r="A827" s="4" t="n"/>
      <c r="B827" s="4" t="n"/>
      <c r="C827" s="4" t="n"/>
      <c r="D827" s="4" t="n"/>
      <c r="E827" s="4" t="n"/>
      <c r="F827" s="4" t="n"/>
    </row>
    <row r="828" ht="15.75" customHeight="1" s="108">
      <c r="A828" s="4" t="n"/>
      <c r="B828" s="4" t="n"/>
      <c r="C828" s="4" t="n"/>
      <c r="D828" s="4" t="n"/>
      <c r="E828" s="4" t="n"/>
      <c r="F828" s="4" t="n"/>
    </row>
    <row r="829" ht="15.75" customHeight="1" s="108">
      <c r="A829" s="4" t="n"/>
      <c r="B829" s="4" t="n"/>
      <c r="C829" s="4" t="n"/>
      <c r="D829" s="4" t="n"/>
      <c r="E829" s="4" t="n"/>
      <c r="F829" s="4" t="n"/>
    </row>
    <row r="830" ht="15.75" customHeight="1" s="108">
      <c r="A830" s="4" t="n"/>
      <c r="B830" s="4" t="n"/>
      <c r="C830" s="4" t="n"/>
      <c r="D830" s="4" t="n"/>
      <c r="E830" s="4" t="n"/>
      <c r="F830" s="4" t="n"/>
    </row>
    <row r="831" ht="15.75" customHeight="1" s="108">
      <c r="A831" s="4" t="n"/>
      <c r="B831" s="4" t="n"/>
      <c r="C831" s="4" t="n"/>
      <c r="D831" s="4" t="n"/>
      <c r="E831" s="4" t="n"/>
      <c r="F831" s="4" t="n"/>
    </row>
    <row r="832" ht="15.75" customHeight="1" s="108">
      <c r="A832" s="4" t="n"/>
      <c r="B832" s="4" t="n"/>
      <c r="C832" s="4" t="n"/>
      <c r="D832" s="4" t="n"/>
      <c r="E832" s="4" t="n"/>
      <c r="F832" s="4" t="n"/>
    </row>
    <row r="833" ht="15.75" customHeight="1" s="108">
      <c r="A833" s="4" t="n"/>
      <c r="B833" s="4" t="n"/>
      <c r="C833" s="4" t="n"/>
      <c r="D833" s="4" t="n"/>
      <c r="E833" s="4" t="n"/>
      <c r="F833" s="4" t="n"/>
    </row>
    <row r="834" ht="15.75" customHeight="1" s="108">
      <c r="A834" s="4" t="n"/>
      <c r="B834" s="4" t="n"/>
      <c r="C834" s="4" t="n"/>
      <c r="D834" s="4" t="n"/>
      <c r="E834" s="4" t="n"/>
      <c r="F834" s="4" t="n"/>
    </row>
    <row r="835" ht="15.75" customHeight="1" s="108">
      <c r="A835" s="4" t="n"/>
      <c r="B835" s="4" t="n"/>
      <c r="C835" s="4" t="n"/>
      <c r="D835" s="4" t="n"/>
      <c r="E835" s="4" t="n"/>
      <c r="F835" s="4" t="n"/>
    </row>
    <row r="836" ht="15.75" customHeight="1" s="108">
      <c r="A836" s="4" t="n"/>
      <c r="B836" s="4" t="n"/>
      <c r="C836" s="4" t="n"/>
      <c r="D836" s="4" t="n"/>
      <c r="E836" s="4" t="n"/>
      <c r="F836" s="4" t="n"/>
    </row>
    <row r="837" ht="15.75" customHeight="1" s="108">
      <c r="A837" s="4" t="n"/>
      <c r="B837" s="4" t="n"/>
      <c r="C837" s="4" t="n"/>
      <c r="D837" s="4" t="n"/>
      <c r="E837" s="4" t="n"/>
      <c r="F837" s="4" t="n"/>
    </row>
    <row r="838" ht="15.75" customHeight="1" s="108">
      <c r="A838" s="4" t="n"/>
      <c r="B838" s="4" t="n"/>
      <c r="C838" s="4" t="n"/>
      <c r="D838" s="4" t="n"/>
      <c r="E838" s="4" t="n"/>
      <c r="F838" s="4" t="n"/>
    </row>
    <row r="839" ht="15.75" customHeight="1" s="108">
      <c r="A839" s="4" t="n"/>
      <c r="B839" s="4" t="n"/>
      <c r="C839" s="4" t="n"/>
      <c r="D839" s="4" t="n"/>
      <c r="E839" s="4" t="n"/>
      <c r="F839" s="4" t="n"/>
    </row>
    <row r="840" ht="15.75" customHeight="1" s="108">
      <c r="A840" s="4" t="n"/>
      <c r="B840" s="4" t="n"/>
      <c r="C840" s="4" t="n"/>
      <c r="D840" s="4" t="n"/>
      <c r="E840" s="4" t="n"/>
      <c r="F840" s="4" t="n"/>
    </row>
    <row r="841" ht="15.75" customHeight="1" s="108">
      <c r="A841" s="4" t="n"/>
      <c r="B841" s="4" t="n"/>
      <c r="C841" s="4" t="n"/>
      <c r="D841" s="4" t="n"/>
      <c r="E841" s="4" t="n"/>
      <c r="F841" s="4" t="n"/>
    </row>
    <row r="842" ht="15.75" customHeight="1" s="108">
      <c r="A842" s="4" t="n"/>
      <c r="B842" s="4" t="n"/>
      <c r="C842" s="4" t="n"/>
      <c r="D842" s="4" t="n"/>
      <c r="E842" s="4" t="n"/>
      <c r="F842" s="4" t="n"/>
    </row>
    <row r="843" ht="15.75" customHeight="1" s="108">
      <c r="A843" s="4" t="n"/>
      <c r="B843" s="4" t="n"/>
      <c r="C843" s="4" t="n"/>
      <c r="D843" s="4" t="n"/>
      <c r="E843" s="4" t="n"/>
      <c r="F843" s="4" t="n"/>
    </row>
    <row r="844" ht="15.75" customHeight="1" s="108">
      <c r="A844" s="4" t="n"/>
      <c r="B844" s="4" t="n"/>
      <c r="C844" s="4" t="n"/>
      <c r="D844" s="4" t="n"/>
      <c r="E844" s="4" t="n"/>
      <c r="F844" s="4" t="n"/>
    </row>
    <row r="845" ht="15.75" customHeight="1" s="108">
      <c r="A845" s="4" t="n"/>
      <c r="B845" s="4" t="n"/>
      <c r="C845" s="4" t="n"/>
      <c r="D845" s="4" t="n"/>
      <c r="E845" s="4" t="n"/>
      <c r="F845" s="4" t="n"/>
    </row>
    <row r="846" ht="15.75" customHeight="1" s="108">
      <c r="A846" s="4" t="n"/>
      <c r="B846" s="4" t="n"/>
      <c r="C846" s="4" t="n"/>
      <c r="D846" s="4" t="n"/>
      <c r="E846" s="4" t="n"/>
      <c r="F846" s="4" t="n"/>
    </row>
    <row r="847" ht="15.75" customHeight="1" s="108">
      <c r="A847" s="4" t="n"/>
      <c r="B847" s="4" t="n"/>
      <c r="C847" s="4" t="n"/>
      <c r="D847" s="4" t="n"/>
      <c r="E847" s="4" t="n"/>
      <c r="F847" s="4" t="n"/>
    </row>
    <row r="848" ht="15.75" customHeight="1" s="108">
      <c r="A848" s="4" t="n"/>
      <c r="B848" s="4" t="n"/>
      <c r="C848" s="4" t="n"/>
      <c r="D848" s="4" t="n"/>
      <c r="E848" s="4" t="n"/>
      <c r="F848" s="4" t="n"/>
    </row>
    <row r="849" ht="15.75" customHeight="1" s="108">
      <c r="A849" s="4" t="n"/>
      <c r="B849" s="4" t="n"/>
      <c r="C849" s="4" t="n"/>
      <c r="D849" s="4" t="n"/>
      <c r="E849" s="4" t="n"/>
      <c r="F849" s="4" t="n"/>
    </row>
    <row r="850" ht="15.75" customHeight="1" s="108">
      <c r="A850" s="4" t="n"/>
      <c r="B850" s="4" t="n"/>
      <c r="C850" s="4" t="n"/>
      <c r="D850" s="4" t="n"/>
      <c r="E850" s="4" t="n"/>
      <c r="F850" s="4" t="n"/>
    </row>
    <row r="851" ht="15.75" customHeight="1" s="108">
      <c r="A851" s="4" t="n"/>
      <c r="B851" s="4" t="n"/>
      <c r="C851" s="4" t="n"/>
      <c r="D851" s="4" t="n"/>
      <c r="E851" s="4" t="n"/>
      <c r="F851" s="4" t="n"/>
    </row>
    <row r="852" ht="15.75" customHeight="1" s="108">
      <c r="A852" s="4" t="n"/>
      <c r="B852" s="4" t="n"/>
      <c r="C852" s="4" t="n"/>
      <c r="D852" s="4" t="n"/>
      <c r="E852" s="4" t="n"/>
      <c r="F852" s="4" t="n"/>
    </row>
    <row r="853" ht="15.75" customHeight="1" s="108">
      <c r="A853" s="4" t="n"/>
      <c r="B853" s="4" t="n"/>
      <c r="C853" s="4" t="n"/>
      <c r="D853" s="4" t="n"/>
      <c r="E853" s="4" t="n"/>
      <c r="F853" s="4" t="n"/>
    </row>
    <row r="854" ht="15.75" customHeight="1" s="108">
      <c r="A854" s="4" t="n"/>
      <c r="B854" s="4" t="n"/>
      <c r="C854" s="4" t="n"/>
      <c r="D854" s="4" t="n"/>
      <c r="E854" s="4" t="n"/>
      <c r="F854" s="4" t="n"/>
    </row>
    <row r="855" ht="15.75" customHeight="1" s="108">
      <c r="A855" s="4" t="n"/>
      <c r="B855" s="4" t="n"/>
      <c r="C855" s="4" t="n"/>
      <c r="D855" s="4" t="n"/>
      <c r="E855" s="4" t="n"/>
      <c r="F855" s="4" t="n"/>
    </row>
    <row r="856" ht="15.75" customHeight="1" s="108">
      <c r="A856" s="4" t="n"/>
      <c r="B856" s="4" t="n"/>
      <c r="C856" s="4" t="n"/>
      <c r="D856" s="4" t="n"/>
      <c r="E856" s="4" t="n"/>
      <c r="F856" s="4" t="n"/>
    </row>
    <row r="857" ht="15.75" customHeight="1" s="108">
      <c r="A857" s="4" t="n"/>
      <c r="B857" s="4" t="n"/>
      <c r="C857" s="4" t="n"/>
      <c r="D857" s="4" t="n"/>
      <c r="E857" s="4" t="n"/>
      <c r="F857" s="4" t="n"/>
    </row>
    <row r="858" ht="15.75" customHeight="1" s="108">
      <c r="A858" s="4" t="n"/>
      <c r="B858" s="4" t="n"/>
      <c r="C858" s="4" t="n"/>
      <c r="D858" s="4" t="n"/>
      <c r="E858" s="4" t="n"/>
      <c r="F858" s="4" t="n"/>
    </row>
    <row r="859" ht="15.75" customHeight="1" s="108">
      <c r="A859" s="4" t="n"/>
      <c r="B859" s="4" t="n"/>
      <c r="C859" s="4" t="n"/>
      <c r="D859" s="4" t="n"/>
      <c r="E859" s="4" t="n"/>
      <c r="F859" s="4" t="n"/>
    </row>
    <row r="860" ht="15.75" customHeight="1" s="108">
      <c r="A860" s="4" t="n"/>
      <c r="B860" s="4" t="n"/>
      <c r="C860" s="4" t="n"/>
      <c r="D860" s="4" t="n"/>
      <c r="E860" s="4" t="n"/>
      <c r="F860" s="4" t="n"/>
    </row>
    <row r="861" ht="15.75" customHeight="1" s="108">
      <c r="A861" s="4" t="n"/>
      <c r="B861" s="4" t="n"/>
      <c r="C861" s="4" t="n"/>
      <c r="D861" s="4" t="n"/>
      <c r="E861" s="4" t="n"/>
      <c r="F861" s="4" t="n"/>
    </row>
    <row r="862" ht="15.75" customHeight="1" s="108">
      <c r="A862" s="4" t="n"/>
      <c r="B862" s="4" t="n"/>
      <c r="C862" s="4" t="n"/>
      <c r="D862" s="4" t="n"/>
      <c r="E862" s="4" t="n"/>
      <c r="F862" s="4" t="n"/>
    </row>
    <row r="863" ht="15.75" customHeight="1" s="108">
      <c r="A863" s="4" t="n"/>
      <c r="B863" s="4" t="n"/>
      <c r="C863" s="4" t="n"/>
      <c r="D863" s="4" t="n"/>
      <c r="E863" s="4" t="n"/>
      <c r="F863" s="4" t="n"/>
    </row>
    <row r="864" ht="15.75" customHeight="1" s="108">
      <c r="A864" s="4" t="n"/>
      <c r="B864" s="4" t="n"/>
      <c r="C864" s="4" t="n"/>
      <c r="D864" s="4" t="n"/>
      <c r="E864" s="4" t="n"/>
      <c r="F864" s="4" t="n"/>
    </row>
    <row r="865" ht="15.75" customHeight="1" s="108">
      <c r="A865" s="4" t="n"/>
      <c r="B865" s="4" t="n"/>
      <c r="C865" s="4" t="n"/>
      <c r="D865" s="4" t="n"/>
      <c r="E865" s="4" t="n"/>
      <c r="F865" s="4" t="n"/>
    </row>
    <row r="866" ht="15.75" customHeight="1" s="108">
      <c r="A866" s="4" t="n"/>
      <c r="B866" s="4" t="n"/>
      <c r="C866" s="4" t="n"/>
      <c r="D866" s="4" t="n"/>
      <c r="E866" s="4" t="n"/>
      <c r="F866" s="4" t="n"/>
    </row>
    <row r="867" ht="15.75" customHeight="1" s="108">
      <c r="A867" s="4" t="n"/>
      <c r="B867" s="4" t="n"/>
      <c r="C867" s="4" t="n"/>
      <c r="D867" s="4" t="n"/>
      <c r="E867" s="4" t="n"/>
      <c r="F867" s="4" t="n"/>
    </row>
    <row r="868" ht="15.75" customHeight="1" s="108">
      <c r="A868" s="4" t="n"/>
      <c r="B868" s="4" t="n"/>
      <c r="C868" s="4" t="n"/>
      <c r="D868" s="4" t="n"/>
      <c r="E868" s="4" t="n"/>
      <c r="F868" s="4" t="n"/>
    </row>
    <row r="869" ht="15.75" customHeight="1" s="108">
      <c r="A869" s="4" t="n"/>
      <c r="B869" s="4" t="n"/>
      <c r="C869" s="4" t="n"/>
      <c r="D869" s="4" t="n"/>
      <c r="E869" s="4" t="n"/>
      <c r="F869" s="4" t="n"/>
    </row>
    <row r="870" ht="15.75" customHeight="1" s="108">
      <c r="A870" s="4" t="n"/>
      <c r="B870" s="4" t="n"/>
      <c r="C870" s="4" t="n"/>
      <c r="D870" s="4" t="n"/>
      <c r="E870" s="4" t="n"/>
      <c r="F870" s="4" t="n"/>
    </row>
    <row r="871" ht="15.75" customHeight="1" s="108">
      <c r="A871" s="4" t="n"/>
      <c r="B871" s="4" t="n"/>
      <c r="C871" s="4" t="n"/>
      <c r="D871" s="4" t="n"/>
      <c r="E871" s="4" t="n"/>
      <c r="F871" s="4" t="n"/>
    </row>
    <row r="872" ht="15.75" customHeight="1" s="108">
      <c r="A872" s="4" t="n"/>
      <c r="B872" s="4" t="n"/>
      <c r="C872" s="4" t="n"/>
      <c r="D872" s="4" t="n"/>
      <c r="E872" s="4" t="n"/>
      <c r="F872" s="4" t="n"/>
    </row>
    <row r="873" ht="15.75" customHeight="1" s="108">
      <c r="A873" s="4" t="n"/>
      <c r="B873" s="4" t="n"/>
      <c r="C873" s="4" t="n"/>
      <c r="D873" s="4" t="n"/>
      <c r="E873" s="4" t="n"/>
      <c r="F873" s="4" t="n"/>
    </row>
    <row r="874" ht="15.75" customHeight="1" s="108">
      <c r="A874" s="4" t="n"/>
      <c r="B874" s="4" t="n"/>
      <c r="C874" s="4" t="n"/>
      <c r="D874" s="4" t="n"/>
      <c r="E874" s="4" t="n"/>
      <c r="F874" s="4" t="n"/>
    </row>
    <row r="875" ht="15.75" customHeight="1" s="108">
      <c r="A875" s="4" t="n"/>
      <c r="B875" s="4" t="n"/>
      <c r="C875" s="4" t="n"/>
      <c r="D875" s="4" t="n"/>
      <c r="E875" s="4" t="n"/>
      <c r="F875" s="4" t="n"/>
    </row>
    <row r="876" ht="15.75" customHeight="1" s="108">
      <c r="A876" s="4" t="n"/>
      <c r="B876" s="4" t="n"/>
      <c r="C876" s="4" t="n"/>
      <c r="D876" s="4" t="n"/>
      <c r="E876" s="4" t="n"/>
      <c r="F876" s="4" t="n"/>
    </row>
    <row r="877" ht="15.75" customHeight="1" s="108">
      <c r="A877" s="4" t="n"/>
      <c r="B877" s="4" t="n"/>
      <c r="C877" s="4" t="n"/>
      <c r="D877" s="4" t="n"/>
      <c r="E877" s="4" t="n"/>
      <c r="F877" s="4" t="n"/>
    </row>
    <row r="878" ht="15.75" customHeight="1" s="108">
      <c r="A878" s="4" t="n"/>
      <c r="B878" s="4" t="n"/>
      <c r="C878" s="4" t="n"/>
      <c r="D878" s="4" t="n"/>
      <c r="E878" s="4" t="n"/>
      <c r="F878" s="4" t="n"/>
    </row>
    <row r="879" ht="15.75" customHeight="1" s="108">
      <c r="A879" s="4" t="n"/>
      <c r="B879" s="4" t="n"/>
      <c r="C879" s="4" t="n"/>
      <c r="D879" s="4" t="n"/>
      <c r="E879" s="4" t="n"/>
      <c r="F879" s="4" t="n"/>
    </row>
    <row r="880" ht="15.75" customHeight="1" s="108">
      <c r="A880" s="4" t="n"/>
      <c r="B880" s="4" t="n"/>
      <c r="C880" s="4" t="n"/>
      <c r="D880" s="4" t="n"/>
      <c r="E880" s="4" t="n"/>
      <c r="F880" s="4" t="n"/>
    </row>
    <row r="881" ht="15.75" customHeight="1" s="108">
      <c r="A881" s="4" t="n"/>
      <c r="B881" s="4" t="n"/>
      <c r="C881" s="4" t="n"/>
      <c r="D881" s="4" t="n"/>
      <c r="E881" s="4" t="n"/>
      <c r="F881" s="4" t="n"/>
    </row>
    <row r="882" ht="15.75" customHeight="1" s="108">
      <c r="A882" s="4" t="n"/>
      <c r="B882" s="4" t="n"/>
      <c r="C882" s="4" t="n"/>
      <c r="D882" s="4" t="n"/>
      <c r="E882" s="4" t="n"/>
      <c r="F882" s="4" t="n"/>
    </row>
    <row r="883" ht="15.75" customHeight="1" s="108">
      <c r="A883" s="4" t="n"/>
      <c r="B883" s="4" t="n"/>
      <c r="C883" s="4" t="n"/>
      <c r="D883" s="4" t="n"/>
      <c r="E883" s="4" t="n"/>
      <c r="F883" s="4" t="n"/>
    </row>
    <row r="884" ht="15.75" customHeight="1" s="108">
      <c r="A884" s="4" t="n"/>
      <c r="B884" s="4" t="n"/>
      <c r="C884" s="4" t="n"/>
      <c r="D884" s="4" t="n"/>
      <c r="E884" s="4" t="n"/>
      <c r="F884" s="4" t="n"/>
    </row>
    <row r="885" ht="15.75" customHeight="1" s="108">
      <c r="A885" s="4" t="n"/>
      <c r="B885" s="4" t="n"/>
      <c r="C885" s="4" t="n"/>
      <c r="D885" s="4" t="n"/>
      <c r="E885" s="4" t="n"/>
      <c r="F885" s="4" t="n"/>
    </row>
    <row r="886" ht="15.75" customHeight="1" s="108">
      <c r="A886" s="4" t="n"/>
      <c r="B886" s="4" t="n"/>
      <c r="C886" s="4" t="n"/>
      <c r="D886" s="4" t="n"/>
      <c r="E886" s="4" t="n"/>
      <c r="F886" s="4" t="n"/>
    </row>
    <row r="887" ht="15.75" customHeight="1" s="108">
      <c r="A887" s="4" t="n"/>
      <c r="B887" s="4" t="n"/>
      <c r="C887" s="4" t="n"/>
      <c r="D887" s="4" t="n"/>
      <c r="E887" s="4" t="n"/>
      <c r="F887" s="4" t="n"/>
    </row>
    <row r="888" ht="15.75" customHeight="1" s="108">
      <c r="A888" s="4" t="n"/>
      <c r="B888" s="4" t="n"/>
      <c r="C888" s="4" t="n"/>
      <c r="D888" s="4" t="n"/>
      <c r="E888" s="4" t="n"/>
      <c r="F888" s="4" t="n"/>
    </row>
    <row r="889" ht="15.75" customHeight="1" s="108">
      <c r="A889" s="4" t="n"/>
      <c r="B889" s="4" t="n"/>
      <c r="C889" s="4" t="n"/>
      <c r="D889" s="4" t="n"/>
      <c r="E889" s="4" t="n"/>
      <c r="F889" s="4" t="n"/>
    </row>
    <row r="890" ht="15.75" customHeight="1" s="108">
      <c r="A890" s="4" t="n"/>
      <c r="B890" s="4" t="n"/>
      <c r="C890" s="4" t="n"/>
      <c r="D890" s="4" t="n"/>
      <c r="E890" s="4" t="n"/>
      <c r="F890" s="4" t="n"/>
    </row>
    <row r="891" ht="15.75" customHeight="1" s="108">
      <c r="A891" s="4" t="n"/>
      <c r="B891" s="4" t="n"/>
      <c r="C891" s="4" t="n"/>
      <c r="D891" s="4" t="n"/>
      <c r="E891" s="4" t="n"/>
      <c r="F891" s="4" t="n"/>
    </row>
    <row r="892" ht="15.75" customHeight="1" s="108">
      <c r="A892" s="4" t="n"/>
      <c r="B892" s="4" t="n"/>
      <c r="C892" s="4" t="n"/>
      <c r="D892" s="4" t="n"/>
      <c r="E892" s="4" t="n"/>
      <c r="F892" s="4" t="n"/>
    </row>
    <row r="893" ht="15.75" customHeight="1" s="108">
      <c r="A893" s="4" t="n"/>
      <c r="B893" s="4" t="n"/>
      <c r="C893" s="4" t="n"/>
      <c r="D893" s="4" t="n"/>
      <c r="E893" s="4" t="n"/>
      <c r="F893" s="4" t="n"/>
    </row>
    <row r="894" ht="15.75" customHeight="1" s="108">
      <c r="A894" s="4" t="n"/>
      <c r="B894" s="4" t="n"/>
      <c r="C894" s="4" t="n"/>
      <c r="D894" s="4" t="n"/>
      <c r="E894" s="4" t="n"/>
      <c r="F894" s="4" t="n"/>
    </row>
    <row r="895" ht="15.75" customHeight="1" s="108">
      <c r="A895" s="4" t="n"/>
      <c r="B895" s="4" t="n"/>
      <c r="C895" s="4" t="n"/>
      <c r="D895" s="4" t="n"/>
      <c r="E895" s="4" t="n"/>
      <c r="F895" s="4" t="n"/>
    </row>
    <row r="896" ht="15.75" customHeight="1" s="108">
      <c r="A896" s="4" t="n"/>
      <c r="B896" s="4" t="n"/>
      <c r="C896" s="4" t="n"/>
      <c r="D896" s="4" t="n"/>
      <c r="E896" s="4" t="n"/>
      <c r="F896" s="4" t="n"/>
    </row>
    <row r="897" ht="15.75" customHeight="1" s="108">
      <c r="A897" s="4" t="n"/>
      <c r="B897" s="4" t="n"/>
      <c r="C897" s="4" t="n"/>
      <c r="D897" s="4" t="n"/>
      <c r="E897" s="4" t="n"/>
      <c r="F897" s="4" t="n"/>
    </row>
    <row r="898" ht="15.75" customHeight="1" s="108">
      <c r="A898" s="4" t="n"/>
      <c r="B898" s="4" t="n"/>
      <c r="C898" s="4" t="n"/>
      <c r="D898" s="4" t="n"/>
      <c r="E898" s="4" t="n"/>
      <c r="F898" s="4" t="n"/>
    </row>
    <row r="899" ht="15.75" customHeight="1" s="108">
      <c r="A899" s="4" t="n"/>
      <c r="B899" s="4" t="n"/>
      <c r="C899" s="4" t="n"/>
      <c r="D899" s="4" t="n"/>
      <c r="E899" s="4" t="n"/>
      <c r="F899" s="4" t="n"/>
    </row>
    <row r="900" ht="15.75" customHeight="1" s="108">
      <c r="A900" s="4" t="n"/>
      <c r="B900" s="4" t="n"/>
      <c r="C900" s="4" t="n"/>
      <c r="D900" s="4" t="n"/>
      <c r="E900" s="4" t="n"/>
      <c r="F900" s="4" t="n"/>
    </row>
    <row r="901" ht="15.75" customHeight="1" s="108">
      <c r="A901" s="4" t="n"/>
      <c r="B901" s="4" t="n"/>
      <c r="C901" s="4" t="n"/>
      <c r="D901" s="4" t="n"/>
      <c r="E901" s="4" t="n"/>
      <c r="F901" s="4" t="n"/>
    </row>
    <row r="902" ht="15.75" customHeight="1" s="108">
      <c r="A902" s="4" t="n"/>
      <c r="B902" s="4" t="n"/>
      <c r="C902" s="4" t="n"/>
      <c r="D902" s="4" t="n"/>
      <c r="E902" s="4" t="n"/>
      <c r="F902" s="4" t="n"/>
    </row>
    <row r="903" ht="15.75" customHeight="1" s="108">
      <c r="A903" s="4" t="n"/>
      <c r="B903" s="4" t="n"/>
      <c r="C903" s="4" t="n"/>
      <c r="D903" s="4" t="n"/>
      <c r="E903" s="4" t="n"/>
      <c r="F903" s="4" t="n"/>
    </row>
    <row r="904" ht="15.75" customHeight="1" s="108">
      <c r="A904" s="4" t="n"/>
      <c r="B904" s="4" t="n"/>
      <c r="C904" s="4" t="n"/>
      <c r="D904" s="4" t="n"/>
      <c r="E904" s="4" t="n"/>
      <c r="F904" s="4" t="n"/>
    </row>
    <row r="905" ht="15.75" customHeight="1" s="108">
      <c r="A905" s="4" t="n"/>
      <c r="B905" s="4" t="n"/>
      <c r="C905" s="4" t="n"/>
      <c r="D905" s="4" t="n"/>
      <c r="E905" s="4" t="n"/>
      <c r="F905" s="4" t="n"/>
    </row>
    <row r="906" ht="15.75" customHeight="1" s="108">
      <c r="A906" s="4" t="n"/>
      <c r="B906" s="4" t="n"/>
      <c r="C906" s="4" t="n"/>
      <c r="D906" s="4" t="n"/>
      <c r="E906" s="4" t="n"/>
      <c r="F906" s="4" t="n"/>
    </row>
    <row r="907" ht="15.75" customHeight="1" s="108">
      <c r="A907" s="4" t="n"/>
      <c r="B907" s="4" t="n"/>
      <c r="C907" s="4" t="n"/>
      <c r="D907" s="4" t="n"/>
      <c r="E907" s="4" t="n"/>
      <c r="F907" s="4" t="n"/>
    </row>
    <row r="908" ht="15.75" customHeight="1" s="108">
      <c r="A908" s="4" t="n"/>
      <c r="B908" s="4" t="n"/>
      <c r="C908" s="4" t="n"/>
      <c r="D908" s="4" t="n"/>
      <c r="E908" s="4" t="n"/>
      <c r="F908" s="4" t="n"/>
    </row>
    <row r="909" ht="15.75" customHeight="1" s="108">
      <c r="A909" s="4" t="n"/>
      <c r="B909" s="4" t="n"/>
      <c r="C909" s="4" t="n"/>
      <c r="D909" s="4" t="n"/>
      <c r="E909" s="4" t="n"/>
      <c r="F909" s="4" t="n"/>
    </row>
    <row r="910" ht="15.75" customHeight="1" s="108">
      <c r="A910" s="4" t="n"/>
      <c r="B910" s="4" t="n"/>
      <c r="C910" s="4" t="n"/>
      <c r="D910" s="4" t="n"/>
      <c r="E910" s="4" t="n"/>
      <c r="F910" s="4" t="n"/>
    </row>
    <row r="911" ht="15.75" customHeight="1" s="108">
      <c r="A911" s="4" t="n"/>
      <c r="B911" s="4" t="n"/>
      <c r="C911" s="4" t="n"/>
      <c r="D911" s="4" t="n"/>
      <c r="E911" s="4" t="n"/>
      <c r="F911" s="4" t="n"/>
    </row>
    <row r="912" ht="15.75" customHeight="1" s="108">
      <c r="A912" s="4" t="n"/>
      <c r="B912" s="4" t="n"/>
      <c r="C912" s="4" t="n"/>
      <c r="D912" s="4" t="n"/>
      <c r="E912" s="4" t="n"/>
      <c r="F912" s="4" t="n"/>
    </row>
    <row r="913" ht="15.75" customHeight="1" s="108">
      <c r="A913" s="4" t="n"/>
      <c r="B913" s="4" t="n"/>
      <c r="C913" s="4" t="n"/>
      <c r="D913" s="4" t="n"/>
      <c r="E913" s="4" t="n"/>
      <c r="F913" s="4" t="n"/>
    </row>
    <row r="914" ht="15.75" customHeight="1" s="108">
      <c r="A914" s="4" t="n"/>
      <c r="B914" s="4" t="n"/>
      <c r="C914" s="4" t="n"/>
      <c r="D914" s="4" t="n"/>
      <c r="E914" s="4" t="n"/>
      <c r="F914" s="4" t="n"/>
    </row>
    <row r="915" ht="15.75" customHeight="1" s="108">
      <c r="A915" s="4" t="n"/>
      <c r="B915" s="4" t="n"/>
      <c r="C915" s="4" t="n"/>
      <c r="D915" s="4" t="n"/>
      <c r="E915" s="4" t="n"/>
      <c r="F915" s="4" t="n"/>
    </row>
    <row r="916" ht="15.75" customHeight="1" s="108">
      <c r="A916" s="4" t="n"/>
      <c r="B916" s="4" t="n"/>
      <c r="C916" s="4" t="n"/>
      <c r="D916" s="4" t="n"/>
      <c r="E916" s="4" t="n"/>
      <c r="F916" s="4" t="n"/>
    </row>
    <row r="917" ht="15.75" customHeight="1" s="108">
      <c r="A917" s="4" t="n"/>
      <c r="B917" s="4" t="n"/>
      <c r="C917" s="4" t="n"/>
      <c r="D917" s="4" t="n"/>
      <c r="E917" s="4" t="n"/>
      <c r="F917" s="4" t="n"/>
    </row>
    <row r="918" ht="15.75" customHeight="1" s="108">
      <c r="A918" s="4" t="n"/>
      <c r="B918" s="4" t="n"/>
      <c r="C918" s="4" t="n"/>
      <c r="D918" s="4" t="n"/>
      <c r="E918" s="4" t="n"/>
      <c r="F918" s="4" t="n"/>
    </row>
    <row r="919" ht="15.75" customHeight="1" s="108">
      <c r="A919" s="4" t="n"/>
      <c r="B919" s="4" t="n"/>
      <c r="C919" s="4" t="n"/>
      <c r="D919" s="4" t="n"/>
      <c r="E919" s="4" t="n"/>
      <c r="F919" s="4" t="n"/>
    </row>
    <row r="920" ht="15.75" customHeight="1" s="108">
      <c r="A920" s="4" t="n"/>
      <c r="B920" s="4" t="n"/>
      <c r="C920" s="4" t="n"/>
      <c r="D920" s="4" t="n"/>
      <c r="E920" s="4" t="n"/>
      <c r="F920" s="4" t="n"/>
    </row>
    <row r="921" ht="15.75" customHeight="1" s="108">
      <c r="A921" s="4" t="n"/>
      <c r="B921" s="4" t="n"/>
      <c r="C921" s="4" t="n"/>
      <c r="D921" s="4" t="n"/>
      <c r="E921" s="4" t="n"/>
      <c r="F921" s="4" t="n"/>
    </row>
    <row r="922" ht="15.75" customHeight="1" s="108">
      <c r="A922" s="4" t="n"/>
      <c r="B922" s="4" t="n"/>
      <c r="C922" s="4" t="n"/>
      <c r="D922" s="4" t="n"/>
      <c r="E922" s="4" t="n"/>
      <c r="F922" s="4" t="n"/>
    </row>
    <row r="923" ht="15.75" customHeight="1" s="108">
      <c r="A923" s="4" t="n"/>
      <c r="B923" s="4" t="n"/>
      <c r="C923" s="4" t="n"/>
      <c r="D923" s="4" t="n"/>
      <c r="E923" s="4" t="n"/>
      <c r="F923" s="4" t="n"/>
    </row>
    <row r="924" ht="15.75" customHeight="1" s="108">
      <c r="A924" s="4" t="n"/>
      <c r="B924" s="4" t="n"/>
      <c r="C924" s="4" t="n"/>
      <c r="D924" s="4" t="n"/>
      <c r="E924" s="4" t="n"/>
      <c r="F924" s="4" t="n"/>
    </row>
    <row r="925" ht="15.75" customHeight="1" s="108">
      <c r="A925" s="4" t="n"/>
      <c r="B925" s="4" t="n"/>
      <c r="C925" s="4" t="n"/>
      <c r="D925" s="4" t="n"/>
      <c r="E925" s="4" t="n"/>
      <c r="F925" s="4" t="n"/>
    </row>
    <row r="926" ht="15.75" customHeight="1" s="108">
      <c r="A926" s="4" t="n"/>
      <c r="B926" s="4" t="n"/>
      <c r="C926" s="4" t="n"/>
      <c r="D926" s="4" t="n"/>
      <c r="E926" s="4" t="n"/>
      <c r="F926" s="4" t="n"/>
    </row>
    <row r="927" ht="15.75" customHeight="1" s="108">
      <c r="A927" s="4" t="n"/>
      <c r="B927" s="4" t="n"/>
      <c r="C927" s="4" t="n"/>
      <c r="D927" s="4" t="n"/>
      <c r="E927" s="4" t="n"/>
      <c r="F927" s="4" t="n"/>
    </row>
    <row r="928" ht="15.75" customHeight="1" s="108">
      <c r="A928" s="4" t="n"/>
      <c r="B928" s="4" t="n"/>
      <c r="C928" s="4" t="n"/>
      <c r="D928" s="4" t="n"/>
      <c r="E928" s="4" t="n"/>
      <c r="F928" s="4" t="n"/>
    </row>
    <row r="929" ht="15.75" customHeight="1" s="108">
      <c r="A929" s="4" t="n"/>
      <c r="B929" s="4" t="n"/>
      <c r="C929" s="4" t="n"/>
      <c r="D929" s="4" t="n"/>
      <c r="E929" s="4" t="n"/>
      <c r="F929" s="4" t="n"/>
    </row>
    <row r="930" ht="15.75" customHeight="1" s="108">
      <c r="A930" s="4" t="n"/>
      <c r="B930" s="4" t="n"/>
      <c r="C930" s="4" t="n"/>
      <c r="D930" s="4" t="n"/>
      <c r="E930" s="4" t="n"/>
      <c r="F930" s="4" t="n"/>
    </row>
    <row r="931" ht="15.75" customHeight="1" s="108">
      <c r="A931" s="4" t="n"/>
      <c r="B931" s="4" t="n"/>
      <c r="C931" s="4" t="n"/>
      <c r="D931" s="4" t="n"/>
      <c r="E931" s="4" t="n"/>
      <c r="F931" s="4" t="n"/>
    </row>
    <row r="932" ht="15.75" customHeight="1" s="108">
      <c r="A932" s="4" t="n"/>
      <c r="B932" s="4" t="n"/>
      <c r="C932" s="4" t="n"/>
      <c r="D932" s="4" t="n"/>
      <c r="E932" s="4" t="n"/>
      <c r="F932" s="4" t="n"/>
    </row>
    <row r="933" ht="15.75" customHeight="1" s="108">
      <c r="A933" s="4" t="n"/>
      <c r="B933" s="4" t="n"/>
      <c r="C933" s="4" t="n"/>
      <c r="D933" s="4" t="n"/>
      <c r="E933" s="4" t="n"/>
      <c r="F933" s="4" t="n"/>
    </row>
    <row r="934" ht="15.75" customHeight="1" s="108">
      <c r="A934" s="4" t="n"/>
      <c r="B934" s="4" t="n"/>
      <c r="C934" s="4" t="n"/>
      <c r="D934" s="4" t="n"/>
      <c r="E934" s="4" t="n"/>
      <c r="F934" s="4" t="n"/>
    </row>
    <row r="935" ht="15.75" customHeight="1" s="108">
      <c r="A935" s="4" t="n"/>
      <c r="B935" s="4" t="n"/>
      <c r="C935" s="4" t="n"/>
      <c r="D935" s="4" t="n"/>
      <c r="E935" s="4" t="n"/>
      <c r="F935" s="4" t="n"/>
    </row>
    <row r="936" ht="15.75" customHeight="1" s="108">
      <c r="A936" s="4" t="n"/>
      <c r="B936" s="4" t="n"/>
      <c r="C936" s="4" t="n"/>
      <c r="D936" s="4" t="n"/>
      <c r="E936" s="4" t="n"/>
      <c r="F936" s="4" t="n"/>
    </row>
    <row r="937" ht="15.75" customHeight="1" s="108">
      <c r="A937" s="4" t="n"/>
      <c r="B937" s="4" t="n"/>
      <c r="C937" s="4" t="n"/>
      <c r="D937" s="4" t="n"/>
      <c r="E937" s="4" t="n"/>
      <c r="F937" s="4" t="n"/>
    </row>
    <row r="938" ht="15.75" customHeight="1" s="108">
      <c r="A938" s="4" t="n"/>
      <c r="B938" s="4" t="n"/>
      <c r="C938" s="4" t="n"/>
      <c r="D938" s="4" t="n"/>
      <c r="E938" s="4" t="n"/>
      <c r="F938" s="4" t="n"/>
    </row>
    <row r="939" ht="15.75" customHeight="1" s="108">
      <c r="A939" s="4" t="n"/>
      <c r="B939" s="4" t="n"/>
      <c r="C939" s="4" t="n"/>
      <c r="D939" s="4" t="n"/>
      <c r="E939" s="4" t="n"/>
      <c r="F939" s="4" t="n"/>
    </row>
    <row r="940" ht="15.75" customHeight="1" s="108">
      <c r="A940" s="4" t="n"/>
      <c r="B940" s="4" t="n"/>
      <c r="C940" s="4" t="n"/>
      <c r="D940" s="4" t="n"/>
      <c r="E940" s="4" t="n"/>
      <c r="F940" s="4" t="n"/>
    </row>
    <row r="941" ht="15.75" customHeight="1" s="108">
      <c r="A941" s="4" t="n"/>
      <c r="B941" s="4" t="n"/>
      <c r="C941" s="4" t="n"/>
      <c r="D941" s="4" t="n"/>
      <c r="E941" s="4" t="n"/>
      <c r="F941" s="4" t="n"/>
    </row>
    <row r="942" ht="15.75" customHeight="1" s="108">
      <c r="A942" s="4" t="n"/>
      <c r="B942" s="4" t="n"/>
      <c r="C942" s="4" t="n"/>
      <c r="D942" s="4" t="n"/>
      <c r="E942" s="4" t="n"/>
      <c r="F942" s="4" t="n"/>
    </row>
    <row r="943" ht="15.75" customHeight="1" s="108">
      <c r="A943" s="4" t="n"/>
      <c r="B943" s="4" t="n"/>
      <c r="C943" s="4" t="n"/>
      <c r="D943" s="4" t="n"/>
      <c r="E943" s="4" t="n"/>
      <c r="F943" s="4" t="n"/>
    </row>
    <row r="944" ht="15.75" customHeight="1" s="108">
      <c r="A944" s="4" t="n"/>
      <c r="B944" s="4" t="n"/>
      <c r="C944" s="4" t="n"/>
      <c r="D944" s="4" t="n"/>
      <c r="E944" s="4" t="n"/>
      <c r="F944" s="4" t="n"/>
    </row>
    <row r="945" ht="15.75" customHeight="1" s="108">
      <c r="A945" s="4" t="n"/>
      <c r="B945" s="4" t="n"/>
      <c r="C945" s="4" t="n"/>
      <c r="D945" s="4" t="n"/>
      <c r="E945" s="4" t="n"/>
      <c r="F945" s="4" t="n"/>
    </row>
    <row r="946" ht="15.75" customHeight="1" s="108">
      <c r="A946" s="4" t="n"/>
      <c r="B946" s="4" t="n"/>
      <c r="C946" s="4" t="n"/>
      <c r="D946" s="4" t="n"/>
      <c r="E946" s="4" t="n"/>
      <c r="F946" s="4" t="n"/>
    </row>
    <row r="947" ht="15.75" customHeight="1" s="108">
      <c r="A947" s="4" t="n"/>
      <c r="B947" s="4" t="n"/>
      <c r="C947" s="4" t="n"/>
      <c r="D947" s="4" t="n"/>
      <c r="E947" s="4" t="n"/>
      <c r="F947" s="4" t="n"/>
    </row>
    <row r="948" ht="15.75" customHeight="1" s="108">
      <c r="A948" s="4" t="n"/>
      <c r="B948" s="4" t="n"/>
      <c r="C948" s="4" t="n"/>
      <c r="D948" s="4" t="n"/>
      <c r="E948" s="4" t="n"/>
      <c r="F948" s="4" t="n"/>
    </row>
    <row r="949" ht="15.75" customHeight="1" s="108">
      <c r="A949" s="4" t="n"/>
      <c r="B949" s="4" t="n"/>
      <c r="C949" s="4" t="n"/>
      <c r="D949" s="4" t="n"/>
      <c r="E949" s="4" t="n"/>
      <c r="F949" s="4" t="n"/>
    </row>
    <row r="950" ht="15.75" customHeight="1" s="108">
      <c r="A950" s="4" t="n"/>
      <c r="B950" s="4" t="n"/>
      <c r="C950" s="4" t="n"/>
      <c r="D950" s="4" t="n"/>
      <c r="E950" s="4" t="n"/>
      <c r="F950" s="4" t="n"/>
    </row>
    <row r="951" ht="15.75" customHeight="1" s="108">
      <c r="A951" s="4" t="n"/>
      <c r="B951" s="4" t="n"/>
      <c r="C951" s="4" t="n"/>
      <c r="D951" s="4" t="n"/>
      <c r="E951" s="4" t="n"/>
      <c r="F951" s="4" t="n"/>
    </row>
    <row r="952" ht="15.75" customHeight="1" s="108">
      <c r="A952" s="4" t="n"/>
      <c r="B952" s="4" t="n"/>
      <c r="C952" s="4" t="n"/>
      <c r="D952" s="4" t="n"/>
      <c r="E952" s="4" t="n"/>
      <c r="F952" s="4" t="n"/>
    </row>
    <row r="953" ht="15.75" customHeight="1" s="108">
      <c r="A953" s="4" t="n"/>
      <c r="B953" s="4" t="n"/>
      <c r="C953" s="4" t="n"/>
      <c r="D953" s="4" t="n"/>
      <c r="E953" s="4" t="n"/>
      <c r="F953" s="4" t="n"/>
    </row>
    <row r="954" ht="15.75" customHeight="1" s="108">
      <c r="A954" s="4" t="n"/>
      <c r="B954" s="4" t="n"/>
      <c r="C954" s="4" t="n"/>
      <c r="D954" s="4" t="n"/>
      <c r="E954" s="4" t="n"/>
      <c r="F954" s="4" t="n"/>
    </row>
    <row r="955" ht="15.75" customHeight="1" s="108">
      <c r="A955" s="4" t="n"/>
      <c r="B955" s="4" t="n"/>
      <c r="C955" s="4" t="n"/>
      <c r="D955" s="4" t="n"/>
      <c r="E955" s="4" t="n"/>
      <c r="F955" s="4" t="n"/>
    </row>
    <row r="956" ht="15.75" customHeight="1" s="108">
      <c r="A956" s="4" t="n"/>
      <c r="B956" s="4" t="n"/>
      <c r="C956" s="4" t="n"/>
      <c r="D956" s="4" t="n"/>
      <c r="E956" s="4" t="n"/>
      <c r="F956" s="4" t="n"/>
    </row>
    <row r="957" ht="15.75" customHeight="1" s="108">
      <c r="A957" s="4" t="n"/>
      <c r="B957" s="4" t="n"/>
      <c r="C957" s="4" t="n"/>
      <c r="D957" s="4" t="n"/>
      <c r="E957" s="4" t="n"/>
      <c r="F957" s="4" t="n"/>
    </row>
    <row r="958" ht="15.75" customHeight="1" s="108">
      <c r="A958" s="4" t="n"/>
      <c r="B958" s="4" t="n"/>
      <c r="C958" s="4" t="n"/>
      <c r="D958" s="4" t="n"/>
      <c r="E958" s="4" t="n"/>
      <c r="F958" s="4" t="n"/>
    </row>
    <row r="959" ht="15.75" customHeight="1" s="108">
      <c r="A959" s="4" t="n"/>
      <c r="B959" s="4" t="n"/>
      <c r="C959" s="4" t="n"/>
      <c r="D959" s="4" t="n"/>
      <c r="E959" s="4" t="n"/>
      <c r="F959" s="4" t="n"/>
    </row>
    <row r="960" ht="15.75" customHeight="1" s="108">
      <c r="A960" s="4" t="n"/>
      <c r="B960" s="4" t="n"/>
      <c r="C960" s="4" t="n"/>
      <c r="D960" s="4" t="n"/>
      <c r="E960" s="4" t="n"/>
      <c r="F960" s="4" t="n"/>
    </row>
    <row r="961" ht="15.75" customHeight="1" s="108">
      <c r="A961" s="4" t="n"/>
      <c r="B961" s="4" t="n"/>
      <c r="C961" s="4" t="n"/>
      <c r="D961" s="4" t="n"/>
      <c r="E961" s="4" t="n"/>
      <c r="F961" s="4" t="n"/>
    </row>
    <row r="962" ht="15.75" customHeight="1" s="108">
      <c r="A962" s="4" t="n"/>
      <c r="B962" s="4" t="n"/>
      <c r="C962" s="4" t="n"/>
      <c r="D962" s="4" t="n"/>
      <c r="E962" s="4" t="n"/>
      <c r="F962" s="4" t="n"/>
    </row>
    <row r="963" ht="15.75" customHeight="1" s="108">
      <c r="A963" s="4" t="n"/>
      <c r="B963" s="4" t="n"/>
      <c r="C963" s="4" t="n"/>
      <c r="D963" s="4" t="n"/>
      <c r="E963" s="4" t="n"/>
      <c r="F963" s="4" t="n"/>
    </row>
    <row r="964" ht="15.75" customHeight="1" s="108">
      <c r="A964" s="4" t="n"/>
      <c r="B964" s="4" t="n"/>
      <c r="C964" s="4" t="n"/>
      <c r="D964" s="4" t="n"/>
      <c r="E964" s="4" t="n"/>
      <c r="F964" s="4" t="n"/>
    </row>
    <row r="965" ht="15.75" customHeight="1" s="108">
      <c r="A965" s="4" t="n"/>
      <c r="B965" s="4" t="n"/>
      <c r="C965" s="4" t="n"/>
      <c r="D965" s="4" t="n"/>
      <c r="E965" s="4" t="n"/>
      <c r="F965" s="4" t="n"/>
    </row>
    <row r="966" ht="15.75" customHeight="1" s="108">
      <c r="A966" s="4" t="n"/>
      <c r="B966" s="4" t="n"/>
      <c r="C966" s="4" t="n"/>
      <c r="D966" s="4" t="n"/>
      <c r="E966" s="4" t="n"/>
      <c r="F966" s="4" t="n"/>
    </row>
    <row r="967" ht="15.75" customHeight="1" s="108">
      <c r="A967" s="4" t="n"/>
      <c r="B967" s="4" t="n"/>
      <c r="C967" s="4" t="n"/>
      <c r="D967" s="4" t="n"/>
      <c r="E967" s="4" t="n"/>
      <c r="F967" s="4" t="n"/>
    </row>
    <row r="968" ht="15.75" customHeight="1" s="108">
      <c r="A968" s="4" t="n"/>
      <c r="B968" s="4" t="n"/>
      <c r="C968" s="4" t="n"/>
      <c r="D968" s="4" t="n"/>
      <c r="E968" s="4" t="n"/>
      <c r="F968" s="4" t="n"/>
    </row>
    <row r="969" ht="15.75" customHeight="1" s="108">
      <c r="A969" s="4" t="n"/>
      <c r="B969" s="4" t="n"/>
      <c r="C969" s="4" t="n"/>
      <c r="D969" s="4" t="n"/>
      <c r="E969" s="4" t="n"/>
      <c r="F969" s="4" t="n"/>
    </row>
    <row r="970" ht="15.75" customHeight="1" s="108">
      <c r="A970" s="4" t="n"/>
      <c r="B970" s="4" t="n"/>
      <c r="C970" s="4" t="n"/>
      <c r="D970" s="4" t="n"/>
      <c r="E970" s="4" t="n"/>
      <c r="F970" s="4" t="n"/>
    </row>
    <row r="971" ht="15.75" customHeight="1" s="108">
      <c r="A971" s="4" t="n"/>
      <c r="B971" s="4" t="n"/>
      <c r="C971" s="4" t="n"/>
      <c r="D971" s="4" t="n"/>
      <c r="E971" s="4" t="n"/>
      <c r="F971" s="4" t="n"/>
    </row>
    <row r="972" ht="15.75" customHeight="1" s="108">
      <c r="A972" s="4" t="n"/>
      <c r="B972" s="4" t="n"/>
      <c r="C972" s="4" t="n"/>
      <c r="D972" s="4" t="n"/>
      <c r="E972" s="4" t="n"/>
      <c r="F972" s="4" t="n"/>
    </row>
    <row r="973" ht="15.75" customHeight="1" s="108">
      <c r="A973" s="4" t="n"/>
      <c r="B973" s="4" t="n"/>
      <c r="C973" s="4" t="n"/>
      <c r="D973" s="4" t="n"/>
      <c r="E973" s="4" t="n"/>
      <c r="F973" s="4" t="n"/>
    </row>
    <row r="974" ht="15.75" customHeight="1" s="108">
      <c r="A974" s="4" t="n"/>
      <c r="B974" s="4" t="n"/>
      <c r="C974" s="4" t="n"/>
      <c r="D974" s="4" t="n"/>
      <c r="E974" s="4" t="n"/>
      <c r="F974" s="4" t="n"/>
    </row>
    <row r="975" ht="15.75" customHeight="1" s="108">
      <c r="A975" s="4" t="n"/>
      <c r="B975" s="4" t="n"/>
      <c r="C975" s="4" t="n"/>
      <c r="D975" s="4" t="n"/>
      <c r="E975" s="4" t="n"/>
      <c r="F975" s="4" t="n"/>
    </row>
    <row r="976" ht="15.75" customHeight="1" s="108">
      <c r="A976" s="4" t="n"/>
      <c r="B976" s="4" t="n"/>
      <c r="C976" s="4" t="n"/>
      <c r="D976" s="4" t="n"/>
      <c r="E976" s="4" t="n"/>
      <c r="F976" s="4" t="n"/>
    </row>
    <row r="977" ht="15.75" customHeight="1" s="108">
      <c r="A977" s="4" t="n"/>
      <c r="B977" s="4" t="n"/>
      <c r="C977" s="4" t="n"/>
      <c r="D977" s="4" t="n"/>
      <c r="E977" s="4" t="n"/>
      <c r="F977" s="4" t="n"/>
    </row>
    <row r="978" ht="15.75" customHeight="1" s="108">
      <c r="A978" s="4" t="n"/>
      <c r="B978" s="4" t="n"/>
      <c r="C978" s="4" t="n"/>
      <c r="D978" s="4" t="n"/>
      <c r="E978" s="4" t="n"/>
      <c r="F978" s="4" t="n"/>
    </row>
    <row r="979" ht="15.75" customHeight="1" s="108">
      <c r="A979" s="4" t="n"/>
      <c r="B979" s="4" t="n"/>
      <c r="C979" s="4" t="n"/>
      <c r="D979" s="4" t="n"/>
      <c r="E979" s="4" t="n"/>
      <c r="F979" s="4" t="n"/>
    </row>
    <row r="980" ht="15.75" customHeight="1" s="108">
      <c r="A980" s="4" t="n"/>
      <c r="B980" s="4" t="n"/>
      <c r="C980" s="4" t="n"/>
      <c r="D980" s="4" t="n"/>
      <c r="E980" s="4" t="n"/>
      <c r="F980" s="4" t="n"/>
    </row>
    <row r="981" ht="15.75" customHeight="1" s="108">
      <c r="A981" s="4" t="n"/>
      <c r="B981" s="4" t="n"/>
      <c r="C981" s="4" t="n"/>
      <c r="D981" s="4" t="n"/>
      <c r="E981" s="4" t="n"/>
      <c r="F981" s="4" t="n"/>
    </row>
    <row r="982" ht="15.75" customHeight="1" s="108">
      <c r="A982" s="4" t="n"/>
      <c r="B982" s="4" t="n"/>
      <c r="C982" s="4" t="n"/>
      <c r="D982" s="4" t="n"/>
      <c r="E982" s="4" t="n"/>
      <c r="F982" s="4" t="n"/>
    </row>
    <row r="983" ht="15.75" customHeight="1" s="108">
      <c r="A983" s="4" t="n"/>
      <c r="B983" s="4" t="n"/>
      <c r="C983" s="4" t="n"/>
      <c r="D983" s="4" t="n"/>
      <c r="E983" s="4" t="n"/>
      <c r="F983" s="4" t="n"/>
    </row>
    <row r="984" ht="15.75" customHeight="1" s="108">
      <c r="A984" s="4" t="n"/>
      <c r="B984" s="4" t="n"/>
      <c r="C984" s="4" t="n"/>
      <c r="D984" s="4" t="n"/>
      <c r="E984" s="4" t="n"/>
      <c r="F984" s="4" t="n"/>
    </row>
    <row r="985" ht="15.75" customHeight="1" s="108">
      <c r="A985" s="4" t="n"/>
      <c r="B985" s="4" t="n"/>
      <c r="C985" s="4" t="n"/>
      <c r="D985" s="4" t="n"/>
      <c r="E985" s="4" t="n"/>
      <c r="F985" s="4" t="n"/>
    </row>
    <row r="986" ht="15.75" customHeight="1" s="108">
      <c r="A986" s="4" t="n"/>
      <c r="B986" s="4" t="n"/>
      <c r="C986" s="4" t="n"/>
      <c r="D986" s="4" t="n"/>
      <c r="E986" s="4" t="n"/>
      <c r="F986" s="4" t="n"/>
    </row>
    <row r="987" ht="15.75" customHeight="1" s="108">
      <c r="A987" s="4" t="n"/>
      <c r="B987" s="4" t="n"/>
      <c r="C987" s="4" t="n"/>
      <c r="D987" s="4" t="n"/>
      <c r="E987" s="4" t="n"/>
      <c r="F987" s="4" t="n"/>
    </row>
    <row r="988" ht="15.75" customHeight="1" s="108">
      <c r="A988" s="4" t="n"/>
      <c r="B988" s="4" t="n"/>
      <c r="C988" s="4" t="n"/>
      <c r="D988" s="4" t="n"/>
      <c r="E988" s="4" t="n"/>
      <c r="F988" s="4" t="n"/>
    </row>
    <row r="989" ht="15.75" customHeight="1" s="108">
      <c r="A989" s="4" t="n"/>
      <c r="B989" s="4" t="n"/>
      <c r="C989" s="4" t="n"/>
      <c r="D989" s="4" t="n"/>
      <c r="E989" s="4" t="n"/>
      <c r="F989" s="4" t="n"/>
    </row>
    <row r="990" ht="15.75" customHeight="1" s="108">
      <c r="A990" s="4" t="n"/>
      <c r="B990" s="4" t="n"/>
      <c r="C990" s="4" t="n"/>
      <c r="D990" s="4" t="n"/>
      <c r="E990" s="4" t="n"/>
      <c r="F990" s="4" t="n"/>
    </row>
    <row r="991" ht="15.75" customHeight="1" s="108">
      <c r="A991" s="4" t="n"/>
      <c r="B991" s="4" t="n"/>
      <c r="C991" s="4" t="n"/>
      <c r="D991" s="4" t="n"/>
      <c r="E991" s="4" t="n"/>
      <c r="F991" s="4" t="n"/>
    </row>
    <row r="992" ht="15.75" customHeight="1" s="108">
      <c r="A992" s="4" t="n"/>
      <c r="B992" s="4" t="n"/>
      <c r="C992" s="4" t="n"/>
      <c r="D992" s="4" t="n"/>
      <c r="E992" s="4" t="n"/>
      <c r="F992" s="4" t="n"/>
    </row>
    <row r="993" ht="15.75" customHeight="1" s="108">
      <c r="A993" s="4" t="n"/>
      <c r="B993" s="4" t="n"/>
      <c r="C993" s="4" t="n"/>
      <c r="D993" s="4" t="n"/>
      <c r="E993" s="4" t="n"/>
      <c r="F993" s="4" t="n"/>
    </row>
    <row r="994" ht="15.75" customHeight="1" s="108">
      <c r="A994" s="4" t="n"/>
      <c r="B994" s="4" t="n"/>
      <c r="C994" s="4" t="n"/>
      <c r="D994" s="4" t="n"/>
      <c r="E994" s="4" t="n"/>
      <c r="F994" s="4" t="n"/>
    </row>
    <row r="995" ht="15.75" customHeight="1" s="108">
      <c r="A995" s="4" t="n"/>
      <c r="B995" s="4" t="n"/>
      <c r="C995" s="4" t="n"/>
      <c r="D995" s="4" t="n"/>
      <c r="E995" s="4" t="n"/>
      <c r="F995" s="4" t="n"/>
    </row>
    <row r="996" ht="15.75" customHeight="1" s="108">
      <c r="A996" s="4" t="n"/>
      <c r="B996" s="4" t="n"/>
      <c r="C996" s="4" t="n"/>
      <c r="D996" s="4" t="n"/>
      <c r="E996" s="4" t="n"/>
      <c r="F996" s="4" t="n"/>
    </row>
    <row r="997" ht="15.75" customHeight="1" s="108">
      <c r="A997" s="4" t="n"/>
      <c r="B997" s="4" t="n"/>
      <c r="C997" s="4" t="n"/>
      <c r="D997" s="4" t="n"/>
      <c r="E997" s="4" t="n"/>
      <c r="F997" s="4" t="n"/>
    </row>
    <row r="998" ht="15.75" customHeight="1" s="108">
      <c r="A998" s="4" t="n"/>
      <c r="B998" s="4" t="n"/>
      <c r="C998" s="4" t="n"/>
      <c r="D998" s="4" t="n"/>
      <c r="E998" s="4" t="n"/>
      <c r="F998" s="4" t="n"/>
    </row>
    <row r="999" ht="15.75" customHeight="1" s="108">
      <c r="A999" s="4" t="n"/>
      <c r="B999" s="4" t="n"/>
      <c r="C999" s="4" t="n"/>
      <c r="D999" s="4" t="n"/>
      <c r="E999" s="4" t="n"/>
      <c r="F999" s="4" t="n"/>
    </row>
    <row r="1000" ht="15.75" customHeight="1" s="108">
      <c r="A1000" s="4" t="n"/>
      <c r="B1000" s="4" t="n"/>
      <c r="C1000" s="4" t="n"/>
      <c r="D1000" s="4" t="n"/>
      <c r="E1000" s="4" t="n"/>
      <c r="F1000" s="4" t="n"/>
    </row>
  </sheetData>
  <mergeCells count="3">
    <mergeCell ref="A2:E2"/>
    <mergeCell ref="A1:E1"/>
    <mergeCell ref="A30:E30"/>
  </mergeCells>
  <conditionalFormatting sqref="E5:E47">
    <cfRule type="colorScale" priority="1">
      <colorScale>
        <cfvo type="min"/>
        <cfvo type="percentile" val="50"/>
        <cfvo type="max"/>
        <color rgb="FFF8CBAD"/>
        <color rgb="FFFFE699"/>
        <color rgb="FFA9D18E"/>
      </colorScale>
    </cfRule>
  </conditionalFormatting>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F7948"/>
  <sheetViews>
    <sheetView workbookViewId="0">
      <selection activeCell="A1" sqref="A1"/>
    </sheetView>
  </sheetViews>
  <sheetFormatPr baseColWidth="8" defaultColWidth="14.43" defaultRowHeight="15" customHeight="1"/>
  <cols>
    <col width="28" customWidth="1" style="108" min="1" max="1"/>
    <col width="12" customWidth="1" style="108" min="2" max="2"/>
    <col width="13" customWidth="1" style="108" min="3" max="4"/>
    <col width="65" customWidth="1" style="108" min="5" max="5"/>
    <col width="35" customWidth="1" style="108" min="6" max="6"/>
  </cols>
  <sheetData>
    <row r="1" ht="23.25" customHeight="1" s="108">
      <c r="A1" s="119" t="inlineStr">
        <is>
          <t>🎭 ACTORS</t>
        </is>
      </c>
    </row>
    <row r="2">
      <c r="A2" s="120" t="inlineStr">
        <is>
          <t>Search or filter this sheet by actor name to see every film in your collection where they appear in the top five billed cast.</t>
        </is>
      </c>
    </row>
    <row r="3">
      <c r="A3" s="4" t="n"/>
      <c r="B3" s="4" t="n"/>
      <c r="C3" s="4" t="n"/>
      <c r="D3" s="4" t="n"/>
      <c r="E3" s="4" t="n"/>
      <c r="F3" s="4" t="n"/>
    </row>
    <row r="4">
      <c r="A4" s="62" t="inlineStr">
        <is>
          <t>Actor</t>
        </is>
      </c>
      <c r="B4" s="62" t="inlineStr">
        <is>
          <t>Films Owned</t>
        </is>
      </c>
      <c r="C4" s="62" t="inlineStr">
        <is>
          <t>Earliest Film</t>
        </is>
      </c>
      <c r="D4" s="62" t="inlineStr">
        <is>
          <t>Latest Film</t>
        </is>
      </c>
      <c r="E4" s="62" t="inlineStr">
        <is>
          <t>Films in Collection</t>
        </is>
      </c>
      <c r="F4" s="62" t="inlineStr">
        <is>
          <t>Film IDs</t>
        </is>
      </c>
    </row>
    <row r="5" ht="60" customHeight="1" s="108">
      <c r="A5" s="4" t="inlineStr">
        <is>
          <t>Hugh Jackman</t>
        </is>
      </c>
      <c r="B5" s="4" t="n">
        <v>12</v>
      </c>
      <c r="C5" s="4" t="n">
        <v>2000</v>
      </c>
      <c r="D5" s="4" t="n">
        <v>2024</v>
      </c>
      <c r="E5" s="19" t="inlineStr">
        <is>
          <t>Deadpool &amp; Wolverine, The Greatest Showman, Les Misérables, Logan, The Prestige, Prisoners, X-Men: Days of Future Past, X-Men Origins: Wolverine, X-Men, X2: X-Men United, X-Men: The Last Stand, The Wolverine</t>
        </is>
      </c>
      <c r="F5" s="4" t="inlineStr">
        <is>
          <t>F0078, F0127, F0199, F0201, F0257, F0258, F0341, F0343, F0344, F0345, F0346, F0347</t>
        </is>
      </c>
    </row>
    <row r="6" ht="75" customHeight="1" s="108">
      <c r="A6" s="4" t="inlineStr">
        <is>
          <t>Tom Cruise</t>
        </is>
      </c>
      <c r="B6" s="4" t="n">
        <v>12</v>
      </c>
      <c r="C6" s="4" t="n">
        <v>1996</v>
      </c>
      <c r="D6" s="4" t="n">
        <v>2025</v>
      </c>
      <c r="E6" s="19" t="inlineStr">
        <is>
          <t>Jack Reacher, Mission: Impossible, Mission: Impossible II, Mission: Impossible III, Mission: Impossible - Ghost Protocol, Mission: Impossible - Rogue Nation, Mission: Impossible - Fallout, Mission: Impossible - Dead Reckoning Part One, Mission: Impossible - The Final Reckoning, Oblivion, War of the Worlds, Tropic Thunder</t>
        </is>
      </c>
      <c r="F6" s="4" t="inlineStr">
        <is>
          <t>F0171, F0221, F0222, F0223, F0224, F0225, F0226, F0227, F0228, F0239, F0332, F0324</t>
        </is>
      </c>
    </row>
    <row r="7" ht="75" customHeight="1" s="108">
      <c r="A7" s="4" t="inlineStr">
        <is>
          <t>Ian McKellen</t>
        </is>
      </c>
      <c r="B7" s="4" t="n">
        <v>10</v>
      </c>
      <c r="C7" s="4" t="n">
        <v>2000</v>
      </c>
      <c r="D7" s="4" t="n">
        <v>2014</v>
      </c>
      <c r="E7" s="19" t="inlineStr">
        <is>
          <t>The Hobbit: An Unexpected Journey, The Hobbit: The Desolation of Smaug, The Hobbit: The Battle of the Five Armies, The Lord of the Rings: The Fellowship of the Ring, The Lord of the Rings: The Two Towers, The Lord of the Rings: The Return of the King, X-Men: Days of Future Past, X-Men, X2: X-Men United, X-Men: The Last Stand</t>
        </is>
      </c>
      <c r="F7" s="4" t="inlineStr">
        <is>
          <t>F0150, F0151, F0152, F0203, F0204, F0205, F0341, F0344, F0345, F0346</t>
        </is>
      </c>
    </row>
    <row r="8" ht="45" customHeight="1" s="108">
      <c r="A8" s="4" t="inlineStr">
        <is>
          <t>Matt Damon</t>
        </is>
      </c>
      <c r="B8" s="4" t="n">
        <v>16</v>
      </c>
      <c r="C8" s="4" t="n">
        <v>1997</v>
      </c>
      <c r="D8" s="4" t="n">
        <v>2023</v>
      </c>
      <c r="E8" s="19" t="inlineStr">
        <is>
          <t>The Bourne Identity, The Bourne Supremacy, The Bourne Ultimatum, The Departed, Elysium, Good Will Hunting, Green Zone, The Martian, Oppenheimer, True Grit, Dogma, Deadpool 2, Happy Feet Two, Interstellar, Jason bourne, Le Mans ‘66</t>
        </is>
      </c>
      <c r="F8" s="4" t="inlineStr">
        <is>
          <t>F0053, F0054, F0055, F0081, F0093, F0124, F0129, F0213, F0242, F0325, F0351, F0077, F0145, F0168, F0358, F0393</t>
        </is>
      </c>
    </row>
    <row r="9" ht="45" customHeight="1" s="108">
      <c r="A9" s="4" t="inlineStr">
        <is>
          <t>Robert Downey Jr.</t>
        </is>
      </c>
      <c r="B9" s="4" t="n">
        <v>11</v>
      </c>
      <c r="C9" s="4" t="n">
        <v>2007</v>
      </c>
      <c r="D9" s="4" t="n">
        <v>2023</v>
      </c>
      <c r="E9" s="19" t="inlineStr">
        <is>
          <t>The Avengers, Avengers: Infinity War, Avengers: Endgame, Due Date, Iron Man 3, Oppenheimer, Sherlock Holmes, Sherlock Holmes: A Game of Shadows, Tropic Thunder, Zodiac, Chef</t>
        </is>
      </c>
      <c r="F9" s="4" t="inlineStr">
        <is>
          <t>F0029, F0030, F0031, F0091, F0169, F0242, F0278, F0279, F0324, F0350, F0065</t>
        </is>
      </c>
    </row>
    <row r="10" ht="75" customHeight="1" s="108">
      <c r="A10" s="4" t="inlineStr">
        <is>
          <t>Simon Pegg</t>
        </is>
      </c>
      <c r="B10" s="4" t="n">
        <v>14</v>
      </c>
      <c r="C10" s="4" t="n">
        <v>2004</v>
      </c>
      <c r="D10" s="4" t="n">
        <v>2025</v>
      </c>
      <c r="E10" s="19" t="inlineStr">
        <is>
          <t>Shaun of the Dead, Hot Fuzz, The World's End, Ice Age: Dawn of the Dinosaurs, Mission: Impossible - Ghost Protocol, Mission: Impossible - Rogue Nation, Mission: Impossible - Fallout, Mission: Impossible - Dead Reckoning Part One, Mission: Impossible - The Final Reckoning, Paul, Mission: Impossible III, Star Trek, Star Wars: The Force Awakens, Ready player one</t>
        </is>
      </c>
      <c r="F10" s="4" t="inlineStr">
        <is>
          <t>F0070, F0071, F0072, F0161, F0224, F0225, F0226, F0227, F0228, F0245, F0223, F0291, F0298, F0352</t>
        </is>
      </c>
    </row>
    <row r="11" ht="90" customHeight="1" s="108">
      <c r="A11" s="4" t="inlineStr">
        <is>
          <t>Emma Watson</t>
        </is>
      </c>
      <c r="B11" s="4" t="n">
        <v>9</v>
      </c>
      <c r="C11" s="4" t="n">
        <v>2001</v>
      </c>
      <c r="D11" s="4" t="n">
        <v>2014</v>
      </c>
      <c r="E11" s="19" t="inlineStr">
        <is>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Harry Potter and the Deathly Hallows: Part 2, Noah</t>
        </is>
      </c>
      <c r="F11" s="4" t="inlineStr">
        <is>
          <t>F0137, F0138, F0139, F0140, F0141, F0142, F0143, F0144, F0238</t>
        </is>
      </c>
    </row>
    <row r="12" ht="45" customHeight="1" s="108">
      <c r="A12" s="4" t="inlineStr">
        <is>
          <t>Jason Statham</t>
        </is>
      </c>
      <c r="B12" s="4" t="n">
        <v>10</v>
      </c>
      <c r="C12" s="4" t="n">
        <v>2008</v>
      </c>
      <c r="D12" s="4" t="n">
        <v>2023</v>
      </c>
      <c r="E12" s="19" t="inlineStr">
        <is>
          <t>The Bank Job, The Expendables, The Expendables 2, The Expendables 3, Furious 7, The Fate of the Furious, Fast &amp; Furious Presents: Hobbs &amp; Shaw, Hummingbird, Spy, Fast X</t>
        </is>
      </c>
      <c r="F12" s="4" t="inlineStr">
        <is>
          <t>F0040, F0095, F0096, F0097, F0107, F0108, F0111, F0156, F0290, F0110</t>
        </is>
      </c>
    </row>
    <row r="13" ht="30" customHeight="1" s="108">
      <c r="A13" s="4" t="inlineStr">
        <is>
          <t>Vin Diesel</t>
        </is>
      </c>
      <c r="B13" s="4" t="n">
        <v>10</v>
      </c>
      <c r="C13" s="4" t="n">
        <v>2001</v>
      </c>
      <c r="D13" s="4" t="n">
        <v>2023</v>
      </c>
      <c r="E13" s="19" t="inlineStr">
        <is>
          <t>The Fast and the Furious, Fast &amp; Furious, Fast Five, Fast &amp; Furious 6, Furious 7, The Fate of the Furious, F9: The Fast Saga, Fast X, Riddick, Avengers: Infinity War</t>
        </is>
      </c>
      <c r="F13" s="4" t="inlineStr">
        <is>
          <t>F0101, F0104, F0105, F0106, F0107, F0108, F0109, F0110, F0264, F0030</t>
        </is>
      </c>
    </row>
    <row r="14" ht="30" customHeight="1" s="108">
      <c r="A14" s="4" t="inlineStr">
        <is>
          <t>Brad Pitt</t>
        </is>
      </c>
      <c r="B14" s="4" t="n">
        <v>10</v>
      </c>
      <c r="C14" s="4" t="n">
        <v>1995</v>
      </c>
      <c r="D14" s="4" t="n">
        <v>2025</v>
      </c>
      <c r="E14" s="19" t="inlineStr">
        <is>
          <t>F1, Fight Club, Fury, Inglourious Basterds, Killing Them Softly, Mr. &amp; Mrs. Smith, Once Upon a Time… in Hollywood, Se7en, Deadpool 2, Happy Feet Two</t>
        </is>
      </c>
      <c r="F14" s="4" t="inlineStr">
        <is>
          <t>F0098, F0112, F0117, F0166, F0187, F0231, F0241, F0276, F0077, F0145</t>
        </is>
      </c>
    </row>
    <row r="15" ht="45" customHeight="1" s="108">
      <c r="A15" s="4" t="inlineStr">
        <is>
          <t>Chris Pratt</t>
        </is>
      </c>
      <c r="B15" s="4" t="n">
        <v>10</v>
      </c>
      <c r="C15" s="4" t="n">
        <v>2012</v>
      </c>
      <c r="D15" s="4" t="n">
        <v>2023</v>
      </c>
      <c r="E15" s="19" t="inlineStr">
        <is>
          <t>Delivery Man, Jurassic World, Jurassic World: Fallen Kingdom, Jurassic World Dominion, The Lego Movie, The Lego Movie 2: The Second Part, The Magnificent Seven, The Super Mario Bros. Movie, Avengers: Infinity War, Zero Dark Thirty</t>
        </is>
      </c>
      <c r="F15" s="4" t="inlineStr">
        <is>
          <t>F0080, F0179, F0180, F0181, F0195, F0196, F0207, F0212, F0030, F0349</t>
        </is>
      </c>
    </row>
    <row r="16" ht="75" customHeight="1" s="108">
      <c r="A16" s="4" t="inlineStr">
        <is>
          <t>Daniel Radcliffe</t>
        </is>
      </c>
      <c r="B16" s="4" t="n">
        <v>8</v>
      </c>
      <c r="C16" s="4" t="n">
        <v>2001</v>
      </c>
      <c r="D16" s="4" t="n">
        <v>2011</v>
      </c>
      <c r="E16" s="19" t="inlineStr">
        <is>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Harry Potter and the Deathly Hallows: Part 2</t>
        </is>
      </c>
      <c r="F16" s="4" t="inlineStr">
        <is>
          <t>F0137, F0138, F0139, F0140, F0141, F0142, F0143, F0144</t>
        </is>
      </c>
    </row>
    <row r="17" ht="30" customHeight="1" s="108">
      <c r="A17" s="4" t="inlineStr">
        <is>
          <t>Michelle Rodriguez</t>
        </is>
      </c>
      <c r="B17" s="4" t="n">
        <v>9</v>
      </c>
      <c r="C17" s="4" t="n">
        <v>2001</v>
      </c>
      <c r="D17" s="4" t="n">
        <v>2023</v>
      </c>
      <c r="E17" s="19" t="inlineStr">
        <is>
          <t>Avatar, The Fast and the Furious, Fast &amp; Furious, Fast &amp; Furious 6, Furious 7, The Fate of the Furious, F9: The Fast Saga, Fast X, Battle: Los Angeles</t>
        </is>
      </c>
      <c r="F17" s="4" t="inlineStr">
        <is>
          <t>F0028, F0101, F0104, F0106, F0107, F0108, F0109, F0110, F0046</t>
        </is>
      </c>
    </row>
    <row r="18" ht="75" customHeight="1" s="108">
      <c r="A18" s="4" t="inlineStr">
        <is>
          <t>Rupert Grint</t>
        </is>
      </c>
      <c r="B18" s="4" t="n">
        <v>8</v>
      </c>
      <c r="C18" s="4" t="n">
        <v>2001</v>
      </c>
      <c r="D18" s="4" t="n">
        <v>2011</v>
      </c>
      <c r="E18" s="19" t="inlineStr">
        <is>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Harry Potter and the Deathly Hallows: Part 2</t>
        </is>
      </c>
      <c r="F18" s="4" t="inlineStr">
        <is>
          <t>F0137, F0138, F0139, F0140, F0141, F0142, F0143, F0144</t>
        </is>
      </c>
    </row>
    <row r="19" ht="60" customHeight="1" s="108">
      <c r="A19" s="4" t="inlineStr">
        <is>
          <t>Andy Serkis</t>
        </is>
      </c>
      <c r="B19" s="4" t="n">
        <v>13</v>
      </c>
      <c r="C19" s="4" t="n">
        <v>2001</v>
      </c>
      <c r="D19" s="4" t="n">
        <v>2022</v>
      </c>
      <c r="E19" s="19" t="inlineStr">
        <is>
          <t>King Kong, The Lord of the Rings: The Two Towers, The Lord of the Rings: The Return of the King, Rise of the Planet of the Apes, Dawn of the Planet of the Apes, War for the Planet of the Apes, Sex &amp; Drugs &amp; Rock &amp; Roll, The Batman, The Hobbit: An Unexpected Journey, The Lord of the Rings: The Fellowship of the Ring, The Prestige, Star Wars: The Force Awakens, Star Wars: The Last Jedi</t>
        </is>
      </c>
      <c r="F19" s="4" t="inlineStr">
        <is>
          <t>F0188, F0204, F0205, F0253, F0254, F0255, F0277, F0042, F0150, F0203, F0257, F0298, F0299</t>
        </is>
      </c>
    </row>
    <row r="20" ht="30" customHeight="1" s="108">
      <c r="A20" s="4" t="inlineStr">
        <is>
          <t>Christian Bale</t>
        </is>
      </c>
      <c r="B20" s="4" t="n">
        <v>8</v>
      </c>
      <c r="C20" s="4" t="n">
        <v>2002</v>
      </c>
      <c r="D20" s="4" t="n">
        <v>2019</v>
      </c>
      <c r="E20" s="19" t="inlineStr">
        <is>
          <t>American Hustle, Batman Begins, The Dark Knight, The Dark Knight Rises, The Prestige, Reign of Fire, Terminator Salvation, Le Mans ‘66</t>
        </is>
      </c>
      <c r="F20" s="4" t="inlineStr">
        <is>
          <t>F0020, F0043, F0044, F0045, F0257, F0263, F0310, F0393</t>
        </is>
      </c>
    </row>
    <row r="21" ht="15.75" customHeight="1" s="108">
      <c r="A21" s="4" t="inlineStr">
        <is>
          <t>Daniel Craig</t>
        </is>
      </c>
      <c r="B21" s="4" t="n">
        <v>7</v>
      </c>
      <c r="C21" s="4" t="n">
        <v>2006</v>
      </c>
      <c r="D21" s="4" t="n">
        <v>2021</v>
      </c>
      <c r="E21" s="19" t="inlineStr">
        <is>
          <t>Casino Royale, Quantum of Solace, Skyfall, Spectre, No Time to Die, Cowboys &amp; Aliens, The Girl with the Dragon Tattoo</t>
        </is>
      </c>
      <c r="F21" s="4" t="inlineStr">
        <is>
          <t>F0001, F0002, F0003, F0004, F0005, F0073, F0120</t>
        </is>
      </c>
    </row>
    <row r="22" ht="15.75" customHeight="1" s="108">
      <c r="A22" s="4" t="inlineStr">
        <is>
          <t>Harrison Ford</t>
        </is>
      </c>
      <c r="B22" s="4" t="n">
        <v>10</v>
      </c>
      <c r="C22" s="4" t="n">
        <v>1977</v>
      </c>
      <c r="D22" s="4" t="n">
        <v>2018</v>
      </c>
      <c r="E22" s="19" t="inlineStr">
        <is>
          <t>Cowboys &amp; Aliens, The Expendables 3, Firewall, Star Wars: Episode IV – A New Hope, Star Wars: Episode V – The Empire Strikes Back, Star Wars: Episode VI – Return of the Jedi, Star Wars: The Force Awakens, Anchorman 2, blade runner, blade runner 2049</t>
        </is>
      </c>
      <c r="F22" s="4" t="inlineStr">
        <is>
          <t>F0073, F0097, F0114, F0295, F0296, F0297, F0298, F0357, F0365, F0366</t>
        </is>
      </c>
    </row>
    <row r="23" ht="15.75" customHeight="1" s="108">
      <c r="A23" s="4" t="inlineStr">
        <is>
          <t>Leonardo DiCaprio</t>
        </is>
      </c>
      <c r="B23" s="4" t="n">
        <v>8</v>
      </c>
      <c r="C23" s="4" t="n">
        <v>2002</v>
      </c>
      <c r="D23" s="4" t="n">
        <v>2025</v>
      </c>
      <c r="E23" s="19" t="inlineStr">
        <is>
          <t>Body of Lies, Catch Me If You Can, The Departed, Django Unchained, The Great Gatsby, Inception, Once Upon a Time… in Hollywood, One battle after another</t>
        </is>
      </c>
      <c r="F23" s="4" t="inlineStr">
        <is>
          <t>F0051, F0064, F0081, F0090, F0126, F0165, F0241, F0353</t>
        </is>
      </c>
    </row>
    <row r="24" ht="15.75" customHeight="1" s="108">
      <c r="A24" s="4" t="inlineStr">
        <is>
          <t>Liam Neeson</t>
        </is>
      </c>
      <c r="B24" s="4" t="n">
        <v>9</v>
      </c>
      <c r="C24" s="4" t="n">
        <v>1999</v>
      </c>
      <c r="D24" s="4" t="n">
        <v>2014</v>
      </c>
      <c r="E24" s="19" t="inlineStr">
        <is>
          <t>A Million Ways to Die in the West, The A-Team, Batman Begins, Star Wars: Episode I – The Phantom Menace, Taken, Taken 2, Unknown, Clash of the Titans, The Lego Movie</t>
        </is>
      </c>
      <c r="F24" s="4" t="inlineStr">
        <is>
          <t>F0021, F0026, F0043, F0292, F0306, F0307, F0329, F0066, F0195</t>
        </is>
      </c>
    </row>
    <row r="25" ht="15.75" customHeight="1" s="108">
      <c r="A25" s="4" t="inlineStr">
        <is>
          <t>Mark Strong</t>
        </is>
      </c>
      <c r="B25" s="4" t="n">
        <v>9</v>
      </c>
      <c r="C25" s="4" t="n">
        <v>2008</v>
      </c>
      <c r="D25" s="4" t="n">
        <v>2019</v>
      </c>
      <c r="E25" s="19" t="inlineStr">
        <is>
          <t>Body of Lies, Green Lantern, Grimsby, Kick-Ass, Robin Hood, Sherlock Holmes, Zero Dark Thirty, The Imitation Game, 1917</t>
        </is>
      </c>
      <c r="F25" s="4" t="inlineStr">
        <is>
          <t>F0051, F0128, F0130, F0185, F0267, F0278, F0349, F0162, F0356</t>
        </is>
      </c>
    </row>
    <row r="26" ht="15.75" customHeight="1" s="108">
      <c r="A26" s="4" t="inlineStr">
        <is>
          <t>Peter Cullen</t>
        </is>
      </c>
      <c r="B26" s="4" t="n">
        <v>8</v>
      </c>
      <c r="C26" s="4" t="n">
        <v>1986</v>
      </c>
      <c r="D26" s="4" t="n">
        <v>2023</v>
      </c>
      <c r="E26" s="19" t="inlineStr">
        <is>
          <t>Transformers, Transformers: Revenge of the Fallen, Transformers: Dark of the Moon, Transformers: Age of Extinction, Transformers: The Last Knight, Transformers: Rise of the Beasts, The Transformers: The Movie, Bumblebee</t>
        </is>
      </c>
      <c r="F26" s="4" t="inlineStr">
        <is>
          <t>F0316, F0317, F0318, F0319, F0320, F0321, F0322, F0061</t>
        </is>
      </c>
    </row>
    <row r="27" ht="15.75" customHeight="1" s="108">
      <c r="A27" s="4" t="inlineStr">
        <is>
          <t>Ryan Reynolds</t>
        </is>
      </c>
      <c r="B27" s="4" t="n">
        <v>8</v>
      </c>
      <c r="C27" s="4" t="n">
        <v>2009</v>
      </c>
      <c r="D27" s="4" t="n">
        <v>2024</v>
      </c>
      <c r="E27" s="19" t="inlineStr">
        <is>
          <t>The Croods, Deadpool, Deadpool 2, Deadpool &amp; Wolverine, Green Lantern, The Hitman's Bodyguard, Safe House, X-Men Origins: Wolverine</t>
        </is>
      </c>
      <c r="F27" s="4" t="inlineStr">
        <is>
          <t>F0075, F0076, F0077, F0078, F0128, F0149, F0272, F0343</t>
        </is>
      </c>
    </row>
    <row r="28" ht="15.75" customHeight="1" s="108">
      <c r="A28" s="4" t="inlineStr">
        <is>
          <t>Tom Hanks</t>
        </is>
      </c>
      <c r="B28" s="4" t="n">
        <v>7</v>
      </c>
      <c r="C28" s="4" t="n">
        <v>1995</v>
      </c>
      <c r="D28" s="4" t="n">
        <v>2019</v>
      </c>
      <c r="E28" s="19" t="inlineStr">
        <is>
          <t>Angels &amp; Demons, Captain Phillips, Catch Me If You Can, Toy Story, Toy Story 2, Toy Story 3, Toy Story 4</t>
        </is>
      </c>
      <c r="F28" s="4" t="inlineStr">
        <is>
          <t>F0023, F0062, F0064, F0312, F0313, F0314, F0315</t>
        </is>
      </c>
    </row>
    <row r="29" ht="15.75" customHeight="1" s="108">
      <c r="A29" s="4" t="inlineStr">
        <is>
          <t>Ving Rhames</t>
        </is>
      </c>
      <c r="B29" s="4" t="n">
        <v>8</v>
      </c>
      <c r="C29" s="4" t="n">
        <v>1996</v>
      </c>
      <c r="D29" s="4" t="n">
        <v>2025</v>
      </c>
      <c r="E29" s="19" t="inlineStr">
        <is>
          <t>Con Air, Mission: Impossible II, Mission: Impossible III, Mission: Impossible - Rogue Nation, Mission: Impossible - Fallout, Mission: Impossible - Dead Reckoning Part One, Mission: Impossible - The Final Reckoning, Mission: Impossible</t>
        </is>
      </c>
      <c r="F29" s="4" t="inlineStr">
        <is>
          <t>F0068, F0222, F0223, F0225, F0226, F0227, F0228, F0221</t>
        </is>
      </c>
    </row>
    <row r="30" ht="15.75" customHeight="1" s="108">
      <c r="A30" s="4" t="inlineStr">
        <is>
          <t>Bill Hader</t>
        </is>
      </c>
      <c r="B30" s="4" t="n">
        <v>14</v>
      </c>
      <c r="C30" s="4" t="n">
        <v>2007</v>
      </c>
      <c r="D30" s="4" t="n">
        <v>2018</v>
      </c>
      <c r="E30" s="19" t="inlineStr">
        <is>
          <t>The BFG, Cloudy with a Chance of Meatballs 2, Forgetting Sarah Marshall, Inside Out, Superbad, Ralph Breaks the Internet, Finding Dory, Ice Age: Dawn of the Dinosaurs, Men in Black 3, Monsters University, Night at the Museum: Battle of the Smithsonian, Paul, Pineapple Express, Tropic Thunder</t>
        </is>
      </c>
      <c r="F30" s="4" t="inlineStr">
        <is>
          <t>F0047, F0067, F0115, F0167, F0303, F0337, F0113, F0161, F0219, F0230, F0236, F0245, F0247, F0324</t>
        </is>
      </c>
    </row>
    <row r="31" ht="15.75" customHeight="1" s="108">
      <c r="A31" s="4" t="inlineStr">
        <is>
          <t>Carrie Fisher</t>
        </is>
      </c>
      <c r="B31" s="4" t="n">
        <v>6</v>
      </c>
      <c r="C31" s="4" t="n">
        <v>1977</v>
      </c>
      <c r="D31" s="4" t="n">
        <v>2019</v>
      </c>
      <c r="E31" s="19" t="inlineStr">
        <is>
          <t>Star Wars: Episode IV – A New Hope, Star Wars: Episode V – The Empire Strikes Back, Star Wars: Episode VI – Return of the Jedi, Star Wars: The Force Awakens, Star Wars: The Last Jedi, Star Wars: The Rise of Skywalker</t>
        </is>
      </c>
      <c r="F31" s="4" t="inlineStr">
        <is>
          <t>F0295, F0296, F0297, F0298, F0299, F0300</t>
        </is>
      </c>
    </row>
    <row r="32" ht="15.75" customHeight="1" s="108">
      <c r="A32" s="4" t="inlineStr">
        <is>
          <t>Elizabeth Banks</t>
        </is>
      </c>
      <c r="B32" s="4" t="n">
        <v>15</v>
      </c>
      <c r="C32" s="4" t="n">
        <v>2002</v>
      </c>
      <c r="D32" s="4" t="n">
        <v>2019</v>
      </c>
      <c r="E32" s="19" t="inlineStr">
        <is>
          <t>The Hunger Games, The Hunger Games: Mockingjay - Part 1, The Lego Movie, The Lego Movie 2: The Second Part, Man on a Ledge, Pitch Perfect 3, Catch Me If You Can, Pitch Perfect, Pitch Perfect 2, Spider-Man, Spider-Man 2, Spider-Man 3, Catching  fire, Mockingjay part 2, Catching fire</t>
        </is>
      </c>
      <c r="F32" s="4" t="inlineStr">
        <is>
          <t>F0157, F0158, F0195, F0196, F0210, F0252, F0064, F0250, F0251, F0287, F0288, F0289, F0382, F0383, F0384</t>
        </is>
      </c>
    </row>
    <row r="33" ht="15.75" customHeight="1" s="108">
      <c r="A33" s="4" t="inlineStr">
        <is>
          <t>Famke Janssen</t>
        </is>
      </c>
      <c r="B33" s="4" t="n">
        <v>7</v>
      </c>
      <c r="C33" s="4" t="n">
        <v>2000</v>
      </c>
      <c r="D33" s="4" t="n">
        <v>2014</v>
      </c>
      <c r="E33" s="19" t="inlineStr">
        <is>
          <t>Taken, Taken 2, X-Men, X2: X-Men United, X-Men: The Last Stand, The Wolverine, X-Men: Days of Future Past</t>
        </is>
      </c>
      <c r="F33" s="4" t="inlineStr">
        <is>
          <t>F0306, F0307, F0344, F0345, F0346, F0347, F0341</t>
        </is>
      </c>
    </row>
    <row r="34" ht="15.75" customHeight="1" s="108">
      <c r="A34" s="4" t="inlineStr">
        <is>
          <t>Jamie Foxx</t>
        </is>
      </c>
      <c r="B34" s="4" t="n">
        <v>8</v>
      </c>
      <c r="C34" s="4" t="n">
        <v>2009</v>
      </c>
      <c r="D34" s="4" t="n">
        <v>2017</v>
      </c>
      <c r="E34" s="19" t="inlineStr">
        <is>
          <t>Baby Driver, Django Unchained, Due Date, Law Abiding Citizen, Rio 2, White House Down, Rio, amazing spider-man 2</t>
        </is>
      </c>
      <c r="F34" s="4" t="inlineStr">
        <is>
          <t>F0032, F0090, F0091, F0191, F0266, F0335, F0265, F0363</t>
        </is>
      </c>
    </row>
    <row r="35" ht="15.75" customHeight="1" s="108">
      <c r="A35" s="4" t="inlineStr">
        <is>
          <t>Mark Hamill</t>
        </is>
      </c>
      <c r="B35" s="4" t="n">
        <v>6</v>
      </c>
      <c r="C35" s="4" t="n">
        <v>1977</v>
      </c>
      <c r="D35" s="4" t="n">
        <v>2019</v>
      </c>
      <c r="E35" s="19" t="inlineStr">
        <is>
          <t>Star Wars: Episode IV – A New Hope, Star Wars: Episode V – The Empire Strikes Back, Star Wars: Episode VI – Return of the Jedi, Star Wars: The Force Awakens, Star Wars: The Last Jedi, Star Wars: The Rise of Skywalker</t>
        </is>
      </c>
      <c r="F35" s="4" t="inlineStr">
        <is>
          <t>F0295, F0296, F0297, F0298, F0299, F0300</t>
        </is>
      </c>
    </row>
    <row r="36" ht="15.75" customHeight="1" s="108">
      <c r="A36" s="4" t="inlineStr">
        <is>
          <t>Michael Fassbender</t>
        </is>
      </c>
      <c r="B36" s="4" t="n">
        <v>8</v>
      </c>
      <c r="C36" s="4" t="n">
        <v>2009</v>
      </c>
      <c r="D36" s="4" t="n">
        <v>2022</v>
      </c>
      <c r="E36" s="19" t="inlineStr">
        <is>
          <t>Inglourious Basterds, Jonah Hex, Prometheus, X-Men: First Class, X-Men: Days of Future Past, X-Men: Apocalypse, alien covenant, X-men dark phoenix</t>
        </is>
      </c>
      <c r="F36" s="4" t="inlineStr">
        <is>
          <t>F0166, F0173, F0259, F0340, F0341, F0342, F0361, F0380</t>
        </is>
      </c>
    </row>
    <row r="37" ht="15.75" customHeight="1" s="108">
      <c r="A37" s="4" t="inlineStr">
        <is>
          <t>Paul Walker</t>
        </is>
      </c>
      <c r="B37" s="4" t="n">
        <v>6</v>
      </c>
      <c r="C37" s="4" t="n">
        <v>2001</v>
      </c>
      <c r="D37" s="4" t="n">
        <v>2015</v>
      </c>
      <c r="E37" s="19" t="inlineStr">
        <is>
          <t>The Fast and the Furious, 2 Fast 2 Furious, Fast &amp; Furious, Fast Five, Fast &amp; Furious 6, Furious 7</t>
        </is>
      </c>
      <c r="F37" s="4" t="inlineStr">
        <is>
          <t>F0101, F0102, F0104, F0105, F0106, F0107</t>
        </is>
      </c>
    </row>
    <row r="38" ht="15.75" customHeight="1" s="108">
      <c r="A38" s="4" t="inlineStr">
        <is>
          <t>Russell Crowe</t>
        </is>
      </c>
      <c r="B38" s="4" t="n">
        <v>6</v>
      </c>
      <c r="C38" s="4" t="n">
        <v>2008</v>
      </c>
      <c r="D38" s="4" t="n">
        <v>2016</v>
      </c>
      <c r="E38" s="19" t="inlineStr">
        <is>
          <t>Body of Lies, Les Misérables, Man of Steel, The Nice Guys, Noah, Robin Hood</t>
        </is>
      </c>
      <c r="F38" s="4" t="inlineStr">
        <is>
          <t>F0051, F0199, F0211, F0235, F0238, F0267</t>
        </is>
      </c>
    </row>
    <row r="39" ht="15.75" customHeight="1" s="108">
      <c r="A39" s="4" t="inlineStr">
        <is>
          <t>Samuel L. Jackson</t>
        </is>
      </c>
      <c r="B39" s="4" t="n">
        <v>10</v>
      </c>
      <c r="C39" s="4" t="n">
        <v>1993</v>
      </c>
      <c r="D39" s="4" t="n">
        <v>2017</v>
      </c>
      <c r="E39" s="19" t="inlineStr">
        <is>
          <t>Django Unchained, The Hitman's Bodyguard, Jumper, Kong: Skull Island, Star Wars: Episode II – Attack of the Clones, Star Wars: Episode III – Revenge of the Sith, The Avengers, Jurassic Park, RoboCop, Star Wars: Episode I – The Phantom Menace</t>
        </is>
      </c>
      <c r="F39" s="4" t="inlineStr">
        <is>
          <t>F0090, F0149, F0175, F0190, F0293, F0294, F0029, F0176, F0268, F0292</t>
        </is>
      </c>
    </row>
    <row r="40" ht="15.75" customHeight="1" s="108">
      <c r="A40" s="4" t="inlineStr">
        <is>
          <t>Scarlett Johansson</t>
        </is>
      </c>
      <c r="B40" s="4" t="n">
        <v>8</v>
      </c>
      <c r="C40" s="4" t="n">
        <v>2006</v>
      </c>
      <c r="D40" s="4" t="n">
        <v>2025</v>
      </c>
      <c r="E40" s="19" t="inlineStr">
        <is>
          <t>The Avengers, Avengers: Endgame, Chef, Jojo Rabbit, Jurassic World Rebirth, Sing, Avengers: Infinity War, The Prestige</t>
        </is>
      </c>
      <c r="F40" s="4" t="inlineStr">
        <is>
          <t>F0029, F0031, F0065, F0170, F0182, F0280, F0030, F0257</t>
        </is>
      </c>
    </row>
    <row r="41" ht="15.75" customHeight="1" s="108">
      <c r="A41" s="4" t="inlineStr">
        <is>
          <t>Will Smith</t>
        </is>
      </c>
      <c r="B41" s="4" t="n">
        <v>7</v>
      </c>
      <c r="C41" s="4" t="n">
        <v>1995</v>
      </c>
      <c r="D41" s="4" t="n">
        <v>2014</v>
      </c>
      <c r="E41" s="19" t="inlineStr">
        <is>
          <t>Bad Boys, Bad Boys II, Enemy of the State, Men in Black, Men in Black 3, The Pursuit of Happyness, Paddington</t>
        </is>
      </c>
      <c r="F41" s="4" t="inlineStr">
        <is>
          <t>F0036, F0037, F0094, F0218, F0219, F0260, F0244</t>
        </is>
      </c>
    </row>
    <row r="42" ht="15.75" customHeight="1" s="108">
      <c r="A42" s="4" t="inlineStr">
        <is>
          <t>Anna Kendrick</t>
        </is>
      </c>
      <c r="B42" s="4" t="n">
        <v>5</v>
      </c>
      <c r="C42" s="4" t="n">
        <v>2011</v>
      </c>
      <c r="D42" s="4" t="n">
        <v>2017</v>
      </c>
      <c r="E42" s="19" t="inlineStr">
        <is>
          <t>50/50, The Accountant, Pitch Perfect, Pitch Perfect 2, Pitch Perfect 3</t>
        </is>
      </c>
      <c r="F42" s="4" t="inlineStr">
        <is>
          <t>F0011, F0013, F0250, F0251, F0252</t>
        </is>
      </c>
    </row>
    <row r="43" ht="15.75" customHeight="1" s="108">
      <c r="A43" s="4" t="inlineStr">
        <is>
          <t>Anne Hathaway</t>
        </is>
      </c>
      <c r="B43" s="4" t="n">
        <v>5</v>
      </c>
      <c r="C43" s="4" t="n">
        <v>2011</v>
      </c>
      <c r="D43" s="4" t="n">
        <v>2014</v>
      </c>
      <c r="E43" s="19" t="inlineStr">
        <is>
          <t>The Dark Knight Rises, Interstellar, Les Misérables, Rio, Rio 2</t>
        </is>
      </c>
      <c r="F43" s="4" t="inlineStr">
        <is>
          <t>F0045, F0168, F0199, F0265, F0266</t>
        </is>
      </c>
    </row>
    <row r="44" ht="15.75" customHeight="1" s="108">
      <c r="A44" s="4" t="inlineStr">
        <is>
          <t>Bradley Cooper</t>
        </is>
      </c>
      <c r="B44" s="4" t="n">
        <v>7</v>
      </c>
      <c r="C44" s="4" t="n">
        <v>2009</v>
      </c>
      <c r="D44" s="4" t="n">
        <v>2025</v>
      </c>
      <c r="E44" s="19" t="inlineStr">
        <is>
          <t>American Hustle, The A-Team, The Hangover, The Hangover Part II, The Hangover Part III, Avengers: Infinity War, Superman</t>
        </is>
      </c>
      <c r="F44" s="4" t="inlineStr">
        <is>
          <t>F0020, F0026, F0134, F0135, F0136, F0030, F0304</t>
        </is>
      </c>
    </row>
    <row r="45" ht="15.75" customHeight="1" s="108">
      <c r="A45" s="4" t="inlineStr">
        <is>
          <t>Bryce Dallas Howard</t>
        </is>
      </c>
      <c r="B45" s="4" t="n">
        <v>7</v>
      </c>
      <c r="C45" s="4" t="n">
        <v>2007</v>
      </c>
      <c r="D45" s="4" t="n">
        <v>2022</v>
      </c>
      <c r="E45" s="19" t="inlineStr">
        <is>
          <t>50/50, Jurassic World, Jurassic World: Fallen Kingdom, Jurassic World Dominion, Rocketman, Spider-Man 3, Terminator Salvation</t>
        </is>
      </c>
      <c r="F45" s="4" t="inlineStr">
        <is>
          <t>F0011, F0179, F0180, F0181, F0269, F0289, F0310</t>
        </is>
      </c>
    </row>
    <row r="46" ht="15.75" customHeight="1" s="108">
      <c r="A46" s="4" t="inlineStr">
        <is>
          <t>Channing Tatum</t>
        </is>
      </c>
      <c r="B46" s="4" t="n">
        <v>10</v>
      </c>
      <c r="C46" s="4" t="n">
        <v>2009</v>
      </c>
      <c r="D46" s="4" t="n">
        <v>2024</v>
      </c>
      <c r="E46" s="19" t="inlineStr">
        <is>
          <t>21 Jump Street, 22 Jump Street, Dear John, Magic Mike, White House Down, Deadpool &amp; Wolverine, G.I. Joe: The Rise of Cobra, The Lego Batman Movie, The Lego Movie, The Lego Movie 2: The Second Part</t>
        </is>
      </c>
      <c r="F46" s="4" t="inlineStr">
        <is>
          <t>F0007, F0008, F0079, F0206, F0335, F0078, F0118, F0193, F0195, F0196</t>
        </is>
      </c>
    </row>
    <row r="47" ht="15.75" customHeight="1" s="108">
      <c r="A47" s="4" t="inlineStr">
        <is>
          <t>Chris Hemsworth</t>
        </is>
      </c>
      <c r="B47" s="4" t="n">
        <v>8</v>
      </c>
      <c r="C47" s="4" t="n">
        <v>2009</v>
      </c>
      <c r="D47" s="4" t="n">
        <v>2025</v>
      </c>
      <c r="E47" s="19" t="inlineStr">
        <is>
          <t xml:space="preserve">The Avengers, Avengers: Infinity War, Avengers: Endgame, Rush, Snow White and the Huntsman, Star Trek, furiosa, furiosa </t>
        </is>
      </c>
      <c r="F47" s="4" t="inlineStr">
        <is>
          <t>F0029, F0030, F0031, F0270, F0284, F0291, F0370</t>
        </is>
      </c>
    </row>
    <row r="48" ht="15.75" customHeight="1" s="108">
      <c r="A48" s="4" t="inlineStr">
        <is>
          <t>Dwayne Johnson</t>
        </is>
      </c>
      <c r="B48" s="4" t="n">
        <v>7</v>
      </c>
      <c r="C48" s="4" t="n">
        <v>2011</v>
      </c>
      <c r="D48" s="4" t="n">
        <v>2019</v>
      </c>
      <c r="E48" s="19" t="inlineStr">
        <is>
          <t>Fast Five, Fast &amp; Furious 6, The Fate of the Furious, Fast &amp; Furious Presents: Hobbs &amp; Shaw, Hercules, Furious 7, Jumanji welcome to the jungle</t>
        </is>
      </c>
      <c r="F48" s="4" t="inlineStr">
        <is>
          <t>F0105, F0106, F0108, F0111, F0147, F0107, F0359</t>
        </is>
      </c>
    </row>
    <row r="49" ht="15.75" customHeight="1" s="108">
      <c r="A49" s="4" t="inlineStr">
        <is>
          <t>Ewan McGregor</t>
        </is>
      </c>
      <c r="B49" s="4" t="n">
        <v>6</v>
      </c>
      <c r="C49" s="4" t="n">
        <v>1999</v>
      </c>
      <c r="D49" s="4" t="n">
        <v>2014</v>
      </c>
      <c r="E49" s="19" t="inlineStr">
        <is>
          <t>Angels &amp; Demons, Black Hawk Down, Star Wars: Episode I – The Phantom Menace, Star Wars: Episode II – Attack of the Clones, Star Wars: Episode III – Revenge of the Sith, A Million Ways to Die in the West</t>
        </is>
      </c>
      <c r="F49" s="4" t="inlineStr">
        <is>
          <t>F0023, F0050, F0292, F0293, F0294, F0021</t>
        </is>
      </c>
    </row>
    <row r="50" ht="15.75" customHeight="1" s="108">
      <c r="A50" s="4" t="inlineStr">
        <is>
          <t>Gary Oldman</t>
        </is>
      </c>
      <c r="B50" s="4" t="n">
        <v>11</v>
      </c>
      <c r="C50" s="4" t="n">
        <v>2004</v>
      </c>
      <c r="D50" s="4" t="n">
        <v>2017</v>
      </c>
      <c r="E50" s="19" t="inlineStr">
        <is>
          <t>Batman Begins, The Dark Knight Rises, The Hitman's Bodyguard, Lawless, Dawn of the Planet of the Apes, The Dark Knight, Harry Potter and the Prisoner of Azkaban, Harry Potter and the Goblet of Fire, Harry Potter and the Order of the Phoenix, Harry Potter and the Deathly Hallows: Part 2, RoboCop</t>
        </is>
      </c>
      <c r="F50" s="4" t="inlineStr">
        <is>
          <t>F0043, F0045, F0149, F0192, F0254, F0044, F0139, F0140, F0141, F0144, F0268</t>
        </is>
      </c>
    </row>
    <row r="51" ht="15.75" customHeight="1" s="108">
      <c r="A51" s="4" t="inlineStr">
        <is>
          <t>Gerard Butler</t>
        </is>
      </c>
      <c r="B51" s="4" t="n">
        <v>5</v>
      </c>
      <c r="C51" s="4" t="n">
        <v>2002</v>
      </c>
      <c r="D51" s="4" t="n">
        <v>2014</v>
      </c>
      <c r="E51" s="19" t="inlineStr">
        <is>
          <t>How to Train Your Dragon, How to Train Your Dragon 2, Law Abiding Citizen, Olympus Has Fallen, Reign of Fire</t>
        </is>
      </c>
      <c r="F51" s="4" t="inlineStr">
        <is>
          <t>F0154, F0155, F0191, F0240, F0263</t>
        </is>
      </c>
    </row>
    <row r="52" ht="15.75" customHeight="1" s="108">
      <c r="A52" s="4" t="inlineStr">
        <is>
          <t>Helena Bonham Carter</t>
        </is>
      </c>
      <c r="B52" s="4" t="n">
        <v>8</v>
      </c>
      <c r="C52" s="4" t="n">
        <v>1999</v>
      </c>
      <c r="D52" s="4" t="n">
        <v>2012</v>
      </c>
      <c r="E52" s="19" t="inlineStr">
        <is>
          <t>Fight Club, Harry Potter and the Order of the Phoenix, Harry Potter and the Deathly Hallows: Part 1, The King's Speech, Terminator Salvation, Harry Potter and the Half-Blood Prince, Harry Potter and the Deathly Hallows: Part 2, Les Misérables</t>
        </is>
      </c>
      <c r="F52" s="4" t="inlineStr">
        <is>
          <t>F0112, F0141, F0143, F0189, F0310, F0142, F0144, F0199</t>
        </is>
      </c>
    </row>
    <row r="53" ht="15.75" customHeight="1" s="108">
      <c r="A53" s="4" t="inlineStr">
        <is>
          <t>Hugo Weaving</t>
        </is>
      </c>
      <c r="B53" s="4" t="n">
        <v>13</v>
      </c>
      <c r="C53" s="4" t="n">
        <v>1999</v>
      </c>
      <c r="D53" s="4" t="n">
        <v>2016</v>
      </c>
      <c r="E53" s="19" t="inlineStr">
        <is>
          <t>The Matrix, The Matrix Reloaded, The Matrix Revolutions, Transformers, Transformers: Revenge of the Fallen, Hacksaw Ridge, Happy Feet Two, The Hobbit: An Unexpected Journey, The Hobbit: The Battle of the Five Armies, The Lord of the Rings: The Fellowship of the Ring, The Lord of the Rings: The Two Towers, The Lord of the Rings: The Return of the King, Transformers: Dark of the Moon</t>
        </is>
      </c>
      <c r="F53" s="4" t="inlineStr">
        <is>
          <t>F0214, F0215, F0216, F0316, F0317, F0133, F0145, F0150, F0152, F0203, F0204, F0205, F0318</t>
        </is>
      </c>
    </row>
    <row r="54" ht="15.75" customHeight="1" s="108">
      <c r="A54" s="4" t="inlineStr">
        <is>
          <t>James Franco</t>
        </is>
      </c>
      <c r="B54" s="4" t="n">
        <v>6</v>
      </c>
      <c r="C54" s="4" t="n">
        <v>2002</v>
      </c>
      <c r="D54" s="4" t="n">
        <v>2017</v>
      </c>
      <c r="E54" s="19" t="inlineStr">
        <is>
          <t>Pineapple Express, Rise of the Planet of the Apes, Spider-Man, Spider-Man 2, Spider-Man 3, alien covenant</t>
        </is>
      </c>
      <c r="F54" s="4" t="inlineStr">
        <is>
          <t>F0247, F0253, F0287, F0288, F0289, F0361</t>
        </is>
      </c>
    </row>
    <row r="55" ht="15.75" customHeight="1" s="108">
      <c r="A55" s="4" t="inlineStr">
        <is>
          <t>Jennifer Lawrence</t>
        </is>
      </c>
      <c r="B55" s="4" t="n">
        <v>10</v>
      </c>
      <c r="C55" s="4" t="n">
        <v>2011</v>
      </c>
      <c r="D55" s="4" t="n">
        <v>2022</v>
      </c>
      <c r="E55" s="19" t="inlineStr">
        <is>
          <t>American Hustle, The Hunger Games, The Hunger Games: Mockingjay - Part 1, X-Men: First Class, X-Men: Apocalypse, X-Men: Days of Future Past, X-men dark phoenix, Catching  fire, Mockingjay part 2, Catching fire</t>
        </is>
      </c>
      <c r="F55" s="4" t="inlineStr">
        <is>
          <t>F0020, F0157, F0158, F0340, F0342, F0341, F0380, F0382, F0383, F0384</t>
        </is>
      </c>
    </row>
    <row r="56" ht="15.75" customHeight="1" s="108">
      <c r="A56" s="4" t="inlineStr">
        <is>
          <t>John Goodman</t>
        </is>
      </c>
      <c r="B56" s="4" t="n">
        <v>11</v>
      </c>
      <c r="C56" s="4" t="n">
        <v>1998</v>
      </c>
      <c r="D56" s="4" t="n">
        <v>2017</v>
      </c>
      <c r="E56" s="19" t="inlineStr">
        <is>
          <t>Argo, The Big Lebowski, Kong: Skull Island, Monsters, Inc., Monsters University, The Hangover Part III, Monsters, Inc., Transformers: Age of Extinction, Monsters, Inc., Monsters, Inc., Monsters, Inc.</t>
        </is>
      </c>
      <c r="F56" s="4" t="inlineStr">
        <is>
          <t>F0025, F0049, F0190, F0229, F0230, F0136, F0319</t>
        </is>
      </c>
    </row>
    <row r="57" ht="15.75" customHeight="1" s="108">
      <c r="A57" s="4" t="inlineStr">
        <is>
          <t>Jordana Brewster</t>
        </is>
      </c>
      <c r="B57" s="4" t="n">
        <v>7</v>
      </c>
      <c r="C57" s="4" t="n">
        <v>2001</v>
      </c>
      <c r="D57" s="4" t="n">
        <v>2023</v>
      </c>
      <c r="E57" s="19" t="inlineStr">
        <is>
          <t>The Fast and the Furious, Fast &amp; Furious, Fast Five, Fast &amp; Furious 6, Furious 7, F9: The Fast Saga, Fast X</t>
        </is>
      </c>
      <c r="F57" s="4" t="inlineStr">
        <is>
          <t>F0101, F0104, F0105, F0106, F0107, F0109, F0110</t>
        </is>
      </c>
    </row>
    <row r="58" ht="15.75" customHeight="1" s="108">
      <c r="A58" s="4" t="inlineStr">
        <is>
          <t>Josh Brolin</t>
        </is>
      </c>
      <c r="B58" s="4" t="n">
        <v>9</v>
      </c>
      <c r="C58" s="4" t="n">
        <v>2010</v>
      </c>
      <c r="D58" s="4" t="n">
        <v>2024</v>
      </c>
      <c r="E58" s="19" t="inlineStr">
        <is>
          <t xml:space="preserve">Avengers: Infinity War, Deadpool 2, Jonah Hex, Men in Black 3, True Grit, Avengers: Endgame, dune, dune  part two, dune </t>
        </is>
      </c>
      <c r="F58" s="4" t="inlineStr">
        <is>
          <t>F0030, F0077, F0173, F0219, F0325, F0031, F0367, F0368</t>
        </is>
      </c>
    </row>
    <row r="59" ht="15.75" customHeight="1" s="108">
      <c r="A59" s="4" t="inlineStr">
        <is>
          <t>Kristen Wiig</t>
        </is>
      </c>
      <c r="B59" s="4" t="n">
        <v>11</v>
      </c>
      <c r="C59" s="4" t="n">
        <v>2008</v>
      </c>
      <c r="D59" s="4" t="n">
        <v>2017</v>
      </c>
      <c r="E59" s="19" t="inlineStr">
        <is>
          <t>Bridesmaids, Despicable Me 2, Despicable Me 3, The Martian, Paul, Despicable Me, Forgetting Sarah Marshall, How to Train Your Dragon, How to Train Your Dragon 2, Ice Age: Dawn of the Dinosaurs, Anchorman 2</t>
        </is>
      </c>
      <c r="F59" s="4" t="inlineStr">
        <is>
          <t>F0058, F0083, F0084, F0213, F0245, F0082, F0115, F0154, F0155, F0161, F0357</t>
        </is>
      </c>
    </row>
    <row r="60" ht="15.75" customHeight="1" s="108">
      <c r="A60" s="4" t="inlineStr">
        <is>
          <t>Mark Wahlberg</t>
        </is>
      </c>
      <c r="B60" s="4" t="n">
        <v>6</v>
      </c>
      <c r="C60" s="4" t="n">
        <v>2006</v>
      </c>
      <c r="D60" s="4" t="n">
        <v>2017</v>
      </c>
      <c r="E60" s="19" t="inlineStr">
        <is>
          <t>The Departed, Lone Survivor, Ted, Transformers: Age of Extinction, Transformers: The Last Knight, 2 guns</t>
        </is>
      </c>
      <c r="F60" s="4" t="inlineStr">
        <is>
          <t>F0081, F0202, F0308, F0319, F0320, F0355</t>
        </is>
      </c>
    </row>
    <row r="61" ht="15.75" customHeight="1" s="108">
      <c r="A61" s="4" t="inlineStr">
        <is>
          <t>Matthew McConaughey</t>
        </is>
      </c>
      <c r="B61" s="4" t="n">
        <v>6</v>
      </c>
      <c r="C61" s="4" t="n">
        <v>2002</v>
      </c>
      <c r="D61" s="4" t="n">
        <v>2020</v>
      </c>
      <c r="E61" s="19" t="inlineStr">
        <is>
          <t>The Gentlemen, Interstellar, Magic Mike, Reign of Fire, Sing, Tropic Thunder</t>
        </is>
      </c>
      <c r="F61" s="4" t="inlineStr">
        <is>
          <t>F0119, F0168, F0206, F0263, F0280, F0324</t>
        </is>
      </c>
    </row>
    <row r="62" ht="15.75" customHeight="1" s="108">
      <c r="A62" s="4" t="inlineStr">
        <is>
          <t>Morgan Freeman</t>
        </is>
      </c>
      <c r="B62" s="4" t="n">
        <v>9</v>
      </c>
      <c r="C62" s="4" t="n">
        <v>1995</v>
      </c>
      <c r="D62" s="4" t="n">
        <v>2014</v>
      </c>
      <c r="E62" s="19" t="inlineStr">
        <is>
          <t>The Bucket List, The Lego Movie, Oblivion, RED, Se7en, Batman Begins, The Dark Knight, The Dark Knight Rises, Olympus Has Fallen</t>
        </is>
      </c>
      <c r="F62" s="4" t="inlineStr">
        <is>
          <t>F0060, F0195, F0239, F0262, F0276, F0043, F0044, F0045, F0240</t>
        </is>
      </c>
    </row>
    <row r="63" ht="15.75" customHeight="1" s="108">
      <c r="A63" s="4" t="inlineStr">
        <is>
          <t>Nick Frost</t>
        </is>
      </c>
      <c r="B63" s="4" t="n">
        <v>6</v>
      </c>
      <c r="C63" s="4" t="n">
        <v>2004</v>
      </c>
      <c r="D63" s="4" t="n">
        <v>2013</v>
      </c>
      <c r="E63" s="19" t="inlineStr">
        <is>
          <t>Attack the Block, Shaun of the Dead, Hot Fuzz, The World's End, Paul, Snow White and the Huntsman</t>
        </is>
      </c>
      <c r="F63" s="4" t="inlineStr">
        <is>
          <t>F0027, F0070, F0071, F0072, F0245, F0284</t>
        </is>
      </c>
    </row>
    <row r="64" ht="15.75" customHeight="1" s="108">
      <c r="A64" s="4" t="inlineStr">
        <is>
          <t>Patrick Stewart</t>
        </is>
      </c>
      <c r="B64" s="4" t="n">
        <v>6</v>
      </c>
      <c r="C64" s="4" t="n">
        <v>2000</v>
      </c>
      <c r="D64" s="4" t="n">
        <v>2017</v>
      </c>
      <c r="E64" s="19" t="inlineStr">
        <is>
          <t>Logan, X-Men: Days of Future Past, X-Men, X2: X-Men United, X-Men: The Last Stand, Ted</t>
        </is>
      </c>
      <c r="F64" s="4" t="inlineStr">
        <is>
          <t>F0201, F0341, F0344, F0345, F0346, F0308</t>
        </is>
      </c>
    </row>
    <row r="65" ht="15.75" customHeight="1" s="108">
      <c r="A65" s="4" t="inlineStr">
        <is>
          <t>Ralph Fiennes</t>
        </is>
      </c>
      <c r="B65" s="4" t="n">
        <v>10</v>
      </c>
      <c r="C65" s="4" t="n">
        <v>2005</v>
      </c>
      <c r="D65" s="4" t="n">
        <v>2021</v>
      </c>
      <c r="E65" s="19" t="inlineStr">
        <is>
          <t>Skyfall, Spectre, No Time to Die, Harry Potter and the Deathly Hallows: Part 2, The Lego Batman Movie, Clash of the Titans, Harry Potter and the Goblet of Fire, Harry Potter and the Order of the Phoenix, Harry Potter and the Deathly Hallows: Part 1, The Lego Movie 2: The Second Part</t>
        </is>
      </c>
      <c r="F65" s="4" t="inlineStr">
        <is>
          <t>F0003, F0004, F0005, F0144, F0193, F0066, F0140, F0141, F0143, F0196</t>
        </is>
      </c>
    </row>
    <row r="66" ht="15.75" customHeight="1" s="108">
      <c r="A66" s="4" t="inlineStr">
        <is>
          <t>Rebel Wilson</t>
        </is>
      </c>
      <c r="B66" s="4" t="n">
        <v>6</v>
      </c>
      <c r="C66" s="4" t="n">
        <v>2011</v>
      </c>
      <c r="D66" s="4" t="n">
        <v>2019</v>
      </c>
      <c r="E66" s="19" t="inlineStr">
        <is>
          <t>Grimsby, Jojo Rabbit, Pitch Perfect, Pitch Perfect 2, Pitch Perfect 3, Bridesmaids</t>
        </is>
      </c>
      <c r="F66" s="4" t="inlineStr">
        <is>
          <t>F0130, F0170, F0250, F0251, F0252, F0058</t>
        </is>
      </c>
    </row>
    <row r="67" ht="15.75" customHeight="1" s="108">
      <c r="A67" s="4" t="inlineStr">
        <is>
          <t>Sam Worthington</t>
        </is>
      </c>
      <c r="B67" s="4" t="n">
        <v>6</v>
      </c>
      <c r="C67" s="4" t="n">
        <v>2009</v>
      </c>
      <c r="D67" s="4" t="n">
        <v>2022</v>
      </c>
      <c r="E67" s="19" t="inlineStr">
        <is>
          <t>Avatar, Clash of the Titans, Hacksaw Ridge, Man on a Ledge, Terminator Salvation, avatar way of water</t>
        </is>
      </c>
      <c r="F67" s="4" t="inlineStr">
        <is>
          <t>F0028, F0066, F0133, F0210, F0310, F0364</t>
        </is>
      </c>
    </row>
    <row r="68" ht="15.75" customHeight="1" s="108">
      <c r="A68" s="4" t="inlineStr">
        <is>
          <t>Shia LaBeouf</t>
        </is>
      </c>
      <c r="B68" s="4" t="n">
        <v>5</v>
      </c>
      <c r="C68" s="4" t="n">
        <v>2007</v>
      </c>
      <c r="D68" s="4" t="n">
        <v>2014</v>
      </c>
      <c r="E68" s="19" t="inlineStr">
        <is>
          <t>Fury, Lawless, Transformers, Transformers: Revenge of the Fallen, Transformers: Dark of the Moon</t>
        </is>
      </c>
      <c r="F68" s="4" t="inlineStr">
        <is>
          <t>F0117, F0192, F0316, F0317, F0318</t>
        </is>
      </c>
    </row>
    <row r="69" ht="15.75" customHeight="1" s="108">
      <c r="A69" s="4" t="inlineStr">
        <is>
          <t>Sigourney Weaver</t>
        </is>
      </c>
      <c r="B69" s="4" t="n">
        <v>8</v>
      </c>
      <c r="C69" s="4" t="n">
        <v>1979</v>
      </c>
      <c r="D69" s="4" t="n">
        <v>2022</v>
      </c>
      <c r="E69" s="19" t="inlineStr">
        <is>
          <t>Alien, Aliens, Alien³, Alien Resurrection, Avatar, Paul, WALL·E, avatar way of water</t>
        </is>
      </c>
      <c r="F69" s="4" t="inlineStr">
        <is>
          <t>F0015, F0016, F0017, F0018, F0028, F0245, F0331, F0364</t>
        </is>
      </c>
    </row>
    <row r="70" ht="15.75" customHeight="1" s="108">
      <c r="A70" s="4" t="inlineStr">
        <is>
          <t>Sylvester Stallone</t>
        </is>
      </c>
      <c r="B70" s="4" t="n">
        <v>5</v>
      </c>
      <c r="C70" s="4" t="n">
        <v>2008</v>
      </c>
      <c r="D70" s="4" t="n">
        <v>2015</v>
      </c>
      <c r="E70" s="19" t="inlineStr">
        <is>
          <t>Creed, The Expendables, The Expendables 2, The Expendables 3, Rambo</t>
        </is>
      </c>
      <c r="F70" s="4" t="inlineStr">
        <is>
          <t>F0074, F0095, F0096, F0097, F0261</t>
        </is>
      </c>
    </row>
    <row r="71" ht="15.75" customHeight="1" s="108">
      <c r="A71" s="4" t="inlineStr">
        <is>
          <t>Tyrese Gibson</t>
        </is>
      </c>
      <c r="B71" s="4" t="n">
        <v>11</v>
      </c>
      <c r="C71" s="4" t="n">
        <v>2003</v>
      </c>
      <c r="D71" s="4" t="n">
        <v>2023</v>
      </c>
      <c r="E71" s="19" t="inlineStr">
        <is>
          <t>2 Fast 2 Furious, Fast Five, The Fate of the Furious, F9: The Fast Saga, Fast X, Fast &amp; Furious, Fast &amp; Furious 6, Furious 7, Transformers, Transformers: Revenge of the Fallen, Transformers: Dark of the Moon</t>
        </is>
      </c>
      <c r="F71" s="4" t="inlineStr">
        <is>
          <t>F0102, F0105, F0108, F0109, F0110, F0104, F0106, F0107, F0316, F0317, F0318</t>
        </is>
      </c>
    </row>
    <row r="72" ht="15.75" customHeight="1" s="108">
      <c r="A72" s="4" t="inlineStr">
        <is>
          <t>Zach Galifianakis</t>
        </is>
      </c>
      <c r="B72" s="4" t="n">
        <v>6</v>
      </c>
      <c r="C72" s="4" t="n">
        <v>2009</v>
      </c>
      <c r="D72" s="4" t="n">
        <v>2017</v>
      </c>
      <c r="E72" s="19" t="inlineStr">
        <is>
          <t>Due Date, The Hangover, The Hangover Part II, The Hangover Part III, The Lego Batman Movie, Muppets Most Wanted</t>
        </is>
      </c>
      <c r="F72" s="4" t="inlineStr">
        <is>
          <t>F0091, F0134, F0135, F0136, F0193, F0232</t>
        </is>
      </c>
    </row>
    <row r="73" ht="15.75" customHeight="1" s="108">
      <c r="A73" s="4" t="inlineStr">
        <is>
          <t>Aaron Eckhart</t>
        </is>
      </c>
      <c r="B73" s="4" t="n">
        <v>8</v>
      </c>
      <c r="C73" s="4" t="n">
        <v>2008</v>
      </c>
      <c r="D73" s="4" t="n">
        <v>2014</v>
      </c>
      <c r="E73" s="19" t="inlineStr">
        <is>
          <t>The Dark Knight, Battle: Los Angeles, I, Frankenstein, Olympus Has Fallen, I, Frankenstein, I, Frankenstein, I, Frankenstein, I, Frankenstein</t>
        </is>
      </c>
      <c r="F73" s="4" t="inlineStr">
        <is>
          <t>F0044, F0046, F0159, F0240</t>
        </is>
      </c>
    </row>
    <row r="74" ht="15.75" customHeight="1" s="108">
      <c r="A74" s="4" t="inlineStr">
        <is>
          <t>Aaron Taylor-Johnson</t>
        </is>
      </c>
      <c r="B74" s="4" t="n">
        <v>5</v>
      </c>
      <c r="C74" s="4" t="n">
        <v>2010</v>
      </c>
      <c r="D74" s="4" t="n">
        <v>2024</v>
      </c>
      <c r="E74" s="19" t="inlineStr">
        <is>
          <t>The Fall Guy, Godzilla, Kick-Ass, Kick-Ass 2, Tenet</t>
        </is>
      </c>
      <c r="F74" s="4" t="inlineStr">
        <is>
          <t>F0099, F0121, F0185, F0186, F0387</t>
        </is>
      </c>
    </row>
    <row r="75" ht="15.75" customHeight="1" s="108">
      <c r="A75" s="4" t="inlineStr">
        <is>
          <t>Amanda Seyfried</t>
        </is>
      </c>
      <c r="B75" s="4" t="n">
        <v>4</v>
      </c>
      <c r="C75" s="4" t="n">
        <v>2008</v>
      </c>
      <c r="D75" s="4" t="n">
        <v>2014</v>
      </c>
      <c r="E75" s="19" t="inlineStr">
        <is>
          <t>A Million Ways to Die in the West, Dear John, Les Misérables, Mamma Mia!</t>
        </is>
      </c>
      <c r="F75" s="4" t="inlineStr">
        <is>
          <t>F0021, F0079, F0199, F0209</t>
        </is>
      </c>
    </row>
    <row r="76" ht="15.75" customHeight="1" s="108">
      <c r="A76" s="4" t="inlineStr">
        <is>
          <t>Ben Affleck</t>
        </is>
      </c>
      <c r="B76" s="4" t="n">
        <v>5</v>
      </c>
      <c r="C76" s="4" t="n">
        <v>1997</v>
      </c>
      <c r="D76" s="4" t="n">
        <v>2016</v>
      </c>
      <c r="E76" s="19" t="inlineStr">
        <is>
          <t>The Accountant, Argo, Good Will Hunting, Pearl Harbor, Dogma</t>
        </is>
      </c>
      <c r="F76" s="4" t="inlineStr">
        <is>
          <t>F0013, F0025, F0124, F0246, F0351</t>
        </is>
      </c>
    </row>
    <row r="77" ht="15.75" customHeight="1" s="108">
      <c r="A77" s="4" t="inlineStr">
        <is>
          <t>Brendan Gleeson</t>
        </is>
      </c>
      <c r="B77" s="4" t="n">
        <v>7</v>
      </c>
      <c r="C77" s="4" t="n">
        <v>2000</v>
      </c>
      <c r="D77" s="4" t="n">
        <v>2013</v>
      </c>
      <c r="E77" s="19" t="inlineStr">
        <is>
          <t>Green Zone, Harry Potter and the Goblet of Fire, Safe House, The Smurfs 2, Harry Potter and the Order of the Phoenix, Harry Potter and the Deathly Hallows: Part 1, Mission: Impossible II</t>
        </is>
      </c>
      <c r="F77" s="4" t="inlineStr">
        <is>
          <t>F0129, F0140, F0272, F0282, F0141, F0143, F0222</t>
        </is>
      </c>
    </row>
    <row r="78" ht="15.75" customHeight="1" s="108">
      <c r="A78" s="4" t="inlineStr">
        <is>
          <t>Bruce Willis</t>
        </is>
      </c>
      <c r="B78" s="4" t="n">
        <v>6</v>
      </c>
      <c r="C78" s="4" t="n">
        <v>2007</v>
      </c>
      <c r="D78" s="4" t="n">
        <v>2019</v>
      </c>
      <c r="E78" s="19" t="inlineStr">
        <is>
          <t>Catch.44, Cop Out, Live Free or Die Hard, RED, The Expendables 2, The Lego Movie 2: The Second Part</t>
        </is>
      </c>
      <c r="F78" s="4" t="inlineStr">
        <is>
          <t>F0063, F0069, F0086, F0262, F0096, F0196</t>
        </is>
      </c>
    </row>
    <row r="79" ht="15.75" customHeight="1" s="108">
      <c r="A79" s="4" t="inlineStr">
        <is>
          <t>Chris Evans</t>
        </is>
      </c>
      <c r="B79" s="4" t="n">
        <v>5</v>
      </c>
      <c r="C79" s="4" t="n">
        <v>2012</v>
      </c>
      <c r="D79" s="4" t="n">
        <v>2024</v>
      </c>
      <c r="E79" s="19" t="inlineStr">
        <is>
          <t>The Avengers, Avengers: Infinity War, Avengers: Endgame, Snowpiercer, Deadpool &amp; Wolverine</t>
        </is>
      </c>
      <c r="F79" s="4" t="inlineStr">
        <is>
          <t>F0029, F0030, F0031, F0283, F0078</t>
        </is>
      </c>
    </row>
    <row r="80" ht="15.75" customHeight="1" s="108">
      <c r="A80" s="4" t="inlineStr">
        <is>
          <t>Elijah Wood</t>
        </is>
      </c>
      <c r="B80" s="4" t="n">
        <v>6</v>
      </c>
      <c r="C80" s="4" t="n">
        <v>1989</v>
      </c>
      <c r="D80" s="4" t="n">
        <v>2012</v>
      </c>
      <c r="E80" s="19" t="inlineStr">
        <is>
          <t>Happy Feet Two, The Lord of the Rings: The Fellowship of the Ring, The Lord of the Rings: The Two Towers, The Lord of the Rings: The Return of the King, Back to the Future Part II, The Hobbit: An Unexpected Journey</t>
        </is>
      </c>
      <c r="F80" s="4" t="inlineStr">
        <is>
          <t>F0145, F0203, F0204, F0205, F0034, F0150</t>
        </is>
      </c>
    </row>
    <row r="81" ht="15.75" customHeight="1" s="108">
      <c r="A81" s="4" t="inlineStr">
        <is>
          <t>Guy Pearce</t>
        </is>
      </c>
      <c r="B81" s="4" t="n">
        <v>5</v>
      </c>
      <c r="C81" s="4" t="n">
        <v>2010</v>
      </c>
      <c r="D81" s="4" t="n">
        <v>2017</v>
      </c>
      <c r="E81" s="19" t="inlineStr">
        <is>
          <t>Iron Man 3, The King's Speech, Lawless, Prometheus, alien covenant</t>
        </is>
      </c>
      <c r="F81" s="4" t="inlineStr">
        <is>
          <t>F0169, F0189, F0192, F0259, F0361</t>
        </is>
      </c>
    </row>
    <row r="82" ht="15.75" customHeight="1" s="108">
      <c r="A82" s="4" t="inlineStr">
        <is>
          <t>Hailee Steinfeld</t>
        </is>
      </c>
      <c r="B82" s="4" t="n">
        <v>4</v>
      </c>
      <c r="C82" s="4" t="n">
        <v>2010</v>
      </c>
      <c r="D82" s="4" t="n">
        <v>2018</v>
      </c>
      <c r="E82" s="19" t="inlineStr">
        <is>
          <t>Bumblebee, Pitch Perfect 2, Pitch Perfect 3, True Grit</t>
        </is>
      </c>
      <c r="F82" s="4" t="inlineStr">
        <is>
          <t>F0061, F0251, F0252, F0325</t>
        </is>
      </c>
    </row>
    <row r="83" ht="15.75" customHeight="1" s="108">
      <c r="A83" s="4" t="inlineStr">
        <is>
          <t>Ian McShane</t>
        </is>
      </c>
      <c r="B83" s="4" t="n">
        <v>9</v>
      </c>
      <c r="C83" s="4" t="n">
        <v>2009</v>
      </c>
      <c r="D83" s="4" t="n">
        <v>2023</v>
      </c>
      <c r="E83" s="19" t="inlineStr">
        <is>
          <t xml:space="preserve">44 Inch Chest, Hercules, Pirates of the Caribbean: On Stranger Tides, Snow White and the Huntsman, john wick, john wick chapter 2, John wick chapter 3, John wick chapter 4, john wick chapter 2 </t>
        </is>
      </c>
      <c r="F83" s="4" t="inlineStr">
        <is>
          <t>F0010, F0147, F0249, F0284, F0374, F0375, F0391, F0392</t>
        </is>
      </c>
    </row>
    <row r="84" ht="15.75" customHeight="1" s="108">
      <c r="A84" s="4" t="inlineStr">
        <is>
          <t>Jake Gyllenhaal</t>
        </is>
      </c>
      <c r="B84" s="4" t="n">
        <v>4</v>
      </c>
      <c r="C84" s="4" t="n">
        <v>2007</v>
      </c>
      <c r="D84" s="4" t="n">
        <v>2015</v>
      </c>
      <c r="E84" s="19" t="inlineStr">
        <is>
          <t>Prisoners, Source Code, Southpaw, Zodiac</t>
        </is>
      </c>
      <c r="F84" s="4" t="inlineStr">
        <is>
          <t>F0258, F0285, F0286, F0350</t>
        </is>
      </c>
    </row>
    <row r="85" ht="15.75" customHeight="1" s="108">
      <c r="A85" s="4" t="inlineStr">
        <is>
          <t>Jamie Bell</t>
        </is>
      </c>
      <c r="B85" s="4" t="n">
        <v>5</v>
      </c>
      <c r="C85" s="4" t="n">
        <v>2005</v>
      </c>
      <c r="D85" s="4" t="n">
        <v>2019</v>
      </c>
      <c r="E85" s="19" t="inlineStr">
        <is>
          <t>Jumper, Man on a Ledge, Rocketman, Snowpiercer, King Kong</t>
        </is>
      </c>
      <c r="F85" s="4" t="inlineStr">
        <is>
          <t>F0175, F0210, F0269, F0283, F0188</t>
        </is>
      </c>
    </row>
    <row r="86" ht="15.75" customHeight="1" s="108">
      <c r="A86" s="4" t="inlineStr">
        <is>
          <t>Jeremy Renner</t>
        </is>
      </c>
      <c r="B86" s="4" t="n">
        <v>6</v>
      </c>
      <c r="C86" s="4" t="n">
        <v>2011</v>
      </c>
      <c r="D86" s="4" t="n">
        <v>2019</v>
      </c>
      <c r="E86" s="19" t="inlineStr">
        <is>
          <t>American Hustle, The Bourne Legacy, Mission: Impossible - Ghost Protocol, Mission: Impossible - Rogue Nation, The Avengers, Avengers: Endgame</t>
        </is>
      </c>
      <c r="F86" s="4" t="inlineStr">
        <is>
          <t>F0020, F0056, F0224, F0225, F0029, F0031</t>
        </is>
      </c>
    </row>
    <row r="87" ht="15.75" customHeight="1" s="108">
      <c r="A87" s="4" t="inlineStr">
        <is>
          <t>John Hurt</t>
        </is>
      </c>
      <c r="B87" s="4" t="n">
        <v>8</v>
      </c>
      <c r="C87" s="4" t="n">
        <v>1979</v>
      </c>
      <c r="D87" s="4" t="n">
        <v>2014</v>
      </c>
      <c r="E87" s="19" t="inlineStr">
        <is>
          <t>44 Inch Chest, Alien, Hercules, Snowpiercer, Harry Potter and the Philosopher's Stone, Harry Potter and the Deathly Hallows: Part 1, Harry Potter and the Deathly Hallows: Part 2, hellboy</t>
        </is>
      </c>
      <c r="F87" s="4" t="inlineStr">
        <is>
          <t>F0010, F0015, F0147, F0283, F0137, F0143, F0144, F0373</t>
        </is>
      </c>
    </row>
    <row r="88" ht="15.75" customHeight="1" s="108">
      <c r="A88" s="4" t="inlineStr">
        <is>
          <t>Jon Voight</t>
        </is>
      </c>
      <c r="B88" s="4" t="n">
        <v>7</v>
      </c>
      <c r="C88" s="4" t="n">
        <v>1996</v>
      </c>
      <c r="D88" s="4" t="n">
        <v>2016</v>
      </c>
      <c r="E88" s="19" t="inlineStr">
        <is>
          <t>Enemy of the State, Mission: Impossible, National Treasure: Book of Secrets, Pearl Harbor, Fantastic Beasts and Where to Find Them, Transformers, Tropic Thunder</t>
        </is>
      </c>
      <c r="F88" s="4" t="inlineStr">
        <is>
          <t>F0094, F0221, F0233, F0246, F0100, F0316, F0324</t>
        </is>
      </c>
    </row>
    <row r="89" ht="15.75" customHeight="1" s="108">
      <c r="A89" s="4" t="inlineStr">
        <is>
          <t>Jonah Hill</t>
        </is>
      </c>
      <c r="B89" s="4" t="n">
        <v>10</v>
      </c>
      <c r="C89" s="4" t="n">
        <v>2007</v>
      </c>
      <c r="D89" s="4" t="n">
        <v>2019</v>
      </c>
      <c r="E89" s="19" t="inlineStr">
        <is>
          <t>21 Jump Street, 22 Jump Street, How to Train Your Dragon, Superbad, Django Unchained, Forgetting Sarah Marshall, How to Train Your Dragon 2, The Lego Batman Movie, The Lego Movie, The Lego Movie 2: The Second Part</t>
        </is>
      </c>
      <c r="F89" s="4" t="inlineStr">
        <is>
          <t>F0007, F0008, F0154, F0303, F0090, F0115, F0155, F0193, F0195, F0196</t>
        </is>
      </c>
    </row>
    <row r="90" ht="15.75" customHeight="1" s="108">
      <c r="A90" s="4" t="inlineStr">
        <is>
          <t>Joseph Gordon-Levitt</t>
        </is>
      </c>
      <c r="B90" s="4" t="n">
        <v>4</v>
      </c>
      <c r="C90" s="4" t="n">
        <v>2009</v>
      </c>
      <c r="D90" s="4" t="n">
        <v>2012</v>
      </c>
      <c r="E90" s="19" t="inlineStr">
        <is>
          <t>50/50, The Dark Knight Rises, G.I. Joe: The Rise of Cobra, Inception</t>
        </is>
      </c>
      <c r="F90" s="4" t="inlineStr">
        <is>
          <t>F0011, F0045, F0118, F0165</t>
        </is>
      </c>
    </row>
    <row r="91" ht="15.75" customHeight="1" s="108">
      <c r="A91" s="4" t="inlineStr">
        <is>
          <t>Justin Bartha</t>
        </is>
      </c>
      <c r="B91" s="4" t="n">
        <v>4</v>
      </c>
      <c r="C91" s="4" t="n">
        <v>2007</v>
      </c>
      <c r="D91" s="4" t="n">
        <v>2013</v>
      </c>
      <c r="E91" s="19" t="inlineStr">
        <is>
          <t>The Hangover, The Hangover Part II, The Hangover Part III, National Treasure: Book of Secrets</t>
        </is>
      </c>
      <c r="F91" s="4" t="inlineStr">
        <is>
          <t>F0134, F0135, F0136, F0233</t>
        </is>
      </c>
    </row>
    <row r="92" ht="15.75" customHeight="1" s="108">
      <c r="A92" s="4" t="inlineStr">
        <is>
          <t>Mark Ruffalo</t>
        </is>
      </c>
      <c r="B92" s="4" t="n">
        <v>5</v>
      </c>
      <c r="C92" s="4" t="n">
        <v>2007</v>
      </c>
      <c r="D92" s="4" t="n">
        <v>2025</v>
      </c>
      <c r="E92" s="19" t="inlineStr">
        <is>
          <t>The Avengers, Avengers: Infinity War, Avengers: Endgame, Zodiac, mickey 17</t>
        </is>
      </c>
      <c r="F92" s="4" t="inlineStr">
        <is>
          <t>F0029, F0030, F0031, F0350, F0376</t>
        </is>
      </c>
    </row>
    <row r="93" ht="15.75" customHeight="1" s="108">
      <c r="A93" s="4" t="inlineStr">
        <is>
          <t>Martin Freeman</t>
        </is>
      </c>
      <c r="B93" s="4" t="n">
        <v>5</v>
      </c>
      <c r="C93" s="4" t="n">
        <v>2004</v>
      </c>
      <c r="D93" s="4" t="n">
        <v>2014</v>
      </c>
      <c r="E93" s="19" t="inlineStr">
        <is>
          <t>The World's End, The Hobbit: An Unexpected Journey, The Hobbit: The Desolation of Smaug, The Hobbit: The Battle of the Five Armies, Shaun of the Dead</t>
        </is>
      </c>
      <c r="F93" s="4" t="inlineStr">
        <is>
          <t>F0072, F0150, F0151, F0152, F0070</t>
        </is>
      </c>
    </row>
    <row r="94" ht="15.75" customHeight="1" s="108">
      <c r="A94" s="4" t="inlineStr">
        <is>
          <t>Megan Fox</t>
        </is>
      </c>
      <c r="B94" s="4" t="n">
        <v>5</v>
      </c>
      <c r="C94" s="4" t="n">
        <v>2007</v>
      </c>
      <c r="D94" s="4" t="n">
        <v>2014</v>
      </c>
      <c r="E94" s="19" t="inlineStr">
        <is>
          <t>Jonah Hex, Teenage Mutant Ninja Turtles, Transformers, Transformers: Revenge of the Fallen, The Dictator</t>
        </is>
      </c>
      <c r="F94" s="4" t="inlineStr">
        <is>
          <t>F0173, F0309, F0316, F0317, F0085</t>
        </is>
      </c>
    </row>
    <row r="95" ht="15.75" customHeight="1" s="108">
      <c r="A95" s="4" t="inlineStr">
        <is>
          <t>Michael Caine</t>
        </is>
      </c>
      <c r="B95" s="4" t="n">
        <v>7</v>
      </c>
      <c r="C95" s="4" t="n">
        <v>2005</v>
      </c>
      <c r="D95" s="4" t="n">
        <v>2020</v>
      </c>
      <c r="E95" s="19" t="inlineStr">
        <is>
          <t>Batman Begins, The Dark Knight, Interstellar, The Prestige, The Dark Knight Rises, Inception, Tenet</t>
        </is>
      </c>
      <c r="F95" s="4" t="inlineStr">
        <is>
          <t>F0043, F0044, F0168, F0257, F0045, F0165, F0387</t>
        </is>
      </c>
    </row>
    <row r="96" ht="15.75" customHeight="1" s="108">
      <c r="A96" s="4" t="inlineStr">
        <is>
          <t>Nicolas Cage</t>
        </is>
      </c>
      <c r="B96" s="4" t="n">
        <v>6</v>
      </c>
      <c r="C96" s="4" t="n">
        <v>1997</v>
      </c>
      <c r="D96" s="4" t="n">
        <v>2022</v>
      </c>
      <c r="E96" s="19" t="inlineStr">
        <is>
          <t xml:space="preserve">Con Air, The Croods, Kick-Ass, National Treasure: Book of Secrets, Unbearable weight of massive talent, Unbearable weight of massive talent </t>
        </is>
      </c>
      <c r="F96" s="4" t="inlineStr">
        <is>
          <t>F0068, F0075, F0185, F0233, F0388</t>
        </is>
      </c>
    </row>
    <row r="97" ht="15.75" customHeight="1" s="108">
      <c r="A97" s="4" t="inlineStr">
        <is>
          <t>Rachel McAdams</t>
        </is>
      </c>
      <c r="B97" s="4" t="n">
        <v>4</v>
      </c>
      <c r="C97" s="4" t="n">
        <v>2004</v>
      </c>
      <c r="D97" s="4" t="n">
        <v>2015</v>
      </c>
      <c r="E97" s="19" t="inlineStr">
        <is>
          <t>The Notebook, Sherlock Holmes, Sherlock Holmes: A Game of Shadows, Southpaw</t>
        </is>
      </c>
      <c r="F97" s="4" t="inlineStr">
        <is>
          <t>F0237, F0278, F0279, F0286</t>
        </is>
      </c>
    </row>
    <row r="98" ht="15.75" customHeight="1" s="108">
      <c r="A98" s="4" t="inlineStr">
        <is>
          <t>Rebecca Ferguson</t>
        </is>
      </c>
      <c r="B98" s="4" t="n">
        <v>7</v>
      </c>
      <c r="C98" s="4" t="n">
        <v>2015</v>
      </c>
      <c r="D98" s="4" t="n">
        <v>2024</v>
      </c>
      <c r="E98" s="19" t="inlineStr">
        <is>
          <t xml:space="preserve">The Greatest Showman, Mission: Impossible - Rogue Nation, Mission: Impossible - Fallout, Mission: Impossible - Dead Reckoning Part One, dune, dune  part two, dune </t>
        </is>
      </c>
      <c r="F98" s="4" t="inlineStr">
        <is>
          <t>F0127, F0225, F0226, F0227, F0367, F0368</t>
        </is>
      </c>
    </row>
    <row r="99" ht="15.75" customHeight="1" s="108">
      <c r="A99" s="4" t="inlineStr">
        <is>
          <t>Rebecca Hall</t>
        </is>
      </c>
      <c r="B99" s="4" t="n">
        <v>5</v>
      </c>
      <c r="C99" s="4" t="n">
        <v>2006</v>
      </c>
      <c r="D99" s="4" t="n">
        <v>2024</v>
      </c>
      <c r="E99" s="19" t="inlineStr">
        <is>
          <t>The BFG, Godzilla vs. Kong, Iron Man 3, The Prestige, godzilla x kong  the new empire</t>
        </is>
      </c>
      <c r="F99" s="4" t="inlineStr">
        <is>
          <t>F0047, F0123, F0169, F0257, F0372</t>
        </is>
      </c>
    </row>
    <row r="100" ht="15.75" customHeight="1" s="108">
      <c r="A100" s="4" t="inlineStr">
        <is>
          <t>Ryan Gosling</t>
        </is>
      </c>
      <c r="B100" s="4" t="n">
        <v>5</v>
      </c>
      <c r="C100" s="4" t="n">
        <v>2004</v>
      </c>
      <c r="D100" s="4" t="n">
        <v>2024</v>
      </c>
      <c r="E100" s="19" t="inlineStr">
        <is>
          <t>Barbie, The Fall Guy, The Nice Guys, The Notebook, blade runner 2049</t>
        </is>
      </c>
      <c r="F100" s="4" t="inlineStr">
        <is>
          <t>F0041, F0099, F0235, F0237, F0366</t>
        </is>
      </c>
    </row>
    <row r="101" ht="15.75" customHeight="1" s="108">
      <c r="A101" s="4" t="inlineStr">
        <is>
          <t>Sacha Baron Cohen</t>
        </is>
      </c>
      <c r="B101" s="4" t="n">
        <v>4</v>
      </c>
      <c r="C101" s="4" t="n">
        <v>2009</v>
      </c>
      <c r="D101" s="4" t="n">
        <v>2016</v>
      </c>
      <c r="E101" s="19" t="inlineStr">
        <is>
          <t>Brüno, The Dictator, Grimsby, Les Misérables</t>
        </is>
      </c>
      <c r="F101" s="4" t="inlineStr">
        <is>
          <t>F0059, F0085, F0130, F0199</t>
        </is>
      </c>
    </row>
    <row r="102" ht="15.75" customHeight="1" s="108">
      <c r="A102" s="4" t="inlineStr">
        <is>
          <t>Seth Rogen</t>
        </is>
      </c>
      <c r="B102" s="4" t="n">
        <v>6</v>
      </c>
      <c r="C102" s="4" t="n">
        <v>2004</v>
      </c>
      <c r="D102" s="4" t="n">
        <v>2023</v>
      </c>
      <c r="E102" s="19" t="inlineStr">
        <is>
          <t>50/50, Paul, Pineapple Express, Superbad, Anchorman: The Legend of Ron Burgundy, The Super Mario Bros. Movie</t>
        </is>
      </c>
      <c r="F102" s="4" t="inlineStr">
        <is>
          <t>F0011, F0245, F0247, F0303, F0022, F0212</t>
        </is>
      </c>
    </row>
    <row r="103" ht="15.75" customHeight="1" s="108">
      <c r="A103" s="4" t="inlineStr">
        <is>
          <t>Sharlto Copley</t>
        </is>
      </c>
      <c r="B103" s="4" t="n">
        <v>4</v>
      </c>
      <c r="C103" s="4" t="n">
        <v>2009</v>
      </c>
      <c r="D103" s="4" t="n">
        <v>2014</v>
      </c>
      <c r="E103" s="19" t="inlineStr">
        <is>
          <t>The A-Team, District 9, Elysium, Maleficent</t>
        </is>
      </c>
      <c r="F103" s="4" t="inlineStr">
        <is>
          <t>F0026, F0088, F0093, F0208</t>
        </is>
      </c>
    </row>
    <row r="104" ht="15.75" customHeight="1" s="108">
      <c r="A104" s="4" t="inlineStr">
        <is>
          <t>Stellan Skarsgård</t>
        </is>
      </c>
      <c r="B104" s="4" t="n">
        <v>8</v>
      </c>
      <c r="C104" s="4" t="n">
        <v>1997</v>
      </c>
      <c r="D104" s="4" t="n">
        <v>2024</v>
      </c>
      <c r="E104" s="19" t="inlineStr">
        <is>
          <t xml:space="preserve">Angels &amp; Demons, The Girl with the Dragon Tattoo, Good Will Hunting, Mamma Mia!, The Avengers, dune, dune  part two, dune </t>
        </is>
      </c>
      <c r="F104" s="4" t="inlineStr">
        <is>
          <t>F0023, F0120, F0124, F0209, F0029, F0367, F0368</t>
        </is>
      </c>
    </row>
    <row r="105" ht="15.75" customHeight="1" s="108">
      <c r="A105" s="4" t="inlineStr">
        <is>
          <t>Steve Carell</t>
        </is>
      </c>
      <c r="B105" s="4" t="n">
        <v>6</v>
      </c>
      <c r="C105" s="4" t="n">
        <v>2004</v>
      </c>
      <c r="D105" s="4" t="n">
        <v>2017</v>
      </c>
      <c r="E105" s="19" t="inlineStr">
        <is>
          <t>Anchorman: The Legend of Ron Burgundy, Despicable Me, Despicable Me 2, Despicable Me 3, Minions, Anchorman 2</t>
        </is>
      </c>
      <c r="F105" s="4" t="inlineStr">
        <is>
          <t>F0022, F0082, F0083, F0084, F0220, F0357</t>
        </is>
      </c>
    </row>
    <row r="106" ht="15.75" customHeight="1" s="108">
      <c r="A106" s="4" t="inlineStr">
        <is>
          <t>Tim Allen</t>
        </is>
      </c>
      <c r="B106" s="4" t="n">
        <v>4</v>
      </c>
      <c r="C106" s="4" t="n">
        <v>1995</v>
      </c>
      <c r="D106" s="4" t="n">
        <v>2019</v>
      </c>
      <c r="E106" s="19" t="inlineStr">
        <is>
          <t>Toy Story, Toy Story 2, Toy Story 3, Toy Story 4</t>
        </is>
      </c>
      <c r="F106" s="4" t="inlineStr">
        <is>
          <t>F0312, F0313, F0314, F0315</t>
        </is>
      </c>
    </row>
    <row r="107" ht="15.75" customHeight="1" s="108">
      <c r="A107" s="4" t="inlineStr">
        <is>
          <t>Tobey Maguire</t>
        </is>
      </c>
      <c r="B107" s="4" t="n">
        <v>5</v>
      </c>
      <c r="C107" s="4" t="n">
        <v>2002</v>
      </c>
      <c r="D107" s="4" t="n">
        <v>2013</v>
      </c>
      <c r="E107" s="19" t="inlineStr">
        <is>
          <t>The Great Gatsby, Spider-Man, Spider-Man 2, Spider-Man 3, Tropic Thunder</t>
        </is>
      </c>
      <c r="F107" s="4" t="inlineStr">
        <is>
          <t>F0126, F0287, F0288, F0289, F0324</t>
        </is>
      </c>
    </row>
    <row r="108" ht="15.75" customHeight="1" s="108">
      <c r="A108" s="4" t="inlineStr">
        <is>
          <t>Tom Hardy</t>
        </is>
      </c>
      <c r="B108" s="4" t="n">
        <v>6</v>
      </c>
      <c r="C108" s="4" t="n">
        <v>2001</v>
      </c>
      <c r="D108" s="4" t="n">
        <v>2015</v>
      </c>
      <c r="E108" s="19" t="inlineStr">
        <is>
          <t>The Dark Knight Rises, Inception, Lawless, Warrior, Black Hawk Down, Mad max fury road</t>
        </is>
      </c>
      <c r="F108" s="4" t="inlineStr">
        <is>
          <t>F0045, F0165, F0192, F0333, F0050, F0354</t>
        </is>
      </c>
    </row>
    <row r="109" ht="15.75" customHeight="1" s="108">
      <c r="A109" s="4" t="inlineStr">
        <is>
          <t>Will Arnett</t>
        </is>
      </c>
      <c r="B109" s="4" t="n">
        <v>7</v>
      </c>
      <c r="C109" s="4" t="n">
        <v>2006</v>
      </c>
      <c r="D109" s="4" t="n">
        <v>2019</v>
      </c>
      <c r="E109" s="19" t="inlineStr">
        <is>
          <t>Jonah Hex, The Lego Batman Movie, The Lego Movie, The Lego Movie 2: The Second Part, Despicable Me, Ice Age: The Meltdown, Teenage Mutant Ninja Turtles</t>
        </is>
      </c>
      <c r="F109" s="4" t="inlineStr">
        <is>
          <t>F0173, F0193, F0195, F0196, F0082, F0160, F0309</t>
        </is>
      </c>
    </row>
    <row r="110" ht="15.75" customHeight="1" s="108">
      <c r="A110" s="4" t="inlineStr">
        <is>
          <t>Adam Driver</t>
        </is>
      </c>
      <c r="B110" s="4" t="n">
        <v>3</v>
      </c>
      <c r="C110" s="4" t="n">
        <v>2015</v>
      </c>
      <c r="D110" s="4" t="n">
        <v>2019</v>
      </c>
      <c r="E110" s="19" t="inlineStr">
        <is>
          <t>Star Wars: The Force Awakens, Star Wars: The Last Jedi, Star Wars: The Rise of Skywalker</t>
        </is>
      </c>
      <c r="F110" s="4" t="inlineStr">
        <is>
          <t>F0298, F0299, F0300</t>
        </is>
      </c>
    </row>
    <row r="111" ht="15.75" customHeight="1" s="108">
      <c r="A111" s="4" t="inlineStr">
        <is>
          <t>Adam Sandler</t>
        </is>
      </c>
      <c r="B111" s="4" t="n">
        <v>3</v>
      </c>
      <c r="C111" s="4" t="n">
        <v>2010</v>
      </c>
      <c r="D111" s="4" t="n">
        <v>2013</v>
      </c>
      <c r="E111" s="19" t="inlineStr">
        <is>
          <t>Grown Ups, Grown Ups 2, Just Go with It</t>
        </is>
      </c>
      <c r="F111" s="4" t="inlineStr">
        <is>
          <t>F0131, F0132, F0183</t>
        </is>
      </c>
    </row>
    <row r="112" ht="15.75" customHeight="1" s="108">
      <c r="A112" s="4" t="inlineStr">
        <is>
          <t>America Ferrera</t>
        </is>
      </c>
      <c r="B112" s="4" t="n">
        <v>3</v>
      </c>
      <c r="C112" s="4" t="n">
        <v>2010</v>
      </c>
      <c r="D112" s="4" t="n">
        <v>2023</v>
      </c>
      <c r="E112" s="19" t="inlineStr">
        <is>
          <t>Barbie, How to Train Your Dragon, How to Train Your Dragon 2</t>
        </is>
      </c>
      <c r="F112" s="4" t="inlineStr">
        <is>
          <t>F0041, F0154, F0155</t>
        </is>
      </c>
    </row>
    <row r="113" ht="15.75" customHeight="1" s="108">
      <c r="A113" s="4" t="inlineStr">
        <is>
          <t>Amy Adams</t>
        </is>
      </c>
      <c r="B113" s="4" t="n">
        <v>4</v>
      </c>
      <c r="C113" s="4" t="n">
        <v>2002</v>
      </c>
      <c r="D113" s="4" t="n">
        <v>2013</v>
      </c>
      <c r="E113" s="19" t="inlineStr">
        <is>
          <t>American Hustle, Man of Steel, Night at the Museum: Battle of the Smithsonian, Catch Me If You Can</t>
        </is>
      </c>
      <c r="F113" s="4" t="inlineStr">
        <is>
          <t>F0020, F0211, F0236, F0064</t>
        </is>
      </c>
    </row>
    <row r="114" ht="15.75" customHeight="1" s="108">
      <c r="A114" s="4" t="inlineStr">
        <is>
          <t>Angelina Jolie</t>
        </is>
      </c>
      <c r="B114" s="4" t="n">
        <v>3</v>
      </c>
      <c r="C114" s="4" t="n">
        <v>2005</v>
      </c>
      <c r="D114" s="4" t="n">
        <v>2014</v>
      </c>
      <c r="E114" s="19" t="inlineStr">
        <is>
          <t>Maleficent, Mr. &amp; Mrs. Smith, Salt</t>
        </is>
      </c>
      <c r="F114" s="4" t="inlineStr">
        <is>
          <t>F0208, F0231, F0273</t>
        </is>
      </c>
    </row>
    <row r="115" ht="15.75" customHeight="1" s="108">
      <c r="A115" s="4" t="inlineStr">
        <is>
          <t>Anna Faris</t>
        </is>
      </c>
      <c r="B115" s="4" t="n">
        <v>3</v>
      </c>
      <c r="C115" s="4" t="n">
        <v>2010</v>
      </c>
      <c r="D115" s="4" t="n">
        <v>2013</v>
      </c>
      <c r="E115" s="19" t="inlineStr">
        <is>
          <t>Cloudy with a Chance of Meatballs 2, The Dictator, Yogi Bear</t>
        </is>
      </c>
      <c r="F115" s="4" t="inlineStr">
        <is>
          <t>F0067, F0085, F0348</t>
        </is>
      </c>
    </row>
    <row r="116" ht="15.75" customHeight="1" s="108">
      <c r="A116" s="4" t="inlineStr">
        <is>
          <t>Brian Cox</t>
        </is>
      </c>
      <c r="B116" s="4" t="n">
        <v>6</v>
      </c>
      <c r="C116" s="4" t="n">
        <v>2002</v>
      </c>
      <c r="D116" s="4" t="n">
        <v>2011</v>
      </c>
      <c r="E116" s="19" t="inlineStr">
        <is>
          <t>The Bourne Identity, The Bourne Supremacy, Rise of the Planet of the Apes, RED, X2: X-Men United, Zodiac</t>
        </is>
      </c>
      <c r="F116" s="4" t="inlineStr">
        <is>
          <t>F0053, F0054, F0253, F0262, F0345, F0350</t>
        </is>
      </c>
    </row>
    <row r="117" ht="15.75" customHeight="1" s="108">
      <c r="A117" s="4" t="inlineStr">
        <is>
          <t>Brittany Snow</t>
        </is>
      </c>
      <c r="B117" s="4" t="n">
        <v>3</v>
      </c>
      <c r="C117" s="4" t="n">
        <v>2012</v>
      </c>
      <c r="D117" s="4" t="n">
        <v>2017</v>
      </c>
      <c r="E117" s="19" t="inlineStr">
        <is>
          <t>Pitch Perfect, Pitch Perfect 2, Pitch Perfect 3</t>
        </is>
      </c>
      <c r="F117" s="4" t="inlineStr">
        <is>
          <t>F0250, F0251, F0252</t>
        </is>
      </c>
    </row>
    <row r="118" ht="15.75" customHeight="1" s="108">
      <c r="A118" s="4" t="inlineStr">
        <is>
          <t>Carrie-Anne Moss</t>
        </is>
      </c>
      <c r="B118" s="4" t="n">
        <v>3</v>
      </c>
      <c r="C118" s="4" t="n">
        <v>1999</v>
      </c>
      <c r="D118" s="4" t="n">
        <v>2003</v>
      </c>
      <c r="E118" s="19" t="inlineStr">
        <is>
          <t>The Matrix, The Matrix Reloaded, The Matrix Revolutions</t>
        </is>
      </c>
      <c r="F118" s="4" t="inlineStr">
        <is>
          <t>F0214, F0215, F0216</t>
        </is>
      </c>
    </row>
    <row r="119" ht="15.75" customHeight="1" s="108">
      <c r="A119" s="4" t="inlineStr">
        <is>
          <t>Charlize Theron</t>
        </is>
      </c>
      <c r="B119" s="4" t="n">
        <v>7</v>
      </c>
      <c r="C119" s="4" t="n">
        <v>2012</v>
      </c>
      <c r="D119" s="4" t="n">
        <v>2023</v>
      </c>
      <c r="E119" s="19" t="inlineStr">
        <is>
          <t>A Million Ways to Die in the West, Prometheus, Snow White and the Huntsman, The Fate of the Furious, F9: The Fast Saga, Fast X, Mad max fury road</t>
        </is>
      </c>
      <c r="F119" s="4" t="inlineStr">
        <is>
          <t>F0021, F0259, F0284, F0108, F0109, F0110, F0354</t>
        </is>
      </c>
    </row>
    <row r="120" ht="15.75" customHeight="1" s="108">
      <c r="A120" s="4" t="inlineStr">
        <is>
          <t>Christoph Waltz</t>
        </is>
      </c>
      <c r="B120" s="4" t="n">
        <v>4</v>
      </c>
      <c r="C120" s="4" t="n">
        <v>2009</v>
      </c>
      <c r="D120" s="4" t="n">
        <v>2021</v>
      </c>
      <c r="E120" s="19" t="inlineStr">
        <is>
          <t>Spectre, Django Unchained, Inglourious Basterds, No Time to Die</t>
        </is>
      </c>
      <c r="F120" s="4" t="inlineStr">
        <is>
          <t>F0004, F0090, F0166, F0005</t>
        </is>
      </c>
    </row>
    <row r="121" ht="15.75" customHeight="1" s="108">
      <c r="A121" s="4" t="inlineStr">
        <is>
          <t>Christopher Lloyd</t>
        </is>
      </c>
      <c r="B121" s="4" t="n">
        <v>4</v>
      </c>
      <c r="C121" s="4" t="n">
        <v>1985</v>
      </c>
      <c r="D121" s="4" t="n">
        <v>2014</v>
      </c>
      <c r="E121" s="19" t="inlineStr">
        <is>
          <t>Back to the Future, Back to the Future Part II, Back to the Future Part III, A Million Ways to Die in the West</t>
        </is>
      </c>
      <c r="F121" s="4" t="inlineStr">
        <is>
          <t>F0033, F0034, F0035, F0021</t>
        </is>
      </c>
    </row>
    <row r="122" ht="15.75" customHeight="1" s="108">
      <c r="A122" s="4" t="inlineStr">
        <is>
          <t>Daisy Ridley</t>
        </is>
      </c>
      <c r="B122" s="4" t="n">
        <v>3</v>
      </c>
      <c r="C122" s="4" t="n">
        <v>2015</v>
      </c>
      <c r="D122" s="4" t="n">
        <v>2019</v>
      </c>
      <c r="E122" s="19" t="inlineStr">
        <is>
          <t>Star Wars: The Force Awakens, Star Wars: The Last Jedi, Star Wars: The Rise of Skywalker</t>
        </is>
      </c>
      <c r="F122" s="4" t="inlineStr">
        <is>
          <t>F0298, F0299, F0300</t>
        </is>
      </c>
    </row>
    <row r="123" ht="15.75" customHeight="1" s="108">
      <c r="A123" s="4" t="inlineStr">
        <is>
          <t>Denis Leary</t>
        </is>
      </c>
      <c r="B123" s="4" t="n">
        <v>4</v>
      </c>
      <c r="C123" s="4" t="n">
        <v>1998</v>
      </c>
      <c r="D123" s="4" t="n">
        <v>2012</v>
      </c>
      <c r="E123" s="19" t="inlineStr">
        <is>
          <t>The Amazing Spider-Man, Ice Age: The Meltdown, Ice Age: Dawn of the Dinosaurs, A Bug's Life</t>
        </is>
      </c>
      <c r="F123" s="4" t="inlineStr">
        <is>
          <t>F0019, F0160, F0161, F0012</t>
        </is>
      </c>
    </row>
    <row r="124" ht="15.75" customHeight="1" s="108">
      <c r="A124" s="4" t="inlineStr">
        <is>
          <t>Diane Kruger</t>
        </is>
      </c>
      <c r="B124" s="4" t="n">
        <v>3</v>
      </c>
      <c r="C124" s="4" t="n">
        <v>2007</v>
      </c>
      <c r="D124" s="4" t="n">
        <v>2011</v>
      </c>
      <c r="E124" s="19" t="inlineStr">
        <is>
          <t>Inglourious Basterds, National Treasure: Book of Secrets, Unknown</t>
        </is>
      </c>
      <c r="F124" s="4" t="inlineStr">
        <is>
          <t>F0166, F0233, F0329</t>
        </is>
      </c>
    </row>
    <row r="125" ht="15.75" customHeight="1" s="108">
      <c r="A125" s="4" t="inlineStr">
        <is>
          <t>Don Rickles</t>
        </is>
      </c>
      <c r="B125" s="4" t="n">
        <v>4</v>
      </c>
      <c r="C125" s="4" t="n">
        <v>1995</v>
      </c>
      <c r="D125" s="4" t="n">
        <v>2019</v>
      </c>
      <c r="E125" s="19" t="inlineStr">
        <is>
          <t>Toy Story, Toy Story 2, Toy Story 3, Toy Story 4</t>
        </is>
      </c>
      <c r="F125" s="4" t="inlineStr">
        <is>
          <t>F0312, F0313, F0314, F0315</t>
        </is>
      </c>
    </row>
    <row r="126" ht="15.75" customHeight="1" s="108">
      <c r="A126" s="4" t="inlineStr">
        <is>
          <t>Ed Helms</t>
        </is>
      </c>
      <c r="B126" s="4" t="n">
        <v>3</v>
      </c>
      <c r="C126" s="4" t="n">
        <v>2009</v>
      </c>
      <c r="D126" s="4" t="n">
        <v>2013</v>
      </c>
      <c r="E126" s="19" t="inlineStr">
        <is>
          <t>The Hangover, The Hangover Part II, The Hangover Part III</t>
        </is>
      </c>
      <c r="F126" s="4" t="inlineStr">
        <is>
          <t>F0134, F0135, F0136</t>
        </is>
      </c>
    </row>
    <row r="127" ht="15.75" customHeight="1" s="108">
      <c r="A127" s="4" t="inlineStr">
        <is>
          <t>Eric Bana</t>
        </is>
      </c>
      <c r="B127" s="4" t="n">
        <v>5</v>
      </c>
      <c r="C127" s="4" t="n">
        <v>2001</v>
      </c>
      <c r="D127" s="4" t="n">
        <v>2013</v>
      </c>
      <c r="E127" s="19" t="inlineStr">
        <is>
          <t>Black Hawk Down, Lone Survivor, Star Trek, finding nemo,  finding nemo</t>
        </is>
      </c>
      <c r="F127" s="4" t="inlineStr">
        <is>
          <t>F0050, F0202, F0291, F0369</t>
        </is>
      </c>
    </row>
    <row r="128" ht="15.75" customHeight="1" s="108">
      <c r="A128" s="4" t="inlineStr">
        <is>
          <t>Hayden Christensen</t>
        </is>
      </c>
      <c r="B128" s="4" t="n">
        <v>3</v>
      </c>
      <c r="C128" s="4" t="n">
        <v>2002</v>
      </c>
      <c r="D128" s="4" t="n">
        <v>2008</v>
      </c>
      <c r="E128" s="19" t="inlineStr">
        <is>
          <t>Jumper, Star Wars: Episode II – Attack of the Clones, Star Wars: Episode III – Revenge of the Sith</t>
        </is>
      </c>
      <c r="F128" s="4" t="inlineStr">
        <is>
          <t>F0175, F0293, F0294</t>
        </is>
      </c>
    </row>
    <row r="129" ht="15.75" customHeight="1" s="108">
      <c r="A129" s="4" t="inlineStr">
        <is>
          <t>Hayley Atwell</t>
        </is>
      </c>
      <c r="B129" s="4" t="n">
        <v>3</v>
      </c>
      <c r="C129" s="4" t="n">
        <v>2012</v>
      </c>
      <c r="D129" s="4" t="n">
        <v>2025</v>
      </c>
      <c r="E129" s="19" t="inlineStr">
        <is>
          <t>Mission: Impossible - Dead Reckoning Part One, Mission: Impossible - The Final Reckoning, The Sweeney</t>
        </is>
      </c>
      <c r="F129" s="4" t="inlineStr">
        <is>
          <t>F0227, F0228, F0305</t>
        </is>
      </c>
    </row>
    <row r="130" ht="15.75" customHeight="1" s="108">
      <c r="A130" s="4" t="inlineStr">
        <is>
          <t>Helen Mirren</t>
        </is>
      </c>
      <c r="B130" s="4" t="n">
        <v>7</v>
      </c>
      <c r="C130" s="4" t="n">
        <v>2007</v>
      </c>
      <c r="D130" s="4" t="n">
        <v>2023</v>
      </c>
      <c r="E130" s="19" t="inlineStr">
        <is>
          <t>Fast &amp; Furious Presents: Hobbs &amp; Shaw, Monsters University, RED, Barbie, F9: The Fast Saga, Fast X, National Treasure: Book of Secrets</t>
        </is>
      </c>
      <c r="F130" s="4" t="inlineStr">
        <is>
          <t>F0111, F0230, F0262, F0041, F0109, F0110, F0233</t>
        </is>
      </c>
    </row>
    <row r="131" ht="15.75" customHeight="1" s="108">
      <c r="A131" s="4" t="inlineStr">
        <is>
          <t>Idris Elba</t>
        </is>
      </c>
      <c r="B131" s="4" t="n">
        <v>6</v>
      </c>
      <c r="C131" s="4" t="n">
        <v>2012</v>
      </c>
      <c r="D131" s="4" t="n">
        <v>2025</v>
      </c>
      <c r="E131" s="19" t="inlineStr">
        <is>
          <t>Fast &amp; Furious Presents: Hobbs &amp; Shaw, Pacific Rim, Prometheus, Avengers: Infinity War, Finding Dory, sonic the hedgehog 3</t>
        </is>
      </c>
      <c r="F131" s="4" t="inlineStr">
        <is>
          <t>F0111, F0243, F0259, F0030, F0113, F0379</t>
        </is>
      </c>
    </row>
    <row r="132" ht="15.75" customHeight="1" s="108">
      <c r="A132" s="4" t="inlineStr">
        <is>
          <t>Jack Black</t>
        </is>
      </c>
      <c r="B132" s="4" t="n">
        <v>5</v>
      </c>
      <c r="C132" s="4" t="n">
        <v>1998</v>
      </c>
      <c r="D132" s="4" t="n">
        <v>2023</v>
      </c>
      <c r="E132" s="19" t="inlineStr">
        <is>
          <t>King Kong, The Super Mario Bros. Movie, Tropic Thunder, Enemy of the State, Jumanji welcome to the jungle</t>
        </is>
      </c>
      <c r="F132" s="4" t="inlineStr">
        <is>
          <t>F0188, F0212, F0324, F0094, F0359</t>
        </is>
      </c>
    </row>
    <row r="133" ht="15.75" customHeight="1" s="108">
      <c r="A133" s="4" t="inlineStr">
        <is>
          <t>Jada Pinkett Smith</t>
        </is>
      </c>
      <c r="B133" s="4" t="n">
        <v>3</v>
      </c>
      <c r="C133" s="4" t="n">
        <v>2003</v>
      </c>
      <c r="D133" s="4" t="n">
        <v>2016</v>
      </c>
      <c r="E133" s="19" t="inlineStr">
        <is>
          <t>Bad Moms, The Matrix Reloaded, The Matrix Revolutions</t>
        </is>
      </c>
      <c r="F133" s="4" t="inlineStr">
        <is>
          <t>F0038, F0215, F0216</t>
        </is>
      </c>
    </row>
    <row r="134" ht="15.75" customHeight="1" s="108">
      <c r="A134" s="4" t="inlineStr">
        <is>
          <t>Jai Courtney</t>
        </is>
      </c>
      <c r="B134" s="4" t="n">
        <v>7</v>
      </c>
      <c r="C134" s="4" t="n">
        <v>2012</v>
      </c>
      <c r="D134" s="4" t="n">
        <v>2014</v>
      </c>
      <c r="E134" s="19" t="inlineStr">
        <is>
          <t>Divergent, I, Frankenstein, Jack Reacher, I, Frankenstein, I, Frankenstein, I, Frankenstein, I, Frankenstein</t>
        </is>
      </c>
      <c r="F134" s="4" t="inlineStr">
        <is>
          <t>F0089, F0159, F0171</t>
        </is>
      </c>
    </row>
    <row r="135" ht="15.75" customHeight="1" s="108">
      <c r="A135" s="4" t="inlineStr">
        <is>
          <t>James McAvoy</t>
        </is>
      </c>
      <c r="B135" s="4" t="n">
        <v>5</v>
      </c>
      <c r="C135" s="4" t="n">
        <v>2011</v>
      </c>
      <c r="D135" s="4" t="n">
        <v>2022</v>
      </c>
      <c r="E135" s="19" t="inlineStr">
        <is>
          <t>X-Men: First Class, X-Men: Days of Future Past, X-Men: Apocalypse, Muppets Most Wanted, X-men dark phoenix</t>
        </is>
      </c>
      <c r="F135" s="4" t="inlineStr">
        <is>
          <t>F0340, F0341, F0342, F0232, F0380</t>
        </is>
      </c>
    </row>
    <row r="136" ht="15.75" customHeight="1" s="108">
      <c r="A136" s="4" t="inlineStr">
        <is>
          <t>Jason Clarke</t>
        </is>
      </c>
      <c r="B136" s="4" t="n">
        <v>6</v>
      </c>
      <c r="C136" s="4" t="n">
        <v>2012</v>
      </c>
      <c r="D136" s="4" t="n">
        <v>2023</v>
      </c>
      <c r="E136" s="19" t="inlineStr">
        <is>
          <t>Lawless, Dawn of the Planet of the Apes, Zero Dark Thirty, The Great Gatsby, Oppenheimer, White House Down</t>
        </is>
      </c>
      <c r="F136" s="4" t="inlineStr">
        <is>
          <t>F0192, F0254, F0349, F0126, F0242, F0335</t>
        </is>
      </c>
    </row>
    <row r="137" ht="15.75" customHeight="1" s="108">
      <c r="A137" s="4" t="inlineStr">
        <is>
          <t>Jason Segel</t>
        </is>
      </c>
      <c r="B137" s="4" t="n">
        <v>3</v>
      </c>
      <c r="C137" s="4" t="n">
        <v>2008</v>
      </c>
      <c r="D137" s="4" t="n">
        <v>2011</v>
      </c>
      <c r="E137" s="19" t="inlineStr">
        <is>
          <t>Bad Teacher, Despicable Me, Forgetting Sarah Marshall</t>
        </is>
      </c>
      <c r="F137" s="4" t="inlineStr">
        <is>
          <t>F0039, F0082, F0115</t>
        </is>
      </c>
    </row>
    <row r="138" ht="15.75" customHeight="1" s="108">
      <c r="A138" s="4" t="inlineStr">
        <is>
          <t>Jay Baruchel</t>
        </is>
      </c>
      <c r="B138" s="4" t="n">
        <v>5</v>
      </c>
      <c r="C138" s="4" t="n">
        <v>2008</v>
      </c>
      <c r="D138" s="4" t="n">
        <v>2014</v>
      </c>
      <c r="E138" s="19" t="inlineStr">
        <is>
          <t>How to Train Your Dragon, How to Train Your Dragon 2, Tropic Thunder, Night at the Museum: Battle of the Smithsonian, RoboCop</t>
        </is>
      </c>
      <c r="F138" s="4" t="inlineStr">
        <is>
          <t>F0154, F0155, F0324, F0236, F0268</t>
        </is>
      </c>
    </row>
    <row r="139" ht="15.75" customHeight="1" s="108">
      <c r="A139" s="4" t="inlineStr">
        <is>
          <t>Jeff Goldblum</t>
        </is>
      </c>
      <c r="B139" s="4" t="n">
        <v>4</v>
      </c>
      <c r="C139" s="4" t="n">
        <v>1993</v>
      </c>
      <c r="D139" s="4" t="n">
        <v>2022</v>
      </c>
      <c r="E139" s="19" t="inlineStr">
        <is>
          <t>Jurassic Park, The Lost World: Jurassic Park, Jurassic World Dominion, Jurassic World: Fallen Kingdom</t>
        </is>
      </c>
      <c r="F139" s="4" t="inlineStr">
        <is>
          <t>F0176, F0177, F0181, F0180</t>
        </is>
      </c>
    </row>
    <row r="140" ht="15.75" customHeight="1" s="108">
      <c r="A140" s="4" t="inlineStr">
        <is>
          <t>Jeffrey Wright</t>
        </is>
      </c>
      <c r="B140" s="4" t="n">
        <v>9</v>
      </c>
      <c r="C140" s="4" t="n">
        <v>2006</v>
      </c>
      <c r="D140" s="4" t="n">
        <v>2022</v>
      </c>
      <c r="E140" s="19" t="inlineStr">
        <is>
          <t>Casino Royale, The Batman, Source Code, Quantum of Solace, No Time to Die, The Hunger Games: Mockingjay - Part 1, Catching  fire, Mockingjay part 2, Catching fire</t>
        </is>
      </c>
      <c r="F140" s="4" t="inlineStr">
        <is>
          <t>F0001, F0042, F0285, F0002, F0005, F0158, F0382, F0383, F0384</t>
        </is>
      </c>
    </row>
    <row r="141" ht="15.75" customHeight="1" s="108">
      <c r="A141" s="4" t="inlineStr">
        <is>
          <t>Jesse Eisenberg</t>
        </is>
      </c>
      <c r="B141" s="4" t="n">
        <v>3</v>
      </c>
      <c r="C141" s="4" t="n">
        <v>2011</v>
      </c>
      <c r="D141" s="4" t="n">
        <v>2014</v>
      </c>
      <c r="E141" s="19" t="inlineStr">
        <is>
          <t>30 Minutes or Less, Rio, Rio 2</t>
        </is>
      </c>
      <c r="F141" s="4" t="inlineStr">
        <is>
          <t>F0009, F0265, F0266</t>
        </is>
      </c>
    </row>
    <row r="142" ht="15.75" customHeight="1" s="108">
      <c r="A142" s="4" t="inlineStr">
        <is>
          <t>Jessica Chastain</t>
        </is>
      </c>
      <c r="B142" s="4" t="n">
        <v>5</v>
      </c>
      <c r="C142" s="4" t="n">
        <v>2012</v>
      </c>
      <c r="D142" s="4" t="n">
        <v>2022</v>
      </c>
      <c r="E142" s="19" t="inlineStr">
        <is>
          <t>Interstellar, The Martian, Zero Dark Thirty, Lawless, X-men dark phoenix</t>
        </is>
      </c>
      <c r="F142" s="4" t="inlineStr">
        <is>
          <t>F0168, F0213, F0349, F0192, F0380</t>
        </is>
      </c>
    </row>
    <row r="143" ht="15.75" customHeight="1" s="108">
      <c r="A143" s="4" t="inlineStr">
        <is>
          <t>John Boyega</t>
        </is>
      </c>
      <c r="B143" s="4" t="n">
        <v>4</v>
      </c>
      <c r="C143" s="4" t="n">
        <v>2011</v>
      </c>
      <c r="D143" s="4" t="n">
        <v>2019</v>
      </c>
      <c r="E143" s="19" t="inlineStr">
        <is>
          <t>Attack the Block, Star Wars: The Last Jedi, Star Wars: The Rise of Skywalker, Star Wars: The Force Awakens</t>
        </is>
      </c>
      <c r="F143" s="4" t="inlineStr">
        <is>
          <t>F0027, F0299, F0300, F0298</t>
        </is>
      </c>
    </row>
    <row r="144" ht="15.75" customHeight="1" s="108">
      <c r="A144" s="4" t="inlineStr">
        <is>
          <t>John C. Reilly</t>
        </is>
      </c>
      <c r="B144" s="4" t="n">
        <v>4</v>
      </c>
      <c r="C144" s="4" t="n">
        <v>2012</v>
      </c>
      <c r="D144" s="4" t="n">
        <v>2018</v>
      </c>
      <c r="E144" s="19" t="inlineStr">
        <is>
          <t>Sing, Wreck-It Ralph, Ralph Breaks the Internet, Kong: Skull Island</t>
        </is>
      </c>
      <c r="F144" s="4" t="inlineStr">
        <is>
          <t>F0280, F0336, F0337, F0190</t>
        </is>
      </c>
    </row>
    <row r="145" ht="15.75" customHeight="1" s="108">
      <c r="A145" s="4" t="inlineStr">
        <is>
          <t>John Cena</t>
        </is>
      </c>
      <c r="B145" s="4" t="n">
        <v>4</v>
      </c>
      <c r="C145" s="4" t="n">
        <v>2018</v>
      </c>
      <c r="D145" s="4" t="n">
        <v>2023</v>
      </c>
      <c r="E145" s="19" t="inlineStr">
        <is>
          <t>Bumblebee, F9: The Fast Saga, Fast X, Barbie</t>
        </is>
      </c>
      <c r="F145" s="4" t="inlineStr">
        <is>
          <t>F0061, F0109, F0110, F0041</t>
        </is>
      </c>
    </row>
    <row r="146" ht="15.75" customHeight="1" s="108">
      <c r="A146" s="4" t="inlineStr">
        <is>
          <t>John Leguizamo</t>
        </is>
      </c>
      <c r="B146" s="4" t="n">
        <v>7</v>
      </c>
      <c r="C146" s="4" t="n">
        <v>2006</v>
      </c>
      <c r="D146" s="4" t="n">
        <v>2017</v>
      </c>
      <c r="E146" s="19" t="inlineStr">
        <is>
          <t xml:space="preserve">Chef, Ice Age: The Meltdown, Ice Age: Dawn of the Dinosaurs, Kick-Ass 2, john wick, john wick chapter 2, john wick chapter 2 </t>
        </is>
      </c>
      <c r="F146" s="4" t="inlineStr">
        <is>
          <t>F0065, F0160, F0161, F0186, F0374, F0375</t>
        </is>
      </c>
    </row>
    <row r="147" ht="15.75" customHeight="1" s="108">
      <c r="A147" s="4" t="inlineStr">
        <is>
          <t>John Malkovich</t>
        </is>
      </c>
      <c r="B147" s="4" t="n">
        <v>4</v>
      </c>
      <c r="C147" s="4" t="n">
        <v>1997</v>
      </c>
      <c r="D147" s="4" t="n">
        <v>2011</v>
      </c>
      <c r="E147" s="19" t="inlineStr">
        <is>
          <t>Con Air, Jonah Hex, RED, Transformers: Dark of the Moon</t>
        </is>
      </c>
      <c r="F147" s="4" t="inlineStr">
        <is>
          <t>F0068, F0173, F0262, F0318</t>
        </is>
      </c>
    </row>
    <row r="148" ht="15.75" customHeight="1" s="108">
      <c r="A148" s="4" t="inlineStr">
        <is>
          <t>Josh Hutcherson</t>
        </is>
      </c>
      <c r="B148" s="4" t="n">
        <v>6</v>
      </c>
      <c r="C148" s="4" t="n">
        <v>2008</v>
      </c>
      <c r="D148" s="4" t="n">
        <v>2016</v>
      </c>
      <c r="E148" s="19" t="inlineStr">
        <is>
          <t>The Hunger Games, The Hunger Games: Mockingjay - Part 1, Journey to the Center of the Earth, Catching  fire, Mockingjay part 2, Catching fire</t>
        </is>
      </c>
      <c r="F148" s="4" t="inlineStr">
        <is>
          <t>F0157, F0158, F0174, F0382, F0383, F0384</t>
        </is>
      </c>
    </row>
    <row r="149" ht="15.75" customHeight="1" s="108">
      <c r="A149" s="4" t="inlineStr">
        <is>
          <t>Jude Law</t>
        </is>
      </c>
      <c r="B149" s="4" t="n">
        <v>4</v>
      </c>
      <c r="C149" s="4" t="n">
        <v>2009</v>
      </c>
      <c r="D149" s="4" t="n">
        <v>2018</v>
      </c>
      <c r="E149" s="19" t="inlineStr">
        <is>
          <t>Sherlock Holmes, Sherlock Holmes: A Game of Shadows, Spy, Fantastic beasts: the crimes of grindelwald</t>
        </is>
      </c>
      <c r="F149" s="4" t="inlineStr">
        <is>
          <t>F0278, F0279, F0290, F0360</t>
        </is>
      </c>
    </row>
    <row r="150" ht="15.75" customHeight="1" s="108">
      <c r="A150" s="4" t="inlineStr">
        <is>
          <t>Judi Dench</t>
        </is>
      </c>
      <c r="B150" s="4" t="n">
        <v>4</v>
      </c>
      <c r="C150" s="4" t="n">
        <v>2006</v>
      </c>
      <c r="D150" s="4" t="n">
        <v>2012</v>
      </c>
      <c r="E150" s="19" t="inlineStr">
        <is>
          <t>Casino Royale, Quantum of Solace, Skyfall, Pirates of the Caribbean: On Stranger Tides</t>
        </is>
      </c>
      <c r="F150" s="4" t="inlineStr">
        <is>
          <t>F0001, F0002, F0003, F0249</t>
        </is>
      </c>
    </row>
    <row r="151" ht="15.75" customHeight="1" s="108">
      <c r="A151" s="4" t="inlineStr">
        <is>
          <t>Kate Beckinsale</t>
        </is>
      </c>
      <c r="B151" s="4" t="n">
        <v>7</v>
      </c>
      <c r="C151" s="4" t="n">
        <v>2001</v>
      </c>
      <c r="D151" s="4" t="n">
        <v>2012</v>
      </c>
      <c r="E151" s="19" t="inlineStr">
        <is>
          <t xml:space="preserve">Pearl Harbor, Underworld: Evolution, Underworld: Awakening, Underworld: Rise of the Lycans, Underworld, Underworld awakening, Underworld </t>
        </is>
      </c>
      <c r="F151" s="4" t="inlineStr">
        <is>
          <t>F0246, F0326, F0328, F0327, F0389, F0390</t>
        </is>
      </c>
    </row>
    <row r="152" ht="15.75" customHeight="1" s="108">
      <c r="A152" s="4" t="inlineStr">
        <is>
          <t>Keanu Reeves</t>
        </is>
      </c>
      <c r="B152" s="4" t="n">
        <v>10</v>
      </c>
      <c r="C152" s="4" t="n">
        <v>1999</v>
      </c>
      <c r="D152" s="4" t="n">
        <v>2025</v>
      </c>
      <c r="E152" s="19" t="inlineStr">
        <is>
          <t xml:space="preserve">The Matrix, The Matrix Reloaded, The Matrix Revolutions, Toy Story 4, john wick, john wick chapter 2, sonic the hedgehog 3, John wick chapter 3, John wick chapter 4, john wick chapter 2 </t>
        </is>
      </c>
      <c r="F152" s="4" t="inlineStr">
        <is>
          <t>F0214, F0215, F0216, F0315, F0374, F0375, F0379, F0391, F0392</t>
        </is>
      </c>
    </row>
    <row r="153" ht="15.75" customHeight="1" s="108">
      <c r="A153" s="4" t="inlineStr">
        <is>
          <t>Keegan-Michael Key</t>
        </is>
      </c>
      <c r="B153" s="4" t="n">
        <v>7</v>
      </c>
      <c r="C153" s="4" t="n">
        <v>2010</v>
      </c>
      <c r="D153" s="4" t="n">
        <v>2023</v>
      </c>
      <c r="E153" s="19" t="inlineStr">
        <is>
          <t>The Super Mario Bros. Movie, Toy Story 4, Wonka, Due Date, Just Go with It, The Lego Movie, Pitch Perfect 2</t>
        </is>
      </c>
      <c r="F153" s="4" t="inlineStr">
        <is>
          <t>F0212, F0315, F0338, F0091, F0183, F0195, F0251</t>
        </is>
      </c>
    </row>
    <row r="154" ht="15.75" customHeight="1" s="108">
      <c r="A154" s="4" t="inlineStr">
        <is>
          <t>Ken Watanabe</t>
        </is>
      </c>
      <c r="B154" s="4" t="n">
        <v>5</v>
      </c>
      <c r="C154" s="4" t="n">
        <v>2005</v>
      </c>
      <c r="D154" s="4" t="n">
        <v>2019</v>
      </c>
      <c r="E154" s="19" t="inlineStr">
        <is>
          <t>Godzilla, Godzilla: King of the Monsters, Inception, Batman Begins, Transformers: Age of Extinction</t>
        </is>
      </c>
      <c r="F154" s="4" t="inlineStr">
        <is>
          <t>F0121, F0122, F0165, F0043, F0319</t>
        </is>
      </c>
    </row>
    <row r="155" ht="15.75" customHeight="1" s="108">
      <c r="A155" s="4" t="inlineStr">
        <is>
          <t>Kirsten Dunst</t>
        </is>
      </c>
      <c r="B155" s="4" t="n">
        <v>3</v>
      </c>
      <c r="C155" s="4" t="n">
        <v>2002</v>
      </c>
      <c r="D155" s="4" t="n">
        <v>2007</v>
      </c>
      <c r="E155" s="19" t="inlineStr">
        <is>
          <t>Spider-Man, Spider-Man 2, Spider-Man 3</t>
        </is>
      </c>
      <c r="F155" s="4" t="inlineStr">
        <is>
          <t>F0287, F0288, F0289</t>
        </is>
      </c>
    </row>
    <row r="156" ht="15.75" customHeight="1" s="108">
      <c r="A156" s="4" t="inlineStr">
        <is>
          <t>Kristen Bell</t>
        </is>
      </c>
      <c r="B156" s="4" t="n">
        <v>4</v>
      </c>
      <c r="C156" s="4" t="n">
        <v>2008</v>
      </c>
      <c r="D156" s="4" t="n">
        <v>2018</v>
      </c>
      <c r="E156" s="19" t="inlineStr">
        <is>
          <t>Bad Moms, Forgetting Sarah Marshall, Frozen, Ralph Breaks the Internet</t>
        </is>
      </c>
      <c r="F156" s="4" t="inlineStr">
        <is>
          <t>F0038, F0115, F0116, F0337</t>
        </is>
      </c>
    </row>
    <row r="157" ht="15.75" customHeight="1" s="108">
      <c r="A157" s="4" t="inlineStr">
        <is>
          <t>Kyle Chandler</t>
        </is>
      </c>
      <c r="B157" s="4" t="n">
        <v>6</v>
      </c>
      <c r="C157" s="4" t="n">
        <v>2005</v>
      </c>
      <c r="D157" s="4" t="n">
        <v>2021</v>
      </c>
      <c r="E157" s="19" t="inlineStr">
        <is>
          <t>Godzilla: King of the Monsters, Super 8, Zero Dark Thirty, Argo, Godzilla vs. Kong, King Kong</t>
        </is>
      </c>
      <c r="F157" s="4" t="inlineStr">
        <is>
          <t>F0122, F0302, F0349, F0025, F0123, F0188</t>
        </is>
      </c>
    </row>
    <row r="158" ht="15.75" customHeight="1" s="108">
      <c r="A158" s="4" t="inlineStr">
        <is>
          <t>Laurence Fishburne</t>
        </is>
      </c>
      <c r="B158" s="4" t="n">
        <v>9</v>
      </c>
      <c r="C158" s="4" t="n">
        <v>1999</v>
      </c>
      <c r="D158" s="4" t="n">
        <v>2023</v>
      </c>
      <c r="E158" s="19" t="inlineStr">
        <is>
          <t xml:space="preserve">The Matrix, The Matrix Reloaded, The Matrix Revolutions, Man of Steel, Mission: Impossible III, john wick chapter 2, John wick chapter 3, John wick chapter 4, john wick chapter 2 </t>
        </is>
      </c>
      <c r="F158" s="4" t="inlineStr">
        <is>
          <t>F0214, F0215, F0216, F0211, F0223, F0375, F0391, F0392</t>
        </is>
      </c>
    </row>
    <row r="159" ht="15.75" customHeight="1" s="108">
      <c r="A159" s="4" t="inlineStr">
        <is>
          <t>Lea Thompson</t>
        </is>
      </c>
      <c r="B159" s="4" t="n">
        <v>3</v>
      </c>
      <c r="C159" s="4" t="n">
        <v>1985</v>
      </c>
      <c r="D159" s="4" t="n">
        <v>1990</v>
      </c>
      <c r="E159" s="19" t="inlineStr">
        <is>
          <t>Back to the Future, Back to the Future Part II, Back to the Future Part III</t>
        </is>
      </c>
      <c r="F159" s="4" t="inlineStr">
        <is>
          <t>F0033, F0034, F0035</t>
        </is>
      </c>
    </row>
    <row r="160" ht="15.75" customHeight="1" s="108">
      <c r="A160" s="4" t="inlineStr">
        <is>
          <t>Leonard Nimoy</t>
        </is>
      </c>
      <c r="B160" s="4" t="n">
        <v>3</v>
      </c>
      <c r="C160" s="4" t="n">
        <v>1986</v>
      </c>
      <c r="D160" s="4" t="n">
        <v>2011</v>
      </c>
      <c r="E160" s="19" t="inlineStr">
        <is>
          <t>Star Trek, Transformers: Dark of the Moon, The Transformers: The Movie</t>
        </is>
      </c>
      <c r="F160" s="4" t="inlineStr">
        <is>
          <t>F0291, F0318, F0322</t>
        </is>
      </c>
    </row>
    <row r="161" ht="15.75" customHeight="1" s="108">
      <c r="A161" s="4" t="inlineStr">
        <is>
          <t>Ludacris</t>
        </is>
      </c>
      <c r="B161" s="4" t="n">
        <v>8</v>
      </c>
      <c r="C161" s="4" t="n">
        <v>2003</v>
      </c>
      <c r="D161" s="4" t="n">
        <v>2023</v>
      </c>
      <c r="E161" s="19" t="inlineStr">
        <is>
          <t>2 Fast 2 Furious, F9: The Fast Saga, Fast X, Fast &amp; Furious, Fast Five, Fast &amp; Furious 6, Furious 7, The Fate of the Furious</t>
        </is>
      </c>
      <c r="F161" s="4" t="inlineStr">
        <is>
          <t>F0102, F0109, F0110, F0104, F0105, F0106, F0107, F0108</t>
        </is>
      </c>
    </row>
    <row r="162" ht="15.75" customHeight="1" s="108">
      <c r="A162" s="4" t="inlineStr">
        <is>
          <t>Martin Sheen</t>
        </is>
      </c>
      <c r="B162" s="4" t="n">
        <v>3</v>
      </c>
      <c r="C162" s="4" t="n">
        <v>2002</v>
      </c>
      <c r="D162" s="4" t="n">
        <v>2012</v>
      </c>
      <c r="E162" s="19" t="inlineStr">
        <is>
          <t>The Amazing Spider-Man, Catch Me If You Can, The Departed</t>
        </is>
      </c>
      <c r="F162" s="4" t="inlineStr">
        <is>
          <t>F0019, F0064, F0081</t>
        </is>
      </c>
    </row>
    <row r="163" ht="15.75" customHeight="1" s="108">
      <c r="A163" s="4" t="inlineStr">
        <is>
          <t>Michael Gambon</t>
        </is>
      </c>
      <c r="B163" s="4" t="n">
        <v>8</v>
      </c>
      <c r="C163" s="4" t="n">
        <v>2004</v>
      </c>
      <c r="D163" s="4" t="n">
        <v>2014</v>
      </c>
      <c r="E163" s="19" t="inlineStr">
        <is>
          <t>Harry Potter and the Prisoner of Azkaban, Harry Potter and the Goblet of Fire, Harry Potter and the Half-Blood Prince, Harry Potter and the Order of the Phoenix, Harry Potter and the Deathly Hallows: Part 1, Harry Potter and the Deathly Hallows: Part 2, The King's Speech, Paddington</t>
        </is>
      </c>
      <c r="F163" s="4" t="inlineStr">
        <is>
          <t>F0139, F0140, F0142, F0141, F0143, F0144, F0189, F0244</t>
        </is>
      </c>
    </row>
    <row r="164" ht="15.75" customHeight="1" s="108">
      <c r="A164" s="4" t="inlineStr">
        <is>
          <t>Michael J. Fox</t>
        </is>
      </c>
      <c r="B164" s="4" t="n">
        <v>3</v>
      </c>
      <c r="C164" s="4" t="n">
        <v>1985</v>
      </c>
      <c r="D164" s="4" t="n">
        <v>1990</v>
      </c>
      <c r="E164" s="19" t="inlineStr">
        <is>
          <t>Back to the Future, Back to the Future Part II, Back to the Future Part III</t>
        </is>
      </c>
      <c r="F164" s="4" t="inlineStr">
        <is>
          <t>F0033, F0034, F0035</t>
        </is>
      </c>
    </row>
    <row r="165" ht="15.75" customHeight="1" s="108">
      <c r="A165" s="4" t="inlineStr">
        <is>
          <t>Michael Peña</t>
        </is>
      </c>
      <c r="B165" s="4" t="n">
        <v>5</v>
      </c>
      <c r="C165" s="4" t="n">
        <v>2011</v>
      </c>
      <c r="D165" s="4" t="n">
        <v>2015</v>
      </c>
      <c r="E165" s="19" t="inlineStr">
        <is>
          <t>Battle: Los Angeles, Fury, The Martian, 30 Minutes or Less, American Hustle</t>
        </is>
      </c>
      <c r="F165" s="4" t="inlineStr">
        <is>
          <t>F0046, F0117, F0213, F0009, F0020</t>
        </is>
      </c>
    </row>
    <row r="166" ht="15.75" customHeight="1" s="108">
      <c r="A166" s="4" t="inlineStr">
        <is>
          <t>Michelle Monaghan</t>
        </is>
      </c>
      <c r="B166" s="4" t="n">
        <v>6</v>
      </c>
      <c r="C166" s="4" t="n">
        <v>2004</v>
      </c>
      <c r="D166" s="4" t="n">
        <v>2018</v>
      </c>
      <c r="E166" s="19" t="inlineStr">
        <is>
          <t>Due Date, Mission: Impossible III, Source Code, The Bourne Supremacy, Mission: Impossible - Fallout, Mr. &amp; Mrs. Smith</t>
        </is>
      </c>
      <c r="F166" s="4" t="inlineStr">
        <is>
          <t>F0091, F0223, F0285, F0054, F0226, F0231</t>
        </is>
      </c>
    </row>
    <row r="167" ht="15.75" customHeight="1" s="108">
      <c r="A167" s="4" t="inlineStr">
        <is>
          <t>Mila Kunis</t>
        </is>
      </c>
      <c r="B167" s="4" t="n">
        <v>3</v>
      </c>
      <c r="C167" s="4" t="n">
        <v>2008</v>
      </c>
      <c r="D167" s="4" t="n">
        <v>2016</v>
      </c>
      <c r="E167" s="19" t="inlineStr">
        <is>
          <t>Bad Moms, Forgetting Sarah Marshall, Ted</t>
        </is>
      </c>
      <c r="F167" s="4" t="inlineStr">
        <is>
          <t>F0038, F0115, F0308</t>
        </is>
      </c>
    </row>
    <row r="168" ht="15.75" customHeight="1" s="108">
      <c r="A168" s="4" t="inlineStr">
        <is>
          <t>Miranda Cosgrove</t>
        </is>
      </c>
      <c r="B168" s="4" t="n">
        <v>3</v>
      </c>
      <c r="C168" s="4" t="n">
        <v>2010</v>
      </c>
      <c r="D168" s="4" t="n">
        <v>2017</v>
      </c>
      <c r="E168" s="19" t="inlineStr">
        <is>
          <t>Despicable Me, Despicable Me 2, Despicable Me 3</t>
        </is>
      </c>
      <c r="F168" s="4" t="inlineStr">
        <is>
          <t>F0082, F0083, F0084</t>
        </is>
      </c>
    </row>
    <row r="169" ht="15.75" customHeight="1" s="108">
      <c r="A169" s="4" t="inlineStr">
        <is>
          <t>Natalie Portman</t>
        </is>
      </c>
      <c r="B169" s="4" t="n">
        <v>3</v>
      </c>
      <c r="C169" s="4" t="n">
        <v>1999</v>
      </c>
      <c r="D169" s="4" t="n">
        <v>2005</v>
      </c>
      <c r="E169" s="19" t="inlineStr">
        <is>
          <t>Star Wars: Episode I – The Phantom Menace, Star Wars: Episode II – Attack of the Clones, Star Wars: Episode III – Revenge of the Sith</t>
        </is>
      </c>
      <c r="F169" s="4" t="inlineStr">
        <is>
          <t>F0292, F0293, F0294</t>
        </is>
      </c>
    </row>
    <row r="170" ht="15.75" customHeight="1" s="108">
      <c r="A170" s="4" t="inlineStr">
        <is>
          <t>Paddy Considine</t>
        </is>
      </c>
      <c r="B170" s="4" t="n">
        <v>3</v>
      </c>
      <c r="C170" s="4" t="n">
        <v>2007</v>
      </c>
      <c r="D170" s="4" t="n">
        <v>2013</v>
      </c>
      <c r="E170" s="19" t="inlineStr">
        <is>
          <t>The Bourne Ultimatum, Hot Fuzz, The World's End</t>
        </is>
      </c>
      <c r="F170" s="4" t="inlineStr">
        <is>
          <t>F0055, F0071, F0072</t>
        </is>
      </c>
    </row>
    <row r="171" ht="15.75" customHeight="1" s="108">
      <c r="A171" s="4" t="inlineStr">
        <is>
          <t>Rami Malek</t>
        </is>
      </c>
      <c r="B171" s="4" t="n">
        <v>6</v>
      </c>
      <c r="C171" s="4" t="n">
        <v>2006</v>
      </c>
      <c r="D171" s="4" t="n">
        <v>2023</v>
      </c>
      <c r="E171" s="19" t="inlineStr">
        <is>
          <t>No Time to Die, Bohemian Rhapsody, Need for Speed, Night at the Museum: Battle of the Smithsonian, Oppenheimer, night at the museum</t>
        </is>
      </c>
      <c r="F171" s="4" t="inlineStr">
        <is>
          <t>F0005, F0052, F0234, F0236, F0242, F0377</t>
        </is>
      </c>
    </row>
    <row r="172" ht="15.75" customHeight="1" s="108">
      <c r="A172" s="4" t="inlineStr">
        <is>
          <t>Ray Winstone</t>
        </is>
      </c>
      <c r="B172" s="4" t="n">
        <v>6</v>
      </c>
      <c r="C172" s="4" t="n">
        <v>2006</v>
      </c>
      <c r="D172" s="4" t="n">
        <v>2014</v>
      </c>
      <c r="E172" s="19" t="inlineStr">
        <is>
          <t>44 Inch Chest, Noah, The Sweeney, The Departed, Sex &amp; Drugs &amp; Rock &amp; Roll, Snow White and the Huntsman</t>
        </is>
      </c>
      <c r="F172" s="4" t="inlineStr">
        <is>
          <t>F0010, F0238, F0305, F0081, F0277, F0284</t>
        </is>
      </c>
    </row>
    <row r="173" ht="15.75" customHeight="1" s="108">
      <c r="A173" s="4" t="inlineStr">
        <is>
          <t>Richard Armitage</t>
        </is>
      </c>
      <c r="B173" s="4" t="n">
        <v>3</v>
      </c>
      <c r="C173" s="4" t="n">
        <v>2012</v>
      </c>
      <c r="D173" s="4" t="n">
        <v>2014</v>
      </c>
      <c r="E173" s="19" t="inlineStr">
        <is>
          <t>The Hobbit: An Unexpected Journey, The Hobbit: The Desolation of Smaug, The Hobbit: The Battle of the Five Armies</t>
        </is>
      </c>
      <c r="F173" s="4" t="inlineStr">
        <is>
          <t>F0150, F0151, F0152</t>
        </is>
      </c>
    </row>
    <row r="174" ht="15.75" customHeight="1" s="108">
      <c r="A174" s="4" t="inlineStr">
        <is>
          <t>Richard Jenkins</t>
        </is>
      </c>
      <c r="B174" s="4" t="n">
        <v>5</v>
      </c>
      <c r="C174" s="4" t="n">
        <v>2010</v>
      </c>
      <c r="D174" s="4" t="n">
        <v>2017</v>
      </c>
      <c r="E174" s="19" t="inlineStr">
        <is>
          <t>Dear John, Jack Reacher, White House Down, Killing Them Softly, Kong: Skull Island</t>
        </is>
      </c>
      <c r="F174" s="4" t="inlineStr">
        <is>
          <t>F0079, F0171, F0335, F0187, F0190</t>
        </is>
      </c>
    </row>
    <row r="175" ht="15.75" customHeight="1" s="108">
      <c r="A175" s="4" t="inlineStr">
        <is>
          <t>Robin Williams</t>
        </is>
      </c>
      <c r="B175" s="4" t="n">
        <v>4</v>
      </c>
      <c r="C175" s="4" t="n">
        <v>1997</v>
      </c>
      <c r="D175" s="4" t="n">
        <v>2011</v>
      </c>
      <c r="E175" s="19" t="inlineStr">
        <is>
          <t>Good Will Hunting, Happy Feet Two, Night at the Museum: Battle of the Smithsonian, night at the museum</t>
        </is>
      </c>
      <c r="F175" s="4" t="inlineStr">
        <is>
          <t>F0124, F0145, F0236, F0377</t>
        </is>
      </c>
    </row>
    <row r="176" ht="15.75" customHeight="1" s="108">
      <c r="A176" s="4" t="inlineStr">
        <is>
          <t>Rose Byrne</t>
        </is>
      </c>
      <c r="B176" s="4" t="n">
        <v>5</v>
      </c>
      <c r="C176" s="4" t="n">
        <v>2002</v>
      </c>
      <c r="D176" s="4" t="n">
        <v>2016</v>
      </c>
      <c r="E176" s="19" t="inlineStr">
        <is>
          <t>Bridesmaids, Spy, X-Men: First Class, Star Wars: Episode II – Attack of the Clones, X-Men: Apocalypse</t>
        </is>
      </c>
      <c r="F176" s="4" t="inlineStr">
        <is>
          <t>F0058, F0290, F0340, F0293, F0342</t>
        </is>
      </c>
    </row>
    <row r="177" ht="15.75" customHeight="1" s="108">
      <c r="A177" s="4" t="inlineStr">
        <is>
          <t>Sam Neill</t>
        </is>
      </c>
      <c r="B177" s="4" t="n">
        <v>3</v>
      </c>
      <c r="C177" s="4" t="n">
        <v>1993</v>
      </c>
      <c r="D177" s="4" t="n">
        <v>2022</v>
      </c>
      <c r="E177" s="19" t="inlineStr">
        <is>
          <t>Jurassic Park, Jurassic Park III, Jurassic World Dominion</t>
        </is>
      </c>
      <c r="F177" s="4" t="inlineStr">
        <is>
          <t>F0176, F0178, F0181</t>
        </is>
      </c>
    </row>
    <row r="178" ht="15.75" customHeight="1" s="108">
      <c r="A178" s="4" t="inlineStr">
        <is>
          <t>Sean Astin</t>
        </is>
      </c>
      <c r="B178" s="4" t="n">
        <v>3</v>
      </c>
      <c r="C178" s="4" t="n">
        <v>2001</v>
      </c>
      <c r="D178" s="4" t="n">
        <v>2003</v>
      </c>
      <c r="E178" s="19" t="inlineStr">
        <is>
          <t>The Lord of the Rings: The Fellowship of the Ring, The Lord of the Rings: The Two Towers, The Lord of the Rings: The Return of the King</t>
        </is>
      </c>
      <c r="F178" s="4" t="inlineStr">
        <is>
          <t>F0203, F0204, F0205</t>
        </is>
      </c>
    </row>
    <row r="179" ht="15.75" customHeight="1" s="108">
      <c r="A179" s="4" t="inlineStr">
        <is>
          <t>Seth MacFarlane</t>
        </is>
      </c>
      <c r="B179" s="4" t="n">
        <v>3</v>
      </c>
      <c r="C179" s="4" t="n">
        <v>2012</v>
      </c>
      <c r="D179" s="4" t="n">
        <v>2016</v>
      </c>
      <c r="E179" s="19" t="inlineStr">
        <is>
          <t>A Million Ways to Die in the West, Sing, Ted</t>
        </is>
      </c>
      <c r="F179" s="4" t="inlineStr">
        <is>
          <t>F0021, F0280, F0308</t>
        </is>
      </c>
    </row>
    <row r="180" ht="15.75" customHeight="1" s="108">
      <c r="A180" s="4" t="inlineStr">
        <is>
          <t>Steve Buscemi</t>
        </is>
      </c>
      <c r="B180" s="4" t="n">
        <v>10</v>
      </c>
      <c r="C180" s="4" t="n">
        <v>1997</v>
      </c>
      <c r="D180" s="4" t="n">
        <v>2013</v>
      </c>
      <c r="E180" s="19" t="inlineStr">
        <is>
          <t>The Big Lebowski, Monsters, Inc., Monsters University, Con Air, Grown Ups, Grown Ups 2, Monsters, Inc., Monsters, Inc., Monsters, Inc., Monsters, Inc.</t>
        </is>
      </c>
      <c r="F180" s="4" t="inlineStr">
        <is>
          <t>F0049, F0229, F0230, F0068, F0131, F0132</t>
        </is>
      </c>
    </row>
    <row r="181" ht="15.75" customHeight="1" s="108">
      <c r="A181" s="4" t="inlineStr">
        <is>
          <t>T.J. Miller</t>
        </is>
      </c>
      <c r="B181" s="4" t="n">
        <v>8</v>
      </c>
      <c r="C181" s="4" t="n">
        <v>2010</v>
      </c>
      <c r="D181" s="4" t="n">
        <v>2018</v>
      </c>
      <c r="E181" s="19" t="inlineStr">
        <is>
          <t>Big Hero 6, Deadpool, Yogi Bear, Deadpool 2, How to Train Your Dragon, How to Train Your Dragon 2, Transformers: Age of Extinction, Ready player one</t>
        </is>
      </c>
      <c r="F181" s="4" t="inlineStr">
        <is>
          <t>F0048, F0076, F0348, F0077, F0154, F0155, F0319, F0352</t>
        </is>
      </c>
    </row>
    <row r="182" ht="15.75" customHeight="1" s="108">
      <c r="A182" s="4" t="inlineStr">
        <is>
          <t>Thandiwe Newton</t>
        </is>
      </c>
      <c r="B182" s="4" t="n">
        <v>4</v>
      </c>
      <c r="C182" s="4" t="n">
        <v>2000</v>
      </c>
      <c r="D182" s="4" t="n">
        <v>2018</v>
      </c>
      <c r="E182" s="19" t="inlineStr">
        <is>
          <t>2012, Mission: Impossible II, The Pursuit of Happyness, Solo a star wars story</t>
        </is>
      </c>
      <c r="F182" s="4" t="inlineStr">
        <is>
          <t>F0006, F0222, F0260, F0386</t>
        </is>
      </c>
    </row>
    <row r="183" ht="15.75" customHeight="1" s="108">
      <c r="A183" s="4" t="inlineStr">
        <is>
          <t>Troy Baker</t>
        </is>
      </c>
      <c r="B183" s="4" t="n">
        <v>3</v>
      </c>
      <c r="C183" s="4" t="n">
        <v>2013</v>
      </c>
      <c r="D183" s="4" t="n">
        <v>2016</v>
      </c>
      <c r="E183" s="19" t="inlineStr">
        <is>
          <t>Lego Batman: The Movie - DC Super Heroes Unite, Lego DC Comics Super Heroes: Justice League vs. Bizarro League, Lego DC Comics Super Heroes: Justice League - Gotham City Breakout</t>
        </is>
      </c>
      <c r="F183" s="4" t="inlineStr">
        <is>
          <t>F0194, F0197, F0198</t>
        </is>
      </c>
    </row>
    <row r="184" ht="15.75" customHeight="1" s="108">
      <c r="A184" s="4" t="inlineStr">
        <is>
          <t>Vera Farmiga</t>
        </is>
      </c>
      <c r="B184" s="4" t="n">
        <v>4</v>
      </c>
      <c r="C184" s="4" t="n">
        <v>2006</v>
      </c>
      <c r="D184" s="4" t="n">
        <v>2019</v>
      </c>
      <c r="E184" s="19" t="inlineStr">
        <is>
          <t>Godzilla: King of the Monsters, Safe House, Source Code, The Departed</t>
        </is>
      </c>
      <c r="F184" s="4" t="inlineStr">
        <is>
          <t>F0122, F0272, F0285, F0081</t>
        </is>
      </c>
    </row>
    <row r="185" ht="15.75" customHeight="1" s="108">
      <c r="A185" s="4" t="inlineStr">
        <is>
          <t>Viggo Mortensen</t>
        </is>
      </c>
      <c r="B185" s="4" t="n">
        <v>5</v>
      </c>
      <c r="C185" s="4" t="n">
        <v>2001</v>
      </c>
      <c r="D185" s="4" t="n">
        <v>2018</v>
      </c>
      <c r="E185" s="19" t="inlineStr">
        <is>
          <t xml:space="preserve">The Lord of the Rings: The Fellowship of the Ring, The Lord of the Rings: The Two Towers, The Lord of the Rings: The Return of the King, green book, green book </t>
        </is>
      </c>
      <c r="F185" s="4" t="inlineStr">
        <is>
          <t>F0203, F0204, F0205, F0371</t>
        </is>
      </c>
    </row>
    <row r="186" ht="15.75" customHeight="1" s="108">
      <c r="A186" s="4" t="inlineStr">
        <is>
          <t>Vince Vaughn</t>
        </is>
      </c>
      <c r="B186" s="4" t="n">
        <v>4</v>
      </c>
      <c r="C186" s="4" t="n">
        <v>1997</v>
      </c>
      <c r="D186" s="4" t="n">
        <v>2016</v>
      </c>
      <c r="E186" s="19" t="inlineStr">
        <is>
          <t>Delivery Man, Hacksaw Ridge, Mr. &amp; Mrs. Smith, The Lost World: Jurassic Park</t>
        </is>
      </c>
      <c r="F186" s="4" t="inlineStr">
        <is>
          <t>F0080, F0133, F0231, F0177</t>
        </is>
      </c>
    </row>
    <row r="187" ht="15.75" customHeight="1" s="108">
      <c r="A187" s="4" t="inlineStr">
        <is>
          <t>Vincent D'Onofrio</t>
        </is>
      </c>
      <c r="B187" s="4" t="n">
        <v>3</v>
      </c>
      <c r="C187" s="4" t="n">
        <v>1997</v>
      </c>
      <c r="D187" s="4" t="n">
        <v>2016</v>
      </c>
      <c r="E187" s="19" t="inlineStr">
        <is>
          <t>Jurassic World, The Magnificent Seven, Men in Black</t>
        </is>
      </c>
      <c r="F187" s="4" t="inlineStr">
        <is>
          <t>F0179, F0207, F0218</t>
        </is>
      </c>
    </row>
    <row r="188" ht="15.75" customHeight="1" s="108">
      <c r="A188" s="4" t="inlineStr">
        <is>
          <t>Will Ferrell</t>
        </is>
      </c>
      <c r="B188" s="4" t="n">
        <v>6</v>
      </c>
      <c r="C188" s="4" t="n">
        <v>2003</v>
      </c>
      <c r="D188" s="4" t="n">
        <v>2023</v>
      </c>
      <c r="E188" s="19" t="inlineStr">
        <is>
          <t>Anchorman: The Legend of Ron Burgundy, Elf, The Lego Movie, Barbie, The Lego Movie 2: The Second Part, Anchorman 2</t>
        </is>
      </c>
      <c r="F188" s="4" t="inlineStr">
        <is>
          <t>F0022, F0092, F0195, F0041, F0196, F0357</t>
        </is>
      </c>
    </row>
    <row r="189" ht="15.75" customHeight="1" s="108">
      <c r="A189" s="4" t="inlineStr">
        <is>
          <t>Woody Harrelson</t>
        </is>
      </c>
      <c r="B189" s="4" t="n">
        <v>8</v>
      </c>
      <c r="C189" s="4" t="n">
        <v>2009</v>
      </c>
      <c r="D189" s="4" t="n">
        <v>2018</v>
      </c>
      <c r="E189" s="19" t="inlineStr">
        <is>
          <t>The Hunger Games, The Hunger Games: Mockingjay - Part 1, War for the Planet of the Apes, 2012, Catching  fire, Mockingjay part 2, Catching fire, Solo a star wars story</t>
        </is>
      </c>
      <c r="F189" s="4" t="inlineStr">
        <is>
          <t>F0157, F0158, F0255, F0006, F0382, F0383, F0384, F0386</t>
        </is>
      </c>
    </row>
    <row r="190" ht="15.75" customHeight="1" s="108">
      <c r="A190" s="4" t="inlineStr">
        <is>
          <t>Adam Brody</t>
        </is>
      </c>
      <c r="B190" s="4" t="n">
        <v>2</v>
      </c>
      <c r="C190" s="4" t="n">
        <v>2005</v>
      </c>
      <c r="D190" s="4" t="n">
        <v>2010</v>
      </c>
      <c r="E190" s="19" t="inlineStr">
        <is>
          <t>Cop Out, Mr. &amp; Mrs. Smith</t>
        </is>
      </c>
      <c r="F190" s="4" t="inlineStr">
        <is>
          <t>F0069, F0231</t>
        </is>
      </c>
    </row>
    <row r="191" ht="15.75" customHeight="1" s="108">
      <c r="A191" s="4" t="inlineStr">
        <is>
          <t>Andrew Garfield</t>
        </is>
      </c>
      <c r="B191" s="4" t="n">
        <v>3</v>
      </c>
      <c r="C191" s="4" t="n">
        <v>2012</v>
      </c>
      <c r="D191" s="4" t="n">
        <v>2016</v>
      </c>
      <c r="E191" s="19" t="inlineStr">
        <is>
          <t>The Amazing Spider-Man, Hacksaw Ridge, amazing spider-man 2</t>
        </is>
      </c>
      <c r="F191" s="4" t="inlineStr">
        <is>
          <t>F0019, F0133, F0363</t>
        </is>
      </c>
    </row>
    <row r="192" ht="15.75" customHeight="1" s="108">
      <c r="A192" s="4" t="inlineStr">
        <is>
          <t>Anthony Daniels</t>
        </is>
      </c>
      <c r="B192" s="4" t="n">
        <v>12</v>
      </c>
      <c r="C192" s="4" t="n">
        <v>1977</v>
      </c>
      <c r="D192" s="4" t="n">
        <v>2019</v>
      </c>
      <c r="E192" s="19" t="inlineStr">
        <is>
          <t>Star Wars: Episode V – The Empire Strikes Back, Star Wars: Episode VI – Return of the Jedi, The Lego Movie, Star Wars: Episode I – The Phantom Menace, Star Wars: Episode II – Attack of the Clones, Star Wars: Episode III – Revenge of the Sith, Star Wars: Episode IV – A New Hope, Star Wars: The Force Awakens, Star Wars: The Last Jedi, Star Wars: The Rise of Skywalker, Rogue one, Solo a star wars story</t>
        </is>
      </c>
      <c r="F192" s="4" t="inlineStr">
        <is>
          <t>F0296, F0297, F0195, F0292, F0293, F0294, F0295, F0298, F0299, F0300, F0385, F0386</t>
        </is>
      </c>
    </row>
    <row r="193" ht="15.75" customHeight="1" s="108">
      <c r="A193" s="4" t="inlineStr">
        <is>
          <t>Anthony Hopkins</t>
        </is>
      </c>
      <c r="B193" s="4" t="n">
        <v>2</v>
      </c>
      <c r="C193" s="4" t="n">
        <v>2014</v>
      </c>
      <c r="D193" s="4" t="n">
        <v>2017</v>
      </c>
      <c r="E193" s="19" t="inlineStr">
        <is>
          <t>Noah, Transformers: The Last Knight</t>
        </is>
      </c>
      <c r="F193" s="4" t="inlineStr">
        <is>
          <t>F0238, F0320</t>
        </is>
      </c>
    </row>
    <row r="194" ht="15.75" customHeight="1" s="108">
      <c r="A194" s="4" t="inlineStr">
        <is>
          <t>Ben Stiller</t>
        </is>
      </c>
      <c r="B194" s="4" t="n">
        <v>3</v>
      </c>
      <c r="C194" s="4" t="n">
        <v>2006</v>
      </c>
      <c r="D194" s="4" t="n">
        <v>2009</v>
      </c>
      <c r="E194" s="19" t="inlineStr">
        <is>
          <t>Night at the Museum: Battle of the Smithsonian, Tropic Thunder, night at the museum</t>
        </is>
      </c>
      <c r="F194" s="4" t="inlineStr">
        <is>
          <t>F0236, F0324, F0377</t>
        </is>
      </c>
    </row>
    <row r="195" ht="15.75" customHeight="1" s="108">
      <c r="A195" s="4" t="inlineStr">
        <is>
          <t>Benedict Cumberbatch</t>
        </is>
      </c>
      <c r="B195" s="4" t="n">
        <v>7</v>
      </c>
      <c r="C195" s="4" t="n">
        <v>2012</v>
      </c>
      <c r="D195" s="4" t="n">
        <v>2019</v>
      </c>
      <c r="E195" s="19" t="inlineStr">
        <is>
          <t>The Hobbit: The Desolation of Smaug, The Imitation Game, Avengers: Infinity War, Avengers: Endgame, The Hobbit: An Unexpected Journey, The Hobbit: The Battle of the Five Armies, 1917</t>
        </is>
      </c>
      <c r="F195" s="4" t="inlineStr">
        <is>
          <t>F0151, F0162, F0030, F0031, F0150, F0152, F0356</t>
        </is>
      </c>
    </row>
    <row r="196" ht="15.75" customHeight="1" s="108">
      <c r="A196" s="4" t="inlineStr">
        <is>
          <t>Bill Nighy</t>
        </is>
      </c>
      <c r="B196" s="4" t="n">
        <v>12</v>
      </c>
      <c r="C196" s="4" t="n">
        <v>2003</v>
      </c>
      <c r="D196" s="4" t="n">
        <v>2014</v>
      </c>
      <c r="E196" s="19" t="inlineStr">
        <is>
          <t xml:space="preserve">I, Frankenstein, Underworld: Rise of the Lycans, Shaun of the Dead, The World's End, Harry Potter and the Deathly Hallows: Part 1, I, Frankenstein, Underworld: Evolution, I, Frankenstein, I, Frankenstein, Underworld, I, Frankenstein, Underworld </t>
        </is>
      </c>
      <c r="F196" s="4" t="inlineStr">
        <is>
          <t>F0159, F0327, F0070, F0072, F0143, F0326, F0389</t>
        </is>
      </c>
    </row>
    <row r="197" ht="15.75" customHeight="1" s="108">
      <c r="A197" s="4" t="inlineStr">
        <is>
          <t>Billy Crystal</t>
        </is>
      </c>
      <c r="B197" s="4" t="n">
        <v>6</v>
      </c>
      <c r="C197" s="4" t="n">
        <v>2001</v>
      </c>
      <c r="D197" s="4" t="n">
        <v>2013</v>
      </c>
      <c r="E197" s="19" t="inlineStr">
        <is>
          <t>Monsters, Inc., Monsters University, Monsters, Inc., Monsters, Inc., Monsters, Inc., Monsters, Inc.</t>
        </is>
      </c>
      <c r="F197" s="4" t="inlineStr">
        <is>
          <t>F0229, F0230</t>
        </is>
      </c>
    </row>
    <row r="198" ht="15.75" customHeight="1" s="108">
      <c r="A198" s="4" t="inlineStr">
        <is>
          <t>Billy Dee Williams</t>
        </is>
      </c>
      <c r="B198" s="4" t="n">
        <v>5</v>
      </c>
      <c r="C198" s="4" t="n">
        <v>1980</v>
      </c>
      <c r="D198" s="4" t="n">
        <v>2019</v>
      </c>
      <c r="E198" s="19" t="inlineStr">
        <is>
          <t>Star Wars: Episode V – The Empire Strikes Back, Star Wars: Episode VI – Return of the Jedi, The Lego Batman Movie, The Lego Movie, Star Wars: The Rise of Skywalker</t>
        </is>
      </c>
      <c r="F198" s="4" t="inlineStr">
        <is>
          <t>F0296, F0297, F0193, F0195, F0300</t>
        </is>
      </c>
    </row>
    <row r="199" ht="15.75" customHeight="1" s="108">
      <c r="A199" s="4" t="inlineStr">
        <is>
          <t>Blake Harrison</t>
        </is>
      </c>
      <c r="B199" s="4" t="n">
        <v>2</v>
      </c>
      <c r="C199" s="4" t="n">
        <v>2011</v>
      </c>
      <c r="D199" s="4" t="n">
        <v>2014</v>
      </c>
      <c r="E199" s="19" t="inlineStr">
        <is>
          <t>The Inbetweeners Movie, The Inbetweeners 2</t>
        </is>
      </c>
      <c r="F199" s="4" t="inlineStr">
        <is>
          <t>F0163, F0164</t>
        </is>
      </c>
    </row>
    <row r="200" ht="15.75" customHeight="1" s="108">
      <c r="A200" s="4" t="inlineStr">
        <is>
          <t>Brie Larson</t>
        </is>
      </c>
      <c r="B200" s="4" t="n">
        <v>4</v>
      </c>
      <c r="C200" s="4" t="n">
        <v>2012</v>
      </c>
      <c r="D200" s="4" t="n">
        <v>2023</v>
      </c>
      <c r="E200" s="19" t="inlineStr">
        <is>
          <t>21 Jump Street, Kong: Skull Island, Avengers: Endgame, Fast X</t>
        </is>
      </c>
      <c r="F200" s="4" t="inlineStr">
        <is>
          <t>F0007, F0190, F0031, F0110</t>
        </is>
      </c>
    </row>
    <row r="201" ht="15.75" customHeight="1" s="108">
      <c r="A201" s="4" t="inlineStr">
        <is>
          <t>Bryan Cranston</t>
        </is>
      </c>
      <c r="B201" s="4" t="n">
        <v>2</v>
      </c>
      <c r="C201" s="4" t="n">
        <v>2012</v>
      </c>
      <c r="D201" s="4" t="n">
        <v>2014</v>
      </c>
      <c r="E201" s="19" t="inlineStr">
        <is>
          <t>Argo, Godzilla</t>
        </is>
      </c>
      <c r="F201" s="4" t="inlineStr">
        <is>
          <t>F0025, F0121</t>
        </is>
      </c>
    </row>
    <row r="202" ht="15.75" customHeight="1" s="108">
      <c r="A202" s="4" t="inlineStr">
        <is>
          <t>Cate Blanchett</t>
        </is>
      </c>
      <c r="B202" s="4" t="n">
        <v>8</v>
      </c>
      <c r="C202" s="4" t="n">
        <v>2001</v>
      </c>
      <c r="D202" s="4" t="n">
        <v>2014</v>
      </c>
      <c r="E202" s="19" t="inlineStr">
        <is>
          <t>How to Train Your Dragon 2, Robin Hood, The Hobbit: An Unexpected Journey, The Hobbit: The Desolation of Smaug, The Hobbit: The Battle of the Five Armies, The Lord of the Rings: The Fellowship of the Ring, The Lord of the Rings: The Two Towers, The Lord of the Rings: The Return of the King</t>
        </is>
      </c>
      <c r="F202" s="4" t="inlineStr">
        <is>
          <t>F0155, F0267, F0150, F0151, F0152, F0203, F0204, F0205</t>
        </is>
      </c>
    </row>
    <row r="203" ht="15.75" customHeight="1" s="108">
      <c r="A203" s="4" t="inlineStr">
        <is>
          <t>Charlie Hunnam</t>
        </is>
      </c>
      <c r="B203" s="4" t="n">
        <v>2</v>
      </c>
      <c r="C203" s="4" t="n">
        <v>2013</v>
      </c>
      <c r="D203" s="4" t="n">
        <v>2020</v>
      </c>
      <c r="E203" s="19" t="inlineStr">
        <is>
          <t>The Gentlemen, Pacific Rim</t>
        </is>
      </c>
      <c r="F203" s="4" t="inlineStr">
        <is>
          <t>F0119, F0243</t>
        </is>
      </c>
    </row>
    <row r="204" ht="15.75" customHeight="1" s="108">
      <c r="A204" s="4" t="inlineStr">
        <is>
          <t>Chiwetel Ejiofor</t>
        </is>
      </c>
      <c r="B204" s="4" t="n">
        <v>3</v>
      </c>
      <c r="C204" s="4" t="n">
        <v>2009</v>
      </c>
      <c r="D204" s="4" t="n">
        <v>2015</v>
      </c>
      <c r="E204" s="19" t="inlineStr">
        <is>
          <t>2012, Salt, The Martian</t>
        </is>
      </c>
      <c r="F204" s="4" t="inlineStr">
        <is>
          <t>F0006, F0273, F0213</t>
        </is>
      </c>
    </row>
    <row r="205" ht="15.75" customHeight="1" s="108">
      <c r="A205" s="4" t="inlineStr">
        <is>
          <t>Chloë Grace Moretz</t>
        </is>
      </c>
      <c r="B205" s="4" t="n">
        <v>3</v>
      </c>
      <c r="C205" s="4" t="n">
        <v>2010</v>
      </c>
      <c r="D205" s="4" t="n">
        <v>2014</v>
      </c>
      <c r="E205" s="19" t="inlineStr">
        <is>
          <t>Kick-Ass, Kick-Ass 2, Muppets Most Wanted</t>
        </is>
      </c>
      <c r="F205" s="4" t="inlineStr">
        <is>
          <t>F0185, F0186, F0232</t>
        </is>
      </c>
    </row>
    <row r="206" ht="15.75" customHeight="1" s="108">
      <c r="A206" s="4" t="inlineStr">
        <is>
          <t>Chris Rock</t>
        </is>
      </c>
      <c r="B206" s="4" t="n">
        <v>3</v>
      </c>
      <c r="C206" s="4" t="n">
        <v>1999</v>
      </c>
      <c r="D206" s="4" t="n">
        <v>2013</v>
      </c>
      <c r="E206" s="19" t="inlineStr">
        <is>
          <t>Grown Ups, Grown Ups 2, Dogma</t>
        </is>
      </c>
      <c r="F206" s="4" t="inlineStr">
        <is>
          <t>F0131, F0132, F0351</t>
        </is>
      </c>
    </row>
    <row r="207" ht="15.75" customHeight="1" s="108">
      <c r="A207" s="4" t="inlineStr">
        <is>
          <t>Christina Applegate</t>
        </is>
      </c>
      <c r="B207" s="4" t="n">
        <v>3</v>
      </c>
      <c r="C207" s="4" t="n">
        <v>2004</v>
      </c>
      <c r="D207" s="4" t="n">
        <v>2016</v>
      </c>
      <c r="E207" s="19" t="inlineStr">
        <is>
          <t>Anchorman: The Legend of Ron Burgundy, Bad Moms, Anchorman 2</t>
        </is>
      </c>
      <c r="F207" s="4" t="inlineStr">
        <is>
          <t>F0022, F0038, F0357</t>
        </is>
      </c>
    </row>
    <row r="208" ht="15.75" customHeight="1" s="108">
      <c r="A208" s="4" t="inlineStr">
        <is>
          <t>Christopher Mintz-Plasse</t>
        </is>
      </c>
      <c r="B208" s="4" t="n">
        <v>5</v>
      </c>
      <c r="C208" s="4" t="n">
        <v>2007</v>
      </c>
      <c r="D208" s="4" t="n">
        <v>2014</v>
      </c>
      <c r="E208" s="19" t="inlineStr">
        <is>
          <t>Kick-Ass 2, Superbad, How to Train Your Dragon, How to Train Your Dragon 2, Kick-Ass</t>
        </is>
      </c>
      <c r="F208" s="4" t="inlineStr">
        <is>
          <t>F0186, F0303, F0154, F0155, F0185</t>
        </is>
      </c>
    </row>
    <row r="209" ht="15.75" customHeight="1" s="108">
      <c r="A209" s="4" t="inlineStr">
        <is>
          <t>Christopher Plummer</t>
        </is>
      </c>
      <c r="B209" s="4" t="n">
        <v>2</v>
      </c>
      <c r="C209" s="4" t="n">
        <v>2009</v>
      </c>
      <c r="D209" s="4" t="n">
        <v>2011</v>
      </c>
      <c r="E209" s="19" t="inlineStr">
        <is>
          <t>The Girl with the Dragon Tattoo, Up</t>
        </is>
      </c>
      <c r="F209" s="4" t="inlineStr">
        <is>
          <t>F0120, F0330</t>
        </is>
      </c>
    </row>
    <row r="210" ht="15.75" customHeight="1" s="108">
      <c r="A210" s="4" t="inlineStr">
        <is>
          <t>Colin Farrell</t>
        </is>
      </c>
      <c r="B210" s="4" t="n">
        <v>3</v>
      </c>
      <c r="C210" s="4" t="n">
        <v>2016</v>
      </c>
      <c r="D210" s="4" t="n">
        <v>2022</v>
      </c>
      <c r="E210" s="19" t="inlineStr">
        <is>
          <t>The Batman, Fantastic Beasts and Where to Find Them, The Gentlemen</t>
        </is>
      </c>
      <c r="F210" s="4" t="inlineStr">
        <is>
          <t>F0042, F0100, F0119</t>
        </is>
      </c>
    </row>
    <row r="211" ht="15.75" customHeight="1" s="108">
      <c r="A211" s="4" t="inlineStr">
        <is>
          <t>Colin Firth</t>
        </is>
      </c>
      <c r="B211" s="4" t="n">
        <v>3</v>
      </c>
      <c r="C211" s="4" t="n">
        <v>2008</v>
      </c>
      <c r="D211" s="4" t="n">
        <v>2019</v>
      </c>
      <c r="E211" s="19" t="inlineStr">
        <is>
          <t>The King's Speech, Mamma Mia!, 1917</t>
        </is>
      </c>
      <c r="F211" s="4" t="inlineStr">
        <is>
          <t>F0189, F0209, F0356</t>
        </is>
      </c>
    </row>
    <row r="212" ht="15.75" customHeight="1" s="108">
      <c r="A212" s="4" t="inlineStr">
        <is>
          <t>Colm Meaney</t>
        </is>
      </c>
      <c r="B212" s="4" t="n">
        <v>3</v>
      </c>
      <c r="C212" s="4" t="n">
        <v>1997</v>
      </c>
      <c r="D212" s="4" t="n">
        <v>2013</v>
      </c>
      <c r="E212" s="19" t="inlineStr">
        <is>
          <t>Alan Partridge: Alpha Papa, Law Abiding Citizen, Con Air</t>
        </is>
      </c>
      <c r="F212" s="4" t="inlineStr">
        <is>
          <t>F0014, F0191, F0068</t>
        </is>
      </c>
    </row>
    <row r="213" ht="15.75" customHeight="1" s="108">
      <c r="A213" s="4" t="inlineStr">
        <is>
          <t>Craig Ferguson</t>
        </is>
      </c>
      <c r="B213" s="4" t="n">
        <v>3</v>
      </c>
      <c r="C213" s="4" t="n">
        <v>2010</v>
      </c>
      <c r="D213" s="4" t="n">
        <v>2014</v>
      </c>
      <c r="E213" s="19" t="inlineStr">
        <is>
          <t>How to Train Your Dragon, How to Train Your Dragon 2, Kick-Ass</t>
        </is>
      </c>
      <c r="F213" s="4" t="inlineStr">
        <is>
          <t>F0154, F0155, F0185</t>
        </is>
      </c>
    </row>
    <row r="214" ht="15.75" customHeight="1" s="108">
      <c r="A214" s="4" t="inlineStr">
        <is>
          <t>Dafne Keen</t>
        </is>
      </c>
      <c r="B214" s="4" t="n">
        <v>2</v>
      </c>
      <c r="C214" s="4" t="n">
        <v>2017</v>
      </c>
      <c r="D214" s="4" t="n">
        <v>2024</v>
      </c>
      <c r="E214" s="19" t="inlineStr">
        <is>
          <t>Deadpool &amp; Wolverine, Logan</t>
        </is>
      </c>
      <c r="F214" s="4" t="inlineStr">
        <is>
          <t>F0078, F0201</t>
        </is>
      </c>
    </row>
    <row r="215" ht="15.75" customHeight="1" s="108">
      <c r="A215" s="4" t="inlineStr">
        <is>
          <t>Dana Gaier</t>
        </is>
      </c>
      <c r="B215" s="4" t="n">
        <v>2</v>
      </c>
      <c r="C215" s="4" t="n">
        <v>2010</v>
      </c>
      <c r="D215" s="4" t="n">
        <v>2017</v>
      </c>
      <c r="E215" s="19" t="inlineStr">
        <is>
          <t>Despicable Me, Despicable Me 3</t>
        </is>
      </c>
      <c r="F215" s="4" t="inlineStr">
        <is>
          <t>F0082, F0084</t>
        </is>
      </c>
    </row>
    <row r="216" ht="15.75" customHeight="1" s="108">
      <c r="A216" s="4" t="inlineStr">
        <is>
          <t>Danny McBride</t>
        </is>
      </c>
      <c r="B216" s="4" t="n">
        <v>8</v>
      </c>
      <c r="C216" s="4" t="n">
        <v>2003</v>
      </c>
      <c r="D216" s="4" t="n">
        <v>2017</v>
      </c>
      <c r="E216" s="19" t="inlineStr">
        <is>
          <t xml:space="preserve">30 Minutes or Less, Pineapple Express, Despicable Me, Due Date, Tropic Thunder, alien covenant, Underworld, Underworld </t>
        </is>
      </c>
      <c r="F216" s="4" t="inlineStr">
        <is>
          <t>F0009, F0247, F0082, F0091, F0324, F0361, F0389</t>
        </is>
      </c>
    </row>
    <row r="217" ht="15.75" customHeight="1" s="108">
      <c r="A217" s="4" t="inlineStr">
        <is>
          <t>David Spade</t>
        </is>
      </c>
      <c r="B217" s="4" t="n">
        <v>2</v>
      </c>
      <c r="C217" s="4" t="n">
        <v>2010</v>
      </c>
      <c r="D217" s="4" t="n">
        <v>2013</v>
      </c>
      <c r="E217" s="19" t="inlineStr">
        <is>
          <t>Grown Ups, Grown Ups 2</t>
        </is>
      </c>
      <c r="F217" s="4" t="inlineStr">
        <is>
          <t>F0131, F0132</t>
        </is>
      </c>
    </row>
    <row r="218" ht="15.75" customHeight="1" s="108">
      <c r="A218" s="4" t="inlineStr">
        <is>
          <t>Denzel Washington</t>
        </is>
      </c>
      <c r="B218" s="4" t="n">
        <v>3</v>
      </c>
      <c r="C218" s="4" t="n">
        <v>2012</v>
      </c>
      <c r="D218" s="4" t="n">
        <v>2016</v>
      </c>
      <c r="E218" s="19" t="inlineStr">
        <is>
          <t>The Magnificent Seven, Safe House, 2 guns</t>
        </is>
      </c>
      <c r="F218" s="4" t="inlineStr">
        <is>
          <t>F0207, F0272, F0355</t>
        </is>
      </c>
    </row>
    <row r="219" ht="15.75" customHeight="1" s="108">
      <c r="A219" s="4" t="inlineStr">
        <is>
          <t>Dolph Lundgren</t>
        </is>
      </c>
      <c r="B219" s="4" t="n">
        <v>3</v>
      </c>
      <c r="C219" s="4" t="n">
        <v>2010</v>
      </c>
      <c r="D219" s="4" t="n">
        <v>2014</v>
      </c>
      <c r="E219" s="19" t="inlineStr">
        <is>
          <t>The Expendables, The Expendables 2, The Expendables 3</t>
        </is>
      </c>
      <c r="F219" s="4" t="inlineStr">
        <is>
          <t>F0095, F0096, F0097</t>
        </is>
      </c>
    </row>
    <row r="220" ht="15.75" customHeight="1" s="108">
      <c r="A220" s="4" t="inlineStr">
        <is>
          <t>Ed Asner</t>
        </is>
      </c>
      <c r="B220" s="4" t="n">
        <v>2</v>
      </c>
      <c r="C220" s="4" t="n">
        <v>2003</v>
      </c>
      <c r="D220" s="4" t="n">
        <v>2009</v>
      </c>
      <c r="E220" s="19" t="inlineStr">
        <is>
          <t>Elf, Up</t>
        </is>
      </c>
      <c r="F220" s="4" t="inlineStr">
        <is>
          <t>F0092, F0330</t>
        </is>
      </c>
    </row>
    <row r="221" ht="15.75" customHeight="1" s="108">
      <c r="A221" s="4" t="inlineStr">
        <is>
          <t>Ed Skrein</t>
        </is>
      </c>
      <c r="B221" s="4" t="n">
        <v>4</v>
      </c>
      <c r="C221" s="4" t="n">
        <v>2012</v>
      </c>
      <c r="D221" s="4" t="n">
        <v>2025</v>
      </c>
      <c r="E221" s="19" t="inlineStr">
        <is>
          <t>Deadpool, The Transporter Refueled, Jurassic World Rebirth, The Sweeney</t>
        </is>
      </c>
      <c r="F221" s="4" t="inlineStr">
        <is>
          <t>F0076, F0323, F0182, F0305</t>
        </is>
      </c>
    </row>
    <row r="222" ht="15.75" customHeight="1" s="108">
      <c r="A222" s="4" t="inlineStr">
        <is>
          <t>Eddie Marsan</t>
        </is>
      </c>
      <c r="B222" s="4" t="n">
        <v>8</v>
      </c>
      <c r="C222" s="4" t="n">
        <v>2006</v>
      </c>
      <c r="D222" s="4" t="n">
        <v>2020</v>
      </c>
      <c r="E222" s="19" t="inlineStr">
        <is>
          <t>The World's End, Sherlock Holmes, Deadpool 2, Fast &amp; Furious Presents: Hobbs &amp; Shaw, The Gentlemen, Mission: Impossible III, Sherlock Holmes: A Game of Shadows, Snow White and the Huntsman</t>
        </is>
      </c>
      <c r="F222" s="4" t="inlineStr">
        <is>
          <t>F0072, F0278, F0077, F0111, F0119, F0223, F0279, F0284</t>
        </is>
      </c>
    </row>
    <row r="223" ht="15.75" customHeight="1" s="108">
      <c r="A223" s="4" t="inlineStr">
        <is>
          <t>Eddie Redmayne</t>
        </is>
      </c>
      <c r="B223" s="4" t="n">
        <v>4</v>
      </c>
      <c r="C223" s="4" t="n">
        <v>2012</v>
      </c>
      <c r="D223" s="4" t="n">
        <v>2018</v>
      </c>
      <c r="E223" s="19" t="inlineStr">
        <is>
          <t>Fantastic Beasts and Where to Find Them, The Theory of Everything, Les Misérables, Fantastic beasts: the crimes of grindelwald</t>
        </is>
      </c>
      <c r="F223" s="4" t="inlineStr">
        <is>
          <t>F0100, F0311, F0199, F0360</t>
        </is>
      </c>
    </row>
    <row r="224" ht="15.75" customHeight="1" s="108">
      <c r="A224" s="4" t="inlineStr">
        <is>
          <t>Edward Norton</t>
        </is>
      </c>
      <c r="B224" s="4" t="n">
        <v>2</v>
      </c>
      <c r="C224" s="4" t="n">
        <v>1999</v>
      </c>
      <c r="D224" s="4" t="n">
        <v>2012</v>
      </c>
      <c r="E224" s="19" t="inlineStr">
        <is>
          <t>The Bourne Legacy, Fight Club</t>
        </is>
      </c>
      <c r="F224" s="4" t="inlineStr">
        <is>
          <t>F0056, F0112</t>
        </is>
      </c>
    </row>
    <row r="225" ht="15.75" customHeight="1" s="108">
      <c r="A225" s="4" t="inlineStr">
        <is>
          <t>Elle Fanning</t>
        </is>
      </c>
      <c r="B225" s="4" t="n">
        <v>2</v>
      </c>
      <c r="C225" s="4" t="n">
        <v>2011</v>
      </c>
      <c r="D225" s="4" t="n">
        <v>2014</v>
      </c>
      <c r="E225" s="19" t="inlineStr">
        <is>
          <t>Maleficent, Super 8</t>
        </is>
      </c>
      <c r="F225" s="4" t="inlineStr">
        <is>
          <t>F0208, F0302</t>
        </is>
      </c>
    </row>
    <row r="226" ht="15.75" customHeight="1" s="108">
      <c r="A226" s="4" t="inlineStr">
        <is>
          <t>Emile Hirsch</t>
        </is>
      </c>
      <c r="B226" s="4" t="n">
        <v>2</v>
      </c>
      <c r="C226" s="4" t="n">
        <v>2013</v>
      </c>
      <c r="D226" s="4" t="n">
        <v>2019</v>
      </c>
      <c r="E226" s="19" t="inlineStr">
        <is>
          <t>Lone Survivor, Once Upon a Time… in Hollywood</t>
        </is>
      </c>
      <c r="F226" s="4" t="inlineStr">
        <is>
          <t>F0202, F0241</t>
        </is>
      </c>
    </row>
    <row r="227" ht="15.75" customHeight="1" s="108">
      <c r="A227" s="4" t="inlineStr">
        <is>
          <t>Emily Blunt</t>
        </is>
      </c>
      <c r="B227" s="4" t="n">
        <v>2</v>
      </c>
      <c r="C227" s="4" t="n">
        <v>2023</v>
      </c>
      <c r="D227" s="4" t="n">
        <v>2024</v>
      </c>
      <c r="E227" s="19" t="inlineStr">
        <is>
          <t>The Fall Guy, Oppenheimer</t>
        </is>
      </c>
      <c r="F227" s="4" t="inlineStr">
        <is>
          <t>F0099, F0242</t>
        </is>
      </c>
    </row>
    <row r="228" ht="15.75" customHeight="1" s="108">
      <c r="A228" s="4" t="inlineStr">
        <is>
          <t>Emma Stone</t>
        </is>
      </c>
      <c r="B228" s="4" t="n">
        <v>4</v>
      </c>
      <c r="C228" s="4" t="n">
        <v>2007</v>
      </c>
      <c r="D228" s="4" t="n">
        <v>2014</v>
      </c>
      <c r="E228" s="19" t="inlineStr">
        <is>
          <t>The Amazing Spider-Man, The Croods, Superbad, amazing spider-man 2</t>
        </is>
      </c>
      <c r="F228" s="4" t="inlineStr">
        <is>
          <t>F0019, F0075, F0303, F0363</t>
        </is>
      </c>
    </row>
    <row r="229" ht="15.75" customHeight="1" s="108">
      <c r="A229" s="4" t="inlineStr">
        <is>
          <t>Ester Dean</t>
        </is>
      </c>
      <c r="B229" s="4" t="n">
        <v>3</v>
      </c>
      <c r="C229" s="4" t="n">
        <v>2012</v>
      </c>
      <c r="D229" s="4" t="n">
        <v>2017</v>
      </c>
      <c r="E229" s="19" t="inlineStr">
        <is>
          <t>Pitch Perfect, Pitch Perfect 2, Pitch Perfect 3</t>
        </is>
      </c>
      <c r="F229" s="4" t="inlineStr">
        <is>
          <t>F0250, F0251, F0252</t>
        </is>
      </c>
    </row>
    <row r="230" ht="15.75" customHeight="1" s="108">
      <c r="A230" s="4" t="inlineStr">
        <is>
          <t>Forest Whitaker</t>
        </is>
      </c>
      <c r="B230" s="4" t="n">
        <v>3</v>
      </c>
      <c r="C230" s="4" t="n">
        <v>2011</v>
      </c>
      <c r="D230" s="4" t="n">
        <v>2016</v>
      </c>
      <c r="E230" s="19" t="inlineStr">
        <is>
          <t>Catch.44, Southpaw, Rogue one</t>
        </is>
      </c>
      <c r="F230" s="4" t="inlineStr">
        <is>
          <t>F0063, F0286, F0385</t>
        </is>
      </c>
    </row>
    <row r="231" ht="15.75" customHeight="1" s="108">
      <c r="A231" s="4" t="inlineStr">
        <is>
          <t>Franka Potente</t>
        </is>
      </c>
      <c r="B231" s="4" t="n">
        <v>2</v>
      </c>
      <c r="C231" s="4" t="n">
        <v>2002</v>
      </c>
      <c r="D231" s="4" t="n">
        <v>2004</v>
      </c>
      <c r="E231" s="19" t="inlineStr">
        <is>
          <t>The Bourne Identity, The Bourne Supremacy</t>
        </is>
      </c>
      <c r="F231" s="4" t="inlineStr">
        <is>
          <t>F0053, F0054</t>
        </is>
      </c>
    </row>
    <row r="232" ht="15.75" customHeight="1" s="108">
      <c r="A232" s="4" t="inlineStr">
        <is>
          <t>Freida Pinto</t>
        </is>
      </c>
      <c r="B232" s="4" t="n">
        <v>2</v>
      </c>
      <c r="C232" s="4" t="n">
        <v>2008</v>
      </c>
      <c r="D232" s="4" t="n">
        <v>2011</v>
      </c>
      <c r="E232" s="19" t="inlineStr">
        <is>
          <t>Rise of the Planet of the Apes, Slumdog Millionaire</t>
        </is>
      </c>
      <c r="F232" s="4" t="inlineStr">
        <is>
          <t>F0253, F0281</t>
        </is>
      </c>
    </row>
    <row r="233" ht="15.75" customHeight="1" s="108">
      <c r="A233" s="4" t="inlineStr">
        <is>
          <t>Geoffrey Rush</t>
        </is>
      </c>
      <c r="B233" s="4" t="n">
        <v>6</v>
      </c>
      <c r="C233" s="4" t="n">
        <v>2003</v>
      </c>
      <c r="D233" s="4" t="n">
        <v>2015</v>
      </c>
      <c r="E233" s="19" t="inlineStr">
        <is>
          <t>The King's Speech, Pirates of the Caribbean: On Stranger Tides, Green Lantern, Minions, finding nemo,  finding nemo</t>
        </is>
      </c>
      <c r="F233" s="4" t="inlineStr">
        <is>
          <t>F0189, F0249, F0128, F0220, F0369</t>
        </is>
      </c>
    </row>
    <row r="234" ht="15.75" customHeight="1" s="108">
      <c r="A234" s="4" t="inlineStr">
        <is>
          <t>Giovanni Ribisi</t>
        </is>
      </c>
      <c r="B234" s="4" t="n">
        <v>4</v>
      </c>
      <c r="C234" s="4" t="n">
        <v>2009</v>
      </c>
      <c r="D234" s="4" t="n">
        <v>2022</v>
      </c>
      <c r="E234" s="19" t="inlineStr">
        <is>
          <t>A Million Ways to Die in the West, Ted, Avatar, avatar way of water</t>
        </is>
      </c>
      <c r="F234" s="4" t="inlineStr">
        <is>
          <t>F0021, F0308, F0028, F0364</t>
        </is>
      </c>
    </row>
    <row r="235" ht="15.75" customHeight="1" s="108">
      <c r="A235" s="4" t="inlineStr">
        <is>
          <t>Gwyneth Paltrow</t>
        </is>
      </c>
      <c r="B235" s="4" t="n">
        <v>4</v>
      </c>
      <c r="C235" s="4" t="n">
        <v>1995</v>
      </c>
      <c r="D235" s="4" t="n">
        <v>2018</v>
      </c>
      <c r="E235" s="19" t="inlineStr">
        <is>
          <t>Iron Man 3, Se7en, The Avengers, Avengers: Infinity War</t>
        </is>
      </c>
      <c r="F235" s="4" t="inlineStr">
        <is>
          <t>F0169, F0276, F0029, F0030</t>
        </is>
      </c>
    </row>
    <row r="236" ht="15.75" customHeight="1" s="108">
      <c r="A236" s="4" t="inlineStr">
        <is>
          <t>Halle Berry</t>
        </is>
      </c>
      <c r="B236" s="4" t="n">
        <v>5</v>
      </c>
      <c r="C236" s="4" t="n">
        <v>2000</v>
      </c>
      <c r="D236" s="4" t="n">
        <v>2019</v>
      </c>
      <c r="E236" s="19" t="inlineStr">
        <is>
          <t>X2: X-Men United, X-Men: The Last Stand, X-Men: Days of Future Past, X-Men, John wick chapter 3</t>
        </is>
      </c>
      <c r="F236" s="4" t="inlineStr">
        <is>
          <t>F0345, F0346, F0341, F0344, F0391</t>
        </is>
      </c>
    </row>
    <row r="237" ht="15.75" customHeight="1" s="108">
      <c r="A237" s="4" t="inlineStr">
        <is>
          <t>Hank Azaria</t>
        </is>
      </c>
      <c r="B237" s="4" t="n">
        <v>3</v>
      </c>
      <c r="C237" s="4" t="n">
        <v>2009</v>
      </c>
      <c r="D237" s="4" t="n">
        <v>2013</v>
      </c>
      <c r="E237" s="19" t="inlineStr">
        <is>
          <t>Night at the Museum: Battle of the Smithsonian, The Smurfs 2, Happy Feet Two</t>
        </is>
      </c>
      <c r="F237" s="4" t="inlineStr">
        <is>
          <t>F0236, F0282, F0145</t>
        </is>
      </c>
    </row>
    <row r="238" ht="15.75" customHeight="1" s="108">
      <c r="A238" s="4" t="inlineStr">
        <is>
          <t>Henry Cavill</t>
        </is>
      </c>
      <c r="B238" s="4" t="n">
        <v>3</v>
      </c>
      <c r="C238" s="4" t="n">
        <v>2013</v>
      </c>
      <c r="D238" s="4" t="n">
        <v>2024</v>
      </c>
      <c r="E238" s="19" t="inlineStr">
        <is>
          <t>Man of Steel, Mission: Impossible - Fallout, Deadpool &amp; Wolverine</t>
        </is>
      </c>
      <c r="F238" s="4" t="inlineStr">
        <is>
          <t>F0211, F0226, F0078</t>
        </is>
      </c>
    </row>
    <row r="239" ht="15.75" customHeight="1" s="108">
      <c r="A239" s="4" t="inlineStr">
        <is>
          <t>Hiroyuki Sanada</t>
        </is>
      </c>
      <c r="B239" s="4" t="n">
        <v>4</v>
      </c>
      <c r="C239" s="4" t="n">
        <v>2007</v>
      </c>
      <c r="D239" s="4" t="n">
        <v>2023</v>
      </c>
      <c r="E239" s="19" t="inlineStr">
        <is>
          <t>Rush Hour 3, The Wolverine, Minions, John wick chapter 4</t>
        </is>
      </c>
      <c r="F239" s="4" t="inlineStr">
        <is>
          <t>F0271, F0347, F0220, F0392</t>
        </is>
      </c>
    </row>
    <row r="240" ht="15.75" customHeight="1" s="108">
      <c r="A240" s="4" t="inlineStr">
        <is>
          <t>Ian McDiarmid</t>
        </is>
      </c>
      <c r="B240" s="4" t="n">
        <v>5</v>
      </c>
      <c r="C240" s="4" t="n">
        <v>1983</v>
      </c>
      <c r="D240" s="4" t="n">
        <v>2019</v>
      </c>
      <c r="E240" s="19" t="inlineStr">
        <is>
          <t>Star Wars: Episode I – The Phantom Menace, Star Wars: Episode III – Revenge of the Sith, Star Wars: Episode II – Attack of the Clones, Star Wars: Episode VI – Return of the Jedi, Star Wars: The Rise of Skywalker</t>
        </is>
      </c>
      <c r="F240" s="4" t="inlineStr">
        <is>
          <t>F0292, F0294, F0293, F0297, F0300</t>
        </is>
      </c>
    </row>
    <row r="241" ht="15.75" customHeight="1" s="108">
      <c r="A241" s="4" t="inlineStr">
        <is>
          <t>Imelda Staunton</t>
        </is>
      </c>
      <c r="B241" s="4" t="n">
        <v>4</v>
      </c>
      <c r="C241" s="4" t="n">
        <v>2007</v>
      </c>
      <c r="D241" s="4" t="n">
        <v>2014</v>
      </c>
      <c r="E241" s="19" t="inlineStr">
        <is>
          <t>Harry Potter and the Order of the Phoenix, Maleficent, Harry Potter and the Deathly Hallows: Part 1, Paddington</t>
        </is>
      </c>
      <c r="F241" s="4" t="inlineStr">
        <is>
          <t>F0141, F0208, F0143, F0244</t>
        </is>
      </c>
    </row>
    <row r="242" ht="15.75" customHeight="1" s="108">
      <c r="A242" s="4" t="inlineStr">
        <is>
          <t>Jack Nicholson</t>
        </is>
      </c>
      <c r="B242" s="4" t="n">
        <v>2</v>
      </c>
      <c r="C242" s="4" t="n">
        <v>2006</v>
      </c>
      <c r="D242" s="4" t="n">
        <v>2007</v>
      </c>
      <c r="E242" s="19" t="inlineStr">
        <is>
          <t>The Bucket List, The Departed</t>
        </is>
      </c>
      <c r="F242" s="4" t="inlineStr">
        <is>
          <t>F0060, F0081</t>
        </is>
      </c>
    </row>
    <row r="243" ht="15.75" customHeight="1" s="108">
      <c r="A243" s="4" t="inlineStr">
        <is>
          <t>Jackie Chan</t>
        </is>
      </c>
      <c r="B243" s="4" t="n">
        <v>2</v>
      </c>
      <c r="C243" s="4" t="n">
        <v>2007</v>
      </c>
      <c r="D243" s="4" t="n">
        <v>2010</v>
      </c>
      <c r="E243" s="19" t="inlineStr">
        <is>
          <t>The Karate Kid, Rush Hour 3</t>
        </is>
      </c>
      <c r="F243" s="4" t="inlineStr">
        <is>
          <t>F0184, F0271</t>
        </is>
      </c>
    </row>
    <row r="244" ht="15.75" customHeight="1" s="108">
      <c r="A244" s="4" t="inlineStr">
        <is>
          <t>Jaden Smith</t>
        </is>
      </c>
      <c r="B244" s="4" t="n">
        <v>2</v>
      </c>
      <c r="C244" s="4" t="n">
        <v>2006</v>
      </c>
      <c r="D244" s="4" t="n">
        <v>2010</v>
      </c>
      <c r="E244" s="19" t="inlineStr">
        <is>
          <t>The Karate Kid, The Pursuit of Happyness</t>
        </is>
      </c>
      <c r="F244" s="4" t="inlineStr">
        <is>
          <t>F0184, F0260</t>
        </is>
      </c>
    </row>
    <row r="245" ht="15.75" customHeight="1" s="108">
      <c r="A245" s="4" t="inlineStr">
        <is>
          <t>James Buckley</t>
        </is>
      </c>
      <c r="B245" s="4" t="n">
        <v>2</v>
      </c>
      <c r="C245" s="4" t="n">
        <v>2011</v>
      </c>
      <c r="D245" s="4" t="n">
        <v>2014</v>
      </c>
      <c r="E245" s="19" t="inlineStr">
        <is>
          <t>The Inbetweeners Movie, The Inbetweeners 2</t>
        </is>
      </c>
      <c r="F245" s="4" t="inlineStr">
        <is>
          <t>F0163, F0164</t>
        </is>
      </c>
    </row>
    <row r="246" ht="15.75" customHeight="1" s="108">
      <c r="A246" s="4" t="inlineStr">
        <is>
          <t>James Caan</t>
        </is>
      </c>
      <c r="B246" s="4" t="n">
        <v>2</v>
      </c>
      <c r="C246" s="4" t="n">
        <v>2003</v>
      </c>
      <c r="D246" s="4" t="n">
        <v>2013</v>
      </c>
      <c r="E246" s="19" t="inlineStr">
        <is>
          <t>Cloudy with a Chance of Meatballs 2, Elf</t>
        </is>
      </c>
      <c r="F246" s="4" t="inlineStr">
        <is>
          <t>F0067, F0092</t>
        </is>
      </c>
    </row>
    <row r="247" ht="15.75" customHeight="1" s="108">
      <c r="A247" s="4" t="inlineStr">
        <is>
          <t>Jane Lynch</t>
        </is>
      </c>
      <c r="B247" s="4" t="n">
        <v>5</v>
      </c>
      <c r="C247" s="4" t="n">
        <v>2009</v>
      </c>
      <c r="D247" s="4" t="n">
        <v>2018</v>
      </c>
      <c r="E247" s="19" t="inlineStr">
        <is>
          <t>Rio, Wreck-It Ralph, Ice Age: Dawn of the Dinosaurs, Paul, Ralph Breaks the Internet</t>
        </is>
      </c>
      <c r="F247" s="4" t="inlineStr">
        <is>
          <t>F0265, F0336, F0161, F0245, F0337</t>
        </is>
      </c>
    </row>
    <row r="248" ht="15.75" customHeight="1" s="108">
      <c r="A248" s="4" t="inlineStr">
        <is>
          <t>Javier Bardem</t>
        </is>
      </c>
      <c r="B248" s="4" t="n">
        <v>5</v>
      </c>
      <c r="C248" s="4" t="n">
        <v>2012</v>
      </c>
      <c r="D248" s="4" t="n">
        <v>2025</v>
      </c>
      <c r="E248" s="19" t="inlineStr">
        <is>
          <t xml:space="preserve">Skyfall, F1, dune, dune  part two, dune </t>
        </is>
      </c>
      <c r="F248" s="4" t="inlineStr">
        <is>
          <t>F0003, F0098, F0367, F0368</t>
        </is>
      </c>
    </row>
    <row r="249" ht="15.75" customHeight="1" s="108">
      <c r="A249" s="4" t="inlineStr">
        <is>
          <t>Jeff Bridges</t>
        </is>
      </c>
      <c r="B249" s="4" t="n">
        <v>2</v>
      </c>
      <c r="C249" s="4" t="n">
        <v>1998</v>
      </c>
      <c r="D249" s="4" t="n">
        <v>2010</v>
      </c>
      <c r="E249" s="19" t="inlineStr">
        <is>
          <t>The Big Lebowski, True Grit</t>
        </is>
      </c>
      <c r="F249" s="4" t="inlineStr">
        <is>
          <t>F0049, F0325</t>
        </is>
      </c>
    </row>
    <row r="250" ht="15.75" customHeight="1" s="108">
      <c r="A250" s="4" t="inlineStr">
        <is>
          <t>Jemaine Clement</t>
        </is>
      </c>
      <c r="B250" s="4" t="n">
        <v>8</v>
      </c>
      <c r="C250" s="4" t="n">
        <v>2010</v>
      </c>
      <c r="D250" s="4" t="n">
        <v>2022</v>
      </c>
      <c r="E250" s="19" t="inlineStr">
        <is>
          <t>The BFG, Men in Black 3, Despicable Me, The Lego Batman Movie, Muppets Most Wanted, Rio, Rio 2, avatar way of water</t>
        </is>
      </c>
      <c r="F250" s="4" t="inlineStr">
        <is>
          <t>F0047, F0219, F0082, F0193, F0232, F0265, F0266, F0364</t>
        </is>
      </c>
    </row>
    <row r="251" ht="15.75" customHeight="1" s="108">
      <c r="A251" s="4" t="inlineStr">
        <is>
          <t>Jet Li</t>
        </is>
      </c>
      <c r="B251" s="4" t="n">
        <v>3</v>
      </c>
      <c r="C251" s="4" t="n">
        <v>2010</v>
      </c>
      <c r="D251" s="4" t="n">
        <v>2014</v>
      </c>
      <c r="E251" s="19" t="inlineStr">
        <is>
          <t>The Expendables, The Expendables 2, The Expendables 3</t>
        </is>
      </c>
      <c r="F251" s="4" t="inlineStr">
        <is>
          <t>F0095, F0096, F0097</t>
        </is>
      </c>
    </row>
    <row r="252" ht="15.75" customHeight="1" s="108">
      <c r="A252" s="4" t="inlineStr">
        <is>
          <t>Jim Broadbent</t>
        </is>
      </c>
      <c r="B252" s="4" t="n">
        <v>3</v>
      </c>
      <c r="C252" s="4" t="n">
        <v>2007</v>
      </c>
      <c r="D252" s="4" t="n">
        <v>2014</v>
      </c>
      <c r="E252" s="19" t="inlineStr">
        <is>
          <t>Hot Fuzz, Harry Potter and the Half-Blood Prince, Paddington</t>
        </is>
      </c>
      <c r="F252" s="4" t="inlineStr">
        <is>
          <t>F0071, F0142, F0244</t>
        </is>
      </c>
    </row>
    <row r="253" ht="15.75" customHeight="1" s="108">
      <c r="A253" s="4" t="inlineStr">
        <is>
          <t>Joan Cusack</t>
        </is>
      </c>
      <c r="B253" s="4" t="n">
        <v>3</v>
      </c>
      <c r="C253" s="4" t="n">
        <v>1999</v>
      </c>
      <c r="D253" s="4" t="n">
        <v>2019</v>
      </c>
      <c r="E253" s="19" t="inlineStr">
        <is>
          <t>Toy Story 2, Toy Story 3, Toy Story 4</t>
        </is>
      </c>
      <c r="F253" s="4" t="inlineStr">
        <is>
          <t>F0313, F0314, F0315</t>
        </is>
      </c>
    </row>
    <row r="254" ht="15.75" customHeight="1" s="108">
      <c r="A254" s="4" t="inlineStr">
        <is>
          <t>Joe Thomas</t>
        </is>
      </c>
      <c r="B254" s="4" t="n">
        <v>2</v>
      </c>
      <c r="C254" s="4" t="n">
        <v>2011</v>
      </c>
      <c r="D254" s="4" t="n">
        <v>2014</v>
      </c>
      <c r="E254" s="19" t="inlineStr">
        <is>
          <t>The Inbetweeners Movie, The Inbetweeners 2</t>
        </is>
      </c>
      <c r="F254" s="4" t="inlineStr">
        <is>
          <t>F0163, F0164</t>
        </is>
      </c>
    </row>
    <row r="255" ht="15.75" customHeight="1" s="108">
      <c r="A255" s="4" t="inlineStr">
        <is>
          <t>Joel Edgerton</t>
        </is>
      </c>
      <c r="B255" s="4" t="n">
        <v>5</v>
      </c>
      <c r="C255" s="4" t="n">
        <v>2002</v>
      </c>
      <c r="D255" s="4" t="n">
        <v>2013</v>
      </c>
      <c r="E255" s="19" t="inlineStr">
        <is>
          <t>The Great Gatsby, Warrior, Star Wars: Episode II – Attack of the Clones, Star Wars: Episode III – Revenge of the Sith, Zero Dark Thirty</t>
        </is>
      </c>
      <c r="F255" s="4" t="inlineStr">
        <is>
          <t>F0126, F0333, F0293, F0294, F0349</t>
        </is>
      </c>
    </row>
    <row r="256" ht="15.75" customHeight="1" s="108">
      <c r="A256" s="4" t="inlineStr">
        <is>
          <t>John Cusack</t>
        </is>
      </c>
      <c r="B256" s="4" t="n">
        <v>2</v>
      </c>
      <c r="C256" s="4" t="n">
        <v>1997</v>
      </c>
      <c r="D256" s="4" t="n">
        <v>2009</v>
      </c>
      <c r="E256" s="19" t="inlineStr">
        <is>
          <t>2012, Con Air</t>
        </is>
      </c>
      <c r="F256" s="4" t="inlineStr">
        <is>
          <t>F0006, F0068</t>
        </is>
      </c>
    </row>
    <row r="257" ht="15.75" customHeight="1" s="108">
      <c r="A257" s="4" t="inlineStr">
        <is>
          <t>John Ortiz</t>
        </is>
      </c>
      <c r="B257" s="4" t="n">
        <v>4</v>
      </c>
      <c r="C257" s="4" t="n">
        <v>2009</v>
      </c>
      <c r="D257" s="4" t="n">
        <v>2018</v>
      </c>
      <c r="E257" s="19" t="inlineStr">
        <is>
          <t>Bumblebee, Fast &amp; Furious, Fast &amp; Furious 6, Kong: Skull Island</t>
        </is>
      </c>
      <c r="F257" s="4" t="inlineStr">
        <is>
          <t>F0061, F0104, F0106, F0190</t>
        </is>
      </c>
    </row>
    <row r="258" ht="15.75" customHeight="1" s="108">
      <c r="A258" s="4" t="inlineStr">
        <is>
          <t>Jon Bernthal</t>
        </is>
      </c>
      <c r="B258" s="4" t="n">
        <v>5</v>
      </c>
      <c r="C258" s="4" t="n">
        <v>2009</v>
      </c>
      <c r="D258" s="4" t="n">
        <v>2019</v>
      </c>
      <c r="E258" s="19" t="inlineStr">
        <is>
          <t>The Accountant, Fury, Baby Driver, Night at the Museum: Battle of the Smithsonian, Le Mans ‘66</t>
        </is>
      </c>
      <c r="F258" s="4" t="inlineStr">
        <is>
          <t>F0013, F0117, F0032, F0236, F0393</t>
        </is>
      </c>
    </row>
    <row r="259" ht="15.75" customHeight="1" s="108">
      <c r="A259" s="4" t="inlineStr">
        <is>
          <t>Jon Hamm</t>
        </is>
      </c>
      <c r="B259" s="4" t="n">
        <v>2</v>
      </c>
      <c r="C259" s="4" t="n">
        <v>2015</v>
      </c>
      <c r="D259" s="4" t="n">
        <v>2017</v>
      </c>
      <c r="E259" s="19" t="inlineStr">
        <is>
          <t>Baby Driver, Minions</t>
        </is>
      </c>
      <c r="F259" s="4" t="inlineStr">
        <is>
          <t>F0032, F0220</t>
        </is>
      </c>
    </row>
    <row r="260" ht="15.75" customHeight="1" s="108">
      <c r="A260" s="4" t="inlineStr">
        <is>
          <t>Jordi Mollà</t>
        </is>
      </c>
      <c r="B260" s="4" t="n">
        <v>2</v>
      </c>
      <c r="C260" s="4" t="n">
        <v>2003</v>
      </c>
      <c r="D260" s="4" t="n">
        <v>2013</v>
      </c>
      <c r="E260" s="19" t="inlineStr">
        <is>
          <t>Bad Boys II, Riddick</t>
        </is>
      </c>
      <c r="F260" s="4" t="inlineStr">
        <is>
          <t>F0037, F0264</t>
        </is>
      </c>
    </row>
    <row r="261" ht="15.75" customHeight="1" s="108">
      <c r="A261" s="4" t="inlineStr">
        <is>
          <t>Josh Hartnett</t>
        </is>
      </c>
      <c r="B261" s="4" t="n">
        <v>3</v>
      </c>
      <c r="C261" s="4" t="n">
        <v>2001</v>
      </c>
      <c r="D261" s="4" t="n">
        <v>2023</v>
      </c>
      <c r="E261" s="19" t="inlineStr">
        <is>
          <t>Black Hawk Down, Pearl Harbor, Oppenheimer</t>
        </is>
      </c>
      <c r="F261" s="4" t="inlineStr">
        <is>
          <t>F0050, F0246, F0242</t>
        </is>
      </c>
    </row>
    <row r="262" ht="15.75" customHeight="1" s="108">
      <c r="A262" s="4" t="inlineStr">
        <is>
          <t>Judd Nelson</t>
        </is>
      </c>
      <c r="B262" s="4" t="n">
        <v>2</v>
      </c>
      <c r="C262" s="4" t="n">
        <v>1985</v>
      </c>
      <c r="D262" s="4" t="n">
        <v>1986</v>
      </c>
      <c r="E262" s="19" t="inlineStr">
        <is>
          <t>The Breakfast Club, The Transformers: The Movie</t>
        </is>
      </c>
      <c r="F262" s="4" t="inlineStr">
        <is>
          <t>F0057, F0322</t>
        </is>
      </c>
    </row>
    <row r="263" ht="15.75" customHeight="1" s="108">
      <c r="A263" s="4" t="inlineStr">
        <is>
          <t>Julia Stiles</t>
        </is>
      </c>
      <c r="B263" s="4" t="n">
        <v>4</v>
      </c>
      <c r="C263" s="4" t="n">
        <v>2002</v>
      </c>
      <c r="D263" s="4" t="n">
        <v>2016</v>
      </c>
      <c r="E263" s="19" t="inlineStr">
        <is>
          <t>The Bourne Supremacy, The Bourne Ultimatum, The Bourne Identity, Jason bourne</t>
        </is>
      </c>
      <c r="F263" s="4" t="inlineStr">
        <is>
          <t>F0054, F0055, F0053, F0358</t>
        </is>
      </c>
    </row>
    <row r="264" ht="15.75" customHeight="1" s="108">
      <c r="A264" s="4" t="inlineStr">
        <is>
          <t>Julianne Moore</t>
        </is>
      </c>
      <c r="B264" s="4" t="n">
        <v>5</v>
      </c>
      <c r="C264" s="4" t="n">
        <v>1997</v>
      </c>
      <c r="D264" s="4" t="n">
        <v>2015</v>
      </c>
      <c r="E264" s="19" t="inlineStr">
        <is>
          <t>The Big Lebowski, The Lost World: Jurassic Park, The Hunger Games: Mockingjay - Part 1, Evolution, Mockingjay part 2</t>
        </is>
      </c>
      <c r="F264" s="4" t="inlineStr">
        <is>
          <t>F0049, F0177, F0158, F0381, F0383</t>
        </is>
      </c>
    </row>
    <row r="265" ht="15.75" customHeight="1" s="108">
      <c r="A265" s="4" t="inlineStr">
        <is>
          <t>Justin Timberlake</t>
        </is>
      </c>
      <c r="B265" s="4" t="n">
        <v>2</v>
      </c>
      <c r="C265" s="4" t="n">
        <v>2010</v>
      </c>
      <c r="D265" s="4" t="n">
        <v>2011</v>
      </c>
      <c r="E265" s="19" t="inlineStr">
        <is>
          <t>Bad Teacher, Yogi Bear</t>
        </is>
      </c>
      <c r="F265" s="4" t="inlineStr">
        <is>
          <t>F0039, F0348</t>
        </is>
      </c>
    </row>
    <row r="266" ht="15.75" customHeight="1" s="108">
      <c r="A266" s="4" t="inlineStr">
        <is>
          <t>Kelsey Grammer</t>
        </is>
      </c>
      <c r="B266" s="4" t="n">
        <v>4</v>
      </c>
      <c r="C266" s="4" t="n">
        <v>1999</v>
      </c>
      <c r="D266" s="4" t="n">
        <v>2014</v>
      </c>
      <c r="E266" s="19" t="inlineStr">
        <is>
          <t>Toy Story 2, Transformers: Age of Extinction, The Expendables 3, X-Men: The Last Stand</t>
        </is>
      </c>
      <c r="F266" s="4" t="inlineStr">
        <is>
          <t>F0313, F0319, F0097, F0346</t>
        </is>
      </c>
    </row>
    <row r="267" ht="15.75" customHeight="1" s="108">
      <c r="A267" s="4" t="inlineStr">
        <is>
          <t>Ken Jeong</t>
        </is>
      </c>
      <c r="B267" s="4" t="n">
        <v>7</v>
      </c>
      <c r="C267" s="4" t="n">
        <v>2008</v>
      </c>
      <c r="D267" s="4" t="n">
        <v>2013</v>
      </c>
      <c r="E267" s="19" t="inlineStr">
        <is>
          <t>The Hangover Part II, The Hangover Part III, Despicable Me, Despicable Me 2, The Hangover, Pineapple Express, Transformers: Dark of the Moon</t>
        </is>
      </c>
      <c r="F267" s="4" t="inlineStr">
        <is>
          <t>F0135, F0136, F0082, F0083, F0134, F0247, F0318</t>
        </is>
      </c>
    </row>
    <row r="268" ht="15.75" customHeight="1" s="108">
      <c r="A268" s="4" t="inlineStr">
        <is>
          <t>Kerry Washington</t>
        </is>
      </c>
      <c r="B268" s="4" t="n">
        <v>2</v>
      </c>
      <c r="C268" s="4" t="n">
        <v>2005</v>
      </c>
      <c r="D268" s="4" t="n">
        <v>2012</v>
      </c>
      <c r="E268" s="19" t="inlineStr">
        <is>
          <t>Django Unchained, Mr. &amp; Mrs. Smith</t>
        </is>
      </c>
      <c r="F268" s="4" t="inlineStr">
        <is>
          <t>F0090, F0231</t>
        </is>
      </c>
    </row>
    <row r="269" ht="15.75" customHeight="1" s="108">
      <c r="A269" s="4" t="inlineStr">
        <is>
          <t>Kevin Durand</t>
        </is>
      </c>
      <c r="B269" s="4" t="n">
        <v>4</v>
      </c>
      <c r="C269" s="4" t="n">
        <v>2009</v>
      </c>
      <c r="D269" s="4" t="n">
        <v>2024</v>
      </c>
      <c r="E269" s="19" t="inlineStr">
        <is>
          <t>Kingdom of the Planet of the Apes, X-Men Origins: Wolverine, Noah, Robin Hood</t>
        </is>
      </c>
      <c r="F269" s="4" t="inlineStr">
        <is>
          <t>F0256, F0343, F0238, F0267</t>
        </is>
      </c>
    </row>
    <row r="270" ht="15.75" customHeight="1" s="108">
      <c r="A270" s="4" t="inlineStr">
        <is>
          <t>Kevin James</t>
        </is>
      </c>
      <c r="B270" s="4" t="n">
        <v>2</v>
      </c>
      <c r="C270" s="4" t="n">
        <v>2010</v>
      </c>
      <c r="D270" s="4" t="n">
        <v>2013</v>
      </c>
      <c r="E270" s="19" t="inlineStr">
        <is>
          <t>Grown Ups, Grown Ups 2</t>
        </is>
      </c>
      <c r="F270" s="4" t="inlineStr">
        <is>
          <t>F0131, F0132</t>
        </is>
      </c>
    </row>
    <row r="271" ht="15.75" customHeight="1" s="108">
      <c r="A271" s="4" t="inlineStr">
        <is>
          <t>Kevin Spacey</t>
        </is>
      </c>
      <c r="B271" s="4" t="n">
        <v>2</v>
      </c>
      <c r="C271" s="4" t="n">
        <v>1998</v>
      </c>
      <c r="D271" s="4" t="n">
        <v>2017</v>
      </c>
      <c r="E271" s="19" t="inlineStr">
        <is>
          <t>A Bug's Life, Baby Driver</t>
        </is>
      </c>
      <c r="F271" s="4" t="inlineStr">
        <is>
          <t>F0012, F0032</t>
        </is>
      </c>
    </row>
    <row r="272" ht="15.75" customHeight="1" s="108">
      <c r="A272" s="4" t="inlineStr">
        <is>
          <t>Laura Dern</t>
        </is>
      </c>
      <c r="B272" s="4" t="n">
        <v>4</v>
      </c>
      <c r="C272" s="4" t="n">
        <v>1993</v>
      </c>
      <c r="D272" s="4" t="n">
        <v>2022</v>
      </c>
      <c r="E272" s="19" t="inlineStr">
        <is>
          <t>Jurassic Park, Jurassic World Dominion, Jurassic Park III, Star Wars: The Last Jedi</t>
        </is>
      </c>
      <c r="F272" s="4" t="inlineStr">
        <is>
          <t>F0176, F0181, F0178, F0299</t>
        </is>
      </c>
    </row>
    <row r="273" ht="15.75" customHeight="1" s="108">
      <c r="A273" s="4" t="inlineStr">
        <is>
          <t>Lee Byung-hun</t>
        </is>
      </c>
      <c r="B273" s="4" t="n">
        <v>2</v>
      </c>
      <c r="C273" s="4" t="n">
        <v>2009</v>
      </c>
      <c r="D273" s="4" t="n">
        <v>2016</v>
      </c>
      <c r="E273" s="19" t="inlineStr">
        <is>
          <t>G.I. Joe: The Rise of Cobra, The Magnificent Seven</t>
        </is>
      </c>
      <c r="F273" s="4" t="inlineStr">
        <is>
          <t>F0118, F0207</t>
        </is>
      </c>
    </row>
    <row r="274" ht="15.75" customHeight="1" s="108">
      <c r="A274" s="4" t="inlineStr">
        <is>
          <t>Leland Orser</t>
        </is>
      </c>
      <c r="B274" s="4" t="n">
        <v>3</v>
      </c>
      <c r="C274" s="4" t="n">
        <v>1997</v>
      </c>
      <c r="D274" s="4" t="n">
        <v>2012</v>
      </c>
      <c r="E274" s="19" t="inlineStr">
        <is>
          <t>Taken, Taken 2, Alien Resurrection</t>
        </is>
      </c>
      <c r="F274" s="4" t="inlineStr">
        <is>
          <t>F0306, F0307, F0018</t>
        </is>
      </c>
    </row>
    <row r="275" ht="15.75" customHeight="1" s="108">
      <c r="A275" s="4" t="inlineStr">
        <is>
          <t>Leslie Mann</t>
        </is>
      </c>
      <c r="B275" s="4" t="n">
        <v>2</v>
      </c>
      <c r="C275" s="4" t="n">
        <v>2011</v>
      </c>
      <c r="D275" s="4" t="n">
        <v>2014</v>
      </c>
      <c r="E275" s="19" t="inlineStr">
        <is>
          <t>Rio, Rio 2</t>
        </is>
      </c>
      <c r="F275" s="4" t="inlineStr">
        <is>
          <t>F0265, F0266</t>
        </is>
      </c>
    </row>
    <row r="276" ht="15.75" customHeight="1" s="108">
      <c r="A276" s="4" t="inlineStr">
        <is>
          <t>Liam Hemsworth</t>
        </is>
      </c>
      <c r="B276" s="4" t="n">
        <v>6</v>
      </c>
      <c r="C276" s="4" t="n">
        <v>2012</v>
      </c>
      <c r="D276" s="4" t="n">
        <v>2016</v>
      </c>
      <c r="E276" s="19" t="inlineStr">
        <is>
          <t>The Hunger Games, The Hunger Games: Mockingjay - Part 1, The Expendables 2, Catching  fire, Mockingjay part 2, Catching fire</t>
        </is>
      </c>
      <c r="F276" s="4" t="inlineStr">
        <is>
          <t>F0157, F0158, F0096, F0382, F0383, F0384</t>
        </is>
      </c>
    </row>
    <row r="277" ht="15.75" customHeight="1" s="108">
      <c r="A277" s="4" t="inlineStr">
        <is>
          <t>Liev Schreiber</t>
        </is>
      </c>
      <c r="B277" s="4" t="n">
        <v>2</v>
      </c>
      <c r="C277" s="4" t="n">
        <v>2009</v>
      </c>
      <c r="D277" s="4" t="n">
        <v>2010</v>
      </c>
      <c r="E277" s="19" t="inlineStr">
        <is>
          <t>Salt, X-Men Origins: Wolverine</t>
        </is>
      </c>
      <c r="F277" s="4" t="inlineStr">
        <is>
          <t>F0273, F0343</t>
        </is>
      </c>
    </row>
    <row r="278" ht="15.75" customHeight="1" s="108">
      <c r="A278" s="4" t="inlineStr">
        <is>
          <t>Lyndsy Fonseca</t>
        </is>
      </c>
      <c r="B278" s="4" t="n">
        <v>2</v>
      </c>
      <c r="C278" s="4" t="n">
        <v>2010</v>
      </c>
      <c r="D278" s="4" t="n">
        <v>2013</v>
      </c>
      <c r="E278" s="19" t="inlineStr">
        <is>
          <t>Kick-Ass, Kick-Ass 2</t>
        </is>
      </c>
      <c r="F278" s="4" t="inlineStr">
        <is>
          <t>F0185, F0186</t>
        </is>
      </c>
    </row>
    <row r="279" ht="15.75" customHeight="1" s="108">
      <c r="A279" s="4" t="inlineStr">
        <is>
          <t>Léa Seydoux</t>
        </is>
      </c>
      <c r="B279" s="4" t="n">
        <v>5</v>
      </c>
      <c r="C279" s="4" t="n">
        <v>2010</v>
      </c>
      <c r="D279" s="4" t="n">
        <v>2024</v>
      </c>
      <c r="E279" s="19" t="inlineStr">
        <is>
          <t>Spectre, No Time to Die, Mission: Impossible - Ghost Protocol, Robin Hood, dune  part two</t>
        </is>
      </c>
      <c r="F279" s="4" t="inlineStr">
        <is>
          <t>F0004, F0005, F0224, F0267, F0368</t>
        </is>
      </c>
    </row>
    <row r="280" ht="15.75" customHeight="1" s="108">
      <c r="A280" s="4" t="inlineStr">
        <is>
          <t>Mads Mikkelsen</t>
        </is>
      </c>
      <c r="B280" s="4" t="n">
        <v>3</v>
      </c>
      <c r="C280" s="4" t="n">
        <v>2006</v>
      </c>
      <c r="D280" s="4" t="n">
        <v>2016</v>
      </c>
      <c r="E280" s="19" t="inlineStr">
        <is>
          <t>Casino Royale, Clash of the Titans, Rogue one</t>
        </is>
      </c>
      <c r="F280" s="4" t="inlineStr">
        <is>
          <t>F0001, F0066, F0385</t>
        </is>
      </c>
    </row>
    <row r="281" ht="15.75" customHeight="1" s="108">
      <c r="A281" s="4" t="inlineStr">
        <is>
          <t>Maggie Grace</t>
        </is>
      </c>
      <c r="B281" s="4" t="n">
        <v>2</v>
      </c>
      <c r="C281" s="4" t="n">
        <v>2008</v>
      </c>
      <c r="D281" s="4" t="n">
        <v>2012</v>
      </c>
      <c r="E281" s="19" t="inlineStr">
        <is>
          <t>Taken, Taken 2</t>
        </is>
      </c>
      <c r="F281" s="4" t="inlineStr">
        <is>
          <t>F0306, F0307</t>
        </is>
      </c>
    </row>
    <row r="282" ht="15.75" customHeight="1" s="108">
      <c r="A282" s="4" t="inlineStr">
        <is>
          <t>Maggie Gyllenhaal</t>
        </is>
      </c>
      <c r="B282" s="4" t="n">
        <v>2</v>
      </c>
      <c r="C282" s="4" t="n">
        <v>2008</v>
      </c>
      <c r="D282" s="4" t="n">
        <v>2013</v>
      </c>
      <c r="E282" s="19" t="inlineStr">
        <is>
          <t>The Dark Knight, White House Down</t>
        </is>
      </c>
      <c r="F282" s="4" t="inlineStr">
        <is>
          <t>F0044, F0335</t>
        </is>
      </c>
    </row>
    <row r="283" ht="15.75" customHeight="1" s="108">
      <c r="A283" s="4" t="inlineStr">
        <is>
          <t>Margaret Qualley</t>
        </is>
      </c>
      <c r="B283" s="4" t="n">
        <v>2</v>
      </c>
      <c r="C283" s="4" t="n">
        <v>2016</v>
      </c>
      <c r="D283" s="4" t="n">
        <v>2019</v>
      </c>
      <c r="E283" s="19" t="inlineStr">
        <is>
          <t>The Nice Guys, Once Upon a Time… in Hollywood</t>
        </is>
      </c>
      <c r="F283" s="4" t="inlineStr">
        <is>
          <t>F0235, F0241</t>
        </is>
      </c>
    </row>
    <row r="284" ht="15.75" customHeight="1" s="108">
      <c r="A284" s="4" t="inlineStr">
        <is>
          <t>Margot Robbie</t>
        </is>
      </c>
      <c r="B284" s="4" t="n">
        <v>2</v>
      </c>
      <c r="C284" s="4" t="n">
        <v>2019</v>
      </c>
      <c r="D284" s="4" t="n">
        <v>2023</v>
      </c>
      <c r="E284" s="19" t="inlineStr">
        <is>
          <t>Barbie, Once Upon a Time… in Hollywood</t>
        </is>
      </c>
      <c r="F284" s="4" t="inlineStr">
        <is>
          <t>F0041, F0241</t>
        </is>
      </c>
    </row>
    <row r="285" ht="15.75" customHeight="1" s="108">
      <c r="A285" s="4" t="inlineStr">
        <is>
          <t>Martin Lawrence</t>
        </is>
      </c>
      <c r="B285" s="4" t="n">
        <v>2</v>
      </c>
      <c r="C285" s="4" t="n">
        <v>1995</v>
      </c>
      <c r="D285" s="4" t="n">
        <v>2003</v>
      </c>
      <c r="E285" s="19" t="inlineStr">
        <is>
          <t>Bad Boys, Bad Boys II</t>
        </is>
      </c>
      <c r="F285" s="4" t="inlineStr">
        <is>
          <t>F0036, F0037</t>
        </is>
      </c>
    </row>
    <row r="286" ht="15.75" customHeight="1" s="108">
      <c r="A286" s="4" t="inlineStr">
        <is>
          <t>Mary Steenburgen</t>
        </is>
      </c>
      <c r="B286" s="4" t="n">
        <v>2</v>
      </c>
      <c r="C286" s="4" t="n">
        <v>1990</v>
      </c>
      <c r="D286" s="4" t="n">
        <v>2003</v>
      </c>
      <c r="E286" s="19" t="inlineStr">
        <is>
          <t>Back to the Future Part III, Elf</t>
        </is>
      </c>
      <c r="F286" s="4" t="inlineStr">
        <is>
          <t>F0035, F0092</t>
        </is>
      </c>
    </row>
    <row r="287" ht="15.75" customHeight="1" s="108">
      <c r="A287" s="4" t="inlineStr">
        <is>
          <t>Max von Sydow</t>
        </is>
      </c>
      <c r="B287" s="4" t="n">
        <v>3</v>
      </c>
      <c r="C287" s="4" t="n">
        <v>2007</v>
      </c>
      <c r="D287" s="4" t="n">
        <v>2015</v>
      </c>
      <c r="E287" s="19" t="inlineStr">
        <is>
          <t>Robin Hood, Rush Hour 3, Star Wars: The Force Awakens</t>
        </is>
      </c>
      <c r="F287" s="4" t="inlineStr">
        <is>
          <t>F0267, F0271, F0298</t>
        </is>
      </c>
    </row>
    <row r="288" ht="15.75" customHeight="1" s="108">
      <c r="A288" s="4" t="inlineStr">
        <is>
          <t>Melissa McCarthy</t>
        </is>
      </c>
      <c r="B288" s="4" t="n">
        <v>4</v>
      </c>
      <c r="C288" s="4" t="n">
        <v>2011</v>
      </c>
      <c r="D288" s="4" t="n">
        <v>2015</v>
      </c>
      <c r="E288" s="19" t="inlineStr">
        <is>
          <t>The Heat, Spy, Bridesmaids, The Hangover Part III</t>
        </is>
      </c>
      <c r="F288" s="4" t="inlineStr">
        <is>
          <t>F0146, F0290, F0058, F0136</t>
        </is>
      </c>
    </row>
    <row r="289" ht="15.75" customHeight="1" s="108">
      <c r="A289" s="4" t="inlineStr">
        <is>
          <t>Michael Cera</t>
        </is>
      </c>
      <c r="B289" s="4" t="n">
        <v>3</v>
      </c>
      <c r="C289" s="4" t="n">
        <v>2007</v>
      </c>
      <c r="D289" s="4" t="n">
        <v>2023</v>
      </c>
      <c r="E289" s="19" t="inlineStr">
        <is>
          <t>The Lego Batman Movie, Superbad, Barbie</t>
        </is>
      </c>
      <c r="F289" s="4" t="inlineStr">
        <is>
          <t>F0193, F0303, F0041</t>
        </is>
      </c>
    </row>
    <row r="290" ht="15.75" customHeight="1" s="108">
      <c r="A290" s="4" t="inlineStr">
        <is>
          <t>Millie Bobby Brown</t>
        </is>
      </c>
      <c r="B290" s="4" t="n">
        <v>2</v>
      </c>
      <c r="C290" s="4" t="n">
        <v>2019</v>
      </c>
      <c r="D290" s="4" t="n">
        <v>2021</v>
      </c>
      <c r="E290" s="19" t="inlineStr">
        <is>
          <t>Godzilla: King of the Monsters, Godzilla vs. Kong</t>
        </is>
      </c>
      <c r="F290" s="4" t="inlineStr">
        <is>
          <t>F0122, F0123</t>
        </is>
      </c>
    </row>
    <row r="291" ht="15.75" customHeight="1" s="108">
      <c r="A291" s="4" t="inlineStr">
        <is>
          <t>Miranda Otto</t>
        </is>
      </c>
      <c r="B291" s="4" t="n">
        <v>8</v>
      </c>
      <c r="C291" s="4" t="n">
        <v>2002</v>
      </c>
      <c r="D291" s="4" t="n">
        <v>2014</v>
      </c>
      <c r="E291" s="19" t="inlineStr">
        <is>
          <t>I, Frankenstein, War of the Worlds, I, Frankenstein, The Lord of the Rings: The Two Towers, The Lord of the Rings: The Return of the King, I, Frankenstein, I, Frankenstein, I, Frankenstein</t>
        </is>
      </c>
      <c r="F291" s="4" t="inlineStr">
        <is>
          <t>F0159, F0332, F0204, F0205</t>
        </is>
      </c>
    </row>
    <row r="292" ht="15.75" customHeight="1" s="108">
      <c r="A292" s="4" t="inlineStr">
        <is>
          <t>Morena Baccarin</t>
        </is>
      </c>
      <c r="B292" s="4" t="n">
        <v>4</v>
      </c>
      <c r="C292" s="4" t="n">
        <v>2015</v>
      </c>
      <c r="D292" s="4" t="n">
        <v>2024</v>
      </c>
      <c r="E292" s="19" t="inlineStr">
        <is>
          <t>Deadpool, Deadpool 2, Deadpool &amp; Wolverine, Spy</t>
        </is>
      </c>
      <c r="F292" s="4" t="inlineStr">
        <is>
          <t>F0076, F0077, F0078, F0290</t>
        </is>
      </c>
    </row>
    <row r="293" ht="15.75" customHeight="1" s="108">
      <c r="A293" s="4" t="inlineStr">
        <is>
          <t>Naomie Harris</t>
        </is>
      </c>
      <c r="B293" s="4" t="n">
        <v>5</v>
      </c>
      <c r="C293" s="4" t="n">
        <v>2010</v>
      </c>
      <c r="D293" s="4" t="n">
        <v>2021</v>
      </c>
      <c r="E293" s="19" t="inlineStr">
        <is>
          <t>Skyfall, Sex &amp; Drugs &amp; Rock &amp; Roll, Spectre, No Time to Die, Southpaw</t>
        </is>
      </c>
      <c r="F293" s="4" t="inlineStr">
        <is>
          <t>F0003, F0277, F0004, F0005, F0286</t>
        </is>
      </c>
    </row>
    <row r="294" ht="15.75" customHeight="1" s="108">
      <c r="A294" s="4" t="inlineStr">
        <is>
          <t>Nicholas Hoult</t>
        </is>
      </c>
      <c r="B294" s="4" t="n">
        <v>7</v>
      </c>
      <c r="C294" s="4" t="n">
        <v>2010</v>
      </c>
      <c r="D294" s="4" t="n">
        <v>2025</v>
      </c>
      <c r="E294" s="19" t="inlineStr">
        <is>
          <t>Superman, X-Men: Apocalypse, Clash of the Titans, X-Men: First Class, X-Men: Days of Future Past, Mad max fury road, X-men dark phoenix</t>
        </is>
      </c>
      <c r="F294" s="4" t="inlineStr">
        <is>
          <t>F0304, F0342, F0066, F0340, F0341, F0354, F0380</t>
        </is>
      </c>
    </row>
    <row r="295" ht="15.75" customHeight="1" s="108">
      <c r="A295" s="4" t="inlineStr">
        <is>
          <t>Nick Swardson</t>
        </is>
      </c>
      <c r="B295" s="4" t="n">
        <v>3</v>
      </c>
      <c r="C295" s="4" t="n">
        <v>2011</v>
      </c>
      <c r="D295" s="4" t="n">
        <v>2013</v>
      </c>
      <c r="E295" s="19" t="inlineStr">
        <is>
          <t>30 Minutes or Less, Just Go with It, Grown Ups 2</t>
        </is>
      </c>
      <c r="F295" s="4" t="inlineStr">
        <is>
          <t>F0009, F0183, F0132</t>
        </is>
      </c>
    </row>
    <row r="296" ht="15.75" customHeight="1" s="108">
      <c r="A296" s="4" t="inlineStr">
        <is>
          <t>Noomi Rapace</t>
        </is>
      </c>
      <c r="B296" s="4" t="n">
        <v>3</v>
      </c>
      <c r="C296" s="4" t="n">
        <v>2011</v>
      </c>
      <c r="D296" s="4" t="n">
        <v>2017</v>
      </c>
      <c r="E296" s="19" t="inlineStr">
        <is>
          <t>Prometheus, Sherlock Holmes: A Game of Shadows, alien covenant</t>
        </is>
      </c>
      <c r="F296" s="4" t="inlineStr">
        <is>
          <t>F0259, F0279, F0361</t>
        </is>
      </c>
    </row>
    <row r="297" ht="15.75" customHeight="1" s="108">
      <c r="A297" s="4" t="inlineStr">
        <is>
          <t>Olga Kurylenko</t>
        </is>
      </c>
      <c r="B297" s="4" t="n">
        <v>2</v>
      </c>
      <c r="C297" s="4" t="n">
        <v>2008</v>
      </c>
      <c r="D297" s="4" t="n">
        <v>2013</v>
      </c>
      <c r="E297" s="19" t="inlineStr">
        <is>
          <t>Quantum of Solace, Oblivion</t>
        </is>
      </c>
      <c r="F297" s="4" t="inlineStr">
        <is>
          <t>F0002, F0239</t>
        </is>
      </c>
    </row>
    <row r="298" ht="15.75" customHeight="1" s="108">
      <c r="A298" s="4" t="inlineStr">
        <is>
          <t>Olivia Wilde</t>
        </is>
      </c>
      <c r="B298" s="4" t="n">
        <v>2</v>
      </c>
      <c r="C298" s="4" t="n">
        <v>2011</v>
      </c>
      <c r="D298" s="4" t="n">
        <v>2013</v>
      </c>
      <c r="E298" s="19" t="inlineStr">
        <is>
          <t>Cowboys &amp; Aliens, Rush</t>
        </is>
      </c>
      <c r="F298" s="4" t="inlineStr">
        <is>
          <t>F0073, F0270</t>
        </is>
      </c>
    </row>
    <row r="299" ht="15.75" customHeight="1" s="108">
      <c r="A299" s="4" t="inlineStr">
        <is>
          <t>Orlando Bloom</t>
        </is>
      </c>
      <c r="B299" s="4" t="n">
        <v>6</v>
      </c>
      <c r="C299" s="4" t="n">
        <v>2001</v>
      </c>
      <c r="D299" s="4" t="n">
        <v>2014</v>
      </c>
      <c r="E299" s="19" t="inlineStr">
        <is>
          <t>The Hobbit: The Desolation of Smaug, The Hobbit: The Battle of the Five Armies, Black Hawk Down, The Lord of the Rings: The Fellowship of the Ring, The Lord of the Rings: The Two Towers, The Lord of the Rings: The Return of the King</t>
        </is>
      </c>
      <c r="F299" s="4" t="inlineStr">
        <is>
          <t>F0151, F0152, F0050, F0203, F0204, F0205</t>
        </is>
      </c>
    </row>
    <row r="300" ht="15.75" customHeight="1" s="108">
      <c r="A300" s="4" t="inlineStr">
        <is>
          <t>Penélope Cruz</t>
        </is>
      </c>
      <c r="B300" s="4" t="n">
        <v>2</v>
      </c>
      <c r="C300" s="4" t="n">
        <v>2011</v>
      </c>
      <c r="D300" s="4" t="n">
        <v>2016</v>
      </c>
      <c r="E300" s="19" t="inlineStr">
        <is>
          <t>Grimsby, Pirates of the Caribbean: On Stranger Tides</t>
        </is>
      </c>
      <c r="F300" s="4" t="inlineStr">
        <is>
          <t>F0130, F0249</t>
        </is>
      </c>
    </row>
    <row r="301" ht="15.75" customHeight="1" s="108">
      <c r="A301" s="4" t="inlineStr">
        <is>
          <t>Peter Stormare</t>
        </is>
      </c>
      <c r="B301" s="4" t="n">
        <v>6</v>
      </c>
      <c r="C301" s="4" t="n">
        <v>1997</v>
      </c>
      <c r="D301" s="4" t="n">
        <v>2017</v>
      </c>
      <c r="E301" s="19" t="inlineStr">
        <is>
          <t xml:space="preserve">22 Jump Street, Bad Boys II, The Big Lebowski, The Lost World: Jurassic Park, john wick chapter 2, john wick chapter 2 </t>
        </is>
      </c>
      <c r="F301" s="4" t="inlineStr">
        <is>
          <t>F0008, F0037, F0049, F0177, F0375</t>
        </is>
      </c>
    </row>
    <row r="302" ht="15.75" customHeight="1" s="108">
      <c r="A302" s="4" t="inlineStr">
        <is>
          <t>Pierfrancesco Favino</t>
        </is>
      </c>
      <c r="B302" s="4" t="n">
        <v>3</v>
      </c>
      <c r="C302" s="4" t="n">
        <v>2006</v>
      </c>
      <c r="D302" s="4" t="n">
        <v>2013</v>
      </c>
      <c r="E302" s="19" t="inlineStr">
        <is>
          <t>Angels &amp; Demons, Rush, night at the museum</t>
        </is>
      </c>
      <c r="F302" s="4" t="inlineStr">
        <is>
          <t>F0023, F0270, F0377</t>
        </is>
      </c>
    </row>
    <row r="303" ht="15.75" customHeight="1" s="108">
      <c r="A303" s="4" t="inlineStr">
        <is>
          <t>Queen Latifah</t>
        </is>
      </c>
      <c r="B303" s="4" t="n">
        <v>2</v>
      </c>
      <c r="C303" s="4" t="n">
        <v>2006</v>
      </c>
      <c r="D303" s="4" t="n">
        <v>2009</v>
      </c>
      <c r="E303" s="19" t="inlineStr">
        <is>
          <t>Ice Age: The Meltdown, Ice Age: Dawn of the Dinosaurs</t>
        </is>
      </c>
      <c r="F303" s="4" t="inlineStr">
        <is>
          <t>F0160, F0161</t>
        </is>
      </c>
    </row>
    <row r="304" ht="15.75" customHeight="1" s="108">
      <c r="A304" s="4" t="inlineStr">
        <is>
          <t>Rafe Spall</t>
        </is>
      </c>
      <c r="B304" s="4" t="n">
        <v>5</v>
      </c>
      <c r="C304" s="4" t="n">
        <v>2004</v>
      </c>
      <c r="D304" s="4" t="n">
        <v>2018</v>
      </c>
      <c r="E304" s="19" t="inlineStr">
        <is>
          <t>Hot Fuzz, Jurassic World: Fallen Kingdom, The BFG, Shaun of the Dead, Prometheus</t>
        </is>
      </c>
      <c r="F304" s="4" t="inlineStr">
        <is>
          <t>F0071, F0180, F0047, F0070, F0259</t>
        </is>
      </c>
    </row>
    <row r="305" ht="15.75" customHeight="1" s="108">
      <c r="A305" s="4" t="inlineStr">
        <is>
          <t>Ray Romano</t>
        </is>
      </c>
      <c r="B305" s="4" t="n">
        <v>2</v>
      </c>
      <c r="C305" s="4" t="n">
        <v>2006</v>
      </c>
      <c r="D305" s="4" t="n">
        <v>2009</v>
      </c>
      <c r="E305" s="19" t="inlineStr">
        <is>
          <t>Ice Age: The Meltdown, Ice Age: Dawn of the Dinosaurs</t>
        </is>
      </c>
      <c r="F305" s="4" t="inlineStr">
        <is>
          <t>F0160, F0161</t>
        </is>
      </c>
    </row>
    <row r="306" ht="15.75" customHeight="1" s="108">
      <c r="A306" s="4" t="inlineStr">
        <is>
          <t>Richard Attenborough</t>
        </is>
      </c>
      <c r="B306" s="4" t="n">
        <v>2</v>
      </c>
      <c r="C306" s="4" t="n">
        <v>1993</v>
      </c>
      <c r="D306" s="4" t="n">
        <v>1997</v>
      </c>
      <c r="E306" s="19" t="inlineStr">
        <is>
          <t>Jurassic Park, The Lost World: Jurassic Park</t>
        </is>
      </c>
      <c r="F306" s="4" t="inlineStr">
        <is>
          <t>F0176, F0177</t>
        </is>
      </c>
    </row>
    <row r="307" ht="15.75" customHeight="1" s="108">
      <c r="A307" s="4" t="inlineStr">
        <is>
          <t>Rick Yune</t>
        </is>
      </c>
      <c r="B307" s="4" t="n">
        <v>2</v>
      </c>
      <c r="C307" s="4" t="n">
        <v>2001</v>
      </c>
      <c r="D307" s="4" t="n">
        <v>2013</v>
      </c>
      <c r="E307" s="19" t="inlineStr">
        <is>
          <t>The Fast and the Furious, Olympus Has Fallen</t>
        </is>
      </c>
      <c r="F307" s="4" t="inlineStr">
        <is>
          <t>F0101, F0240</t>
        </is>
      </c>
    </row>
    <row r="308" ht="15.75" customHeight="1" s="108">
      <c r="A308" s="4" t="inlineStr">
        <is>
          <t>Ron Perlman</t>
        </is>
      </c>
      <c r="B308" s="4" t="n">
        <v>5</v>
      </c>
      <c r="C308" s="4" t="n">
        <v>1997</v>
      </c>
      <c r="D308" s="4" t="n">
        <v>2023</v>
      </c>
      <c r="E308" s="19" t="inlineStr">
        <is>
          <t>Alien Resurrection, Transformers: Rise of the Beasts, Fantastic Beasts and Where to Find Them, Pacific Rim, hellboy</t>
        </is>
      </c>
      <c r="F308" s="4" t="inlineStr">
        <is>
          <t>F0018, F0321, F0100, F0243, F0373</t>
        </is>
      </c>
    </row>
    <row r="309" ht="15.75" customHeight="1" s="108">
      <c r="A309" s="4" t="inlineStr">
        <is>
          <t>Russell Brand</t>
        </is>
      </c>
      <c r="B309" s="4" t="n">
        <v>3</v>
      </c>
      <c r="C309" s="4" t="n">
        <v>2008</v>
      </c>
      <c r="D309" s="4" t="n">
        <v>2013</v>
      </c>
      <c r="E309" s="19" t="inlineStr">
        <is>
          <t>Despicable Me 2, Forgetting Sarah Marshall, Despicable Me</t>
        </is>
      </c>
      <c r="F309" s="4" t="inlineStr">
        <is>
          <t>F0083, F0115, F0082</t>
        </is>
      </c>
    </row>
    <row r="310" ht="15.75" customHeight="1" s="108">
      <c r="A310" s="4" t="inlineStr">
        <is>
          <t>Salma Hayek Pinault</t>
        </is>
      </c>
      <c r="B310" s="4" t="n">
        <v>5</v>
      </c>
      <c r="C310" s="4" t="n">
        <v>1999</v>
      </c>
      <c r="D310" s="4" t="n">
        <v>2017</v>
      </c>
      <c r="E310" s="19" t="inlineStr">
        <is>
          <t>Grown Ups 2, The Hitman's Bodyguard, Dogma, Grown Ups, Muppets Most Wanted</t>
        </is>
      </c>
      <c r="F310" s="4" t="inlineStr">
        <is>
          <t>F0132, F0149, F0351, F0131, F0232</t>
        </is>
      </c>
    </row>
    <row r="311" ht="15.75" customHeight="1" s="108">
      <c r="A311" s="4" t="inlineStr">
        <is>
          <t>Sam Rockwell</t>
        </is>
      </c>
      <c r="B311" s="4" t="n">
        <v>2</v>
      </c>
      <c r="C311" s="4" t="n">
        <v>2011</v>
      </c>
      <c r="D311" s="4" t="n">
        <v>2019</v>
      </c>
      <c r="E311" s="19" t="inlineStr">
        <is>
          <t>Cowboys &amp; Aliens, Jojo Rabbit</t>
        </is>
      </c>
      <c r="F311" s="4" t="inlineStr">
        <is>
          <t>F0073, F0170</t>
        </is>
      </c>
    </row>
    <row r="312" ht="15.75" customHeight="1" s="108">
      <c r="A312" s="4" t="inlineStr">
        <is>
          <t>Sandra Bullock</t>
        </is>
      </c>
      <c r="B312" s="4" t="n">
        <v>2</v>
      </c>
      <c r="C312" s="4" t="n">
        <v>2013</v>
      </c>
      <c r="D312" s="4" t="n">
        <v>2015</v>
      </c>
      <c r="E312" s="19" t="inlineStr">
        <is>
          <t>The Heat, Minions</t>
        </is>
      </c>
      <c r="F312" s="4" t="inlineStr">
        <is>
          <t>F0146, F0220</t>
        </is>
      </c>
    </row>
    <row r="313" ht="15.75" customHeight="1" s="108">
      <c r="A313" s="4" t="inlineStr">
        <is>
          <t>Sarah Silverman</t>
        </is>
      </c>
      <c r="B313" s="4" t="n">
        <v>4</v>
      </c>
      <c r="C313" s="4" t="n">
        <v>2001</v>
      </c>
      <c r="D313" s="4" t="n">
        <v>2018</v>
      </c>
      <c r="E313" s="19" t="inlineStr">
        <is>
          <t>Wreck-It Ralph, Ralph Breaks the Internet, A Million Ways to Die in the West, Evolution</t>
        </is>
      </c>
      <c r="F313" s="4" t="inlineStr">
        <is>
          <t>F0336, F0337, F0021, F0381</t>
        </is>
      </c>
    </row>
    <row r="314" ht="15.75" customHeight="1" s="108">
      <c r="A314" s="4" t="inlineStr">
        <is>
          <t>Seann William Scott</t>
        </is>
      </c>
      <c r="B314" s="4" t="n">
        <v>4</v>
      </c>
      <c r="C314" s="4" t="n">
        <v>2001</v>
      </c>
      <c r="D314" s="4" t="n">
        <v>2010</v>
      </c>
      <c r="E314" s="19" t="inlineStr">
        <is>
          <t>Cop Out, Ice Age: The Meltdown, Ice Age: Dawn of the Dinosaurs, Evolution</t>
        </is>
      </c>
      <c r="F314" s="4" t="inlineStr">
        <is>
          <t>F0069, F0160, F0161, F0381</t>
        </is>
      </c>
    </row>
    <row r="315" ht="15.75" customHeight="1" s="108">
      <c r="A315" s="4" t="inlineStr">
        <is>
          <t>Shane Brolly</t>
        </is>
      </c>
      <c r="B315" s="4" t="n">
        <v>4</v>
      </c>
      <c r="C315" s="4" t="n">
        <v>2003</v>
      </c>
      <c r="D315" s="4" t="n">
        <v>2009</v>
      </c>
      <c r="E315" s="19" t="inlineStr">
        <is>
          <t xml:space="preserve">Underworld: Evolution, Underworld: Rise of the Lycans, Underworld, Underworld </t>
        </is>
      </c>
      <c r="F315" s="4" t="inlineStr">
        <is>
          <t>F0326, F0327, F0389</t>
        </is>
      </c>
    </row>
    <row r="316" ht="15.75" customHeight="1" s="108">
      <c r="A316" s="4" t="inlineStr">
        <is>
          <t>Simon Bird</t>
        </is>
      </c>
      <c r="B316" s="4" t="n">
        <v>2</v>
      </c>
      <c r="C316" s="4" t="n">
        <v>2011</v>
      </c>
      <c r="D316" s="4" t="n">
        <v>2014</v>
      </c>
      <c r="E316" s="19" t="inlineStr">
        <is>
          <t>The Inbetweeners Movie, The Inbetweeners 2</t>
        </is>
      </c>
      <c r="F316" s="4" t="inlineStr">
        <is>
          <t>F0163, F0164</t>
        </is>
      </c>
    </row>
    <row r="317" ht="15.75" customHeight="1" s="108">
      <c r="A317" s="4" t="inlineStr">
        <is>
          <t>Simon McBurney</t>
        </is>
      </c>
      <c r="B317" s="4" t="n">
        <v>5</v>
      </c>
      <c r="C317" s="4" t="n">
        <v>2008</v>
      </c>
      <c r="D317" s="4" t="n">
        <v>2015</v>
      </c>
      <c r="E317" s="19" t="inlineStr">
        <is>
          <t>Body of Lies, The Theory of Everything, Harry Potter and the Deathly Hallows: Part 1, Mission: Impossible - Rogue Nation, Robin Hood</t>
        </is>
      </c>
      <c r="F317" s="4" t="inlineStr">
        <is>
          <t>F0051, F0311, F0143, F0225, F0267</t>
        </is>
      </c>
    </row>
    <row r="318" ht="15.75" customHeight="1" s="108">
      <c r="A318" s="4" t="inlineStr">
        <is>
          <t>Steve Coogan</t>
        </is>
      </c>
      <c r="B318" s="4" t="n">
        <v>8</v>
      </c>
      <c r="C318" s="4" t="n">
        <v>2006</v>
      </c>
      <c r="D318" s="4" t="n">
        <v>2017</v>
      </c>
      <c r="E318" s="19" t="inlineStr">
        <is>
          <t>Alan Partridge: Alpha Papa, Minions, Despicable Me 2, Despicable Me 3, Night at the Museum: Battle of the Smithsonian, The Secret Life of Pets, Tropic Thunder, night at the museum</t>
        </is>
      </c>
      <c r="F318" s="4" t="inlineStr">
        <is>
          <t>F0014, F0220, F0083, F0084, F0236, F0274, F0324, F0377</t>
        </is>
      </c>
    </row>
    <row r="319" ht="15.75" customHeight="1" s="108">
      <c r="A319" s="4" t="inlineStr">
        <is>
          <t>Taraji P. Henson</t>
        </is>
      </c>
      <c r="B319" s="4" t="n">
        <v>2</v>
      </c>
      <c r="C319" s="4" t="n">
        <v>2010</v>
      </c>
      <c r="D319" s="4" t="n">
        <v>2018</v>
      </c>
      <c r="E319" s="19" t="inlineStr">
        <is>
          <t>The Karate Kid, Ralph Breaks the Internet</t>
        </is>
      </c>
      <c r="F319" s="4" t="inlineStr">
        <is>
          <t>F0184, F0337</t>
        </is>
      </c>
    </row>
    <row r="320" ht="15.75" customHeight="1" s="108">
      <c r="A320" s="4" t="inlineStr">
        <is>
          <t>Teresa Palmer</t>
        </is>
      </c>
      <c r="B320" s="4" t="n">
        <v>2</v>
      </c>
      <c r="C320" s="4" t="n">
        <v>2016</v>
      </c>
      <c r="D320" s="4" t="n">
        <v>2024</v>
      </c>
      <c r="E320" s="19" t="inlineStr">
        <is>
          <t>The Fall Guy, Hacksaw Ridge</t>
        </is>
      </c>
      <c r="F320" s="4" t="inlineStr">
        <is>
          <t>F0099, F0133</t>
        </is>
      </c>
    </row>
    <row r="321" ht="15.75" customHeight="1" s="108">
      <c r="A321" s="4" t="inlineStr">
        <is>
          <t>Theo James</t>
        </is>
      </c>
      <c r="B321" s="4" t="n">
        <v>4</v>
      </c>
      <c r="C321" s="4" t="n">
        <v>2011</v>
      </c>
      <c r="D321" s="4" t="n">
        <v>2014</v>
      </c>
      <c r="E321" s="19" t="inlineStr">
        <is>
          <t>Divergent, Underworld: Awakening, The Inbetweeners Movie, Underworld awakening</t>
        </is>
      </c>
      <c r="F321" s="4" t="inlineStr">
        <is>
          <t>F0089, F0328, F0163, F0390</t>
        </is>
      </c>
    </row>
    <row r="322" ht="15.75" customHeight="1" s="108">
      <c r="A322" s="4" t="inlineStr">
        <is>
          <t>Thomas F. Wilson</t>
        </is>
      </c>
      <c r="B322" s="4" t="n">
        <v>5</v>
      </c>
      <c r="C322" s="4" t="n">
        <v>1985</v>
      </c>
      <c r="D322" s="4" t="n">
        <v>2013</v>
      </c>
      <c r="E322" s="19" t="inlineStr">
        <is>
          <t>Back to the Future Part II, Back to the Future Part III, Back to the Future, The Heat, Rio</t>
        </is>
      </c>
      <c r="F322" s="4" t="inlineStr">
        <is>
          <t>F0034, F0035, F0033, F0146, F0265</t>
        </is>
      </c>
    </row>
    <row r="323" ht="15.75" customHeight="1" s="108">
      <c r="A323" s="4" t="inlineStr">
        <is>
          <t>Tim Robbins</t>
        </is>
      </c>
      <c r="B323" s="4" t="n">
        <v>2</v>
      </c>
      <c r="C323" s="4" t="n">
        <v>2005</v>
      </c>
      <c r="D323" s="4" t="n">
        <v>2011</v>
      </c>
      <c r="E323" s="19" t="inlineStr">
        <is>
          <t>Green Lantern, War of the Worlds</t>
        </is>
      </c>
      <c r="F323" s="4" t="inlineStr">
        <is>
          <t>F0128, F0332</t>
        </is>
      </c>
    </row>
    <row r="324" ht="15.75" customHeight="1" s="108">
      <c r="A324" s="4" t="inlineStr">
        <is>
          <t>Toby Jones</t>
        </is>
      </c>
      <c r="B324" s="4" t="n">
        <v>9</v>
      </c>
      <c r="C324" s="4" t="n">
        <v>2002</v>
      </c>
      <c r="D324" s="4" t="n">
        <v>2018</v>
      </c>
      <c r="E324" s="19" t="inlineStr">
        <is>
          <t>Harry Potter and the Chamber of Secrets, Harry Potter and the Deathly Hallows: Part 1, The Hunger Games, Jurassic World: Fallen Kingdom, Muppets Most Wanted, Sex &amp; Drugs &amp; Rock &amp; Roll, Snow White and the Huntsman, Catching  fire, Catching fire</t>
        </is>
      </c>
      <c r="F324" s="4" t="inlineStr">
        <is>
          <t>F0138, F0143, F0157, F0180, F0232, F0277, F0284, F0382, F0384</t>
        </is>
      </c>
    </row>
    <row r="325" ht="15.75" customHeight="1" s="108">
      <c r="A325" s="4" t="inlineStr">
        <is>
          <t>Tommy Lee Jones</t>
        </is>
      </c>
      <c r="B325" s="4" t="n">
        <v>3</v>
      </c>
      <c r="C325" s="4" t="n">
        <v>1997</v>
      </c>
      <c r="D325" s="4" t="n">
        <v>2016</v>
      </c>
      <c r="E325" s="19" t="inlineStr">
        <is>
          <t>Men in Black, Men in Black 3, Jason bourne</t>
        </is>
      </c>
      <c r="F325" s="4" t="inlineStr">
        <is>
          <t>F0218, F0219, F0358</t>
        </is>
      </c>
    </row>
    <row r="326" ht="15.75" customHeight="1" s="108">
      <c r="A326" s="4" t="inlineStr">
        <is>
          <t>Téa Leoni</t>
        </is>
      </c>
      <c r="B326" s="4" t="n">
        <v>2</v>
      </c>
      <c r="C326" s="4" t="n">
        <v>1995</v>
      </c>
      <c r="D326" s="4" t="n">
        <v>2001</v>
      </c>
      <c r="E326" s="19" t="inlineStr">
        <is>
          <t>Bad Boys, Jurassic Park III</t>
        </is>
      </c>
      <c r="F326" s="4" t="inlineStr">
        <is>
          <t>F0036, F0178</t>
        </is>
      </c>
    </row>
    <row r="327" ht="15.75" customHeight="1" s="108">
      <c r="A327" s="4" t="inlineStr">
        <is>
          <t>Wallace Shawn</t>
        </is>
      </c>
      <c r="B327" s="4" t="n">
        <v>4</v>
      </c>
      <c r="C327" s="4" t="n">
        <v>1995</v>
      </c>
      <c r="D327" s="4" t="n">
        <v>2019</v>
      </c>
      <c r="E327" s="19" t="inlineStr">
        <is>
          <t>Toy Story, Toy Story 3, Toy Story 2, Toy Story 4</t>
        </is>
      </c>
      <c r="F327" s="4" t="inlineStr">
        <is>
          <t>F0312, F0314, F0313, F0315</t>
        </is>
      </c>
    </row>
    <row r="328" ht="15.75" customHeight="1" s="108">
      <c r="A328" s="4" t="inlineStr">
        <is>
          <t>will.i.am</t>
        </is>
      </c>
      <c r="B328" s="4" t="n">
        <v>3</v>
      </c>
      <c r="C328" s="4" t="n">
        <v>2009</v>
      </c>
      <c r="D328" s="4" t="n">
        <v>2014</v>
      </c>
      <c r="E328" s="19" t="inlineStr">
        <is>
          <t>Rio, Rio 2, X-Men Origins: Wolverine</t>
        </is>
      </c>
      <c r="F328" s="4" t="inlineStr">
        <is>
          <t>F0265, F0266, F0343</t>
        </is>
      </c>
    </row>
    <row r="329" ht="15.75" customHeight="1" s="108">
      <c r="A329" s="4" t="inlineStr">
        <is>
          <t>William H. Macy</t>
        </is>
      </c>
      <c r="B329" s="4" t="n">
        <v>2</v>
      </c>
      <c r="C329" s="4" t="n">
        <v>2001</v>
      </c>
      <c r="D329" s="4" t="n">
        <v>2024</v>
      </c>
      <c r="E329" s="19" t="inlineStr">
        <is>
          <t>Jurassic Park III, Kingdom of the Planet of the Apes</t>
        </is>
      </c>
      <c r="F329" s="4" t="inlineStr">
        <is>
          <t>F0178, F0256</t>
        </is>
      </c>
    </row>
    <row r="330" ht="15.75" customHeight="1" s="108">
      <c r="A330" s="4" t="inlineStr">
        <is>
          <t>Zac Efron</t>
        </is>
      </c>
      <c r="B330" s="4" t="n">
        <v>2</v>
      </c>
      <c r="C330" s="4" t="n">
        <v>2016</v>
      </c>
      <c r="D330" s="4" t="n">
        <v>2017</v>
      </c>
      <c r="E330" s="19" t="inlineStr">
        <is>
          <t>Dirty Grandpa, The Greatest Showman</t>
        </is>
      </c>
      <c r="F330" s="4" t="inlineStr">
        <is>
          <t>F0087, F0127</t>
        </is>
      </c>
    </row>
    <row r="331" ht="15.75" customHeight="1" s="108">
      <c r="A331" s="4" t="inlineStr">
        <is>
          <t>Zoë Kravitz</t>
        </is>
      </c>
      <c r="B331" s="4" t="n">
        <v>7</v>
      </c>
      <c r="C331" s="4" t="n">
        <v>2011</v>
      </c>
      <c r="D331" s="4" t="n">
        <v>2022</v>
      </c>
      <c r="E331" s="19" t="inlineStr">
        <is>
          <t>The Batman, Divergent, Fantastic Beasts and Where to Find Them, The Lego Batman Movie, X-Men: First Class, Mad max fury road, Fantastic beasts: the crimes of grindelwald</t>
        </is>
      </c>
      <c r="F331" s="4" t="inlineStr">
        <is>
          <t>F0042, F0089, F0100, F0193, F0340, F0354, F0360</t>
        </is>
      </c>
    </row>
    <row r="332" ht="15.75" customHeight="1" s="108">
      <c r="A332" s="4" t="inlineStr">
        <is>
          <t>50 Cent</t>
        </is>
      </c>
      <c r="B332" s="4" t="n">
        <v>1</v>
      </c>
      <c r="C332" s="4" t="n">
        <v>2015</v>
      </c>
      <c r="D332" s="4" t="n">
        <v>2015</v>
      </c>
      <c r="E332" s="19" t="inlineStr">
        <is>
          <t>Southpaw</t>
        </is>
      </c>
      <c r="F332" s="4" t="inlineStr">
        <is>
          <t>F0286</t>
        </is>
      </c>
    </row>
    <row r="333" ht="15.75" customHeight="1" s="108">
      <c r="A333" s="4" t="inlineStr">
        <is>
          <t>Aaron Paul</t>
        </is>
      </c>
      <c r="B333" s="4" t="n">
        <v>2</v>
      </c>
      <c r="C333" s="4" t="n">
        <v>2006</v>
      </c>
      <c r="D333" s="4" t="n">
        <v>2014</v>
      </c>
      <c r="E333" s="19" t="inlineStr">
        <is>
          <t>Need for Speed, Mission: Impossible III</t>
        </is>
      </c>
      <c r="F333" s="4" t="inlineStr">
        <is>
          <t>F0234, F0223</t>
        </is>
      </c>
    </row>
    <row r="334" ht="15.75" customHeight="1" s="108">
      <c r="A334" s="4" t="inlineStr">
        <is>
          <t>Adam Beach</t>
        </is>
      </c>
      <c r="B334" s="4" t="n">
        <v>1</v>
      </c>
      <c r="C334" s="4" t="n">
        <v>2011</v>
      </c>
      <c r="D334" s="4" t="n">
        <v>2011</v>
      </c>
      <c r="E334" s="19" t="inlineStr">
        <is>
          <t>Cowboys &amp; Aliens</t>
        </is>
      </c>
      <c r="F334" s="4" t="inlineStr">
        <is>
          <t>F0073</t>
        </is>
      </c>
    </row>
    <row r="335" ht="15.75" customHeight="1" s="108">
      <c r="A335" s="4" t="inlineStr">
        <is>
          <t>Adam Deacon</t>
        </is>
      </c>
      <c r="B335" s="4" t="n">
        <v>1</v>
      </c>
      <c r="C335" s="4" t="n">
        <v>2011</v>
      </c>
      <c r="D335" s="4" t="n">
        <v>2011</v>
      </c>
      <c r="E335" s="19" t="inlineStr">
        <is>
          <t>Anuvahood</t>
        </is>
      </c>
      <c r="F335" s="4" t="inlineStr">
        <is>
          <t>F0024</t>
        </is>
      </c>
    </row>
    <row r="336" ht="15.75" customHeight="1" s="108">
      <c r="A336" s="4" t="inlineStr">
        <is>
          <t>Adewale Akinnuoye-Agbaje</t>
        </is>
      </c>
      <c r="B336" s="4" t="n">
        <v>2</v>
      </c>
      <c r="C336" s="4" t="n">
        <v>2002</v>
      </c>
      <c r="D336" s="4" t="n">
        <v>2009</v>
      </c>
      <c r="E336" s="19" t="inlineStr">
        <is>
          <t>G.I. Joe: The Rise of Cobra, The Bourne Identity</t>
        </is>
      </c>
      <c r="F336" s="4" t="inlineStr">
        <is>
          <t>F0118, F0053</t>
        </is>
      </c>
    </row>
    <row r="337" ht="15.75" customHeight="1" s="108">
      <c r="A337" s="4" t="inlineStr">
        <is>
          <t>Adrien Brody</t>
        </is>
      </c>
      <c r="B337" s="4" t="n">
        <v>1</v>
      </c>
      <c r="C337" s="4" t="n">
        <v>2005</v>
      </c>
      <c r="D337" s="4" t="n">
        <v>2005</v>
      </c>
      <c r="E337" s="19" t="inlineStr">
        <is>
          <t>King Kong</t>
        </is>
      </c>
      <c r="F337" s="4" t="inlineStr">
        <is>
          <t>F0188</t>
        </is>
      </c>
    </row>
    <row r="338" ht="15.75" customHeight="1" s="108">
      <c r="A338" s="4" t="inlineStr">
        <is>
          <t>Agata Buzek</t>
        </is>
      </c>
      <c r="B338" s="4" t="n">
        <v>1</v>
      </c>
      <c r="C338" s="4" t="n">
        <v>2013</v>
      </c>
      <c r="D338" s="4" t="n">
        <v>2013</v>
      </c>
      <c r="E338" s="19" t="inlineStr">
        <is>
          <t>Hummingbird</t>
        </is>
      </c>
      <c r="F338" s="4" t="inlineStr">
        <is>
          <t>F0156</t>
        </is>
      </c>
    </row>
    <row r="339" ht="15.75" customHeight="1" s="108">
      <c r="A339" s="4" t="inlineStr">
        <is>
          <t>Ahney Her</t>
        </is>
      </c>
      <c r="B339" s="4" t="n">
        <v>1</v>
      </c>
      <c r="C339" s="4" t="n">
        <v>2008</v>
      </c>
      <c r="D339" s="4" t="n">
        <v>2008</v>
      </c>
      <c r="E339" s="19" t="inlineStr">
        <is>
          <t>Gran Torino</t>
        </is>
      </c>
      <c r="F339" s="4" t="inlineStr">
        <is>
          <t>F0125</t>
        </is>
      </c>
    </row>
    <row r="340" ht="15.75" customHeight="1" s="108">
      <c r="A340" s="4" t="inlineStr">
        <is>
          <t>Aidan Quinn</t>
        </is>
      </c>
      <c r="B340" s="4" t="n">
        <v>2</v>
      </c>
      <c r="C340" s="4" t="n">
        <v>2010</v>
      </c>
      <c r="D340" s="4" t="n">
        <v>2011</v>
      </c>
      <c r="E340" s="19" t="inlineStr">
        <is>
          <t>Unknown, Jonah Hex</t>
        </is>
      </c>
      <c r="F340" s="4" t="inlineStr">
        <is>
          <t>F0329, F0173</t>
        </is>
      </c>
    </row>
    <row r="341" ht="15.75" customHeight="1" s="108">
      <c r="A341" s="4" t="inlineStr">
        <is>
          <t>Aksel Hennie</t>
        </is>
      </c>
      <c r="B341" s="4" t="n">
        <v>2</v>
      </c>
      <c r="C341" s="4" t="n">
        <v>2014</v>
      </c>
      <c r="D341" s="4" t="n">
        <v>2015</v>
      </c>
      <c r="E341" s="19" t="inlineStr">
        <is>
          <t>Hercules, The Martian</t>
        </is>
      </c>
      <c r="F341" s="4" t="inlineStr">
        <is>
          <t>F0147, F0213</t>
        </is>
      </c>
    </row>
    <row r="342" ht="15.75" customHeight="1" s="108">
      <c r="A342" s="4" t="inlineStr">
        <is>
          <t>Alain Prost</t>
        </is>
      </c>
      <c r="B342" s="4" t="n">
        <v>1</v>
      </c>
      <c r="C342" s="4" t="n">
        <v>2010</v>
      </c>
      <c r="D342" s="4" t="n">
        <v>2010</v>
      </c>
      <c r="E342" s="19" t="inlineStr">
        <is>
          <t>Senna</t>
        </is>
      </c>
      <c r="F342" s="4" t="inlineStr">
        <is>
          <t>F0275</t>
        </is>
      </c>
    </row>
    <row r="343" ht="15.75" customHeight="1" s="108">
      <c r="A343" s="4" t="inlineStr">
        <is>
          <t>Alan Arkin</t>
        </is>
      </c>
      <c r="B343" s="4" t="n">
        <v>2</v>
      </c>
      <c r="C343" s="4" t="n">
        <v>2006</v>
      </c>
      <c r="D343" s="4" t="n">
        <v>2012</v>
      </c>
      <c r="E343" s="19" t="inlineStr">
        <is>
          <t>Argo, Firewall</t>
        </is>
      </c>
      <c r="F343" s="4" t="inlineStr">
        <is>
          <t>F0025, F0114</t>
        </is>
      </c>
    </row>
    <row r="344" ht="15.75" customHeight="1" s="108">
      <c r="A344" s="4" t="inlineStr">
        <is>
          <t>Alan Ford</t>
        </is>
      </c>
      <c r="B344" s="4" t="n">
        <v>1</v>
      </c>
      <c r="C344" s="4" t="n">
        <v>2012</v>
      </c>
      <c r="D344" s="4" t="n">
        <v>2012</v>
      </c>
      <c r="E344" s="19" t="inlineStr">
        <is>
          <t>The Sweeney</t>
        </is>
      </c>
      <c r="F344" s="4" t="inlineStr">
        <is>
          <t>F0305</t>
        </is>
      </c>
    </row>
    <row r="345" ht="15.75" customHeight="1" s="108">
      <c r="A345" s="4" t="inlineStr">
        <is>
          <t>Alan Rickman</t>
        </is>
      </c>
      <c r="B345" s="4" t="n">
        <v>9</v>
      </c>
      <c r="C345" s="4" t="n">
        <v>1999</v>
      </c>
      <c r="D345" s="4" t="n">
        <v>2011</v>
      </c>
      <c r="E345" s="19" t="inlineStr">
        <is>
          <t>Harry Potter and the Deathly Hallows: Part 2, 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Dogma</t>
        </is>
      </c>
      <c r="F345" s="4" t="inlineStr">
        <is>
          <t>F0144, F0137, F0138, F0139, F0140, F0141, F0142, F0143, F0351</t>
        </is>
      </c>
    </row>
    <row r="346" ht="15.75" customHeight="1" s="108">
      <c r="A346" s="4" t="inlineStr">
        <is>
          <t>Alan Ritchson</t>
        </is>
      </c>
      <c r="B346" s="4" t="n">
        <v>2</v>
      </c>
      <c r="C346" s="4" t="n">
        <v>2014</v>
      </c>
      <c r="D346" s="4" t="n">
        <v>2023</v>
      </c>
      <c r="E346" s="19" t="inlineStr">
        <is>
          <t>Teenage Mutant Ninja Turtles, Fast X</t>
        </is>
      </c>
      <c r="F346" s="4" t="inlineStr">
        <is>
          <t>F0309, F0110</t>
        </is>
      </c>
    </row>
    <row r="347" ht="15.75" customHeight="1" s="108">
      <c r="A347" s="4" t="inlineStr">
        <is>
          <t>Alan Tudyk</t>
        </is>
      </c>
      <c r="B347" s="4" t="n">
        <v>8</v>
      </c>
      <c r="C347" s="4" t="n">
        <v>2011</v>
      </c>
      <c r="D347" s="4" t="n">
        <v>2025</v>
      </c>
      <c r="E347" s="19" t="inlineStr">
        <is>
          <t>Wreck-It Ralph, Big Hero 6, Deadpool 2, Frozen, Superman, Transformers: Dark of the Moon, Ralph Breaks the Internet, Rogue one</t>
        </is>
      </c>
      <c r="F347" s="4" t="inlineStr">
        <is>
          <t>F0336, F0048, F0077, F0116, F0304, F0318, F0337, F0385</t>
        </is>
      </c>
    </row>
    <row r="348" ht="15.75" customHeight="1" s="108">
      <c r="A348" s="4" t="inlineStr">
        <is>
          <t>Albert Brooks</t>
        </is>
      </c>
      <c r="B348" s="4" t="n">
        <v>4</v>
      </c>
      <c r="C348" s="4" t="n">
        <v>2003</v>
      </c>
      <c r="D348" s="4" t="n">
        <v>2016</v>
      </c>
      <c r="E348" s="19" t="inlineStr">
        <is>
          <t>Finding Dory, The Secret Life of Pets, finding nemo,  finding nemo</t>
        </is>
      </c>
      <c r="F348" s="4" t="inlineStr">
        <is>
          <t>F0113, F0274, F0369</t>
        </is>
      </c>
    </row>
    <row r="349" ht="15.75" customHeight="1" s="108">
      <c r="A349" s="4" t="inlineStr">
        <is>
          <t>Aldis Hodge</t>
        </is>
      </c>
      <c r="B349" s="4" t="n">
        <v>1</v>
      </c>
      <c r="C349" s="4" t="n">
        <v>2015</v>
      </c>
      <c r="D349" s="4" t="n">
        <v>2015</v>
      </c>
      <c r="E349" s="19" t="inlineStr">
        <is>
          <t>Straight Outta Compton</t>
        </is>
      </c>
      <c r="F349" s="4" t="inlineStr">
        <is>
          <t>F0301</t>
        </is>
      </c>
    </row>
    <row r="350" ht="15.75" customHeight="1" s="108">
      <c r="A350" s="4" t="inlineStr">
        <is>
          <t>Alec Guinness</t>
        </is>
      </c>
      <c r="B350" s="4" t="n">
        <v>3</v>
      </c>
      <c r="C350" s="4" t="n">
        <v>1977</v>
      </c>
      <c r="D350" s="4" t="n">
        <v>1983</v>
      </c>
      <c r="E350" s="19" t="inlineStr">
        <is>
          <t>Star Wars: Episode IV – A New Hope, Star Wars: Episode V – The Empire Strikes Back, Star Wars: Episode VI – Return of the Jedi</t>
        </is>
      </c>
      <c r="F350" s="4" t="inlineStr">
        <is>
          <t>F0295, F0296, F0297</t>
        </is>
      </c>
    </row>
    <row r="351" ht="15.75" customHeight="1" s="108">
      <c r="A351" s="4" t="inlineStr">
        <is>
          <t>Alessandro Nivola</t>
        </is>
      </c>
      <c r="B351" s="4" t="n">
        <v>2</v>
      </c>
      <c r="C351" s="4" t="n">
        <v>2001</v>
      </c>
      <c r="D351" s="4" t="n">
        <v>2013</v>
      </c>
      <c r="E351" s="19" t="inlineStr">
        <is>
          <t>Jurassic Park III, American Hustle</t>
        </is>
      </c>
      <c r="F351" s="4" t="inlineStr">
        <is>
          <t>F0178, F0020</t>
        </is>
      </c>
    </row>
    <row r="352" ht="15.75" customHeight="1" s="108">
      <c r="A352" s="4" t="inlineStr">
        <is>
          <t>Alex Esmail</t>
        </is>
      </c>
      <c r="B352" s="4" t="n">
        <v>1</v>
      </c>
      <c r="C352" s="4" t="n">
        <v>2011</v>
      </c>
      <c r="D352" s="4" t="n">
        <v>2011</v>
      </c>
      <c r="E352" s="19" t="inlineStr">
        <is>
          <t>Attack the Block</t>
        </is>
      </c>
      <c r="F352" s="4" t="inlineStr">
        <is>
          <t>F0027</t>
        </is>
      </c>
    </row>
    <row r="353" ht="15.75" customHeight="1" s="108">
      <c r="A353" s="4" t="inlineStr">
        <is>
          <t>Alex Pettyfer</t>
        </is>
      </c>
      <c r="B353" s="4" t="n">
        <v>1</v>
      </c>
      <c r="C353" s="4" t="n">
        <v>2012</v>
      </c>
      <c r="D353" s="4" t="n">
        <v>2012</v>
      </c>
      <c r="E353" s="19" t="inlineStr">
        <is>
          <t>Magic Mike</t>
        </is>
      </c>
      <c r="F353" s="4" t="inlineStr">
        <is>
          <t>F0206</t>
        </is>
      </c>
    </row>
    <row r="354" ht="15.75" customHeight="1" s="108">
      <c r="A354" s="4" t="inlineStr">
        <is>
          <t>Alexa Davalos</t>
        </is>
      </c>
      <c r="B354" s="4" t="n">
        <v>1</v>
      </c>
      <c r="C354" s="4" t="n">
        <v>2010</v>
      </c>
      <c r="D354" s="4" t="n">
        <v>2010</v>
      </c>
      <c r="E354" s="19" t="inlineStr">
        <is>
          <t>Clash of the Titans</t>
        </is>
      </c>
      <c r="F354" s="4" t="inlineStr">
        <is>
          <t>F0066</t>
        </is>
      </c>
    </row>
    <row r="355" ht="15.75" customHeight="1" s="108">
      <c r="A355" s="4" t="inlineStr">
        <is>
          <t>Alexander Siddig</t>
        </is>
      </c>
      <c r="B355" s="4" t="n">
        <v>2</v>
      </c>
      <c r="C355" s="4" t="n">
        <v>2002</v>
      </c>
      <c r="D355" s="4" t="n">
        <v>2010</v>
      </c>
      <c r="E355" s="19" t="inlineStr">
        <is>
          <t>Reign of Fire, Clash of the Titans</t>
        </is>
      </c>
      <c r="F355" s="4" t="inlineStr">
        <is>
          <t>F0263, F0066</t>
        </is>
      </c>
    </row>
    <row r="356" ht="15.75" customHeight="1" s="108">
      <c r="A356" s="4" t="inlineStr">
        <is>
          <t>Alexander Skarsgård</t>
        </is>
      </c>
      <c r="B356" s="4" t="n">
        <v>1</v>
      </c>
      <c r="C356" s="4" t="n">
        <v>2021</v>
      </c>
      <c r="D356" s="4" t="n">
        <v>2021</v>
      </c>
      <c r="E356" s="19" t="inlineStr">
        <is>
          <t>Godzilla vs. Kong</t>
        </is>
      </c>
      <c r="F356" s="4" t="inlineStr">
        <is>
          <t>F0123</t>
        </is>
      </c>
    </row>
    <row r="357" ht="15.75" customHeight="1" s="108">
      <c r="A357" s="4" t="inlineStr">
        <is>
          <t>Alexandra Maria Lara</t>
        </is>
      </c>
      <c r="B357" s="4" t="n">
        <v>1</v>
      </c>
      <c r="C357" s="4" t="n">
        <v>2013</v>
      </c>
      <c r="D357" s="4" t="n">
        <v>2013</v>
      </c>
      <c r="E357" s="19" t="inlineStr">
        <is>
          <t>Rush</t>
        </is>
      </c>
      <c r="F357" s="4" t="inlineStr">
        <is>
          <t>F0270</t>
        </is>
      </c>
    </row>
    <row r="358" ht="15.75" customHeight="1" s="108">
      <c r="A358" s="4" t="inlineStr">
        <is>
          <t>Alfonso Freeman</t>
        </is>
      </c>
      <c r="B358" s="4" t="n">
        <v>2</v>
      </c>
      <c r="C358" s="4" t="n">
        <v>1995</v>
      </c>
      <c r="D358" s="4" t="n">
        <v>2007</v>
      </c>
      <c r="E358" s="19" t="inlineStr">
        <is>
          <t>The Bucket List, Se7en</t>
        </is>
      </c>
      <c r="F358" s="4" t="inlineStr">
        <is>
          <t>F0060, F0276</t>
        </is>
      </c>
    </row>
    <row r="359" ht="15.75" customHeight="1" s="108">
      <c r="A359" s="4" t="inlineStr">
        <is>
          <t>Alfred Molina</t>
        </is>
      </c>
      <c r="B359" s="4" t="n">
        <v>3</v>
      </c>
      <c r="C359" s="4" t="n">
        <v>2004</v>
      </c>
      <c r="D359" s="4" t="n">
        <v>2018</v>
      </c>
      <c r="E359" s="19" t="inlineStr">
        <is>
          <t>Spider-Man 2, Monsters University, Ralph Breaks the Internet</t>
        </is>
      </c>
      <c r="F359" s="4" t="inlineStr">
        <is>
          <t>F0288, F0230, F0337</t>
        </is>
      </c>
    </row>
    <row r="360" ht="15.75" customHeight="1" s="108">
      <c r="A360" s="4" t="inlineStr">
        <is>
          <t>Ali Suliman</t>
        </is>
      </c>
      <c r="B360" s="4" t="n">
        <v>2</v>
      </c>
      <c r="C360" s="4" t="n">
        <v>2008</v>
      </c>
      <c r="D360" s="4" t="n">
        <v>2013</v>
      </c>
      <c r="E360" s="19" t="inlineStr">
        <is>
          <t>Body of Lies, Lone Survivor</t>
        </is>
      </c>
      <c r="F360" s="4" t="inlineStr">
        <is>
          <t>F0051, F0202</t>
        </is>
      </c>
    </row>
    <row r="361" ht="15.75" customHeight="1" s="108">
      <c r="A361" s="4" t="inlineStr">
        <is>
          <t>Alison Sudol</t>
        </is>
      </c>
      <c r="B361" s="4" t="n">
        <v>2</v>
      </c>
      <c r="C361" s="4" t="n">
        <v>2016</v>
      </c>
      <c r="D361" s="4" t="n">
        <v>2018</v>
      </c>
      <c r="E361" s="19" t="inlineStr">
        <is>
          <t>Fantastic Beasts and Where to Find Them, Fantastic beasts: the crimes of grindelwald</t>
        </is>
      </c>
      <c r="F361" s="4" t="inlineStr">
        <is>
          <t>F0100, F0360</t>
        </is>
      </c>
    </row>
    <row r="362" ht="15.75" customHeight="1" s="108">
      <c r="A362" s="4" t="inlineStr">
        <is>
          <t>Allen Leech</t>
        </is>
      </c>
      <c r="B362" s="4" t="n">
        <v>3</v>
      </c>
      <c r="C362" s="4" t="n">
        <v>2012</v>
      </c>
      <c r="D362" s="4" t="n">
        <v>2018</v>
      </c>
      <c r="E362" s="19" t="inlineStr">
        <is>
          <t>The Imitation Game, Bohemian Rhapsody, The Sweeney</t>
        </is>
      </c>
      <c r="F362" s="4" t="inlineStr">
        <is>
          <t>F0162, F0052, F0305</t>
        </is>
      </c>
    </row>
    <row r="363" ht="15.75" customHeight="1" s="108">
      <c r="A363" s="4" t="inlineStr">
        <is>
          <t>Allison Janney</t>
        </is>
      </c>
      <c r="B363" s="4" t="n">
        <v>5</v>
      </c>
      <c r="C363" s="4" t="n">
        <v>2003</v>
      </c>
      <c r="D363" s="4" t="n">
        <v>2016</v>
      </c>
      <c r="E363" s="19" t="inlineStr">
        <is>
          <t>Minions, Finding Dory, Spy, finding nemo,  finding nemo</t>
        </is>
      </c>
      <c r="F363" s="4" t="inlineStr">
        <is>
          <t>F0220, F0113, F0290, F0369</t>
        </is>
      </c>
    </row>
    <row r="364" ht="15.75" customHeight="1" s="108">
      <c r="A364" s="4" t="inlineStr">
        <is>
          <t>Ally Sheedy</t>
        </is>
      </c>
      <c r="B364" s="4" t="n">
        <v>2</v>
      </c>
      <c r="C364" s="4" t="n">
        <v>1985</v>
      </c>
      <c r="D364" s="4" t="n">
        <v>2016</v>
      </c>
      <c r="E364" s="19" t="inlineStr">
        <is>
          <t>The Breakfast Club, X-Men: Apocalypse</t>
        </is>
      </c>
      <c r="F364" s="4" t="inlineStr">
        <is>
          <t>F0057, F0342</t>
        </is>
      </c>
    </row>
    <row r="365" ht="15.75" customHeight="1" s="108">
      <c r="A365" s="4" t="inlineStr">
        <is>
          <t>Amanda Peet</t>
        </is>
      </c>
      <c r="B365" s="4" t="n">
        <v>1</v>
      </c>
      <c r="C365" s="4" t="n">
        <v>2009</v>
      </c>
      <c r="D365" s="4" t="n">
        <v>2009</v>
      </c>
      <c r="E365" s="19" t="inlineStr">
        <is>
          <t>2012</t>
        </is>
      </c>
      <c r="F365" s="4" t="inlineStr">
        <is>
          <t>F0006</t>
        </is>
      </c>
    </row>
    <row r="366" ht="15.75" customHeight="1" s="108">
      <c r="A366" s="4" t="inlineStr">
        <is>
          <t>Amber Stevens West</t>
        </is>
      </c>
      <c r="B366" s="4" t="n">
        <v>2</v>
      </c>
      <c r="C366" s="4" t="n">
        <v>2006</v>
      </c>
      <c r="D366" s="4" t="n">
        <v>2014</v>
      </c>
      <c r="E366" s="19" t="inlineStr">
        <is>
          <t>22 Jump Street, The Fast and the Furious: Tokyo Drift</t>
        </is>
      </c>
      <c r="F366" s="4" t="inlineStr">
        <is>
          <t>F0008, F0103</t>
        </is>
      </c>
    </row>
    <row r="367" ht="15.75" customHeight="1" s="108">
      <c r="A367" s="4" t="inlineStr">
        <is>
          <t>Aml Ameen</t>
        </is>
      </c>
      <c r="B367" s="4" t="n">
        <v>1</v>
      </c>
      <c r="C367" s="4" t="n">
        <v>2014</v>
      </c>
      <c r="D367" s="4" t="n">
        <v>2014</v>
      </c>
      <c r="E367" s="19" t="inlineStr">
        <is>
          <t>The Maze Runner</t>
        </is>
      </c>
      <c r="F367" s="4" t="inlineStr">
        <is>
          <t>F0217</t>
        </is>
      </c>
    </row>
    <row r="368" ht="15.75" customHeight="1" s="108">
      <c r="A368" s="4" t="inlineStr">
        <is>
          <t>Amy Poehler</t>
        </is>
      </c>
      <c r="B368" s="4" t="n">
        <v>1</v>
      </c>
      <c r="C368" s="4" t="n">
        <v>2015</v>
      </c>
      <c r="D368" s="4" t="n">
        <v>2015</v>
      </c>
      <c r="E368" s="19" t="inlineStr">
        <is>
          <t>Inside Out</t>
        </is>
      </c>
      <c r="F368" s="4" t="inlineStr">
        <is>
          <t>F0167</t>
        </is>
      </c>
    </row>
    <row r="369" ht="15.75" customHeight="1" s="108">
      <c r="A369" s="4" t="inlineStr">
        <is>
          <t>Amy Ryan</t>
        </is>
      </c>
      <c r="B369" s="4" t="n">
        <v>2</v>
      </c>
      <c r="C369" s="4" t="n">
        <v>2005</v>
      </c>
      <c r="D369" s="4" t="n">
        <v>2010</v>
      </c>
      <c r="E369" s="19" t="inlineStr">
        <is>
          <t>Green Zone, War of the Worlds</t>
        </is>
      </c>
      <c r="F369" s="4" t="inlineStr">
        <is>
          <t>F0129, F0332</t>
        </is>
      </c>
    </row>
    <row r="370" ht="15.75" customHeight="1" s="108">
      <c r="A370" s="4" t="inlineStr">
        <is>
          <t>Ana de la Reguera</t>
        </is>
      </c>
      <c r="B370" s="4" t="n">
        <v>2</v>
      </c>
      <c r="C370" s="4" t="n">
        <v>2010</v>
      </c>
      <c r="D370" s="4" t="n">
        <v>2011</v>
      </c>
      <c r="E370" s="19" t="inlineStr">
        <is>
          <t>Cop Out, Cowboys &amp; Aliens</t>
        </is>
      </c>
      <c r="F370" s="4" t="inlineStr">
        <is>
          <t>F0069, F0073</t>
        </is>
      </c>
    </row>
    <row r="371" ht="15.75" customHeight="1" s="108">
      <c r="A371" s="4" t="inlineStr">
        <is>
          <t>Andre Ward</t>
        </is>
      </c>
      <c r="B371" s="4" t="n">
        <v>1</v>
      </c>
      <c r="C371" s="4" t="n">
        <v>2015</v>
      </c>
      <c r="D371" s="4" t="n">
        <v>2015</v>
      </c>
      <c r="E371" s="19" t="inlineStr">
        <is>
          <t>Creed</t>
        </is>
      </c>
      <c r="F371" s="4" t="inlineStr">
        <is>
          <t>F0074</t>
        </is>
      </c>
    </row>
    <row r="372" ht="15.75" customHeight="1" s="108">
      <c r="A372" s="4" t="inlineStr">
        <is>
          <t>Andrea Riseborough</t>
        </is>
      </c>
      <c r="B372" s="4" t="n">
        <v>1</v>
      </c>
      <c r="C372" s="4" t="n">
        <v>2013</v>
      </c>
      <c r="D372" s="4" t="n">
        <v>2013</v>
      </c>
      <c r="E372" s="19" t="inlineStr">
        <is>
          <t>Oblivion</t>
        </is>
      </c>
      <c r="F372" s="4" t="inlineStr">
        <is>
          <t>F0239</t>
        </is>
      </c>
    </row>
    <row r="373" ht="15.75" customHeight="1" s="108">
      <c r="A373" s="4" t="inlineStr">
        <is>
          <t>Andy Samberg</t>
        </is>
      </c>
      <c r="B373" s="4" t="n">
        <v>1</v>
      </c>
      <c r="C373" s="4" t="n">
        <v>2013</v>
      </c>
      <c r="D373" s="4" t="n">
        <v>2013</v>
      </c>
      <c r="E373" s="19" t="inlineStr">
        <is>
          <t>Cloudy with a Chance of Meatballs 2</t>
        </is>
      </c>
      <c r="F373" s="4" t="inlineStr">
        <is>
          <t>F0067</t>
        </is>
      </c>
    </row>
    <row r="374" ht="15.75" customHeight="1" s="108">
      <c r="A374" s="4" t="inlineStr">
        <is>
          <t>Angourie Rice</t>
        </is>
      </c>
      <c r="B374" s="4" t="n">
        <v>1</v>
      </c>
      <c r="C374" s="4" t="n">
        <v>2016</v>
      </c>
      <c r="D374" s="4" t="n">
        <v>2016</v>
      </c>
      <c r="E374" s="19" t="inlineStr">
        <is>
          <t>The Nice Guys</t>
        </is>
      </c>
      <c r="F374" s="4" t="inlineStr">
        <is>
          <t>F0235</t>
        </is>
      </c>
    </row>
    <row r="375" ht="15.75" customHeight="1" s="108">
      <c r="A375" s="4" t="inlineStr">
        <is>
          <t>Anil Kapoor</t>
        </is>
      </c>
      <c r="B375" s="4" t="n">
        <v>2</v>
      </c>
      <c r="C375" s="4" t="n">
        <v>2008</v>
      </c>
      <c r="D375" s="4" t="n">
        <v>2011</v>
      </c>
      <c r="E375" s="19" t="inlineStr">
        <is>
          <t>Slumdog Millionaire, Mission: Impossible - Ghost Protocol</t>
        </is>
      </c>
      <c r="F375" s="4" t="inlineStr">
        <is>
          <t>F0281, F0224</t>
        </is>
      </c>
    </row>
    <row r="376" ht="15.75" customHeight="1" s="108">
      <c r="A376" s="4" t="inlineStr">
        <is>
          <t>Anita Briem</t>
        </is>
      </c>
      <c r="B376" s="4" t="n">
        <v>1</v>
      </c>
      <c r="C376" s="4" t="n">
        <v>2008</v>
      </c>
      <c r="D376" s="4" t="n">
        <v>2008</v>
      </c>
      <c r="E376" s="19" t="inlineStr">
        <is>
          <t>Journey to the Center of the Earth</t>
        </is>
      </c>
      <c r="F376" s="4" t="inlineStr">
        <is>
          <t>F0174</t>
        </is>
      </c>
    </row>
    <row r="377" ht="15.75" customHeight="1" s="108">
      <c r="A377" s="4" t="inlineStr">
        <is>
          <t>Anna Camp</t>
        </is>
      </c>
      <c r="B377" s="4" t="n">
        <v>3</v>
      </c>
      <c r="C377" s="4" t="n">
        <v>2012</v>
      </c>
      <c r="D377" s="4" t="n">
        <v>2017</v>
      </c>
      <c r="E377" s="19" t="inlineStr">
        <is>
          <t>Pitch Perfect, Pitch Perfect 2, Pitch Perfect 3</t>
        </is>
      </c>
      <c r="F377" s="4" t="inlineStr">
        <is>
          <t>F0250, F0251, F0252</t>
        </is>
      </c>
    </row>
    <row r="378" ht="15.75" customHeight="1" s="108">
      <c r="A378" s="4" t="inlineStr">
        <is>
          <t>Anna Maxwell Martin</t>
        </is>
      </c>
      <c r="B378" s="4" t="n">
        <v>1</v>
      </c>
      <c r="C378" s="4" t="n">
        <v>2013</v>
      </c>
      <c r="D378" s="4" t="n">
        <v>2013</v>
      </c>
      <c r="E378" s="19" t="inlineStr">
        <is>
          <t>Alan Partridge: Alpha Papa</t>
        </is>
      </c>
      <c r="F378" s="4" t="inlineStr">
        <is>
          <t>F0014</t>
        </is>
      </c>
    </row>
    <row r="379" ht="15.75" customHeight="1" s="108">
      <c r="A379" s="4" t="inlineStr">
        <is>
          <t>Annie Potts</t>
        </is>
      </c>
      <c r="B379" s="4" t="n">
        <v>3</v>
      </c>
      <c r="C379" s="4" t="n">
        <v>1995</v>
      </c>
      <c r="D379" s="4" t="n">
        <v>2019</v>
      </c>
      <c r="E379" s="19" t="inlineStr">
        <is>
          <t>Toy Story 4, Toy Story, Toy Story 2</t>
        </is>
      </c>
      <c r="F379" s="4" t="inlineStr">
        <is>
          <t>F0315, F0312, F0313</t>
        </is>
      </c>
    </row>
    <row r="380" ht="15.75" customHeight="1" s="108">
      <c r="A380" s="4" t="inlineStr">
        <is>
          <t>Ansel Elgort</t>
        </is>
      </c>
      <c r="B380" s="4" t="n">
        <v>2</v>
      </c>
      <c r="C380" s="4" t="n">
        <v>2014</v>
      </c>
      <c r="D380" s="4" t="n">
        <v>2017</v>
      </c>
      <c r="E380" s="19" t="inlineStr">
        <is>
          <t>Baby Driver, Divergent</t>
        </is>
      </c>
      <c r="F380" s="4" t="inlineStr">
        <is>
          <t>F0032, F0089</t>
        </is>
      </c>
    </row>
    <row r="381" ht="15.75" customHeight="1" s="108">
      <c r="A381" s="4" t="inlineStr">
        <is>
          <t>Anthony Carrigan</t>
        </is>
      </c>
      <c r="B381" s="4" t="n">
        <v>1</v>
      </c>
      <c r="C381" s="4" t="n">
        <v>2025</v>
      </c>
      <c r="D381" s="4" t="n">
        <v>2025</v>
      </c>
      <c r="E381" s="19" t="inlineStr">
        <is>
          <t>Superman</t>
        </is>
      </c>
      <c r="F381" s="4" t="inlineStr">
        <is>
          <t>F0304</t>
        </is>
      </c>
    </row>
    <row r="382" ht="15.75" customHeight="1" s="108">
      <c r="A382" s="4" t="inlineStr">
        <is>
          <t>Anthony Edwards</t>
        </is>
      </c>
      <c r="B382" s="4" t="n">
        <v>1</v>
      </c>
      <c r="C382" s="4" t="n">
        <v>2007</v>
      </c>
      <c r="D382" s="4" t="n">
        <v>2007</v>
      </c>
      <c r="E382" s="19" t="inlineStr">
        <is>
          <t>Zodiac</t>
        </is>
      </c>
      <c r="F382" s="4" t="inlineStr">
        <is>
          <t>F0350</t>
        </is>
      </c>
    </row>
    <row r="383" ht="15.75" customHeight="1" s="108">
      <c r="A383" s="4" t="inlineStr">
        <is>
          <t>Anthony Mackie</t>
        </is>
      </c>
      <c r="B383" s="4" t="n">
        <v>3</v>
      </c>
      <c r="C383" s="4" t="n">
        <v>2012</v>
      </c>
      <c r="D383" s="4" t="n">
        <v>2019</v>
      </c>
      <c r="E383" s="19" t="inlineStr">
        <is>
          <t>Man on a Ledge, Avengers: Infinity War, Avengers: Endgame</t>
        </is>
      </c>
      <c r="F383" s="4" t="inlineStr">
        <is>
          <t>F0210, F0030, F0031</t>
        </is>
      </c>
    </row>
    <row r="384" ht="15.75" customHeight="1" s="108">
      <c r="A384" s="4" t="inlineStr">
        <is>
          <t>Anthony Michael Hall</t>
        </is>
      </c>
      <c r="B384" s="4" t="n">
        <v>2</v>
      </c>
      <c r="C384" s="4" t="n">
        <v>1985</v>
      </c>
      <c r="D384" s="4" t="n">
        <v>2008</v>
      </c>
      <c r="E384" s="19" t="inlineStr">
        <is>
          <t>The Breakfast Club, The Dark Knight</t>
        </is>
      </c>
      <c r="F384" s="4" t="inlineStr">
        <is>
          <t>F0057, F0044</t>
        </is>
      </c>
    </row>
    <row r="385" ht="15.75" customHeight="1" s="108">
      <c r="A385" s="4" t="inlineStr">
        <is>
          <t>Anthony Ramos</t>
        </is>
      </c>
      <c r="B385" s="4" t="n">
        <v>2</v>
      </c>
      <c r="C385" s="4" t="n">
        <v>2019</v>
      </c>
      <c r="D385" s="4" t="n">
        <v>2023</v>
      </c>
      <c r="E385" s="19" t="inlineStr">
        <is>
          <t>Transformers: Rise of the Beasts, Godzilla: King of the Monsters</t>
        </is>
      </c>
      <c r="F385" s="4" t="inlineStr">
        <is>
          <t>F0321, F0122</t>
        </is>
      </c>
    </row>
    <row r="386" ht="15.75" customHeight="1" s="108">
      <c r="A386" s="4" t="inlineStr">
        <is>
          <t>Anton Yelchin</t>
        </is>
      </c>
      <c r="B386" s="4" t="n">
        <v>2</v>
      </c>
      <c r="C386" s="4" t="n">
        <v>2009</v>
      </c>
      <c r="D386" s="4" t="n">
        <v>2009</v>
      </c>
      <c r="E386" s="19" t="inlineStr">
        <is>
          <t>Terminator Salvation, Star Trek</t>
        </is>
      </c>
      <c r="F386" s="4" t="inlineStr">
        <is>
          <t>F0310, F0291</t>
        </is>
      </c>
    </row>
    <row r="387" ht="15.75" customHeight="1" s="108">
      <c r="A387" s="4" t="inlineStr">
        <is>
          <t>Anya Taylor-Joy</t>
        </is>
      </c>
      <c r="B387" s="4" t="n">
        <v>3</v>
      </c>
      <c r="C387" s="4" t="n">
        <v>2023</v>
      </c>
      <c r="D387" s="4" t="n">
        <v>2025</v>
      </c>
      <c r="E387" s="19" t="inlineStr">
        <is>
          <t xml:space="preserve">The Super Mario Bros. Movie, furiosa, furiosa </t>
        </is>
      </c>
      <c r="F387" s="4" t="inlineStr">
        <is>
          <t>F0212, F0370</t>
        </is>
      </c>
    </row>
    <row r="388" ht="15.75" customHeight="1" s="108">
      <c r="A388" s="4" t="inlineStr">
        <is>
          <t>Ariana Greenblatt</t>
        </is>
      </c>
      <c r="B388" s="4" t="n">
        <v>1</v>
      </c>
      <c r="C388" s="4" t="n">
        <v>2023</v>
      </c>
      <c r="D388" s="4" t="n">
        <v>2023</v>
      </c>
      <c r="E388" s="19" t="inlineStr">
        <is>
          <t>Barbie</t>
        </is>
      </c>
      <c r="F388" s="4" t="inlineStr">
        <is>
          <t>F0041</t>
        </is>
      </c>
    </row>
    <row r="389" ht="15.75" customHeight="1" s="108">
      <c r="A389" s="4" t="inlineStr">
        <is>
          <t>Arliss Howard</t>
        </is>
      </c>
      <c r="B389" s="4" t="n">
        <v>1</v>
      </c>
      <c r="C389" s="4" t="n">
        <v>1997</v>
      </c>
      <c r="D389" s="4" t="n">
        <v>1997</v>
      </c>
      <c r="E389" s="19" t="inlineStr">
        <is>
          <t>The Lost World: Jurassic Park</t>
        </is>
      </c>
      <c r="F389" s="4" t="inlineStr">
        <is>
          <t>F0177</t>
        </is>
      </c>
    </row>
    <row r="390" ht="15.75" customHeight="1" s="108">
      <c r="A390" s="4" t="inlineStr">
        <is>
          <t>Arnold Schwarzenegger</t>
        </is>
      </c>
      <c r="B390" s="4" t="n">
        <v>2</v>
      </c>
      <c r="C390" s="4" t="n">
        <v>2012</v>
      </c>
      <c r="D390" s="4" t="n">
        <v>2014</v>
      </c>
      <c r="E390" s="19" t="inlineStr">
        <is>
          <t>The Expendables 3, The Expendables 2</t>
        </is>
      </c>
      <c r="F390" s="4" t="inlineStr">
        <is>
          <t>F0097, F0096</t>
        </is>
      </c>
    </row>
    <row r="391" ht="15.75" customHeight="1" s="108">
      <c r="A391" s="4" t="inlineStr">
        <is>
          <t>Aubrey Plaza</t>
        </is>
      </c>
      <c r="B391" s="4" t="n">
        <v>2</v>
      </c>
      <c r="C391" s="4" t="n">
        <v>2013</v>
      </c>
      <c r="D391" s="4" t="n">
        <v>2016</v>
      </c>
      <c r="E391" s="19" t="inlineStr">
        <is>
          <t>Dirty Grandpa, Monsters University</t>
        </is>
      </c>
      <c r="F391" s="4" t="inlineStr">
        <is>
          <t>F0087, F0230</t>
        </is>
      </c>
    </row>
    <row r="392" ht="15.75" customHeight="1" s="108">
      <c r="A392" s="4" t="inlineStr">
        <is>
          <t>August Diehl</t>
        </is>
      </c>
      <c r="B392" s="4" t="n">
        <v>2</v>
      </c>
      <c r="C392" s="4" t="n">
        <v>2009</v>
      </c>
      <c r="D392" s="4" t="n">
        <v>2010</v>
      </c>
      <c r="E392" s="19" t="inlineStr">
        <is>
          <t>Salt, Inglourious Basterds</t>
        </is>
      </c>
      <c r="F392" s="4" t="inlineStr">
        <is>
          <t>F0273, F0166</t>
        </is>
      </c>
    </row>
    <row r="393" ht="15.75" customHeight="1" s="108">
      <c r="A393" s="4" t="inlineStr">
        <is>
          <t>Ayelet Zurer</t>
        </is>
      </c>
      <c r="B393" s="4" t="n">
        <v>2</v>
      </c>
      <c r="C393" s="4" t="n">
        <v>2009</v>
      </c>
      <c r="D393" s="4" t="n">
        <v>2013</v>
      </c>
      <c r="E393" s="19" t="inlineStr">
        <is>
          <t>Angels &amp; Demons, Man of Steel</t>
        </is>
      </c>
      <c r="F393" s="4" t="inlineStr">
        <is>
          <t>F0023, F0211</t>
        </is>
      </c>
    </row>
    <row r="394" ht="15.75" customHeight="1" s="108">
      <c r="A394" s="4" t="inlineStr">
        <is>
          <t>Ayrton Senna</t>
        </is>
      </c>
      <c r="B394" s="4" t="n">
        <v>1</v>
      </c>
      <c r="C394" s="4" t="n">
        <v>2010</v>
      </c>
      <c r="D394" s="4" t="n">
        <v>2010</v>
      </c>
      <c r="E394" s="19" t="inlineStr">
        <is>
          <t>Senna</t>
        </is>
      </c>
      <c r="F394" s="4" t="inlineStr">
        <is>
          <t>F0275</t>
        </is>
      </c>
    </row>
    <row r="395" ht="15.75" customHeight="1" s="108">
      <c r="A395" s="4" t="inlineStr">
        <is>
          <t>Aziz Ansari</t>
        </is>
      </c>
      <c r="B395" s="4" t="n">
        <v>1</v>
      </c>
      <c r="C395" s="4" t="n">
        <v>2011</v>
      </c>
      <c r="D395" s="4" t="n">
        <v>2011</v>
      </c>
      <c r="E395" s="19" t="inlineStr">
        <is>
          <t>30 Minutes or Less</t>
        </is>
      </c>
      <c r="F395" s="4" t="inlineStr">
        <is>
          <t>F0009</t>
        </is>
      </c>
    </row>
    <row r="396" ht="15.75" customHeight="1" s="108">
      <c r="A396" s="4" t="inlineStr">
        <is>
          <t>Bam Margera</t>
        </is>
      </c>
      <c r="B396" s="4" t="n">
        <v>1</v>
      </c>
      <c r="C396" s="4" t="n">
        <v>2010</v>
      </c>
      <c r="D396" s="4" t="n">
        <v>2010</v>
      </c>
      <c r="E396" s="19" t="inlineStr">
        <is>
          <t>Jackass 3D</t>
        </is>
      </c>
      <c r="F396" s="4" t="inlineStr">
        <is>
          <t>F0172</t>
        </is>
      </c>
    </row>
    <row r="397" ht="15.75" customHeight="1" s="108">
      <c r="A397" s="4" t="inlineStr">
        <is>
          <t>Barkhad Abdi</t>
        </is>
      </c>
      <c r="B397" s="4" t="n">
        <v>3</v>
      </c>
      <c r="C397" s="4" t="n">
        <v>2013</v>
      </c>
      <c r="D397" s="4" t="n">
        <v>2018</v>
      </c>
      <c r="E397" s="19" t="inlineStr">
        <is>
          <t>Captain Phillips, Grimsby, blade runner 2049</t>
        </is>
      </c>
      <c r="F397" s="4" t="inlineStr">
        <is>
          <t>F0062, F0130, F0366</t>
        </is>
      </c>
    </row>
    <row r="398" ht="15.75" customHeight="1" s="108">
      <c r="A398" s="4" t="inlineStr">
        <is>
          <t>Barkhad Abdirahman</t>
        </is>
      </c>
      <c r="B398" s="4" t="n">
        <v>1</v>
      </c>
      <c r="C398" s="4" t="n">
        <v>2013</v>
      </c>
      <c r="D398" s="4" t="n">
        <v>2013</v>
      </c>
      <c r="E398" s="19" t="inlineStr">
        <is>
          <t>Captain Phillips</t>
        </is>
      </c>
      <c r="F398" s="4" t="inlineStr">
        <is>
          <t>F0062</t>
        </is>
      </c>
    </row>
    <row r="399" ht="15.75" customHeight="1" s="108">
      <c r="A399" s="4" t="inlineStr">
        <is>
          <t>Barry Pepper</t>
        </is>
      </c>
      <c r="B399" s="4" t="n">
        <v>2</v>
      </c>
      <c r="C399" s="4" t="n">
        <v>1998</v>
      </c>
      <c r="D399" s="4" t="n">
        <v>2010</v>
      </c>
      <c r="E399" s="19" t="inlineStr">
        <is>
          <t>True Grit, Enemy of the State</t>
        </is>
      </c>
      <c r="F399" s="4" t="inlineStr">
        <is>
          <t>F0325, F0094</t>
        </is>
      </c>
    </row>
    <row r="400" ht="15.75" customHeight="1" s="108">
      <c r="A400" s="4" t="inlineStr">
        <is>
          <t>Bee Vang</t>
        </is>
      </c>
      <c r="B400" s="4" t="n">
        <v>1</v>
      </c>
      <c r="C400" s="4" t="n">
        <v>2008</v>
      </c>
      <c r="D400" s="4" t="n">
        <v>2008</v>
      </c>
      <c r="E400" s="19" t="inlineStr">
        <is>
          <t>Gran Torino</t>
        </is>
      </c>
      <c r="F400" s="4" t="inlineStr">
        <is>
          <t>F0125</t>
        </is>
      </c>
    </row>
    <row r="401" ht="15.75" customHeight="1" s="108">
      <c r="A401" s="4" t="inlineStr">
        <is>
          <t>Ben Foster</t>
        </is>
      </c>
      <c r="B401" s="4" t="n">
        <v>2</v>
      </c>
      <c r="C401" s="4" t="n">
        <v>2006</v>
      </c>
      <c r="D401" s="4" t="n">
        <v>2013</v>
      </c>
      <c r="E401" s="19" t="inlineStr">
        <is>
          <t>Lone Survivor, X-Men: The Last Stand</t>
        </is>
      </c>
      <c r="F401" s="4" t="inlineStr">
        <is>
          <t>F0202, F0346</t>
        </is>
      </c>
    </row>
    <row r="402" ht="15.75" customHeight="1" s="108">
      <c r="A402" s="4" t="inlineStr">
        <is>
          <t>Ben Hardy</t>
        </is>
      </c>
      <c r="B402" s="4" t="n">
        <v>2</v>
      </c>
      <c r="C402" s="4" t="n">
        <v>2016</v>
      </c>
      <c r="D402" s="4" t="n">
        <v>2018</v>
      </c>
      <c r="E402" s="19" t="inlineStr">
        <is>
          <t>Bohemian Rhapsody, X-Men: Apocalypse</t>
        </is>
      </c>
      <c r="F402" s="4" t="inlineStr">
        <is>
          <t>F0052, F0342</t>
        </is>
      </c>
    </row>
    <row r="403" ht="15.75" customHeight="1" s="108">
      <c r="A403" s="4" t="inlineStr">
        <is>
          <t>Ben Kingsley</t>
        </is>
      </c>
      <c r="B403" s="4" t="n">
        <v>2</v>
      </c>
      <c r="C403" s="4" t="n">
        <v>2012</v>
      </c>
      <c r="D403" s="4" t="n">
        <v>2013</v>
      </c>
      <c r="E403" s="19" t="inlineStr">
        <is>
          <t>The Dictator, Iron Man 3</t>
        </is>
      </c>
      <c r="F403" s="4" t="inlineStr">
        <is>
          <t>F0085, F0169</t>
        </is>
      </c>
    </row>
    <row r="404" ht="15.75" customHeight="1" s="108">
      <c r="A404" s="4" t="inlineStr">
        <is>
          <t>Ben Mendelsohn</t>
        </is>
      </c>
      <c r="B404" s="4" t="n">
        <v>4</v>
      </c>
      <c r="C404" s="4" t="n">
        <v>2012</v>
      </c>
      <c r="D404" s="4" t="n">
        <v>2018</v>
      </c>
      <c r="E404" s="19" t="inlineStr">
        <is>
          <t>Killing Them Softly, The Dark Knight Rises, Ready player one, Rogue one</t>
        </is>
      </c>
      <c r="F404" s="4" t="inlineStr">
        <is>
          <t>F0187, F0045, F0352, F0385</t>
        </is>
      </c>
    </row>
    <row r="405" ht="15.75" customHeight="1" s="108">
      <c r="A405" s="4" t="inlineStr">
        <is>
          <t>Ben Whishaw</t>
        </is>
      </c>
      <c r="B405" s="4" t="n">
        <v>4</v>
      </c>
      <c r="C405" s="4" t="n">
        <v>2012</v>
      </c>
      <c r="D405" s="4" t="n">
        <v>2021</v>
      </c>
      <c r="E405" s="19" t="inlineStr">
        <is>
          <t>Paddington, Skyfall, Spectre, No Time to Die</t>
        </is>
      </c>
      <c r="F405" s="4" t="inlineStr">
        <is>
          <t>F0244, F0003, F0004, F0005</t>
        </is>
      </c>
    </row>
    <row r="406" ht="15.75" customHeight="1" s="108">
      <c r="A406" s="4" t="inlineStr">
        <is>
          <t>Benedict Wong</t>
        </is>
      </c>
      <c r="B406" s="4" t="n">
        <v>6</v>
      </c>
      <c r="C406" s="4" t="n">
        <v>2012</v>
      </c>
      <c r="D406" s="4" t="n">
        <v>2019</v>
      </c>
      <c r="E406" s="19" t="inlineStr">
        <is>
          <t>Hummingbird, Avengers: Infinity War, Avengers: Endgame, Kick-Ass 2, The Martian, Prometheus</t>
        </is>
      </c>
      <c r="F406" s="4" t="inlineStr">
        <is>
          <t>F0156, F0030, F0031, F0186, F0213, F0259</t>
        </is>
      </c>
    </row>
    <row r="407" ht="15.75" customHeight="1" s="108">
      <c r="A407" s="4" t="inlineStr">
        <is>
          <t>Benjamin Bratt</t>
        </is>
      </c>
      <c r="B407" s="4" t="n">
        <v>2</v>
      </c>
      <c r="C407" s="4" t="n">
        <v>2013</v>
      </c>
      <c r="D407" s="4" t="n">
        <v>2013</v>
      </c>
      <c r="E407" s="19" t="inlineStr">
        <is>
          <t>Despicable Me 2, Cloudy with a Chance of Meatballs 2</t>
        </is>
      </c>
      <c r="F407" s="4" t="inlineStr">
        <is>
          <t>F0083, F0067</t>
        </is>
      </c>
    </row>
    <row r="408" ht="15.75" customHeight="1" s="108">
      <c r="A408" s="4" t="inlineStr">
        <is>
          <t>Beverly Todd</t>
        </is>
      </c>
      <c r="B408" s="4" t="n">
        <v>1</v>
      </c>
      <c r="C408" s="4" t="n">
        <v>2007</v>
      </c>
      <c r="D408" s="4" t="n">
        <v>2007</v>
      </c>
      <c r="E408" s="19" t="inlineStr">
        <is>
          <t>The Bucket List</t>
        </is>
      </c>
      <c r="F408" s="4" t="inlineStr">
        <is>
          <t>F0060</t>
        </is>
      </c>
    </row>
    <row r="409" ht="15.75" customHeight="1" s="108">
      <c r="A409" s="4" t="inlineStr">
        <is>
          <t>Bill Milner</t>
        </is>
      </c>
      <c r="B409" s="4" t="n">
        <v>2</v>
      </c>
      <c r="C409" s="4" t="n">
        <v>2010</v>
      </c>
      <c r="D409" s="4" t="n">
        <v>2011</v>
      </c>
      <c r="E409" s="19" t="inlineStr">
        <is>
          <t>Sex &amp; Drugs &amp; Rock &amp; Roll, X-Men: First Class</t>
        </is>
      </c>
      <c r="F409" s="4" t="inlineStr">
        <is>
          <t>F0277, F0340</t>
        </is>
      </c>
    </row>
    <row r="410" ht="15.75" customHeight="1" s="108">
      <c r="A410" s="4" t="inlineStr">
        <is>
          <t>Billy Crudup</t>
        </is>
      </c>
      <c r="B410" s="4" t="n">
        <v>2</v>
      </c>
      <c r="C410" s="4" t="n">
        <v>2006</v>
      </c>
      <c r="D410" s="4" t="n">
        <v>2017</v>
      </c>
      <c r="E410" s="19" t="inlineStr">
        <is>
          <t>Mission: Impossible III, alien covenant</t>
        </is>
      </c>
      <c r="F410" s="4" t="inlineStr">
        <is>
          <t>F0223, F0361</t>
        </is>
      </c>
    </row>
    <row r="411" ht="15.75" customHeight="1" s="108">
      <c r="A411" s="4" t="inlineStr">
        <is>
          <t>Blake Lively</t>
        </is>
      </c>
      <c r="B411" s="4" t="n">
        <v>1</v>
      </c>
      <c r="C411" s="4" t="n">
        <v>2011</v>
      </c>
      <c r="D411" s="4" t="n">
        <v>2011</v>
      </c>
      <c r="E411" s="19" t="inlineStr">
        <is>
          <t>Green Lantern</t>
        </is>
      </c>
      <c r="F411" s="4" t="inlineStr">
        <is>
          <t>F0128</t>
        </is>
      </c>
    </row>
    <row r="412" ht="15.75" customHeight="1" s="108">
      <c r="A412" s="4" t="inlineStr">
        <is>
          <t>Bob Newhart</t>
        </is>
      </c>
      <c r="B412" s="4" t="n">
        <v>1</v>
      </c>
      <c r="C412" s="4" t="n">
        <v>2003</v>
      </c>
      <c r="D412" s="4" t="n">
        <v>2003</v>
      </c>
      <c r="E412" s="19" t="inlineStr">
        <is>
          <t>Elf</t>
        </is>
      </c>
      <c r="F412" s="4" t="inlineStr">
        <is>
          <t>F0092</t>
        </is>
      </c>
    </row>
    <row r="413" ht="15.75" customHeight="1" s="108">
      <c r="A413" s="4" t="inlineStr">
        <is>
          <t>Bob Peck</t>
        </is>
      </c>
      <c r="B413" s="4" t="n">
        <v>1</v>
      </c>
      <c r="C413" s="4" t="n">
        <v>1993</v>
      </c>
      <c r="D413" s="4" t="n">
        <v>1993</v>
      </c>
      <c r="E413" s="19" t="inlineStr">
        <is>
          <t>Jurassic Park</t>
        </is>
      </c>
      <c r="F413" s="4" t="inlineStr">
        <is>
          <t>F0176</t>
        </is>
      </c>
    </row>
    <row r="414" ht="15.75" customHeight="1" s="108">
      <c r="A414" s="4" t="inlineStr">
        <is>
          <t>Bob Peterson</t>
        </is>
      </c>
      <c r="B414" s="4" t="n">
        <v>9</v>
      </c>
      <c r="C414" s="4" t="n">
        <v>2001</v>
      </c>
      <c r="D414" s="4" t="n">
        <v>2016</v>
      </c>
      <c r="E414" s="19" t="inlineStr">
        <is>
          <t>Up, Finding Dory, Monsters, Inc., Monsters University, Monsters, Inc., Monsters, Inc., finding nemo, Monsters, Inc.,  finding nemo</t>
        </is>
      </c>
      <c r="F414" s="4" t="inlineStr">
        <is>
          <t>F0330, F0113, F0229, F0230, F0369</t>
        </is>
      </c>
    </row>
    <row r="415" ht="15.75" customHeight="1" s="108">
      <c r="A415" s="4" t="inlineStr">
        <is>
          <t>Bobby Cannavale</t>
        </is>
      </c>
      <c r="B415" s="4" t="n">
        <v>3</v>
      </c>
      <c r="C415" s="4" t="n">
        <v>2014</v>
      </c>
      <c r="D415" s="4" t="n">
        <v>2017</v>
      </c>
      <c r="E415" s="19" t="inlineStr">
        <is>
          <t>Chef, Spy, Jumanji welcome to the jungle</t>
        </is>
      </c>
      <c r="F415" s="4" t="inlineStr">
        <is>
          <t>F0065, F0290, F0359</t>
        </is>
      </c>
    </row>
    <row r="416" ht="15.75" customHeight="1" s="108">
      <c r="A416" s="4" t="inlineStr">
        <is>
          <t>Boyd Holbrook</t>
        </is>
      </c>
      <c r="B416" s="4" t="n">
        <v>1</v>
      </c>
      <c r="C416" s="4" t="n">
        <v>2017</v>
      </c>
      <c r="D416" s="4" t="n">
        <v>2017</v>
      </c>
      <c r="E416" s="19" t="inlineStr">
        <is>
          <t>Logan</t>
        </is>
      </c>
      <c r="F416" s="4" t="inlineStr">
        <is>
          <t>F0201</t>
        </is>
      </c>
    </row>
    <row r="417" ht="15.75" customHeight="1" s="108">
      <c r="A417" s="4" t="inlineStr">
        <is>
          <t>Brandon T. Jackson</t>
        </is>
      </c>
      <c r="B417" s="4" t="n">
        <v>2</v>
      </c>
      <c r="C417" s="4" t="n">
        <v>2008</v>
      </c>
      <c r="D417" s="4" t="n">
        <v>2009</v>
      </c>
      <c r="E417" s="19" t="inlineStr">
        <is>
          <t>Tropic Thunder, Fast &amp; Furious</t>
        </is>
      </c>
      <c r="F417" s="4" t="inlineStr">
        <is>
          <t>F0324, F0104</t>
        </is>
      </c>
    </row>
    <row r="418" ht="15.75" customHeight="1" s="108">
      <c r="A418" s="4" t="inlineStr">
        <is>
          <t>Brendan Fraser</t>
        </is>
      </c>
      <c r="B418" s="4" t="n">
        <v>1</v>
      </c>
      <c r="C418" s="4" t="n">
        <v>2008</v>
      </c>
      <c r="D418" s="4" t="n">
        <v>2008</v>
      </c>
      <c r="E418" s="19" t="inlineStr">
        <is>
          <t>Journey to the Center of the Earth</t>
        </is>
      </c>
      <c r="F418" s="4" t="inlineStr">
        <is>
          <t>F0174</t>
        </is>
      </c>
    </row>
    <row r="419" ht="15.75" customHeight="1" s="108">
      <c r="A419" s="4" t="inlineStr">
        <is>
          <t>Brian Glover</t>
        </is>
      </c>
      <c r="B419" s="4" t="n">
        <v>1</v>
      </c>
      <c r="C419" s="4" t="n">
        <v>1992</v>
      </c>
      <c r="D419" s="4" t="n">
        <v>1992</v>
      </c>
      <c r="E419" s="19" t="inlineStr">
        <is>
          <t>Alien³</t>
        </is>
      </c>
      <c r="F419" s="4" t="inlineStr">
        <is>
          <t>F0017</t>
        </is>
      </c>
    </row>
    <row r="420" ht="15.75" customHeight="1" s="108">
      <c r="A420" s="4" t="inlineStr">
        <is>
          <t>Brian Haley</t>
        </is>
      </c>
      <c r="B420" s="4" t="n">
        <v>2</v>
      </c>
      <c r="C420" s="4" t="n">
        <v>2001</v>
      </c>
      <c r="D420" s="4" t="n">
        <v>2008</v>
      </c>
      <c r="E420" s="19" t="inlineStr">
        <is>
          <t>Gran Torino, Pearl Harbor</t>
        </is>
      </c>
      <c r="F420" s="4" t="inlineStr">
        <is>
          <t>F0125, F0246</t>
        </is>
      </c>
    </row>
    <row r="421" ht="15.75" customHeight="1" s="108">
      <c r="A421" s="4" t="inlineStr">
        <is>
          <t>Brian Howe</t>
        </is>
      </c>
      <c r="B421" s="4" t="n">
        <v>3</v>
      </c>
      <c r="C421" s="4" t="n">
        <v>2002</v>
      </c>
      <c r="D421" s="4" t="n">
        <v>2008</v>
      </c>
      <c r="E421" s="19" t="inlineStr">
        <is>
          <t>The Pursuit of Happyness, Catch Me If You Can, Gran Torino</t>
        </is>
      </c>
      <c r="F421" s="4" t="inlineStr">
        <is>
          <t>F0260, F0064, F0125</t>
        </is>
      </c>
    </row>
    <row r="422" ht="15.75" customHeight="1" s="108">
      <c r="A422" s="4" t="inlineStr">
        <is>
          <t>Brian Tee</t>
        </is>
      </c>
      <c r="B422" s="4" t="n">
        <v>3</v>
      </c>
      <c r="C422" s="4" t="n">
        <v>2006</v>
      </c>
      <c r="D422" s="4" t="n">
        <v>2015</v>
      </c>
      <c r="E422" s="19" t="inlineStr">
        <is>
          <t>The Fast and the Furious: Tokyo Drift, Jurassic World, The Wolverine</t>
        </is>
      </c>
      <c r="F422" s="4" t="inlineStr">
        <is>
          <t>F0103, F0179, F0347</t>
        </is>
      </c>
    </row>
    <row r="423" ht="15.75" customHeight="1" s="108">
      <c r="A423" s="4" t="inlineStr">
        <is>
          <t>Brian Tyree Henry</t>
        </is>
      </c>
      <c r="B423" s="4" t="n">
        <v>2</v>
      </c>
      <c r="C423" s="4" t="n">
        <v>2021</v>
      </c>
      <c r="D423" s="4" t="n">
        <v>2024</v>
      </c>
      <c r="E423" s="19" t="inlineStr">
        <is>
          <t>Godzilla vs. Kong, godzilla x kong  the new empire</t>
        </is>
      </c>
      <c r="F423" s="4" t="inlineStr">
        <is>
          <t>F0123, F0372</t>
        </is>
      </c>
    </row>
    <row r="424" ht="15.75" customHeight="1" s="108">
      <c r="A424" s="4" t="inlineStr">
        <is>
          <t>Bridget Moynahan</t>
        </is>
      </c>
      <c r="B424" s="4" t="n">
        <v>4</v>
      </c>
      <c r="C424" s="4" t="n">
        <v>2011</v>
      </c>
      <c r="D424" s="4" t="n">
        <v>2017</v>
      </c>
      <c r="E424" s="19" t="inlineStr">
        <is>
          <t xml:space="preserve">Battle: Los Angeles, john wick, john wick chapter 2, john wick chapter 2 </t>
        </is>
      </c>
      <c r="F424" s="4" t="inlineStr">
        <is>
          <t>F0046, F0374, F0375</t>
        </is>
      </c>
    </row>
    <row r="425" ht="15.75" customHeight="1" s="108">
      <c r="A425" s="4" t="inlineStr">
        <is>
          <t>Britt Robertson</t>
        </is>
      </c>
      <c r="B425" s="4" t="n">
        <v>1</v>
      </c>
      <c r="C425" s="4" t="n">
        <v>2013</v>
      </c>
      <c r="D425" s="4" t="n">
        <v>2013</v>
      </c>
      <c r="E425" s="19" t="inlineStr">
        <is>
          <t>Delivery Man</t>
        </is>
      </c>
      <c r="F425" s="4" t="inlineStr">
        <is>
          <t>F0080</t>
        </is>
      </c>
    </row>
    <row r="426" ht="15.75" customHeight="1" s="108">
      <c r="A426" s="4" t="inlineStr">
        <is>
          <t>Brooklyn Decker</t>
        </is>
      </c>
      <c r="B426" s="4" t="n">
        <v>1</v>
      </c>
      <c r="C426" s="4" t="n">
        <v>2011</v>
      </c>
      <c r="D426" s="4" t="n">
        <v>2011</v>
      </c>
      <c r="E426" s="19" t="inlineStr">
        <is>
          <t>Just Go with It</t>
        </is>
      </c>
      <c r="F426" s="4" t="inlineStr">
        <is>
          <t>F0183</t>
        </is>
      </c>
    </row>
    <row r="427" ht="15.75" customHeight="1" s="108">
      <c r="A427" s="4" t="inlineStr">
        <is>
          <t>Bruce Greenwood</t>
        </is>
      </c>
      <c r="B427" s="4" t="n">
        <v>3</v>
      </c>
      <c r="C427" s="4" t="n">
        <v>2007</v>
      </c>
      <c r="D427" s="4" t="n">
        <v>2011</v>
      </c>
      <c r="E427" s="19" t="inlineStr">
        <is>
          <t>Star Trek, National Treasure: Book of Secrets, Super 8</t>
        </is>
      </c>
      <c r="F427" s="4" t="inlineStr">
        <is>
          <t>F0291, F0233, F0302</t>
        </is>
      </c>
    </row>
    <row r="428" ht="15.75" customHeight="1" s="108">
      <c r="A428" s="4" t="inlineStr">
        <is>
          <t>Bruce McGill</t>
        </is>
      </c>
      <c r="B428" s="4" t="n">
        <v>1</v>
      </c>
      <c r="C428" s="4" t="n">
        <v>2009</v>
      </c>
      <c r="D428" s="4" t="n">
        <v>2009</v>
      </c>
      <c r="E428" s="19" t="inlineStr">
        <is>
          <t>Law Abiding Citizen</t>
        </is>
      </c>
      <c r="F428" s="4" t="inlineStr">
        <is>
          <t>F0191</t>
        </is>
      </c>
    </row>
    <row r="429" ht="15.75" customHeight="1" s="108">
      <c r="A429" s="4" t="inlineStr">
        <is>
          <t>Bruno Ganz</t>
        </is>
      </c>
      <c r="B429" s="4" t="n">
        <v>1</v>
      </c>
      <c r="C429" s="4" t="n">
        <v>2011</v>
      </c>
      <c r="D429" s="4" t="n">
        <v>2011</v>
      </c>
      <c r="E429" s="19" t="inlineStr">
        <is>
          <t>Unknown</t>
        </is>
      </c>
      <c r="F429" s="4" t="inlineStr">
        <is>
          <t>F0329</t>
        </is>
      </c>
    </row>
    <row r="430" ht="15.75" customHeight="1" s="108">
      <c r="A430" s="4" t="inlineStr">
        <is>
          <t>Calah Lane</t>
        </is>
      </c>
      <c r="B430" s="4" t="n">
        <v>1</v>
      </c>
      <c r="C430" s="4" t="n">
        <v>2023</v>
      </c>
      <c r="D430" s="4" t="n">
        <v>2023</v>
      </c>
      <c r="E430" s="19" t="inlineStr">
        <is>
          <t>Wonka</t>
        </is>
      </c>
      <c r="F430" s="4" t="inlineStr">
        <is>
          <t>F0338</t>
        </is>
      </c>
    </row>
    <row r="431" ht="15.75" customHeight="1" s="108">
      <c r="A431" s="4" t="inlineStr">
        <is>
          <t>Cameron Diaz</t>
        </is>
      </c>
      <c r="B431" s="4" t="n">
        <v>1</v>
      </c>
      <c r="C431" s="4" t="n">
        <v>2011</v>
      </c>
      <c r="D431" s="4" t="n">
        <v>2011</v>
      </c>
      <c r="E431" s="19" t="inlineStr">
        <is>
          <t>Bad Teacher</t>
        </is>
      </c>
      <c r="F431" s="4" t="inlineStr">
        <is>
          <t>F0039</t>
        </is>
      </c>
    </row>
    <row r="432" ht="15.75" customHeight="1" s="108">
      <c r="A432" s="4" t="inlineStr">
        <is>
          <t>Carey Mulligan</t>
        </is>
      </c>
      <c r="B432" s="4" t="n">
        <v>1</v>
      </c>
      <c r="C432" s="4" t="n">
        <v>2013</v>
      </c>
      <c r="D432" s="4" t="n">
        <v>2013</v>
      </c>
      <c r="E432" s="19" t="inlineStr">
        <is>
          <t>The Great Gatsby</t>
        </is>
      </c>
      <c r="F432" s="4" t="inlineStr">
        <is>
          <t>F0126</t>
        </is>
      </c>
    </row>
    <row r="433" ht="15.75" customHeight="1" s="108">
      <c r="A433" s="4" t="inlineStr">
        <is>
          <t>Carly Schroeder</t>
        </is>
      </c>
      <c r="B433" s="4" t="n">
        <v>1</v>
      </c>
      <c r="C433" s="4" t="n">
        <v>2006</v>
      </c>
      <c r="D433" s="4" t="n">
        <v>2006</v>
      </c>
      <c r="E433" s="19" t="inlineStr">
        <is>
          <t>Firewall</t>
        </is>
      </c>
      <c r="F433" s="4" t="inlineStr">
        <is>
          <t>F0114</t>
        </is>
      </c>
    </row>
    <row r="434" ht="15.75" customHeight="1" s="108">
      <c r="A434" s="4" t="inlineStr">
        <is>
          <t>Carrie Henn</t>
        </is>
      </c>
      <c r="B434" s="4" t="n">
        <v>1</v>
      </c>
      <c r="C434" s="4" t="n">
        <v>1986</v>
      </c>
      <c r="D434" s="4" t="n">
        <v>1986</v>
      </c>
      <c r="E434" s="19" t="inlineStr">
        <is>
          <t>Aliens</t>
        </is>
      </c>
      <c r="F434" s="4" t="inlineStr">
        <is>
          <t>F0016</t>
        </is>
      </c>
    </row>
    <row r="435" ht="15.75" customHeight="1" s="108">
      <c r="A435" s="4" t="inlineStr">
        <is>
          <t>Casey Affleck</t>
        </is>
      </c>
      <c r="B435" s="4" t="n">
        <v>3</v>
      </c>
      <c r="C435" s="4" t="n">
        <v>1997</v>
      </c>
      <c r="D435" s="4" t="n">
        <v>2023</v>
      </c>
      <c r="E435" s="19" t="inlineStr">
        <is>
          <t>Interstellar, Good Will Hunting, Oppenheimer</t>
        </is>
      </c>
      <c r="F435" s="4" t="inlineStr">
        <is>
          <t>F0168, F0124, F0242</t>
        </is>
      </c>
    </row>
    <row r="436" ht="15.75" customHeight="1" s="108">
      <c r="A436" s="4" t="inlineStr">
        <is>
          <t>Casey Kasem</t>
        </is>
      </c>
      <c r="B436" s="4" t="n">
        <v>1</v>
      </c>
      <c r="C436" s="4" t="n">
        <v>1986</v>
      </c>
      <c r="D436" s="4" t="n">
        <v>1986</v>
      </c>
      <c r="E436" s="19" t="inlineStr">
        <is>
          <t>The Transformers: The Movie</t>
        </is>
      </c>
      <c r="F436" s="4" t="inlineStr">
        <is>
          <t>F0322</t>
        </is>
      </c>
    </row>
    <row r="437" ht="15.75" customHeight="1" s="108">
      <c r="A437" s="4" t="inlineStr">
        <is>
          <t>Catherine Keener</t>
        </is>
      </c>
      <c r="B437" s="4" t="n">
        <v>2</v>
      </c>
      <c r="C437" s="4" t="n">
        <v>2013</v>
      </c>
      <c r="D437" s="4" t="n">
        <v>2013</v>
      </c>
      <c r="E437" s="19" t="inlineStr">
        <is>
          <t>The Croods, Captain Phillips</t>
        </is>
      </c>
      <c r="F437" s="4" t="inlineStr">
        <is>
          <t>F0075, F0062</t>
        </is>
      </c>
    </row>
    <row r="438" ht="15.75" customHeight="1" s="108">
      <c r="A438" s="4" t="inlineStr">
        <is>
          <t>Charles Dance</t>
        </is>
      </c>
      <c r="B438" s="4" t="n">
        <v>5</v>
      </c>
      <c r="C438" s="4" t="n">
        <v>1992</v>
      </c>
      <c r="D438" s="4" t="n">
        <v>2019</v>
      </c>
      <c r="E438" s="19" t="inlineStr">
        <is>
          <t>Alien³, Godzilla: King of the Monsters, The Imitation Game, Underworld: Awakening, Underworld awakening</t>
        </is>
      </c>
      <c r="F438" s="4" t="inlineStr">
        <is>
          <t>F0017, F0122, F0162, F0328, F0390</t>
        </is>
      </c>
    </row>
    <row r="439" ht="15.75" customHeight="1" s="108">
      <c r="A439" s="4" t="inlineStr">
        <is>
          <t>Charles S. Dutton</t>
        </is>
      </c>
      <c r="B439" s="4" t="n">
        <v>1</v>
      </c>
      <c r="C439" s="4" t="n">
        <v>1992</v>
      </c>
      <c r="D439" s="4" t="n">
        <v>1992</v>
      </c>
      <c r="E439" s="19" t="inlineStr">
        <is>
          <t>Alien³</t>
        </is>
      </c>
      <c r="F439" s="4" t="inlineStr">
        <is>
          <t>F0017</t>
        </is>
      </c>
    </row>
    <row r="440" ht="15.75" customHeight="1" s="108">
      <c r="A440" s="4" t="inlineStr">
        <is>
          <t>Charlie Cox</t>
        </is>
      </c>
      <c r="B440" s="4" t="n">
        <v>1</v>
      </c>
      <c r="C440" s="4" t="n">
        <v>2014</v>
      </c>
      <c r="D440" s="4" t="n">
        <v>2014</v>
      </c>
      <c r="E440" s="19" t="inlineStr">
        <is>
          <t>The Theory of Everything</t>
        </is>
      </c>
      <c r="F440" s="4" t="inlineStr">
        <is>
          <t>F0311</t>
        </is>
      </c>
    </row>
    <row r="441" ht="15.75" customHeight="1" s="108">
      <c r="A441" s="4" t="inlineStr">
        <is>
          <t>Charlie Day</t>
        </is>
      </c>
      <c r="B441" s="4" t="n">
        <v>5</v>
      </c>
      <c r="C441" s="4" t="n">
        <v>2013</v>
      </c>
      <c r="D441" s="4" t="n">
        <v>2023</v>
      </c>
      <c r="E441" s="19" t="inlineStr">
        <is>
          <t>The Super Mario Bros. Movie, The Lego Movie, The Lego Movie 2: The Second Part, Monsters University, Pacific Rim</t>
        </is>
      </c>
      <c r="F441" s="4" t="inlineStr">
        <is>
          <t>F0212, F0195, F0196, F0230, F0243</t>
        </is>
      </c>
    </row>
    <row r="442" ht="15.75" customHeight="1" s="108">
      <c r="A442" s="4" t="inlineStr">
        <is>
          <t>Charlie Schlatter</t>
        </is>
      </c>
      <c r="B442" s="4" t="n">
        <v>1</v>
      </c>
      <c r="C442" s="4" t="n">
        <v>2013</v>
      </c>
      <c r="D442" s="4" t="n">
        <v>2013</v>
      </c>
      <c r="E442" s="19" t="inlineStr">
        <is>
          <t>Lego Batman: The Movie - DC Super Heroes Unite</t>
        </is>
      </c>
      <c r="F442" s="4" t="inlineStr">
        <is>
          <t>F0194</t>
        </is>
      </c>
    </row>
    <row r="443" ht="15.75" customHeight="1" s="108">
      <c r="A443" s="4" t="inlineStr">
        <is>
          <t>Chloë Sevigny</t>
        </is>
      </c>
      <c r="B443" s="4" t="n">
        <v>1</v>
      </c>
      <c r="C443" s="4" t="n">
        <v>2007</v>
      </c>
      <c r="D443" s="4" t="n">
        <v>2007</v>
      </c>
      <c r="E443" s="19" t="inlineStr">
        <is>
          <t>Zodiac</t>
        </is>
      </c>
      <c r="F443" s="4" t="inlineStr">
        <is>
          <t>F0350</t>
        </is>
      </c>
    </row>
    <row r="444" ht="15.75" customHeight="1" s="108">
      <c r="A444" s="4" t="inlineStr">
        <is>
          <t>Chris Cooper</t>
        </is>
      </c>
      <c r="B444" s="4" t="n">
        <v>1</v>
      </c>
      <c r="C444" s="4" t="n">
        <v>2002</v>
      </c>
      <c r="D444" s="4" t="n">
        <v>2002</v>
      </c>
      <c r="E444" s="19" t="inlineStr">
        <is>
          <t>The Bourne Identity</t>
        </is>
      </c>
      <c r="F444" s="4" t="inlineStr">
        <is>
          <t>F0053</t>
        </is>
      </c>
    </row>
    <row r="445" ht="15.75" customHeight="1" s="108">
      <c r="A445" s="4" t="inlineStr">
        <is>
          <t>Chris O'Dowd</t>
        </is>
      </c>
      <c r="B445" s="4" t="n">
        <v>1</v>
      </c>
      <c r="C445" s="4" t="n">
        <v>2011</v>
      </c>
      <c r="D445" s="4" t="n">
        <v>2011</v>
      </c>
      <c r="E445" s="19" t="inlineStr">
        <is>
          <t>Bridesmaids</t>
        </is>
      </c>
      <c r="F445" s="4" t="inlineStr">
        <is>
          <t>F0058</t>
        </is>
      </c>
    </row>
    <row r="446" ht="15.75" customHeight="1" s="108">
      <c r="A446" s="4" t="inlineStr">
        <is>
          <t>Chris Pine</t>
        </is>
      </c>
      <c r="B446" s="4" t="n">
        <v>1</v>
      </c>
      <c r="C446" s="4" t="n">
        <v>2009</v>
      </c>
      <c r="D446" s="4" t="n">
        <v>2009</v>
      </c>
      <c r="E446" s="19" t="inlineStr">
        <is>
          <t>Star Trek</t>
        </is>
      </c>
      <c r="F446" s="4" t="inlineStr">
        <is>
          <t>F0291</t>
        </is>
      </c>
    </row>
    <row r="447" ht="15.75" customHeight="1" s="108">
      <c r="A447" s="4" t="inlineStr">
        <is>
          <t>Chris Pontius</t>
        </is>
      </c>
      <c r="B447" s="4" t="n">
        <v>1</v>
      </c>
      <c r="C447" s="4" t="n">
        <v>2010</v>
      </c>
      <c r="D447" s="4" t="n">
        <v>2010</v>
      </c>
      <c r="E447" s="19" t="inlineStr">
        <is>
          <t>Jackass 3D</t>
        </is>
      </c>
      <c r="F447" s="4" t="inlineStr">
        <is>
          <t>F0172</t>
        </is>
      </c>
    </row>
    <row r="448" ht="15.75" customHeight="1" s="108">
      <c r="A448" s="4" t="inlineStr">
        <is>
          <t>Chris Tucker</t>
        </is>
      </c>
      <c r="B448" s="4" t="n">
        <v>1</v>
      </c>
      <c r="C448" s="4" t="n">
        <v>2007</v>
      </c>
      <c r="D448" s="4" t="n">
        <v>2007</v>
      </c>
      <c r="E448" s="19" t="inlineStr">
        <is>
          <t>Rush Hour 3</t>
        </is>
      </c>
      <c r="F448" s="4" t="inlineStr">
        <is>
          <t>F0271</t>
        </is>
      </c>
    </row>
    <row r="449" ht="15.75" customHeight="1" s="108">
      <c r="A449" s="4" t="inlineStr">
        <is>
          <t>Christian Rub</t>
        </is>
      </c>
      <c r="B449" s="4" t="n">
        <v>1</v>
      </c>
      <c r="C449" s="4" t="n">
        <v>1940</v>
      </c>
      <c r="D449" s="4" t="n">
        <v>1940</v>
      </c>
      <c r="E449" s="19" t="inlineStr">
        <is>
          <t>Pinocchio</t>
        </is>
      </c>
      <c r="F449" s="4" t="inlineStr">
        <is>
          <t>F0248</t>
        </is>
      </c>
    </row>
    <row r="450" ht="15.75" customHeight="1" s="108">
      <c r="A450" s="4" t="inlineStr">
        <is>
          <t>Christopher Carley</t>
        </is>
      </c>
      <c r="B450" s="4" t="n">
        <v>1</v>
      </c>
      <c r="C450" s="4" t="n">
        <v>2008</v>
      </c>
      <c r="D450" s="4" t="n">
        <v>2008</v>
      </c>
      <c r="E450" s="19" t="inlineStr">
        <is>
          <t>Gran Torino</t>
        </is>
      </c>
      <c r="F450" s="4" t="inlineStr">
        <is>
          <t>F0125</t>
        </is>
      </c>
    </row>
    <row r="451" ht="15.75" customHeight="1" s="108">
      <c r="A451" s="4" t="inlineStr">
        <is>
          <t>Christopher Corey Smith</t>
        </is>
      </c>
      <c r="B451" s="4" t="n">
        <v>1</v>
      </c>
      <c r="C451" s="4" t="n">
        <v>2013</v>
      </c>
      <c r="D451" s="4" t="n">
        <v>2013</v>
      </c>
      <c r="E451" s="19" t="inlineStr">
        <is>
          <t>Lego Batman: The Movie - DC Super Heroes Unite</t>
        </is>
      </c>
      <c r="F451" s="4" t="inlineStr">
        <is>
          <t>F0194</t>
        </is>
      </c>
    </row>
    <row r="452" ht="15.75" customHeight="1" s="108">
      <c r="A452" s="4" t="inlineStr">
        <is>
          <t>Christopher Eccleston</t>
        </is>
      </c>
      <c r="B452" s="4" t="n">
        <v>1</v>
      </c>
      <c r="C452" s="4" t="n">
        <v>2009</v>
      </c>
      <c r="D452" s="4" t="n">
        <v>2009</v>
      </c>
      <c r="E452" s="19" t="inlineStr">
        <is>
          <t>G.I. Joe: The Rise of Cobra</t>
        </is>
      </c>
      <c r="F452" s="4" t="inlineStr">
        <is>
          <t>F0118</t>
        </is>
      </c>
    </row>
    <row r="453" ht="15.75" customHeight="1" s="108">
      <c r="A453" s="4" t="inlineStr">
        <is>
          <t>Christopher Lee</t>
        </is>
      </c>
      <c r="B453" s="4" t="n">
        <v>6</v>
      </c>
      <c r="C453" s="4" t="n">
        <v>2001</v>
      </c>
      <c r="D453" s="4" t="n">
        <v>2014</v>
      </c>
      <c r="E453" s="19" t="inlineStr">
        <is>
          <t>Star Wars: Episode II – Attack of the Clones, The Hobbit: An Unexpected Journey, The Hobbit: The Battle of the Five Armies, The Lord of the Rings: The Fellowship of the Ring, The Lord of the Rings: The Two Towers, Star Wars: Episode III – Revenge of the Sith</t>
        </is>
      </c>
      <c r="F453" s="4" t="inlineStr">
        <is>
          <t>F0293, F0150, F0152, F0203, F0204, F0294</t>
        </is>
      </c>
    </row>
    <row r="454" ht="15.75" customHeight="1" s="108">
      <c r="A454" s="4" t="inlineStr">
        <is>
          <t>Christopher Walken</t>
        </is>
      </c>
      <c r="B454" s="4" t="n">
        <v>2</v>
      </c>
      <c r="C454" s="4" t="n">
        <v>2002</v>
      </c>
      <c r="D454" s="4" t="n">
        <v>2024</v>
      </c>
      <c r="E454" s="19" t="inlineStr">
        <is>
          <t>Catch Me If You Can, dune  part two</t>
        </is>
      </c>
      <c r="F454" s="4" t="inlineStr">
        <is>
          <t>F0064, F0368</t>
        </is>
      </c>
    </row>
    <row r="455" ht="15.75" customHeight="1" s="108">
      <c r="A455" s="4" t="inlineStr">
        <is>
          <t>Chuck Norris</t>
        </is>
      </c>
      <c r="B455" s="4" t="n">
        <v>1</v>
      </c>
      <c r="C455" s="4" t="n">
        <v>2012</v>
      </c>
      <c r="D455" s="4" t="n">
        <v>2012</v>
      </c>
      <c r="E455" s="19" t="inlineStr">
        <is>
          <t>The Expendables 2</t>
        </is>
      </c>
      <c r="F455" s="4" t="inlineStr">
        <is>
          <t>F0096</t>
        </is>
      </c>
    </row>
    <row r="456" ht="15.75" customHeight="1" s="108">
      <c r="A456" s="4" t="inlineStr">
        <is>
          <t>Cillian Murphy</t>
        </is>
      </c>
      <c r="B456" s="4" t="n">
        <v>4</v>
      </c>
      <c r="C456" s="4" t="n">
        <v>2005</v>
      </c>
      <c r="D456" s="4" t="n">
        <v>2023</v>
      </c>
      <c r="E456" s="19" t="inlineStr">
        <is>
          <t>Oppenheimer, Batman Begins, The Dark Knight, Inception</t>
        </is>
      </c>
      <c r="F456" s="4" t="inlineStr">
        <is>
          <t>F0242, F0043, F0044, F0165</t>
        </is>
      </c>
    </row>
    <row r="457" ht="15.75" customHeight="1" s="108">
      <c r="A457" s="4" t="inlineStr">
        <is>
          <t>Clancy Brown</t>
        </is>
      </c>
      <c r="B457" s="4" t="n">
        <v>4</v>
      </c>
      <c r="C457" s="4" t="n">
        <v>2011</v>
      </c>
      <c r="D457" s="4" t="n">
        <v>2023</v>
      </c>
      <c r="E457" s="19" t="inlineStr">
        <is>
          <t>Lego Batman: The Movie - DC Super Heroes Unite, Cowboys &amp; Aliens, Green Lantern, John wick chapter 4</t>
        </is>
      </c>
      <c r="F457" s="4" t="inlineStr">
        <is>
          <t>F0194, F0073, F0128, F0392</t>
        </is>
      </c>
    </row>
    <row r="458" ht="15.75" customHeight="1" s="108">
      <c r="A458" s="4" t="inlineStr">
        <is>
          <t>Claudia Wells</t>
        </is>
      </c>
      <c r="B458" s="4" t="n">
        <v>1</v>
      </c>
      <c r="C458" s="4" t="n">
        <v>1985</v>
      </c>
      <c r="D458" s="4" t="n">
        <v>1985</v>
      </c>
      <c r="E458" s="19" t="inlineStr">
        <is>
          <t>Back to the Future</t>
        </is>
      </c>
      <c r="F458" s="4" t="inlineStr">
        <is>
          <t>F0033</t>
        </is>
      </c>
    </row>
    <row r="459" ht="15.75" customHeight="1" s="108">
      <c r="A459" s="4" t="inlineStr">
        <is>
          <t>Cliff Curtis</t>
        </is>
      </c>
      <c r="B459" s="4" t="n">
        <v>3</v>
      </c>
      <c r="C459" s="4" t="n">
        <v>2007</v>
      </c>
      <c r="D459" s="4" t="n">
        <v>2022</v>
      </c>
      <c r="E459" s="19" t="inlineStr">
        <is>
          <t>Live Free or Die Hard, Fast &amp; Furious Presents: Hobbs &amp; Shaw, avatar way of water</t>
        </is>
      </c>
      <c r="F459" s="4" t="inlineStr">
        <is>
          <t>F0086, F0111, F0364</t>
        </is>
      </c>
    </row>
    <row r="460" ht="15.75" customHeight="1" s="108">
      <c r="A460" s="4" t="inlineStr">
        <is>
          <t>Cliff Edwards</t>
        </is>
      </c>
      <c r="B460" s="4" t="n">
        <v>1</v>
      </c>
      <c r="C460" s="4" t="n">
        <v>1940</v>
      </c>
      <c r="D460" s="4" t="n">
        <v>1940</v>
      </c>
      <c r="E460" s="19" t="inlineStr">
        <is>
          <t>Pinocchio</t>
        </is>
      </c>
      <c r="F460" s="4" t="inlineStr">
        <is>
          <t>F0248</t>
        </is>
      </c>
    </row>
    <row r="461" ht="15.75" customHeight="1" s="108">
      <c r="A461" s="4" t="inlineStr">
        <is>
          <t>Cliff Robertson</t>
        </is>
      </c>
      <c r="B461" s="4" t="n">
        <v>3</v>
      </c>
      <c r="C461" s="4" t="n">
        <v>2002</v>
      </c>
      <c r="D461" s="4" t="n">
        <v>2007</v>
      </c>
      <c r="E461" s="19" t="inlineStr">
        <is>
          <t>Spider-Man, Spider-Man 2, Spider-Man 3</t>
        </is>
      </c>
      <c r="F461" s="4" t="inlineStr">
        <is>
          <t>F0287, F0288, F0289</t>
        </is>
      </c>
    </row>
    <row r="462" ht="15.75" customHeight="1" s="108">
      <c r="A462" s="4" t="inlineStr">
        <is>
          <t>Clifford Bañagale</t>
        </is>
      </c>
      <c r="B462" s="4" t="n">
        <v>1</v>
      </c>
      <c r="C462" s="4" t="n">
        <v>2009</v>
      </c>
      <c r="D462" s="4" t="n">
        <v>2009</v>
      </c>
      <c r="E462" s="19" t="inlineStr">
        <is>
          <t>Brüno</t>
        </is>
      </c>
      <c r="F462" s="4" t="inlineStr">
        <is>
          <t>F0059</t>
        </is>
      </c>
    </row>
    <row r="463" ht="15.75" customHeight="1" s="108">
      <c r="A463" s="4" t="inlineStr">
        <is>
          <t>Clifton Collins Jr.</t>
        </is>
      </c>
      <c r="B463" s="4" t="n">
        <v>2</v>
      </c>
      <c r="C463" s="4" t="n">
        <v>2009</v>
      </c>
      <c r="D463" s="4" t="n">
        <v>2013</v>
      </c>
      <c r="E463" s="19" t="inlineStr">
        <is>
          <t>Pacific Rim, Star Trek</t>
        </is>
      </c>
      <c r="F463" s="4" t="inlineStr">
        <is>
          <t>F0243, F0291</t>
        </is>
      </c>
    </row>
    <row r="464" ht="15.75" customHeight="1" s="108">
      <c r="A464" s="4" t="inlineStr">
        <is>
          <t>Clint Eastwood</t>
        </is>
      </c>
      <c r="B464" s="4" t="n">
        <v>1</v>
      </c>
      <c r="C464" s="4" t="n">
        <v>2008</v>
      </c>
      <c r="D464" s="4" t="n">
        <v>2008</v>
      </c>
      <c r="E464" s="19" t="inlineStr">
        <is>
          <t>Gran Torino</t>
        </is>
      </c>
      <c r="F464" s="4" t="inlineStr">
        <is>
          <t>F0125</t>
        </is>
      </c>
    </row>
    <row r="465" ht="15.75" customHeight="1" s="108">
      <c r="A465" s="4" t="inlineStr">
        <is>
          <t>Clive Owen</t>
        </is>
      </c>
      <c r="B465" s="4" t="n">
        <v>1</v>
      </c>
      <c r="C465" s="4" t="n">
        <v>2002</v>
      </c>
      <c r="D465" s="4" t="n">
        <v>2002</v>
      </c>
      <c r="E465" s="19" t="inlineStr">
        <is>
          <t>The Bourne Identity</t>
        </is>
      </c>
      <c r="F465" s="4" t="inlineStr">
        <is>
          <t>F0053</t>
        </is>
      </c>
    </row>
    <row r="466" ht="15.75" customHeight="1" s="108">
      <c r="A466" s="4" t="inlineStr">
        <is>
          <t>Cloris Leachman</t>
        </is>
      </c>
      <c r="B466" s="4" t="n">
        <v>1</v>
      </c>
      <c r="C466" s="4" t="n">
        <v>2013</v>
      </c>
      <c r="D466" s="4" t="n">
        <v>2013</v>
      </c>
      <c r="E466" s="19" t="inlineStr">
        <is>
          <t>The Croods</t>
        </is>
      </c>
      <c r="F466" s="4" t="inlineStr">
        <is>
          <t>F0075</t>
        </is>
      </c>
    </row>
    <row r="467" ht="15.75" customHeight="1" s="108">
      <c r="A467" s="4" t="inlineStr">
        <is>
          <t>Cobie Smulders</t>
        </is>
      </c>
      <c r="B467" s="4" t="n">
        <v>4</v>
      </c>
      <c r="C467" s="4" t="n">
        <v>2012</v>
      </c>
      <c r="D467" s="4" t="n">
        <v>2019</v>
      </c>
      <c r="E467" s="19" t="inlineStr">
        <is>
          <t>Delivery Man, The Avengers, The Lego Movie, The Lego Movie 2: The Second Part</t>
        </is>
      </c>
      <c r="F467" s="4" t="inlineStr">
        <is>
          <t>F0080, F0029, F0195, F0196</t>
        </is>
      </c>
    </row>
    <row r="468" ht="15.75" customHeight="1" s="108">
      <c r="A468" s="4" t="inlineStr">
        <is>
          <t>Cody H. Carolin</t>
        </is>
      </c>
      <c r="B468" s="4" t="n">
        <v>1</v>
      </c>
      <c r="C468" s="4" t="n">
        <v>2012</v>
      </c>
      <c r="D468" s="4" t="n">
        <v>2012</v>
      </c>
      <c r="E468" s="19" t="inlineStr">
        <is>
          <t>Magic Mike</t>
        </is>
      </c>
      <c r="F468" s="4" t="inlineStr">
        <is>
          <t>F0206</t>
        </is>
      </c>
    </row>
    <row r="469" ht="15.75" customHeight="1" s="108">
      <c r="A469" s="4" t="inlineStr">
        <is>
          <t>Cole Hauser</t>
        </is>
      </c>
      <c r="B469" s="4" t="n">
        <v>4</v>
      </c>
      <c r="C469" s="4" t="n">
        <v>1997</v>
      </c>
      <c r="D469" s="4" t="n">
        <v>2013</v>
      </c>
      <c r="E469" s="19" t="inlineStr">
        <is>
          <t>2 Fast 2 Furious, Fast &amp; Furious, Good Will Hunting, Olympus Has Fallen</t>
        </is>
      </c>
      <c r="F469" s="4" t="inlineStr">
        <is>
          <t>F0102, F0104, F0124, F0240</t>
        </is>
      </c>
    </row>
    <row r="470" ht="15.75" customHeight="1" s="108">
      <c r="A470" s="4" t="inlineStr">
        <is>
          <t>Colin Hanks</t>
        </is>
      </c>
      <c r="B470" s="4" t="n">
        <v>1</v>
      </c>
      <c r="C470" s="4" t="n">
        <v>2005</v>
      </c>
      <c r="D470" s="4" t="n">
        <v>2005</v>
      </c>
      <c r="E470" s="19" t="inlineStr">
        <is>
          <t>King Kong</t>
        </is>
      </c>
      <c r="F470" s="4" t="inlineStr">
        <is>
          <t>F0188</t>
        </is>
      </c>
    </row>
    <row r="471" ht="15.75" customHeight="1" s="108">
      <c r="A471" s="4" t="inlineStr">
        <is>
          <t>Corey Hawkins</t>
        </is>
      </c>
      <c r="B471" s="4" t="n">
        <v>2</v>
      </c>
      <c r="C471" s="4" t="n">
        <v>2015</v>
      </c>
      <c r="D471" s="4" t="n">
        <v>2017</v>
      </c>
      <c r="E471" s="19" t="inlineStr">
        <is>
          <t>Straight Outta Compton, Kong: Skull Island</t>
        </is>
      </c>
      <c r="F471" s="4" t="inlineStr">
        <is>
          <t>F0301, F0190</t>
        </is>
      </c>
    </row>
    <row r="472" ht="15.75" customHeight="1" s="108">
      <c r="A472" s="4" t="inlineStr">
        <is>
          <t>Crispin Glover</t>
        </is>
      </c>
      <c r="B472" s="4" t="n">
        <v>1</v>
      </c>
      <c r="C472" s="4" t="n">
        <v>1985</v>
      </c>
      <c r="D472" s="4" t="n">
        <v>1985</v>
      </c>
      <c r="E472" s="19" t="inlineStr">
        <is>
          <t>Back to the Future</t>
        </is>
      </c>
      <c r="F472" s="4" t="inlineStr">
        <is>
          <t>F0033</t>
        </is>
      </c>
    </row>
    <row r="473" ht="15.75" customHeight="1" s="108">
      <c r="A473" s="4" t="inlineStr">
        <is>
          <t>Cuba Gooding Jr.</t>
        </is>
      </c>
      <c r="B473" s="4" t="n">
        <v>1</v>
      </c>
      <c r="C473" s="4" t="n">
        <v>2001</v>
      </c>
      <c r="D473" s="4" t="n">
        <v>2001</v>
      </c>
      <c r="E473" s="19" t="inlineStr">
        <is>
          <t>Pearl Harbor</t>
        </is>
      </c>
      <c r="F473" s="4" t="inlineStr">
        <is>
          <t>F0246</t>
        </is>
      </c>
    </row>
    <row r="474" ht="15.75" customHeight="1" s="108">
      <c r="A474" s="4" t="inlineStr">
        <is>
          <t>Cynthia Addai-Robinson</t>
        </is>
      </c>
      <c r="B474" s="4" t="n">
        <v>1</v>
      </c>
      <c r="C474" s="4" t="n">
        <v>2016</v>
      </c>
      <c r="D474" s="4" t="n">
        <v>2016</v>
      </c>
      <c r="E474" s="19" t="inlineStr">
        <is>
          <t>The Accountant</t>
        </is>
      </c>
      <c r="F474" s="4" t="inlineStr">
        <is>
          <t>F0013</t>
        </is>
      </c>
    </row>
    <row r="475" ht="15.75" customHeight="1" s="108">
      <c r="A475" s="4" t="inlineStr">
        <is>
          <t>D.B. Sweeney</t>
        </is>
      </c>
      <c r="B475" s="4" t="n">
        <v>1</v>
      </c>
      <c r="C475" s="4" t="n">
        <v>2012</v>
      </c>
      <c r="D475" s="4" t="n">
        <v>2012</v>
      </c>
      <c r="E475" s="19" t="inlineStr">
        <is>
          <t>Taken 2</t>
        </is>
      </c>
      <c r="F475" s="4" t="inlineStr">
        <is>
          <t>F0307</t>
        </is>
      </c>
    </row>
    <row r="476" ht="15.75" customHeight="1" s="108">
      <c r="A476" s="4" t="inlineStr">
        <is>
          <t>D.J. Cotrona</t>
        </is>
      </c>
      <c r="B476" s="4" t="n">
        <v>1</v>
      </c>
      <c r="C476" s="4" t="n">
        <v>2010</v>
      </c>
      <c r="D476" s="4" t="n">
        <v>2010</v>
      </c>
      <c r="E476" s="19" t="inlineStr">
        <is>
          <t>Dear John</t>
        </is>
      </c>
      <c r="F476" s="4" t="inlineStr">
        <is>
          <t>F0079</t>
        </is>
      </c>
    </row>
    <row r="477" ht="15.75" customHeight="1" s="108">
      <c r="A477" s="4" t="inlineStr">
        <is>
          <t>Dakota Fanning</t>
        </is>
      </c>
      <c r="B477" s="4" t="n">
        <v>2</v>
      </c>
      <c r="C477" s="4" t="n">
        <v>2005</v>
      </c>
      <c r="D477" s="4" t="n">
        <v>2019</v>
      </c>
      <c r="E477" s="19" t="inlineStr">
        <is>
          <t>War of the Worlds, Once Upon a Time… in Hollywood</t>
        </is>
      </c>
      <c r="F477" s="4" t="inlineStr">
        <is>
          <t>F0332, F0241</t>
        </is>
      </c>
    </row>
    <row r="478" ht="15.75" customHeight="1" s="108">
      <c r="A478" s="4" t="inlineStr">
        <is>
          <t>Damian Lewis</t>
        </is>
      </c>
      <c r="B478" s="4" t="n">
        <v>2</v>
      </c>
      <c r="C478" s="4" t="n">
        <v>2012</v>
      </c>
      <c r="D478" s="4" t="n">
        <v>2019</v>
      </c>
      <c r="E478" s="19" t="inlineStr">
        <is>
          <t>The Sweeney, Once Upon a Time… in Hollywood</t>
        </is>
      </c>
      <c r="F478" s="4" t="inlineStr">
        <is>
          <t>F0305, F0241</t>
        </is>
      </c>
    </row>
    <row r="479" ht="15.75" customHeight="1" s="108">
      <c r="A479" s="4" t="inlineStr">
        <is>
          <t>Damson Idris</t>
        </is>
      </c>
      <c r="B479" s="4" t="n">
        <v>1</v>
      </c>
      <c r="C479" s="4" t="n">
        <v>2025</v>
      </c>
      <c r="D479" s="4" t="n">
        <v>2025</v>
      </c>
      <c r="E479" s="19" t="inlineStr">
        <is>
          <t>F1</t>
        </is>
      </c>
      <c r="F479" s="4" t="inlineStr">
        <is>
          <t>F0098</t>
        </is>
      </c>
    </row>
    <row r="480" ht="15.75" customHeight="1" s="108">
      <c r="A480" s="4" t="inlineStr">
        <is>
          <t>Dan Aykroyd</t>
        </is>
      </c>
      <c r="B480" s="4" t="n">
        <v>3</v>
      </c>
      <c r="C480" s="4" t="n">
        <v>2001</v>
      </c>
      <c r="D480" s="4" t="n">
        <v>2010</v>
      </c>
      <c r="E480" s="19" t="inlineStr">
        <is>
          <t>Yogi Bear, Pearl Harbor, Evolution</t>
        </is>
      </c>
      <c r="F480" s="4" t="inlineStr">
        <is>
          <t>F0348, F0246, F0381</t>
        </is>
      </c>
    </row>
    <row r="481" ht="15.75" customHeight="1" s="108">
      <c r="A481" s="4" t="inlineStr">
        <is>
          <t>Dan Fogler</t>
        </is>
      </c>
      <c r="B481" s="4" t="n">
        <v>2</v>
      </c>
      <c r="C481" s="4" t="n">
        <v>2016</v>
      </c>
      <c r="D481" s="4" t="n">
        <v>2018</v>
      </c>
      <c r="E481" s="19" t="inlineStr">
        <is>
          <t>Fantastic Beasts and Where to Find Them, Fantastic beasts: the crimes of grindelwald</t>
        </is>
      </c>
      <c r="F481" s="4" t="inlineStr">
        <is>
          <t>F0100, F0360</t>
        </is>
      </c>
    </row>
    <row r="482" ht="15.75" customHeight="1" s="108">
      <c r="A482" s="4" t="inlineStr">
        <is>
          <t>Dan O'Herlihy</t>
        </is>
      </c>
      <c r="B482" s="4" t="n">
        <v>1</v>
      </c>
      <c r="C482" s="4" t="n"/>
      <c r="D482" s="4" t="n"/>
      <c r="E482" s="19" t="inlineStr">
        <is>
          <t>RoboCop</t>
        </is>
      </c>
      <c r="F482" s="4" t="inlineStr">
        <is>
          <t>F0268</t>
        </is>
      </c>
    </row>
    <row r="483" ht="15.75" customHeight="1" s="108">
      <c r="A483" s="4" t="inlineStr">
        <is>
          <t>Daniel Brühl</t>
        </is>
      </c>
      <c r="B483" s="4" t="n">
        <v>3</v>
      </c>
      <c r="C483" s="4" t="n">
        <v>2007</v>
      </c>
      <c r="D483" s="4" t="n">
        <v>2013</v>
      </c>
      <c r="E483" s="19" t="inlineStr">
        <is>
          <t>Rush, The Bourne Ultimatum, Inglourious Basterds</t>
        </is>
      </c>
      <c r="F483" s="4" t="inlineStr">
        <is>
          <t>F0270, F0055, F0166</t>
        </is>
      </c>
    </row>
    <row r="484" ht="15.75" customHeight="1" s="108">
      <c r="A484" s="4" t="inlineStr">
        <is>
          <t>Daniel Henney</t>
        </is>
      </c>
      <c r="B484" s="4" t="n">
        <v>2</v>
      </c>
      <c r="C484" s="4" t="n">
        <v>2009</v>
      </c>
      <c r="D484" s="4" t="n">
        <v>2014</v>
      </c>
      <c r="E484" s="19" t="inlineStr">
        <is>
          <t>Big Hero 6, X-Men Origins: Wolverine</t>
        </is>
      </c>
      <c r="F484" s="4" t="inlineStr">
        <is>
          <t>F0048, F0343</t>
        </is>
      </c>
    </row>
    <row r="485" ht="15.75" customHeight="1" s="108">
      <c r="A485" s="4" t="inlineStr">
        <is>
          <t>Daniel Mays</t>
        </is>
      </c>
      <c r="B485" s="4" t="n">
        <v>2</v>
      </c>
      <c r="C485" s="4" t="n">
        <v>2008</v>
      </c>
      <c r="D485" s="4" t="n">
        <v>2019</v>
      </c>
      <c r="E485" s="19" t="inlineStr">
        <is>
          <t>The Bank Job, 1917</t>
        </is>
      </c>
      <c r="F485" s="4" t="inlineStr">
        <is>
          <t>F0040, F0356</t>
        </is>
      </c>
    </row>
    <row r="486" ht="15.75" customHeight="1" s="108">
      <c r="A486" s="4" t="inlineStr">
        <is>
          <t>Daniel Olbrychski</t>
        </is>
      </c>
      <c r="B486" s="4" t="n">
        <v>1</v>
      </c>
      <c r="C486" s="4" t="n">
        <v>2010</v>
      </c>
      <c r="D486" s="4" t="n">
        <v>2010</v>
      </c>
      <c r="E486" s="19" t="inlineStr">
        <is>
          <t>Salt</t>
        </is>
      </c>
      <c r="F486" s="4" t="inlineStr">
        <is>
          <t>F0273</t>
        </is>
      </c>
    </row>
    <row r="487" ht="15.75" customHeight="1" s="108">
      <c r="A487" s="4" t="inlineStr">
        <is>
          <t>Daniella Pineda</t>
        </is>
      </c>
      <c r="B487" s="4" t="n">
        <v>2</v>
      </c>
      <c r="C487" s="4" t="n">
        <v>2018</v>
      </c>
      <c r="D487" s="4" t="n">
        <v>2022</v>
      </c>
      <c r="E487" s="19" t="inlineStr">
        <is>
          <t>Jurassic World: Fallen Kingdom, Jurassic World Dominion</t>
        </is>
      </c>
      <c r="F487" s="4" t="inlineStr">
        <is>
          <t>F0180, F0181</t>
        </is>
      </c>
    </row>
    <row r="488" ht="15.75" customHeight="1" s="108">
      <c r="A488" s="4" t="inlineStr">
        <is>
          <t>Danny Huston</t>
        </is>
      </c>
      <c r="B488" s="4" t="n">
        <v>2</v>
      </c>
      <c r="C488" s="4" t="n">
        <v>2009</v>
      </c>
      <c r="D488" s="4" t="n">
        <v>2010</v>
      </c>
      <c r="E488" s="19" t="inlineStr">
        <is>
          <t>X-Men Origins: Wolverine, Robin Hood</t>
        </is>
      </c>
      <c r="F488" s="4" t="inlineStr">
        <is>
          <t>F0343, F0267</t>
        </is>
      </c>
    </row>
    <row r="489" ht="15.75" customHeight="1" s="108">
      <c r="A489" s="4" t="inlineStr">
        <is>
          <t>Dave Bautista</t>
        </is>
      </c>
      <c r="B489" s="4" t="n">
        <v>8</v>
      </c>
      <c r="C489" s="4" t="n">
        <v>2013</v>
      </c>
      <c r="D489" s="4" t="n">
        <v>2024</v>
      </c>
      <c r="E489" s="19" t="inlineStr">
        <is>
          <t xml:space="preserve">Riddick, Spectre, Avengers: Infinity War, Avengers: Endgame, blade runner 2049, dune, dune  part two, dune </t>
        </is>
      </c>
      <c r="F489" s="4" t="inlineStr">
        <is>
          <t>F0264, F0004, F0030, F0031, F0366, F0367, F0368</t>
        </is>
      </c>
    </row>
    <row r="490" ht="15.75" customHeight="1" s="108">
      <c r="A490" s="4" t="inlineStr">
        <is>
          <t>Dave Foley</t>
        </is>
      </c>
      <c r="B490" s="4" t="n">
        <v>2</v>
      </c>
      <c r="C490" s="4" t="n">
        <v>1998</v>
      </c>
      <c r="D490" s="4" t="n">
        <v>2013</v>
      </c>
      <c r="E490" s="19" t="inlineStr">
        <is>
          <t>A Bug's Life, Monsters University</t>
        </is>
      </c>
      <c r="F490" s="4" t="inlineStr">
        <is>
          <t>F0012, F0230</t>
        </is>
      </c>
    </row>
    <row r="491" ht="15.75" customHeight="1" s="108">
      <c r="A491" s="4" t="inlineStr">
        <is>
          <t>Dave Franco</t>
        </is>
      </c>
      <c r="B491" s="4" t="n">
        <v>3</v>
      </c>
      <c r="C491" s="4" t="n">
        <v>2007</v>
      </c>
      <c r="D491" s="4" t="n">
        <v>2014</v>
      </c>
      <c r="E491" s="19" t="inlineStr">
        <is>
          <t>21 Jump Street, The Lego Movie, Superbad</t>
        </is>
      </c>
      <c r="F491" s="4" t="inlineStr">
        <is>
          <t>F0007, F0195, F0303</t>
        </is>
      </c>
    </row>
    <row r="492" ht="15.75" customHeight="1" s="108">
      <c r="A492" s="4" t="inlineStr">
        <is>
          <t>David Corenswet</t>
        </is>
      </c>
      <c r="B492" s="4" t="n">
        <v>1</v>
      </c>
      <c r="C492" s="4" t="n">
        <v>2025</v>
      </c>
      <c r="D492" s="4" t="n">
        <v>2025</v>
      </c>
      <c r="E492" s="19" t="inlineStr">
        <is>
          <t>Superman</t>
        </is>
      </c>
      <c r="F492" s="4" t="inlineStr">
        <is>
          <t>F0304</t>
        </is>
      </c>
    </row>
    <row r="493" ht="15.75" customHeight="1" s="108">
      <c r="A493" s="4" t="inlineStr">
        <is>
          <t>David Harris</t>
        </is>
      </c>
      <c r="B493" s="4" t="n">
        <v>1</v>
      </c>
      <c r="C493" s="4" t="n">
        <v>1979</v>
      </c>
      <c r="D493" s="4" t="n">
        <v>1979</v>
      </c>
      <c r="E493" s="19" t="inlineStr">
        <is>
          <t>The Warriors</t>
        </is>
      </c>
      <c r="F493" s="4" t="inlineStr">
        <is>
          <t>F0334</t>
        </is>
      </c>
    </row>
    <row r="494" ht="15.75" customHeight="1" s="108">
      <c r="A494" s="4" t="inlineStr">
        <is>
          <t>David Huddleston</t>
        </is>
      </c>
      <c r="B494" s="4" t="n">
        <v>1</v>
      </c>
      <c r="C494" s="4" t="n">
        <v>1998</v>
      </c>
      <c r="D494" s="4" t="n">
        <v>1998</v>
      </c>
      <c r="E494" s="19" t="inlineStr">
        <is>
          <t>The Big Lebowski</t>
        </is>
      </c>
      <c r="F494" s="4" t="inlineStr">
        <is>
          <t>F0049</t>
        </is>
      </c>
    </row>
    <row r="495" ht="15.75" customHeight="1" s="108">
      <c r="A495" s="4" t="inlineStr">
        <is>
          <t>David Koechner</t>
        </is>
      </c>
      <c r="B495" s="4" t="n">
        <v>3</v>
      </c>
      <c r="C495" s="4" t="n">
        <v>2004</v>
      </c>
      <c r="D495" s="4" t="n">
        <v>2013</v>
      </c>
      <c r="E495" s="19" t="inlineStr">
        <is>
          <t>Anchorman: The Legend of Ron Burgundy, Paul, Anchorman 2</t>
        </is>
      </c>
      <c r="F495" s="4" t="inlineStr">
        <is>
          <t>F0022, F0245, F0357</t>
        </is>
      </c>
    </row>
    <row r="496" ht="15.75" customHeight="1" s="108">
      <c r="A496" s="4" t="inlineStr">
        <is>
          <t>David Oyelowo</t>
        </is>
      </c>
      <c r="B496" s="4" t="n">
        <v>3</v>
      </c>
      <c r="C496" s="4" t="n">
        <v>2011</v>
      </c>
      <c r="D496" s="4" t="n">
        <v>2014</v>
      </c>
      <c r="E496" s="19" t="inlineStr">
        <is>
          <t>Jack Reacher, Interstellar, Rise of the Planet of the Apes</t>
        </is>
      </c>
      <c r="F496" s="4" t="inlineStr">
        <is>
          <t>F0171, F0168, F0253</t>
        </is>
      </c>
    </row>
    <row r="497" ht="15.75" customHeight="1" s="108">
      <c r="A497" s="4" t="inlineStr">
        <is>
          <t>David Patrick Kelly</t>
        </is>
      </c>
      <c r="B497" s="4" t="n">
        <v>4</v>
      </c>
      <c r="C497" s="4" t="n">
        <v>1979</v>
      </c>
      <c r="D497" s="4" t="n">
        <v>2017</v>
      </c>
      <c r="E497" s="19" t="inlineStr">
        <is>
          <t xml:space="preserve">The Warriors, john wick, john wick chapter 2, john wick chapter 2 </t>
        </is>
      </c>
      <c r="F497" s="4" t="inlineStr">
        <is>
          <t>F0334, F0374, F0375</t>
        </is>
      </c>
    </row>
    <row r="498" ht="15.75" customHeight="1" s="108">
      <c r="A498" s="4" t="inlineStr">
        <is>
          <t>David Strathairn</t>
        </is>
      </c>
      <c r="B498" s="4" t="n">
        <v>4</v>
      </c>
      <c r="C498" s="4" t="n">
        <v>2007</v>
      </c>
      <c r="D498" s="4" t="n">
        <v>2019</v>
      </c>
      <c r="E498" s="19" t="inlineStr">
        <is>
          <t>The Bourne Ultimatum, The Bourne Legacy, Godzilla, Godzilla: King of the Monsters</t>
        </is>
      </c>
      <c r="F498" s="4" t="inlineStr">
        <is>
          <t>F0055, F0056, F0121, F0122</t>
        </is>
      </c>
    </row>
    <row r="499" ht="15.75" customHeight="1" s="108">
      <c r="A499" s="4" t="inlineStr">
        <is>
          <t>Deborah Ann Woll</t>
        </is>
      </c>
      <c r="B499" s="4" t="n">
        <v>1</v>
      </c>
      <c r="C499" s="4" t="n">
        <v>2011</v>
      </c>
      <c r="D499" s="4" t="n">
        <v>2011</v>
      </c>
      <c r="E499" s="19" t="inlineStr">
        <is>
          <t>Catch.44</t>
        </is>
      </c>
      <c r="F499" s="4" t="inlineStr">
        <is>
          <t>F0063</t>
        </is>
      </c>
    </row>
    <row r="500" ht="15.75" customHeight="1" s="108">
      <c r="A500" s="4" t="inlineStr">
        <is>
          <t>Delroy Lindo</t>
        </is>
      </c>
      <c r="B500" s="4" t="n">
        <v>1</v>
      </c>
      <c r="C500" s="4" t="n">
        <v>2009</v>
      </c>
      <c r="D500" s="4" t="n">
        <v>2009</v>
      </c>
      <c r="E500" s="19" t="inlineStr">
        <is>
          <t>Up</t>
        </is>
      </c>
      <c r="F500" s="4" t="inlineStr">
        <is>
          <t>F0330</t>
        </is>
      </c>
    </row>
    <row r="501" ht="15.75" customHeight="1" s="108">
      <c r="A501" s="4" t="inlineStr">
        <is>
          <t>Demián Bichir</t>
        </is>
      </c>
      <c r="B501" s="4" t="n">
        <v>3</v>
      </c>
      <c r="C501" s="4" t="n">
        <v>2013</v>
      </c>
      <c r="D501" s="4" t="n">
        <v>2021</v>
      </c>
      <c r="E501" s="19" t="inlineStr">
        <is>
          <t>The Heat, Godzilla vs. Kong, alien covenant</t>
        </is>
      </c>
      <c r="F501" s="4" t="inlineStr">
        <is>
          <t>F0146, F0123, F0361</t>
        </is>
      </c>
    </row>
    <row r="502" ht="15.75" customHeight="1" s="108">
      <c r="A502" s="4" t="inlineStr">
        <is>
          <t>Dennis Boutsikaris</t>
        </is>
      </c>
      <c r="B502" s="4" t="n">
        <v>1</v>
      </c>
      <c r="C502" s="4" t="n">
        <v>2012</v>
      </c>
      <c r="D502" s="4" t="n">
        <v>2012</v>
      </c>
      <c r="E502" s="19" t="inlineStr">
        <is>
          <t>The Bourne Legacy</t>
        </is>
      </c>
      <c r="F502" s="4" t="inlineStr">
        <is>
          <t>F0056</t>
        </is>
      </c>
    </row>
    <row r="503" ht="15.75" customHeight="1" s="108">
      <c r="A503" s="4" t="inlineStr">
        <is>
          <t>Derek Jacobi</t>
        </is>
      </c>
      <c r="B503" s="4" t="n">
        <v>2</v>
      </c>
      <c r="C503" s="4" t="n">
        <v>2006</v>
      </c>
      <c r="D503" s="4" t="n">
        <v>2010</v>
      </c>
      <c r="E503" s="19" t="inlineStr">
        <is>
          <t>Underworld: Evolution, The King's Speech</t>
        </is>
      </c>
      <c r="F503" s="4" t="inlineStr">
        <is>
          <t>F0326, F0189</t>
        </is>
      </c>
    </row>
    <row r="504" ht="15.75" customHeight="1" s="108">
      <c r="A504" s="4" t="inlineStr">
        <is>
          <t>Dev Patel</t>
        </is>
      </c>
      <c r="B504" s="4" t="n">
        <v>1</v>
      </c>
      <c r="C504" s="4" t="n">
        <v>2008</v>
      </c>
      <c r="D504" s="4" t="n">
        <v>2008</v>
      </c>
      <c r="E504" s="19" t="inlineStr">
        <is>
          <t>Slumdog Millionaire</t>
        </is>
      </c>
      <c r="F504" s="4" t="inlineStr">
        <is>
          <t>F0281</t>
        </is>
      </c>
    </row>
    <row r="505" ht="15.75" customHeight="1" s="108">
      <c r="A505" s="4" t="inlineStr">
        <is>
          <t>Diane Keaton</t>
        </is>
      </c>
      <c r="B505" s="4" t="n">
        <v>1</v>
      </c>
      <c r="C505" s="4" t="n">
        <v>2016</v>
      </c>
      <c r="D505" s="4" t="n">
        <v>2016</v>
      </c>
      <c r="E505" s="19" t="inlineStr">
        <is>
          <t>Finding Dory</t>
        </is>
      </c>
      <c r="F505" s="4" t="inlineStr">
        <is>
          <t>F0113</t>
        </is>
      </c>
    </row>
    <row r="506" ht="15.75" customHeight="1" s="108">
      <c r="A506" s="4" t="inlineStr">
        <is>
          <t>Diane Lane</t>
        </is>
      </c>
      <c r="B506" s="4" t="n">
        <v>3</v>
      </c>
      <c r="C506" s="4" t="n">
        <v>2008</v>
      </c>
      <c r="D506" s="4" t="n">
        <v>2015</v>
      </c>
      <c r="E506" s="19" t="inlineStr">
        <is>
          <t>Man of Steel, Inside Out, Jumper</t>
        </is>
      </c>
      <c r="F506" s="4" t="inlineStr">
        <is>
          <t>F0211, F0167, F0175</t>
        </is>
      </c>
    </row>
    <row r="507" ht="15.75" customHeight="1" s="108">
      <c r="A507" s="4" t="inlineStr">
        <is>
          <t>Dickie Jones</t>
        </is>
      </c>
      <c r="B507" s="4" t="n">
        <v>1</v>
      </c>
      <c r="C507" s="4" t="n">
        <v>1940</v>
      </c>
      <c r="D507" s="4" t="n">
        <v>1940</v>
      </c>
      <c r="E507" s="19" t="inlineStr">
        <is>
          <t>Pinocchio</t>
        </is>
      </c>
      <c r="F507" s="4" t="inlineStr">
        <is>
          <t>F0248</t>
        </is>
      </c>
    </row>
    <row r="508" ht="15.75" customHeight="1" s="108">
      <c r="A508" s="4" t="inlineStr">
        <is>
          <t>Diedrich Bader</t>
        </is>
      </c>
      <c r="B508" s="4" t="n">
        <v>1</v>
      </c>
      <c r="C508" s="4" t="n">
        <v>2015</v>
      </c>
      <c r="D508" s="4" t="n">
        <v>2015</v>
      </c>
      <c r="E508" s="19" t="inlineStr">
        <is>
          <t>Lego DC Comics Super Heroes: Justice League vs. Bizarro League</t>
        </is>
      </c>
      <c r="F508" s="4" t="inlineStr">
        <is>
          <t>F0197</t>
        </is>
      </c>
    </row>
    <row r="509" ht="15.75" customHeight="1" s="108">
      <c r="A509" s="4" t="inlineStr">
        <is>
          <t>Diego Luna</t>
        </is>
      </c>
      <c r="B509" s="4" t="n">
        <v>2</v>
      </c>
      <c r="C509" s="4" t="n">
        <v>2013</v>
      </c>
      <c r="D509" s="4" t="n">
        <v>2016</v>
      </c>
      <c r="E509" s="19" t="inlineStr">
        <is>
          <t>Elysium, Rogue one</t>
        </is>
      </c>
      <c r="F509" s="4" t="inlineStr">
        <is>
          <t>F0093, F0385</t>
        </is>
      </c>
    </row>
    <row r="510" ht="15.75" customHeight="1" s="108">
      <c r="A510" s="4" t="inlineStr">
        <is>
          <t>Dilshad Vadsaria</t>
        </is>
      </c>
      <c r="B510" s="4" t="n">
        <v>1</v>
      </c>
      <c r="C510" s="4" t="n">
        <v>2011</v>
      </c>
      <c r="D510" s="4" t="n">
        <v>2011</v>
      </c>
      <c r="E510" s="19" t="inlineStr">
        <is>
          <t>30 Minutes or Less</t>
        </is>
      </c>
      <c r="F510" s="4" t="inlineStr">
        <is>
          <t>F0009</t>
        </is>
      </c>
    </row>
    <row r="511" ht="15.75" customHeight="1" s="108">
      <c r="A511" s="4" t="inlineStr">
        <is>
          <t>Dominic Cooper</t>
        </is>
      </c>
      <c r="B511" s="4" t="n">
        <v>2</v>
      </c>
      <c r="C511" s="4" t="n">
        <v>2008</v>
      </c>
      <c r="D511" s="4" t="n">
        <v>2014</v>
      </c>
      <c r="E511" s="19" t="inlineStr">
        <is>
          <t>Need for Speed, Mamma Mia!</t>
        </is>
      </c>
      <c r="F511" s="4" t="inlineStr">
        <is>
          <t>F0234, F0209</t>
        </is>
      </c>
    </row>
    <row r="512" ht="15.75" customHeight="1" s="108">
      <c r="A512" s="4" t="inlineStr">
        <is>
          <t>Dominique Fishback</t>
        </is>
      </c>
      <c r="B512" s="4" t="n">
        <v>1</v>
      </c>
      <c r="C512" s="4" t="n">
        <v>2023</v>
      </c>
      <c r="D512" s="4" t="n">
        <v>2023</v>
      </c>
      <c r="E512" s="19" t="inlineStr">
        <is>
          <t>Transformers: Rise of the Beasts</t>
        </is>
      </c>
      <c r="F512" s="4" t="inlineStr">
        <is>
          <t>F0321</t>
        </is>
      </c>
    </row>
    <row r="513" ht="15.75" customHeight="1" s="108">
      <c r="A513" s="4" t="inlineStr">
        <is>
          <t>Dominique Pinon</t>
        </is>
      </c>
      <c r="B513" s="4" t="n">
        <v>1</v>
      </c>
      <c r="C513" s="4" t="n">
        <v>1997</v>
      </c>
      <c r="D513" s="4" t="n">
        <v>1997</v>
      </c>
      <c r="E513" s="19" t="inlineStr">
        <is>
          <t>Alien Resurrection</t>
        </is>
      </c>
      <c r="F513" s="4" t="inlineStr">
        <is>
          <t>F0018</t>
        </is>
      </c>
    </row>
    <row r="514" ht="15.75" customHeight="1" s="108">
      <c r="A514" s="4" t="inlineStr">
        <is>
          <t>Don Cheadle</t>
        </is>
      </c>
      <c r="B514" s="4" t="n">
        <v>3</v>
      </c>
      <c r="C514" s="4" t="n">
        <v>2013</v>
      </c>
      <c r="D514" s="4" t="n">
        <v>2019</v>
      </c>
      <c r="E514" s="19" t="inlineStr">
        <is>
          <t>Iron Man 3, Avengers: Infinity War, Avengers: Endgame</t>
        </is>
      </c>
      <c r="F514" s="4" t="inlineStr">
        <is>
          <t>F0169, F0030, F0031</t>
        </is>
      </c>
    </row>
    <row r="515" ht="15.75" customHeight="1" s="108">
      <c r="A515" s="4" t="inlineStr">
        <is>
          <t>Dorsey Wright</t>
        </is>
      </c>
      <c r="B515" s="4" t="n">
        <v>1</v>
      </c>
      <c r="C515" s="4" t="n">
        <v>1979</v>
      </c>
      <c r="D515" s="4" t="n">
        <v>1979</v>
      </c>
      <c r="E515" s="19" t="inlineStr">
        <is>
          <t>The Warriors</t>
        </is>
      </c>
      <c r="F515" s="4" t="inlineStr">
        <is>
          <t>F0334</t>
        </is>
      </c>
    </row>
    <row r="516" ht="15.75" customHeight="1" s="108">
      <c r="A516" s="4" t="inlineStr">
        <is>
          <t>Dougray Scott</t>
        </is>
      </c>
      <c r="B516" s="4" t="n">
        <v>1</v>
      </c>
      <c r="C516" s="4" t="n">
        <v>2000</v>
      </c>
      <c r="D516" s="4" t="n">
        <v>2000</v>
      </c>
      <c r="E516" s="19" t="inlineStr">
        <is>
          <t>Mission: Impossible II</t>
        </is>
      </c>
      <c r="F516" s="4" t="inlineStr">
        <is>
          <t>F0222</t>
        </is>
      </c>
    </row>
    <row r="517" ht="15.75" customHeight="1" s="108">
      <c r="A517" s="4" t="inlineStr">
        <is>
          <t>Dylan McDermott</t>
        </is>
      </c>
      <c r="B517" s="4" t="n">
        <v>1</v>
      </c>
      <c r="C517" s="4" t="n">
        <v>2013</v>
      </c>
      <c r="D517" s="4" t="n">
        <v>2013</v>
      </c>
      <c r="E517" s="19" t="inlineStr">
        <is>
          <t>Olympus Has Fallen</t>
        </is>
      </c>
      <c r="F517" s="4" t="inlineStr">
        <is>
          <t>F0240</t>
        </is>
      </c>
    </row>
    <row r="518" ht="15.75" customHeight="1" s="108">
      <c r="A518" s="4" t="inlineStr">
        <is>
          <t>Dylan Moran</t>
        </is>
      </c>
      <c r="B518" s="4" t="n">
        <v>1</v>
      </c>
      <c r="C518" s="4" t="n">
        <v>2004</v>
      </c>
      <c r="D518" s="4" t="n">
        <v>2004</v>
      </c>
      <c r="E518" s="19" t="inlineStr">
        <is>
          <t>Shaun of the Dead</t>
        </is>
      </c>
      <c r="F518" s="4" t="inlineStr">
        <is>
          <t>F0070</t>
        </is>
      </c>
    </row>
    <row r="519" ht="15.75" customHeight="1" s="108">
      <c r="A519" s="4" t="inlineStr">
        <is>
          <t>Dylan O'Brien</t>
        </is>
      </c>
      <c r="B519" s="4" t="n">
        <v>2</v>
      </c>
      <c r="C519" s="4" t="n">
        <v>2014</v>
      </c>
      <c r="D519" s="4" t="n">
        <v>2018</v>
      </c>
      <c r="E519" s="19" t="inlineStr">
        <is>
          <t>The Maze Runner, Bumblebee</t>
        </is>
      </c>
      <c r="F519" s="4" t="inlineStr">
        <is>
          <t>F0217, F0061</t>
        </is>
      </c>
    </row>
    <row r="520" ht="15.75" customHeight="1" s="108">
      <c r="A520" s="4" t="inlineStr">
        <is>
          <t>Ed Harris</t>
        </is>
      </c>
      <c r="B520" s="4" t="n">
        <v>3</v>
      </c>
      <c r="C520" s="4" t="n">
        <v>2007</v>
      </c>
      <c r="D520" s="4" t="n">
        <v>2013</v>
      </c>
      <c r="E520" s="19" t="inlineStr">
        <is>
          <t>National Treasure: Book of Secrets, Man on a Ledge, Snowpiercer</t>
        </is>
      </c>
      <c r="F520" s="4" t="inlineStr">
        <is>
          <t>F0233, F0210, F0283</t>
        </is>
      </c>
    </row>
    <row r="521" ht="15.75" customHeight="1" s="108">
      <c r="A521" s="4" t="inlineStr">
        <is>
          <t>Ed O'Neill</t>
        </is>
      </c>
      <c r="B521" s="4" t="n">
        <v>3</v>
      </c>
      <c r="C521" s="4" t="n">
        <v>2012</v>
      </c>
      <c r="D521" s="4" t="n">
        <v>2018</v>
      </c>
      <c r="E521" s="19" t="inlineStr">
        <is>
          <t>Finding Dory, Wreck-It Ralph, Ralph Breaks the Internet</t>
        </is>
      </c>
      <c r="F521" s="4" t="inlineStr">
        <is>
          <t>F0113, F0336, F0337</t>
        </is>
      </c>
    </row>
    <row r="522" ht="15.75" customHeight="1" s="108">
      <c r="A522" s="4" t="inlineStr">
        <is>
          <t>Edi Gathegi</t>
        </is>
      </c>
      <c r="B522" s="4" t="n">
        <v>2</v>
      </c>
      <c r="C522" s="4" t="n">
        <v>2011</v>
      </c>
      <c r="D522" s="4" t="n">
        <v>2025</v>
      </c>
      <c r="E522" s="19" t="inlineStr">
        <is>
          <t>Superman, X-Men: First Class</t>
        </is>
      </c>
      <c r="F522" s="4" t="inlineStr">
        <is>
          <t>F0304, F0340</t>
        </is>
      </c>
    </row>
    <row r="523" ht="15.75" customHeight="1" s="108">
      <c r="A523" s="4" t="inlineStr">
        <is>
          <t>Edward Burns</t>
        </is>
      </c>
      <c r="B523" s="4" t="n">
        <v>1</v>
      </c>
      <c r="C523" s="4" t="n">
        <v>2012</v>
      </c>
      <c r="D523" s="4" t="n">
        <v>2012</v>
      </c>
      <c r="E523" s="19" t="inlineStr">
        <is>
          <t>Man on a Ledge</t>
        </is>
      </c>
      <c r="F523" s="4" t="inlineStr">
        <is>
          <t>F0210</t>
        </is>
      </c>
    </row>
    <row r="524" ht="15.75" customHeight="1" s="108">
      <c r="A524" s="4" t="inlineStr">
        <is>
          <t>Elisabeth Shue</t>
        </is>
      </c>
      <c r="B524" s="4" t="n">
        <v>2</v>
      </c>
      <c r="C524" s="4" t="n">
        <v>1989</v>
      </c>
      <c r="D524" s="4" t="n">
        <v>1990</v>
      </c>
      <c r="E524" s="19" t="inlineStr">
        <is>
          <t>Back to the Future Part II, Back to the Future Part III</t>
        </is>
      </c>
      <c r="F524" s="4" t="inlineStr">
        <is>
          <t>F0034, F0035</t>
        </is>
      </c>
    </row>
    <row r="525" ht="15.75" customHeight="1" s="108">
      <c r="A525" s="4" t="inlineStr">
        <is>
          <t>Elissa Knight</t>
        </is>
      </c>
      <c r="B525" s="4" t="n">
        <v>1</v>
      </c>
      <c r="C525" s="4" t="n">
        <v>2008</v>
      </c>
      <c r="D525" s="4" t="n">
        <v>2008</v>
      </c>
      <c r="E525" s="19" t="inlineStr">
        <is>
          <t>WALL·E</t>
        </is>
      </c>
      <c r="F525" s="4" t="inlineStr">
        <is>
          <t>F0331</t>
        </is>
      </c>
    </row>
    <row r="526" ht="15.75" customHeight="1" s="108">
      <c r="A526" s="4" t="inlineStr">
        <is>
          <t>Elizabeth Daily</t>
        </is>
      </c>
      <c r="B526" s="4" t="n">
        <v>1</v>
      </c>
      <c r="C526" s="4" t="n">
        <v>2011</v>
      </c>
      <c r="D526" s="4" t="n">
        <v>2011</v>
      </c>
      <c r="E526" s="19" t="inlineStr">
        <is>
          <t>Happy Feet Two</t>
        </is>
      </c>
      <c r="F526" s="4" t="inlineStr">
        <is>
          <t>F0145</t>
        </is>
      </c>
    </row>
    <row r="527" ht="15.75" customHeight="1" s="108">
      <c r="A527" s="4" t="inlineStr">
        <is>
          <t>Elizabeth Debicki</t>
        </is>
      </c>
      <c r="B527" s="4" t="n">
        <v>2</v>
      </c>
      <c r="C527" s="4" t="n">
        <v>2013</v>
      </c>
      <c r="D527" s="4" t="n">
        <v>2020</v>
      </c>
      <c r="E527" s="19" t="inlineStr">
        <is>
          <t>The Great Gatsby, Tenet</t>
        </is>
      </c>
      <c r="F527" s="4" t="inlineStr">
        <is>
          <t>F0126, F0387</t>
        </is>
      </c>
    </row>
    <row r="528" ht="15.75" customHeight="1" s="108">
      <c r="A528" s="4" t="inlineStr">
        <is>
          <t>Elizabeth Mkandawie</t>
        </is>
      </c>
      <c r="B528" s="4" t="n">
        <v>1</v>
      </c>
      <c r="C528" s="4" t="n">
        <v>2009</v>
      </c>
      <c r="D528" s="4" t="n">
        <v>2009</v>
      </c>
      <c r="E528" s="19" t="inlineStr">
        <is>
          <t>District 9</t>
        </is>
      </c>
      <c r="F528" s="4" t="inlineStr">
        <is>
          <t>F0088</t>
        </is>
      </c>
    </row>
    <row r="529" ht="15.75" customHeight="1" s="108">
      <c r="A529" s="4" t="inlineStr">
        <is>
          <t>Elizabeth Olsen</t>
        </is>
      </c>
      <c r="B529" s="4" t="n">
        <v>3</v>
      </c>
      <c r="C529" s="4" t="n">
        <v>2014</v>
      </c>
      <c r="D529" s="4" t="n">
        <v>2019</v>
      </c>
      <c r="E529" s="19" t="inlineStr">
        <is>
          <t>Godzilla, Avengers: Infinity War, Avengers: Endgame</t>
        </is>
      </c>
      <c r="F529" s="4" t="inlineStr">
        <is>
          <t>F0121, F0030, F0031</t>
        </is>
      </c>
    </row>
    <row r="530" ht="15.75" customHeight="1" s="108">
      <c r="A530" s="4" t="inlineStr">
        <is>
          <t>Elizabeth Rodriguez</t>
        </is>
      </c>
      <c r="B530" s="4" t="n">
        <v>1</v>
      </c>
      <c r="C530" s="4" t="n">
        <v>2017</v>
      </c>
      <c r="D530" s="4" t="n">
        <v>2017</v>
      </c>
      <c r="E530" s="19" t="inlineStr">
        <is>
          <t>Logan</t>
        </is>
      </c>
      <c r="F530" s="4" t="inlineStr">
        <is>
          <t>F0201</t>
        </is>
      </c>
    </row>
    <row r="531" ht="15.75" customHeight="1" s="108">
      <c r="A531" s="4" t="inlineStr">
        <is>
          <t>Ellen DeGeneres</t>
        </is>
      </c>
      <c r="B531" s="4" t="n">
        <v>3</v>
      </c>
      <c r="C531" s="4" t="n">
        <v>2003</v>
      </c>
      <c r="D531" s="4" t="n">
        <v>2016</v>
      </c>
      <c r="E531" s="19" t="inlineStr">
        <is>
          <t>Finding Dory, finding nemo,  finding nemo</t>
        </is>
      </c>
      <c r="F531" s="4" t="inlineStr">
        <is>
          <t>F0113, F0369</t>
        </is>
      </c>
    </row>
    <row r="532" ht="15.75" customHeight="1" s="108">
      <c r="A532" s="4" t="inlineStr">
        <is>
          <t>Ellie Kemper</t>
        </is>
      </c>
      <c r="B532" s="4" t="n">
        <v>4</v>
      </c>
      <c r="C532" s="4" t="n">
        <v>2011</v>
      </c>
      <c r="D532" s="4" t="n">
        <v>2017</v>
      </c>
      <c r="E532" s="19" t="inlineStr">
        <is>
          <t>The Secret Life of Pets, 21 Jump Street, Bridesmaids, The Lego Batman Movie</t>
        </is>
      </c>
      <c r="F532" s="4" t="inlineStr">
        <is>
          <t>F0274, F0007, F0058, F0193</t>
        </is>
      </c>
    </row>
    <row r="533" ht="15.75" customHeight="1" s="108">
      <c r="A533" s="4" t="inlineStr">
        <is>
          <t>Elliot Page</t>
        </is>
      </c>
      <c r="B533" s="4" t="n">
        <v>3</v>
      </c>
      <c r="C533" s="4" t="n">
        <v>2006</v>
      </c>
      <c r="D533" s="4" t="n">
        <v>2014</v>
      </c>
      <c r="E533" s="19" t="inlineStr">
        <is>
          <t>Inception, X-Men: Days of Future Past, X-Men: The Last Stand</t>
        </is>
      </c>
      <c r="F533" s="4" t="inlineStr">
        <is>
          <t>F0165, F0341, F0346</t>
        </is>
      </c>
    </row>
    <row r="534" ht="15.75" customHeight="1" s="108">
      <c r="A534" s="4" t="inlineStr">
        <is>
          <t>Elodie Yung</t>
        </is>
      </c>
      <c r="B534" s="4" t="n">
        <v>1</v>
      </c>
      <c r="C534" s="4" t="n">
        <v>2017</v>
      </c>
      <c r="D534" s="4" t="n">
        <v>2017</v>
      </c>
      <c r="E534" s="19" t="inlineStr">
        <is>
          <t>The Hitman's Bodyguard</t>
        </is>
      </c>
      <c r="F534" s="4" t="inlineStr">
        <is>
          <t>F0149</t>
        </is>
      </c>
    </row>
    <row r="535" ht="15.75" customHeight="1" s="108">
      <c r="A535" s="4" t="inlineStr">
        <is>
          <t>Elsie Fisher</t>
        </is>
      </c>
      <c r="B535" s="4" t="n">
        <v>2</v>
      </c>
      <c r="C535" s="4" t="n">
        <v>2010</v>
      </c>
      <c r="D535" s="4" t="n">
        <v>2013</v>
      </c>
      <c r="E535" s="19" t="inlineStr">
        <is>
          <t>Despicable Me, Despicable Me 2</t>
        </is>
      </c>
      <c r="F535" s="4" t="inlineStr">
        <is>
          <t>F0082, F0083</t>
        </is>
      </c>
    </row>
    <row r="536" ht="15.75" customHeight="1" s="108">
      <c r="A536" s="4" t="inlineStr">
        <is>
          <t>Emilio Estevez</t>
        </is>
      </c>
      <c r="B536" s="4" t="n">
        <v>1</v>
      </c>
      <c r="C536" s="4" t="n">
        <v>1985</v>
      </c>
      <c r="D536" s="4" t="n">
        <v>1985</v>
      </c>
      <c r="E536" s="19" t="inlineStr">
        <is>
          <t>The Breakfast Club</t>
        </is>
      </c>
      <c r="F536" s="4" t="inlineStr">
        <is>
          <t>F0057</t>
        </is>
      </c>
    </row>
    <row r="537" ht="15.75" customHeight="1" s="108">
      <c r="A537" s="4" t="inlineStr">
        <is>
          <t>Emily Berrington</t>
        </is>
      </c>
      <c r="B537" s="4" t="n">
        <v>1</v>
      </c>
      <c r="C537" s="4" t="n">
        <v>2014</v>
      </c>
      <c r="D537" s="4" t="n">
        <v>2014</v>
      </c>
      <c r="E537" s="19" t="inlineStr">
        <is>
          <t>The Inbetweeners 2</t>
        </is>
      </c>
      <c r="F537" s="4" t="inlineStr">
        <is>
          <t>F0164</t>
        </is>
      </c>
    </row>
    <row r="538" ht="15.75" customHeight="1" s="108">
      <c r="A538" s="4" t="inlineStr">
        <is>
          <t>Emily Head</t>
        </is>
      </c>
      <c r="B538" s="4" t="n">
        <v>1</v>
      </c>
      <c r="C538" s="4" t="n">
        <v>2011</v>
      </c>
      <c r="D538" s="4" t="n">
        <v>2011</v>
      </c>
      <c r="E538" s="19" t="inlineStr">
        <is>
          <t>The Inbetweeners Movie</t>
        </is>
      </c>
      <c r="F538" s="4" t="inlineStr">
        <is>
          <t>F0163</t>
        </is>
      </c>
    </row>
    <row r="539" ht="15.75" customHeight="1" s="108">
      <c r="A539" s="4" t="inlineStr">
        <is>
          <t>Emily Watson</t>
        </is>
      </c>
      <c r="B539" s="4" t="n">
        <v>1</v>
      </c>
      <c r="C539" s="4" t="n">
        <v>2014</v>
      </c>
      <c r="D539" s="4" t="n">
        <v>2014</v>
      </c>
      <c r="E539" s="19" t="inlineStr">
        <is>
          <t>The Theory of Everything</t>
        </is>
      </c>
      <c r="F539" s="4" t="inlineStr">
        <is>
          <t>F0311</t>
        </is>
      </c>
    </row>
    <row r="540" ht="15.75" customHeight="1" s="108">
      <c r="A540" s="4" t="inlineStr">
        <is>
          <t>Emjay Anthony</t>
        </is>
      </c>
      <c r="B540" s="4" t="n">
        <v>2</v>
      </c>
      <c r="C540" s="4" t="n">
        <v>2014</v>
      </c>
      <c r="D540" s="4" t="n">
        <v>2016</v>
      </c>
      <c r="E540" s="19" t="inlineStr">
        <is>
          <t>Chef, Bad Moms</t>
        </is>
      </c>
      <c r="F540" s="4" t="inlineStr">
        <is>
          <t>F0065, F0038</t>
        </is>
      </c>
    </row>
    <row r="541" ht="15.75" customHeight="1" s="108">
      <c r="A541" s="4" t="inlineStr">
        <is>
          <t>Emma Corrin</t>
        </is>
      </c>
      <c r="B541" s="4" t="n">
        <v>1</v>
      </c>
      <c r="C541" s="4" t="n">
        <v>2024</v>
      </c>
      <c r="D541" s="4" t="n">
        <v>2024</v>
      </c>
      <c r="E541" s="19" t="inlineStr">
        <is>
          <t>Deadpool &amp; Wolverine</t>
        </is>
      </c>
      <c r="F541" s="4" t="inlineStr">
        <is>
          <t>F0078</t>
        </is>
      </c>
    </row>
    <row r="542" ht="15.75" customHeight="1" s="108">
      <c r="A542" s="4" t="inlineStr">
        <is>
          <t>Emma Thompson</t>
        </is>
      </c>
      <c r="B542" s="4" t="n">
        <v>3</v>
      </c>
      <c r="C542" s="4" t="n">
        <v>2004</v>
      </c>
      <c r="D542" s="4" t="n">
        <v>2012</v>
      </c>
      <c r="E542" s="19" t="inlineStr">
        <is>
          <t>Men in Black 3, Harry Potter and the Prisoner of Azkaban, Harry Potter and the Order of the Phoenix</t>
        </is>
      </c>
      <c r="F542" s="4" t="inlineStr">
        <is>
          <t>F0219, F0139, F0141</t>
        </is>
      </c>
    </row>
    <row r="543" ht="15.75" customHeight="1" s="108">
      <c r="A543" s="4" t="inlineStr">
        <is>
          <t>Emmanuelle Béart</t>
        </is>
      </c>
      <c r="B543" s="4" t="n">
        <v>1</v>
      </c>
      <c r="C543" s="4" t="n">
        <v>1996</v>
      </c>
      <c r="D543" s="4" t="n">
        <v>1996</v>
      </c>
      <c r="E543" s="19" t="inlineStr">
        <is>
          <t>Mission: Impossible</t>
        </is>
      </c>
      <c r="F543" s="4" t="inlineStr">
        <is>
          <t>F0221</t>
        </is>
      </c>
    </row>
    <row r="544" ht="15.75" customHeight="1" s="108">
      <c r="A544" s="4" t="inlineStr">
        <is>
          <t>Eric Bauza</t>
        </is>
      </c>
      <c r="B544" s="4" t="n">
        <v>2</v>
      </c>
      <c r="C544" s="4" t="n">
        <v>2016</v>
      </c>
      <c r="D544" s="4" t="n">
        <v>2023</v>
      </c>
      <c r="E544" s="19" t="inlineStr">
        <is>
          <t>Lego DC Comics Super Heroes: Justice League - Gotham City Breakout, The Super Mario Bros. Movie</t>
        </is>
      </c>
      <c r="F544" s="4" t="inlineStr">
        <is>
          <t>F0198, F0212</t>
        </is>
      </c>
    </row>
    <row r="545" ht="15.75" customHeight="1" s="108">
      <c r="A545" s="4" t="inlineStr">
        <is>
          <t>Eric Jacobson</t>
        </is>
      </c>
      <c r="B545" s="4" t="n">
        <v>1</v>
      </c>
      <c r="C545" s="4" t="n">
        <v>2014</v>
      </c>
      <c r="D545" s="4" t="n">
        <v>2014</v>
      </c>
      <c r="E545" s="19" t="inlineStr">
        <is>
          <t>Muppets Most Wanted</t>
        </is>
      </c>
      <c r="F545" s="4" t="inlineStr">
        <is>
          <t>F0232</t>
        </is>
      </c>
    </row>
    <row r="546" ht="15.75" customHeight="1" s="108">
      <c r="A546" s="4" t="inlineStr">
        <is>
          <t>Eric Roberts</t>
        </is>
      </c>
      <c r="B546" s="4" t="n">
        <v>2</v>
      </c>
      <c r="C546" s="4" t="n">
        <v>2008</v>
      </c>
      <c r="D546" s="4" t="n">
        <v>2010</v>
      </c>
      <c r="E546" s="19" t="inlineStr">
        <is>
          <t>The Expendables, The Dark Knight</t>
        </is>
      </c>
      <c r="F546" s="4" t="inlineStr">
        <is>
          <t>F0095, F0044</t>
        </is>
      </c>
    </row>
    <row r="547" ht="15.75" customHeight="1" s="108">
      <c r="A547" s="4" t="inlineStr">
        <is>
          <t>Eric Stonestreet</t>
        </is>
      </c>
      <c r="B547" s="4" t="n">
        <v>2</v>
      </c>
      <c r="C547" s="4" t="n">
        <v>2011</v>
      </c>
      <c r="D547" s="4" t="n">
        <v>2016</v>
      </c>
      <c r="E547" s="19" t="inlineStr">
        <is>
          <t>The Secret Life of Pets, Bad Teacher</t>
        </is>
      </c>
      <c r="F547" s="4" t="inlineStr">
        <is>
          <t>F0274, F0039</t>
        </is>
      </c>
    </row>
    <row r="548" ht="15.75" customHeight="1" s="108">
      <c r="A548" s="4" t="inlineStr">
        <is>
          <t>Ernie Sabella</t>
        </is>
      </c>
      <c r="B548" s="4" t="n">
        <v>1</v>
      </c>
      <c r="C548" s="4" t="n">
        <v>1994</v>
      </c>
      <c r="D548" s="4" t="n">
        <v>1994</v>
      </c>
      <c r="E548" s="19" t="inlineStr">
        <is>
          <t>The Lion King</t>
        </is>
      </c>
      <c r="F548" s="4" t="inlineStr">
        <is>
          <t>F0200</t>
        </is>
      </c>
    </row>
    <row r="549" ht="15.75" customHeight="1" s="108">
      <c r="A549" s="4" t="inlineStr">
        <is>
          <t>Esai Morales</t>
        </is>
      </c>
      <c r="B549" s="4" t="n">
        <v>2</v>
      </c>
      <c r="C549" s="4" t="n">
        <v>2023</v>
      </c>
      <c r="D549" s="4" t="n">
        <v>2025</v>
      </c>
      <c r="E549" s="19" t="inlineStr">
        <is>
          <t>Mission: Impossible - The Final Reckoning, Mission: Impossible - Dead Reckoning Part One</t>
        </is>
      </c>
      <c r="F549" s="4" t="inlineStr">
        <is>
          <t>F0228, F0227</t>
        </is>
      </c>
    </row>
    <row r="550" ht="15.75" customHeight="1" s="108">
      <c r="A550" s="4" t="inlineStr">
        <is>
          <t>Ethan Hawke</t>
        </is>
      </c>
      <c r="B550" s="4" t="n">
        <v>1</v>
      </c>
      <c r="C550" s="4" t="n">
        <v>2016</v>
      </c>
      <c r="D550" s="4" t="n">
        <v>2016</v>
      </c>
      <c r="E550" s="19" t="inlineStr">
        <is>
          <t>The Magnificent Seven</t>
        </is>
      </c>
      <c r="F550" s="4" t="inlineStr">
        <is>
          <t>F0207</t>
        </is>
      </c>
    </row>
    <row r="551" ht="15.75" customHeight="1" s="108">
      <c r="A551" s="4" t="inlineStr">
        <is>
          <t>Eva Green</t>
        </is>
      </c>
      <c r="B551" s="4" t="n">
        <v>1</v>
      </c>
      <c r="C551" s="4" t="n">
        <v>2006</v>
      </c>
      <c r="D551" s="4" t="n">
        <v>2006</v>
      </c>
      <c r="E551" s="19" t="inlineStr">
        <is>
          <t>Casino Royale</t>
        </is>
      </c>
      <c r="F551" s="4" t="inlineStr">
        <is>
          <t>F0001</t>
        </is>
      </c>
    </row>
    <row r="552" ht="15.75" customHeight="1" s="108">
      <c r="A552" s="4" t="inlineStr">
        <is>
          <t>Eva Mendes</t>
        </is>
      </c>
      <c r="B552" s="4" t="n">
        <v>2</v>
      </c>
      <c r="C552" s="4" t="n">
        <v>2003</v>
      </c>
      <c r="D552" s="4" t="n">
        <v>2009</v>
      </c>
      <c r="E552" s="19" t="inlineStr">
        <is>
          <t>2 Fast 2 Furious, Fast &amp; Furious</t>
        </is>
      </c>
      <c r="F552" s="4" t="inlineStr">
        <is>
          <t>F0102, F0104</t>
        </is>
      </c>
    </row>
    <row r="553" ht="15.75" customHeight="1" s="108">
      <c r="A553" s="4" t="inlineStr">
        <is>
          <t>Evangeline Lilly</t>
        </is>
      </c>
      <c r="B553" s="4" t="n">
        <v>3</v>
      </c>
      <c r="C553" s="4" t="n">
        <v>2013</v>
      </c>
      <c r="D553" s="4" t="n">
        <v>2019</v>
      </c>
      <c r="E553" s="19" t="inlineStr">
        <is>
          <t>The Hobbit: The Battle of the Five Armies, Avengers: Endgame, The Hobbit: The Desolation of Smaug</t>
        </is>
      </c>
      <c r="F553" s="4" t="inlineStr">
        <is>
          <t>F0152, F0031, F0151</t>
        </is>
      </c>
    </row>
    <row r="554" ht="15.75" customHeight="1" s="108">
      <c r="A554" s="4" t="inlineStr">
        <is>
          <t>Evelyn Venable</t>
        </is>
      </c>
      <c r="B554" s="4" t="n">
        <v>1</v>
      </c>
      <c r="C554" s="4" t="n">
        <v>1940</v>
      </c>
      <c r="D554" s="4" t="n">
        <v>1940</v>
      </c>
      <c r="E554" s="19" t="inlineStr">
        <is>
          <t>Pinocchio</t>
        </is>
      </c>
      <c r="F554" s="4" t="inlineStr">
        <is>
          <t>F0248</t>
        </is>
      </c>
    </row>
    <row r="555" ht="15.75" customHeight="1" s="108">
      <c r="A555" s="4" t="inlineStr">
        <is>
          <t>Faysal  Ahmed</t>
        </is>
      </c>
      <c r="B555" s="4" t="n">
        <v>1</v>
      </c>
      <c r="C555" s="4" t="n">
        <v>2013</v>
      </c>
      <c r="D555" s="4" t="n">
        <v>2013</v>
      </c>
      <c r="E555" s="19" t="inlineStr">
        <is>
          <t>Captain Phillips</t>
        </is>
      </c>
      <c r="F555" s="4" t="inlineStr">
        <is>
          <t>F0062</t>
        </is>
      </c>
    </row>
    <row r="556" ht="15.75" customHeight="1" s="108">
      <c r="A556" s="4" t="inlineStr">
        <is>
          <t>Felicity Jones</t>
        </is>
      </c>
      <c r="B556" s="4" t="n">
        <v>3</v>
      </c>
      <c r="C556" s="4" t="n">
        <v>2014</v>
      </c>
      <c r="D556" s="4" t="n">
        <v>2016</v>
      </c>
      <c r="E556" s="19" t="inlineStr">
        <is>
          <t>The Theory of Everything, amazing spider-man 2, Rogue one</t>
        </is>
      </c>
      <c r="F556" s="4" t="inlineStr">
        <is>
          <t>F0311, F0363, F0385</t>
        </is>
      </c>
    </row>
    <row r="557" ht="15.75" customHeight="1" s="108">
      <c r="A557" s="4" t="inlineStr">
        <is>
          <t>Felicity Montagu</t>
        </is>
      </c>
      <c r="B557" s="4" t="n">
        <v>1</v>
      </c>
      <c r="C557" s="4" t="n">
        <v>2013</v>
      </c>
      <c r="D557" s="4" t="n">
        <v>2013</v>
      </c>
      <c r="E557" s="19" t="inlineStr">
        <is>
          <t>Alan Partridge: Alpha Papa</t>
        </is>
      </c>
      <c r="F557" s="4" t="inlineStr">
        <is>
          <t>F0014</t>
        </is>
      </c>
    </row>
    <row r="558" ht="15.75" customHeight="1" s="108">
      <c r="A558" s="4" t="inlineStr">
        <is>
          <t>Finley Jacobsen</t>
        </is>
      </c>
      <c r="B558" s="4" t="n">
        <v>1</v>
      </c>
      <c r="C558" s="4" t="n">
        <v>2013</v>
      </c>
      <c r="D558" s="4" t="n">
        <v>2013</v>
      </c>
      <c r="E558" s="19" t="inlineStr">
        <is>
          <t>Olympus Has Fallen</t>
        </is>
      </c>
      <c r="F558" s="4" t="inlineStr">
        <is>
          <t>F0240</t>
        </is>
      </c>
    </row>
    <row r="559" ht="15.75" customHeight="1" s="108">
      <c r="A559" s="4" t="inlineStr">
        <is>
          <t>Florence Pugh</t>
        </is>
      </c>
      <c r="B559" s="4" t="n">
        <v>2</v>
      </c>
      <c r="C559" s="4" t="n">
        <v>2023</v>
      </c>
      <c r="D559" s="4" t="n">
        <v>2024</v>
      </c>
      <c r="E559" s="19" t="inlineStr">
        <is>
          <t>Oppenheimer, dune  part two</t>
        </is>
      </c>
      <c r="F559" s="4" t="inlineStr">
        <is>
          <t>F0242, F0368</t>
        </is>
      </c>
    </row>
    <row r="560" ht="15.75" customHeight="1" s="108">
      <c r="A560" s="4" t="inlineStr">
        <is>
          <t>Frank Grillo</t>
        </is>
      </c>
      <c r="B560" s="4" t="n">
        <v>2</v>
      </c>
      <c r="C560" s="4" t="n">
        <v>2011</v>
      </c>
      <c r="D560" s="4" t="n">
        <v>2012</v>
      </c>
      <c r="E560" s="19" t="inlineStr">
        <is>
          <t>Warrior, Zero Dark Thirty</t>
        </is>
      </c>
      <c r="F560" s="4" t="inlineStr">
        <is>
          <t>F0333, F0349</t>
        </is>
      </c>
    </row>
    <row r="561" ht="15.75" customHeight="1" s="108">
      <c r="A561" s="4" t="inlineStr">
        <is>
          <t>Frank Welker</t>
        </is>
      </c>
      <c r="B561" s="4" t="n">
        <v>4</v>
      </c>
      <c r="C561" s="4" t="n">
        <v>1986</v>
      </c>
      <c r="D561" s="4" t="n">
        <v>2014</v>
      </c>
      <c r="E561" s="19" t="inlineStr">
        <is>
          <t>The Transformers: The Movie, Big Hero 6, The Lion King, Transformers: Age of Extinction</t>
        </is>
      </c>
      <c r="F561" s="4" t="inlineStr">
        <is>
          <t>F0322, F0048, F0200, F0319</t>
        </is>
      </c>
    </row>
    <row r="562" ht="15.75" customHeight="1" s="108">
      <c r="A562" s="4" t="inlineStr">
        <is>
          <t>Frank Williams</t>
        </is>
      </c>
      <c r="B562" s="4" t="n">
        <v>1</v>
      </c>
      <c r="C562" s="4" t="n">
        <v>2010</v>
      </c>
      <c r="D562" s="4" t="n">
        <v>2010</v>
      </c>
      <c r="E562" s="19" t="inlineStr">
        <is>
          <t>Senna</t>
        </is>
      </c>
      <c r="F562" s="4" t="inlineStr">
        <is>
          <t>F0275</t>
        </is>
      </c>
    </row>
    <row r="563" ht="15.75" customHeight="1" s="108">
      <c r="A563" s="4" t="inlineStr">
        <is>
          <t>Fred Willard</t>
        </is>
      </c>
      <c r="B563" s="4" t="n">
        <v>3</v>
      </c>
      <c r="C563" s="4" t="n">
        <v>2004</v>
      </c>
      <c r="D563" s="4" t="n">
        <v>2013</v>
      </c>
      <c r="E563" s="19" t="inlineStr">
        <is>
          <t>WALL·E, Anchorman: The Legend of Ron Burgundy, Anchorman 2</t>
        </is>
      </c>
      <c r="F563" s="4" t="inlineStr">
        <is>
          <t>F0331, F0022, F0357</t>
        </is>
      </c>
    </row>
    <row r="564" ht="15.75" customHeight="1" s="108">
      <c r="A564" s="4" t="inlineStr">
        <is>
          <t>Freya Allan</t>
        </is>
      </c>
      <c r="B564" s="4" t="n">
        <v>1</v>
      </c>
      <c r="C564" s="4" t="n">
        <v>2024</v>
      </c>
      <c r="D564" s="4" t="n">
        <v>2024</v>
      </c>
      <c r="E564" s="19" t="inlineStr">
        <is>
          <t>Kingdom of the Planet of the Apes</t>
        </is>
      </c>
      <c r="F564" s="4" t="inlineStr">
        <is>
          <t>F0256</t>
        </is>
      </c>
    </row>
    <row r="565" ht="15.75" customHeight="1" s="108">
      <c r="A565" s="4" t="inlineStr">
        <is>
          <t>Gabriella Wright</t>
        </is>
      </c>
      <c r="B565" s="4" t="n">
        <v>1</v>
      </c>
      <c r="C565" s="4" t="n">
        <v>2015</v>
      </c>
      <c r="D565" s="4" t="n">
        <v>2015</v>
      </c>
      <c r="E565" s="19" t="inlineStr">
        <is>
          <t>The Transporter Refueled</t>
        </is>
      </c>
      <c r="F565" s="4" t="inlineStr">
        <is>
          <t>F0323</t>
        </is>
      </c>
    </row>
    <row r="566" ht="15.75" customHeight="1" s="108">
      <c r="A566" s="4" t="inlineStr">
        <is>
          <t>Gabrielle Union</t>
        </is>
      </c>
      <c r="B566" s="4" t="n">
        <v>1</v>
      </c>
      <c r="C566" s="4" t="n">
        <v>2003</v>
      </c>
      <c r="D566" s="4" t="n">
        <v>2003</v>
      </c>
      <c r="E566" s="19" t="inlineStr">
        <is>
          <t>Bad Boys II</t>
        </is>
      </c>
      <c r="F566" s="4" t="inlineStr">
        <is>
          <t>F0037</t>
        </is>
      </c>
    </row>
    <row r="567" ht="15.75" customHeight="1" s="108">
      <c r="A567" s="4" t="inlineStr">
        <is>
          <t>Gaia Weiss</t>
        </is>
      </c>
      <c r="B567" s="4" t="n">
        <v>1</v>
      </c>
      <c r="C567" s="4" t="n">
        <v>2014</v>
      </c>
      <c r="D567" s="4" t="n">
        <v>2014</v>
      </c>
      <c r="E567" s="19" t="inlineStr">
        <is>
          <t>The Legend of Hercules</t>
        </is>
      </c>
      <c r="F567" s="4" t="inlineStr">
        <is>
          <t>F0148</t>
        </is>
      </c>
    </row>
    <row r="568" ht="15.75" customHeight="1" s="108">
      <c r="A568" s="4" t="inlineStr">
        <is>
          <t>Gal Gadot</t>
        </is>
      </c>
      <c r="B568" s="4" t="n">
        <v>4</v>
      </c>
      <c r="C568" s="4" t="n">
        <v>2009</v>
      </c>
      <c r="D568" s="4" t="n">
        <v>2018</v>
      </c>
      <c r="E568" s="19" t="inlineStr">
        <is>
          <t>Ralph Breaks the Internet, Fast Five, Fast &amp; Furious 6, Fast &amp; Furious</t>
        </is>
      </c>
      <c r="F568" s="4" t="inlineStr">
        <is>
          <t>F0337, F0105, F0106, F0104</t>
        </is>
      </c>
    </row>
    <row r="569" ht="15.75" customHeight="1" s="108">
      <c r="A569" s="4" t="inlineStr">
        <is>
          <t>Gary Cole</t>
        </is>
      </c>
      <c r="B569" s="4" t="n">
        <v>1</v>
      </c>
      <c r="C569" s="4" t="n">
        <v>2008</v>
      </c>
      <c r="D569" s="4" t="n">
        <v>2008</v>
      </c>
      <c r="E569" s="19" t="inlineStr">
        <is>
          <t>Pineapple Express</t>
        </is>
      </c>
      <c r="F569" s="4" t="inlineStr">
        <is>
          <t>F0247</t>
        </is>
      </c>
    </row>
    <row r="570" ht="15.75" customHeight="1" s="108">
      <c r="A570" s="4" t="inlineStr">
        <is>
          <t>Gary Dourdan</t>
        </is>
      </c>
      <c r="B570" s="4" t="n">
        <v>1</v>
      </c>
      <c r="C570" s="4" t="n">
        <v>1997</v>
      </c>
      <c r="D570" s="4" t="n">
        <v>1997</v>
      </c>
      <c r="E570" s="19" t="inlineStr">
        <is>
          <t>Alien Resurrection</t>
        </is>
      </c>
      <c r="F570" s="4" t="inlineStr">
        <is>
          <t>F0018</t>
        </is>
      </c>
    </row>
    <row r="571" ht="15.75" customHeight="1" s="108">
      <c r="A571" s="4" t="inlineStr">
        <is>
          <t>Gemma Arterton</t>
        </is>
      </c>
      <c r="B571" s="4" t="n">
        <v>2</v>
      </c>
      <c r="C571" s="4" t="n">
        <v>2008</v>
      </c>
      <c r="D571" s="4" t="n">
        <v>2010</v>
      </c>
      <c r="E571" s="19" t="inlineStr">
        <is>
          <t>Clash of the Titans, Quantum of Solace</t>
        </is>
      </c>
      <c r="F571" s="4" t="inlineStr">
        <is>
          <t>F0066, F0002</t>
        </is>
      </c>
    </row>
    <row r="572" ht="15.75" customHeight="1" s="108">
      <c r="A572" s="4" t="inlineStr">
        <is>
          <t>Gemma Jones</t>
        </is>
      </c>
      <c r="B572" s="4" t="n">
        <v>4</v>
      </c>
      <c r="C572" s="4" t="n">
        <v>2002</v>
      </c>
      <c r="D572" s="4" t="n">
        <v>2019</v>
      </c>
      <c r="E572" s="19" t="inlineStr">
        <is>
          <t>Rocketman, Harry Potter and the Chamber of Secrets, Harry Potter and the Half-Blood Prince, Harry Potter and the Deathly Hallows: Part 2</t>
        </is>
      </c>
      <c r="F572" s="4" t="inlineStr">
        <is>
          <t>F0269, F0138, F0142, F0144</t>
        </is>
      </c>
    </row>
    <row r="573" ht="15.75" customHeight="1" s="108">
      <c r="A573" s="4" t="inlineStr">
        <is>
          <t>Gena Rowlands</t>
        </is>
      </c>
      <c r="B573" s="4" t="n">
        <v>1</v>
      </c>
      <c r="C573" s="4" t="n">
        <v>2004</v>
      </c>
      <c r="D573" s="4" t="n">
        <v>2004</v>
      </c>
      <c r="E573" s="19" t="inlineStr">
        <is>
          <t>The Notebook</t>
        </is>
      </c>
      <c r="F573" s="4" t="inlineStr">
        <is>
          <t>F0237</t>
        </is>
      </c>
    </row>
    <row r="574" ht="15.75" customHeight="1" s="108">
      <c r="A574" s="4" t="inlineStr">
        <is>
          <t>Gene Hackman</t>
        </is>
      </c>
      <c r="B574" s="4" t="n">
        <v>1</v>
      </c>
      <c r="C574" s="4" t="n">
        <v>1998</v>
      </c>
      <c r="D574" s="4" t="n">
        <v>1998</v>
      </c>
      <c r="E574" s="19" t="inlineStr">
        <is>
          <t>Enemy of the State</t>
        </is>
      </c>
      <c r="F574" s="4" t="inlineStr">
        <is>
          <t>F0094</t>
        </is>
      </c>
    </row>
    <row r="575" ht="15.75" customHeight="1" s="108">
      <c r="A575" s="4" t="inlineStr">
        <is>
          <t>Gene Wilder</t>
        </is>
      </c>
      <c r="B575" s="4" t="n">
        <v>1</v>
      </c>
      <c r="C575" s="4" t="n">
        <v>1971</v>
      </c>
      <c r="D575" s="4" t="n">
        <v>1971</v>
      </c>
      <c r="E575" s="19" t="inlineStr">
        <is>
          <t>Willy Wonka &amp; the Chocolate Factory</t>
        </is>
      </c>
      <c r="F575" s="4" t="inlineStr">
        <is>
          <t>F0339</t>
        </is>
      </c>
    </row>
    <row r="576" ht="15.75" customHeight="1" s="108">
      <c r="A576" s="4" t="inlineStr">
        <is>
          <t>Ger Ryan</t>
        </is>
      </c>
      <c r="B576" s="4" t="n">
        <v>1</v>
      </c>
      <c r="C576" s="4" t="n">
        <v>2013</v>
      </c>
      <c r="D576" s="4" t="n">
        <v>2013</v>
      </c>
      <c r="E576" s="19" t="inlineStr">
        <is>
          <t>Hummingbird</t>
        </is>
      </c>
      <c r="F576" s="4" t="inlineStr">
        <is>
          <t>F0156</t>
        </is>
      </c>
    </row>
    <row r="577" ht="15.75" customHeight="1" s="108">
      <c r="A577" s="4" t="inlineStr">
        <is>
          <t>Giancarlo Giannini</t>
        </is>
      </c>
      <c r="B577" s="4" t="n">
        <v>2</v>
      </c>
      <c r="C577" s="4" t="n">
        <v>2006</v>
      </c>
      <c r="D577" s="4" t="n">
        <v>2008</v>
      </c>
      <c r="E577" s="19" t="inlineStr">
        <is>
          <t>Quantum of Solace, Casino Royale</t>
        </is>
      </c>
      <c r="F577" s="4" t="inlineStr">
        <is>
          <t>F0002, F0001</t>
        </is>
      </c>
    </row>
    <row r="578" ht="15.75" customHeight="1" s="108">
      <c r="A578" s="4" t="inlineStr">
        <is>
          <t>Gina Carano</t>
        </is>
      </c>
      <c r="B578" s="4" t="n">
        <v>2</v>
      </c>
      <c r="C578" s="4" t="n">
        <v>2013</v>
      </c>
      <c r="D578" s="4" t="n">
        <v>2016</v>
      </c>
      <c r="E578" s="19" t="inlineStr">
        <is>
          <t>Deadpool, Fast &amp; Furious 6</t>
        </is>
      </c>
      <c r="F578" s="4" t="inlineStr">
        <is>
          <t>F0076, F0106</t>
        </is>
      </c>
    </row>
    <row r="579" ht="15.75" customHeight="1" s="108">
      <c r="A579" s="4" t="inlineStr">
        <is>
          <t>Gloria Foster</t>
        </is>
      </c>
      <c r="B579" s="4" t="n">
        <v>2</v>
      </c>
      <c r="C579" s="4" t="n">
        <v>1999</v>
      </c>
      <c r="D579" s="4" t="n">
        <v>2003</v>
      </c>
      <c r="E579" s="19" t="inlineStr">
        <is>
          <t>The Matrix, The Matrix Reloaded</t>
        </is>
      </c>
      <c r="F579" s="4" t="inlineStr">
        <is>
          <t>F0214, F0215</t>
        </is>
      </c>
    </row>
    <row r="580" ht="15.75" customHeight="1" s="108">
      <c r="A580" s="4" t="inlineStr">
        <is>
          <t>Graham McTavish</t>
        </is>
      </c>
      <c r="B580" s="4" t="n">
        <v>5</v>
      </c>
      <c r="C580" s="4" t="n">
        <v>2008</v>
      </c>
      <c r="D580" s="4" t="n">
        <v>2015</v>
      </c>
      <c r="E580" s="19" t="inlineStr">
        <is>
          <t>Rambo, Creed, The Hobbit: An Unexpected Journey, The Hobbit: The Desolation of Smaug, The Hobbit: The Battle of the Five Armies</t>
        </is>
      </c>
      <c r="F580" s="4" t="inlineStr">
        <is>
          <t>F0261, F0074, F0150, F0151, F0152</t>
        </is>
      </c>
    </row>
    <row r="581" ht="15.75" customHeight="1" s="108">
      <c r="A581" s="4" t="inlineStr">
        <is>
          <t>Greg Cipes</t>
        </is>
      </c>
      <c r="B581" s="4" t="n">
        <v>2</v>
      </c>
      <c r="C581" s="4" t="n">
        <v>2009</v>
      </c>
      <c r="D581" s="4" t="n">
        <v>2016</v>
      </c>
      <c r="E581" s="19" t="inlineStr">
        <is>
          <t>Lego DC Comics Super Heroes: Justice League - Gotham City Breakout, Fast &amp; Furious</t>
        </is>
      </c>
      <c r="F581" s="4" t="inlineStr">
        <is>
          <t>F0198, F0104</t>
        </is>
      </c>
    </row>
    <row r="582" ht="15.75" customHeight="1" s="108">
      <c r="A582" s="4" t="inlineStr">
        <is>
          <t>Greg Kinnear</t>
        </is>
      </c>
      <c r="B582" s="4" t="n">
        <v>2</v>
      </c>
      <c r="C582" s="4" t="n">
        <v>2010</v>
      </c>
      <c r="D582" s="4" t="n">
        <v>2013</v>
      </c>
      <c r="E582" s="19" t="inlineStr">
        <is>
          <t>Green Zone, Anchorman 2</t>
        </is>
      </c>
      <c r="F582" s="4" t="inlineStr">
        <is>
          <t>F0129, F0357</t>
        </is>
      </c>
    </row>
    <row r="583" ht="15.75" customHeight="1" s="108">
      <c r="A583" s="4" t="inlineStr">
        <is>
          <t>Gustaf Hammarsten</t>
        </is>
      </c>
      <c r="B583" s="4" t="n">
        <v>2</v>
      </c>
      <c r="C583" s="4" t="n">
        <v>2009</v>
      </c>
      <c r="D583" s="4" t="n">
        <v>2011</v>
      </c>
      <c r="E583" s="19" t="inlineStr">
        <is>
          <t>Brüno, The Girl with the Dragon Tattoo</t>
        </is>
      </c>
      <c r="F583" s="4" t="inlineStr">
        <is>
          <t>F0059, F0120</t>
        </is>
      </c>
    </row>
    <row r="584" ht="15.75" customHeight="1" s="108">
      <c r="A584" s="4" t="inlineStr">
        <is>
          <t>Gwilym Lee</t>
        </is>
      </c>
      <c r="B584" s="4" t="n">
        <v>1</v>
      </c>
      <c r="C584" s="4" t="n">
        <v>2018</v>
      </c>
      <c r="D584" s="4" t="n">
        <v>2018</v>
      </c>
      <c r="E584" s="19" t="inlineStr">
        <is>
          <t>Bohemian Rhapsody</t>
        </is>
      </c>
      <c r="F584" s="4" t="inlineStr">
        <is>
          <t>F0052</t>
        </is>
      </c>
    </row>
    <row r="585" ht="15.75" customHeight="1" s="108">
      <c r="A585" s="4" t="inlineStr">
        <is>
          <t>Hannah Waddingham</t>
        </is>
      </c>
      <c r="B585" s="4" t="n">
        <v>2</v>
      </c>
      <c r="C585" s="4" t="n">
        <v>2024</v>
      </c>
      <c r="D585" s="4" t="n">
        <v>2025</v>
      </c>
      <c r="E585" s="19" t="inlineStr">
        <is>
          <t>The Fall Guy, Mission: Impossible - The Final Reckoning</t>
        </is>
      </c>
      <c r="F585" s="4" t="inlineStr">
        <is>
          <t>F0099, F0228</t>
        </is>
      </c>
    </row>
    <row r="586" ht="15.75" customHeight="1" s="108">
      <c r="A586" s="4" t="inlineStr">
        <is>
          <t>Harry Dean Stanton</t>
        </is>
      </c>
      <c r="B586" s="4" t="n">
        <v>1</v>
      </c>
      <c r="C586" s="4" t="n">
        <v>1979</v>
      </c>
      <c r="D586" s="4" t="n">
        <v>1979</v>
      </c>
      <c r="E586" s="19" t="inlineStr">
        <is>
          <t>Alien</t>
        </is>
      </c>
      <c r="F586" s="4" t="inlineStr">
        <is>
          <t>F0015</t>
        </is>
      </c>
    </row>
    <row r="587" ht="15.75" customHeight="1" s="108">
      <c r="A587" s="4" t="inlineStr">
        <is>
          <t>Hayden Panettiere</t>
        </is>
      </c>
      <c r="B587" s="4" t="n">
        <v>1</v>
      </c>
      <c r="C587" s="4" t="n">
        <v>1998</v>
      </c>
      <c r="D587" s="4" t="n">
        <v>1998</v>
      </c>
      <c r="E587" s="19" t="inlineStr">
        <is>
          <t>A Bug's Life</t>
        </is>
      </c>
      <c r="F587" s="4" t="inlineStr">
        <is>
          <t>F0012</t>
        </is>
      </c>
    </row>
    <row r="588" ht="15.75" customHeight="1" s="108">
      <c r="A588" s="4" t="inlineStr">
        <is>
          <t>Hayden Rolence</t>
        </is>
      </c>
      <c r="B588" s="4" t="n">
        <v>1</v>
      </c>
      <c r="C588" s="4" t="n">
        <v>2016</v>
      </c>
      <c r="D588" s="4" t="n">
        <v>2016</v>
      </c>
      <c r="E588" s="19" t="inlineStr">
        <is>
          <t>Finding Dory</t>
        </is>
      </c>
      <c r="F588" s="4" t="inlineStr">
        <is>
          <t>F0113</t>
        </is>
      </c>
    </row>
    <row r="589" ht="15.75" customHeight="1" s="108">
      <c r="A589" s="4" t="inlineStr">
        <is>
          <t>Heath Ledger</t>
        </is>
      </c>
      <c r="B589" s="4" t="n">
        <v>1</v>
      </c>
      <c r="C589" s="4" t="n">
        <v>2008</v>
      </c>
      <c r="D589" s="4" t="n">
        <v>2008</v>
      </c>
      <c r="E589" s="19" t="inlineStr">
        <is>
          <t>The Dark Knight</t>
        </is>
      </c>
      <c r="F589" s="4" t="inlineStr">
        <is>
          <t>F0044</t>
        </is>
      </c>
    </row>
    <row r="590" ht="15.75" customHeight="1" s="108">
      <c r="A590" s="4" t="inlineStr">
        <is>
          <t>Heather Graham</t>
        </is>
      </c>
      <c r="B590" s="4" t="n">
        <v>2</v>
      </c>
      <c r="C590" s="4" t="n">
        <v>2009</v>
      </c>
      <c r="D590" s="4" t="n">
        <v>2013</v>
      </c>
      <c r="E590" s="19" t="inlineStr">
        <is>
          <t>The Hangover, The Hangover Part III</t>
        </is>
      </c>
      <c r="F590" s="4" t="inlineStr">
        <is>
          <t>F0134, F0136</t>
        </is>
      </c>
    </row>
    <row r="591" ht="15.75" customHeight="1" s="108">
      <c r="A591" s="4" t="inlineStr">
        <is>
          <t>Henry Czerny</t>
        </is>
      </c>
      <c r="B591" s="4" t="n">
        <v>4</v>
      </c>
      <c r="C591" s="4" t="n">
        <v>1996</v>
      </c>
      <c r="D591" s="4" t="n">
        <v>2025</v>
      </c>
      <c r="E591" s="19" t="inlineStr">
        <is>
          <t>Mission: Impossible, The A-Team, Mission: Impossible - Dead Reckoning Part One, Mission: Impossible - The Final Reckoning</t>
        </is>
      </c>
      <c r="F591" s="4" t="inlineStr">
        <is>
          <t>F0221, F0026, F0227, F0228</t>
        </is>
      </c>
    </row>
    <row r="592" ht="15.75" customHeight="1" s="108">
      <c r="A592" s="4" t="inlineStr">
        <is>
          <t>Henry Thomas</t>
        </is>
      </c>
      <c r="B592" s="4" t="n">
        <v>1</v>
      </c>
      <c r="C592" s="4" t="n">
        <v>2010</v>
      </c>
      <c r="D592" s="4" t="n">
        <v>2010</v>
      </c>
      <c r="E592" s="19" t="inlineStr">
        <is>
          <t>Dear John</t>
        </is>
      </c>
      <c r="F592" s="4" t="inlineStr">
        <is>
          <t>F0079</t>
        </is>
      </c>
    </row>
    <row r="593" ht="15.75" customHeight="1" s="108">
      <c r="A593" s="4" t="inlineStr">
        <is>
          <t>Hugh Bonneville</t>
        </is>
      </c>
      <c r="B593" s="4" t="n">
        <v>2</v>
      </c>
      <c r="C593" s="4" t="n">
        <v>2014</v>
      </c>
      <c r="D593" s="4" t="n">
        <v>2014</v>
      </c>
      <c r="E593" s="19" t="inlineStr">
        <is>
          <t>Paddington, Muppets Most Wanted</t>
        </is>
      </c>
      <c r="F593" s="4" t="inlineStr">
        <is>
          <t>F0244, F0232</t>
        </is>
      </c>
    </row>
    <row r="594" ht="15.75" customHeight="1" s="108">
      <c r="A594" s="4" t="inlineStr">
        <is>
          <t>Hugh Grant</t>
        </is>
      </c>
      <c r="B594" s="4" t="n">
        <v>2</v>
      </c>
      <c r="C594" s="4" t="n">
        <v>2020</v>
      </c>
      <c r="D594" s="4" t="n">
        <v>2023</v>
      </c>
      <c r="E594" s="19" t="inlineStr">
        <is>
          <t>Wonka, The Gentlemen</t>
        </is>
      </c>
      <c r="F594" s="4" t="inlineStr">
        <is>
          <t>F0338, F0119</t>
        </is>
      </c>
    </row>
    <row r="595" ht="15.75" customHeight="1" s="108">
      <c r="A595" s="4" t="inlineStr">
        <is>
          <t>Ian Holm</t>
        </is>
      </c>
      <c r="B595" s="4" t="n">
        <v>6</v>
      </c>
      <c r="C595" s="4" t="n">
        <v>1979</v>
      </c>
      <c r="D595" s="4" t="n">
        <v>2025</v>
      </c>
      <c r="E595" s="19" t="inlineStr">
        <is>
          <t>The Lord of the Rings: The Fellowship of the Ring, Alien, The Hobbit: An Unexpected Journey, The Hobbit: The Battle of the Five Armies, The Lord of the Rings: The Return of the King, alien romulus</t>
        </is>
      </c>
      <c r="F595" s="4" t="inlineStr">
        <is>
          <t>F0203, F0015, F0150, F0152, F0205, F0362</t>
        </is>
      </c>
    </row>
    <row r="596" ht="15.75" customHeight="1" s="108">
      <c r="A596" s="4" t="inlineStr">
        <is>
          <t>Idina Menzel</t>
        </is>
      </c>
      <c r="B596" s="4" t="n">
        <v>2</v>
      </c>
      <c r="C596" s="4" t="n">
        <v>2013</v>
      </c>
      <c r="D596" s="4" t="n">
        <v>2018</v>
      </c>
      <c r="E596" s="19" t="inlineStr">
        <is>
          <t>Frozen, Ralph Breaks the Internet</t>
        </is>
      </c>
      <c r="F596" s="4" t="inlineStr">
        <is>
          <t>F0116, F0337</t>
        </is>
      </c>
    </row>
    <row r="597" ht="15.75" customHeight="1" s="108">
      <c r="A597" s="4" t="inlineStr">
        <is>
          <t>Imogen Poots</t>
        </is>
      </c>
      <c r="B597" s="4" t="n">
        <v>1</v>
      </c>
      <c r="C597" s="4" t="n">
        <v>2014</v>
      </c>
      <c r="D597" s="4" t="n">
        <v>2014</v>
      </c>
      <c r="E597" s="19" t="inlineStr">
        <is>
          <t>Need for Speed</t>
        </is>
      </c>
      <c r="F597" s="4" t="inlineStr">
        <is>
          <t>F0234</t>
        </is>
      </c>
    </row>
    <row r="598" ht="15.75" customHeight="1" s="108">
      <c r="A598" s="4" t="inlineStr">
        <is>
          <t>India Eisley</t>
        </is>
      </c>
      <c r="B598" s="4" t="n">
        <v>2</v>
      </c>
      <c r="C598" s="4" t="n">
        <v>2012</v>
      </c>
      <c r="D598" s="4" t="n">
        <v>2012</v>
      </c>
      <c r="E598" s="19" t="inlineStr">
        <is>
          <t>Underworld: Awakening, Underworld awakening</t>
        </is>
      </c>
      <c r="F598" s="4" t="inlineStr">
        <is>
          <t>F0328, F0390</t>
        </is>
      </c>
    </row>
    <row r="599" ht="15.75" customHeight="1" s="108">
      <c r="A599" s="4" t="inlineStr">
        <is>
          <t>Irrfan Khan</t>
        </is>
      </c>
      <c r="B599" s="4" t="n">
        <v>3</v>
      </c>
      <c r="C599" s="4" t="n">
        <v>2008</v>
      </c>
      <c r="D599" s="4" t="n">
        <v>2015</v>
      </c>
      <c r="E599" s="19" t="inlineStr">
        <is>
          <t>Jurassic World, The Amazing Spider-Man, Slumdog Millionaire</t>
        </is>
      </c>
      <c r="F599" s="4" t="inlineStr">
        <is>
          <t>F0179, F0019, F0281</t>
        </is>
      </c>
    </row>
    <row r="600" ht="15.75" customHeight="1" s="108">
      <c r="A600" s="4" t="inlineStr">
        <is>
          <t>Isla Fisher</t>
        </is>
      </c>
      <c r="B600" s="4" t="n">
        <v>2</v>
      </c>
      <c r="C600" s="4" t="n">
        <v>2013</v>
      </c>
      <c r="D600" s="4" t="n">
        <v>2016</v>
      </c>
      <c r="E600" s="19" t="inlineStr">
        <is>
          <t>Grimsby, The Great Gatsby</t>
        </is>
      </c>
      <c r="F600" s="4" t="inlineStr">
        <is>
          <t>F0130, F0126</t>
        </is>
      </c>
    </row>
    <row r="601" ht="15.75" customHeight="1" s="108">
      <c r="A601" s="4" t="inlineStr">
        <is>
          <t>Issa Rae</t>
        </is>
      </c>
      <c r="B601" s="4" t="n">
        <v>1</v>
      </c>
      <c r="C601" s="4" t="n">
        <v>2023</v>
      </c>
      <c r="D601" s="4" t="n">
        <v>2023</v>
      </c>
      <c r="E601" s="19" t="inlineStr">
        <is>
          <t>Barbie</t>
        </is>
      </c>
      <c r="F601" s="4" t="inlineStr">
        <is>
          <t>F0041</t>
        </is>
      </c>
    </row>
    <row r="602" ht="15.75" customHeight="1" s="108">
      <c r="A602" s="4" t="inlineStr">
        <is>
          <t>Izabella Scorupco</t>
        </is>
      </c>
      <c r="B602" s="4" t="n">
        <v>1</v>
      </c>
      <c r="C602" s="4" t="n">
        <v>2002</v>
      </c>
      <c r="D602" s="4" t="n">
        <v>2002</v>
      </c>
      <c r="E602" s="19" t="inlineStr">
        <is>
          <t>Reign of Fire</t>
        </is>
      </c>
      <c r="F602" s="4" t="inlineStr">
        <is>
          <t>F0263</t>
        </is>
      </c>
    </row>
    <row r="603" ht="15.75" customHeight="1" s="108">
      <c r="A603" s="4" t="inlineStr">
        <is>
          <t>J.K. Simmons</t>
        </is>
      </c>
      <c r="B603" s="4" t="n">
        <v>5</v>
      </c>
      <c r="C603" s="4" t="n">
        <v>2002</v>
      </c>
      <c r="D603" s="4" t="n">
        <v>2016</v>
      </c>
      <c r="E603" s="19" t="inlineStr">
        <is>
          <t>The Accountant, Spider-Man, Spider-Man 2, Spider-Man 3, True Grit</t>
        </is>
      </c>
      <c r="F603" s="4" t="inlineStr">
        <is>
          <t>F0013, F0287, F0288, F0289, F0325</t>
        </is>
      </c>
    </row>
    <row r="604" ht="15.75" customHeight="1" s="108">
      <c r="A604" s="4" t="inlineStr">
        <is>
          <t>Jack Albertson</t>
        </is>
      </c>
      <c r="B604" s="4" t="n">
        <v>1</v>
      </c>
      <c r="C604" s="4" t="n">
        <v>1971</v>
      </c>
      <c r="D604" s="4" t="n">
        <v>1971</v>
      </c>
      <c r="E604" s="19" t="inlineStr">
        <is>
          <t>Willy Wonka &amp; the Chocolate Factory</t>
        </is>
      </c>
      <c r="F604" s="4" t="inlineStr">
        <is>
          <t>F0339</t>
        </is>
      </c>
    </row>
    <row r="605" ht="15.75" customHeight="1" s="108">
      <c r="A605" s="4" t="inlineStr">
        <is>
          <t>Jack McBrayer</t>
        </is>
      </c>
      <c r="B605" s="4" t="n">
        <v>4</v>
      </c>
      <c r="C605" s="4" t="n">
        <v>2008</v>
      </c>
      <c r="D605" s="4" t="n">
        <v>2018</v>
      </c>
      <c r="E605" s="19" t="inlineStr">
        <is>
          <t>Wreck-It Ralph, Despicable Me, Forgetting Sarah Marshall, Ralph Breaks the Internet</t>
        </is>
      </c>
      <c r="F605" s="4" t="inlineStr">
        <is>
          <t>F0336, F0082, F0115, F0337</t>
        </is>
      </c>
    </row>
    <row r="606" ht="15.75" customHeight="1" s="108">
      <c r="A606" s="4" t="inlineStr">
        <is>
          <t>Jack Reynor</t>
        </is>
      </c>
      <c r="B606" s="4" t="n">
        <v>2</v>
      </c>
      <c r="C606" s="4" t="n">
        <v>2013</v>
      </c>
      <c r="D606" s="4" t="n">
        <v>2014</v>
      </c>
      <c r="E606" s="19" t="inlineStr">
        <is>
          <t>Delivery Man, Transformers: Age of Extinction</t>
        </is>
      </c>
      <c r="F606" s="4" t="inlineStr">
        <is>
          <t>F0080, F0319</t>
        </is>
      </c>
    </row>
    <row r="607" ht="15.75" customHeight="1" s="108">
      <c r="A607" s="4" t="inlineStr">
        <is>
          <t>Jaime Winstone</t>
        </is>
      </c>
      <c r="B607" s="4" t="n">
        <v>1</v>
      </c>
      <c r="C607" s="4" t="n">
        <v>2011</v>
      </c>
      <c r="D607" s="4" t="n">
        <v>2011</v>
      </c>
      <c r="E607" s="19" t="inlineStr">
        <is>
          <t>Anuvahood</t>
        </is>
      </c>
      <c r="F607" s="4" t="inlineStr">
        <is>
          <t>F0024</t>
        </is>
      </c>
    </row>
    <row r="608" ht="15.75" customHeight="1" s="108">
      <c r="A608" s="4" t="inlineStr">
        <is>
          <t>Jake Lloyd</t>
        </is>
      </c>
      <c r="B608" s="4" t="n">
        <v>1</v>
      </c>
      <c r="C608" s="4" t="n">
        <v>1999</v>
      </c>
      <c r="D608" s="4" t="n">
        <v>1999</v>
      </c>
      <c r="E608" s="19" t="inlineStr">
        <is>
          <t>Star Wars: Episode I – The Phantom Menace</t>
        </is>
      </c>
      <c r="F608" s="4" t="inlineStr">
        <is>
          <t>F0292</t>
        </is>
      </c>
    </row>
    <row r="609" ht="15.75" customHeight="1" s="108">
      <c r="A609" s="4" t="inlineStr">
        <is>
          <t>James Arnold Taylor</t>
        </is>
      </c>
      <c r="B609" s="4" t="n">
        <v>2</v>
      </c>
      <c r="C609" s="4" t="n">
        <v>2015</v>
      </c>
      <c r="D609" s="4" t="n">
        <v>2016</v>
      </c>
      <c r="E609" s="19" t="inlineStr">
        <is>
          <t>Lego DC Comics Super Heroes: Justice League vs. Bizarro League, Lego DC Comics Super Heroes: Justice League - Gotham City Breakout</t>
        </is>
      </c>
      <c r="F609" s="4" t="inlineStr">
        <is>
          <t>F0197, F0198</t>
        </is>
      </c>
    </row>
    <row r="610" ht="15.75" customHeight="1" s="108">
      <c r="A610" s="4" t="inlineStr">
        <is>
          <t>James Coburn</t>
        </is>
      </c>
      <c r="B610" s="4" t="n">
        <v>5</v>
      </c>
      <c r="C610" s="4" t="n">
        <v>2001</v>
      </c>
      <c r="D610" s="4" t="n">
        <v>2001</v>
      </c>
      <c r="E610" s="19" t="inlineStr">
        <is>
          <t>Monsters, Inc., Monsters, Inc., Monsters, Inc., Monsters, Inc., Monsters, Inc.</t>
        </is>
      </c>
      <c r="F610" s="4" t="inlineStr">
        <is>
          <t>F0229</t>
        </is>
      </c>
    </row>
    <row r="611" ht="15.75" customHeight="1" s="108">
      <c r="A611" s="4" t="inlineStr">
        <is>
          <t>James Earl Jones</t>
        </is>
      </c>
      <c r="B611" s="4" t="n">
        <v>4</v>
      </c>
      <c r="C611" s="4" t="n">
        <v>1977</v>
      </c>
      <c r="D611" s="4" t="n">
        <v>2016</v>
      </c>
      <c r="E611" s="19" t="inlineStr">
        <is>
          <t>The Lion King, Star Wars: Episode IV – A New Hope, Star Wars: Episode VI – Return of the Jedi, Rogue one</t>
        </is>
      </c>
      <c r="F611" s="4" t="inlineStr">
        <is>
          <t>F0200, F0295, F0297, F0385</t>
        </is>
      </c>
    </row>
    <row r="612" ht="15.75" customHeight="1" s="108">
      <c r="A612" s="4" t="inlineStr">
        <is>
          <t>James Faulkner</t>
        </is>
      </c>
      <c r="B612" s="4" t="n">
        <v>1</v>
      </c>
      <c r="C612" s="4" t="n">
        <v>2008</v>
      </c>
      <c r="D612" s="4" t="n">
        <v>2008</v>
      </c>
      <c r="E612" s="19" t="inlineStr">
        <is>
          <t>The Bank Job</t>
        </is>
      </c>
      <c r="F612" s="4" t="inlineStr">
        <is>
          <t>F0040</t>
        </is>
      </c>
    </row>
    <row r="613" ht="15.75" customHeight="1" s="108">
      <c r="A613" s="4" t="inlineStr">
        <is>
          <t>James Gandolfini</t>
        </is>
      </c>
      <c r="B613" s="4" t="n">
        <v>2</v>
      </c>
      <c r="C613" s="4" t="n">
        <v>2012</v>
      </c>
      <c r="D613" s="4" t="n">
        <v>2012</v>
      </c>
      <c r="E613" s="19" t="inlineStr">
        <is>
          <t>Killing Them Softly, Zero Dark Thirty</t>
        </is>
      </c>
      <c r="F613" s="4" t="inlineStr">
        <is>
          <t>F0187, F0349</t>
        </is>
      </c>
    </row>
    <row r="614" ht="15.75" customHeight="1" s="108">
      <c r="A614" s="4" t="inlineStr">
        <is>
          <t>James Garner</t>
        </is>
      </c>
      <c r="B614" s="4" t="n">
        <v>1</v>
      </c>
      <c r="C614" s="4" t="n">
        <v>2004</v>
      </c>
      <c r="D614" s="4" t="n">
        <v>2004</v>
      </c>
      <c r="E614" s="19" t="inlineStr">
        <is>
          <t>The Notebook</t>
        </is>
      </c>
      <c r="F614" s="4" t="inlineStr">
        <is>
          <t>F0237</t>
        </is>
      </c>
    </row>
    <row r="615" ht="15.75" customHeight="1" s="108">
      <c r="A615" s="4" t="inlineStr">
        <is>
          <t>James Karen</t>
        </is>
      </c>
      <c r="B615" s="4" t="n">
        <v>1</v>
      </c>
      <c r="C615" s="4" t="n">
        <v>2006</v>
      </c>
      <c r="D615" s="4" t="n">
        <v>2006</v>
      </c>
      <c r="E615" s="19" t="inlineStr">
        <is>
          <t>The Pursuit of Happyness</t>
        </is>
      </c>
      <c r="F615" s="4" t="inlineStr">
        <is>
          <t>F0260</t>
        </is>
      </c>
    </row>
    <row r="616" ht="15.75" customHeight="1" s="108">
      <c r="A616" s="4" t="inlineStr">
        <is>
          <t>James Marsden</t>
        </is>
      </c>
      <c r="B616" s="4" t="n">
        <v>9</v>
      </c>
      <c r="C616" s="4" t="n">
        <v>2000</v>
      </c>
      <c r="D616" s="4" t="n">
        <v>2025</v>
      </c>
      <c r="E616" s="19" t="inlineStr">
        <is>
          <t>X-Men, The Notebook, X-Men: Days of Future Past, X2: X-Men United, X-Men: The Last Stand, 2 guns, Anchorman 2, sonic the hedgehog, sonic the hedgehog 3</t>
        </is>
      </c>
      <c r="F616" s="4" t="inlineStr">
        <is>
          <t>F0344, F0237, F0341, F0345, F0346, F0355, F0357, F0378, F0379</t>
        </is>
      </c>
    </row>
    <row r="617" ht="15.75" customHeight="1" s="108">
      <c r="A617" s="4" t="inlineStr">
        <is>
          <t>James Nesbitt</t>
        </is>
      </c>
      <c r="B617" s="4" t="n">
        <v>3</v>
      </c>
      <c r="C617" s="4" t="n">
        <v>2012</v>
      </c>
      <c r="D617" s="4" t="n">
        <v>2014</v>
      </c>
      <c r="E617" s="19" t="inlineStr">
        <is>
          <t>The Hobbit: An Unexpected Journey, The Hobbit: The Desolation of Smaug, The Hobbit: The Battle of the Five Armies</t>
        </is>
      </c>
      <c r="F617" s="4" t="inlineStr">
        <is>
          <t>F0150, F0151, F0152</t>
        </is>
      </c>
    </row>
    <row r="618" ht="15.75" customHeight="1" s="108">
      <c r="A618" s="4" t="inlineStr">
        <is>
          <t>James Remar</t>
        </is>
      </c>
      <c r="B618" s="4" t="n">
        <v>7</v>
      </c>
      <c r="C618" s="4" t="n">
        <v>1979</v>
      </c>
      <c r="D618" s="4" t="n">
        <v>2012</v>
      </c>
      <c r="E618" s="19" t="inlineStr">
        <is>
          <t>The Warriors, Django Unchained, 2 Fast 2 Furious, Fast &amp; Furious, Pineapple Express, RED, X-Men: First Class</t>
        </is>
      </c>
      <c r="F618" s="4" t="inlineStr">
        <is>
          <t>F0334, F0090, F0102, F0104, F0247, F0262, F0340</t>
        </is>
      </c>
    </row>
    <row r="619" ht="15.75" customHeight="1" s="108">
      <c r="A619" s="4" t="inlineStr">
        <is>
          <t>Jamie Chung</t>
        </is>
      </c>
      <c r="B619" s="4" t="n">
        <v>4</v>
      </c>
      <c r="C619" s="4" t="n">
        <v>2010</v>
      </c>
      <c r="D619" s="4" t="n">
        <v>2014</v>
      </c>
      <c r="E619" s="19" t="inlineStr">
        <is>
          <t>Big Hero 6, Grown Ups, The Hangover Part II, The Hangover Part III</t>
        </is>
      </c>
      <c r="F619" s="4" t="inlineStr">
        <is>
          <t>F0048, F0131, F0135, F0136</t>
        </is>
      </c>
    </row>
    <row r="620" ht="15.75" customHeight="1" s="108">
      <c r="A620" s="4" t="inlineStr">
        <is>
          <t>January Jones</t>
        </is>
      </c>
      <c r="B620" s="4" t="n">
        <v>2</v>
      </c>
      <c r="C620" s="4" t="n">
        <v>2011</v>
      </c>
      <c r="D620" s="4" t="n">
        <v>2011</v>
      </c>
      <c r="E620" s="19" t="inlineStr">
        <is>
          <t>Unknown, X-Men: First Class</t>
        </is>
      </c>
      <c r="F620" s="4" t="inlineStr">
        <is>
          <t>F0329, F0340</t>
        </is>
      </c>
    </row>
    <row r="621" ht="15.75" customHeight="1" s="108">
      <c r="A621" s="4" t="inlineStr">
        <is>
          <t>Jared Harris</t>
        </is>
      </c>
      <c r="B621" s="4" t="n">
        <v>1</v>
      </c>
      <c r="C621" s="4" t="n">
        <v>2011</v>
      </c>
      <c r="D621" s="4" t="n">
        <v>2011</v>
      </c>
      <c r="E621" s="19" t="inlineStr">
        <is>
          <t>Sherlock Holmes: A Game of Shadows</t>
        </is>
      </c>
      <c r="F621" s="4" t="inlineStr">
        <is>
          <t>F0279</t>
        </is>
      </c>
    </row>
    <row r="622" ht="15.75" customHeight="1" s="108">
      <c r="A622" s="4" t="inlineStr">
        <is>
          <t>Jared Leto</t>
        </is>
      </c>
      <c r="B622" s="4" t="n">
        <v>2</v>
      </c>
      <c r="C622" s="4" t="n">
        <v>1999</v>
      </c>
      <c r="D622" s="4" t="n">
        <v>2018</v>
      </c>
      <c r="E622" s="19" t="inlineStr">
        <is>
          <t>Fight Club, blade runner 2049</t>
        </is>
      </c>
      <c r="F622" s="4" t="inlineStr">
        <is>
          <t>F0112, F0366</t>
        </is>
      </c>
    </row>
    <row r="623" ht="15.75" customHeight="1" s="108">
      <c r="A623" s="4" t="inlineStr">
        <is>
          <t>Jason Bateman</t>
        </is>
      </c>
      <c r="B623" s="4" t="n">
        <v>3</v>
      </c>
      <c r="C623" s="4" t="n">
        <v>2008</v>
      </c>
      <c r="D623" s="4" t="n">
        <v>2011</v>
      </c>
      <c r="E623" s="19" t="inlineStr">
        <is>
          <t>Paul, Forgetting Sarah Marshall, Tropic Thunder</t>
        </is>
      </c>
      <c r="F623" s="4" t="inlineStr">
        <is>
          <t>F0245, F0115, F0324</t>
        </is>
      </c>
    </row>
    <row r="624" ht="15.75" customHeight="1" s="108">
      <c r="A624" s="4" t="inlineStr">
        <is>
          <t>Jason Cope</t>
        </is>
      </c>
      <c r="B624" s="4" t="n">
        <v>1</v>
      </c>
      <c r="C624" s="4" t="n">
        <v>2009</v>
      </c>
      <c r="D624" s="4" t="n">
        <v>2009</v>
      </c>
      <c r="E624" s="19" t="inlineStr">
        <is>
          <t>District 9</t>
        </is>
      </c>
      <c r="F624" s="4" t="inlineStr">
        <is>
          <t>F0088</t>
        </is>
      </c>
    </row>
    <row r="625" ht="15.75" customHeight="1" s="108">
      <c r="A625" s="4" t="inlineStr">
        <is>
          <t>Jason Flemyng</t>
        </is>
      </c>
      <c r="B625" s="4" t="n">
        <v>3</v>
      </c>
      <c r="C625" s="4" t="n">
        <v>2010</v>
      </c>
      <c r="D625" s="4" t="n">
        <v>2011</v>
      </c>
      <c r="E625" s="19" t="inlineStr">
        <is>
          <t>Clash of the Titans, Kick-Ass, X-Men: First Class</t>
        </is>
      </c>
      <c r="F625" s="4" t="inlineStr">
        <is>
          <t>F0066, F0185, F0340</t>
        </is>
      </c>
    </row>
    <row r="626" ht="15.75" customHeight="1" s="108">
      <c r="A626" s="4" t="inlineStr">
        <is>
          <t>Jason Ian Drucker</t>
        </is>
      </c>
      <c r="B626" s="4" t="n">
        <v>1</v>
      </c>
      <c r="C626" s="4" t="n">
        <v>2018</v>
      </c>
      <c r="D626" s="4" t="n">
        <v>2018</v>
      </c>
      <c r="E626" s="19" t="inlineStr">
        <is>
          <t>Bumblebee</t>
        </is>
      </c>
      <c r="F626" s="4" t="inlineStr">
        <is>
          <t>F0061</t>
        </is>
      </c>
    </row>
    <row r="627" ht="15.75" customHeight="1" s="108">
      <c r="A627" s="4" t="inlineStr">
        <is>
          <t>Jason Mantzoukas</t>
        </is>
      </c>
      <c r="B627" s="4" t="n">
        <v>4</v>
      </c>
      <c r="C627" s="4" t="n">
        <v>2012</v>
      </c>
      <c r="D627" s="4" t="n">
        <v>2019</v>
      </c>
      <c r="E627" s="19" t="inlineStr">
        <is>
          <t>The Dictator, Dirty Grandpa, The Lego Batman Movie, John wick chapter 3</t>
        </is>
      </c>
      <c r="F627" s="4" t="inlineStr">
        <is>
          <t>F0085, F0087, F0193, F0391</t>
        </is>
      </c>
    </row>
    <row r="628" ht="15.75" customHeight="1" s="108">
      <c r="A628" s="4" t="inlineStr">
        <is>
          <t>Jason Mitchell</t>
        </is>
      </c>
      <c r="B628" s="4" t="n">
        <v>2</v>
      </c>
      <c r="C628" s="4" t="n">
        <v>2015</v>
      </c>
      <c r="D628" s="4" t="n">
        <v>2017</v>
      </c>
      <c r="E628" s="19" t="inlineStr">
        <is>
          <t>Straight Outta Compton, Kong: Skull Island</t>
        </is>
      </c>
      <c r="F628" s="4" t="inlineStr">
        <is>
          <t>F0301, F0190</t>
        </is>
      </c>
    </row>
    <row r="629" ht="15.75" customHeight="1" s="108">
      <c r="A629" s="4" t="inlineStr">
        <is>
          <t>Jayma Mays</t>
        </is>
      </c>
      <c r="B629" s="4" t="n">
        <v>1</v>
      </c>
      <c r="C629" s="4" t="n">
        <v>2013</v>
      </c>
      <c r="D629" s="4" t="n">
        <v>2013</v>
      </c>
      <c r="E629" s="19" t="inlineStr">
        <is>
          <t>The Smurfs 2</t>
        </is>
      </c>
      <c r="F629" s="4" t="inlineStr">
        <is>
          <t>F0282</t>
        </is>
      </c>
    </row>
    <row r="630" ht="15.75" customHeight="1" s="108">
      <c r="A630" s="4" t="inlineStr">
        <is>
          <t>Jazzie Zonzolo</t>
        </is>
      </c>
      <c r="B630" s="4" t="n">
        <v>1</v>
      </c>
      <c r="C630" s="4" t="n">
        <v>2011</v>
      </c>
      <c r="D630" s="4" t="n">
        <v>2011</v>
      </c>
      <c r="E630" s="19" t="inlineStr">
        <is>
          <t>Anuvahood</t>
        </is>
      </c>
      <c r="F630" s="4" t="inlineStr">
        <is>
          <t>F0024</t>
        </is>
      </c>
    </row>
    <row r="631" ht="15.75" customHeight="1" s="108">
      <c r="A631" s="4" t="inlineStr">
        <is>
          <t>Jean Michel Paré</t>
        </is>
      </c>
      <c r="B631" s="4" t="n">
        <v>1</v>
      </c>
      <c r="C631" s="4" t="n">
        <v>2008</v>
      </c>
      <c r="D631" s="4" t="n">
        <v>2008</v>
      </c>
      <c r="E631" s="19" t="inlineStr">
        <is>
          <t>Journey to the Center of the Earth</t>
        </is>
      </c>
      <c r="F631" s="4" t="inlineStr">
        <is>
          <t>F0174</t>
        </is>
      </c>
    </row>
    <row r="632" ht="15.75" customHeight="1" s="108">
      <c r="A632" s="4" t="inlineStr">
        <is>
          <t>Jean Reno</t>
        </is>
      </c>
      <c r="B632" s="4" t="n">
        <v>1</v>
      </c>
      <c r="C632" s="4" t="n">
        <v>1996</v>
      </c>
      <c r="D632" s="4" t="n">
        <v>1996</v>
      </c>
      <c r="E632" s="19" t="inlineStr">
        <is>
          <t>Mission: Impossible</t>
        </is>
      </c>
      <c r="F632" s="4" t="inlineStr">
        <is>
          <t>F0221</t>
        </is>
      </c>
    </row>
    <row r="633" ht="15.75" customHeight="1" s="108">
      <c r="A633" s="4" t="inlineStr">
        <is>
          <t>Jeff Daniels</t>
        </is>
      </c>
      <c r="B633" s="4" t="n">
        <v>1</v>
      </c>
      <c r="C633" s="4" t="n">
        <v>2015</v>
      </c>
      <c r="D633" s="4" t="n">
        <v>2015</v>
      </c>
      <c r="E633" s="19" t="inlineStr">
        <is>
          <t>The Martian</t>
        </is>
      </c>
      <c r="F633" s="4" t="inlineStr">
        <is>
          <t>F0213</t>
        </is>
      </c>
    </row>
    <row r="634" ht="15.75" customHeight="1" s="108">
      <c r="A634" s="4" t="inlineStr">
        <is>
          <t>Jeff Garlin</t>
        </is>
      </c>
      <c r="B634" s="4" t="n">
        <v>3</v>
      </c>
      <c r="C634" s="4" t="n">
        <v>2008</v>
      </c>
      <c r="D634" s="4" t="n">
        <v>2019</v>
      </c>
      <c r="E634" s="19" t="inlineStr">
        <is>
          <t>WALL·E, Toy Story 3, Toy Story 4</t>
        </is>
      </c>
      <c r="F634" s="4" t="inlineStr">
        <is>
          <t>F0331, F0314, F0315</t>
        </is>
      </c>
    </row>
    <row r="635" ht="15.75" customHeight="1" s="108">
      <c r="A635" s="4" t="inlineStr">
        <is>
          <t>Jennifer Aniston</t>
        </is>
      </c>
      <c r="B635" s="4" t="n">
        <v>1</v>
      </c>
      <c r="C635" s="4" t="n">
        <v>2011</v>
      </c>
      <c r="D635" s="4" t="n">
        <v>2011</v>
      </c>
      <c r="E635" s="19" t="inlineStr">
        <is>
          <t>Just Go with It</t>
        </is>
      </c>
      <c r="F635" s="4" t="inlineStr">
        <is>
          <t>F0183</t>
        </is>
      </c>
    </row>
    <row r="636" ht="15.75" customHeight="1" s="108">
      <c r="A636" s="4" t="inlineStr">
        <is>
          <t>Jennifer Connelly</t>
        </is>
      </c>
      <c r="B636" s="4" t="n">
        <v>1</v>
      </c>
      <c r="C636" s="4" t="n">
        <v>2014</v>
      </c>
      <c r="D636" s="4" t="n">
        <v>2014</v>
      </c>
      <c r="E636" s="19" t="inlineStr">
        <is>
          <t>Noah</t>
        </is>
      </c>
      <c r="F636" s="4" t="inlineStr">
        <is>
          <t>F0238</t>
        </is>
      </c>
    </row>
    <row r="637" ht="15.75" customHeight="1" s="108">
      <c r="A637" s="4" t="inlineStr">
        <is>
          <t>Jennifer Ehle</t>
        </is>
      </c>
      <c r="B637" s="4" t="n">
        <v>3</v>
      </c>
      <c r="C637" s="4" t="n">
        <v>2010</v>
      </c>
      <c r="D637" s="4" t="n">
        <v>2012</v>
      </c>
      <c r="E637" s="19" t="inlineStr">
        <is>
          <t>Zero Dark Thirty, The King's Speech, RoboCop</t>
        </is>
      </c>
      <c r="F637" s="4" t="inlineStr">
        <is>
          <t>F0349, F0189, F0268</t>
        </is>
      </c>
    </row>
    <row r="638" ht="15.75" customHeight="1" s="108">
      <c r="A638" s="4" t="inlineStr">
        <is>
          <t>Jennifer Lopez</t>
        </is>
      </c>
      <c r="B638" s="4" t="n">
        <v>1</v>
      </c>
      <c r="C638" s="4" t="n">
        <v>2015</v>
      </c>
      <c r="D638" s="4" t="n">
        <v>2015</v>
      </c>
      <c r="E638" s="19" t="inlineStr">
        <is>
          <t>Home</t>
        </is>
      </c>
      <c r="F638" s="4" t="inlineStr">
        <is>
          <t>F0153</t>
        </is>
      </c>
    </row>
    <row r="639" ht="15.75" customHeight="1" s="108">
      <c r="A639" s="4" t="inlineStr">
        <is>
          <t>Jennifer Morrison</t>
        </is>
      </c>
      <c r="B639" s="4" t="n">
        <v>3</v>
      </c>
      <c r="C639" s="4" t="n">
        <v>2005</v>
      </c>
      <c r="D639" s="4" t="n">
        <v>2011</v>
      </c>
      <c r="E639" s="19" t="inlineStr">
        <is>
          <t>Warrior, Mr. &amp; Mrs. Smith, Star Trek</t>
        </is>
      </c>
      <c r="F639" s="4" t="inlineStr">
        <is>
          <t>F0333, F0231, F0291</t>
        </is>
      </c>
    </row>
    <row r="640" ht="15.75" customHeight="1" s="108">
      <c r="A640" s="4" t="inlineStr">
        <is>
          <t>Jenny Slate</t>
        </is>
      </c>
      <c r="B640" s="4" t="n">
        <v>3</v>
      </c>
      <c r="C640" s="4" t="n">
        <v>2016</v>
      </c>
      <c r="D640" s="4" t="n">
        <v>2017</v>
      </c>
      <c r="E640" s="19" t="inlineStr">
        <is>
          <t>The Secret Life of Pets, Despicable Me 3, The Lego Batman Movie</t>
        </is>
      </c>
      <c r="F640" s="4" t="inlineStr">
        <is>
          <t>F0274, F0084, F0193</t>
        </is>
      </c>
    </row>
    <row r="641" ht="15.75" customHeight="1" s="108">
      <c r="A641" s="4" t="inlineStr">
        <is>
          <t>Jeremy Howard</t>
        </is>
      </c>
      <c r="B641" s="4" t="n">
        <v>1</v>
      </c>
      <c r="C641" s="4" t="n">
        <v>2014</v>
      </c>
      <c r="D641" s="4" t="n">
        <v>2014</v>
      </c>
      <c r="E641" s="19" t="inlineStr">
        <is>
          <t>Teenage Mutant Ninja Turtles</t>
        </is>
      </c>
      <c r="F641" s="4" t="inlineStr">
        <is>
          <t>F0309</t>
        </is>
      </c>
    </row>
    <row r="642" ht="15.75" customHeight="1" s="108">
      <c r="A642" s="4" t="inlineStr">
        <is>
          <t>Jeremy Strong</t>
        </is>
      </c>
      <c r="B642" s="4" t="n">
        <v>2</v>
      </c>
      <c r="C642" s="4" t="n">
        <v>2012</v>
      </c>
      <c r="D642" s="4" t="n">
        <v>2020</v>
      </c>
      <c r="E642" s="19" t="inlineStr">
        <is>
          <t>The Gentlemen, Zero Dark Thirty</t>
        </is>
      </c>
      <c r="F642" s="4" t="inlineStr">
        <is>
          <t>F0119, F0349</t>
        </is>
      </c>
    </row>
    <row r="643" ht="15.75" customHeight="1" s="108">
      <c r="A643" s="4" t="inlineStr">
        <is>
          <t>Jessica Biel</t>
        </is>
      </c>
      <c r="B643" s="4" t="n">
        <v>1</v>
      </c>
      <c r="C643" s="4" t="n">
        <v>2010</v>
      </c>
      <c r="D643" s="4" t="n">
        <v>2010</v>
      </c>
      <c r="E643" s="19" t="inlineStr">
        <is>
          <t>The A-Team</t>
        </is>
      </c>
      <c r="F643" s="4" t="inlineStr">
        <is>
          <t>F0026</t>
        </is>
      </c>
    </row>
    <row r="644" ht="15.75" customHeight="1" s="108">
      <c r="A644" s="4" t="inlineStr">
        <is>
          <t>Jim Carrey</t>
        </is>
      </c>
      <c r="B644" s="4" t="n">
        <v>3</v>
      </c>
      <c r="C644" s="4" t="n">
        <v>2013</v>
      </c>
      <c r="D644" s="4" t="n">
        <v>2025</v>
      </c>
      <c r="E644" s="19" t="inlineStr">
        <is>
          <t>Kick-Ass 2, sonic the hedgehog, sonic the hedgehog 3</t>
        </is>
      </c>
      <c r="F644" s="4" t="inlineStr">
        <is>
          <t>F0186, F0378, F0379</t>
        </is>
      </c>
    </row>
    <row r="645" ht="15.75" customHeight="1" s="108">
      <c r="A645" s="4" t="inlineStr">
        <is>
          <t>Jim Parsons</t>
        </is>
      </c>
      <c r="B645" s="4" t="n">
        <v>1</v>
      </c>
      <c r="C645" s="4" t="n">
        <v>2015</v>
      </c>
      <c r="D645" s="4" t="n">
        <v>2015</v>
      </c>
      <c r="E645" s="19" t="inlineStr">
        <is>
          <t>Home</t>
        </is>
      </c>
      <c r="F645" s="4" t="inlineStr">
        <is>
          <t>F0153</t>
        </is>
      </c>
    </row>
    <row r="646" ht="15.75" customHeight="1" s="108">
      <c r="A646" s="4" t="inlineStr">
        <is>
          <t>Jim Varney</t>
        </is>
      </c>
      <c r="B646" s="4" t="n">
        <v>2</v>
      </c>
      <c r="C646" s="4" t="n">
        <v>1995</v>
      </c>
      <c r="D646" s="4" t="n">
        <v>1999</v>
      </c>
      <c r="E646" s="19" t="inlineStr">
        <is>
          <t>Toy Story, Toy Story 2</t>
        </is>
      </c>
      <c r="F646" s="4" t="inlineStr">
        <is>
          <t>F0312, F0313</t>
        </is>
      </c>
    </row>
    <row r="647" ht="15.75" customHeight="1" s="108">
      <c r="A647" s="4" t="inlineStr">
        <is>
          <t>Jimmy Bennett</t>
        </is>
      </c>
      <c r="B647" s="4" t="n">
        <v>1</v>
      </c>
      <c r="C647" s="4" t="n">
        <v>2006</v>
      </c>
      <c r="D647" s="4" t="n">
        <v>2006</v>
      </c>
      <c r="E647" s="19" t="inlineStr">
        <is>
          <t>Firewall</t>
        </is>
      </c>
      <c r="F647" s="4" t="inlineStr">
        <is>
          <t>F0114</t>
        </is>
      </c>
    </row>
    <row r="648" ht="15.75" customHeight="1" s="108">
      <c r="A648" s="4" t="inlineStr">
        <is>
          <t>Jing Tian</t>
        </is>
      </c>
      <c r="B648" s="4" t="n">
        <v>1</v>
      </c>
      <c r="C648" s="4" t="n">
        <v>2017</v>
      </c>
      <c r="D648" s="4" t="n">
        <v>2017</v>
      </c>
      <c r="E648" s="19" t="inlineStr">
        <is>
          <t>Kong: Skull Island</t>
        </is>
      </c>
      <c r="F648" s="4" t="inlineStr">
        <is>
          <t>F0190</t>
        </is>
      </c>
    </row>
    <row r="649" ht="15.75" customHeight="1" s="108">
      <c r="A649" s="4" t="inlineStr">
        <is>
          <t>Joan Allen</t>
        </is>
      </c>
      <c r="B649" s="4" t="n">
        <v>4</v>
      </c>
      <c r="C649" s="4" t="n">
        <v>2004</v>
      </c>
      <c r="D649" s="4" t="n">
        <v>2012</v>
      </c>
      <c r="E649" s="19" t="inlineStr">
        <is>
          <t>The Notebook, The Bourne Supremacy, The Bourne Ultimatum, The Bourne Legacy</t>
        </is>
      </c>
      <c r="F649" s="4" t="inlineStr">
        <is>
          <t>F0237, F0054, F0055, F0056</t>
        </is>
      </c>
    </row>
    <row r="650" ht="15.75" customHeight="1" s="108">
      <c r="A650" s="4" t="inlineStr">
        <is>
          <t>Joanne Whalley</t>
        </is>
      </c>
      <c r="B650" s="4" t="n">
        <v>1</v>
      </c>
      <c r="C650" s="4" t="n">
        <v>2009</v>
      </c>
      <c r="D650" s="4" t="n">
        <v>2009</v>
      </c>
      <c r="E650" s="19" t="inlineStr">
        <is>
          <t>44 Inch Chest</t>
        </is>
      </c>
      <c r="F650" s="4" t="inlineStr">
        <is>
          <t>F0010</t>
        </is>
      </c>
    </row>
    <row r="651" ht="15.75" customHeight="1" s="108">
      <c r="A651" s="4" t="inlineStr">
        <is>
          <t>Jodie Foster</t>
        </is>
      </c>
      <c r="B651" s="4" t="n">
        <v>1</v>
      </c>
      <c r="C651" s="4" t="n">
        <v>2013</v>
      </c>
      <c r="D651" s="4" t="n">
        <v>2013</v>
      </c>
      <c r="E651" s="19" t="inlineStr">
        <is>
          <t>Elysium</t>
        </is>
      </c>
      <c r="F651" s="4" t="inlineStr">
        <is>
          <t>F0093</t>
        </is>
      </c>
    </row>
    <row r="652" ht="15.75" customHeight="1" s="108">
      <c r="A652" s="4" t="inlineStr">
        <is>
          <t>Jodie Whittaker</t>
        </is>
      </c>
      <c r="B652" s="4" t="n">
        <v>1</v>
      </c>
      <c r="C652" s="4" t="n">
        <v>2011</v>
      </c>
      <c r="D652" s="4" t="n">
        <v>2011</v>
      </c>
      <c r="E652" s="19" t="inlineStr">
        <is>
          <t>Attack the Block</t>
        </is>
      </c>
      <c r="F652" s="4" t="inlineStr">
        <is>
          <t>F0027</t>
        </is>
      </c>
    </row>
    <row r="653" ht="15.75" customHeight="1" s="108">
      <c r="A653" s="4" t="inlineStr">
        <is>
          <t>Joe Pantoliano</t>
        </is>
      </c>
      <c r="B653" s="4" t="n">
        <v>3</v>
      </c>
      <c r="C653" s="4" t="n">
        <v>1995</v>
      </c>
      <c r="D653" s="4" t="n">
        <v>2003</v>
      </c>
      <c r="E653" s="19" t="inlineStr">
        <is>
          <t>Bad Boys, Bad Boys II, The Matrix</t>
        </is>
      </c>
      <c r="F653" s="4" t="inlineStr">
        <is>
          <t>F0036, F0037, F0214</t>
        </is>
      </c>
    </row>
    <row r="654" ht="15.75" customHeight="1" s="108">
      <c r="A654" s="4" t="inlineStr">
        <is>
          <t>Joel Courtney</t>
        </is>
      </c>
      <c r="B654" s="4" t="n">
        <v>1</v>
      </c>
      <c r="C654" s="4" t="n">
        <v>2011</v>
      </c>
      <c r="D654" s="4" t="n">
        <v>2011</v>
      </c>
      <c r="E654" s="19" t="inlineStr">
        <is>
          <t>Super 8</t>
        </is>
      </c>
      <c r="F654" s="4" t="inlineStr">
        <is>
          <t>F0302</t>
        </is>
      </c>
    </row>
    <row r="655" ht="15.75" customHeight="1" s="108">
      <c r="A655" s="4" t="inlineStr">
        <is>
          <t>Joel McHale</t>
        </is>
      </c>
      <c r="B655" s="4" t="n">
        <v>2</v>
      </c>
      <c r="C655" s="4" t="n">
        <v>2004</v>
      </c>
      <c r="D655" s="4" t="n">
        <v>2012</v>
      </c>
      <c r="E655" s="19" t="inlineStr">
        <is>
          <t>Ted, Spider-Man 2</t>
        </is>
      </c>
      <c r="F655" s="4" t="inlineStr">
        <is>
          <t>F0308, F0288</t>
        </is>
      </c>
    </row>
    <row r="656" ht="15.75" customHeight="1" s="108">
      <c r="A656" s="4" t="inlineStr">
        <is>
          <t>Joey King</t>
        </is>
      </c>
      <c r="B656" s="4" t="n">
        <v>3</v>
      </c>
      <c r="C656" s="4" t="n">
        <v>2009</v>
      </c>
      <c r="D656" s="4" t="n">
        <v>2013</v>
      </c>
      <c r="E656" s="19" t="inlineStr">
        <is>
          <t>White House Down, Battle: Los Angeles, Ice Age: Dawn of the Dinosaurs</t>
        </is>
      </c>
      <c r="F656" s="4" t="inlineStr">
        <is>
          <t>F0335, F0046, F0161</t>
        </is>
      </c>
    </row>
    <row r="657" ht="15.75" customHeight="1" s="108">
      <c r="A657" s="4" t="inlineStr">
        <is>
          <t>John Cassini</t>
        </is>
      </c>
      <c r="B657" s="4" t="n">
        <v>1</v>
      </c>
      <c r="C657" s="4" t="n">
        <v>1995</v>
      </c>
      <c r="D657" s="4" t="n">
        <v>1995</v>
      </c>
      <c r="E657" s="19" t="inlineStr">
        <is>
          <t>Se7en</t>
        </is>
      </c>
      <c r="F657" s="4" t="inlineStr">
        <is>
          <t>F0276</t>
        </is>
      </c>
    </row>
    <row r="658" ht="15.75" customHeight="1" s="108">
      <c r="A658" s="4" t="inlineStr">
        <is>
          <t>John DiMaggio</t>
        </is>
      </c>
      <c r="B658" s="4" t="n">
        <v>6</v>
      </c>
      <c r="C658" s="4" t="n">
        <v>2012</v>
      </c>
      <c r="D658" s="4" t="n">
        <v>2023</v>
      </c>
      <c r="E658" s="19" t="inlineStr">
        <is>
          <t>Lego DC Comics Super Heroes: Justice League - Gotham City Breakout, Lego DC Comics Super Heroes: Justice League vs. Bizarro League, The Super Mario Bros. Movie, Transformers: Age of Extinction, Wreck-It Ralph, Ralph Breaks the Internet</t>
        </is>
      </c>
      <c r="F658" s="4" t="inlineStr">
        <is>
          <t>F0198, F0197, F0212, F0319, F0336, F0337</t>
        </is>
      </c>
    </row>
    <row r="659" ht="15.75" customHeight="1" s="108">
      <c r="A659" s="4" t="inlineStr">
        <is>
          <t>John Lithgow</t>
        </is>
      </c>
      <c r="B659" s="4" t="n">
        <v>4</v>
      </c>
      <c r="C659" s="4" t="n">
        <v>2011</v>
      </c>
      <c r="D659" s="4" t="n">
        <v>2017</v>
      </c>
      <c r="E659" s="19" t="inlineStr">
        <is>
          <t>Rise of the Planet of the Apes, The Accountant, Interstellar, Pitch Perfect 3</t>
        </is>
      </c>
      <c r="F659" s="4" t="inlineStr">
        <is>
          <t>F0253, F0013, F0168, F0252</t>
        </is>
      </c>
    </row>
    <row r="660" ht="15.75" customHeight="1" s="108">
      <c r="A660" s="4" t="inlineStr">
        <is>
          <t>John Michael Higgins</t>
        </is>
      </c>
      <c r="B660" s="4" t="n">
        <v>5</v>
      </c>
      <c r="C660" s="4" t="n">
        <v>2011</v>
      </c>
      <c r="D660" s="4" t="n">
        <v>2017</v>
      </c>
      <c r="E660" s="19" t="inlineStr">
        <is>
          <t>Bad Teacher, A Million Ways to Die in the West, Pitch Perfect, Pitch Perfect 2, Pitch Perfect 3</t>
        </is>
      </c>
      <c r="F660" s="4" t="inlineStr">
        <is>
          <t>F0039, F0021, F0250, F0251, F0252</t>
        </is>
      </c>
    </row>
    <row r="661" ht="15.75" customHeight="1" s="108">
      <c r="A661" s="4" t="inlineStr">
        <is>
          <t>John Ratzenberger</t>
        </is>
      </c>
      <c r="B661" s="4" t="n">
        <v>16</v>
      </c>
      <c r="C661" s="4" t="n">
        <v>1995</v>
      </c>
      <c r="D661" s="4" t="n">
        <v>2019</v>
      </c>
      <c r="E661" s="19" t="inlineStr">
        <is>
          <t>WALL·E, A Bug's Life, Finding Dory, Inside Out, Monsters, Inc., Monsters University, Toy Story, Toy Story 2, Toy Story 3, Toy Story 4, Up, Monsters, Inc., Monsters, Inc., finding nemo, Monsters, Inc.,  finding nemo</t>
        </is>
      </c>
      <c r="F661" s="4" t="inlineStr">
        <is>
          <t>F0331, F0012, F0113, F0167, F0229, F0230, F0312, F0313, F0314, F0315, F0330, F0369</t>
        </is>
      </c>
    </row>
    <row r="662" ht="15.75" customHeight="1" s="108">
      <c r="A662" s="4" t="inlineStr">
        <is>
          <t>John Turturro</t>
        </is>
      </c>
      <c r="B662" s="4" t="n">
        <v>6</v>
      </c>
      <c r="C662" s="4" t="n">
        <v>1998</v>
      </c>
      <c r="D662" s="4" t="n">
        <v>2022</v>
      </c>
      <c r="E662" s="19" t="inlineStr">
        <is>
          <t>Transformers: Dark of the Moon, The Batman, The Big Lebowski, Transformers, Transformers: Revenge of the Fallen, Transformers: The Last Knight</t>
        </is>
      </c>
      <c r="F662" s="4" t="inlineStr">
        <is>
          <t>F0318, F0042, F0049, F0316, F0317, F0320</t>
        </is>
      </c>
    </row>
    <row r="663" ht="15.75" customHeight="1" s="108">
      <c r="A663" s="4" t="inlineStr">
        <is>
          <t>Johnny A. Sanchez</t>
        </is>
      </c>
      <c r="B663" s="4" t="n">
        <v>1</v>
      </c>
      <c r="C663" s="4" t="n">
        <v>2011</v>
      </c>
      <c r="D663" s="4" t="n">
        <v>2011</v>
      </c>
      <c r="E663" s="19" t="inlineStr">
        <is>
          <t>Happy Feet Two</t>
        </is>
      </c>
      <c r="F663" s="4" t="inlineStr">
        <is>
          <t>F0145</t>
        </is>
      </c>
    </row>
    <row r="664" ht="15.75" customHeight="1" s="108">
      <c r="A664" s="4" t="inlineStr">
        <is>
          <t>Johnny Depp</t>
        </is>
      </c>
      <c r="B664" s="4" t="n">
        <v>3</v>
      </c>
      <c r="C664" s="4" t="n">
        <v>2011</v>
      </c>
      <c r="D664" s="4" t="n">
        <v>2018</v>
      </c>
      <c r="E664" s="19" t="inlineStr">
        <is>
          <t>Pirates of the Caribbean: On Stranger Tides, Fantastic Beasts and Where to Find Them, Fantastic beasts: the crimes of grindelwald</t>
        </is>
      </c>
      <c r="F664" s="4" t="inlineStr">
        <is>
          <t>F0249, F0100, F0360</t>
        </is>
      </c>
    </row>
    <row r="665" ht="15.75" customHeight="1" s="108">
      <c r="A665" s="4" t="inlineStr">
        <is>
          <t>Johnny Knoxville</t>
        </is>
      </c>
      <c r="B665" s="4" t="n">
        <v>2</v>
      </c>
      <c r="C665" s="4" t="n">
        <v>2010</v>
      </c>
      <c r="D665" s="4" t="n">
        <v>2014</v>
      </c>
      <c r="E665" s="19" t="inlineStr">
        <is>
          <t>Jackass 3D, Teenage Mutant Ninja Turtles</t>
        </is>
      </c>
      <c r="F665" s="4" t="inlineStr">
        <is>
          <t>F0172, F0309</t>
        </is>
      </c>
    </row>
    <row r="666" ht="15.75" customHeight="1" s="108">
      <c r="A666" s="4" t="inlineStr">
        <is>
          <t>Jon Favreau</t>
        </is>
      </c>
      <c r="B666" s="4" t="n">
        <v>6</v>
      </c>
      <c r="C666" s="4" t="n">
        <v>2003</v>
      </c>
      <c r="D666" s="4" t="n">
        <v>2024</v>
      </c>
      <c r="E666" s="19" t="inlineStr">
        <is>
          <t>Chef, Avengers: Endgame, Deadpool &amp; Wolverine, Elf, Iron Man 3, Solo a star wars story</t>
        </is>
      </c>
      <c r="F666" s="4" t="inlineStr">
        <is>
          <t>F0065, F0031, F0078, F0092, F0169, F0386</t>
        </is>
      </c>
    </row>
    <row r="667" ht="15.75" customHeight="1" s="108">
      <c r="A667" s="4" t="inlineStr">
        <is>
          <t>Jon Gries</t>
        </is>
      </c>
      <c r="B667" s="4" t="n">
        <v>3</v>
      </c>
      <c r="C667" s="4" t="n">
        <v>1997</v>
      </c>
      <c r="D667" s="4" t="n">
        <v>2012</v>
      </c>
      <c r="E667" s="19" t="inlineStr">
        <is>
          <t>Taken, Men in Black, Taken 2</t>
        </is>
      </c>
      <c r="F667" s="4" t="inlineStr">
        <is>
          <t>F0306, F0218, F0307</t>
        </is>
      </c>
    </row>
    <row r="668" ht="15.75" customHeight="1" s="108">
      <c r="A668" s="4" t="inlineStr">
        <is>
          <t>Jonathan Bailey</t>
        </is>
      </c>
      <c r="B668" s="4" t="n">
        <v>1</v>
      </c>
      <c r="C668" s="4" t="n">
        <v>2025</v>
      </c>
      <c r="D668" s="4" t="n">
        <v>2025</v>
      </c>
      <c r="E668" s="19" t="inlineStr">
        <is>
          <t>Jurassic World Rebirth</t>
        </is>
      </c>
      <c r="F668" s="4" t="inlineStr">
        <is>
          <t>F0182</t>
        </is>
      </c>
    </row>
    <row r="669" ht="15.75" customHeight="1" s="108">
      <c r="A669" s="4" t="inlineStr">
        <is>
          <t>Jonathan Groff</t>
        </is>
      </c>
      <c r="B669" s="4" t="n">
        <v>1</v>
      </c>
      <c r="C669" s="4" t="n">
        <v>2013</v>
      </c>
      <c r="D669" s="4" t="n">
        <v>2013</v>
      </c>
      <c r="E669" s="19" t="inlineStr">
        <is>
          <t>Frozen</t>
        </is>
      </c>
      <c r="F669" s="4" t="inlineStr">
        <is>
          <t>F0116</t>
        </is>
      </c>
    </row>
    <row r="670" ht="15.75" customHeight="1" s="108">
      <c r="A670" s="4" t="inlineStr">
        <is>
          <t>Jordan Nagai</t>
        </is>
      </c>
      <c r="B670" s="4" t="n">
        <v>1</v>
      </c>
      <c r="C670" s="4" t="n">
        <v>2009</v>
      </c>
      <c r="D670" s="4" t="n">
        <v>2009</v>
      </c>
      <c r="E670" s="19" t="inlineStr">
        <is>
          <t>Up</t>
        </is>
      </c>
      <c r="F670" s="4" t="inlineStr">
        <is>
          <t>F0330</t>
        </is>
      </c>
    </row>
    <row r="671" ht="15.75" customHeight="1" s="108">
      <c r="A671" s="4" t="inlineStr">
        <is>
          <t>Jorge Lendeborg Jr.</t>
        </is>
      </c>
      <c r="B671" s="4" t="n">
        <v>1</v>
      </c>
      <c r="C671" s="4" t="n">
        <v>2018</v>
      </c>
      <c r="D671" s="4" t="n">
        <v>2018</v>
      </c>
      <c r="E671" s="19" t="inlineStr">
        <is>
          <t>Bumblebee</t>
        </is>
      </c>
      <c r="F671" s="4" t="inlineStr">
        <is>
          <t>F0061</t>
        </is>
      </c>
    </row>
    <row r="672" ht="15.75" customHeight="1" s="108">
      <c r="A672" s="4" t="inlineStr">
        <is>
          <t>Joseph Mazzello</t>
        </is>
      </c>
      <c r="B672" s="4" t="n">
        <v>3</v>
      </c>
      <c r="C672" s="4" t="n">
        <v>1993</v>
      </c>
      <c r="D672" s="4" t="n">
        <v>2018</v>
      </c>
      <c r="E672" s="19" t="inlineStr">
        <is>
          <t>Bohemian Rhapsody, Jurassic Park, The Lost World: Jurassic Park</t>
        </is>
      </c>
      <c r="F672" s="4" t="inlineStr">
        <is>
          <t>F0052, F0176, F0177</t>
        </is>
      </c>
    </row>
    <row r="673" ht="15.75" customHeight="1" s="108">
      <c r="A673" s="4" t="inlineStr">
        <is>
          <t>Josh Duhamel</t>
        </is>
      </c>
      <c r="B673" s="4" t="n">
        <v>4</v>
      </c>
      <c r="C673" s="4" t="n">
        <v>2007</v>
      </c>
      <c r="D673" s="4" t="n">
        <v>2017</v>
      </c>
      <c r="E673" s="19" t="inlineStr">
        <is>
          <t>Transformers: The Last Knight, Transformers, Transformers: Revenge of the Fallen, Transformers: Dark of the Moon</t>
        </is>
      </c>
      <c r="F673" s="4" t="inlineStr">
        <is>
          <t>F0320, F0316, F0317, F0318</t>
        </is>
      </c>
    </row>
    <row r="674" ht="15.75" customHeight="1" s="108">
      <c r="A674" s="4" t="inlineStr">
        <is>
          <t>Josh Gad</t>
        </is>
      </c>
      <c r="B674" s="4" t="n">
        <v>1</v>
      </c>
      <c r="C674" s="4" t="n">
        <v>2013</v>
      </c>
      <c r="D674" s="4" t="n">
        <v>2013</v>
      </c>
      <c r="E674" s="19" t="inlineStr">
        <is>
          <t>Frozen</t>
        </is>
      </c>
      <c r="F674" s="4" t="inlineStr">
        <is>
          <t>F0116</t>
        </is>
      </c>
    </row>
    <row r="675" ht="15.75" customHeight="1" s="108">
      <c r="A675" s="4" t="inlineStr">
        <is>
          <t>Josh Meyers</t>
        </is>
      </c>
      <c r="B675" s="4" t="n">
        <v>1</v>
      </c>
      <c r="C675" s="4" t="n">
        <v>2009</v>
      </c>
      <c r="D675" s="4" t="n">
        <v>2009</v>
      </c>
      <c r="E675" s="19" t="inlineStr">
        <is>
          <t>Brüno</t>
        </is>
      </c>
      <c r="F675" s="4" t="inlineStr">
        <is>
          <t>F0059</t>
        </is>
      </c>
    </row>
    <row r="676" ht="15.75" customHeight="1" s="108">
      <c r="A676" s="4" t="inlineStr">
        <is>
          <t>Julia Louis-Dreyfus</t>
        </is>
      </c>
      <c r="B676" s="4" t="n">
        <v>1</v>
      </c>
      <c r="C676" s="4" t="n">
        <v>1998</v>
      </c>
      <c r="D676" s="4" t="n">
        <v>1998</v>
      </c>
      <c r="E676" s="19" t="inlineStr">
        <is>
          <t>A Bug's Life</t>
        </is>
      </c>
      <c r="F676" s="4" t="inlineStr">
        <is>
          <t>F0012</t>
        </is>
      </c>
    </row>
    <row r="677" ht="15.75" customHeight="1" s="108">
      <c r="A677" s="4" t="inlineStr">
        <is>
          <t>Julian Dennison</t>
        </is>
      </c>
      <c r="B677" s="4" t="n">
        <v>2</v>
      </c>
      <c r="C677" s="4" t="n">
        <v>2018</v>
      </c>
      <c r="D677" s="4" t="n">
        <v>2021</v>
      </c>
      <c r="E677" s="19" t="inlineStr">
        <is>
          <t>Deadpool 2, Godzilla vs. Kong</t>
        </is>
      </c>
      <c r="F677" s="4" t="inlineStr">
        <is>
          <t>F0077, F0123</t>
        </is>
      </c>
    </row>
    <row r="678" ht="15.75" customHeight="1" s="108">
      <c r="A678" s="4" t="inlineStr">
        <is>
          <t>Julianne Hough</t>
        </is>
      </c>
      <c r="B678" s="4" t="n">
        <v>1</v>
      </c>
      <c r="C678" s="4" t="n">
        <v>2016</v>
      </c>
      <c r="D678" s="4" t="n">
        <v>2016</v>
      </c>
      <c r="E678" s="19" t="inlineStr">
        <is>
          <t>Dirty Grandpa</t>
        </is>
      </c>
      <c r="F678" s="4" t="inlineStr">
        <is>
          <t>F0087</t>
        </is>
      </c>
    </row>
    <row r="679" ht="15.75" customHeight="1" s="108">
      <c r="A679" s="4" t="inlineStr">
        <is>
          <t>Julie Benz</t>
        </is>
      </c>
      <c r="B679" s="4" t="n">
        <v>1</v>
      </c>
      <c r="C679" s="4" t="n">
        <v>2008</v>
      </c>
      <c r="D679" s="4" t="n">
        <v>2008</v>
      </c>
      <c r="E679" s="19" t="inlineStr">
        <is>
          <t>Rambo</t>
        </is>
      </c>
      <c r="F679" s="4" t="inlineStr">
        <is>
          <t>F0261</t>
        </is>
      </c>
    </row>
    <row r="680" ht="15.75" customHeight="1" s="108">
      <c r="A680" s="4" t="inlineStr">
        <is>
          <t>Juliette Binoche</t>
        </is>
      </c>
      <c r="B680" s="4" t="n">
        <v>1</v>
      </c>
      <c r="C680" s="4" t="n">
        <v>2014</v>
      </c>
      <c r="D680" s="4" t="n">
        <v>2014</v>
      </c>
      <c r="E680" s="19" t="inlineStr">
        <is>
          <t>Godzilla</t>
        </is>
      </c>
      <c r="F680" s="4" t="inlineStr">
        <is>
          <t>F0121</t>
        </is>
      </c>
    </row>
    <row r="681" ht="15.75" customHeight="1" s="108">
      <c r="A681" s="4" t="inlineStr">
        <is>
          <t>Juliette Lewis</t>
        </is>
      </c>
      <c r="B681" s="4" t="n">
        <v>1</v>
      </c>
      <c r="C681" s="4" t="n">
        <v>2010</v>
      </c>
      <c r="D681" s="4" t="n">
        <v>2010</v>
      </c>
      <c r="E681" s="19" t="inlineStr">
        <is>
          <t>Due Date</t>
        </is>
      </c>
      <c r="F681" s="4" t="inlineStr">
        <is>
          <t>F0091</t>
        </is>
      </c>
    </row>
    <row r="682" ht="15.75" customHeight="1" s="108">
      <c r="A682" s="4" t="inlineStr">
        <is>
          <t>Justice Smith</t>
        </is>
      </c>
      <c r="B682" s="4" t="n">
        <v>2</v>
      </c>
      <c r="C682" s="4" t="n">
        <v>2018</v>
      </c>
      <c r="D682" s="4" t="n">
        <v>2022</v>
      </c>
      <c r="E682" s="19" t="inlineStr">
        <is>
          <t>Jurassic World: Fallen Kingdom, Jurassic World Dominion</t>
        </is>
      </c>
      <c r="F682" s="4" t="inlineStr">
        <is>
          <t>F0180, F0181</t>
        </is>
      </c>
    </row>
    <row r="683" ht="15.75" customHeight="1" s="108">
      <c r="A683" s="4" t="inlineStr">
        <is>
          <t>Justin Chatwin</t>
        </is>
      </c>
      <c r="B683" s="4" t="n">
        <v>1</v>
      </c>
      <c r="C683" s="4" t="n">
        <v>2005</v>
      </c>
      <c r="D683" s="4" t="n">
        <v>2005</v>
      </c>
      <c r="E683" s="19" t="inlineStr">
        <is>
          <t>War of the Worlds</t>
        </is>
      </c>
      <c r="F683" s="4" t="inlineStr">
        <is>
          <t>F0332</t>
        </is>
      </c>
    </row>
    <row r="684" ht="15.75" customHeight="1" s="108">
      <c r="A684" s="4" t="inlineStr">
        <is>
          <t>Justin Long</t>
        </is>
      </c>
      <c r="B684" s="4" t="n">
        <v>1</v>
      </c>
      <c r="C684" s="4" t="n">
        <v>2007</v>
      </c>
      <c r="D684" s="4" t="n">
        <v>2007</v>
      </c>
      <c r="E684" s="19" t="inlineStr">
        <is>
          <t>Live Free or Die Hard</t>
        </is>
      </c>
      <c r="F684" s="4" t="inlineStr">
        <is>
          <t>F0086</t>
        </is>
      </c>
    </row>
    <row r="685" ht="15.75" customHeight="1" s="108">
      <c r="A685" s="4" t="inlineStr">
        <is>
          <t>Karin Konoval</t>
        </is>
      </c>
      <c r="B685" s="4" t="n">
        <v>3</v>
      </c>
      <c r="C685" s="4" t="n">
        <v>2011</v>
      </c>
      <c r="D685" s="4" t="n">
        <v>2017</v>
      </c>
      <c r="E685" s="19" t="inlineStr">
        <is>
          <t>War for the Planet of the Apes, Rise of the Planet of the Apes, Dawn of the Planet of the Apes</t>
        </is>
      </c>
      <c r="F685" s="4" t="inlineStr">
        <is>
          <t>F0255, F0253, F0254</t>
        </is>
      </c>
    </row>
    <row r="686" ht="15.75" customHeight="1" s="108">
      <c r="A686" s="4" t="inlineStr">
        <is>
          <t>Karl Urban</t>
        </is>
      </c>
      <c r="B686" s="4" t="n">
        <v>6</v>
      </c>
      <c r="C686" s="4" t="n">
        <v>2002</v>
      </c>
      <c r="D686" s="4" t="n">
        <v>2013</v>
      </c>
      <c r="E686" s="19" t="inlineStr">
        <is>
          <t>The Bourne Supremacy, The Lord of the Rings: The Two Towers, The Lord of the Rings: The Return of the King, RED, Riddick, Star Trek</t>
        </is>
      </c>
      <c r="F686" s="4" t="inlineStr">
        <is>
          <t>F0054, F0204, F0205, F0262, F0264, F0291</t>
        </is>
      </c>
    </row>
    <row r="687" ht="15.75" customHeight="1" s="108">
      <c r="A687" s="4" t="inlineStr">
        <is>
          <t>Kate Ashfield</t>
        </is>
      </c>
      <c r="B687" s="4" t="n">
        <v>1</v>
      </c>
      <c r="C687" s="4" t="n">
        <v>2004</v>
      </c>
      <c r="D687" s="4" t="n">
        <v>2004</v>
      </c>
      <c r="E687" s="19" t="inlineStr">
        <is>
          <t>Shaun of the Dead</t>
        </is>
      </c>
      <c r="F687" s="4" t="inlineStr">
        <is>
          <t>F0070</t>
        </is>
      </c>
    </row>
    <row r="688" ht="15.75" customHeight="1" s="108">
      <c r="A688" s="4" t="inlineStr">
        <is>
          <t>Katee Sackhoff</t>
        </is>
      </c>
      <c r="B688" s="4" t="n">
        <v>1</v>
      </c>
      <c r="C688" s="4" t="n">
        <v>2013</v>
      </c>
      <c r="D688" s="4" t="n">
        <v>2013</v>
      </c>
      <c r="E688" s="19" t="inlineStr">
        <is>
          <t>Riddick</t>
        </is>
      </c>
      <c r="F688" s="4" t="inlineStr">
        <is>
          <t>F0264</t>
        </is>
      </c>
    </row>
    <row r="689" ht="15.75" customHeight="1" s="108">
      <c r="A689" s="4" t="inlineStr">
        <is>
          <t>Katherine Waterston</t>
        </is>
      </c>
      <c r="B689" s="4" t="n">
        <v>3</v>
      </c>
      <c r="C689" s="4" t="n">
        <v>2016</v>
      </c>
      <c r="D689" s="4" t="n">
        <v>2018</v>
      </c>
      <c r="E689" s="19" t="inlineStr">
        <is>
          <t>Fantastic Beasts and Where to Find Them, Fantastic beasts: the crimes of grindelwald, alien covenant</t>
        </is>
      </c>
      <c r="F689" s="4" t="inlineStr">
        <is>
          <t>F0100, F0360, F0361</t>
        </is>
      </c>
    </row>
    <row r="690" ht="15.75" customHeight="1" s="108">
      <c r="A690" s="4" t="inlineStr">
        <is>
          <t>Kathryn Hahn</t>
        </is>
      </c>
      <c r="B690" s="4" t="n">
        <v>2</v>
      </c>
      <c r="C690" s="4" t="n">
        <v>2004</v>
      </c>
      <c r="D690" s="4" t="n">
        <v>2016</v>
      </c>
      <c r="E690" s="19" t="inlineStr">
        <is>
          <t>Bad Moms, Anchorman: The Legend of Ron Burgundy</t>
        </is>
      </c>
      <c r="F690" s="4" t="inlineStr">
        <is>
          <t>F0038, F0022</t>
        </is>
      </c>
    </row>
    <row r="691" ht="15.75" customHeight="1" s="108">
      <c r="A691" s="4" t="inlineStr">
        <is>
          <t>Kathy Najimy</t>
        </is>
      </c>
      <c r="B691" s="4" t="n">
        <v>1</v>
      </c>
      <c r="C691" s="4" t="n">
        <v>2008</v>
      </c>
      <c r="D691" s="4" t="n">
        <v>2008</v>
      </c>
      <c r="E691" s="19" t="inlineStr">
        <is>
          <t>WALL·E</t>
        </is>
      </c>
      <c r="F691" s="4" t="inlineStr">
        <is>
          <t>F0331</t>
        </is>
      </c>
    </row>
    <row r="692" ht="15.75" customHeight="1" s="108">
      <c r="A692" s="4" t="inlineStr">
        <is>
          <t>Katie Holmes</t>
        </is>
      </c>
      <c r="B692" s="4" t="n">
        <v>1</v>
      </c>
      <c r="C692" s="4" t="n">
        <v>2005</v>
      </c>
      <c r="D692" s="4" t="n">
        <v>2005</v>
      </c>
      <c r="E692" s="19" t="inlineStr">
        <is>
          <t>Batman Begins</t>
        </is>
      </c>
      <c r="F692" s="4" t="inlineStr">
        <is>
          <t>F0043</t>
        </is>
      </c>
    </row>
    <row r="693" ht="15.75" customHeight="1" s="108">
      <c r="A693" s="4" t="inlineStr">
        <is>
          <t>Katy Perry</t>
        </is>
      </c>
      <c r="B693" s="4" t="n">
        <v>1</v>
      </c>
      <c r="C693" s="4" t="n">
        <v>2013</v>
      </c>
      <c r="D693" s="4" t="n">
        <v>2013</v>
      </c>
      <c r="E693" s="19" t="inlineStr">
        <is>
          <t>The Smurfs 2</t>
        </is>
      </c>
      <c r="F693" s="4" t="inlineStr">
        <is>
          <t>F0282</t>
        </is>
      </c>
    </row>
    <row r="694" ht="15.75" customHeight="1" s="108">
      <c r="A694" s="4" t="inlineStr">
        <is>
          <t>Kaya Scodelario</t>
        </is>
      </c>
      <c r="B694" s="4" t="n">
        <v>2</v>
      </c>
      <c r="C694" s="4" t="n">
        <v>2010</v>
      </c>
      <c r="D694" s="4" t="n">
        <v>2014</v>
      </c>
      <c r="E694" s="19" t="inlineStr">
        <is>
          <t>The Maze Runner, Clash of the Titans</t>
        </is>
      </c>
      <c r="F694" s="4" t="inlineStr">
        <is>
          <t>F0217, F0066</t>
        </is>
      </c>
    </row>
    <row r="695" ht="15.75" customHeight="1" s="108">
      <c r="A695" s="4" t="inlineStr">
        <is>
          <t>Kaylee Hottle</t>
        </is>
      </c>
      <c r="B695" s="4" t="n">
        <v>2</v>
      </c>
      <c r="C695" s="4" t="n">
        <v>2021</v>
      </c>
      <c r="D695" s="4" t="n">
        <v>2024</v>
      </c>
      <c r="E695" s="19" t="inlineStr">
        <is>
          <t>Godzilla vs. Kong, godzilla x kong  the new empire</t>
        </is>
      </c>
      <c r="F695" s="4" t="inlineStr">
        <is>
          <t>F0123, F0372</t>
        </is>
      </c>
    </row>
    <row r="696" ht="15.75" customHeight="1" s="108">
      <c r="A696" s="4" t="inlineStr">
        <is>
          <t>Keira Knightley</t>
        </is>
      </c>
      <c r="B696" s="4" t="n">
        <v>1</v>
      </c>
      <c r="C696" s="4" t="n">
        <v>2014</v>
      </c>
      <c r="D696" s="4" t="n">
        <v>2014</v>
      </c>
      <c r="E696" s="19" t="inlineStr">
        <is>
          <t>The Imitation Game</t>
        </is>
      </c>
      <c r="F696" s="4" t="inlineStr">
        <is>
          <t>F0162</t>
        </is>
      </c>
    </row>
    <row r="697" ht="15.75" customHeight="1" s="108">
      <c r="A697" s="4" t="inlineStr">
        <is>
          <t>Kellan Lutz</t>
        </is>
      </c>
      <c r="B697" s="4" t="n">
        <v>2</v>
      </c>
      <c r="C697" s="4" t="n">
        <v>2014</v>
      </c>
      <c r="D697" s="4" t="n">
        <v>2014</v>
      </c>
      <c r="E697" s="19" t="inlineStr">
        <is>
          <t>The Legend of Hercules, The Expendables 3</t>
        </is>
      </c>
      <c r="F697" s="4" t="inlineStr">
        <is>
          <t>F0148, F0097</t>
        </is>
      </c>
    </row>
    <row r="698" ht="15.75" customHeight="1" s="108">
      <c r="A698" s="4" t="inlineStr">
        <is>
          <t>Ken Stott</t>
        </is>
      </c>
      <c r="B698" s="4" t="n">
        <v>3</v>
      </c>
      <c r="C698" s="4" t="n">
        <v>2012</v>
      </c>
      <c r="D698" s="4" t="n">
        <v>2014</v>
      </c>
      <c r="E698" s="19" t="inlineStr">
        <is>
          <t>The Hobbit: An Unexpected Journey, The Hobbit: The Desolation of Smaug, The Hobbit: The Battle of the Five Armies</t>
        </is>
      </c>
      <c r="F698" s="4" t="inlineStr">
        <is>
          <t>F0150, F0151, F0152</t>
        </is>
      </c>
    </row>
    <row r="699" ht="15.75" customHeight="1" s="108">
      <c r="A699" s="4" t="inlineStr">
        <is>
          <t>Kenneth Branagh</t>
        </is>
      </c>
      <c r="B699" s="4" t="n">
        <v>3</v>
      </c>
      <c r="C699" s="4" t="n">
        <v>2002</v>
      </c>
      <c r="D699" s="4" t="n">
        <v>2023</v>
      </c>
      <c r="E699" s="19" t="inlineStr">
        <is>
          <t>Harry Potter and the Chamber of Secrets, Oppenheimer, Tenet</t>
        </is>
      </c>
      <c r="F699" s="4" t="inlineStr">
        <is>
          <t>F0138, F0242, F0387</t>
        </is>
      </c>
    </row>
    <row r="700" ht="15.75" customHeight="1" s="108">
      <c r="A700" s="4" t="inlineStr">
        <is>
          <t>Keri Russell</t>
        </is>
      </c>
      <c r="B700" s="4" t="n">
        <v>3</v>
      </c>
      <c r="C700" s="4" t="n">
        <v>2006</v>
      </c>
      <c r="D700" s="4" t="n">
        <v>2019</v>
      </c>
      <c r="E700" s="19" t="inlineStr">
        <is>
          <t>Dawn of the Planet of the Apes, Mission: Impossible III, Star Wars: The Rise of Skywalker</t>
        </is>
      </c>
      <c r="F700" s="4" t="inlineStr">
        <is>
          <t>F0254, F0223, F0300</t>
        </is>
      </c>
    </row>
    <row r="701" ht="15.75" customHeight="1" s="108">
      <c r="A701" s="4" t="inlineStr">
        <is>
          <t>Kerry Condon</t>
        </is>
      </c>
      <c r="B701" s="4" t="n">
        <v>1</v>
      </c>
      <c r="C701" s="4" t="n">
        <v>2025</v>
      </c>
      <c r="D701" s="4" t="n">
        <v>2025</v>
      </c>
      <c r="E701" s="19" t="inlineStr">
        <is>
          <t>F1</t>
        </is>
      </c>
      <c r="F701" s="4" t="inlineStr">
        <is>
          <t>F0098</t>
        </is>
      </c>
    </row>
    <row r="702" ht="15.75" customHeight="1" s="108">
      <c r="A702" s="4" t="inlineStr">
        <is>
          <t>Kevin Bacon</t>
        </is>
      </c>
      <c r="B702" s="4" t="n">
        <v>1</v>
      </c>
      <c r="C702" s="4" t="n">
        <v>2011</v>
      </c>
      <c r="D702" s="4" t="n">
        <v>2011</v>
      </c>
      <c r="E702" s="19" t="inlineStr">
        <is>
          <t>X-Men: First Class</t>
        </is>
      </c>
      <c r="F702" s="4" t="inlineStr">
        <is>
          <t>F0340</t>
        </is>
      </c>
    </row>
    <row r="703" ht="15.75" customHeight="1" s="108">
      <c r="A703" s="4" t="inlineStr">
        <is>
          <t>Kevin Hart</t>
        </is>
      </c>
      <c r="B703" s="4" t="n">
        <v>2</v>
      </c>
      <c r="C703" s="4" t="n">
        <v>2016</v>
      </c>
      <c r="D703" s="4" t="n">
        <v>2017</v>
      </c>
      <c r="E703" s="19" t="inlineStr">
        <is>
          <t>The Secret Life of Pets, Jumanji welcome to the jungle</t>
        </is>
      </c>
      <c r="F703" s="4" t="inlineStr">
        <is>
          <t>F0274, F0359</t>
        </is>
      </c>
    </row>
    <row r="704" ht="15.75" customHeight="1" s="108">
      <c r="A704" s="4" t="inlineStr">
        <is>
          <t>Kevin McNally</t>
        </is>
      </c>
      <c r="B704" s="4" t="n">
        <v>1</v>
      </c>
      <c r="C704" s="4" t="n">
        <v>2011</v>
      </c>
      <c r="D704" s="4" t="n">
        <v>2011</v>
      </c>
      <c r="E704" s="19" t="inlineStr">
        <is>
          <t>Pirates of the Caribbean: On Stranger Tides</t>
        </is>
      </c>
      <c r="F704" s="4" t="inlineStr">
        <is>
          <t>F0249</t>
        </is>
      </c>
    </row>
    <row r="705" ht="15.75" customHeight="1" s="108">
      <c r="A705" s="4" t="inlineStr">
        <is>
          <t>Khalid Abdalla</t>
        </is>
      </c>
      <c r="B705" s="4" t="n">
        <v>1</v>
      </c>
      <c r="C705" s="4" t="n">
        <v>2010</v>
      </c>
      <c r="D705" s="4" t="n">
        <v>2010</v>
      </c>
      <c r="E705" s="19" t="inlineStr">
        <is>
          <t>Green Zone</t>
        </is>
      </c>
      <c r="F705" s="4" t="inlineStr">
        <is>
          <t>F0129</t>
        </is>
      </c>
    </row>
    <row r="706" ht="15.75" customHeight="1" s="108">
      <c r="A706" s="4" t="inlineStr">
        <is>
          <t>Khary Payton</t>
        </is>
      </c>
      <c r="B706" s="4" t="n">
        <v>3</v>
      </c>
      <c r="C706" s="4" t="n">
        <v>2015</v>
      </c>
      <c r="D706" s="4" t="n">
        <v>2023</v>
      </c>
      <c r="E706" s="19" t="inlineStr">
        <is>
          <t>Lego DC Comics Super Heroes: Justice League vs. Bizarro League, Lego DC Comics Super Heroes: Justice League - Gotham City Breakout, The Super Mario Bros. Movie</t>
        </is>
      </c>
      <c r="F706" s="4" t="inlineStr">
        <is>
          <t>F0197, F0198, F0212</t>
        </is>
      </c>
    </row>
    <row r="707" ht="15.75" customHeight="1" s="108">
      <c r="A707" s="4" t="inlineStr">
        <is>
          <t>Ki Hong Lee</t>
        </is>
      </c>
      <c r="B707" s="4" t="n">
        <v>1</v>
      </c>
      <c r="C707" s="4" t="n">
        <v>2014</v>
      </c>
      <c r="D707" s="4" t="n">
        <v>2014</v>
      </c>
      <c r="E707" s="19" t="inlineStr">
        <is>
          <t>The Maze Runner</t>
        </is>
      </c>
      <c r="F707" s="4" t="inlineStr">
        <is>
          <t>F0217</t>
        </is>
      </c>
    </row>
    <row r="708" ht="15.75" customHeight="1" s="108">
      <c r="A708" s="4" t="inlineStr">
        <is>
          <t>Kid Cudi</t>
        </is>
      </c>
      <c r="B708" s="4" t="n">
        <v>1</v>
      </c>
      <c r="C708" s="4" t="n">
        <v>2014</v>
      </c>
      <c r="D708" s="4" t="n">
        <v>2014</v>
      </c>
      <c r="E708" s="19" t="inlineStr">
        <is>
          <t>Need for Speed</t>
        </is>
      </c>
      <c r="F708" s="4" t="inlineStr">
        <is>
          <t>F0234</t>
        </is>
      </c>
    </row>
    <row r="709" ht="15.75" customHeight="1" s="108">
      <c r="A709" s="4" t="inlineStr">
        <is>
          <t>Kristen Stewart</t>
        </is>
      </c>
      <c r="B709" s="4" t="n">
        <v>2</v>
      </c>
      <c r="C709" s="4" t="n">
        <v>2008</v>
      </c>
      <c r="D709" s="4" t="n">
        <v>2012</v>
      </c>
      <c r="E709" s="19" t="inlineStr">
        <is>
          <t>Snow White and the Huntsman, Jumper</t>
        </is>
      </c>
      <c r="F709" s="4" t="inlineStr">
        <is>
          <t>F0284, F0175</t>
        </is>
      </c>
    </row>
    <row r="710" ht="15.75" customHeight="1" s="108">
      <c r="A710" s="4" t="inlineStr">
        <is>
          <t>Kurtwood Smith</t>
        </is>
      </c>
      <c r="B710" s="4" t="n">
        <v>2</v>
      </c>
      <c r="C710" s="4" t="n">
        <v>2008</v>
      </c>
      <c r="D710" s="4" t="n">
        <v>2008</v>
      </c>
      <c r="E710" s="19" t="inlineStr">
        <is>
          <t>RoboCop, Rambo</t>
        </is>
      </c>
      <c r="F710" s="4" t="inlineStr">
        <is>
          <t>F0268, F0261</t>
        </is>
      </c>
    </row>
    <row r="711" ht="15.75" customHeight="1" s="108">
      <c r="A711" s="4" t="inlineStr">
        <is>
          <t>Lance Henriksen</t>
        </is>
      </c>
      <c r="B711" s="4" t="n">
        <v>2</v>
      </c>
      <c r="C711" s="4" t="n">
        <v>1986</v>
      </c>
      <c r="D711" s="4" t="n">
        <v>1992</v>
      </c>
      <c r="E711" s="19" t="inlineStr">
        <is>
          <t>Aliens, Alien³</t>
        </is>
      </c>
      <c r="F711" s="4" t="inlineStr">
        <is>
          <t>F0016, F0017</t>
        </is>
      </c>
    </row>
    <row r="712" ht="15.75" customHeight="1" s="108">
      <c r="A712" s="4" t="inlineStr">
        <is>
          <t>Lashana Lynch</t>
        </is>
      </c>
      <c r="B712" s="4" t="n">
        <v>1</v>
      </c>
      <c r="C712" s="4" t="n">
        <v>2021</v>
      </c>
      <c r="D712" s="4" t="n">
        <v>2021</v>
      </c>
      <c r="E712" s="19" t="inlineStr">
        <is>
          <t>No Time to Die</t>
        </is>
      </c>
      <c r="F712" s="4" t="inlineStr">
        <is>
          <t>F0005</t>
        </is>
      </c>
    </row>
    <row r="713" ht="15.75" customHeight="1" s="108">
      <c r="A713" s="4" t="inlineStr">
        <is>
          <t>Laura Haddock</t>
        </is>
      </c>
      <c r="B713" s="4" t="n">
        <v>2</v>
      </c>
      <c r="C713" s="4" t="n">
        <v>2011</v>
      </c>
      <c r="D713" s="4" t="n">
        <v>2017</v>
      </c>
      <c r="E713" s="19" t="inlineStr">
        <is>
          <t>Transformers: The Last Knight, The Inbetweeners Movie</t>
        </is>
      </c>
      <c r="F713" s="4" t="inlineStr">
        <is>
          <t>F0320, F0163</t>
        </is>
      </c>
    </row>
    <row r="714" ht="15.75" customHeight="1" s="108">
      <c r="A714" s="4" t="inlineStr">
        <is>
          <t>Lesley Manville</t>
        </is>
      </c>
      <c r="B714" s="4" t="n">
        <v>1</v>
      </c>
      <c r="C714" s="4" t="n">
        <v>2014</v>
      </c>
      <c r="D714" s="4" t="n">
        <v>2014</v>
      </c>
      <c r="E714" s="19" t="inlineStr">
        <is>
          <t>Maleficent</t>
        </is>
      </c>
      <c r="F714" s="4" t="inlineStr">
        <is>
          <t>F0208</t>
        </is>
      </c>
    </row>
    <row r="715" ht="15.75" customHeight="1" s="108">
      <c r="A715" s="4" t="inlineStr">
        <is>
          <t>Leslie Bibb</t>
        </is>
      </c>
      <c r="B715" s="4" t="n">
        <v>1</v>
      </c>
      <c r="C715" s="4" t="n">
        <v>2009</v>
      </c>
      <c r="D715" s="4" t="n">
        <v>2009</v>
      </c>
      <c r="E715" s="19" t="inlineStr">
        <is>
          <t>Law Abiding Citizen</t>
        </is>
      </c>
      <c r="F715" s="4" t="inlineStr">
        <is>
          <t>F0191</t>
        </is>
      </c>
    </row>
    <row r="716" ht="15.75" customHeight="1" s="108">
      <c r="A716" s="4" t="inlineStr">
        <is>
          <t>Lewis Black</t>
        </is>
      </c>
      <c r="B716" s="4" t="n">
        <v>1</v>
      </c>
      <c r="C716" s="4" t="n">
        <v>2015</v>
      </c>
      <c r="D716" s="4" t="n">
        <v>2015</v>
      </c>
      <c r="E716" s="19" t="inlineStr">
        <is>
          <t>Inside Out</t>
        </is>
      </c>
      <c r="F716" s="4" t="inlineStr">
        <is>
          <t>F0167</t>
        </is>
      </c>
    </row>
    <row r="717" ht="15.75" customHeight="1" s="108">
      <c r="A717" s="4" t="inlineStr">
        <is>
          <t>Liam McIntyre</t>
        </is>
      </c>
      <c r="B717" s="4" t="n">
        <v>1</v>
      </c>
      <c r="C717" s="4" t="n">
        <v>2014</v>
      </c>
      <c r="D717" s="4" t="n">
        <v>2014</v>
      </c>
      <c r="E717" s="19" t="inlineStr">
        <is>
          <t>The Legend of Hercules</t>
        </is>
      </c>
      <c r="F717" s="4" t="inlineStr">
        <is>
          <t>F0148</t>
        </is>
      </c>
    </row>
    <row r="718" ht="15.75" customHeight="1" s="108">
      <c r="A718" s="4" t="inlineStr">
        <is>
          <t>Lily James</t>
        </is>
      </c>
      <c r="B718" s="4" t="n">
        <v>1</v>
      </c>
      <c r="C718" s="4" t="n">
        <v>2017</v>
      </c>
      <c r="D718" s="4" t="n">
        <v>2017</v>
      </c>
      <c r="E718" s="19" t="inlineStr">
        <is>
          <t>Baby Driver</t>
        </is>
      </c>
      <c r="F718" s="4" t="inlineStr">
        <is>
          <t>F0032</t>
        </is>
      </c>
    </row>
    <row r="719" ht="15.75" customHeight="1" s="108">
      <c r="A719" s="4" t="inlineStr">
        <is>
          <t>Linda Fiorentino</t>
        </is>
      </c>
      <c r="B719" s="4" t="n">
        <v>2</v>
      </c>
      <c r="C719" s="4" t="n">
        <v>1997</v>
      </c>
      <c r="D719" s="4" t="n">
        <v>1999</v>
      </c>
      <c r="E719" s="19" t="inlineStr">
        <is>
          <t>Men in Black, Dogma</t>
        </is>
      </c>
      <c r="F719" s="4" t="inlineStr">
        <is>
          <t>F0218, F0351</t>
        </is>
      </c>
    </row>
    <row r="720" ht="15.75" customHeight="1" s="108">
      <c r="A720" s="4" t="inlineStr">
        <is>
          <t>Livvy Stubenrauch</t>
        </is>
      </c>
      <c r="B720" s="4" t="n">
        <v>1</v>
      </c>
      <c r="C720" s="4" t="n">
        <v>2013</v>
      </c>
      <c r="D720" s="4" t="n">
        <v>2013</v>
      </c>
      <c r="E720" s="19" t="inlineStr">
        <is>
          <t>Frozen</t>
        </is>
      </c>
      <c r="F720" s="4" t="inlineStr">
        <is>
          <t>F0116</t>
        </is>
      </c>
    </row>
    <row r="721" ht="15.75" customHeight="1" s="108">
      <c r="A721" s="4" t="inlineStr">
        <is>
          <t>Loan Chabanol</t>
        </is>
      </c>
      <c r="B721" s="4" t="n">
        <v>1</v>
      </c>
      <c r="C721" s="4" t="n">
        <v>2015</v>
      </c>
      <c r="D721" s="4" t="n">
        <v>2015</v>
      </c>
      <c r="E721" s="19" t="inlineStr">
        <is>
          <t>The Transporter Refueled</t>
        </is>
      </c>
      <c r="F721" s="4" t="inlineStr">
        <is>
          <t>F0323</t>
        </is>
      </c>
    </row>
    <row r="722" ht="15.75" customHeight="1" s="108">
      <c r="A722" s="4" t="inlineStr">
        <is>
          <t>Logan Lerman</t>
        </is>
      </c>
      <c r="B722" s="4" t="n">
        <v>2</v>
      </c>
      <c r="C722" s="4" t="n">
        <v>2014</v>
      </c>
      <c r="D722" s="4" t="n">
        <v>2014</v>
      </c>
      <c r="E722" s="19" t="inlineStr">
        <is>
          <t>Fury, Noah</t>
        </is>
      </c>
      <c r="F722" s="4" t="inlineStr">
        <is>
          <t>F0117, F0238</t>
        </is>
      </c>
    </row>
    <row r="723" ht="15.75" customHeight="1" s="108">
      <c r="A723" s="4" t="inlineStr">
        <is>
          <t>Loren Dean</t>
        </is>
      </c>
      <c r="B723" s="4" t="n">
        <v>1</v>
      </c>
      <c r="C723" s="4" t="n">
        <v>1998</v>
      </c>
      <c r="D723" s="4" t="n">
        <v>1998</v>
      </c>
      <c r="E723" s="19" t="inlineStr">
        <is>
          <t>Enemy of the State</t>
        </is>
      </c>
      <c r="F723" s="4" t="inlineStr">
        <is>
          <t>F0094</t>
        </is>
      </c>
    </row>
    <row r="724" ht="15.75" customHeight="1" s="108">
      <c r="A724" s="4" t="inlineStr">
        <is>
          <t>Louis C.K.</t>
        </is>
      </c>
      <c r="B724" s="4" t="n">
        <v>2</v>
      </c>
      <c r="C724" s="4" t="n">
        <v>2013</v>
      </c>
      <c r="D724" s="4" t="n">
        <v>2016</v>
      </c>
      <c r="E724" s="19" t="inlineStr">
        <is>
          <t>The Secret Life of Pets, American Hustle</t>
        </is>
      </c>
      <c r="F724" s="4" t="inlineStr">
        <is>
          <t>F0274, F0020</t>
        </is>
      </c>
    </row>
    <row r="725" ht="15.75" customHeight="1" s="108">
      <c r="A725" s="4" t="inlineStr">
        <is>
          <t>Lucas Black</t>
        </is>
      </c>
      <c r="B725" s="4" t="n">
        <v>3</v>
      </c>
      <c r="C725" s="4" t="n">
        <v>2006</v>
      </c>
      <c r="D725" s="4" t="n">
        <v>2021</v>
      </c>
      <c r="E725" s="19" t="inlineStr">
        <is>
          <t>The Fast and the Furious: Tokyo Drift, Furious 7, F9: The Fast Saga</t>
        </is>
      </c>
      <c r="F725" s="4" t="inlineStr">
        <is>
          <t>F0103, F0107, F0109</t>
        </is>
      </c>
    </row>
    <row r="726" ht="15.75" customHeight="1" s="108">
      <c r="A726" s="4" t="inlineStr">
        <is>
          <t>Lucy Boynton</t>
        </is>
      </c>
      <c r="B726" s="4" t="n">
        <v>1</v>
      </c>
      <c r="C726" s="4" t="n">
        <v>2018</v>
      </c>
      <c r="D726" s="4" t="n">
        <v>2018</v>
      </c>
      <c r="E726" s="19" t="inlineStr">
        <is>
          <t>Bohemian Rhapsody</t>
        </is>
      </c>
      <c r="F726" s="4" t="inlineStr">
        <is>
          <t>F0052</t>
        </is>
      </c>
    </row>
    <row r="727" ht="15.75" customHeight="1" s="108">
      <c r="A727" s="4" t="inlineStr">
        <is>
          <t>Lucy Davis</t>
        </is>
      </c>
      <c r="B727" s="4" t="n">
        <v>1</v>
      </c>
      <c r="C727" s="4" t="n">
        <v>2004</v>
      </c>
      <c r="D727" s="4" t="n">
        <v>2004</v>
      </c>
      <c r="E727" s="19" t="inlineStr">
        <is>
          <t>Shaun of the Dead</t>
        </is>
      </c>
      <c r="F727" s="4" t="inlineStr">
        <is>
          <t>F0070</t>
        </is>
      </c>
    </row>
    <row r="728" ht="15.75" customHeight="1" s="108">
      <c r="A728" s="4" t="inlineStr">
        <is>
          <t>Lucy Punch</t>
        </is>
      </c>
      <c r="B728" s="4" t="n">
        <v>2</v>
      </c>
      <c r="C728" s="4" t="n">
        <v>2007</v>
      </c>
      <c r="D728" s="4" t="n">
        <v>2011</v>
      </c>
      <c r="E728" s="19" t="inlineStr">
        <is>
          <t>Bad Teacher, Hot Fuzz</t>
        </is>
      </c>
      <c r="F728" s="4" t="inlineStr">
        <is>
          <t>F0039, F0071</t>
        </is>
      </c>
    </row>
    <row r="729" ht="15.75" customHeight="1" s="108">
      <c r="A729" s="4" t="inlineStr">
        <is>
          <t>Luke Bracey</t>
        </is>
      </c>
      <c r="B729" s="4" t="n">
        <v>1</v>
      </c>
      <c r="C729" s="4" t="n">
        <v>2016</v>
      </c>
      <c r="D729" s="4" t="n">
        <v>2016</v>
      </c>
      <c r="E729" s="19" t="inlineStr">
        <is>
          <t>Hacksaw Ridge</t>
        </is>
      </c>
      <c r="F729" s="4" t="inlineStr">
        <is>
          <t>F0133</t>
        </is>
      </c>
    </row>
    <row r="730" ht="15.75" customHeight="1" s="108">
      <c r="A730" s="4" t="inlineStr">
        <is>
          <t>Luke Treadaway</t>
        </is>
      </c>
      <c r="B730" s="4" t="n">
        <v>2</v>
      </c>
      <c r="C730" s="4" t="n">
        <v>2010</v>
      </c>
      <c r="D730" s="4" t="n">
        <v>2011</v>
      </c>
      <c r="E730" s="19" t="inlineStr">
        <is>
          <t>Attack the Block, Clash of the Titans</t>
        </is>
      </c>
      <c r="F730" s="4" t="inlineStr">
        <is>
          <t>F0027, F0066</t>
        </is>
      </c>
    </row>
    <row r="731" ht="15.75" customHeight="1" s="108">
      <c r="A731" s="4" t="inlineStr">
        <is>
          <t>Lyne Renee</t>
        </is>
      </c>
      <c r="B731" s="4" t="n">
        <v>1</v>
      </c>
      <c r="C731" s="4" t="n">
        <v>2020</v>
      </c>
      <c r="D731" s="4" t="n">
        <v>2020</v>
      </c>
      <c r="E731" s="19" t="inlineStr">
        <is>
          <t>The Gentlemen</t>
        </is>
      </c>
      <c r="F731" s="4" t="inlineStr">
        <is>
          <t>F0119</t>
        </is>
      </c>
    </row>
    <row r="732" ht="15.75" customHeight="1" s="108">
      <c r="A732" s="4" t="inlineStr">
        <is>
          <t>Lynn Collins</t>
        </is>
      </c>
      <c r="B732" s="4" t="n">
        <v>1</v>
      </c>
      <c r="C732" s="4" t="n">
        <v>2009</v>
      </c>
      <c r="D732" s="4" t="n">
        <v>2009</v>
      </c>
      <c r="E732" s="19" t="inlineStr">
        <is>
          <t>X-Men Origins: Wolverine</t>
        </is>
      </c>
      <c r="F732" s="4" t="inlineStr">
        <is>
          <t>F0343</t>
        </is>
      </c>
    </row>
    <row r="733" ht="15.75" customHeight="1" s="108">
      <c r="A733" s="4" t="inlineStr">
        <is>
          <t>Madeleine Harris</t>
        </is>
      </c>
      <c r="B733" s="4" t="n">
        <v>1</v>
      </c>
      <c r="C733" s="4" t="n">
        <v>2014</v>
      </c>
      <c r="D733" s="4" t="n">
        <v>2014</v>
      </c>
      <c r="E733" s="19" t="inlineStr">
        <is>
          <t>Paddington</t>
        </is>
      </c>
      <c r="F733" s="4" t="inlineStr">
        <is>
          <t>F0244</t>
        </is>
      </c>
    </row>
    <row r="734" ht="15.75" customHeight="1" s="108">
      <c r="A734" s="4" t="inlineStr">
        <is>
          <t>Madhur Mittal</t>
        </is>
      </c>
      <c r="B734" s="4" t="n">
        <v>1</v>
      </c>
      <c r="C734" s="4" t="n">
        <v>2008</v>
      </c>
      <c r="D734" s="4" t="n">
        <v>2008</v>
      </c>
      <c r="E734" s="19" t="inlineStr">
        <is>
          <t>Slumdog Millionaire</t>
        </is>
      </c>
      <c r="F734" s="4" t="inlineStr">
        <is>
          <t>F0281</t>
        </is>
      </c>
    </row>
    <row r="735" ht="15.75" customHeight="1" s="108">
      <c r="A735" s="4" t="inlineStr">
        <is>
          <t>Maggie Q</t>
        </is>
      </c>
      <c r="B735" s="4" t="n">
        <v>3</v>
      </c>
      <c r="C735" s="4" t="n">
        <v>2006</v>
      </c>
      <c r="D735" s="4" t="n">
        <v>2014</v>
      </c>
      <c r="E735" s="19" t="inlineStr">
        <is>
          <t>Live Free or Die Hard, Divergent, Mission: Impossible III</t>
        </is>
      </c>
      <c r="F735" s="4" t="inlineStr">
        <is>
          <t>F0086, F0089, F0223</t>
        </is>
      </c>
    </row>
    <row r="736" ht="15.75" customHeight="1" s="108">
      <c r="A736" s="4" t="inlineStr">
        <is>
          <t>Mahat M. Ali</t>
        </is>
      </c>
      <c r="B736" s="4" t="n">
        <v>1</v>
      </c>
      <c r="C736" s="4" t="n">
        <v>2013</v>
      </c>
      <c r="D736" s="4" t="n">
        <v>2013</v>
      </c>
      <c r="E736" s="19" t="inlineStr">
        <is>
          <t>Captain Phillips</t>
        </is>
      </c>
      <c r="F736" s="4" t="inlineStr">
        <is>
          <t>F0062</t>
        </is>
      </c>
    </row>
    <row r="737" ht="15.75" customHeight="1" s="108">
      <c r="A737" s="4" t="inlineStr">
        <is>
          <t>Mahershala Ali</t>
        </is>
      </c>
      <c r="B737" s="4" t="n">
        <v>5</v>
      </c>
      <c r="C737" s="4" t="n">
        <v>2014</v>
      </c>
      <c r="D737" s="4" t="n">
        <v>2025</v>
      </c>
      <c r="E737" s="19" t="inlineStr">
        <is>
          <t xml:space="preserve">Jurassic World Rebirth, The Hunger Games: Mockingjay - Part 1, green book, Mockingjay part 2, green book </t>
        </is>
      </c>
      <c r="F737" s="4" t="inlineStr">
        <is>
          <t>F0182, F0158, F0371, F0383</t>
        </is>
      </c>
    </row>
    <row r="738" ht="15.75" customHeight="1" s="108">
      <c r="A738" s="4" t="inlineStr">
        <is>
          <t>Mahesh Manjrekar</t>
        </is>
      </c>
      <c r="B738" s="4" t="n">
        <v>1</v>
      </c>
      <c r="C738" s="4" t="n">
        <v>2008</v>
      </c>
      <c r="D738" s="4" t="n">
        <v>2008</v>
      </c>
      <c r="E738" s="19" t="inlineStr">
        <is>
          <t>Slumdog Millionaire</t>
        </is>
      </c>
      <c r="F738" s="4" t="inlineStr">
        <is>
          <t>F0281</t>
        </is>
      </c>
    </row>
    <row r="739" ht="15.75" customHeight="1" s="108">
      <c r="A739" s="4" t="inlineStr">
        <is>
          <t>Malin Åkerman</t>
        </is>
      </c>
      <c r="B739" s="4" t="n">
        <v>1</v>
      </c>
      <c r="C739" s="4" t="n">
        <v>2011</v>
      </c>
      <c r="D739" s="4" t="n">
        <v>2011</v>
      </c>
      <c r="E739" s="19" t="inlineStr">
        <is>
          <t>Catch.44</t>
        </is>
      </c>
      <c r="F739" s="4" t="inlineStr">
        <is>
          <t>F0063</t>
        </is>
      </c>
    </row>
    <row r="740" ht="15.75" customHeight="1" s="108">
      <c r="A740" s="4" t="inlineStr">
        <is>
          <t>Manuel Garcia-Rulfo</t>
        </is>
      </c>
      <c r="B740" s="4" t="n">
        <v>2</v>
      </c>
      <c r="C740" s="4" t="n">
        <v>2016</v>
      </c>
      <c r="D740" s="4" t="n">
        <v>2025</v>
      </c>
      <c r="E740" s="19" t="inlineStr">
        <is>
          <t>Jurassic World Rebirth, The Magnificent Seven</t>
        </is>
      </c>
      <c r="F740" s="4" t="inlineStr">
        <is>
          <t>F0182, F0207</t>
        </is>
      </c>
    </row>
    <row r="741" ht="15.75" customHeight="1" s="108">
      <c r="A741" s="4" t="inlineStr">
        <is>
          <t>Maria Bello</t>
        </is>
      </c>
      <c r="B741" s="4" t="n">
        <v>3</v>
      </c>
      <c r="C741" s="4" t="n">
        <v>2010</v>
      </c>
      <c r="D741" s="4" t="n">
        <v>2013</v>
      </c>
      <c r="E741" s="19" t="inlineStr">
        <is>
          <t>Prisoners, Grown Ups, Grown Ups 2</t>
        </is>
      </c>
      <c r="F741" s="4" t="inlineStr">
        <is>
          <t>F0258, F0131, F0132</t>
        </is>
      </c>
    </row>
    <row r="742" ht="15.75" customHeight="1" s="108">
      <c r="A742" s="4" t="inlineStr">
        <is>
          <t>Mark Ryan</t>
        </is>
      </c>
      <c r="B742" s="4" t="n">
        <v>3</v>
      </c>
      <c r="C742" s="4" t="n">
        <v>2006</v>
      </c>
      <c r="D742" s="4" t="n">
        <v>2014</v>
      </c>
      <c r="E742" s="19" t="inlineStr">
        <is>
          <t>Transformers, The Prestige, Transformers: Age of Extinction</t>
        </is>
      </c>
      <c r="F742" s="4" t="inlineStr">
        <is>
          <t>F0316, F0257, F0319</t>
        </is>
      </c>
    </row>
    <row r="743" ht="15.75" customHeight="1" s="108">
      <c r="A743" s="4" t="inlineStr">
        <is>
          <t>Mark Rylance</t>
        </is>
      </c>
      <c r="B743" s="4" t="n">
        <v>2</v>
      </c>
      <c r="C743" s="4" t="n">
        <v>2016</v>
      </c>
      <c r="D743" s="4" t="n">
        <v>2018</v>
      </c>
      <c r="E743" s="19" t="inlineStr">
        <is>
          <t>The BFG, Ready player one</t>
        </is>
      </c>
      <c r="F743" s="4" t="inlineStr">
        <is>
          <t>F0047, F0352</t>
        </is>
      </c>
    </row>
    <row r="744" ht="15.75" customHeight="1" s="108">
      <c r="A744" s="4" t="inlineStr">
        <is>
          <t>Marlon Wayans</t>
        </is>
      </c>
      <c r="B744" s="4" t="n">
        <v>2</v>
      </c>
      <c r="C744" s="4" t="n">
        <v>2009</v>
      </c>
      <c r="D744" s="4" t="n">
        <v>2013</v>
      </c>
      <c r="E744" s="19" t="inlineStr">
        <is>
          <t>The Heat, G.I. Joe: The Rise of Cobra</t>
        </is>
      </c>
      <c r="F744" s="4" t="inlineStr">
        <is>
          <t>F0146, F0118</t>
        </is>
      </c>
    </row>
    <row r="745" ht="15.75" customHeight="1" s="108">
      <c r="A745" s="4" t="inlineStr">
        <is>
          <t>Mary Gibbs</t>
        </is>
      </c>
      <c r="B745" s="4" t="n">
        <v>5</v>
      </c>
      <c r="C745" s="4" t="n">
        <v>2001</v>
      </c>
      <c r="D745" s="4" t="n">
        <v>2001</v>
      </c>
      <c r="E745" s="19" t="inlineStr">
        <is>
          <t>Monsters, Inc., Monsters, Inc., Monsters, Inc., Monsters, Inc., Monsters, Inc.</t>
        </is>
      </c>
      <c r="F745" s="4" t="inlineStr">
        <is>
          <t>F0229</t>
        </is>
      </c>
    </row>
    <row r="746" ht="15.75" customHeight="1" s="108">
      <c r="A746" s="4" t="inlineStr">
        <is>
          <t>Mary-Louise Parker</t>
        </is>
      </c>
      <c r="B746" s="4" t="n">
        <v>1</v>
      </c>
      <c r="C746" s="4" t="n">
        <v>2010</v>
      </c>
      <c r="D746" s="4" t="n">
        <v>2010</v>
      </c>
      <c r="E746" s="19" t="inlineStr">
        <is>
          <t>RED</t>
        </is>
      </c>
      <c r="F746" s="4" t="inlineStr">
        <is>
          <t>F0262</t>
        </is>
      </c>
    </row>
    <row r="747" ht="15.75" customHeight="1" s="108">
      <c r="A747" s="4" t="inlineStr">
        <is>
          <t>Mathieu Amalric</t>
        </is>
      </c>
      <c r="B747" s="4" t="n">
        <v>1</v>
      </c>
      <c r="C747" s="4" t="n">
        <v>2008</v>
      </c>
      <c r="D747" s="4" t="n">
        <v>2008</v>
      </c>
      <c r="E747" s="19" t="inlineStr">
        <is>
          <t>Quantum of Solace</t>
        </is>
      </c>
      <c r="F747" s="4" t="inlineStr">
        <is>
          <t>F0002</t>
        </is>
      </c>
    </row>
    <row r="748" ht="15.75" customHeight="1" s="108">
      <c r="A748" s="4" t="inlineStr">
        <is>
          <t>Matt Bomer</t>
        </is>
      </c>
      <c r="B748" s="4" t="n">
        <v>3</v>
      </c>
      <c r="C748" s="4" t="n">
        <v>2012</v>
      </c>
      <c r="D748" s="4" t="n">
        <v>2016</v>
      </c>
      <c r="E748" s="19" t="inlineStr">
        <is>
          <t>The Nice Guys, Magic Mike, The Magnificent Seven</t>
        </is>
      </c>
      <c r="F748" s="4" t="inlineStr">
        <is>
          <t>F0235, F0206, F0207</t>
        </is>
      </c>
    </row>
    <row r="749" ht="15.75" customHeight="1" s="108">
      <c r="A749" s="4" t="inlineStr">
        <is>
          <t>Matt Jones</t>
        </is>
      </c>
      <c r="B749" s="4" t="n">
        <v>1</v>
      </c>
      <c r="C749" s="4" t="n">
        <v>2015</v>
      </c>
      <c r="D749" s="4" t="n">
        <v>2015</v>
      </c>
      <c r="E749" s="19" t="inlineStr">
        <is>
          <t>Home</t>
        </is>
      </c>
      <c r="F749" s="4" t="inlineStr">
        <is>
          <t>F0153</t>
        </is>
      </c>
    </row>
    <row r="750" ht="15.75" customHeight="1" s="108">
      <c r="A750" s="4" t="inlineStr">
        <is>
          <t>Matt Nable</t>
        </is>
      </c>
      <c r="B750" s="4" t="n">
        <v>2</v>
      </c>
      <c r="C750" s="4" t="n">
        <v>2013</v>
      </c>
      <c r="D750" s="4" t="n">
        <v>2016</v>
      </c>
      <c r="E750" s="19" t="inlineStr">
        <is>
          <t>Riddick, Hacksaw Ridge</t>
        </is>
      </c>
      <c r="F750" s="4" t="inlineStr">
        <is>
          <t>F0264, F0133</t>
        </is>
      </c>
    </row>
    <row r="751" ht="15.75" customHeight="1" s="108">
      <c r="A751" s="4" t="inlineStr">
        <is>
          <t>Matthew Broderick</t>
        </is>
      </c>
      <c r="B751" s="4" t="n">
        <v>1</v>
      </c>
      <c r="C751" s="4" t="n">
        <v>1994</v>
      </c>
      <c r="D751" s="4" t="n">
        <v>1994</v>
      </c>
      <c r="E751" s="19" t="inlineStr">
        <is>
          <t>The Lion King</t>
        </is>
      </c>
      <c r="F751" s="4" t="inlineStr">
        <is>
          <t>F0200</t>
        </is>
      </c>
    </row>
    <row r="752" ht="15.75" customHeight="1" s="108">
      <c r="A752" s="4" t="inlineStr">
        <is>
          <t>Matthew Goode</t>
        </is>
      </c>
      <c r="B752" s="4" t="n">
        <v>1</v>
      </c>
      <c r="C752" s="4" t="n">
        <v>2014</v>
      </c>
      <c r="D752" s="4" t="n">
        <v>2014</v>
      </c>
      <c r="E752" s="19" t="inlineStr">
        <is>
          <t>The Imitation Game</t>
        </is>
      </c>
      <c r="F752" s="4" t="inlineStr">
        <is>
          <t>F0162</t>
        </is>
      </c>
    </row>
    <row r="753" ht="15.75" customHeight="1" s="108">
      <c r="A753" s="4" t="inlineStr">
        <is>
          <t>Matthew Macfadyen</t>
        </is>
      </c>
      <c r="B753" s="4" t="n">
        <v>2</v>
      </c>
      <c r="C753" s="4" t="n">
        <v>2010</v>
      </c>
      <c r="D753" s="4" t="n">
        <v>2024</v>
      </c>
      <c r="E753" s="19" t="inlineStr">
        <is>
          <t>Deadpool &amp; Wolverine, Robin Hood</t>
        </is>
      </c>
      <c r="F753" s="4" t="inlineStr">
        <is>
          <t>F0078, F0267</t>
        </is>
      </c>
    </row>
    <row r="754" ht="15.75" customHeight="1" s="108">
      <c r="A754" s="4" t="inlineStr">
        <is>
          <t>Matthew Marsden</t>
        </is>
      </c>
      <c r="B754" s="4" t="n">
        <v>3</v>
      </c>
      <c r="C754" s="4" t="n">
        <v>2001</v>
      </c>
      <c r="D754" s="4" t="n">
        <v>2009</v>
      </c>
      <c r="E754" s="19" t="inlineStr">
        <is>
          <t>Rambo, Black Hawk Down, Transformers: Revenge of the Fallen</t>
        </is>
      </c>
      <c r="F754" s="4" t="inlineStr">
        <is>
          <t>F0261, F0050, F0317</t>
        </is>
      </c>
    </row>
    <row r="755" ht="15.75" customHeight="1" s="108">
      <c r="A755" s="4" t="inlineStr">
        <is>
          <t>Max Martini</t>
        </is>
      </c>
      <c r="B755" s="4" t="n">
        <v>2</v>
      </c>
      <c r="C755" s="4" t="n">
        <v>2013</v>
      </c>
      <c r="D755" s="4" t="n">
        <v>2013</v>
      </c>
      <c r="E755" s="19" t="inlineStr">
        <is>
          <t>Pacific Rim, Captain Phillips</t>
        </is>
      </c>
      <c r="F755" s="4" t="inlineStr">
        <is>
          <t>F0243, F0062</t>
        </is>
      </c>
    </row>
    <row r="756" ht="15.75" customHeight="1" s="108">
      <c r="A756" s="4" t="inlineStr">
        <is>
          <t>Maya Rudolph</t>
        </is>
      </c>
      <c r="B756" s="4" t="n">
        <v>5</v>
      </c>
      <c r="C756" s="4" t="n">
        <v>2010</v>
      </c>
      <c r="D756" s="4" t="n">
        <v>2019</v>
      </c>
      <c r="E756" s="19" t="inlineStr">
        <is>
          <t>Bridesmaids, Big Hero 6, Grown Ups, Grown Ups 2, The Lego Movie 2: The Second Part</t>
        </is>
      </c>
      <c r="F756" s="4" t="inlineStr">
        <is>
          <t>F0058, F0048, F0131, F0132, F0196</t>
        </is>
      </c>
    </row>
    <row r="757" ht="15.75" customHeight="1" s="108">
      <c r="A757" s="4" t="inlineStr">
        <is>
          <t>Meat Loaf</t>
        </is>
      </c>
      <c r="B757" s="4" t="n">
        <v>1</v>
      </c>
      <c r="C757" s="4" t="n">
        <v>1999</v>
      </c>
      <c r="D757" s="4" t="n">
        <v>1999</v>
      </c>
      <c r="E757" s="19" t="inlineStr">
        <is>
          <t>Fight Club</t>
        </is>
      </c>
      <c r="F757" s="4" t="inlineStr">
        <is>
          <t>F0112</t>
        </is>
      </c>
    </row>
    <row r="758" ht="15.75" customHeight="1" s="108">
      <c r="A758" s="4" t="inlineStr">
        <is>
          <t>Mel Gibson</t>
        </is>
      </c>
      <c r="B758" s="4" t="n">
        <v>1</v>
      </c>
      <c r="C758" s="4" t="n">
        <v>2014</v>
      </c>
      <c r="D758" s="4" t="n">
        <v>2014</v>
      </c>
      <c r="E758" s="19" t="inlineStr">
        <is>
          <t>The Expendables 3</t>
        </is>
      </c>
      <c r="F758" s="4" t="inlineStr">
        <is>
          <t>F0097</t>
        </is>
      </c>
    </row>
    <row r="759" ht="15.75" customHeight="1" s="108">
      <c r="A759" s="4" t="inlineStr">
        <is>
          <t>Meryl Streep</t>
        </is>
      </c>
      <c r="B759" s="4" t="n">
        <v>1</v>
      </c>
      <c r="C759" s="4" t="n">
        <v>2008</v>
      </c>
      <c r="D759" s="4" t="n">
        <v>2008</v>
      </c>
      <c r="E759" s="19" t="inlineStr">
        <is>
          <t>Mamma Mia!</t>
        </is>
      </c>
      <c r="F759" s="4" t="inlineStr">
        <is>
          <t>F0209</t>
        </is>
      </c>
    </row>
    <row r="760" ht="15.75" customHeight="1" s="108">
      <c r="A760" s="4" t="inlineStr">
        <is>
          <t>Michael Arden</t>
        </is>
      </c>
      <c r="B760" s="4" t="n">
        <v>1</v>
      </c>
      <c r="C760" s="4" t="n">
        <v>2011</v>
      </c>
      <c r="D760" s="4" t="n">
        <v>2011</v>
      </c>
      <c r="E760" s="19" t="inlineStr">
        <is>
          <t>Source Code</t>
        </is>
      </c>
      <c r="F760" s="4" t="inlineStr">
        <is>
          <t>F0285</t>
        </is>
      </c>
    </row>
    <row r="761" ht="15.75" customHeight="1" s="108">
      <c r="A761" s="4" t="inlineStr">
        <is>
          <t>Michael B. Jordan</t>
        </is>
      </c>
      <c r="B761" s="4" t="n">
        <v>1</v>
      </c>
      <c r="C761" s="4" t="n">
        <v>2015</v>
      </c>
      <c r="D761" s="4" t="n">
        <v>2015</v>
      </c>
      <c r="E761" s="19" t="inlineStr">
        <is>
          <t>Creed</t>
        </is>
      </c>
      <c r="F761" s="4" t="inlineStr">
        <is>
          <t>F0074</t>
        </is>
      </c>
    </row>
    <row r="762" ht="15.75" customHeight="1" s="108">
      <c r="A762" s="4" t="inlineStr">
        <is>
          <t>Michael Beck</t>
        </is>
      </c>
      <c r="B762" s="4" t="n">
        <v>1</v>
      </c>
      <c r="C762" s="4" t="n">
        <v>1979</v>
      </c>
      <c r="D762" s="4" t="n">
        <v>1979</v>
      </c>
      <c r="E762" s="19" t="inlineStr">
        <is>
          <t>The Warriors</t>
        </is>
      </c>
      <c r="F762" s="4" t="inlineStr">
        <is>
          <t>F0334</t>
        </is>
      </c>
    </row>
    <row r="763" ht="15.75" customHeight="1" s="108">
      <c r="A763" s="4" t="inlineStr">
        <is>
          <t>Michael Biehn</t>
        </is>
      </c>
      <c r="B763" s="4" t="n">
        <v>1</v>
      </c>
      <c r="C763" s="4" t="n">
        <v>1986</v>
      </c>
      <c r="D763" s="4" t="n">
        <v>1986</v>
      </c>
      <c r="E763" s="19" t="inlineStr">
        <is>
          <t>Aliens</t>
        </is>
      </c>
      <c r="F763" s="4" t="inlineStr">
        <is>
          <t>F0016</t>
        </is>
      </c>
    </row>
    <row r="764" ht="15.75" customHeight="1" s="108">
      <c r="A764" s="4" t="inlineStr">
        <is>
          <t>Michael Ealy</t>
        </is>
      </c>
      <c r="B764" s="4" t="n">
        <v>4</v>
      </c>
      <c r="C764" s="4" t="n">
        <v>2003</v>
      </c>
      <c r="D764" s="4" t="n">
        <v>2012</v>
      </c>
      <c r="E764" s="19" t="inlineStr">
        <is>
          <t>Underworld: Awakening, 2 Fast 2 Furious, Fast &amp; Furious, Underworld awakening</t>
        </is>
      </c>
      <c r="F764" s="4" t="inlineStr">
        <is>
          <t>F0328, F0102, F0104, F0390</t>
        </is>
      </c>
    </row>
    <row r="765" ht="15.75" customHeight="1" s="108">
      <c r="A765" s="4" t="inlineStr">
        <is>
          <t>Michael Keaton</t>
        </is>
      </c>
      <c r="B765" s="4" t="n">
        <v>4</v>
      </c>
      <c r="C765" s="4" t="n">
        <v>2010</v>
      </c>
      <c r="D765" s="4" t="n">
        <v>2015</v>
      </c>
      <c r="E765" s="19" t="inlineStr">
        <is>
          <t>Minions, Need for Speed, RoboCop, Toy Story 3</t>
        </is>
      </c>
      <c r="F765" s="4" t="inlineStr">
        <is>
          <t>F0220, F0234, F0268, F0314</t>
        </is>
      </c>
    </row>
    <row r="766" ht="15.75" customHeight="1" s="108">
      <c r="A766" s="4" t="inlineStr">
        <is>
          <t>Michael Nyqvist</t>
        </is>
      </c>
      <c r="B766" s="4" t="n">
        <v>2</v>
      </c>
      <c r="C766" s="4" t="n">
        <v>2011</v>
      </c>
      <c r="D766" s="4" t="n">
        <v>2014</v>
      </c>
      <c r="E766" s="19" t="inlineStr">
        <is>
          <t>Mission: Impossible - Ghost Protocol, john wick</t>
        </is>
      </c>
      <c r="F766" s="4" t="inlineStr">
        <is>
          <t>F0224, F0374</t>
        </is>
      </c>
    </row>
    <row r="767" ht="15.75" customHeight="1" s="108">
      <c r="A767" s="4" t="inlineStr">
        <is>
          <t>Michael Rapaport</t>
        </is>
      </c>
      <c r="B767" s="4" t="n">
        <v>1</v>
      </c>
      <c r="C767" s="4" t="n">
        <v>2013</v>
      </c>
      <c r="D767" s="4" t="n">
        <v>2013</v>
      </c>
      <c r="E767" s="19" t="inlineStr">
        <is>
          <t>The Heat</t>
        </is>
      </c>
      <c r="F767" s="4" t="inlineStr">
        <is>
          <t>F0146</t>
        </is>
      </c>
    </row>
    <row r="768" ht="15.75" customHeight="1" s="108">
      <c r="A768" s="4" t="inlineStr">
        <is>
          <t>Michael Rooker</t>
        </is>
      </c>
      <c r="B768" s="4" t="n">
        <v>3</v>
      </c>
      <c r="C768" s="4" t="n">
        <v>2008</v>
      </c>
      <c r="D768" s="4" t="n">
        <v>2025</v>
      </c>
      <c r="E768" s="19" t="inlineStr">
        <is>
          <t>Jumper, F9: The Fast Saga, Superman</t>
        </is>
      </c>
      <c r="F768" s="4" t="inlineStr">
        <is>
          <t>F0175, F0109, F0304</t>
        </is>
      </c>
    </row>
    <row r="769" ht="15.75" customHeight="1" s="108">
      <c r="A769" s="4" t="inlineStr">
        <is>
          <t>Michael Shannon</t>
        </is>
      </c>
      <c r="B769" s="4" t="n">
        <v>4</v>
      </c>
      <c r="C769" s="4" t="n">
        <v>2001</v>
      </c>
      <c r="D769" s="4" t="n">
        <v>2013</v>
      </c>
      <c r="E769" s="19" t="inlineStr">
        <is>
          <t>Man of Steel, Bad Boys II, Jonah Hex, Pearl Harbor</t>
        </is>
      </c>
      <c r="F769" s="4" t="inlineStr">
        <is>
          <t>F0211, F0037, F0173, F0246</t>
        </is>
      </c>
    </row>
    <row r="770" ht="15.75" customHeight="1" s="108">
      <c r="A770" s="4" t="inlineStr">
        <is>
          <t>Michael Sheen</t>
        </is>
      </c>
      <c r="B770" s="4" t="n">
        <v>4</v>
      </c>
      <c r="C770" s="4" t="n">
        <v>2003</v>
      </c>
      <c r="D770" s="4" t="n">
        <v>2009</v>
      </c>
      <c r="E770" s="19" t="inlineStr">
        <is>
          <t xml:space="preserve">Underworld: Rise of the Lycans, Underworld: Evolution, Underworld, Underworld </t>
        </is>
      </c>
      <c r="F770" s="4" t="inlineStr">
        <is>
          <t>F0327, F0326, F0389</t>
        </is>
      </c>
    </row>
    <row r="771" ht="15.75" customHeight="1" s="108">
      <c r="A771" s="4" t="inlineStr">
        <is>
          <t>Michelle Dockery</t>
        </is>
      </c>
      <c r="B771" s="4" t="n">
        <v>1</v>
      </c>
      <c r="C771" s="4" t="n">
        <v>2020</v>
      </c>
      <c r="D771" s="4" t="n">
        <v>2020</v>
      </c>
      <c r="E771" s="19" t="inlineStr">
        <is>
          <t>The Gentlemen</t>
        </is>
      </c>
      <c r="F771" s="4" t="inlineStr">
        <is>
          <t>F0119</t>
        </is>
      </c>
    </row>
    <row r="772" ht="15.75" customHeight="1" s="108">
      <c r="A772" s="4" t="inlineStr">
        <is>
          <t>Michelle Williams</t>
        </is>
      </c>
      <c r="B772" s="4" t="n">
        <v>1</v>
      </c>
      <c r="C772" s="4" t="n">
        <v>2017</v>
      </c>
      <c r="D772" s="4" t="n">
        <v>2017</v>
      </c>
      <c r="E772" s="19" t="inlineStr">
        <is>
          <t>The Greatest Showman</t>
        </is>
      </c>
      <c r="F772" s="4" t="inlineStr">
        <is>
          <t>F0127</t>
        </is>
      </c>
    </row>
    <row r="773" ht="15.75" customHeight="1" s="108">
      <c r="A773" s="4" t="inlineStr">
        <is>
          <t>Miles Teller</t>
        </is>
      </c>
      <c r="B773" s="4" t="n">
        <v>1</v>
      </c>
      <c r="C773" s="4" t="n">
        <v>2014</v>
      </c>
      <c r="D773" s="4" t="n">
        <v>2014</v>
      </c>
      <c r="E773" s="19" t="inlineStr">
        <is>
          <t>Divergent</t>
        </is>
      </c>
      <c r="F773" s="4" t="inlineStr">
        <is>
          <t>F0089</t>
        </is>
      </c>
    </row>
    <row r="774" ht="15.75" customHeight="1" s="108">
      <c r="A774" s="4" t="inlineStr">
        <is>
          <t>Minnie Driver</t>
        </is>
      </c>
      <c r="B774" s="4" t="n">
        <v>1</v>
      </c>
      <c r="C774" s="4" t="n">
        <v>1997</v>
      </c>
      <c r="D774" s="4" t="n">
        <v>1997</v>
      </c>
      <c r="E774" s="19" t="inlineStr">
        <is>
          <t>Good Will Hunting</t>
        </is>
      </c>
      <c r="F774" s="4" t="inlineStr">
        <is>
          <t>F0124</t>
        </is>
      </c>
    </row>
    <row r="775" ht="15.75" customHeight="1" s="108">
      <c r="A775" s="4" t="inlineStr">
        <is>
          <t>Miranda Hart</t>
        </is>
      </c>
      <c r="B775" s="4" t="n">
        <v>1</v>
      </c>
      <c r="C775" s="4" t="n">
        <v>2015</v>
      </c>
      <c r="D775" s="4" t="n">
        <v>2015</v>
      </c>
      <c r="E775" s="19" t="inlineStr">
        <is>
          <t>Spy</t>
        </is>
      </c>
      <c r="F775" s="4" t="inlineStr">
        <is>
          <t>F0290</t>
        </is>
      </c>
    </row>
    <row r="776" ht="15.75" customHeight="1" s="108">
      <c r="A776" s="4" t="inlineStr">
        <is>
          <t>Moira Kelly</t>
        </is>
      </c>
      <c r="B776" s="4" t="n">
        <v>1</v>
      </c>
      <c r="C776" s="4" t="n">
        <v>1994</v>
      </c>
      <c r="D776" s="4" t="n">
        <v>1994</v>
      </c>
      <c r="E776" s="19" t="inlineStr">
        <is>
          <t>The Lion King</t>
        </is>
      </c>
      <c r="F776" s="4" t="inlineStr">
        <is>
          <t>F0200</t>
        </is>
      </c>
    </row>
    <row r="777" ht="15.75" customHeight="1" s="108">
      <c r="A777" s="4" t="inlineStr">
        <is>
          <t>Molly Ringwald</t>
        </is>
      </c>
      <c r="B777" s="4" t="n">
        <v>1</v>
      </c>
      <c r="C777" s="4" t="n">
        <v>1985</v>
      </c>
      <c r="D777" s="4" t="n">
        <v>1985</v>
      </c>
      <c r="E777" s="19" t="inlineStr">
        <is>
          <t>The Breakfast Club</t>
        </is>
      </c>
      <c r="F777" s="4" t="inlineStr">
        <is>
          <t>F0057</t>
        </is>
      </c>
    </row>
    <row r="778" ht="15.75" customHeight="1" s="108">
      <c r="A778" s="4" t="inlineStr">
        <is>
          <t>Monica Bellucci</t>
        </is>
      </c>
      <c r="B778" s="4" t="n">
        <v>3</v>
      </c>
      <c r="C778" s="4" t="n">
        <v>2003</v>
      </c>
      <c r="D778" s="4" t="n">
        <v>2015</v>
      </c>
      <c r="E778" s="19" t="inlineStr">
        <is>
          <t>Spectre, The Matrix Reloaded, The Matrix Revolutions</t>
        </is>
      </c>
      <c r="F778" s="4" t="inlineStr">
        <is>
          <t>F0004, F0215, F0216</t>
        </is>
      </c>
    </row>
    <row r="779" ht="15.75" customHeight="1" s="108">
      <c r="A779" s="4" t="inlineStr">
        <is>
          <t>Moon Bloodgood</t>
        </is>
      </c>
      <c r="B779" s="4" t="n">
        <v>1</v>
      </c>
      <c r="C779" s="4" t="n">
        <v>2009</v>
      </c>
      <c r="D779" s="4" t="n">
        <v>2009</v>
      </c>
      <c r="E779" s="19" t="inlineStr">
        <is>
          <t>Terminator Salvation</t>
        </is>
      </c>
      <c r="F779" s="4" t="inlineStr">
        <is>
          <t>F0310</t>
        </is>
      </c>
    </row>
    <row r="780" ht="15.75" customHeight="1" s="108">
      <c r="A780" s="4" t="inlineStr">
        <is>
          <t>Mykelti Williamson</t>
        </is>
      </c>
      <c r="B780" s="4" t="n">
        <v>1</v>
      </c>
      <c r="C780" s="4" t="n">
        <v>1997</v>
      </c>
      <c r="D780" s="4" t="n">
        <v>1997</v>
      </c>
      <c r="E780" s="19" t="inlineStr">
        <is>
          <t>Con Air</t>
        </is>
      </c>
      <c r="F780" s="4" t="inlineStr">
        <is>
          <t>F0068</t>
        </is>
      </c>
    </row>
    <row r="781" ht="15.75" customHeight="1" s="108">
      <c r="A781" s="4" t="inlineStr">
        <is>
          <t>Mélanie Laurent</t>
        </is>
      </c>
      <c r="B781" s="4" t="n">
        <v>1</v>
      </c>
      <c r="C781" s="4" t="n">
        <v>2009</v>
      </c>
      <c r="D781" s="4" t="n">
        <v>2009</v>
      </c>
      <c r="E781" s="19" t="inlineStr">
        <is>
          <t>Inglourious Basterds</t>
        </is>
      </c>
      <c r="F781" s="4" t="inlineStr">
        <is>
          <t>F0166</t>
        </is>
      </c>
    </row>
    <row r="782" ht="15.75" customHeight="1" s="108">
      <c r="A782" s="4" t="inlineStr">
        <is>
          <t>Nancy Allen</t>
        </is>
      </c>
      <c r="B782" s="4" t="n">
        <v>1</v>
      </c>
      <c r="C782" s="4" t="n"/>
      <c r="D782" s="4" t="n"/>
      <c r="E782" s="19" t="inlineStr">
        <is>
          <t>RoboCop</t>
        </is>
      </c>
      <c r="F782" s="4" t="inlineStr">
        <is>
          <t>F0268</t>
        </is>
      </c>
    </row>
    <row r="783" ht="15.75" customHeight="1" s="108">
      <c r="A783" s="4" t="inlineStr">
        <is>
          <t>Naomi Watts</t>
        </is>
      </c>
      <c r="B783" s="4" t="n">
        <v>1</v>
      </c>
      <c r="C783" s="4" t="n">
        <v>2005</v>
      </c>
      <c r="D783" s="4" t="n">
        <v>2005</v>
      </c>
      <c r="E783" s="19" t="inlineStr">
        <is>
          <t>King Kong</t>
        </is>
      </c>
      <c r="F783" s="4" t="inlineStr">
        <is>
          <t>F0188</t>
        </is>
      </c>
    </row>
    <row r="784" ht="15.75" customHeight="1" s="108">
      <c r="A784" s="4" t="inlineStr">
        <is>
          <t>Nathalie Baye</t>
        </is>
      </c>
      <c r="B784" s="4" t="n">
        <v>1</v>
      </c>
      <c r="C784" s="4" t="n">
        <v>2002</v>
      </c>
      <c r="D784" s="4" t="n">
        <v>2002</v>
      </c>
      <c r="E784" s="19" t="inlineStr">
        <is>
          <t>Catch Me If You Can</t>
        </is>
      </c>
      <c r="F784" s="4" t="inlineStr">
        <is>
          <t>F0064</t>
        </is>
      </c>
    </row>
    <row r="785" ht="15.75" customHeight="1" s="108">
      <c r="A785" s="4" t="inlineStr">
        <is>
          <t>Nathalie Boltt</t>
        </is>
      </c>
      <c r="B785" s="4" t="n">
        <v>1</v>
      </c>
      <c r="C785" s="4" t="n">
        <v>2009</v>
      </c>
      <c r="D785" s="4" t="n">
        <v>2009</v>
      </c>
      <c r="E785" s="19" t="inlineStr">
        <is>
          <t>District 9</t>
        </is>
      </c>
      <c r="F785" s="4" t="inlineStr">
        <is>
          <t>F0088</t>
        </is>
      </c>
    </row>
    <row r="786" ht="15.75" customHeight="1" s="108">
      <c r="A786" s="4" t="inlineStr">
        <is>
          <t>Nathalie Kelley</t>
        </is>
      </c>
      <c r="B786" s="4" t="n">
        <v>1</v>
      </c>
      <c r="C786" s="4" t="n">
        <v>2006</v>
      </c>
      <c r="D786" s="4" t="n">
        <v>2006</v>
      </c>
      <c r="E786" s="19" t="inlineStr">
        <is>
          <t>The Fast and the Furious: Tokyo Drift</t>
        </is>
      </c>
      <c r="F786" s="4" t="inlineStr">
        <is>
          <t>F0103</t>
        </is>
      </c>
    </row>
    <row r="787" ht="15.75" customHeight="1" s="108">
      <c r="A787" s="4" t="inlineStr">
        <is>
          <t>Nathan Lane</t>
        </is>
      </c>
      <c r="B787" s="4" t="n">
        <v>1</v>
      </c>
      <c r="C787" s="4" t="n">
        <v>1994</v>
      </c>
      <c r="D787" s="4" t="n">
        <v>1994</v>
      </c>
      <c r="E787" s="19" t="inlineStr">
        <is>
          <t>The Lion King</t>
        </is>
      </c>
      <c r="F787" s="4" t="inlineStr">
        <is>
          <t>F0200</t>
        </is>
      </c>
    </row>
    <row r="788" ht="15.75" customHeight="1" s="108">
      <c r="A788" s="4" t="inlineStr">
        <is>
          <t>Neil Brown Jr.</t>
        </is>
      </c>
      <c r="B788" s="4" t="n">
        <v>3</v>
      </c>
      <c r="C788" s="4" t="n">
        <v>2009</v>
      </c>
      <c r="D788" s="4" t="n">
        <v>2015</v>
      </c>
      <c r="E788" s="19" t="inlineStr">
        <is>
          <t>Straight Outta Compton, Battle: Los Angeles, Fast &amp; Furious</t>
        </is>
      </c>
      <c r="F788" s="4" t="inlineStr">
        <is>
          <t>F0301, F0046, F0104</t>
        </is>
      </c>
    </row>
    <row r="789" ht="15.75" customHeight="1" s="108">
      <c r="A789" s="4" t="inlineStr">
        <is>
          <t>Neil Patrick Harris</t>
        </is>
      </c>
      <c r="B789" s="4" t="n">
        <v>5</v>
      </c>
      <c r="C789" s="4" t="n">
        <v>2013</v>
      </c>
      <c r="D789" s="4" t="n">
        <v>2022</v>
      </c>
      <c r="E789" s="19" t="inlineStr">
        <is>
          <t xml:space="preserve">The Smurfs 2, A Million Ways to Die in the West, Cloudy with a Chance of Meatballs 2, Unbearable weight of massive talent, Unbearable weight of massive talent </t>
        </is>
      </c>
      <c r="F789" s="4" t="inlineStr">
        <is>
          <t>F0282, F0021, F0067, F0388</t>
        </is>
      </c>
    </row>
    <row r="790" ht="15.75" customHeight="1" s="108">
      <c r="A790" s="4" t="inlineStr">
        <is>
          <t>Nev Scharrel</t>
        </is>
      </c>
      <c r="B790" s="4" t="n">
        <v>1</v>
      </c>
      <c r="C790" s="4" t="n">
        <v>2017</v>
      </c>
      <c r="D790" s="4" t="n">
        <v>2017</v>
      </c>
      <c r="E790" s="19" t="inlineStr">
        <is>
          <t>Despicable Me 3</t>
        </is>
      </c>
      <c r="F790" s="4" t="inlineStr">
        <is>
          <t>F0084</t>
        </is>
      </c>
    </row>
    <row r="791" ht="15.75" customHeight="1" s="108">
      <c r="A791" s="4" t="inlineStr">
        <is>
          <t>Nick Nolte</t>
        </is>
      </c>
      <c r="B791" s="4" t="n">
        <v>3</v>
      </c>
      <c r="C791" s="4" t="n">
        <v>2008</v>
      </c>
      <c r="D791" s="4" t="n">
        <v>2014</v>
      </c>
      <c r="E791" s="19" t="inlineStr">
        <is>
          <t>Warrior, Noah, Tropic Thunder</t>
        </is>
      </c>
      <c r="F791" s="4" t="inlineStr">
        <is>
          <t>F0333, F0238, F0324</t>
        </is>
      </c>
    </row>
    <row r="792" ht="15.75" customHeight="1" s="108">
      <c r="A792" s="4" t="inlineStr">
        <is>
          <t>Nicola Peltz Beckham</t>
        </is>
      </c>
      <c r="B792" s="4" t="n">
        <v>1</v>
      </c>
      <c r="C792" s="4" t="n">
        <v>2014</v>
      </c>
      <c r="D792" s="4" t="n">
        <v>2014</v>
      </c>
      <c r="E792" s="19" t="inlineStr">
        <is>
          <t>Transformers: Age of Extinction</t>
        </is>
      </c>
      <c r="F792" s="4" t="inlineStr">
        <is>
          <t>F0319</t>
        </is>
      </c>
    </row>
    <row r="793" ht="15.75" customHeight="1" s="108">
      <c r="A793" s="4" t="inlineStr">
        <is>
          <t>Nicole Kidman</t>
        </is>
      </c>
      <c r="B793" s="4" t="n">
        <v>2</v>
      </c>
      <c r="C793" s="4" t="n">
        <v>2011</v>
      </c>
      <c r="D793" s="4" t="n">
        <v>2014</v>
      </c>
      <c r="E793" s="19" t="inlineStr">
        <is>
          <t>Just Go with It, Paddington</t>
        </is>
      </c>
      <c r="F793" s="4" t="inlineStr">
        <is>
          <t>F0183, F0244</t>
        </is>
      </c>
    </row>
    <row r="794" ht="15.75" customHeight="1" s="108">
      <c r="A794" s="4" t="inlineStr">
        <is>
          <t>Nikki Reed</t>
        </is>
      </c>
      <c r="B794" s="4" t="n">
        <v>1</v>
      </c>
      <c r="C794" s="4" t="n">
        <v>2011</v>
      </c>
      <c r="D794" s="4" t="n">
        <v>2011</v>
      </c>
      <c r="E794" s="19" t="inlineStr">
        <is>
          <t>Catch.44</t>
        </is>
      </c>
      <c r="F794" s="4" t="inlineStr">
        <is>
          <t>F0063</t>
        </is>
      </c>
    </row>
    <row r="795" ht="15.75" customHeight="1" s="108">
      <c r="A795" s="4" t="inlineStr">
        <is>
          <t>Nikolaj Coster-Waldau</t>
        </is>
      </c>
      <c r="B795" s="4" t="n">
        <v>3</v>
      </c>
      <c r="C795" s="4" t="n">
        <v>2001</v>
      </c>
      <c r="D795" s="4" t="n">
        <v>2013</v>
      </c>
      <c r="E795" s="19" t="inlineStr">
        <is>
          <t>Oblivion, Black Hawk Down, Firewall</t>
        </is>
      </c>
      <c r="F795" s="4" t="inlineStr">
        <is>
          <t>F0239, F0050, F0114</t>
        </is>
      </c>
    </row>
    <row r="796" ht="15.75" customHeight="1" s="108">
      <c r="A796" s="4" t="inlineStr">
        <is>
          <t>Noah Emmerich</t>
        </is>
      </c>
      <c r="B796" s="4" t="n">
        <v>2</v>
      </c>
      <c r="C796" s="4" t="n">
        <v>2011</v>
      </c>
      <c r="D796" s="4" t="n">
        <v>2011</v>
      </c>
      <c r="E796" s="19" t="inlineStr">
        <is>
          <t>Super 8, Warrior</t>
        </is>
      </c>
      <c r="F796" s="4" t="inlineStr">
        <is>
          <t>F0302, F0333</t>
        </is>
      </c>
    </row>
    <row r="797" ht="15.75" customHeight="1" s="108">
      <c r="A797" s="4" t="inlineStr">
        <is>
          <t>Noel Fisher</t>
        </is>
      </c>
      <c r="B797" s="4" t="n">
        <v>2</v>
      </c>
      <c r="C797" s="4" t="n">
        <v>2011</v>
      </c>
      <c r="D797" s="4" t="n">
        <v>2014</v>
      </c>
      <c r="E797" s="19" t="inlineStr">
        <is>
          <t>Teenage Mutant Ninja Turtles, Battle: Los Angeles</t>
        </is>
      </c>
      <c r="F797" s="4" t="inlineStr">
        <is>
          <t>F0309, F0046</t>
        </is>
      </c>
    </row>
    <row r="798" ht="15.75" customHeight="1" s="108">
      <c r="A798" s="4" t="inlineStr">
        <is>
          <t>Nolan North</t>
        </is>
      </c>
      <c r="B798" s="4" t="n">
        <v>2</v>
      </c>
      <c r="C798" s="4" t="n">
        <v>2015</v>
      </c>
      <c r="D798" s="4" t="n">
        <v>2016</v>
      </c>
      <c r="E798" s="19" t="inlineStr">
        <is>
          <t>Lego DC Comics Super Heroes: Justice League vs. Bizarro League, Lego DC Comics Super Heroes: Justice League - Gotham City Breakout</t>
        </is>
      </c>
      <c r="F798" s="4" t="inlineStr">
        <is>
          <t>F0197, F0198</t>
        </is>
      </c>
    </row>
    <row r="799" ht="15.75" customHeight="1" s="108">
      <c r="A799" s="4" t="inlineStr">
        <is>
          <t>Nora Denney</t>
        </is>
      </c>
      <c r="B799" s="4" t="n">
        <v>1</v>
      </c>
      <c r="C799" s="4" t="n">
        <v>1971</v>
      </c>
      <c r="D799" s="4" t="n">
        <v>1971</v>
      </c>
      <c r="E799" s="19" t="inlineStr">
        <is>
          <t>Willy Wonka &amp; the Chocolate Factory</t>
        </is>
      </c>
      <c r="F799" s="4" t="inlineStr">
        <is>
          <t>F0339</t>
        </is>
      </c>
    </row>
    <row r="800" ht="15.75" customHeight="1" s="108">
      <c r="A800" s="4" t="inlineStr">
        <is>
          <t>O'Shea Jackson Jr.</t>
        </is>
      </c>
      <c r="B800" s="4" t="n">
        <v>2</v>
      </c>
      <c r="C800" s="4" t="n">
        <v>2015</v>
      </c>
      <c r="D800" s="4" t="n">
        <v>2019</v>
      </c>
      <c r="E800" s="19" t="inlineStr">
        <is>
          <t>Straight Outta Compton, Godzilla: King of the Monsters</t>
        </is>
      </c>
      <c r="F800" s="4" t="inlineStr">
        <is>
          <t>F0301, F0122</t>
        </is>
      </c>
    </row>
    <row r="801" ht="15.75" customHeight="1" s="108">
      <c r="A801" s="4" t="inlineStr">
        <is>
          <t>Oliver Platt</t>
        </is>
      </c>
      <c r="B801" s="4" t="n">
        <v>3</v>
      </c>
      <c r="C801" s="4" t="n">
        <v>2009</v>
      </c>
      <c r="D801" s="4" t="n">
        <v>2014</v>
      </c>
      <c r="E801" s="19" t="inlineStr">
        <is>
          <t>2012, Chef, X-Men: First Class</t>
        </is>
      </c>
      <c r="F801" s="4" t="inlineStr">
        <is>
          <t>F0006, F0065, F0340</t>
        </is>
      </c>
    </row>
    <row r="802" ht="15.75" customHeight="1" s="108">
      <c r="A802" s="4" t="inlineStr">
        <is>
          <t>Olivia Munn</t>
        </is>
      </c>
      <c r="B802" s="4" t="n">
        <v>2</v>
      </c>
      <c r="C802" s="4" t="n">
        <v>2012</v>
      </c>
      <c r="D802" s="4" t="n">
        <v>2016</v>
      </c>
      <c r="E802" s="19" t="inlineStr">
        <is>
          <t>Magic Mike, X-Men: Apocalypse</t>
        </is>
      </c>
      <c r="F802" s="4" t="inlineStr">
        <is>
          <t>F0206, F0342</t>
        </is>
      </c>
    </row>
    <row r="803" ht="15.75" customHeight="1" s="108">
      <c r="A803" s="4" t="inlineStr">
        <is>
          <t>Olivia Williams</t>
        </is>
      </c>
      <c r="B803" s="4" t="n">
        <v>1</v>
      </c>
      <c r="C803" s="4" t="n">
        <v>2010</v>
      </c>
      <c r="D803" s="4" t="n">
        <v>2010</v>
      </c>
      <c r="E803" s="19" t="inlineStr">
        <is>
          <t>Sex &amp; Drugs &amp; Rock &amp; Roll</t>
        </is>
      </c>
      <c r="F803" s="4" t="inlineStr">
        <is>
          <t>F0277</t>
        </is>
      </c>
    </row>
    <row r="804" ht="15.75" customHeight="1" s="108">
      <c r="A804" s="4" t="inlineStr">
        <is>
          <t>Ollie Barbieri</t>
        </is>
      </c>
      <c r="B804" s="4" t="n">
        <v>1</v>
      </c>
      <c r="C804" s="4" t="n">
        <v>2011</v>
      </c>
      <c r="D804" s="4" t="n">
        <v>2011</v>
      </c>
      <c r="E804" s="19" t="inlineStr">
        <is>
          <t>Anuvahood</t>
        </is>
      </c>
      <c r="F804" s="4" t="inlineStr">
        <is>
          <t>F0024</t>
        </is>
      </c>
    </row>
    <row r="805" ht="15.75" customHeight="1" s="108">
      <c r="A805" s="4" t="inlineStr">
        <is>
          <t>Oona Laurence</t>
        </is>
      </c>
      <c r="B805" s="4" t="n">
        <v>2</v>
      </c>
      <c r="C805" s="4" t="n">
        <v>2015</v>
      </c>
      <c r="D805" s="4" t="n">
        <v>2016</v>
      </c>
      <c r="E805" s="19" t="inlineStr">
        <is>
          <t>Southpaw, Bad Moms</t>
        </is>
      </c>
      <c r="F805" s="4" t="inlineStr">
        <is>
          <t>F0286, F0038</t>
        </is>
      </c>
    </row>
    <row r="806" ht="15.75" customHeight="1" s="108">
      <c r="A806" s="4" t="inlineStr">
        <is>
          <t>Oscar Isaac</t>
        </is>
      </c>
      <c r="B806" s="4" t="n">
        <v>9</v>
      </c>
      <c r="C806" s="4" t="n">
        <v>2008</v>
      </c>
      <c r="D806" s="4" t="n">
        <v>2021</v>
      </c>
      <c r="E806" s="19" t="inlineStr">
        <is>
          <t xml:space="preserve">X-Men: Apocalypse, Body of Lies, The Bourne Legacy, Robin Hood, Star Wars: The Force Awakens, Star Wars: The Last Jedi, Star Wars: The Rise of Skywalker, dune, dune </t>
        </is>
      </c>
      <c r="F806" s="4" t="inlineStr">
        <is>
          <t>F0342, F0051, F0056, F0267, F0298, F0299, F0300, F0367</t>
        </is>
      </c>
    </row>
    <row r="807" ht="15.75" customHeight="1" s="108">
      <c r="A807" s="4" t="inlineStr">
        <is>
          <t>Owen Teague</t>
        </is>
      </c>
      <c r="B807" s="4" t="n">
        <v>1</v>
      </c>
      <c r="C807" s="4" t="n">
        <v>2024</v>
      </c>
      <c r="D807" s="4" t="n">
        <v>2024</v>
      </c>
      <c r="E807" s="19" t="inlineStr">
        <is>
          <t>Kingdom of the Planet of the Apes</t>
        </is>
      </c>
      <c r="F807" s="4" t="inlineStr">
        <is>
          <t>F0256</t>
        </is>
      </c>
    </row>
    <row r="808" ht="15.75" customHeight="1" s="108">
      <c r="A808" s="4" t="inlineStr">
        <is>
          <t>Owen Wilson</t>
        </is>
      </c>
      <c r="B808" s="4" t="n">
        <v>1</v>
      </c>
      <c r="C808" s="4" t="n">
        <v>2009</v>
      </c>
      <c r="D808" s="4" t="n">
        <v>2009</v>
      </c>
      <c r="E808" s="19" t="inlineStr">
        <is>
          <t>Night at the Museum: Battle of the Smithsonian</t>
        </is>
      </c>
      <c r="F808" s="4" t="inlineStr">
        <is>
          <t>F0236</t>
        </is>
      </c>
    </row>
    <row r="809" ht="15.75" customHeight="1" s="108">
      <c r="A809" s="4" t="inlineStr">
        <is>
          <t>Paris Themmen</t>
        </is>
      </c>
      <c r="B809" s="4" t="n">
        <v>1</v>
      </c>
      <c r="C809" s="4" t="n">
        <v>1971</v>
      </c>
      <c r="D809" s="4" t="n">
        <v>1971</v>
      </c>
      <c r="E809" s="19" t="inlineStr">
        <is>
          <t>Willy Wonka &amp; the Chocolate Factory</t>
        </is>
      </c>
      <c r="F809" s="4" t="inlineStr">
        <is>
          <t>F0339</t>
        </is>
      </c>
    </row>
    <row r="810" ht="15.75" customHeight="1" s="108">
      <c r="A810" s="4" t="inlineStr">
        <is>
          <t>Paterson Joseph</t>
        </is>
      </c>
      <c r="B810" s="4" t="n">
        <v>1</v>
      </c>
      <c r="C810" s="4" t="n">
        <v>2023</v>
      </c>
      <c r="D810" s="4" t="n">
        <v>2023</v>
      </c>
      <c r="E810" s="19" t="inlineStr">
        <is>
          <t>Wonka</t>
        </is>
      </c>
      <c r="F810" s="4" t="inlineStr">
        <is>
          <t>F0338</t>
        </is>
      </c>
    </row>
    <row r="811" ht="15.75" customHeight="1" s="108">
      <c r="A811" s="4" t="inlineStr">
        <is>
          <t>Paul Bettany</t>
        </is>
      </c>
      <c r="B811" s="4" t="n">
        <v>5</v>
      </c>
      <c r="C811" s="4" t="n">
        <v>2006</v>
      </c>
      <c r="D811" s="4" t="n">
        <v>2018</v>
      </c>
      <c r="E811" s="19" t="inlineStr">
        <is>
          <t>Firewall, The Avengers, Avengers: Infinity War, Iron Man 3, Solo a star wars story</t>
        </is>
      </c>
      <c r="F811" s="4" t="inlineStr">
        <is>
          <t>F0114, F0029, F0030, F0169, F0386</t>
        </is>
      </c>
    </row>
    <row r="812" ht="15.75" customHeight="1" s="108">
      <c r="A812" s="4" t="inlineStr">
        <is>
          <t>Paul Dano</t>
        </is>
      </c>
      <c r="B812" s="4" t="n">
        <v>3</v>
      </c>
      <c r="C812" s="4" t="n">
        <v>2011</v>
      </c>
      <c r="D812" s="4" t="n">
        <v>2022</v>
      </c>
      <c r="E812" s="19" t="inlineStr">
        <is>
          <t>The Batman, Cowboys &amp; Aliens, Prisoners</t>
        </is>
      </c>
      <c r="F812" s="4" t="inlineStr">
        <is>
          <t>F0042, F0073, F0258</t>
        </is>
      </c>
    </row>
    <row r="813" ht="15.75" customHeight="1" s="108">
      <c r="A813" s="4" t="inlineStr">
        <is>
          <t>Paul McGann</t>
        </is>
      </c>
      <c r="B813" s="4" t="n">
        <v>1</v>
      </c>
      <c r="C813" s="4" t="n">
        <v>1992</v>
      </c>
      <c r="D813" s="4" t="n">
        <v>1992</v>
      </c>
      <c r="E813" s="19" t="inlineStr">
        <is>
          <t>Alien³</t>
        </is>
      </c>
      <c r="F813" s="4" t="inlineStr">
        <is>
          <t>F0017</t>
        </is>
      </c>
    </row>
    <row r="814" ht="15.75" customHeight="1" s="108">
      <c r="A814" s="4" t="inlineStr">
        <is>
          <t>Paul Reiser</t>
        </is>
      </c>
      <c r="B814" s="4" t="n">
        <v>1</v>
      </c>
      <c r="C814" s="4" t="n">
        <v>1986</v>
      </c>
      <c r="D814" s="4" t="n">
        <v>1986</v>
      </c>
      <c r="E814" s="19" t="inlineStr">
        <is>
          <t>Aliens</t>
        </is>
      </c>
      <c r="F814" s="4" t="inlineStr">
        <is>
          <t>F0016</t>
        </is>
      </c>
    </row>
    <row r="815" ht="15.75" customHeight="1" s="108">
      <c r="A815" s="4" t="inlineStr">
        <is>
          <t>Paul Rudd</t>
        </is>
      </c>
      <c r="B815" s="4" t="n">
        <v>5</v>
      </c>
      <c r="C815" s="4" t="n">
        <v>2004</v>
      </c>
      <c r="D815" s="4" t="n">
        <v>2019</v>
      </c>
      <c r="E815" s="19" t="inlineStr">
        <is>
          <t>Anchorman: The Legend of Ron Burgundy, Avengers: Endgame, Forgetting Sarah Marshall, Anchorman 2, night at the museum</t>
        </is>
      </c>
      <c r="F815" s="4" t="inlineStr">
        <is>
          <t>F0022, F0031, F0115, F0357, F0377</t>
        </is>
      </c>
    </row>
    <row r="816" ht="15.75" customHeight="1" s="108">
      <c r="A816" s="4" t="inlineStr">
        <is>
          <t>Paula Patton</t>
        </is>
      </c>
      <c r="B816" s="4" t="n">
        <v>2</v>
      </c>
      <c r="C816" s="4" t="n">
        <v>2011</v>
      </c>
      <c r="D816" s="4" t="n">
        <v>2013</v>
      </c>
      <c r="E816" s="19" t="inlineStr">
        <is>
          <t>Mission: Impossible - Ghost Protocol, 2 guns</t>
        </is>
      </c>
      <c r="F816" s="4" t="inlineStr">
        <is>
          <t>F0224, F0355</t>
        </is>
      </c>
    </row>
    <row r="817" ht="15.75" customHeight="1" s="108">
      <c r="A817" s="4" t="inlineStr">
        <is>
          <t>Pete Ploszek</t>
        </is>
      </c>
      <c r="B817" s="4" t="n">
        <v>1</v>
      </c>
      <c r="C817" s="4" t="n">
        <v>2014</v>
      </c>
      <c r="D817" s="4" t="n">
        <v>2014</v>
      </c>
      <c r="E817" s="19" t="inlineStr">
        <is>
          <t>Teenage Mutant Ninja Turtles</t>
        </is>
      </c>
      <c r="F817" s="4" t="inlineStr">
        <is>
          <t>F0309</t>
        </is>
      </c>
    </row>
    <row r="818" ht="15.75" customHeight="1" s="108">
      <c r="A818" s="4" t="inlineStr">
        <is>
          <t>Pete Postlethwaite</t>
        </is>
      </c>
      <c r="B818" s="4" t="n">
        <v>4</v>
      </c>
      <c r="C818" s="4" t="n">
        <v>1992</v>
      </c>
      <c r="D818" s="4" t="n">
        <v>2010</v>
      </c>
      <c r="E818" s="19" t="inlineStr">
        <is>
          <t>The Lost World: Jurassic Park, Alien³, Clash of the Titans, Inception</t>
        </is>
      </c>
      <c r="F818" s="4" t="inlineStr">
        <is>
          <t>F0177, F0017, F0066, F0165</t>
        </is>
      </c>
    </row>
    <row r="819" ht="15.75" customHeight="1" s="108">
      <c r="A819" s="4" t="inlineStr">
        <is>
          <t>Peter Crombie</t>
        </is>
      </c>
      <c r="B819" s="4" t="n">
        <v>1</v>
      </c>
      <c r="C819" s="4" t="n">
        <v>1995</v>
      </c>
      <c r="D819" s="4" t="n">
        <v>1995</v>
      </c>
      <c r="E819" s="19" t="inlineStr">
        <is>
          <t>Se7en</t>
        </is>
      </c>
      <c r="F819" s="4" t="inlineStr">
        <is>
          <t>F0276</t>
        </is>
      </c>
    </row>
    <row r="820" ht="15.75" customHeight="1" s="108">
      <c r="A820" s="4" t="inlineStr">
        <is>
          <t>Peter Cushing</t>
        </is>
      </c>
      <c r="B820" s="4" t="n">
        <v>1</v>
      </c>
      <c r="C820" s="4" t="n">
        <v>1977</v>
      </c>
      <c r="D820" s="4" t="n">
        <v>1977</v>
      </c>
      <c r="E820" s="19" t="inlineStr">
        <is>
          <t>Star Wars: Episode IV – A New Hope</t>
        </is>
      </c>
      <c r="F820" s="4" t="inlineStr">
        <is>
          <t>F0295</t>
        </is>
      </c>
    </row>
    <row r="821" ht="15.75" customHeight="1" s="108">
      <c r="A821" s="4" t="inlineStr">
        <is>
          <t>Peter Dinklage</t>
        </is>
      </c>
      <c r="B821" s="4" t="n">
        <v>4</v>
      </c>
      <c r="C821" s="4" t="n">
        <v>2003</v>
      </c>
      <c r="D821" s="4" t="n">
        <v>2023</v>
      </c>
      <c r="E821" s="19" t="inlineStr">
        <is>
          <t>Transformers: Rise of the Beasts, Avengers: Infinity War, Elf, X-Men: Days of Future Past</t>
        </is>
      </c>
      <c r="F821" s="4" t="inlineStr">
        <is>
          <t>F0321, F0030, F0092, F0341</t>
        </is>
      </c>
    </row>
    <row r="822" ht="15.75" customHeight="1" s="108">
      <c r="A822" s="4" t="inlineStr">
        <is>
          <t>Peter Macon</t>
        </is>
      </c>
      <c r="B822" s="4" t="n">
        <v>1</v>
      </c>
      <c r="C822" s="4" t="n">
        <v>2024</v>
      </c>
      <c r="D822" s="4" t="n">
        <v>2024</v>
      </c>
      <c r="E822" s="19" t="inlineStr">
        <is>
          <t>Kingdom of the Planet of the Apes</t>
        </is>
      </c>
      <c r="F822" s="4" t="inlineStr">
        <is>
          <t>F0256</t>
        </is>
      </c>
    </row>
    <row r="823" ht="15.75" customHeight="1" s="108">
      <c r="A823" s="4" t="inlineStr">
        <is>
          <t>Peter Ostrum</t>
        </is>
      </c>
      <c r="B823" s="4" t="n">
        <v>1</v>
      </c>
      <c r="C823" s="4" t="n">
        <v>1971</v>
      </c>
      <c r="D823" s="4" t="n">
        <v>1971</v>
      </c>
      <c r="E823" s="19" t="inlineStr">
        <is>
          <t>Willy Wonka &amp; the Chocolate Factory</t>
        </is>
      </c>
      <c r="F823" s="4" t="inlineStr">
        <is>
          <t>F0339</t>
        </is>
      </c>
    </row>
    <row r="824" ht="15.75" customHeight="1" s="108">
      <c r="A824" s="4" t="inlineStr">
        <is>
          <t>Peter Sarsgaard</t>
        </is>
      </c>
      <c r="B824" s="4" t="n">
        <v>3</v>
      </c>
      <c r="C824" s="4" t="n">
        <v>2011</v>
      </c>
      <c r="D824" s="4" t="n">
        <v>2022</v>
      </c>
      <c r="E824" s="19" t="inlineStr">
        <is>
          <t>Green Lantern, The Batman, The Magnificent Seven</t>
        </is>
      </c>
      <c r="F824" s="4" t="inlineStr">
        <is>
          <t>F0128, F0042, F0207</t>
        </is>
      </c>
    </row>
    <row r="825" ht="15.75" customHeight="1" s="108">
      <c r="A825" s="4" t="inlineStr">
        <is>
          <t>Peter Sohn</t>
        </is>
      </c>
      <c r="B825" s="4" t="n">
        <v>1</v>
      </c>
      <c r="C825" s="4" t="n">
        <v>2013</v>
      </c>
      <c r="D825" s="4" t="n">
        <v>2013</v>
      </c>
      <c r="E825" s="19" t="inlineStr">
        <is>
          <t>Monsters University</t>
        </is>
      </c>
      <c r="F825" s="4" t="inlineStr">
        <is>
          <t>F0230</t>
        </is>
      </c>
    </row>
    <row r="826" ht="15.75" customHeight="1" s="108">
      <c r="A826" s="4" t="inlineStr">
        <is>
          <t>Peter Weller</t>
        </is>
      </c>
      <c r="B826" s="4" t="n">
        <v>1</v>
      </c>
      <c r="C826" s="4" t="n"/>
      <c r="D826" s="4" t="n"/>
      <c r="E826" s="19" t="inlineStr">
        <is>
          <t>RoboCop</t>
        </is>
      </c>
      <c r="F826" s="4" t="inlineStr">
        <is>
          <t>F0268</t>
        </is>
      </c>
    </row>
    <row r="827" ht="15.75" customHeight="1" s="108">
      <c r="A827" s="4" t="inlineStr">
        <is>
          <t>Philip Baker Hall</t>
        </is>
      </c>
      <c r="B827" s="4" t="n">
        <v>3</v>
      </c>
      <c r="C827" s="4" t="n">
        <v>2007</v>
      </c>
      <c r="D827" s="4" t="n">
        <v>2011</v>
      </c>
      <c r="E827" s="19" t="inlineStr">
        <is>
          <t>50/50, Rush Hour 3, Zodiac</t>
        </is>
      </c>
      <c r="F827" s="4" t="inlineStr">
        <is>
          <t>F0011, F0271, F0350</t>
        </is>
      </c>
    </row>
    <row r="828" ht="15.75" customHeight="1" s="108">
      <c r="A828" s="4" t="inlineStr">
        <is>
          <t>Philip Seymour Hoffman</t>
        </is>
      </c>
      <c r="B828" s="4" t="n">
        <v>6</v>
      </c>
      <c r="C828" s="4" t="n">
        <v>1998</v>
      </c>
      <c r="D828" s="4" t="n">
        <v>2016</v>
      </c>
      <c r="E828" s="19" t="inlineStr">
        <is>
          <t>Mission: Impossible III, The Big Lebowski, The Hunger Games: Mockingjay - Part 1, Catching  fire, Mockingjay part 2, Catching fire</t>
        </is>
      </c>
      <c r="F828" s="4" t="inlineStr">
        <is>
          <t>F0223, F0049, F0158, F0382, F0383, F0384</t>
        </is>
      </c>
    </row>
    <row r="829" ht="15.75" customHeight="1" s="108">
      <c r="A829" s="4" t="inlineStr">
        <is>
          <t>Phylicia Rashād</t>
        </is>
      </c>
      <c r="B829" s="4" t="n">
        <v>1</v>
      </c>
      <c r="C829" s="4" t="n">
        <v>2015</v>
      </c>
      <c r="D829" s="4" t="n">
        <v>2015</v>
      </c>
      <c r="E829" s="19" t="inlineStr">
        <is>
          <t>Creed</t>
        </is>
      </c>
      <c r="F829" s="4" t="inlineStr">
        <is>
          <t>F0074</t>
        </is>
      </c>
    </row>
    <row r="830" ht="15.75" customHeight="1" s="108">
      <c r="A830" s="4" t="inlineStr">
        <is>
          <t>Phyllis Diller</t>
        </is>
      </c>
      <c r="B830" s="4" t="n">
        <v>1</v>
      </c>
      <c r="C830" s="4" t="n">
        <v>1998</v>
      </c>
      <c r="D830" s="4" t="n">
        <v>1998</v>
      </c>
      <c r="E830" s="19" t="inlineStr">
        <is>
          <t>A Bug's Life</t>
        </is>
      </c>
      <c r="F830" s="4" t="inlineStr">
        <is>
          <t>F0012</t>
        </is>
      </c>
    </row>
    <row r="831" ht="15.75" customHeight="1" s="108">
      <c r="A831" s="4" t="inlineStr">
        <is>
          <t>Phyllis Smith</t>
        </is>
      </c>
      <c r="B831" s="4" t="n">
        <v>2</v>
      </c>
      <c r="C831" s="4" t="n">
        <v>2011</v>
      </c>
      <c r="D831" s="4" t="n">
        <v>2015</v>
      </c>
      <c r="E831" s="19" t="inlineStr">
        <is>
          <t>Inside Out, Bad Teacher</t>
        </is>
      </c>
      <c r="F831" s="4" t="inlineStr">
        <is>
          <t>F0167, F0039</t>
        </is>
      </c>
    </row>
    <row r="832" ht="15.75" customHeight="1" s="108">
      <c r="A832" s="4" t="inlineStr">
        <is>
          <t>Pierce Brosnan</t>
        </is>
      </c>
      <c r="B832" s="4" t="n">
        <v>2</v>
      </c>
      <c r="C832" s="4" t="n">
        <v>2008</v>
      </c>
      <c r="D832" s="4" t="n">
        <v>2013</v>
      </c>
      <c r="E832" s="19" t="inlineStr">
        <is>
          <t>Mamma Mia!, The World's End</t>
        </is>
      </c>
      <c r="F832" s="4" t="inlineStr">
        <is>
          <t>F0209, F0072</t>
        </is>
      </c>
    </row>
    <row r="833" ht="15.75" customHeight="1" s="108">
      <c r="A833" s="4" t="inlineStr">
        <is>
          <t>Pink</t>
        </is>
      </c>
      <c r="B833" s="4" t="n">
        <v>1</v>
      </c>
      <c r="C833" s="4" t="n">
        <v>2011</v>
      </c>
      <c r="D833" s="4" t="n">
        <v>2011</v>
      </c>
      <c r="E833" s="19" t="inlineStr">
        <is>
          <t>Happy Feet Two</t>
        </is>
      </c>
      <c r="F833" s="4" t="inlineStr">
        <is>
          <t>F0145</t>
        </is>
      </c>
    </row>
    <row r="834" ht="15.75" customHeight="1" s="108">
      <c r="A834" s="4" t="inlineStr">
        <is>
          <t>Piper Perabo</t>
        </is>
      </c>
      <c r="B834" s="4" t="n">
        <v>1</v>
      </c>
      <c r="C834" s="4" t="n">
        <v>2006</v>
      </c>
      <c r="D834" s="4" t="n">
        <v>2006</v>
      </c>
      <c r="E834" s="19" t="inlineStr">
        <is>
          <t>The Prestige</t>
        </is>
      </c>
      <c r="F834" s="4" t="inlineStr">
        <is>
          <t>F0257</t>
        </is>
      </c>
    </row>
    <row r="835" ht="15.75" customHeight="1" s="108">
      <c r="A835" s="4" t="inlineStr">
        <is>
          <t>Plan B</t>
        </is>
      </c>
      <c r="B835" s="4" t="n">
        <v>1</v>
      </c>
      <c r="C835" s="4" t="n">
        <v>2012</v>
      </c>
      <c r="D835" s="4" t="n">
        <v>2012</v>
      </c>
      <c r="E835" s="19" t="inlineStr">
        <is>
          <t>The Sweeney</t>
        </is>
      </c>
      <c r="F835" s="4" t="inlineStr">
        <is>
          <t>F0305</t>
        </is>
      </c>
    </row>
    <row r="836" ht="15.75" customHeight="1" s="108">
      <c r="A836" s="4" t="inlineStr">
        <is>
          <t>Quinton 'Rampage' Jackson</t>
        </is>
      </c>
      <c r="B836" s="4" t="n">
        <v>1</v>
      </c>
      <c r="C836" s="4" t="n">
        <v>2010</v>
      </c>
      <c r="D836" s="4" t="n">
        <v>2010</v>
      </c>
      <c r="E836" s="19" t="inlineStr">
        <is>
          <t>The A-Team</t>
        </is>
      </c>
      <c r="F836" s="4" t="inlineStr">
        <is>
          <t>F0026</t>
        </is>
      </c>
    </row>
    <row r="837" ht="15.75" customHeight="1" s="108">
      <c r="A837" s="4" t="inlineStr">
        <is>
          <t>Rachel Bilson</t>
        </is>
      </c>
      <c r="B837" s="4" t="n">
        <v>1</v>
      </c>
      <c r="C837" s="4" t="n">
        <v>2008</v>
      </c>
      <c r="D837" s="4" t="n">
        <v>2008</v>
      </c>
      <c r="E837" s="19" t="inlineStr">
        <is>
          <t>Jumper</t>
        </is>
      </c>
      <c r="F837" s="4" t="inlineStr">
        <is>
          <t>F0175</t>
        </is>
      </c>
    </row>
    <row r="838" ht="15.75" customHeight="1" s="108">
      <c r="A838" s="4" t="inlineStr">
        <is>
          <t>Rachel Brosnahan</t>
        </is>
      </c>
      <c r="B838" s="4" t="n">
        <v>1</v>
      </c>
      <c r="C838" s="4" t="n">
        <v>2025</v>
      </c>
      <c r="D838" s="4" t="n">
        <v>2025</v>
      </c>
      <c r="E838" s="19" t="inlineStr">
        <is>
          <t>Superman</t>
        </is>
      </c>
      <c r="F838" s="4" t="inlineStr">
        <is>
          <t>F0304</t>
        </is>
      </c>
    </row>
    <row r="839" ht="15.75" customHeight="1" s="108">
      <c r="A839" s="4" t="inlineStr">
        <is>
          <t>Rachel Weisz</t>
        </is>
      </c>
      <c r="B839" s="4" t="n">
        <v>1</v>
      </c>
      <c r="C839" s="4" t="n">
        <v>2012</v>
      </c>
      <c r="D839" s="4" t="n">
        <v>2012</v>
      </c>
      <c r="E839" s="19" t="inlineStr">
        <is>
          <t>The Bourne Legacy</t>
        </is>
      </c>
      <c r="F839" s="4" t="inlineStr">
        <is>
          <t>F0056</t>
        </is>
      </c>
    </row>
    <row r="840" ht="15.75" customHeight="1" s="108">
      <c r="A840" s="4" t="inlineStr">
        <is>
          <t>Ramón Rodríguez</t>
        </is>
      </c>
      <c r="B840" s="4" t="n">
        <v>3</v>
      </c>
      <c r="C840" s="4" t="n">
        <v>2009</v>
      </c>
      <c r="D840" s="4" t="n">
        <v>2014</v>
      </c>
      <c r="E840" s="19" t="inlineStr">
        <is>
          <t>Battle: Los Angeles, Need for Speed, Transformers: Revenge of the Fallen</t>
        </is>
      </c>
      <c r="F840" s="4" t="inlineStr">
        <is>
          <t>F0046, F0234, F0317</t>
        </is>
      </c>
    </row>
    <row r="841" ht="15.75" customHeight="1" s="108">
      <c r="A841" s="4" t="inlineStr">
        <is>
          <t>Ray Liotta</t>
        </is>
      </c>
      <c r="B841" s="4" t="n">
        <v>2</v>
      </c>
      <c r="C841" s="4" t="n">
        <v>2012</v>
      </c>
      <c r="D841" s="4" t="n">
        <v>2014</v>
      </c>
      <c r="E841" s="19" t="inlineStr">
        <is>
          <t>Killing Them Softly, Muppets Most Wanted</t>
        </is>
      </c>
      <c r="F841" s="4" t="inlineStr">
        <is>
          <t>F0187, F0232</t>
        </is>
      </c>
    </row>
    <row r="842" ht="15.75" customHeight="1" s="108">
      <c r="A842" s="4" t="inlineStr">
        <is>
          <t>Ray Stevenson</t>
        </is>
      </c>
      <c r="B842" s="4" t="n">
        <v>2</v>
      </c>
      <c r="C842" s="4" t="n">
        <v>2014</v>
      </c>
      <c r="D842" s="4" t="n">
        <v>2015</v>
      </c>
      <c r="E842" s="19" t="inlineStr">
        <is>
          <t>The Transporter Refueled, Divergent</t>
        </is>
      </c>
      <c r="F842" s="4" t="inlineStr">
        <is>
          <t>F0323, F0089</t>
        </is>
      </c>
    </row>
    <row r="843" ht="15.75" customHeight="1" s="108">
      <c r="A843" s="4" t="inlineStr">
        <is>
          <t>Reese Witherspoon</t>
        </is>
      </c>
      <c r="B843" s="4" t="n">
        <v>1</v>
      </c>
      <c r="C843" s="4" t="n">
        <v>2016</v>
      </c>
      <c r="D843" s="4" t="n">
        <v>2016</v>
      </c>
      <c r="E843" s="19" t="inlineStr">
        <is>
          <t>Sing</t>
        </is>
      </c>
      <c r="F843" s="4" t="inlineStr">
        <is>
          <t>F0280</t>
        </is>
      </c>
    </row>
    <row r="844" ht="15.75" customHeight="1" s="108">
      <c r="A844" s="4" t="inlineStr">
        <is>
          <t>Regina King</t>
        </is>
      </c>
      <c r="B844" s="4" t="n">
        <v>1</v>
      </c>
      <c r="C844" s="4" t="n">
        <v>1998</v>
      </c>
      <c r="D844" s="4" t="n">
        <v>1998</v>
      </c>
      <c r="E844" s="19" t="inlineStr">
        <is>
          <t>Enemy of the State</t>
        </is>
      </c>
      <c r="F844" s="4" t="inlineStr">
        <is>
          <t>F0094</t>
        </is>
      </c>
    </row>
    <row r="845" ht="15.75" customHeight="1" s="108">
      <c r="A845" s="4" t="inlineStr">
        <is>
          <t>Reynaldo Gallegos</t>
        </is>
      </c>
      <c r="B845" s="4" t="n">
        <v>3</v>
      </c>
      <c r="C845" s="4" t="n">
        <v>2003</v>
      </c>
      <c r="D845" s="4" t="n">
        <v>2017</v>
      </c>
      <c r="E845" s="19" t="inlineStr">
        <is>
          <t>Rambo, Bad Boys II, Logan</t>
        </is>
      </c>
      <c r="F845" s="4" t="inlineStr">
        <is>
          <t>F0261, F0037, F0201</t>
        </is>
      </c>
    </row>
    <row r="846" ht="15.75" customHeight="1" s="108">
      <c r="A846" s="4" t="inlineStr">
        <is>
          <t>Rhona Mitra</t>
        </is>
      </c>
      <c r="B846" s="4" t="n">
        <v>1</v>
      </c>
      <c r="C846" s="4" t="n">
        <v>2009</v>
      </c>
      <c r="D846" s="4" t="n">
        <v>2009</v>
      </c>
      <c r="E846" s="19" t="inlineStr">
        <is>
          <t>Underworld: Rise of the Lycans</t>
        </is>
      </c>
      <c r="F846" s="4" t="inlineStr">
        <is>
          <t>F0327</t>
        </is>
      </c>
    </row>
    <row r="847" ht="15.75" customHeight="1" s="108">
      <c r="A847" s="4" t="inlineStr">
        <is>
          <t>Rhys Ifans</t>
        </is>
      </c>
      <c r="B847" s="4" t="n">
        <v>2</v>
      </c>
      <c r="C847" s="4" t="n">
        <v>2010</v>
      </c>
      <c r="D847" s="4" t="n">
        <v>2012</v>
      </c>
      <c r="E847" s="19" t="inlineStr">
        <is>
          <t>The Amazing Spider-Man, Harry Potter and the Deathly Hallows: Part 1</t>
        </is>
      </c>
      <c r="F847" s="4" t="inlineStr">
        <is>
          <t>F0019, F0143</t>
        </is>
      </c>
    </row>
    <row r="848" ht="15.75" customHeight="1" s="108">
      <c r="A848" s="4" t="inlineStr">
        <is>
          <t>Richard Harris</t>
        </is>
      </c>
      <c r="B848" s="4" t="n">
        <v>2</v>
      </c>
      <c r="C848" s="4" t="n">
        <v>2001</v>
      </c>
      <c r="D848" s="4" t="n">
        <v>2002</v>
      </c>
      <c r="E848" s="19" t="inlineStr">
        <is>
          <t>Harry Potter and the Philosopher's Stone, Harry Potter and the Chamber of Secrets</t>
        </is>
      </c>
      <c r="F848" s="4" t="inlineStr">
        <is>
          <t>F0137, F0138</t>
        </is>
      </c>
    </row>
    <row r="849" ht="15.75" customHeight="1" s="108">
      <c r="A849" s="4" t="inlineStr">
        <is>
          <t>Richard Kind</t>
        </is>
      </c>
      <c r="B849" s="4" t="n">
        <v>4</v>
      </c>
      <c r="C849" s="4" t="n">
        <v>1998</v>
      </c>
      <c r="D849" s="4" t="n">
        <v>2015</v>
      </c>
      <c r="E849" s="19" t="inlineStr">
        <is>
          <t>Inside Out, A Bug's Life, Argo, Toy Story 3</t>
        </is>
      </c>
      <c r="F849" s="4" t="inlineStr">
        <is>
          <t>F0167, F0012, F0025, F0314</t>
        </is>
      </c>
    </row>
    <row r="850" ht="15.75" customHeight="1" s="108">
      <c r="A850" s="4" t="inlineStr">
        <is>
          <t>Richard Madden</t>
        </is>
      </c>
      <c r="B850" s="4" t="n">
        <v>2</v>
      </c>
      <c r="C850" s="4" t="n">
        <v>2019</v>
      </c>
      <c r="D850" s="4" t="n">
        <v>2019</v>
      </c>
      <c r="E850" s="19" t="inlineStr">
        <is>
          <t>Rocketman, 1917</t>
        </is>
      </c>
      <c r="F850" s="4" t="inlineStr">
        <is>
          <t>F0269, F0356</t>
        </is>
      </c>
    </row>
    <row r="851" ht="15.75" customHeight="1" s="108">
      <c r="A851" s="4" t="inlineStr">
        <is>
          <t>Richard Roxburgh</t>
        </is>
      </c>
      <c r="B851" s="4" t="n">
        <v>2</v>
      </c>
      <c r="C851" s="4" t="n">
        <v>2000</v>
      </c>
      <c r="D851" s="4" t="n">
        <v>2016</v>
      </c>
      <c r="E851" s="19" t="inlineStr">
        <is>
          <t>Mission: Impossible II, Hacksaw Ridge</t>
        </is>
      </c>
      <c r="F851" s="4" t="inlineStr">
        <is>
          <t>F0222, F0133</t>
        </is>
      </c>
    </row>
    <row r="852" ht="15.75" customHeight="1" s="108">
      <c r="A852" s="4" t="inlineStr">
        <is>
          <t>Richie Campbell</t>
        </is>
      </c>
      <c r="B852" s="4" t="n">
        <v>1</v>
      </c>
      <c r="C852" s="4" t="n">
        <v>2011</v>
      </c>
      <c r="D852" s="4" t="n">
        <v>2011</v>
      </c>
      <c r="E852" s="19" t="inlineStr">
        <is>
          <t>Anuvahood</t>
        </is>
      </c>
      <c r="F852" s="4" t="inlineStr">
        <is>
          <t>F0024</t>
        </is>
      </c>
    </row>
    <row r="853" ht="15.75" customHeight="1" s="108">
      <c r="A853" s="4" t="inlineStr">
        <is>
          <t>Ricky Gervais</t>
        </is>
      </c>
      <c r="B853" s="4" t="n">
        <v>3</v>
      </c>
      <c r="C853" s="4" t="n">
        <v>2006</v>
      </c>
      <c r="D853" s="4" t="n">
        <v>2014</v>
      </c>
      <c r="E853" s="19" t="inlineStr">
        <is>
          <t>Muppets Most Wanted, Night at the Museum: Battle of the Smithsonian, night at the museum</t>
        </is>
      </c>
      <c r="F853" s="4" t="inlineStr">
        <is>
          <t>F0232, F0236, F0377</t>
        </is>
      </c>
    </row>
    <row r="854" ht="15.75" customHeight="1" s="108">
      <c r="A854" s="4" t="inlineStr">
        <is>
          <t>Rihanna</t>
        </is>
      </c>
      <c r="B854" s="4" t="n">
        <v>1</v>
      </c>
      <c r="C854" s="4" t="n">
        <v>2015</v>
      </c>
      <c r="D854" s="4" t="n">
        <v>2015</v>
      </c>
      <c r="E854" s="19" t="inlineStr">
        <is>
          <t>Home</t>
        </is>
      </c>
      <c r="F854" s="4" t="inlineStr">
        <is>
          <t>F0153</t>
        </is>
      </c>
    </row>
    <row r="855" ht="15.75" customHeight="1" s="108">
      <c r="A855" s="4" t="inlineStr">
        <is>
          <t>Rila Fukushima</t>
        </is>
      </c>
      <c r="B855" s="4" t="n">
        <v>1</v>
      </c>
      <c r="C855" s="4" t="n">
        <v>2013</v>
      </c>
      <c r="D855" s="4" t="n">
        <v>2013</v>
      </c>
      <c r="E855" s="19" t="inlineStr">
        <is>
          <t>The Wolverine</t>
        </is>
      </c>
      <c r="F855" s="4" t="inlineStr">
        <is>
          <t>F0347</t>
        </is>
      </c>
    </row>
    <row r="856" ht="15.75" customHeight="1" s="108">
      <c r="A856" s="4" t="inlineStr">
        <is>
          <t>Riley Griffiths</t>
        </is>
      </c>
      <c r="B856" s="4" t="n">
        <v>1</v>
      </c>
      <c r="C856" s="4" t="n">
        <v>2011</v>
      </c>
      <c r="D856" s="4" t="n">
        <v>2011</v>
      </c>
      <c r="E856" s="19" t="inlineStr">
        <is>
          <t>Super 8</t>
        </is>
      </c>
      <c r="F856" s="4" t="inlineStr">
        <is>
          <t>F0302</t>
        </is>
      </c>
    </row>
    <row r="857" ht="15.75" customHeight="1" s="108">
      <c r="A857" s="4" t="inlineStr">
        <is>
          <t>Rinko Kikuchi</t>
        </is>
      </c>
      <c r="B857" s="4" t="n">
        <v>1</v>
      </c>
      <c r="C857" s="4" t="n">
        <v>2013</v>
      </c>
      <c r="D857" s="4" t="n">
        <v>2013</v>
      </c>
      <c r="E857" s="19" t="inlineStr">
        <is>
          <t>Pacific Rim</t>
        </is>
      </c>
      <c r="F857" s="4" t="inlineStr">
        <is>
          <t>F0243</t>
        </is>
      </c>
    </row>
    <row r="858" ht="15.75" customHeight="1" s="108">
      <c r="A858" s="4" t="inlineStr">
        <is>
          <t>Rip Torn</t>
        </is>
      </c>
      <c r="B858" s="4" t="n">
        <v>2</v>
      </c>
      <c r="C858" s="4" t="n">
        <v>1997</v>
      </c>
      <c r="D858" s="4" t="n">
        <v>2014</v>
      </c>
      <c r="E858" s="19" t="inlineStr">
        <is>
          <t>Men in Black, Hercules</t>
        </is>
      </c>
      <c r="F858" s="4" t="inlineStr">
        <is>
          <t>F0218, F0147</t>
        </is>
      </c>
    </row>
    <row r="859" ht="15.75" customHeight="1" s="108">
      <c r="A859" s="4" t="inlineStr">
        <is>
          <t>Rob Riggle</t>
        </is>
      </c>
      <c r="B859" s="4" t="n">
        <v>2</v>
      </c>
      <c r="C859" s="4" t="n">
        <v>2009</v>
      </c>
      <c r="D859" s="4" t="n">
        <v>2012</v>
      </c>
      <c r="E859" s="19" t="inlineStr">
        <is>
          <t>21 Jump Street, The Hangover</t>
        </is>
      </c>
      <c r="F859" s="4" t="inlineStr">
        <is>
          <t>F0007, F0134</t>
        </is>
      </c>
    </row>
    <row r="860" ht="15.75" customHeight="1" s="108">
      <c r="A860" s="4" t="inlineStr">
        <is>
          <t>Rob Schneider</t>
        </is>
      </c>
      <c r="B860" s="4" t="n">
        <v>1</v>
      </c>
      <c r="C860" s="4" t="n">
        <v>2010</v>
      </c>
      <c r="D860" s="4" t="n">
        <v>2010</v>
      </c>
      <c r="E860" s="19" t="inlineStr">
        <is>
          <t>Grown Ups</t>
        </is>
      </c>
      <c r="F860" s="4" t="inlineStr">
        <is>
          <t>F0131</t>
        </is>
      </c>
    </row>
    <row r="861" ht="15.75" customHeight="1" s="108">
      <c r="A861" s="4" t="inlineStr">
        <is>
          <t>Robbie Coltrane</t>
        </is>
      </c>
      <c r="B861" s="4" t="n">
        <v>8</v>
      </c>
      <c r="C861" s="4" t="n">
        <v>2001</v>
      </c>
      <c r="D861" s="4" t="n">
        <v>2011</v>
      </c>
      <c r="E861" s="19" t="inlineStr">
        <is>
          <t>Harry Potter and the Prisoner of Azkaban, Harry Potter and the Philosopher's Stone, Harry Potter and the Chamber of Secrets, Harry Potter and the Goblet of Fire, Harry Potter and the Order of the Phoenix, Harry Potter and the Half-Blood Prince, Harry Potter and the Deathly Hallows: Part 1, Harry Potter and the Deathly Hallows: Part 2</t>
        </is>
      </c>
      <c r="F861" s="4" t="inlineStr">
        <is>
          <t>F0139, F0137, F0138, F0140, F0141, F0142, F0143, F0144</t>
        </is>
      </c>
    </row>
    <row r="862" ht="15.75" customHeight="1" s="108">
      <c r="A862" s="4" t="inlineStr">
        <is>
          <t>Robert De Niro</t>
        </is>
      </c>
      <c r="B862" s="4" t="n">
        <v>1</v>
      </c>
      <c r="C862" s="4" t="n">
        <v>2016</v>
      </c>
      <c r="D862" s="4" t="n">
        <v>2016</v>
      </c>
      <c r="E862" s="19" t="inlineStr">
        <is>
          <t>Dirty Grandpa</t>
        </is>
      </c>
      <c r="F862" s="4" t="inlineStr">
        <is>
          <t>F0087</t>
        </is>
      </c>
    </row>
    <row r="863" ht="15.75" customHeight="1" s="108">
      <c r="A863" s="4" t="inlineStr">
        <is>
          <t>Robert Huerta</t>
        </is>
      </c>
      <c r="B863" s="4" t="n">
        <v>1</v>
      </c>
      <c r="C863" s="4" t="n">
        <v>2009</v>
      </c>
      <c r="D863" s="4" t="n">
        <v>2009</v>
      </c>
      <c r="E863" s="19" t="inlineStr">
        <is>
          <t>Brüno</t>
        </is>
      </c>
      <c r="F863" s="4" t="inlineStr">
        <is>
          <t>F0059</t>
        </is>
      </c>
    </row>
    <row r="864" ht="15.75" customHeight="1" s="108">
      <c r="A864" s="4" t="inlineStr">
        <is>
          <t>Robert Pattinson</t>
        </is>
      </c>
      <c r="B864" s="4" t="n">
        <v>4</v>
      </c>
      <c r="C864" s="4" t="n">
        <v>2005</v>
      </c>
      <c r="D864" s="4" t="n">
        <v>2025</v>
      </c>
      <c r="E864" s="19" t="inlineStr">
        <is>
          <t>The Batman, Harry Potter and the Goblet of Fire, mickey 17, Tenet</t>
        </is>
      </c>
      <c r="F864" s="4" t="inlineStr">
        <is>
          <t>F0042, F0140, F0376, F0387</t>
        </is>
      </c>
    </row>
    <row r="865" ht="15.75" customHeight="1" s="108">
      <c r="A865" s="4" t="inlineStr">
        <is>
          <t>Robin Wright</t>
        </is>
      </c>
      <c r="B865" s="4" t="n">
        <v>2</v>
      </c>
      <c r="C865" s="4" t="n">
        <v>2011</v>
      </c>
      <c r="D865" s="4" t="n">
        <v>2018</v>
      </c>
      <c r="E865" s="19" t="inlineStr">
        <is>
          <t>The Girl with the Dragon Tattoo, blade runner 2049</t>
        </is>
      </c>
      <c r="F865" s="4" t="inlineStr">
        <is>
          <t>F0120, F0366</t>
        </is>
      </c>
    </row>
    <row r="866" ht="15.75" customHeight="1" s="108">
      <c r="A866" s="4" t="inlineStr">
        <is>
          <t>Roman Griffin Davis</t>
        </is>
      </c>
      <c r="B866" s="4" t="n">
        <v>1</v>
      </c>
      <c r="C866" s="4" t="n">
        <v>2019</v>
      </c>
      <c r="D866" s="4" t="n">
        <v>2019</v>
      </c>
      <c r="E866" s="19" t="inlineStr">
        <is>
          <t>Jojo Rabbit</t>
        </is>
      </c>
      <c r="F866" s="4" t="inlineStr">
        <is>
          <t>F0170</t>
        </is>
      </c>
    </row>
    <row r="867" ht="15.75" customHeight="1" s="108">
      <c r="A867" s="4" t="inlineStr">
        <is>
          <t>Ron Dennis</t>
        </is>
      </c>
      <c r="B867" s="4" t="n">
        <v>1</v>
      </c>
      <c r="C867" s="4" t="n">
        <v>2010</v>
      </c>
      <c r="D867" s="4" t="n">
        <v>2010</v>
      </c>
      <c r="E867" s="19" t="inlineStr">
        <is>
          <t>Senna</t>
        </is>
      </c>
      <c r="F867" s="4" t="inlineStr">
        <is>
          <t>F0275</t>
        </is>
      </c>
    </row>
    <row r="868" ht="15.75" customHeight="1" s="108">
      <c r="A868" s="4" t="inlineStr">
        <is>
          <t>Ronny Cox</t>
        </is>
      </c>
      <c r="B868" s="4" t="n">
        <v>1</v>
      </c>
      <c r="C868" s="4" t="n"/>
      <c r="D868" s="4" t="n"/>
      <c r="E868" s="19" t="inlineStr">
        <is>
          <t>RoboCop</t>
        </is>
      </c>
      <c r="F868" s="4" t="inlineStr">
        <is>
          <t>F0268</t>
        </is>
      </c>
    </row>
    <row r="869" ht="15.75" customHeight="1" s="108">
      <c r="A869" s="4" t="inlineStr">
        <is>
          <t>Rooney Mara</t>
        </is>
      </c>
      <c r="B869" s="4" t="n">
        <v>1</v>
      </c>
      <c r="C869" s="4" t="n">
        <v>2011</v>
      </c>
      <c r="D869" s="4" t="n">
        <v>2011</v>
      </c>
      <c r="E869" s="19" t="inlineStr">
        <is>
          <t>The Girl with the Dragon Tattoo</t>
        </is>
      </c>
      <c r="F869" s="4" t="inlineStr">
        <is>
          <t>F0120</t>
        </is>
      </c>
    </row>
    <row r="870" ht="15.75" customHeight="1" s="108">
      <c r="A870" s="4" t="inlineStr">
        <is>
          <t>Rory Kinnear</t>
        </is>
      </c>
      <c r="B870" s="4" t="n">
        <v>5</v>
      </c>
      <c r="C870" s="4" t="n">
        <v>2008</v>
      </c>
      <c r="D870" s="4" t="n">
        <v>2021</v>
      </c>
      <c r="E870" s="19" t="inlineStr">
        <is>
          <t>The Imitation Game, Quantum of Solace, Skyfall, Spectre, No Time to Die</t>
        </is>
      </c>
      <c r="F870" s="4" t="inlineStr">
        <is>
          <t>F0162, F0002, F0003, F0004, F0005</t>
        </is>
      </c>
    </row>
    <row r="871" ht="15.75" customHeight="1" s="108">
      <c r="A871" s="4" t="inlineStr">
        <is>
          <t>Rosamund Pike</t>
        </is>
      </c>
      <c r="B871" s="4" t="n">
        <v>2</v>
      </c>
      <c r="C871" s="4" t="n">
        <v>2012</v>
      </c>
      <c r="D871" s="4" t="n">
        <v>2013</v>
      </c>
      <c r="E871" s="19" t="inlineStr">
        <is>
          <t>Jack Reacher, The World's End</t>
        </is>
      </c>
      <c r="F871" s="4" t="inlineStr">
        <is>
          <t>F0171, F0072</t>
        </is>
      </c>
    </row>
    <row r="872" ht="15.75" customHeight="1" s="108">
      <c r="A872" s="4" t="inlineStr">
        <is>
          <t>Rosario Dawson</t>
        </is>
      </c>
      <c r="B872" s="4" t="n">
        <v>1</v>
      </c>
      <c r="C872" s="4" t="n">
        <v>2017</v>
      </c>
      <c r="D872" s="4" t="n">
        <v>2017</v>
      </c>
      <c r="E872" s="19" t="inlineStr">
        <is>
          <t>The Lego Batman Movie</t>
        </is>
      </c>
      <c r="F872" s="4" t="inlineStr">
        <is>
          <t>F0193</t>
        </is>
      </c>
    </row>
    <row r="873" ht="15.75" customHeight="1" s="108">
      <c r="A873" s="4" t="inlineStr">
        <is>
          <t>Rosemary Harris</t>
        </is>
      </c>
      <c r="B873" s="4" t="n">
        <v>3</v>
      </c>
      <c r="C873" s="4" t="n">
        <v>2002</v>
      </c>
      <c r="D873" s="4" t="n">
        <v>2007</v>
      </c>
      <c r="E873" s="19" t="inlineStr">
        <is>
          <t>Spider-Man 2, Spider-Man, Spider-Man 3</t>
        </is>
      </c>
      <c r="F873" s="4" t="inlineStr">
        <is>
          <t>F0288, F0287, F0289</t>
        </is>
      </c>
    </row>
    <row r="874" ht="15.75" customHeight="1" s="108">
      <c r="A874" s="4" t="inlineStr">
        <is>
          <t>Rosie Huntington-Whiteley</t>
        </is>
      </c>
      <c r="B874" s="4" t="n">
        <v>2</v>
      </c>
      <c r="C874" s="4" t="n">
        <v>2011</v>
      </c>
      <c r="D874" s="4" t="n">
        <v>2015</v>
      </c>
      <c r="E874" s="19" t="inlineStr">
        <is>
          <t>Transformers: Dark of the Moon, Mad max fury road</t>
        </is>
      </c>
      <c r="F874" s="4" t="inlineStr">
        <is>
          <t>F0318, F0354</t>
        </is>
      </c>
    </row>
    <row r="875" ht="15.75" customHeight="1" s="108">
      <c r="A875" s="4" t="inlineStr">
        <is>
          <t>Rosie Perez</t>
        </is>
      </c>
      <c r="B875" s="4" t="n">
        <v>1</v>
      </c>
      <c r="C875" s="4" t="n">
        <v>2008</v>
      </c>
      <c r="D875" s="4" t="n">
        <v>2008</v>
      </c>
      <c r="E875" s="19" t="inlineStr">
        <is>
          <t>Pineapple Express</t>
        </is>
      </c>
      <c r="F875" s="4" t="inlineStr">
        <is>
          <t>F0247</t>
        </is>
      </c>
    </row>
    <row r="876" ht="15.75" customHeight="1" s="108">
      <c r="A876" s="4" t="inlineStr">
        <is>
          <t>Roxanne McKee</t>
        </is>
      </c>
      <c r="B876" s="4" t="n">
        <v>1</v>
      </c>
      <c r="C876" s="4" t="n">
        <v>2014</v>
      </c>
      <c r="D876" s="4" t="n">
        <v>2014</v>
      </c>
      <c r="E876" s="19" t="inlineStr">
        <is>
          <t>The Legend of Hercules</t>
        </is>
      </c>
      <c r="F876" s="4" t="inlineStr">
        <is>
          <t>F0148</t>
        </is>
      </c>
    </row>
    <row r="877" ht="15.75" customHeight="1" s="108">
      <c r="A877" s="4" t="inlineStr">
        <is>
          <t>Ruby Barnhill</t>
        </is>
      </c>
      <c r="B877" s="4" t="n">
        <v>1</v>
      </c>
      <c r="C877" s="4" t="n">
        <v>2016</v>
      </c>
      <c r="D877" s="4" t="n">
        <v>2016</v>
      </c>
      <c r="E877" s="19" t="inlineStr">
        <is>
          <t>The BFG</t>
        </is>
      </c>
      <c r="F877" s="4" t="inlineStr">
        <is>
          <t>F0047</t>
        </is>
      </c>
    </row>
    <row r="878" ht="15.75" customHeight="1" s="108">
      <c r="A878" s="4" t="inlineStr">
        <is>
          <t>Rufus Sewell</t>
        </is>
      </c>
      <c r="B878" s="4" t="n">
        <v>1</v>
      </c>
      <c r="C878" s="4" t="n">
        <v>2014</v>
      </c>
      <c r="D878" s="4" t="n">
        <v>2014</v>
      </c>
      <c r="E878" s="19" t="inlineStr">
        <is>
          <t>Hercules</t>
        </is>
      </c>
      <c r="F878" s="4" t="inlineStr">
        <is>
          <t>F0147</t>
        </is>
      </c>
    </row>
    <row r="879" ht="15.75" customHeight="1" s="108">
      <c r="A879" s="4" t="inlineStr">
        <is>
          <t>Rupert Friend</t>
        </is>
      </c>
      <c r="B879" s="4" t="n">
        <v>1</v>
      </c>
      <c r="C879" s="4" t="n">
        <v>2025</v>
      </c>
      <c r="D879" s="4" t="n">
        <v>2025</v>
      </c>
      <c r="E879" s="19" t="inlineStr">
        <is>
          <t>Jurassic World Rebirth</t>
        </is>
      </c>
      <c r="F879" s="4" t="inlineStr">
        <is>
          <t>F0182</t>
        </is>
      </c>
    </row>
    <row r="880" ht="15.75" customHeight="1" s="108">
      <c r="A880" s="4" t="inlineStr">
        <is>
          <t>Ryan Dunn</t>
        </is>
      </c>
      <c r="B880" s="4" t="n">
        <v>1</v>
      </c>
      <c r="C880" s="4" t="n">
        <v>2010</v>
      </c>
      <c r="D880" s="4" t="n">
        <v>2010</v>
      </c>
      <c r="E880" s="19" t="inlineStr">
        <is>
          <t>Jackass 3D</t>
        </is>
      </c>
      <c r="F880" s="4" t="inlineStr">
        <is>
          <t>F0172</t>
        </is>
      </c>
    </row>
    <row r="881" ht="15.75" customHeight="1" s="108">
      <c r="A881" s="4" t="inlineStr">
        <is>
          <t>Ryan Potter</t>
        </is>
      </c>
      <c r="B881" s="4" t="n">
        <v>1</v>
      </c>
      <c r="C881" s="4" t="n">
        <v>2014</v>
      </c>
      <c r="D881" s="4" t="n">
        <v>2014</v>
      </c>
      <c r="E881" s="19" t="inlineStr">
        <is>
          <t>Big Hero 6</t>
        </is>
      </c>
      <c r="F881" s="4" t="inlineStr">
        <is>
          <t>F0048</t>
        </is>
      </c>
    </row>
    <row r="882" ht="15.75" customHeight="1" s="108">
      <c r="A882" s="4" t="inlineStr">
        <is>
          <t>Saffron Burrows</t>
        </is>
      </c>
      <c r="B882" s="4" t="n">
        <v>1</v>
      </c>
      <c r="C882" s="4" t="n">
        <v>2008</v>
      </c>
      <c r="D882" s="4" t="n">
        <v>2008</v>
      </c>
      <c r="E882" s="19" t="inlineStr">
        <is>
          <t>The Bank Job</t>
        </is>
      </c>
      <c r="F882" s="4" t="inlineStr">
        <is>
          <t>F0040</t>
        </is>
      </c>
    </row>
    <row r="883" ht="15.75" customHeight="1" s="108">
      <c r="A883" s="4" t="inlineStr">
        <is>
          <t>Sally Hawkins</t>
        </is>
      </c>
      <c r="B883" s="4" t="n">
        <v>4</v>
      </c>
      <c r="C883" s="4" t="n">
        <v>2014</v>
      </c>
      <c r="D883" s="4" t="n">
        <v>2023</v>
      </c>
      <c r="E883" s="19" t="inlineStr">
        <is>
          <t>Paddington, Godzilla, Godzilla: King of the Monsters, Wonka</t>
        </is>
      </c>
      <c r="F883" s="4" t="inlineStr">
        <is>
          <t>F0244, F0121, F0122, F0338</t>
        </is>
      </c>
    </row>
    <row r="884" ht="15.75" customHeight="1" s="108">
      <c r="A884" s="4" t="inlineStr">
        <is>
          <t>Sam Claflin</t>
        </is>
      </c>
      <c r="B884" s="4" t="n">
        <v>6</v>
      </c>
      <c r="C884" s="4" t="n">
        <v>2011</v>
      </c>
      <c r="D884" s="4" t="n">
        <v>2016</v>
      </c>
      <c r="E884" s="19" t="inlineStr">
        <is>
          <t>Snow White and the Huntsman, The Hunger Games: Mockingjay - Part 1, Pirates of the Caribbean: On Stranger Tides, Catching  fire, Mockingjay part 2, Catching fire</t>
        </is>
      </c>
      <c r="F884" s="4" t="inlineStr">
        <is>
          <t>F0284, F0158, F0249, F0382, F0383, F0384</t>
        </is>
      </c>
    </row>
    <row r="885" ht="15.75" customHeight="1" s="108">
      <c r="A885" s="4" t="inlineStr">
        <is>
          <t>Sam Shepard</t>
        </is>
      </c>
      <c r="B885" s="4" t="n">
        <v>4</v>
      </c>
      <c r="C885" s="4" t="n">
        <v>2001</v>
      </c>
      <c r="D885" s="4" t="n">
        <v>2012</v>
      </c>
      <c r="E885" s="19" t="inlineStr">
        <is>
          <t>Safe House, Black Hawk Down, Killing Them Softly, The Notebook</t>
        </is>
      </c>
      <c r="F885" s="4" t="inlineStr">
        <is>
          <t>F0272, F0050, F0187, F0237</t>
        </is>
      </c>
    </row>
    <row r="886" ht="15.75" customHeight="1" s="108">
      <c r="A886" s="4" t="inlineStr">
        <is>
          <t>Samuel Joslin</t>
        </is>
      </c>
      <c r="B886" s="4" t="n">
        <v>1</v>
      </c>
      <c r="C886" s="4" t="n">
        <v>2014</v>
      </c>
      <c r="D886" s="4" t="n">
        <v>2014</v>
      </c>
      <c r="E886" s="19" t="inlineStr">
        <is>
          <t>Paddington</t>
        </is>
      </c>
      <c r="F886" s="4" t="inlineStr">
        <is>
          <t>F0244</t>
        </is>
      </c>
    </row>
    <row r="887" ht="15.75" customHeight="1" s="108">
      <c r="A887" s="4" t="inlineStr">
        <is>
          <t>Sayed Badreya</t>
        </is>
      </c>
      <c r="B887" s="4" t="n">
        <v>1</v>
      </c>
      <c r="C887" s="4" t="n">
        <v>2012</v>
      </c>
      <c r="D887" s="4" t="n">
        <v>2012</v>
      </c>
      <c r="E887" s="19" t="inlineStr">
        <is>
          <t>The Dictator</t>
        </is>
      </c>
      <c r="F887" s="4" t="inlineStr">
        <is>
          <t>F0085</t>
        </is>
      </c>
    </row>
    <row r="888" ht="15.75" customHeight="1" s="108">
      <c r="A888" s="4" t="inlineStr">
        <is>
          <t>Scoot McNairy</t>
        </is>
      </c>
      <c r="B888" s="4" t="n">
        <v>2</v>
      </c>
      <c r="C888" s="4" t="n">
        <v>2012</v>
      </c>
      <c r="D888" s="4" t="n">
        <v>2012</v>
      </c>
      <c r="E888" s="19" t="inlineStr">
        <is>
          <t>Killing Them Softly, Argo</t>
        </is>
      </c>
      <c r="F888" s="4" t="inlineStr">
        <is>
          <t>F0187, F0025</t>
        </is>
      </c>
    </row>
    <row r="889" ht="15.75" customHeight="1" s="108">
      <c r="A889" s="4" t="inlineStr">
        <is>
          <t>Scott Adkins</t>
        </is>
      </c>
      <c r="B889" s="4" t="n">
        <v>6</v>
      </c>
      <c r="C889" s="4" t="n">
        <v>2007</v>
      </c>
      <c r="D889" s="4" t="n">
        <v>2023</v>
      </c>
      <c r="E889" s="19" t="inlineStr">
        <is>
          <t>The Legend of Hercules, The Bourne Ultimatum, The Expendables 2, Grimsby, Zero Dark Thirty, John wick chapter 4</t>
        </is>
      </c>
      <c r="F889" s="4" t="inlineStr">
        <is>
          <t>F0148, F0055, F0096, F0130, F0349, F0392</t>
        </is>
      </c>
    </row>
    <row r="890" ht="15.75" customHeight="1" s="108">
      <c r="A890" s="4" t="inlineStr">
        <is>
          <t>Scott Adsit</t>
        </is>
      </c>
      <c r="B890" s="4" t="n">
        <v>1</v>
      </c>
      <c r="C890" s="4" t="n">
        <v>2014</v>
      </c>
      <c r="D890" s="4" t="n">
        <v>2014</v>
      </c>
      <c r="E890" s="19" t="inlineStr">
        <is>
          <t>Big Hero 6</t>
        </is>
      </c>
      <c r="F890" s="4" t="inlineStr">
        <is>
          <t>F0048</t>
        </is>
      </c>
    </row>
    <row r="891" ht="15.75" customHeight="1" s="108">
      <c r="A891" s="4" t="inlineStr">
        <is>
          <t>Scott Glenn</t>
        </is>
      </c>
      <c r="B891" s="4" t="n">
        <v>2</v>
      </c>
      <c r="C891" s="4" t="n">
        <v>2007</v>
      </c>
      <c r="D891" s="4" t="n">
        <v>2012</v>
      </c>
      <c r="E891" s="19" t="inlineStr">
        <is>
          <t>The Bourne Ultimatum, The Bourne Legacy</t>
        </is>
      </c>
      <c r="F891" s="4" t="inlineStr">
        <is>
          <t>F0055, F0056</t>
        </is>
      </c>
    </row>
    <row r="892" ht="15.75" customHeight="1" s="108">
      <c r="A892" s="4" t="inlineStr">
        <is>
          <t>Scott Speedman</t>
        </is>
      </c>
      <c r="B892" s="4" t="n">
        <v>5</v>
      </c>
      <c r="C892" s="4" t="n">
        <v>2003</v>
      </c>
      <c r="D892" s="4" t="n">
        <v>2012</v>
      </c>
      <c r="E892" s="19" t="inlineStr">
        <is>
          <t xml:space="preserve">Underworld: Evolution, Underworld: Awakening, Underworld, Underworld awakening, Underworld </t>
        </is>
      </c>
      <c r="F892" s="4" t="inlineStr">
        <is>
          <t>F0326, F0328, F0389, F0390</t>
        </is>
      </c>
    </row>
    <row r="893" ht="15.75" customHeight="1" s="108">
      <c r="A893" s="4" t="inlineStr">
        <is>
          <t>Sean Hayes</t>
        </is>
      </c>
      <c r="B893" s="4" t="n">
        <v>2</v>
      </c>
      <c r="C893" s="4" t="n">
        <v>2007</v>
      </c>
      <c r="D893" s="4" t="n">
        <v>2013</v>
      </c>
      <c r="E893" s="19" t="inlineStr">
        <is>
          <t>The Bucket List, Monsters University</t>
        </is>
      </c>
      <c r="F893" s="4" t="inlineStr">
        <is>
          <t>F0060, F0230</t>
        </is>
      </c>
    </row>
    <row r="894" ht="15.75" customHeight="1" s="108">
      <c r="A894" s="4" t="inlineStr">
        <is>
          <t>Seth Meyers</t>
        </is>
      </c>
      <c r="B894" s="4" t="n">
        <v>1</v>
      </c>
      <c r="C894" s="4" t="n">
        <v>2008</v>
      </c>
      <c r="D894" s="4" t="n">
        <v>2008</v>
      </c>
      <c r="E894" s="19" t="inlineStr">
        <is>
          <t>Journey to the Center of the Earth</t>
        </is>
      </c>
      <c r="F894" s="4" t="inlineStr">
        <is>
          <t>F0174</t>
        </is>
      </c>
    </row>
    <row r="895" ht="15.75" customHeight="1" s="108">
      <c r="A895" s="4" t="inlineStr">
        <is>
          <t>Shad Moss</t>
        </is>
      </c>
      <c r="B895" s="4" t="n">
        <v>2</v>
      </c>
      <c r="C895" s="4" t="n">
        <v>2006</v>
      </c>
      <c r="D895" s="4" t="n">
        <v>2021</v>
      </c>
      <c r="E895" s="19" t="inlineStr">
        <is>
          <t>The Fast and the Furious: Tokyo Drift, F9: The Fast Saga</t>
        </is>
      </c>
      <c r="F895" s="4" t="inlineStr">
        <is>
          <t>F0103, F0109</t>
        </is>
      </c>
    </row>
    <row r="896" ht="15.75" customHeight="1" s="108">
      <c r="A896" s="4" t="inlineStr">
        <is>
          <t>Shailene Woodley</t>
        </is>
      </c>
      <c r="B896" s="4" t="n">
        <v>1</v>
      </c>
      <c r="C896" s="4" t="n">
        <v>2014</v>
      </c>
      <c r="D896" s="4" t="n">
        <v>2014</v>
      </c>
      <c r="E896" s="19" t="inlineStr">
        <is>
          <t>Divergent</t>
        </is>
      </c>
      <c r="F896" s="4" t="inlineStr">
        <is>
          <t>F0089</t>
        </is>
      </c>
    </row>
    <row r="897" ht="15.75" customHeight="1" s="108">
      <c r="A897" s="4" t="inlineStr">
        <is>
          <t>Sienna Miller</t>
        </is>
      </c>
      <c r="B897" s="4" t="n">
        <v>1</v>
      </c>
      <c r="C897" s="4" t="n">
        <v>2009</v>
      </c>
      <c r="D897" s="4" t="n">
        <v>2009</v>
      </c>
      <c r="E897" s="19" t="inlineStr">
        <is>
          <t>G.I. Joe: The Rise of Cobra</t>
        </is>
      </c>
      <c r="F897" s="4" t="inlineStr">
        <is>
          <t>F0118</t>
        </is>
      </c>
    </row>
    <row r="898" ht="15.75" customHeight="1" s="108">
      <c r="A898" s="4" t="inlineStr">
        <is>
          <t>Simon Greenall</t>
        </is>
      </c>
      <c r="B898" s="4" t="n">
        <v>1</v>
      </c>
      <c r="C898" s="4" t="n">
        <v>2013</v>
      </c>
      <c r="D898" s="4" t="n">
        <v>2013</v>
      </c>
      <c r="E898" s="19" t="inlineStr">
        <is>
          <t>Alan Partridge: Alpha Papa</t>
        </is>
      </c>
      <c r="F898" s="4" t="inlineStr">
        <is>
          <t>F0014</t>
        </is>
      </c>
    </row>
    <row r="899" ht="15.75" customHeight="1" s="108">
      <c r="A899" s="4" t="inlineStr">
        <is>
          <t>Song Kang-ho</t>
        </is>
      </c>
      <c r="B899" s="4" t="n">
        <v>1</v>
      </c>
      <c r="C899" s="4" t="n">
        <v>2013</v>
      </c>
      <c r="D899" s="4" t="n">
        <v>2013</v>
      </c>
      <c r="E899" s="19" t="inlineStr">
        <is>
          <t>Snowpiercer</t>
        </is>
      </c>
      <c r="F899" s="4" t="inlineStr">
        <is>
          <t>F0283</t>
        </is>
      </c>
    </row>
    <row r="900" ht="15.75" customHeight="1" s="108">
      <c r="A900" s="4" t="inlineStr">
        <is>
          <t>Stacy Keach</t>
        </is>
      </c>
      <c r="B900" s="4" t="n">
        <v>1</v>
      </c>
      <c r="C900" s="4" t="n">
        <v>2012</v>
      </c>
      <c r="D900" s="4" t="n">
        <v>2012</v>
      </c>
      <c r="E900" s="19" t="inlineStr">
        <is>
          <t>The Bourne Legacy</t>
        </is>
      </c>
      <c r="F900" s="4" t="inlineStr">
        <is>
          <t>F0056</t>
        </is>
      </c>
    </row>
    <row r="901" ht="15.75" customHeight="1" s="108">
      <c r="A901" s="4" t="inlineStr">
        <is>
          <t>Stanley Tucci</t>
        </is>
      </c>
      <c r="B901" s="4" t="n">
        <v>8</v>
      </c>
      <c r="C901" s="4" t="n">
        <v>2012</v>
      </c>
      <c r="D901" s="4" t="n">
        <v>2017</v>
      </c>
      <c r="E901" s="19" t="inlineStr">
        <is>
          <t>Transformers: Age of Extinction, The Hunger Games, The Hunger Games: Mockingjay - Part 1, Muppets Most Wanted, Transformers: The Last Knight, Catching  fire, Mockingjay part 2, Catching fire</t>
        </is>
      </c>
      <c r="F901" s="4" t="inlineStr">
        <is>
          <t>F0319, F0157, F0158, F0232, F0320, F0382, F0383, F0384</t>
        </is>
      </c>
    </row>
    <row r="902" ht="15.75" customHeight="1" s="108">
      <c r="A902" s="4" t="inlineStr">
        <is>
          <t>Stephanie Beatriz</t>
        </is>
      </c>
      <c r="B902" s="4" t="n">
        <v>1</v>
      </c>
      <c r="C902" s="4" t="n">
        <v>2019</v>
      </c>
      <c r="D902" s="4" t="n">
        <v>2019</v>
      </c>
      <c r="E902" s="19" t="inlineStr">
        <is>
          <t>The Lego Movie 2: The Second Part</t>
        </is>
      </c>
      <c r="F902" s="4" t="inlineStr">
        <is>
          <t>F0196</t>
        </is>
      </c>
    </row>
    <row r="903" ht="15.75" customHeight="1" s="108">
      <c r="A903" s="4" t="inlineStr">
        <is>
          <t>Stephen Campbell Moore</t>
        </is>
      </c>
      <c r="B903" s="4" t="n">
        <v>1</v>
      </c>
      <c r="C903" s="4" t="n">
        <v>2008</v>
      </c>
      <c r="D903" s="4" t="n">
        <v>2008</v>
      </c>
      <c r="E903" s="19" t="inlineStr">
        <is>
          <t>The Bank Job</t>
        </is>
      </c>
      <c r="F903" s="4" t="inlineStr">
        <is>
          <t>F0040</t>
        </is>
      </c>
    </row>
    <row r="904" ht="15.75" customHeight="1" s="108">
      <c r="A904" s="4" t="inlineStr">
        <is>
          <t>Stephen Lang</t>
        </is>
      </c>
      <c r="B904" s="4" t="n">
        <v>2</v>
      </c>
      <c r="C904" s="4" t="n">
        <v>2009</v>
      </c>
      <c r="D904" s="4" t="n">
        <v>2022</v>
      </c>
      <c r="E904" s="19" t="inlineStr">
        <is>
          <t>Avatar, avatar way of water</t>
        </is>
      </c>
      <c r="F904" s="4" t="inlineStr">
        <is>
          <t>F0028, F0364</t>
        </is>
      </c>
    </row>
    <row r="905" ht="15.75" customHeight="1" s="108">
      <c r="A905" s="4" t="inlineStr">
        <is>
          <t>Stephen Rea</t>
        </is>
      </c>
      <c r="B905" s="4" t="n">
        <v>2</v>
      </c>
      <c r="C905" s="4" t="n">
        <v>2012</v>
      </c>
      <c r="D905" s="4" t="n">
        <v>2012</v>
      </c>
      <c r="E905" s="19" t="inlineStr">
        <is>
          <t>Underworld: Awakening, Underworld awakening</t>
        </is>
      </c>
      <c r="F905" s="4" t="inlineStr">
        <is>
          <t>F0328, F0390</t>
        </is>
      </c>
    </row>
    <row r="906" ht="15.75" customHeight="1" s="108">
      <c r="A906" s="4" t="inlineStr">
        <is>
          <t>Steve Martin</t>
        </is>
      </c>
      <c r="B906" s="4" t="n">
        <v>1</v>
      </c>
      <c r="C906" s="4" t="n">
        <v>2015</v>
      </c>
      <c r="D906" s="4" t="n">
        <v>2015</v>
      </c>
      <c r="E906" s="19" t="inlineStr">
        <is>
          <t>Home</t>
        </is>
      </c>
      <c r="F906" s="4" t="inlineStr">
        <is>
          <t>F0153</t>
        </is>
      </c>
    </row>
    <row r="907" ht="15.75" customHeight="1" s="108">
      <c r="A907" s="4" t="inlineStr">
        <is>
          <t>Steve Whitmire</t>
        </is>
      </c>
      <c r="B907" s="4" t="n">
        <v>1</v>
      </c>
      <c r="C907" s="4" t="n">
        <v>2014</v>
      </c>
      <c r="D907" s="4" t="n">
        <v>2014</v>
      </c>
      <c r="E907" s="19" t="inlineStr">
        <is>
          <t>Muppets Most Wanted</t>
        </is>
      </c>
      <c r="F907" s="4" t="inlineStr">
        <is>
          <t>F0232</t>
        </is>
      </c>
    </row>
    <row r="908" ht="15.75" customHeight="1" s="108">
      <c r="A908" s="4" t="inlineStr">
        <is>
          <t>Steve Zahn</t>
        </is>
      </c>
      <c r="B908" s="4" t="n">
        <v>1</v>
      </c>
      <c r="C908" s="4" t="n">
        <v>2017</v>
      </c>
      <c r="D908" s="4" t="n">
        <v>2017</v>
      </c>
      <c r="E908" s="19" t="inlineStr">
        <is>
          <t>War for the Planet of the Apes</t>
        </is>
      </c>
      <c r="F908" s="4" t="inlineStr">
        <is>
          <t>F0255</t>
        </is>
      </c>
    </row>
    <row r="909" ht="15.75" customHeight="1" s="108">
      <c r="A909" s="4" t="inlineStr">
        <is>
          <t>Steve-O</t>
        </is>
      </c>
      <c r="B909" s="4" t="n">
        <v>1</v>
      </c>
      <c r="C909" s="4" t="n">
        <v>2010</v>
      </c>
      <c r="D909" s="4" t="n">
        <v>2010</v>
      </c>
      <c r="E909" s="19" t="inlineStr">
        <is>
          <t>Jackass 3D</t>
        </is>
      </c>
      <c r="F909" s="4" t="inlineStr">
        <is>
          <t>F0172</t>
        </is>
      </c>
    </row>
    <row r="910" ht="15.75" customHeight="1" s="108">
      <c r="A910" s="4" t="inlineStr">
        <is>
          <t>Steven Mackintosh</t>
        </is>
      </c>
      <c r="B910" s="4" t="n">
        <v>5</v>
      </c>
      <c r="C910" s="4" t="n">
        <v>2006</v>
      </c>
      <c r="D910" s="4" t="n">
        <v>2019</v>
      </c>
      <c r="E910" s="19" t="inlineStr">
        <is>
          <t>Underworld: Rise of the Lycans, Kick-Ass 2, Rocketman, The Sweeney, Underworld: Evolution</t>
        </is>
      </c>
      <c r="F910" s="4" t="inlineStr">
        <is>
          <t>F0327, F0186, F0269, F0305, F0326</t>
        </is>
      </c>
    </row>
    <row r="911" ht="15.75" customHeight="1" s="108">
      <c r="A911" s="4" t="inlineStr">
        <is>
          <t>Sung Kang</t>
        </is>
      </c>
      <c r="B911" s="4" t="n">
        <v>8</v>
      </c>
      <c r="C911" s="4" t="n">
        <v>2006</v>
      </c>
      <c r="D911" s="4" t="n">
        <v>2023</v>
      </c>
      <c r="E911" s="19" t="inlineStr">
        <is>
          <t>The Fast and the Furious: Tokyo Drift, Live Free or Die Hard, Fast Five, Fast &amp; Furious 6, Furious 7, F9: The Fast Saga, Fast X, Fast &amp; Furious</t>
        </is>
      </c>
      <c r="F911" s="4" t="inlineStr">
        <is>
          <t>F0103, F0086, F0105, F0106, F0107, F0109, F0110, F0104</t>
        </is>
      </c>
    </row>
    <row r="912" ht="15.75" customHeight="1" s="108">
      <c r="A912" s="4" t="inlineStr">
        <is>
          <t>Sylvaine Strike</t>
        </is>
      </c>
      <c r="B912" s="4" t="n">
        <v>1</v>
      </c>
      <c r="C912" s="4" t="n">
        <v>2009</v>
      </c>
      <c r="D912" s="4" t="n">
        <v>2009</v>
      </c>
      <c r="E912" s="19" t="inlineStr">
        <is>
          <t>District 9</t>
        </is>
      </c>
      <c r="F912" s="4" t="inlineStr">
        <is>
          <t>F0088</t>
        </is>
      </c>
    </row>
    <row r="913" ht="15.75" customHeight="1" s="108">
      <c r="A913" s="4" t="inlineStr">
        <is>
          <t>Tao Okamoto</t>
        </is>
      </c>
      <c r="B913" s="4" t="n">
        <v>1</v>
      </c>
      <c r="C913" s="4" t="n">
        <v>2013</v>
      </c>
      <c r="D913" s="4" t="n">
        <v>2013</v>
      </c>
      <c r="E913" s="19" t="inlineStr">
        <is>
          <t>The Wolverine</t>
        </is>
      </c>
      <c r="F913" s="4" t="inlineStr">
        <is>
          <t>F0347</t>
        </is>
      </c>
    </row>
    <row r="914" ht="15.75" customHeight="1" s="108">
      <c r="A914" s="4" t="inlineStr">
        <is>
          <t>Taron Egerton</t>
        </is>
      </c>
      <c r="B914" s="4" t="n">
        <v>2</v>
      </c>
      <c r="C914" s="4" t="n">
        <v>2016</v>
      </c>
      <c r="D914" s="4" t="n">
        <v>2019</v>
      </c>
      <c r="E914" s="19" t="inlineStr">
        <is>
          <t>Rocketman, Sing</t>
        </is>
      </c>
      <c r="F914" s="4" t="inlineStr">
        <is>
          <t>F0269, F0280</t>
        </is>
      </c>
    </row>
    <row r="915" ht="15.75" customHeight="1" s="108">
      <c r="A915" s="4" t="inlineStr">
        <is>
          <t>Tatiana Pajković</t>
        </is>
      </c>
      <c r="B915" s="4" t="n">
        <v>1</v>
      </c>
      <c r="C915" s="4" t="n">
        <v>2015</v>
      </c>
      <c r="D915" s="4" t="n">
        <v>2015</v>
      </c>
      <c r="E915" s="19" t="inlineStr">
        <is>
          <t>The Transporter Refueled</t>
        </is>
      </c>
      <c r="F915" s="4" t="inlineStr">
        <is>
          <t>F0323</t>
        </is>
      </c>
    </row>
    <row r="916" ht="15.75" customHeight="1" s="108">
      <c r="A916" s="4" t="inlineStr">
        <is>
          <t>Taylor Kitsch</t>
        </is>
      </c>
      <c r="B916" s="4" t="n">
        <v>2</v>
      </c>
      <c r="C916" s="4" t="n">
        <v>2009</v>
      </c>
      <c r="D916" s="4" t="n">
        <v>2013</v>
      </c>
      <c r="E916" s="19" t="inlineStr">
        <is>
          <t>Lone Survivor, X-Men Origins: Wolverine</t>
        </is>
      </c>
      <c r="F916" s="4" t="inlineStr">
        <is>
          <t>F0202, F0343</t>
        </is>
      </c>
    </row>
    <row r="917" ht="15.75" customHeight="1" s="108">
      <c r="A917" s="4" t="inlineStr">
        <is>
          <t>Tchéky Karyo</t>
        </is>
      </c>
      <c r="B917" s="4" t="n">
        <v>1</v>
      </c>
      <c r="C917" s="4" t="n">
        <v>1995</v>
      </c>
      <c r="D917" s="4" t="n">
        <v>1995</v>
      </c>
      <c r="E917" s="19" t="inlineStr">
        <is>
          <t>Bad Boys</t>
        </is>
      </c>
      <c r="F917" s="4" t="inlineStr">
        <is>
          <t>F0036</t>
        </is>
      </c>
    </row>
    <row r="918" ht="15.75" customHeight="1" s="108">
      <c r="A918" s="4" t="inlineStr">
        <is>
          <t>Terrence Howard</t>
        </is>
      </c>
      <c r="B918" s="4" t="n">
        <v>1</v>
      </c>
      <c r="C918" s="4" t="n">
        <v>2013</v>
      </c>
      <c r="D918" s="4" t="n">
        <v>2013</v>
      </c>
      <c r="E918" s="19" t="inlineStr">
        <is>
          <t>Prisoners</t>
        </is>
      </c>
      <c r="F918" s="4" t="inlineStr">
        <is>
          <t>F0258</t>
        </is>
      </c>
    </row>
    <row r="919" ht="15.75" customHeight="1" s="108">
      <c r="A919" s="4" t="inlineStr">
        <is>
          <t>Terry Notary</t>
        </is>
      </c>
      <c r="B919" s="4" t="n">
        <v>5</v>
      </c>
      <c r="C919" s="4" t="n">
        <v>2011</v>
      </c>
      <c r="D919" s="4" t="n">
        <v>2017</v>
      </c>
      <c r="E919" s="19" t="inlineStr">
        <is>
          <t>War for the Planet of the Apes, Attack the Block, Kong: Skull Island, Rise of the Planet of the Apes, Dawn of the Planet of the Apes</t>
        </is>
      </c>
      <c r="F919" s="4" t="inlineStr">
        <is>
          <t>F0255, F0027, F0190, F0253, F0254</t>
        </is>
      </c>
    </row>
    <row r="920" ht="15.75" customHeight="1" s="108">
      <c r="A920" s="4" t="inlineStr">
        <is>
          <t>Tessa Thompson</t>
        </is>
      </c>
      <c r="B920" s="4" t="n">
        <v>2</v>
      </c>
      <c r="C920" s="4" t="n">
        <v>2015</v>
      </c>
      <c r="D920" s="4" t="n">
        <v>2019</v>
      </c>
      <c r="E920" s="19" t="inlineStr">
        <is>
          <t>Creed, Avengers: Endgame</t>
        </is>
      </c>
      <c r="F920" s="4" t="inlineStr">
        <is>
          <t>F0074, F0031</t>
        </is>
      </c>
    </row>
    <row r="921" ht="15.75" customHeight="1" s="108">
      <c r="A921" s="4" t="inlineStr">
        <is>
          <t>Thomas Brodie-Sangster</t>
        </is>
      </c>
      <c r="B921" s="4" t="n">
        <v>1</v>
      </c>
      <c r="C921" s="4" t="n">
        <v>2014</v>
      </c>
      <c r="D921" s="4" t="n">
        <v>2014</v>
      </c>
      <c r="E921" s="19" t="inlineStr">
        <is>
          <t>The Maze Runner</t>
        </is>
      </c>
      <c r="F921" s="4" t="inlineStr">
        <is>
          <t>F0217</t>
        </is>
      </c>
    </row>
    <row r="922" ht="15.75" customHeight="1" s="108">
      <c r="A922" s="4" t="inlineStr">
        <is>
          <t>Thomas Haden Church</t>
        </is>
      </c>
      <c r="B922" s="4" t="n">
        <v>1</v>
      </c>
      <c r="C922" s="4" t="n">
        <v>2007</v>
      </c>
      <c r="D922" s="4" t="n">
        <v>2007</v>
      </c>
      <c r="E922" s="19" t="inlineStr">
        <is>
          <t>Spider-Man 3</t>
        </is>
      </c>
      <c r="F922" s="4" t="inlineStr">
        <is>
          <t>F0289</t>
        </is>
      </c>
    </row>
    <row r="923" ht="15.75" customHeight="1" s="108">
      <c r="A923" s="4" t="inlineStr">
        <is>
          <t>Thomasin McKenzie</t>
        </is>
      </c>
      <c r="B923" s="4" t="n">
        <v>1</v>
      </c>
      <c r="C923" s="4" t="n">
        <v>2019</v>
      </c>
      <c r="D923" s="4" t="n">
        <v>2019</v>
      </c>
      <c r="E923" s="19" t="inlineStr">
        <is>
          <t>Jojo Rabbit</t>
        </is>
      </c>
      <c r="F923" s="4" t="inlineStr">
        <is>
          <t>F0170</t>
        </is>
      </c>
    </row>
    <row r="924" ht="15.75" customHeight="1" s="108">
      <c r="A924" s="4" t="inlineStr">
        <is>
          <t>Tiffany Haddish</t>
        </is>
      </c>
      <c r="B924" s="4" t="n">
        <v>3</v>
      </c>
      <c r="C924" s="4" t="n">
        <v>2019</v>
      </c>
      <c r="D924" s="4" t="n">
        <v>2022</v>
      </c>
      <c r="E924" s="19" t="inlineStr">
        <is>
          <t xml:space="preserve">The Lego Movie 2: The Second Part, Unbearable weight of massive talent, Unbearable weight of massive talent </t>
        </is>
      </c>
      <c r="F924" s="4" t="inlineStr">
        <is>
          <t>F0196, F0388</t>
        </is>
      </c>
    </row>
    <row r="925" ht="15.75" customHeight="1" s="108">
      <c r="A925" s="4" t="inlineStr">
        <is>
          <t>Tilda Swinton</t>
        </is>
      </c>
      <c r="B925" s="4" t="n">
        <v>2</v>
      </c>
      <c r="C925" s="4" t="n">
        <v>2013</v>
      </c>
      <c r="D925" s="4" t="n">
        <v>2019</v>
      </c>
      <c r="E925" s="19" t="inlineStr">
        <is>
          <t>Snowpiercer, Avengers: Endgame</t>
        </is>
      </c>
      <c r="F925" s="4" t="inlineStr">
        <is>
          <t>F0283, F0031</t>
        </is>
      </c>
    </row>
    <row r="926" ht="15.75" customHeight="1" s="108">
      <c r="A926" s="4" t="inlineStr">
        <is>
          <t>Timothy Olyphant</t>
        </is>
      </c>
      <c r="B926" s="4" t="n">
        <v>2</v>
      </c>
      <c r="C926" s="4" t="n">
        <v>2007</v>
      </c>
      <c r="D926" s="4" t="n">
        <v>2019</v>
      </c>
      <c r="E926" s="19" t="inlineStr">
        <is>
          <t>Live Free or Die Hard, Once Upon a Time… in Hollywood</t>
        </is>
      </c>
      <c r="F926" s="4" t="inlineStr">
        <is>
          <t>F0086, F0241</t>
        </is>
      </c>
    </row>
    <row r="927" ht="15.75" customHeight="1" s="108">
      <c r="A927" s="4" t="inlineStr">
        <is>
          <t>Timothy Spall</t>
        </is>
      </c>
      <c r="B927" s="4" t="n">
        <v>5</v>
      </c>
      <c r="C927" s="4" t="n">
        <v>2004</v>
      </c>
      <c r="D927" s="4" t="n">
        <v>2010</v>
      </c>
      <c r="E927" s="19" t="inlineStr">
        <is>
          <t>The King's Speech, Harry Potter and the Prisoner of Azkaban, Harry Potter and the Goblet of Fire, Harry Potter and the Half-Blood Prince, Harry Potter and the Deathly Hallows: Part 1</t>
        </is>
      </c>
      <c r="F927" s="4" t="inlineStr">
        <is>
          <t>F0189, F0139, F0140, F0142, F0143</t>
        </is>
      </c>
    </row>
    <row r="928" ht="15.75" customHeight="1" s="108">
      <c r="A928" s="4" t="inlineStr">
        <is>
          <t>Timothée Chalamet</t>
        </is>
      </c>
      <c r="B928" s="4" t="n">
        <v>5</v>
      </c>
      <c r="C928" s="4" t="n">
        <v>2014</v>
      </c>
      <c r="D928" s="4" t="n">
        <v>2024</v>
      </c>
      <c r="E928" s="19" t="inlineStr">
        <is>
          <t xml:space="preserve">Wonka, Interstellar, dune, dune  part two, dune </t>
        </is>
      </c>
      <c r="F928" s="4" t="inlineStr">
        <is>
          <t>F0338, F0168, F0367, F0368</t>
        </is>
      </c>
    </row>
    <row r="929" ht="15.75" customHeight="1" s="108">
      <c r="A929" s="4" t="inlineStr">
        <is>
          <t>Tina Fey</t>
        </is>
      </c>
      <c r="B929" s="4" t="n">
        <v>1</v>
      </c>
      <c r="C929" s="4" t="n">
        <v>2014</v>
      </c>
      <c r="D929" s="4" t="n">
        <v>2014</v>
      </c>
      <c r="E929" s="19" t="inlineStr">
        <is>
          <t>Muppets Most Wanted</t>
        </is>
      </c>
      <c r="F929" s="4" t="inlineStr">
        <is>
          <t>F0232</t>
        </is>
      </c>
    </row>
    <row r="930" ht="15.75" customHeight="1" s="108">
      <c r="A930" s="4" t="inlineStr">
        <is>
          <t>Tobias Menzies</t>
        </is>
      </c>
      <c r="B930" s="4" t="n">
        <v>2</v>
      </c>
      <c r="C930" s="4" t="n">
        <v>2006</v>
      </c>
      <c r="D930" s="4" t="n">
        <v>2025</v>
      </c>
      <c r="E930" s="19" t="inlineStr">
        <is>
          <t>F1, Casino Royale</t>
        </is>
      </c>
      <c r="F930" s="4" t="inlineStr">
        <is>
          <t>F0098, F0001</t>
        </is>
      </c>
    </row>
    <row r="931" ht="15.75" customHeight="1" s="108">
      <c r="A931" s="4" t="inlineStr">
        <is>
          <t>Toby Kebbell</t>
        </is>
      </c>
      <c r="B931" s="4" t="n">
        <v>3</v>
      </c>
      <c r="C931" s="4" t="n">
        <v>2014</v>
      </c>
      <c r="D931" s="4" t="n">
        <v>2017</v>
      </c>
      <c r="E931" s="19" t="inlineStr">
        <is>
          <t>Dawn of the Planet of the Apes, Kong: Skull Island, War for the Planet of the Apes</t>
        </is>
      </c>
      <c r="F931" s="4" t="inlineStr">
        <is>
          <t>F0254, F0190, F0255</t>
        </is>
      </c>
    </row>
    <row r="932" ht="15.75" customHeight="1" s="108">
      <c r="A932" s="4" t="inlineStr">
        <is>
          <t>Tom Cavanagh</t>
        </is>
      </c>
      <c r="B932" s="4" t="n">
        <v>1</v>
      </c>
      <c r="C932" s="4" t="n">
        <v>2010</v>
      </c>
      <c r="D932" s="4" t="n">
        <v>2010</v>
      </c>
      <c r="E932" s="19" t="inlineStr">
        <is>
          <t>Yogi Bear</t>
        </is>
      </c>
      <c r="F932" s="4" t="inlineStr">
        <is>
          <t>F0348</t>
        </is>
      </c>
    </row>
    <row r="933" ht="15.75" customHeight="1" s="108">
      <c r="A933" s="4" t="inlineStr">
        <is>
          <t>Tom Felton</t>
        </is>
      </c>
      <c r="B933" s="4" t="n">
        <v>9</v>
      </c>
      <c r="C933" s="4" t="n">
        <v>2001</v>
      </c>
      <c r="D933" s="4" t="n">
        <v>2011</v>
      </c>
      <c r="E933" s="19" t="inlineStr">
        <is>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Harry Potter and the Deathly Hallows: Part 2, Rise of the Planet of the Apes</t>
        </is>
      </c>
      <c r="F933" s="4" t="inlineStr">
        <is>
          <t>F0137, F0138, F0139, F0140, F0141, F0142, F0143, F0144, F0253</t>
        </is>
      </c>
    </row>
    <row r="934" ht="15.75" customHeight="1" s="108">
      <c r="A934" s="4" t="inlineStr">
        <is>
          <t>Tom Hiddleston</t>
        </is>
      </c>
      <c r="B934" s="4" t="n">
        <v>5</v>
      </c>
      <c r="C934" s="4" t="n">
        <v>2012</v>
      </c>
      <c r="D934" s="4" t="n">
        <v>2019</v>
      </c>
      <c r="E934" s="19" t="inlineStr">
        <is>
          <t>Kong: Skull Island, The Avengers, Avengers: Infinity War, Avengers: Endgame, Muppets Most Wanted</t>
        </is>
      </c>
      <c r="F934" s="4" t="inlineStr">
        <is>
          <t>F0190, F0029, F0030, F0031, F0232</t>
        </is>
      </c>
    </row>
    <row r="935" ht="15.75" customHeight="1" s="108">
      <c r="A935" s="4" t="inlineStr">
        <is>
          <t>Tom Hughes</t>
        </is>
      </c>
      <c r="B935" s="4" t="n">
        <v>1</v>
      </c>
      <c r="C935" s="4" t="n">
        <v>2010</v>
      </c>
      <c r="D935" s="4" t="n">
        <v>2010</v>
      </c>
      <c r="E935" s="19" t="inlineStr">
        <is>
          <t>Sex &amp; Drugs &amp; Rock &amp; Roll</t>
        </is>
      </c>
      <c r="F935" s="4" t="inlineStr">
        <is>
          <t>F0277</t>
        </is>
      </c>
    </row>
    <row r="936" ht="15.75" customHeight="1" s="108">
      <c r="A936" s="4" t="inlineStr">
        <is>
          <t>Tom Sizemore</t>
        </is>
      </c>
      <c r="B936" s="4" t="n">
        <v>1</v>
      </c>
      <c r="C936" s="4" t="n">
        <v>2001</v>
      </c>
      <c r="D936" s="4" t="n">
        <v>2001</v>
      </c>
      <c r="E936" s="19" t="inlineStr">
        <is>
          <t>Black Hawk Down</t>
        </is>
      </c>
      <c r="F936" s="4" t="inlineStr">
        <is>
          <t>F0050</t>
        </is>
      </c>
    </row>
    <row r="937" ht="15.75" customHeight="1" s="108">
      <c r="A937" s="4" t="inlineStr">
        <is>
          <t>Tom Skerritt</t>
        </is>
      </c>
      <c r="B937" s="4" t="n">
        <v>2</v>
      </c>
      <c r="C937" s="4" t="n">
        <v>1979</v>
      </c>
      <c r="D937" s="4" t="n">
        <v>2012</v>
      </c>
      <c r="E937" s="19" t="inlineStr">
        <is>
          <t>Alien, Ted</t>
        </is>
      </c>
      <c r="F937" s="4" t="inlineStr">
        <is>
          <t>F0015, F0308</t>
        </is>
      </c>
    </row>
    <row r="938" ht="15.75" customHeight="1" s="108">
      <c r="A938" s="4" t="inlineStr">
        <is>
          <t>Tom Wilkinson</t>
        </is>
      </c>
      <c r="B938" s="4" t="n">
        <v>2</v>
      </c>
      <c r="C938" s="4" t="n">
        <v>2005</v>
      </c>
      <c r="D938" s="4" t="n">
        <v>2009</v>
      </c>
      <c r="E938" s="19" t="inlineStr">
        <is>
          <t>44 Inch Chest, Batman Begins</t>
        </is>
      </c>
      <c r="F938" s="4" t="inlineStr">
        <is>
          <t>F0010, F0043</t>
        </is>
      </c>
    </row>
    <row r="939" ht="15.75" customHeight="1" s="108">
      <c r="A939" s="4" t="inlineStr">
        <is>
          <t>Tony Curran</t>
        </is>
      </c>
      <c r="B939" s="4" t="n">
        <v>1</v>
      </c>
      <c r="C939" s="4" t="n">
        <v>2006</v>
      </c>
      <c r="D939" s="4" t="n">
        <v>2006</v>
      </c>
      <c r="E939" s="19" t="inlineStr">
        <is>
          <t>Underworld: Evolution</t>
        </is>
      </c>
      <c r="F939" s="4" t="inlineStr">
        <is>
          <t>F0326</t>
        </is>
      </c>
    </row>
    <row r="940" ht="15.75" customHeight="1" s="108">
      <c r="A940" s="4" t="inlineStr">
        <is>
          <t>Tony Hale</t>
        </is>
      </c>
      <c r="B940" s="4" t="n">
        <v>3</v>
      </c>
      <c r="C940" s="4" t="n">
        <v>2013</v>
      </c>
      <c r="D940" s="4" t="n">
        <v>2019</v>
      </c>
      <c r="E940" s="19" t="inlineStr">
        <is>
          <t>Toy Story 4, The Heat, Transformers: The Last Knight</t>
        </is>
      </c>
      <c r="F940" s="4" t="inlineStr">
        <is>
          <t>F0315, F0146, F0320</t>
        </is>
      </c>
    </row>
    <row r="941" ht="15.75" customHeight="1" s="108">
      <c r="A941" s="4" t="inlineStr">
        <is>
          <t>Tony Todd</t>
        </is>
      </c>
      <c r="B941" s="4" t="n">
        <v>2</v>
      </c>
      <c r="C941" s="4" t="n">
        <v>2009</v>
      </c>
      <c r="D941" s="4" t="n">
        <v>2015</v>
      </c>
      <c r="E941" s="19" t="inlineStr">
        <is>
          <t>Transformers: Revenge of the Fallen, Lego DC Comics Super Heroes: Justice League vs. Bizarro League</t>
        </is>
      </c>
      <c r="F941" s="4" t="inlineStr">
        <is>
          <t>F0317, F0197</t>
        </is>
      </c>
    </row>
    <row r="942" ht="15.75" customHeight="1" s="108">
      <c r="A942" s="4" t="inlineStr">
        <is>
          <t>Topher Grace</t>
        </is>
      </c>
      <c r="B942" s="4" t="n">
        <v>2</v>
      </c>
      <c r="C942" s="4" t="n">
        <v>2007</v>
      </c>
      <c r="D942" s="4" t="n">
        <v>2014</v>
      </c>
      <c r="E942" s="19" t="inlineStr">
        <is>
          <t>Spider-Man 3, Interstellar</t>
        </is>
      </c>
      <c r="F942" s="4" t="inlineStr">
        <is>
          <t>F0289, F0168</t>
        </is>
      </c>
    </row>
    <row r="943" ht="15.75" customHeight="1" s="108">
      <c r="A943" s="4" t="inlineStr">
        <is>
          <t>Tracy Morgan</t>
        </is>
      </c>
      <c r="B943" s="4" t="n">
        <v>3</v>
      </c>
      <c r="C943" s="4" t="n">
        <v>2010</v>
      </c>
      <c r="D943" s="4" t="n">
        <v>2014</v>
      </c>
      <c r="E943" s="19" t="inlineStr">
        <is>
          <t>Cop Out, Rio, Rio 2</t>
        </is>
      </c>
      <c r="F943" s="4" t="inlineStr">
        <is>
          <t>F0069, F0265, F0266</t>
        </is>
      </c>
    </row>
    <row r="944" ht="15.75" customHeight="1" s="108">
      <c r="A944" s="4" t="inlineStr">
        <is>
          <t>Travis Willingham</t>
        </is>
      </c>
      <c r="B944" s="4" t="n">
        <v>1</v>
      </c>
      <c r="C944" s="4" t="n">
        <v>2013</v>
      </c>
      <c r="D944" s="4" t="n">
        <v>2013</v>
      </c>
      <c r="E944" s="19" t="inlineStr">
        <is>
          <t>Lego Batman: The Movie - DC Super Heroes Unite</t>
        </is>
      </c>
      <c r="F944" s="4" t="inlineStr">
        <is>
          <t>F0194</t>
        </is>
      </c>
    </row>
    <row r="945" ht="15.75" customHeight="1" s="108">
      <c r="A945" s="4" t="inlineStr">
        <is>
          <t>Trevor Morgan</t>
        </is>
      </c>
      <c r="B945" s="4" t="n">
        <v>1</v>
      </c>
      <c r="C945" s="4" t="n">
        <v>2001</v>
      </c>
      <c r="D945" s="4" t="n">
        <v>2001</v>
      </c>
      <c r="E945" s="19" t="inlineStr">
        <is>
          <t>Jurassic Park III</t>
        </is>
      </c>
      <c r="F945" s="4" t="inlineStr">
        <is>
          <t>F0178</t>
        </is>
      </c>
    </row>
    <row r="946" ht="15.75" customHeight="1" s="108">
      <c r="A946" s="4" t="inlineStr">
        <is>
          <t>Ty Burrell</t>
        </is>
      </c>
      <c r="B946" s="4" t="n">
        <v>4</v>
      </c>
      <c r="C946" s="4" t="n">
        <v>2001</v>
      </c>
      <c r="D946" s="4" t="n">
        <v>2016</v>
      </c>
      <c r="E946" s="19" t="inlineStr">
        <is>
          <t>Muppets Most Wanted, Finding Dory, National Treasure: Book of Secrets, Evolution</t>
        </is>
      </c>
      <c r="F946" s="4" t="inlineStr">
        <is>
          <t>F0232, F0113, F0233, F0381</t>
        </is>
      </c>
    </row>
    <row r="947" ht="15.75" customHeight="1" s="108">
      <c r="A947" s="4" t="inlineStr">
        <is>
          <t>Ty Simpkins</t>
        </is>
      </c>
      <c r="B947" s="4" t="n">
        <v>3</v>
      </c>
      <c r="C947" s="4" t="n">
        <v>2013</v>
      </c>
      <c r="D947" s="4" t="n">
        <v>2016</v>
      </c>
      <c r="E947" s="19" t="inlineStr">
        <is>
          <t>Jurassic World, Iron Man 3, The Nice Guys</t>
        </is>
      </c>
      <c r="F947" s="4" t="inlineStr">
        <is>
          <t>F0179, F0169, F0235</t>
        </is>
      </c>
    </row>
    <row r="948" ht="15.75" customHeight="1" s="108">
      <c r="A948" s="4" t="inlineStr">
        <is>
          <t>Vanessa Kirby</t>
        </is>
      </c>
      <c r="B948" s="4" t="n">
        <v>3</v>
      </c>
      <c r="C948" s="4" t="n">
        <v>2018</v>
      </c>
      <c r="D948" s="4" t="n">
        <v>2023</v>
      </c>
      <c r="E948" s="19" t="inlineStr">
        <is>
          <t>Fast &amp; Furious Presents: Hobbs &amp; Shaw, Mission: Impossible - Fallout, Mission: Impossible - Dead Reckoning Part One</t>
        </is>
      </c>
      <c r="F948" s="4" t="inlineStr">
        <is>
          <t>F0111, F0226, F0227</t>
        </is>
      </c>
    </row>
    <row r="949" ht="15.75" customHeight="1" s="108">
      <c r="A949" s="4" t="inlineStr">
        <is>
          <t>Veronica Cartwright</t>
        </is>
      </c>
      <c r="B949" s="4" t="n">
        <v>1</v>
      </c>
      <c r="C949" s="4" t="n">
        <v>1979</v>
      </c>
      <c r="D949" s="4" t="n">
        <v>1979</v>
      </c>
      <c r="E949" s="19" t="inlineStr">
        <is>
          <t>Alien</t>
        </is>
      </c>
      <c r="F949" s="4" t="inlineStr">
        <is>
          <t>F0015</t>
        </is>
      </c>
    </row>
    <row r="950" ht="15.75" customHeight="1" s="108">
      <c r="A950" s="4" t="inlineStr">
        <is>
          <t>Vicky McClure</t>
        </is>
      </c>
      <c r="B950" s="4" t="n">
        <v>1</v>
      </c>
      <c r="C950" s="4" t="n">
        <v>2013</v>
      </c>
      <c r="D950" s="4" t="n">
        <v>2013</v>
      </c>
      <c r="E950" s="19" t="inlineStr">
        <is>
          <t>Hummingbird</t>
        </is>
      </c>
      <c r="F950" s="4" t="inlineStr">
        <is>
          <t>F0156</t>
        </is>
      </c>
    </row>
    <row r="951" ht="15.75" customHeight="1" s="108">
      <c r="A951" s="4" t="inlineStr">
        <is>
          <t>Victor Garber</t>
        </is>
      </c>
      <c r="B951" s="4" t="n">
        <v>1</v>
      </c>
      <c r="C951" s="4" t="n">
        <v>2012</v>
      </c>
      <c r="D951" s="4" t="n">
        <v>2012</v>
      </c>
      <c r="E951" s="19" t="inlineStr">
        <is>
          <t>Argo</t>
        </is>
      </c>
      <c r="F951" s="4" t="inlineStr">
        <is>
          <t>F0025</t>
        </is>
      </c>
    </row>
    <row r="952" ht="15.75" customHeight="1" s="108">
      <c r="A952" s="4" t="inlineStr">
        <is>
          <t>Viola Davis</t>
        </is>
      </c>
      <c r="B952" s="4" t="n">
        <v>2</v>
      </c>
      <c r="C952" s="4" t="n">
        <v>2009</v>
      </c>
      <c r="D952" s="4" t="n">
        <v>2013</v>
      </c>
      <c r="E952" s="19" t="inlineStr">
        <is>
          <t>Prisoners, Law Abiding Citizen</t>
        </is>
      </c>
      <c r="F952" s="4" t="inlineStr">
        <is>
          <t>F0258, F0191</t>
        </is>
      </c>
    </row>
    <row r="953" ht="15.75" customHeight="1" s="108">
      <c r="A953" s="4" t="inlineStr">
        <is>
          <t>Virginia Madsen</t>
        </is>
      </c>
      <c r="B953" s="4" t="n">
        <v>1</v>
      </c>
      <c r="C953" s="4" t="n">
        <v>2006</v>
      </c>
      <c r="D953" s="4" t="n">
        <v>2006</v>
      </c>
      <c r="E953" s="19" t="inlineStr">
        <is>
          <t>Firewall</t>
        </is>
      </c>
      <c r="F953" s="4" t="inlineStr">
        <is>
          <t>F0114</t>
        </is>
      </c>
    </row>
    <row r="954" ht="15.75" customHeight="1" s="108">
      <c r="A954" s="4" t="inlineStr">
        <is>
          <t>Viviane Senna</t>
        </is>
      </c>
      <c r="B954" s="4" t="n">
        <v>1</v>
      </c>
      <c r="C954" s="4" t="n">
        <v>2010</v>
      </c>
      <c r="D954" s="4" t="n">
        <v>2010</v>
      </c>
      <c r="E954" s="19" t="inlineStr">
        <is>
          <t>Senna</t>
        </is>
      </c>
      <c r="F954" s="4" t="inlineStr">
        <is>
          <t>F0275</t>
        </is>
      </c>
    </row>
    <row r="955" ht="15.75" customHeight="1" s="108">
      <c r="A955" s="4" t="inlineStr">
        <is>
          <t>Wagner Moura</t>
        </is>
      </c>
      <c r="B955" s="4" t="n">
        <v>1</v>
      </c>
      <c r="C955" s="4" t="n">
        <v>2013</v>
      </c>
      <c r="D955" s="4" t="n">
        <v>2013</v>
      </c>
      <c r="E955" s="19" t="inlineStr">
        <is>
          <t>Elysium</t>
        </is>
      </c>
      <c r="F955" s="4" t="inlineStr">
        <is>
          <t>F0093</t>
        </is>
      </c>
    </row>
    <row r="956" ht="15.75" customHeight="1" s="108">
      <c r="A956" s="4" t="inlineStr">
        <is>
          <t>Walter Catlett</t>
        </is>
      </c>
      <c r="B956" s="4" t="n">
        <v>1</v>
      </c>
      <c r="C956" s="4" t="n">
        <v>1940</v>
      </c>
      <c r="D956" s="4" t="n">
        <v>1940</v>
      </c>
      <c r="E956" s="19" t="inlineStr">
        <is>
          <t>Pinocchio</t>
        </is>
      </c>
      <c r="F956" s="4" t="inlineStr">
        <is>
          <t>F0248</t>
        </is>
      </c>
    </row>
    <row r="957" ht="15.75" customHeight="1" s="108">
      <c r="A957" s="4" t="inlineStr">
        <is>
          <t>Wang ZhenWei</t>
        </is>
      </c>
      <c r="B957" s="4" t="n">
        <v>1</v>
      </c>
      <c r="C957" s="4" t="n">
        <v>2010</v>
      </c>
      <c r="D957" s="4" t="n">
        <v>2010</v>
      </c>
      <c r="E957" s="19" t="inlineStr">
        <is>
          <t>The Karate Kid</t>
        </is>
      </c>
      <c r="F957" s="4" t="inlineStr">
        <is>
          <t>F0184</t>
        </is>
      </c>
    </row>
    <row r="958" ht="15.75" customHeight="1" s="108">
      <c r="A958" s="4" t="inlineStr">
        <is>
          <t>Wendi McLendon-Covey</t>
        </is>
      </c>
      <c r="B958" s="4" t="n">
        <v>1</v>
      </c>
      <c r="C958" s="4" t="n">
        <v>2011</v>
      </c>
      <c r="D958" s="4" t="n">
        <v>2011</v>
      </c>
      <c r="E958" s="19" t="inlineStr">
        <is>
          <t>Bridesmaids</t>
        </is>
      </c>
      <c r="F958" s="4" t="inlineStr">
        <is>
          <t>F0058</t>
        </is>
      </c>
    </row>
    <row r="959" ht="15.75" customHeight="1" s="108">
      <c r="A959" s="4" t="inlineStr">
        <is>
          <t>Wenwen Han</t>
        </is>
      </c>
      <c r="B959" s="4" t="n">
        <v>1</v>
      </c>
      <c r="C959" s="4" t="n">
        <v>2010</v>
      </c>
      <c r="D959" s="4" t="n">
        <v>2010</v>
      </c>
      <c r="E959" s="19" t="inlineStr">
        <is>
          <t>The Karate Kid</t>
        </is>
      </c>
      <c r="F959" s="4" t="inlineStr">
        <is>
          <t>F0184</t>
        </is>
      </c>
    </row>
    <row r="960" ht="15.75" customHeight="1" s="108">
      <c r="A960" s="4" t="inlineStr">
        <is>
          <t>Will Forte</t>
        </is>
      </c>
      <c r="B960" s="4" t="n">
        <v>3</v>
      </c>
      <c r="C960" s="4" t="n">
        <v>2013</v>
      </c>
      <c r="D960" s="4" t="n">
        <v>2019</v>
      </c>
      <c r="E960" s="19" t="inlineStr">
        <is>
          <t>Cloudy with a Chance of Meatballs 2, The Lego Movie, The Lego Movie 2: The Second Part</t>
        </is>
      </c>
      <c r="F960" s="4" t="inlineStr">
        <is>
          <t>F0067, F0195, F0196</t>
        </is>
      </c>
    </row>
    <row r="961" ht="15.75" customHeight="1" s="108">
      <c r="A961" s="4" t="inlineStr">
        <is>
          <t>Will Friedle</t>
        </is>
      </c>
      <c r="B961" s="4" t="n">
        <v>1</v>
      </c>
      <c r="C961" s="4" t="n">
        <v>2016</v>
      </c>
      <c r="D961" s="4" t="n">
        <v>2016</v>
      </c>
      <c r="E961" s="19" t="inlineStr">
        <is>
          <t>Lego DC Comics Super Heroes: Justice League - Gotham City Breakout</t>
        </is>
      </c>
      <c r="F961" s="4" t="inlineStr">
        <is>
          <t>F0198</t>
        </is>
      </c>
    </row>
    <row r="962" ht="15.75" customHeight="1" s="108">
      <c r="A962" s="4" t="inlineStr">
        <is>
          <t>Will Rothhaar</t>
        </is>
      </c>
      <c r="B962" s="4" t="n">
        <v>1</v>
      </c>
      <c r="C962" s="4" t="n">
        <v>2011</v>
      </c>
      <c r="D962" s="4" t="n">
        <v>2011</v>
      </c>
      <c r="E962" s="19" t="inlineStr">
        <is>
          <t>Battle: Los Angeles</t>
        </is>
      </c>
      <c r="F962" s="4" t="inlineStr">
        <is>
          <t>F0046</t>
        </is>
      </c>
    </row>
    <row r="963" ht="15.75" customHeight="1" s="108">
      <c r="A963" s="4" t="inlineStr">
        <is>
          <t>Willem Dafoe</t>
        </is>
      </c>
      <c r="B963" s="4" t="n">
        <v>7</v>
      </c>
      <c r="C963" s="4" t="n">
        <v>2002</v>
      </c>
      <c r="D963" s="4" t="n">
        <v>2016</v>
      </c>
      <c r="E963" s="19" t="inlineStr">
        <is>
          <t>Spider-Man, Finding Dory, Spider-Man 2, Spider-Man 3, finding nemo, john wick,  finding nemo</t>
        </is>
      </c>
      <c r="F963" s="4" t="inlineStr">
        <is>
          <t>F0287, F0113, F0288, F0289, F0369, F0374</t>
        </is>
      </c>
    </row>
    <row r="964" ht="15.75" customHeight="1" s="108">
      <c r="A964" s="4" t="inlineStr">
        <is>
          <t>William Fichtner</t>
        </is>
      </c>
      <c r="B964" s="4" t="n">
        <v>5</v>
      </c>
      <c r="C964" s="4" t="n">
        <v>2001</v>
      </c>
      <c r="D964" s="4" t="n">
        <v>2014</v>
      </c>
      <c r="E964" s="19" t="inlineStr">
        <is>
          <t>Black Hawk Down, The Dark Knight, Elysium, Pearl Harbor, Teenage Mutant Ninja Turtles</t>
        </is>
      </c>
      <c r="F964" s="4" t="inlineStr">
        <is>
          <t>F0050, F0044, F0093, F0246, F0309</t>
        </is>
      </c>
    </row>
    <row r="965" ht="15.75" customHeight="1" s="108">
      <c r="A965" s="4" t="inlineStr">
        <is>
          <t>William Hurt</t>
        </is>
      </c>
      <c r="B965" s="4" t="n">
        <v>2</v>
      </c>
      <c r="C965" s="4" t="n">
        <v>2010</v>
      </c>
      <c r="D965" s="4" t="n">
        <v>2018</v>
      </c>
      <c r="E965" s="19" t="inlineStr">
        <is>
          <t>Robin Hood, Avengers: Infinity War</t>
        </is>
      </c>
      <c r="F965" s="4" t="inlineStr">
        <is>
          <t>F0267, F0030</t>
        </is>
      </c>
    </row>
    <row r="966" ht="15.75" customHeight="1" s="108">
      <c r="A966" s="4" t="inlineStr">
        <is>
          <t>Winona Ryder</t>
        </is>
      </c>
      <c r="B966" s="4" t="n">
        <v>2</v>
      </c>
      <c r="C966" s="4" t="n">
        <v>1997</v>
      </c>
      <c r="D966" s="4" t="n">
        <v>2009</v>
      </c>
      <c r="E966" s="19" t="inlineStr">
        <is>
          <t>Alien Resurrection, Star Trek</t>
        </is>
      </c>
      <c r="F966" s="4" t="inlineStr">
        <is>
          <t>F0018, F0291</t>
        </is>
      </c>
    </row>
    <row r="967" ht="15.75" customHeight="1" s="108">
      <c r="A967" s="4" t="inlineStr">
        <is>
          <t>Wyatt Russell</t>
        </is>
      </c>
      <c r="B967" s="4" t="n">
        <v>2</v>
      </c>
      <c r="C967" s="4" t="n">
        <v>2011</v>
      </c>
      <c r="D967" s="4" t="n">
        <v>2014</v>
      </c>
      <c r="E967" s="19" t="inlineStr">
        <is>
          <t>22 Jump Street, Cowboys &amp; Aliens</t>
        </is>
      </c>
      <c r="F967" s="4" t="inlineStr">
        <is>
          <t>F0008, F0073</t>
        </is>
      </c>
    </row>
    <row r="968" ht="15.75" customHeight="1" s="108">
      <c r="A968" s="4" t="inlineStr">
        <is>
          <t>Yvan Attal</t>
        </is>
      </c>
      <c r="B968" s="4" t="n">
        <v>1</v>
      </c>
      <c r="C968" s="4" t="n">
        <v>2007</v>
      </c>
      <c r="D968" s="4" t="n">
        <v>2007</v>
      </c>
      <c r="E968" s="19" t="inlineStr">
        <is>
          <t>Rush Hour 3</t>
        </is>
      </c>
      <c r="F968" s="4" t="inlineStr">
        <is>
          <t>F0271</t>
        </is>
      </c>
    </row>
    <row r="969" ht="15.75" customHeight="1" s="108">
      <c r="A969" s="4" t="inlineStr">
        <is>
          <t>Yvonne Strahovski</t>
        </is>
      </c>
      <c r="B969" s="4" t="n">
        <v>5</v>
      </c>
      <c r="C969" s="4" t="n">
        <v>2014</v>
      </c>
      <c r="D969" s="4" t="n">
        <v>2014</v>
      </c>
      <c r="E969" s="19" t="inlineStr">
        <is>
          <t>I, Frankenstein, I, Frankenstein, I, Frankenstein, I, Frankenstein, I, Frankenstein</t>
        </is>
      </c>
      <c r="F969" s="4" t="inlineStr">
        <is>
          <t>F0159</t>
        </is>
      </c>
    </row>
    <row r="970" ht="15.75" customHeight="1" s="108">
      <c r="A970" s="4" t="inlineStr">
        <is>
          <t>Zachary Quinto</t>
        </is>
      </c>
      <c r="B970" s="4" t="n">
        <v>1</v>
      </c>
      <c r="C970" s="4" t="n">
        <v>2009</v>
      </c>
      <c r="D970" s="4" t="n">
        <v>2009</v>
      </c>
      <c r="E970" s="19" t="inlineStr">
        <is>
          <t>Star Trek</t>
        </is>
      </c>
      <c r="F970" s="4" t="inlineStr">
        <is>
          <t>F0291</t>
        </is>
      </c>
    </row>
    <row r="971" ht="15.75" customHeight="1" s="108">
      <c r="A971" s="4" t="inlineStr">
        <is>
          <t>Zazie Beetz</t>
        </is>
      </c>
      <c r="B971" s="4" t="n">
        <v>1</v>
      </c>
      <c r="C971" s="4" t="n">
        <v>2018</v>
      </c>
      <c r="D971" s="4" t="n">
        <v>2018</v>
      </c>
      <c r="E971" s="19" t="inlineStr">
        <is>
          <t>Deadpool 2</t>
        </is>
      </c>
      <c r="F971" s="4" t="inlineStr">
        <is>
          <t>F0077</t>
        </is>
      </c>
    </row>
    <row r="972" ht="15.75" customHeight="1" s="108">
      <c r="A972" s="4" t="inlineStr">
        <is>
          <t>Zendaya</t>
        </is>
      </c>
      <c r="B972" s="4" t="n">
        <v>4</v>
      </c>
      <c r="C972" s="4" t="n">
        <v>2017</v>
      </c>
      <c r="D972" s="4" t="n">
        <v>2024</v>
      </c>
      <c r="E972" s="19" t="inlineStr">
        <is>
          <t xml:space="preserve">The Greatest Showman, dune, dune  part two, dune </t>
        </is>
      </c>
      <c r="F972" s="4" t="inlineStr">
        <is>
          <t>F0127, F0367, F0368</t>
        </is>
      </c>
    </row>
    <row r="973" ht="15.75" customHeight="1" s="108">
      <c r="A973" s="4" t="inlineStr">
        <is>
          <t>Zhang Ziyi</t>
        </is>
      </c>
      <c r="B973" s="4" t="n">
        <v>1</v>
      </c>
      <c r="C973" s="4" t="n">
        <v>2019</v>
      </c>
      <c r="D973" s="4" t="n">
        <v>2019</v>
      </c>
      <c r="E973" s="19" t="inlineStr">
        <is>
          <t>Godzilla: King of the Monsters</t>
        </is>
      </c>
      <c r="F973" s="4" t="inlineStr">
        <is>
          <t>F0122</t>
        </is>
      </c>
    </row>
    <row r="974" ht="15.75" customHeight="1" s="108">
      <c r="A974" s="4" t="inlineStr">
        <is>
          <t>Zoe Saldaña</t>
        </is>
      </c>
      <c r="B974" s="4" t="n">
        <v>5</v>
      </c>
      <c r="C974" s="4" t="n">
        <v>2009</v>
      </c>
      <c r="D974" s="4" t="n">
        <v>2022</v>
      </c>
      <c r="E974" s="19" t="inlineStr">
        <is>
          <t>Avatar, Avengers: Infinity War, Avengers: Endgame, Star Trek, avatar way of water</t>
        </is>
      </c>
      <c r="F974" s="4" t="inlineStr">
        <is>
          <t>F0028, F0030, F0031, F0291, F0364</t>
        </is>
      </c>
    </row>
    <row r="975" ht="15.75" customHeight="1" s="108">
      <c r="A975" s="45" t="inlineStr">
        <is>
          <t>Zoey Deutch</t>
        </is>
      </c>
      <c r="B975" s="45" t="n">
        <v>1</v>
      </c>
      <c r="C975" s="45" t="n">
        <v>2016</v>
      </c>
      <c r="D975" s="45" t="n">
        <v>2016</v>
      </c>
      <c r="E975" s="63" t="inlineStr">
        <is>
          <t>Dirty Grandpa</t>
        </is>
      </c>
      <c r="F975" s="45" t="inlineStr">
        <is>
          <t>F0087</t>
        </is>
      </c>
    </row>
    <row r="976" ht="15.75" customHeight="1" s="108">
      <c r="A976" s="18" t="inlineStr">
        <is>
          <t>Jason Lee</t>
        </is>
      </c>
      <c r="B976" s="18" t="n">
        <v>3</v>
      </c>
      <c r="C976" s="18" t="n">
        <v>1998</v>
      </c>
      <c r="D976" s="18" t="n">
        <v>2010</v>
      </c>
      <c r="E976" s="18" t="inlineStr">
        <is>
          <t>Dogma, Cop Out, Enemy of the State</t>
        </is>
      </c>
      <c r="F976" s="18" t="inlineStr">
        <is>
          <t>F0351, F0069, F0094</t>
        </is>
      </c>
    </row>
    <row r="977" ht="15.75" customHeight="1" s="108">
      <c r="A977" s="18" t="inlineStr">
        <is>
          <t>Caterina Murino</t>
        </is>
      </c>
      <c r="B977" s="18" t="n">
        <v>1</v>
      </c>
      <c r="C977" s="18" t="n">
        <v>2006</v>
      </c>
      <c r="D977" s="18" t="n">
        <v>2006</v>
      </c>
      <c r="E977" s="18" t="inlineStr">
        <is>
          <t>Casino Royale</t>
        </is>
      </c>
      <c r="F977" s="18" t="inlineStr">
        <is>
          <t>F0001</t>
        </is>
      </c>
    </row>
    <row r="978" ht="15.75" customHeight="1" s="108">
      <c r="A978" s="18" t="inlineStr">
        <is>
          <t>Simon Abkarian</t>
        </is>
      </c>
      <c r="B978" s="18" t="n">
        <v>1</v>
      </c>
      <c r="C978" s="18" t="n">
        <v>2006</v>
      </c>
      <c r="D978" s="18" t="n">
        <v>2006</v>
      </c>
      <c r="E978" s="18" t="inlineStr">
        <is>
          <t>Casino Royale</t>
        </is>
      </c>
      <c r="F978" s="18" t="inlineStr">
        <is>
          <t>F0001</t>
        </is>
      </c>
    </row>
    <row r="979" ht="15.75" customHeight="1" s="108">
      <c r="A979" s="18" t="inlineStr">
        <is>
          <t>Isaach de Bankolé</t>
        </is>
      </c>
      <c r="B979" s="18" t="n">
        <v>1</v>
      </c>
      <c r="C979" s="18" t="n">
        <v>2006</v>
      </c>
      <c r="D979" s="18" t="n">
        <v>2006</v>
      </c>
      <c r="E979" s="18" t="inlineStr">
        <is>
          <t>Casino Royale</t>
        </is>
      </c>
      <c r="F979" s="18" t="inlineStr">
        <is>
          <t>F0001</t>
        </is>
      </c>
    </row>
    <row r="980" ht="15.75" customHeight="1" s="108">
      <c r="A980" s="18" t="inlineStr">
        <is>
          <t>Jesper Christensen</t>
        </is>
      </c>
      <c r="B980" s="18" t="n">
        <v>3</v>
      </c>
      <c r="C980" s="18" t="n">
        <v>2006</v>
      </c>
      <c r="D980" s="18" t="n">
        <v>2015</v>
      </c>
      <c r="E980" s="18" t="inlineStr">
        <is>
          <t>Casino Royale, Quantum of Solace, Spectre</t>
        </is>
      </c>
      <c r="F980" s="18" t="inlineStr">
        <is>
          <t>F0001, F0002, F0004</t>
        </is>
      </c>
    </row>
    <row r="981" ht="15.75" customHeight="1" s="108">
      <c r="A981" s="18" t="inlineStr">
        <is>
          <t>Ivana Miličević</t>
        </is>
      </c>
      <c r="B981" s="18" t="n">
        <v>1</v>
      </c>
      <c r="C981" s="18" t="n">
        <v>2006</v>
      </c>
      <c r="D981" s="18" t="n">
        <v>2006</v>
      </c>
      <c r="E981" s="18" t="inlineStr">
        <is>
          <t>Casino Royale</t>
        </is>
      </c>
      <c r="F981" s="18" t="inlineStr">
        <is>
          <t>F0001</t>
        </is>
      </c>
    </row>
    <row r="982" ht="15.75" customHeight="1" s="108">
      <c r="A982" s="18" t="inlineStr">
        <is>
          <t>Claudio Santamaria</t>
        </is>
      </c>
      <c r="B982" s="18" t="n">
        <v>1</v>
      </c>
      <c r="C982" s="18" t="n">
        <v>2006</v>
      </c>
      <c r="D982" s="18" t="n">
        <v>2006</v>
      </c>
      <c r="E982" s="18" t="inlineStr">
        <is>
          <t>Casino Royale</t>
        </is>
      </c>
      <c r="F982" s="18" t="inlineStr">
        <is>
          <t>F0001</t>
        </is>
      </c>
    </row>
    <row r="983" ht="15.75" customHeight="1" s="108">
      <c r="A983" s="18" t="inlineStr">
        <is>
          <t>Sébastien Foucan</t>
        </is>
      </c>
      <c r="B983" s="18" t="n">
        <v>1</v>
      </c>
      <c r="C983" s="18" t="n">
        <v>2006</v>
      </c>
      <c r="D983" s="18" t="n">
        <v>2006</v>
      </c>
      <c r="E983" s="18" t="inlineStr">
        <is>
          <t>Casino Royale</t>
        </is>
      </c>
      <c r="F983" s="18" t="inlineStr">
        <is>
          <t>F0001</t>
        </is>
      </c>
    </row>
    <row r="984" ht="15.75" customHeight="1" s="108">
      <c r="A984" s="18" t="inlineStr">
        <is>
          <t>Malcolm Sinclair</t>
        </is>
      </c>
      <c r="B984" s="18" t="n">
        <v>1</v>
      </c>
      <c r="C984" s="18" t="n">
        <v>2006</v>
      </c>
      <c r="D984" s="18" t="n">
        <v>2006</v>
      </c>
      <c r="E984" s="18" t="inlineStr">
        <is>
          <t>Casino Royale</t>
        </is>
      </c>
      <c r="F984" s="18" t="inlineStr">
        <is>
          <t>F0001</t>
        </is>
      </c>
    </row>
    <row r="985" ht="15.75" customHeight="1" s="108">
      <c r="A985" s="18" t="inlineStr">
        <is>
          <t>Richard Sammel</t>
        </is>
      </c>
      <c r="B985" s="18" t="n">
        <v>2</v>
      </c>
      <c r="C985" s="18" t="n">
        <v>2006</v>
      </c>
      <c r="D985" s="18" t="n">
        <v>2009</v>
      </c>
      <c r="E985" s="18" t="inlineStr">
        <is>
          <t>Casino Royale, Inglourious Basterds</t>
        </is>
      </c>
      <c r="F985" s="18" t="inlineStr">
        <is>
          <t>F0001, F0166</t>
        </is>
      </c>
    </row>
    <row r="986" ht="15.75" customHeight="1" s="108">
      <c r="A986" s="18" t="inlineStr">
        <is>
          <t>Ludger Pistor</t>
        </is>
      </c>
      <c r="B986" s="18" t="n">
        <v>2</v>
      </c>
      <c r="C986" s="18" t="n">
        <v>2006</v>
      </c>
      <c r="D986" s="18" t="n">
        <v>2011</v>
      </c>
      <c r="E986" s="18" t="inlineStr">
        <is>
          <t>Casino Royale, X-Men: First Class</t>
        </is>
      </c>
      <c r="F986" s="18" t="inlineStr">
        <is>
          <t>F0001, F0340</t>
        </is>
      </c>
    </row>
    <row r="987" ht="15.75" customHeight="1" s="108">
      <c r="A987" s="18" t="inlineStr">
        <is>
          <t>Joseph Millson</t>
        </is>
      </c>
      <c r="B987" s="18" t="n">
        <v>1</v>
      </c>
      <c r="C987" s="18" t="n">
        <v>2006</v>
      </c>
      <c r="D987" s="18" t="n">
        <v>2006</v>
      </c>
      <c r="E987" s="18" t="inlineStr">
        <is>
          <t>Casino Royale</t>
        </is>
      </c>
      <c r="F987" s="18" t="inlineStr">
        <is>
          <t>F0001</t>
        </is>
      </c>
    </row>
    <row r="988" ht="15.75" customHeight="1" s="108">
      <c r="A988" s="18" t="inlineStr">
        <is>
          <t>Darwin Shaw</t>
        </is>
      </c>
      <c r="B988" s="18" t="n">
        <v>1</v>
      </c>
      <c r="C988" s="18" t="n">
        <v>2006</v>
      </c>
      <c r="D988" s="18" t="n">
        <v>2006</v>
      </c>
      <c r="E988" s="18" t="inlineStr">
        <is>
          <t>Casino Royale</t>
        </is>
      </c>
      <c r="F988" s="18" t="inlineStr">
        <is>
          <t>F0001</t>
        </is>
      </c>
    </row>
    <row r="989" ht="15.75" customHeight="1" s="108">
      <c r="A989" s="18" t="inlineStr">
        <is>
          <t>Clemens Schick</t>
        </is>
      </c>
      <c r="B989" s="18" t="n">
        <v>1</v>
      </c>
      <c r="C989" s="18" t="n">
        <v>2006</v>
      </c>
      <c r="D989" s="18" t="n">
        <v>2006</v>
      </c>
      <c r="E989" s="18" t="inlineStr">
        <is>
          <t>Casino Royale</t>
        </is>
      </c>
      <c r="F989" s="18" t="inlineStr">
        <is>
          <t>F0001</t>
        </is>
      </c>
    </row>
    <row r="990" ht="15.75" customHeight="1" s="108">
      <c r="A990" s="18" t="inlineStr">
        <is>
          <t>Emmanuel Avena</t>
        </is>
      </c>
      <c r="B990" s="18" t="n">
        <v>1</v>
      </c>
      <c r="C990" s="18" t="n">
        <v>2006</v>
      </c>
      <c r="D990" s="18" t="n">
        <v>2006</v>
      </c>
      <c r="E990" s="18" t="inlineStr">
        <is>
          <t>Casino Royale</t>
        </is>
      </c>
      <c r="F990" s="18" t="inlineStr">
        <is>
          <t>F0001</t>
        </is>
      </c>
    </row>
    <row r="991" ht="15.75" customHeight="1" s="108">
      <c r="A991" s="18" t="inlineStr">
        <is>
          <t>Tom Chadbon</t>
        </is>
      </c>
      <c r="B991" s="18" t="n">
        <v>1</v>
      </c>
      <c r="C991" s="18" t="n">
        <v>2006</v>
      </c>
      <c r="D991" s="18" t="n">
        <v>2006</v>
      </c>
      <c r="E991" s="18" t="inlineStr">
        <is>
          <t>Casino Royale</t>
        </is>
      </c>
      <c r="F991" s="18" t="inlineStr">
        <is>
          <t>F0001</t>
        </is>
      </c>
    </row>
    <row r="992" ht="15.75" customHeight="1" s="108">
      <c r="A992" s="18" t="inlineStr">
        <is>
          <t>Ade</t>
        </is>
      </c>
      <c r="B992" s="18" t="n">
        <v>1</v>
      </c>
      <c r="C992" s="18" t="n">
        <v>2006</v>
      </c>
      <c r="D992" s="18" t="n">
        <v>2006</v>
      </c>
      <c r="E992" s="18" t="inlineStr">
        <is>
          <t>Casino Royale</t>
        </is>
      </c>
      <c r="F992" s="18" t="inlineStr">
        <is>
          <t>F0001</t>
        </is>
      </c>
    </row>
    <row r="993" ht="15.75" customHeight="1" s="108">
      <c r="A993" s="18" t="inlineStr">
        <is>
          <t>Urbano Barberini</t>
        </is>
      </c>
      <c r="B993" s="18" t="n">
        <v>1</v>
      </c>
      <c r="C993" s="18" t="n">
        <v>2006</v>
      </c>
      <c r="D993" s="18" t="n">
        <v>2006</v>
      </c>
      <c r="E993" s="18" t="inlineStr">
        <is>
          <t>Casino Royale</t>
        </is>
      </c>
      <c r="F993" s="18" t="inlineStr">
        <is>
          <t>F0001</t>
        </is>
      </c>
    </row>
    <row r="994" ht="15.75" customHeight="1" s="108">
      <c r="A994" s="18" t="inlineStr">
        <is>
          <t>Tsai Chin</t>
        </is>
      </c>
      <c r="B994" s="18" t="n">
        <v>1</v>
      </c>
      <c r="C994" s="18" t="n">
        <v>2006</v>
      </c>
      <c r="D994" s="18" t="n">
        <v>2006</v>
      </c>
      <c r="E994" s="18" t="inlineStr">
        <is>
          <t>Casino Royale</t>
        </is>
      </c>
      <c r="F994" s="18" t="inlineStr">
        <is>
          <t>F0001</t>
        </is>
      </c>
    </row>
    <row r="995" ht="15.75" customHeight="1" s="108">
      <c r="A995" s="18" t="inlineStr">
        <is>
          <t>Charlie Levi Leroy</t>
        </is>
      </c>
      <c r="B995" s="18" t="n">
        <v>1</v>
      </c>
      <c r="C995" s="18" t="n">
        <v>2006</v>
      </c>
      <c r="D995" s="18" t="n">
        <v>2006</v>
      </c>
      <c r="E995" s="18" t="inlineStr">
        <is>
          <t>Casino Royale</t>
        </is>
      </c>
      <c r="F995" s="18" t="inlineStr">
        <is>
          <t>F0001</t>
        </is>
      </c>
    </row>
    <row r="996" ht="15.75" customHeight="1" s="108">
      <c r="A996" s="18" t="inlineStr">
        <is>
          <t>Lazar Ristovski</t>
        </is>
      </c>
      <c r="B996" s="18" t="n">
        <v>1</v>
      </c>
      <c r="C996" s="18" t="n">
        <v>2006</v>
      </c>
      <c r="D996" s="18" t="n">
        <v>2006</v>
      </c>
      <c r="E996" s="18" t="inlineStr">
        <is>
          <t>Casino Royale</t>
        </is>
      </c>
      <c r="F996" s="18" t="inlineStr">
        <is>
          <t>F0001</t>
        </is>
      </c>
    </row>
    <row r="997" ht="15.75" customHeight="1" s="108">
      <c r="A997" s="18" t="inlineStr">
        <is>
          <t>Tom So</t>
        </is>
      </c>
      <c r="B997" s="18" t="n">
        <v>1</v>
      </c>
      <c r="C997" s="18" t="n">
        <v>2006</v>
      </c>
      <c r="D997" s="18" t="n">
        <v>2006</v>
      </c>
      <c r="E997" s="18" t="inlineStr">
        <is>
          <t>Casino Royale</t>
        </is>
      </c>
      <c r="F997" s="18" t="inlineStr">
        <is>
          <t>F0001</t>
        </is>
      </c>
    </row>
    <row r="998" ht="15.75" customHeight="1" s="108">
      <c r="A998" s="18" t="inlineStr">
        <is>
          <t>Veruschka von Lehndorff</t>
        </is>
      </c>
      <c r="B998" s="18" t="n">
        <v>1</v>
      </c>
      <c r="C998" s="18" t="n">
        <v>2006</v>
      </c>
      <c r="D998" s="18" t="n">
        <v>2006</v>
      </c>
      <c r="E998" s="18" t="inlineStr">
        <is>
          <t>Casino Royale</t>
        </is>
      </c>
      <c r="F998" s="18" t="inlineStr">
        <is>
          <t>F0001</t>
        </is>
      </c>
    </row>
    <row r="999" ht="15.75" customHeight="1" s="108">
      <c r="A999" s="18" t="inlineStr">
        <is>
          <t>Andreas Daniel</t>
        </is>
      </c>
      <c r="B999" s="18" t="n">
        <v>1</v>
      </c>
      <c r="C999" s="18" t="n">
        <v>2006</v>
      </c>
      <c r="D999" s="18" t="n">
        <v>2006</v>
      </c>
      <c r="E999" s="18" t="inlineStr">
        <is>
          <t>Casino Royale</t>
        </is>
      </c>
      <c r="F999" s="18" t="inlineStr">
        <is>
          <t>F0001</t>
        </is>
      </c>
    </row>
    <row r="1000" ht="15.75" customHeight="1" s="108">
      <c r="A1000" s="18" t="inlineStr">
        <is>
          <t>David Harbour</t>
        </is>
      </c>
      <c r="B1000" s="18" t="n">
        <v>2</v>
      </c>
      <c r="C1000" s="18" t="n">
        <v>2005</v>
      </c>
      <c r="D1000" s="18" t="n">
        <v>2008</v>
      </c>
      <c r="E1000" s="18" t="inlineStr">
        <is>
          <t>Quantum of Solace, War of the Worlds</t>
        </is>
      </c>
      <c r="F1000" s="18" t="inlineStr">
        <is>
          <t>F0002, F0332</t>
        </is>
      </c>
    </row>
    <row r="1001" ht="15.75" customHeight="1" s="108">
      <c r="A1001" s="18" t="inlineStr">
        <is>
          <t>Anatole Taubman</t>
        </is>
      </c>
      <c r="B1001" s="18" t="n">
        <v>3</v>
      </c>
      <c r="C1001" s="18" t="n">
        <v>2008</v>
      </c>
      <c r="D1001" s="18" t="n">
        <v>2015</v>
      </c>
      <c r="E1001" s="18" t="inlineStr">
        <is>
          <t>Quantum of Solace, Taken, The Transporter Refueled</t>
        </is>
      </c>
      <c r="F1001" s="18" t="inlineStr">
        <is>
          <t>F0002, F0306, F0323</t>
        </is>
      </c>
    </row>
    <row r="1002" ht="15.75" customHeight="1" s="108">
      <c r="A1002" s="18" t="inlineStr">
        <is>
          <t>Tim Pigott-Smith</t>
        </is>
      </c>
      <c r="B1002" s="18" t="n">
        <v>1</v>
      </c>
      <c r="C1002" s="18" t="n">
        <v>2008</v>
      </c>
      <c r="D1002" s="18" t="n">
        <v>2008</v>
      </c>
      <c r="E1002" s="18" t="inlineStr">
        <is>
          <t>Quantum of Solace</t>
        </is>
      </c>
      <c r="F1002" s="18" t="inlineStr">
        <is>
          <t>F0002</t>
        </is>
      </c>
    </row>
    <row r="1003" ht="15.75" customHeight="1" s="108">
      <c r="A1003" s="18" t="inlineStr">
        <is>
          <t>Joaquín Cosío</t>
        </is>
      </c>
      <c r="B1003" s="18" t="n">
        <v>1</v>
      </c>
      <c r="C1003" s="18" t="n">
        <v>2008</v>
      </c>
      <c r="D1003" s="18" t="n">
        <v>2008</v>
      </c>
      <c r="E1003" s="18" t="inlineStr">
        <is>
          <t>Quantum of Solace</t>
        </is>
      </c>
      <c r="F1003" s="18" t="inlineStr">
        <is>
          <t>F0002</t>
        </is>
      </c>
    </row>
    <row r="1004" ht="15.75" customHeight="1" s="108">
      <c r="A1004" s="18" t="inlineStr">
        <is>
          <t>Fernando Guillén Cuervo</t>
        </is>
      </c>
      <c r="B1004" s="18" t="n">
        <v>1</v>
      </c>
      <c r="C1004" s="18" t="n">
        <v>2008</v>
      </c>
      <c r="D1004" s="18" t="n">
        <v>2008</v>
      </c>
      <c r="E1004" s="18" t="inlineStr">
        <is>
          <t>Quantum of Solace</t>
        </is>
      </c>
      <c r="F1004" s="18" t="inlineStr">
        <is>
          <t>F0002</t>
        </is>
      </c>
    </row>
    <row r="1005" ht="15.75" customHeight="1" s="108">
      <c r="A1005" s="18" t="inlineStr">
        <is>
          <t>Jesús Ochoa</t>
        </is>
      </c>
      <c r="B1005" s="18" t="n">
        <v>1</v>
      </c>
      <c r="C1005" s="18" t="n">
        <v>2008</v>
      </c>
      <c r="D1005" s="18" t="n">
        <v>2008</v>
      </c>
      <c r="E1005" s="18" t="inlineStr">
        <is>
          <t>Quantum of Solace</t>
        </is>
      </c>
      <c r="F1005" s="18" t="inlineStr">
        <is>
          <t>F0002</t>
        </is>
      </c>
    </row>
    <row r="1006" ht="15.75" customHeight="1" s="108">
      <c r="A1006" s="18" t="inlineStr">
        <is>
          <t>Lucrezia Lante della Rovere</t>
        </is>
      </c>
      <c r="B1006" s="18" t="n">
        <v>1</v>
      </c>
      <c r="C1006" s="18" t="n">
        <v>2008</v>
      </c>
      <c r="D1006" s="18" t="n">
        <v>2008</v>
      </c>
      <c r="E1006" s="18" t="inlineStr">
        <is>
          <t>Quantum of Solace</t>
        </is>
      </c>
      <c r="F1006" s="18" t="inlineStr">
        <is>
          <t>F0002</t>
        </is>
      </c>
    </row>
    <row r="1007" ht="15.75" customHeight="1" s="108">
      <c r="A1007" s="18" t="inlineStr">
        <is>
          <t>Glenn Foster</t>
        </is>
      </c>
      <c r="B1007" s="18" t="n">
        <v>2</v>
      </c>
      <c r="C1007" s="18" t="n">
        <v>2008</v>
      </c>
      <c r="D1007" s="18" t="n">
        <v>2013</v>
      </c>
      <c r="E1007" s="18" t="inlineStr">
        <is>
          <t>Quantum of Solace, Iron Man 3</t>
        </is>
      </c>
      <c r="F1007" s="18" t="inlineStr">
        <is>
          <t>F0002, F0169</t>
        </is>
      </c>
    </row>
    <row r="1008" ht="15.75" customHeight="1" s="108">
      <c r="A1008" s="18" t="inlineStr">
        <is>
          <t>Paul Ritter</t>
        </is>
      </c>
      <c r="B1008" s="18" t="n">
        <v>1</v>
      </c>
      <c r="C1008" s="18" t="n">
        <v>2008</v>
      </c>
      <c r="D1008" s="18" t="n">
        <v>2008</v>
      </c>
      <c r="E1008" s="18" t="inlineStr">
        <is>
          <t>Quantum of Solace</t>
        </is>
      </c>
      <c r="F1008" s="18" t="inlineStr">
        <is>
          <t>F0002</t>
        </is>
      </c>
    </row>
    <row r="1009" ht="15.75" customHeight="1" s="108">
      <c r="A1009" s="18" t="inlineStr">
        <is>
          <t>Simon Kassianides</t>
        </is>
      </c>
      <c r="B1009" s="18" t="n">
        <v>2</v>
      </c>
      <c r="C1009" s="18" t="n">
        <v>2008</v>
      </c>
      <c r="D1009" s="18" t="n">
        <v>2014</v>
      </c>
      <c r="E1009" s="18" t="inlineStr">
        <is>
          <t>Quantum of Solace, How to Train Your Dragon 2</t>
        </is>
      </c>
      <c r="F1009" s="18" t="inlineStr">
        <is>
          <t>F0002, F0155</t>
        </is>
      </c>
    </row>
    <row r="1010" ht="15.75" customHeight="1" s="108">
      <c r="A1010" s="18" t="inlineStr">
        <is>
          <t>Stana Katic</t>
        </is>
      </c>
      <c r="B1010" s="18" t="n">
        <v>1</v>
      </c>
      <c r="C1010" s="18" t="n">
        <v>2008</v>
      </c>
      <c r="D1010" s="18" t="n">
        <v>2008</v>
      </c>
      <c r="E1010" s="18" t="inlineStr">
        <is>
          <t>Quantum of Solace</t>
        </is>
      </c>
      <c r="F1010" s="18" t="inlineStr">
        <is>
          <t>F0002</t>
        </is>
      </c>
    </row>
    <row r="1011" ht="15.75" customHeight="1" s="108">
      <c r="A1011" s="18" t="inlineStr">
        <is>
          <t>Neil Jackson</t>
        </is>
      </c>
      <c r="B1011" s="18" t="n">
        <v>1</v>
      </c>
      <c r="C1011" s="18" t="n">
        <v>2008</v>
      </c>
      <c r="D1011" s="18" t="n">
        <v>2008</v>
      </c>
      <c r="E1011" s="18" t="inlineStr">
        <is>
          <t>Quantum of Solace</t>
        </is>
      </c>
      <c r="F1011" s="18" t="inlineStr">
        <is>
          <t>F0002</t>
        </is>
      </c>
    </row>
    <row r="1012" ht="15.75" customHeight="1" s="108">
      <c r="A1012" s="18" t="inlineStr">
        <is>
          <t>Oona Chaplin</t>
        </is>
      </c>
      <c r="B1012" s="18" t="n">
        <v>1</v>
      </c>
      <c r="C1012" s="18" t="n">
        <v>2008</v>
      </c>
      <c r="D1012" s="18" t="n">
        <v>2008</v>
      </c>
      <c r="E1012" s="18" t="inlineStr">
        <is>
          <t>Quantum of Solace</t>
        </is>
      </c>
      <c r="F1012" s="18" t="inlineStr">
        <is>
          <t>F0002</t>
        </is>
      </c>
    </row>
    <row r="1013" ht="15.75" customHeight="1" s="108">
      <c r="A1013" s="18" t="inlineStr">
        <is>
          <t>Brendan O'Hea</t>
        </is>
      </c>
      <c r="B1013" s="18" t="n">
        <v>1</v>
      </c>
      <c r="C1013" s="18" t="n">
        <v>2008</v>
      </c>
      <c r="D1013" s="18" t="n">
        <v>2008</v>
      </c>
      <c r="E1013" s="18" t="inlineStr">
        <is>
          <t>Quantum of Solace</t>
        </is>
      </c>
      <c r="F1013" s="18" t="inlineStr">
        <is>
          <t>F0002</t>
        </is>
      </c>
    </row>
    <row r="1014" ht="15.75" customHeight="1" s="108">
      <c r="A1014" s="18" t="inlineStr">
        <is>
          <t>Rufus Wright</t>
        </is>
      </c>
      <c r="B1014" s="18" t="n">
        <v>1</v>
      </c>
      <c r="C1014" s="18" t="n">
        <v>2008</v>
      </c>
      <c r="D1014" s="18" t="n">
        <v>2008</v>
      </c>
      <c r="E1014" s="18" t="inlineStr">
        <is>
          <t>Quantum of Solace</t>
        </is>
      </c>
      <c r="F1014" s="18" t="inlineStr">
        <is>
          <t>F0002</t>
        </is>
      </c>
    </row>
    <row r="1015" ht="15.75" customHeight="1" s="108">
      <c r="A1015" s="18" t="inlineStr">
        <is>
          <t>Kari Patrice Coley</t>
        </is>
      </c>
      <c r="B1015" s="18" t="n">
        <v>1</v>
      </c>
      <c r="C1015" s="18" t="n">
        <v>2008</v>
      </c>
      <c r="D1015" s="18" t="n">
        <v>2008</v>
      </c>
      <c r="E1015" s="18" t="inlineStr">
        <is>
          <t>Quantum of Solace</t>
        </is>
      </c>
      <c r="F1015" s="18" t="inlineStr">
        <is>
          <t>F0002</t>
        </is>
      </c>
    </row>
    <row r="1016" ht="15.75" customHeight="1" s="108">
      <c r="A1016" s="18" t="inlineStr">
        <is>
          <t>Sarah Hadland</t>
        </is>
      </c>
      <c r="B1016" s="18" t="n">
        <v>1</v>
      </c>
      <c r="C1016" s="18" t="n">
        <v>2008</v>
      </c>
      <c r="D1016" s="18" t="n">
        <v>2008</v>
      </c>
      <c r="E1016" s="18" t="inlineStr">
        <is>
          <t>Quantum of Solace</t>
        </is>
      </c>
      <c r="F1016" s="18" t="inlineStr">
        <is>
          <t>F0002</t>
        </is>
      </c>
    </row>
    <row r="1017" ht="15.75" customHeight="1" s="108">
      <c r="A1017" s="18" t="inlineStr">
        <is>
          <t>Jake Seal</t>
        </is>
      </c>
      <c r="B1017" s="18" t="n">
        <v>1</v>
      </c>
      <c r="C1017" s="18" t="n">
        <v>2008</v>
      </c>
      <c r="D1017" s="18" t="n">
        <v>2008</v>
      </c>
      <c r="E1017" s="18" t="inlineStr">
        <is>
          <t>Quantum of Solace</t>
        </is>
      </c>
      <c r="F1017" s="18" t="inlineStr">
        <is>
          <t>F0002</t>
        </is>
      </c>
    </row>
    <row r="1018" ht="15.75" customHeight="1" s="108">
      <c r="A1018" s="18" t="inlineStr">
        <is>
          <t>Peñarandam Felix</t>
        </is>
      </c>
      <c r="B1018" s="18" t="n">
        <v>1</v>
      </c>
      <c r="C1018" s="18" t="n">
        <v>2008</v>
      </c>
      <c r="D1018" s="18" t="n">
        <v>2008</v>
      </c>
      <c r="E1018" s="18" t="inlineStr">
        <is>
          <t>Quantum of Solace</t>
        </is>
      </c>
      <c r="F1018" s="18" t="inlineStr">
        <is>
          <t>F0002</t>
        </is>
      </c>
    </row>
    <row r="1019" ht="15.75" customHeight="1" s="108">
      <c r="A1019" s="18" t="inlineStr">
        <is>
          <t>Emiliano Valdés</t>
        </is>
      </c>
      <c r="B1019" s="18" t="n">
        <v>1</v>
      </c>
      <c r="C1019" s="18" t="n">
        <v>2008</v>
      </c>
      <c r="D1019" s="18" t="n">
        <v>2008</v>
      </c>
      <c r="E1019" s="18" t="inlineStr">
        <is>
          <t>Quantum of Solace</t>
        </is>
      </c>
      <c r="F1019" s="18" t="inlineStr">
        <is>
          <t>F0002</t>
        </is>
      </c>
    </row>
    <row r="1020" ht="15.75" customHeight="1" s="108">
      <c r="A1020" s="18" t="inlineStr">
        <is>
          <t>Daniel da Silva</t>
        </is>
      </c>
      <c r="B1020" s="18" t="n">
        <v>1</v>
      </c>
      <c r="C1020" s="18" t="n">
        <v>2008</v>
      </c>
      <c r="D1020" s="18" t="n">
        <v>2008</v>
      </c>
      <c r="E1020" s="18" t="inlineStr">
        <is>
          <t>Quantum of Solace</t>
        </is>
      </c>
      <c r="F1020" s="18" t="inlineStr">
        <is>
          <t>F0002</t>
        </is>
      </c>
    </row>
    <row r="1021" ht="15.75" customHeight="1" s="108">
      <c r="A1021" s="18" t="inlineStr">
        <is>
          <t>Bérénice Marlohe</t>
        </is>
      </c>
      <c r="B1021" s="18" t="n">
        <v>1</v>
      </c>
      <c r="C1021" s="18" t="n">
        <v>2012</v>
      </c>
      <c r="D1021" s="18" t="n">
        <v>2012</v>
      </c>
      <c r="E1021" s="18" t="inlineStr">
        <is>
          <t>Skyfall</t>
        </is>
      </c>
      <c r="F1021" s="18" t="inlineStr">
        <is>
          <t>F0003</t>
        </is>
      </c>
    </row>
    <row r="1022" ht="15.75" customHeight="1" s="108">
      <c r="A1022" s="18" t="inlineStr">
        <is>
          <t>Albert Finney</t>
        </is>
      </c>
      <c r="B1022" s="18" t="n">
        <v>3</v>
      </c>
      <c r="C1022" s="18" t="n">
        <v>2007</v>
      </c>
      <c r="D1022" s="18" t="n">
        <v>2012</v>
      </c>
      <c r="E1022" s="18" t="inlineStr">
        <is>
          <t>Skyfall, The Bourne Ultimatum, The Bourne Legacy</t>
        </is>
      </c>
      <c r="F1022" s="18" t="inlineStr">
        <is>
          <t>F0003, F0055, F0056</t>
        </is>
      </c>
    </row>
    <row r="1023" ht="15.75" customHeight="1" s="108">
      <c r="A1023" s="18" t="inlineStr">
        <is>
          <t>Ola Rapace</t>
        </is>
      </c>
      <c r="B1023" s="18" t="n">
        <v>1</v>
      </c>
      <c r="C1023" s="18" t="n">
        <v>2012</v>
      </c>
      <c r="D1023" s="18" t="n">
        <v>2012</v>
      </c>
      <c r="E1023" s="18" t="inlineStr">
        <is>
          <t>Skyfall</t>
        </is>
      </c>
      <c r="F1023" s="18" t="inlineStr">
        <is>
          <t>F0003</t>
        </is>
      </c>
    </row>
    <row r="1024" ht="15.75" customHeight="1" s="108">
      <c r="A1024" s="18" t="inlineStr">
        <is>
          <t>Helen McCrory</t>
        </is>
      </c>
      <c r="B1024" s="18" t="n">
        <v>4</v>
      </c>
      <c r="C1024" s="18" t="n">
        <v>2009</v>
      </c>
      <c r="D1024" s="18" t="n">
        <v>2012</v>
      </c>
      <c r="E1024" s="18" t="inlineStr">
        <is>
          <t>Skyfall, Harry Potter and the Half-Blood Prince, Harry Potter and the Deathly Hallows: Part 1, Harry Potter and the Deathly Hallows: Part 2</t>
        </is>
      </c>
      <c r="F1024" s="18" t="inlineStr">
        <is>
          <t>F0003, F0142, F0143, F0144</t>
        </is>
      </c>
    </row>
    <row r="1025" ht="15.75" customHeight="1" s="108">
      <c r="A1025" s="18" t="inlineStr">
        <is>
          <t>Nicholas Woodeson</t>
        </is>
      </c>
      <c r="B1025" s="18" t="n">
        <v>1</v>
      </c>
      <c r="C1025" s="18" t="n">
        <v>2012</v>
      </c>
      <c r="D1025" s="18" t="n">
        <v>2012</v>
      </c>
      <c r="E1025" s="18" t="inlineStr">
        <is>
          <t>Skyfall</t>
        </is>
      </c>
      <c r="F1025" s="18" t="inlineStr">
        <is>
          <t>F0003</t>
        </is>
      </c>
    </row>
    <row r="1026" ht="15.75" customHeight="1" s="108">
      <c r="A1026" s="18" t="inlineStr">
        <is>
          <t>Bill Buckhurst</t>
        </is>
      </c>
      <c r="B1026" s="18" t="n">
        <v>1</v>
      </c>
      <c r="C1026" s="18" t="n">
        <v>2012</v>
      </c>
      <c r="D1026" s="18" t="n">
        <v>2012</v>
      </c>
      <c r="E1026" s="18" t="inlineStr">
        <is>
          <t>Skyfall</t>
        </is>
      </c>
      <c r="F1026" s="18" t="inlineStr">
        <is>
          <t>F0003</t>
        </is>
      </c>
    </row>
    <row r="1027" ht="15.75" customHeight="1" s="108">
      <c r="A1027" s="18" t="inlineStr">
        <is>
          <t>Elize du Toit</t>
        </is>
      </c>
      <c r="B1027" s="18" t="n">
        <v>1</v>
      </c>
      <c r="C1027" s="18" t="n">
        <v>2012</v>
      </c>
      <c r="D1027" s="18" t="n">
        <v>2012</v>
      </c>
      <c r="E1027" s="18" t="inlineStr">
        <is>
          <t>Skyfall</t>
        </is>
      </c>
      <c r="F1027" s="18" t="inlineStr">
        <is>
          <t>F0003</t>
        </is>
      </c>
    </row>
    <row r="1028" ht="15.75" customHeight="1" s="108">
      <c r="A1028" s="18" t="inlineStr">
        <is>
          <t>Ian Bonar</t>
        </is>
      </c>
      <c r="B1028" s="18" t="n">
        <v>2</v>
      </c>
      <c r="C1028" s="18" t="n">
        <v>2012</v>
      </c>
      <c r="D1028" s="18" t="n">
        <v>2015</v>
      </c>
      <c r="E1028" s="18" t="inlineStr">
        <is>
          <t>Skyfall, Spectre</t>
        </is>
      </c>
      <c r="F1028" s="18" t="inlineStr">
        <is>
          <t>F0003, F0004</t>
        </is>
      </c>
    </row>
    <row r="1029" ht="15.75" customHeight="1" s="108">
      <c r="A1029" s="18" t="inlineStr">
        <is>
          <t>Gordon Milne</t>
        </is>
      </c>
      <c r="B1029" s="18" t="n">
        <v>1</v>
      </c>
      <c r="C1029" s="18" t="n">
        <v>2012</v>
      </c>
      <c r="D1029" s="18" t="n">
        <v>2012</v>
      </c>
      <c r="E1029" s="18" t="inlineStr">
        <is>
          <t>Skyfall</t>
        </is>
      </c>
      <c r="F1029" s="18" t="inlineStr">
        <is>
          <t>F0003</t>
        </is>
      </c>
    </row>
    <row r="1030" ht="15.75" customHeight="1" s="108">
      <c r="A1030" s="18" t="inlineStr">
        <is>
          <t>Peter Basham</t>
        </is>
      </c>
      <c r="B1030" s="18" t="n">
        <v>2</v>
      </c>
      <c r="C1030" s="18" t="n">
        <v>2012</v>
      </c>
      <c r="D1030" s="18" t="n">
        <v>2019</v>
      </c>
      <c r="E1030" s="18" t="inlineStr">
        <is>
          <t>Skyfall, Fast &amp; Furious Presents: Hobbs &amp; Shaw</t>
        </is>
      </c>
      <c r="F1030" s="18" t="inlineStr">
        <is>
          <t>F0003, F0111</t>
        </is>
      </c>
    </row>
    <row r="1031" ht="15.75" customHeight="1" s="108">
      <c r="A1031" s="18" t="inlineStr">
        <is>
          <t>Ben Loyd-Holmes</t>
        </is>
      </c>
      <c r="B1031" s="18" t="n">
        <v>1</v>
      </c>
      <c r="C1031" s="18" t="n">
        <v>2012</v>
      </c>
      <c r="D1031" s="18" t="n">
        <v>2012</v>
      </c>
      <c r="E1031" s="18" t="inlineStr">
        <is>
          <t>Skyfall</t>
        </is>
      </c>
      <c r="F1031" s="18" t="inlineStr">
        <is>
          <t>F0003</t>
        </is>
      </c>
    </row>
    <row r="1032" ht="15.75" customHeight="1" s="108">
      <c r="A1032" s="18" t="inlineStr">
        <is>
          <t>Tonia Sotiropoulou</t>
        </is>
      </c>
      <c r="B1032" s="18" t="n">
        <v>1</v>
      </c>
      <c r="C1032" s="18" t="n">
        <v>2012</v>
      </c>
      <c r="D1032" s="18" t="n">
        <v>2012</v>
      </c>
      <c r="E1032" s="18" t="inlineStr">
        <is>
          <t>Skyfall</t>
        </is>
      </c>
      <c r="F1032" s="18" t="inlineStr">
        <is>
          <t>F0003</t>
        </is>
      </c>
    </row>
    <row r="1033" ht="15.75" customHeight="1" s="108">
      <c r="A1033" s="18" t="inlineStr">
        <is>
          <t>Wolf Blitzer</t>
        </is>
      </c>
      <c r="B1033" s="18" t="n">
        <v>2</v>
      </c>
      <c r="C1033" s="18" t="n">
        <v>2012</v>
      </c>
      <c r="D1033" s="18" t="n">
        <v>2018</v>
      </c>
      <c r="E1033" s="18" t="inlineStr">
        <is>
          <t>Skyfall, Mission: Impossible - Fallout</t>
        </is>
      </c>
      <c r="F1033" s="18" t="inlineStr">
        <is>
          <t>F0003, F0226</t>
        </is>
      </c>
    </row>
    <row r="1034" ht="15.75" customHeight="1" s="108">
      <c r="A1034" s="18" t="inlineStr">
        <is>
          <t>David Gillies</t>
        </is>
      </c>
      <c r="B1034" s="18" t="n">
        <v>1</v>
      </c>
      <c r="C1034" s="18" t="n">
        <v>2012</v>
      </c>
      <c r="D1034" s="18" t="n">
        <v>2012</v>
      </c>
      <c r="E1034" s="18" t="inlineStr">
        <is>
          <t>Skyfall</t>
        </is>
      </c>
      <c r="F1034" s="18" t="inlineStr">
        <is>
          <t>F0003</t>
        </is>
      </c>
    </row>
    <row r="1035" ht="15.75" customHeight="1" s="108">
      <c r="A1035" s="18" t="inlineStr">
        <is>
          <t>James Li</t>
        </is>
      </c>
      <c r="B1035" s="18" t="n">
        <v>1</v>
      </c>
      <c r="C1035" s="18" t="n">
        <v>2012</v>
      </c>
      <c r="D1035" s="18" t="n">
        <v>2012</v>
      </c>
      <c r="E1035" s="18" t="inlineStr">
        <is>
          <t>Skyfall</t>
        </is>
      </c>
      <c r="F1035" s="18" t="inlineStr">
        <is>
          <t>F0003</t>
        </is>
      </c>
    </row>
    <row r="1036" ht="15.75" customHeight="1" s="108">
      <c r="A1036" s="18" t="inlineStr">
        <is>
          <t>Kenneth Hazeldine</t>
        </is>
      </c>
      <c r="B1036" s="18" t="n">
        <v>1</v>
      </c>
      <c r="C1036" s="18" t="n">
        <v>2012</v>
      </c>
      <c r="D1036" s="18" t="n">
        <v>2012</v>
      </c>
      <c r="E1036" s="18" t="inlineStr">
        <is>
          <t>Skyfall</t>
        </is>
      </c>
      <c r="F1036" s="18" t="inlineStr">
        <is>
          <t>F0003</t>
        </is>
      </c>
    </row>
    <row r="1037" ht="15.75" customHeight="1" s="108">
      <c r="A1037" s="18" t="inlineStr">
        <is>
          <t>Orion Lee</t>
        </is>
      </c>
      <c r="B1037" s="18" t="n">
        <v>2</v>
      </c>
      <c r="C1037" s="18" t="n">
        <v>2012</v>
      </c>
      <c r="D1037" s="18" t="n">
        <v>2014</v>
      </c>
      <c r="E1037" s="18" t="inlineStr">
        <is>
          <t>Skyfall, Fury</t>
        </is>
      </c>
      <c r="F1037" s="18" t="inlineStr">
        <is>
          <t>F0003, F0117</t>
        </is>
      </c>
    </row>
    <row r="1038" ht="15.75" customHeight="1" s="108">
      <c r="A1038" s="18" t="inlineStr">
        <is>
          <t>Dave Wong</t>
        </is>
      </c>
      <c r="B1038" s="18" t="n">
        <v>1</v>
      </c>
      <c r="C1038" s="18" t="n">
        <v>2012</v>
      </c>
      <c r="D1038" s="18" t="n">
        <v>2012</v>
      </c>
      <c r="E1038" s="18" t="inlineStr">
        <is>
          <t>Skyfall</t>
        </is>
      </c>
      <c r="F1038" s="18" t="inlineStr">
        <is>
          <t>F0003</t>
        </is>
      </c>
    </row>
    <row r="1039" ht="15.75" customHeight="1" s="108">
      <c r="A1039" s="18" t="inlineStr">
        <is>
          <t>Tank Dong</t>
        </is>
      </c>
      <c r="B1039" s="18" t="n">
        <v>1</v>
      </c>
      <c r="C1039" s="18" t="n">
        <v>2012</v>
      </c>
      <c r="D1039" s="18" t="n">
        <v>2012</v>
      </c>
      <c r="E1039" s="18" t="inlineStr">
        <is>
          <t>Skyfall</t>
        </is>
      </c>
      <c r="F1039" s="18" t="inlineStr">
        <is>
          <t>F0003</t>
        </is>
      </c>
    </row>
    <row r="1040" ht="15.75" customHeight="1" s="108">
      <c r="A1040" s="18" t="inlineStr">
        <is>
          <t>Roger Yuan</t>
        </is>
      </c>
      <c r="B1040" s="18" t="n">
        <v>4</v>
      </c>
      <c r="C1040" s="18" t="n">
        <v>2012</v>
      </c>
      <c r="D1040" s="18" t="n">
        <v>2024</v>
      </c>
      <c r="E1040" s="18" t="inlineStr">
        <is>
          <t xml:space="preserve">Skyfall, dune, dune  part two, dune </t>
        </is>
      </c>
      <c r="F1040" s="18" t="inlineStr">
        <is>
          <t>F0003, F0367, F0368</t>
        </is>
      </c>
    </row>
    <row r="1041" ht="15.75" customHeight="1" s="108">
      <c r="A1041" s="18" t="inlineStr">
        <is>
          <t>Liang Yang</t>
        </is>
      </c>
      <c r="B1041" s="18" t="n">
        <v>2</v>
      </c>
      <c r="C1041" s="18" t="n">
        <v>2012</v>
      </c>
      <c r="D1041" s="18" t="n">
        <v>2018</v>
      </c>
      <c r="E1041" s="18" t="inlineStr">
        <is>
          <t>Skyfall, Mission: Impossible - Fallout</t>
        </is>
      </c>
      <c r="F1041" s="18" t="inlineStr">
        <is>
          <t>F0003, F0226</t>
        </is>
      </c>
    </row>
    <row r="1042" ht="15.75" customHeight="1" s="108">
      <c r="A1042" s="18" t="inlineStr">
        <is>
          <t>Yennis Cheung Yan</t>
        </is>
      </c>
      <c r="B1042" s="18" t="n">
        <v>1</v>
      </c>
      <c r="C1042" s="18" t="n">
        <v>2012</v>
      </c>
      <c r="D1042" s="18" t="n">
        <v>2012</v>
      </c>
      <c r="E1042" s="18" t="inlineStr">
        <is>
          <t>Skyfall</t>
        </is>
      </c>
      <c r="F1042" s="18" t="inlineStr">
        <is>
          <t>F0003</t>
        </is>
      </c>
    </row>
    <row r="1043" ht="15.75" customHeight="1" s="108">
      <c r="A1043" s="18" t="inlineStr">
        <is>
          <t>Chooye Bay</t>
        </is>
      </c>
      <c r="B1043" s="18" t="n">
        <v>1</v>
      </c>
      <c r="C1043" s="18" t="n">
        <v>2012</v>
      </c>
      <c r="D1043" s="18" t="n">
        <v>2012</v>
      </c>
      <c r="E1043" s="18" t="inlineStr">
        <is>
          <t>Skyfall</t>
        </is>
      </c>
      <c r="F1043" s="18" t="inlineStr">
        <is>
          <t>F0003</t>
        </is>
      </c>
    </row>
    <row r="1044" ht="15.75" customHeight="1" s="108">
      <c r="A1044" s="18" t="inlineStr">
        <is>
          <t>Andrew Scott</t>
        </is>
      </c>
      <c r="B1044" s="18" t="n">
        <v>2</v>
      </c>
      <c r="C1044" s="18" t="n">
        <v>2015</v>
      </c>
      <c r="D1044" s="18" t="n">
        <v>2019</v>
      </c>
      <c r="E1044" s="18" t="inlineStr">
        <is>
          <t>Spectre, 1917</t>
        </is>
      </c>
      <c r="F1044" s="18" t="inlineStr">
        <is>
          <t>F0004, F0356</t>
        </is>
      </c>
    </row>
    <row r="1045" ht="15.75" customHeight="1" s="108">
      <c r="A1045" s="18" t="inlineStr">
        <is>
          <t>Alessandro Cremona</t>
        </is>
      </c>
      <c r="B1045" s="18" t="n">
        <v>1</v>
      </c>
      <c r="C1045" s="18" t="n">
        <v>2015</v>
      </c>
      <c r="D1045" s="18" t="n">
        <v>2015</v>
      </c>
      <c r="E1045" s="18" t="inlineStr">
        <is>
          <t>Spectre</t>
        </is>
      </c>
      <c r="F1045" s="18" t="inlineStr">
        <is>
          <t>F0004</t>
        </is>
      </c>
    </row>
    <row r="1046" ht="15.75" customHeight="1" s="108">
      <c r="A1046" s="18" t="inlineStr">
        <is>
          <t>Stephanie Sigman</t>
        </is>
      </c>
      <c r="B1046" s="18" t="n">
        <v>1</v>
      </c>
      <c r="C1046" s="18" t="n">
        <v>2015</v>
      </c>
      <c r="D1046" s="18" t="n">
        <v>2015</v>
      </c>
      <c r="E1046" s="18" t="inlineStr">
        <is>
          <t>Spectre</t>
        </is>
      </c>
      <c r="F1046" s="18" t="inlineStr">
        <is>
          <t>F0004</t>
        </is>
      </c>
    </row>
    <row r="1047" ht="15.75" customHeight="1" s="108">
      <c r="A1047" s="18" t="inlineStr">
        <is>
          <t>Tenoch Huerta Mejía</t>
        </is>
      </c>
      <c r="B1047" s="18" t="n">
        <v>1</v>
      </c>
      <c r="C1047" s="18" t="n">
        <v>2015</v>
      </c>
      <c r="D1047" s="18" t="n">
        <v>2015</v>
      </c>
      <c r="E1047" s="18" t="inlineStr">
        <is>
          <t>Spectre</t>
        </is>
      </c>
      <c r="F1047" s="18" t="inlineStr">
        <is>
          <t>F0004</t>
        </is>
      </c>
    </row>
    <row r="1048" ht="15.75" customHeight="1" s="108">
      <c r="A1048" s="18" t="inlineStr">
        <is>
          <t>Adriana Paz</t>
        </is>
      </c>
      <c r="B1048" s="18" t="n">
        <v>1</v>
      </c>
      <c r="C1048" s="18" t="n">
        <v>2015</v>
      </c>
      <c r="D1048" s="18" t="n">
        <v>2015</v>
      </c>
      <c r="E1048" s="18" t="inlineStr">
        <is>
          <t>Spectre</t>
        </is>
      </c>
      <c r="F1048" s="18" t="inlineStr">
        <is>
          <t>F0004</t>
        </is>
      </c>
    </row>
    <row r="1049" ht="15.75" customHeight="1" s="108">
      <c r="A1049" s="18" t="inlineStr">
        <is>
          <t>Domenico Fortunato</t>
        </is>
      </c>
      <c r="B1049" s="18" t="n">
        <v>1</v>
      </c>
      <c r="C1049" s="18" t="n">
        <v>2015</v>
      </c>
      <c r="D1049" s="18" t="n">
        <v>2015</v>
      </c>
      <c r="E1049" s="18" t="inlineStr">
        <is>
          <t>Spectre</t>
        </is>
      </c>
      <c r="F1049" s="18" t="inlineStr">
        <is>
          <t>F0004</t>
        </is>
      </c>
    </row>
    <row r="1050" ht="15.75" customHeight="1" s="108">
      <c r="A1050" s="18" t="inlineStr">
        <is>
          <t>Marco Zingaro</t>
        </is>
      </c>
      <c r="B1050" s="18" t="n">
        <v>1</v>
      </c>
      <c r="C1050" s="18" t="n">
        <v>2015</v>
      </c>
      <c r="D1050" s="18" t="n">
        <v>2015</v>
      </c>
      <c r="E1050" s="18" t="inlineStr">
        <is>
          <t>Spectre</t>
        </is>
      </c>
      <c r="F1050" s="18" t="inlineStr">
        <is>
          <t>F0004</t>
        </is>
      </c>
    </row>
    <row r="1051" ht="15.75" customHeight="1" s="108">
      <c r="A1051" s="18" t="inlineStr">
        <is>
          <t>Stefano Elfi DiClaudia</t>
        </is>
      </c>
      <c r="B1051" s="18" t="n">
        <v>1</v>
      </c>
      <c r="C1051" s="18" t="n">
        <v>2015</v>
      </c>
      <c r="D1051" s="18" t="n">
        <v>2015</v>
      </c>
      <c r="E1051" s="18" t="inlineStr">
        <is>
          <t>Spectre</t>
        </is>
      </c>
      <c r="F1051" s="18" t="inlineStr">
        <is>
          <t>F0004</t>
        </is>
      </c>
    </row>
    <row r="1052" ht="15.75" customHeight="1" s="108">
      <c r="A1052" s="18" t="inlineStr">
        <is>
          <t>Tam Williams</t>
        </is>
      </c>
      <c r="B1052" s="18" t="n">
        <v>1</v>
      </c>
      <c r="C1052" s="18" t="n">
        <v>2015</v>
      </c>
      <c r="D1052" s="18" t="n">
        <v>2015</v>
      </c>
      <c r="E1052" s="18" t="inlineStr">
        <is>
          <t>Spectre</t>
        </is>
      </c>
      <c r="F1052" s="18" t="inlineStr">
        <is>
          <t>F0004</t>
        </is>
      </c>
    </row>
    <row r="1053" ht="15.75" customHeight="1" s="108">
      <c r="A1053" s="18" t="inlineStr">
        <is>
          <t>Richard Banham</t>
        </is>
      </c>
      <c r="B1053" s="18" t="n">
        <v>1</v>
      </c>
      <c r="C1053" s="18" t="n">
        <v>2015</v>
      </c>
      <c r="D1053" s="18" t="n">
        <v>2015</v>
      </c>
      <c r="E1053" s="18" t="inlineStr">
        <is>
          <t>Spectre</t>
        </is>
      </c>
      <c r="F1053" s="18" t="inlineStr">
        <is>
          <t>F0004</t>
        </is>
      </c>
    </row>
    <row r="1054" ht="15.75" customHeight="1" s="108">
      <c r="A1054" s="18" t="inlineStr">
        <is>
          <t>Pip Carter</t>
        </is>
      </c>
      <c r="B1054" s="18" t="n">
        <v>3</v>
      </c>
      <c r="C1054" s="18" t="n">
        <v>2010</v>
      </c>
      <c r="D1054" s="18" t="n">
        <v>2019</v>
      </c>
      <c r="E1054" s="18" t="inlineStr">
        <is>
          <t>Spectre, Robin Hood, 1917</t>
        </is>
      </c>
      <c r="F1054" s="18" t="inlineStr">
        <is>
          <t>F0004, F0267, F0356</t>
        </is>
      </c>
    </row>
    <row r="1055" ht="15.75" customHeight="1" s="108">
      <c r="A1055" s="18" t="inlineStr">
        <is>
          <t>Simon Lenagan</t>
        </is>
      </c>
      <c r="B1055" s="18" t="n">
        <v>1</v>
      </c>
      <c r="C1055" s="18" t="n">
        <v>2015</v>
      </c>
      <c r="D1055" s="18" t="n">
        <v>2015</v>
      </c>
      <c r="E1055" s="18" t="inlineStr">
        <is>
          <t>Spectre</t>
        </is>
      </c>
      <c r="F1055" s="18" t="inlineStr">
        <is>
          <t>F0004</t>
        </is>
      </c>
    </row>
    <row r="1056" ht="15.75" customHeight="1" s="108">
      <c r="A1056" s="18" t="inlineStr">
        <is>
          <t>Alessandro Bressanello</t>
        </is>
      </c>
      <c r="B1056" s="18" t="n">
        <v>1</v>
      </c>
      <c r="C1056" s="18" t="n">
        <v>2015</v>
      </c>
      <c r="D1056" s="18" t="n">
        <v>2015</v>
      </c>
      <c r="E1056" s="18" t="inlineStr">
        <is>
          <t>Spectre</t>
        </is>
      </c>
      <c r="F1056" s="18" t="inlineStr">
        <is>
          <t>F0004</t>
        </is>
      </c>
    </row>
    <row r="1057" ht="15.75" customHeight="1" s="108">
      <c r="A1057" s="18" t="inlineStr">
        <is>
          <t>Marc Zinga</t>
        </is>
      </c>
      <c r="B1057" s="18" t="n">
        <v>1</v>
      </c>
      <c r="C1057" s="18" t="n">
        <v>2015</v>
      </c>
      <c r="D1057" s="18" t="n">
        <v>2015</v>
      </c>
      <c r="E1057" s="18" t="inlineStr">
        <is>
          <t>Spectre</t>
        </is>
      </c>
      <c r="F1057" s="18" t="inlineStr">
        <is>
          <t>F0004</t>
        </is>
      </c>
    </row>
    <row r="1058" ht="15.75" customHeight="1" s="108">
      <c r="A1058" s="18" t="inlineStr">
        <is>
          <t>Brigitte Millar</t>
        </is>
      </c>
      <c r="B1058" s="18" t="n">
        <v>1</v>
      </c>
      <c r="C1058" s="18" t="n">
        <v>2015</v>
      </c>
      <c r="D1058" s="18" t="n">
        <v>2015</v>
      </c>
      <c r="E1058" s="18" t="inlineStr">
        <is>
          <t>Spectre</t>
        </is>
      </c>
      <c r="F1058" s="18" t="inlineStr">
        <is>
          <t>F0004</t>
        </is>
      </c>
    </row>
    <row r="1059" ht="15.75" customHeight="1" s="108">
      <c r="A1059" s="18" t="inlineStr">
        <is>
          <t>Adel Bencherif</t>
        </is>
      </c>
      <c r="B1059" s="18" t="n">
        <v>1</v>
      </c>
      <c r="C1059" s="18" t="n">
        <v>2015</v>
      </c>
      <c r="D1059" s="18" t="n">
        <v>2015</v>
      </c>
      <c r="E1059" s="18" t="inlineStr">
        <is>
          <t>Spectre</t>
        </is>
      </c>
      <c r="F1059" s="18" t="inlineStr">
        <is>
          <t>F0004</t>
        </is>
      </c>
    </row>
    <row r="1060" ht="15.75" customHeight="1" s="108">
      <c r="A1060" s="18" t="inlineStr">
        <is>
          <t>Gediminas Adomaitis</t>
        </is>
      </c>
      <c r="B1060" s="18" t="n">
        <v>1</v>
      </c>
      <c r="C1060" s="18" t="n">
        <v>2015</v>
      </c>
      <c r="D1060" s="18" t="n">
        <v>2015</v>
      </c>
      <c r="E1060" s="18" t="inlineStr">
        <is>
          <t>Spectre</t>
        </is>
      </c>
      <c r="F1060" s="18" t="inlineStr">
        <is>
          <t>F0004</t>
        </is>
      </c>
    </row>
    <row r="1061" ht="15.75" customHeight="1" s="108">
      <c r="A1061" s="18" t="inlineStr">
        <is>
          <t>Peppe Lanzetta</t>
        </is>
      </c>
      <c r="B1061" s="18" t="n">
        <v>1</v>
      </c>
      <c r="C1061" s="18" t="n">
        <v>2015</v>
      </c>
      <c r="D1061" s="18" t="n">
        <v>2015</v>
      </c>
      <c r="E1061" s="18" t="inlineStr">
        <is>
          <t>Spectre</t>
        </is>
      </c>
      <c r="F1061" s="18" t="inlineStr">
        <is>
          <t>F0004</t>
        </is>
      </c>
    </row>
    <row r="1062" ht="15.75" customHeight="1" s="108">
      <c r="A1062" s="18" t="inlineStr">
        <is>
          <t>Francesco Arca</t>
        </is>
      </c>
      <c r="B1062" s="18" t="n">
        <v>1</v>
      </c>
      <c r="C1062" s="18" t="n">
        <v>2015</v>
      </c>
      <c r="D1062" s="18" t="n">
        <v>2015</v>
      </c>
      <c r="E1062" s="18" t="inlineStr">
        <is>
          <t>Spectre</t>
        </is>
      </c>
      <c r="F1062" s="18" t="inlineStr">
        <is>
          <t>F0004</t>
        </is>
      </c>
    </row>
    <row r="1063" ht="15.75" customHeight="1" s="108">
      <c r="A1063" s="18" t="inlineStr">
        <is>
          <t>Billy Magnussen</t>
        </is>
      </c>
      <c r="B1063" s="18" t="n">
        <v>1</v>
      </c>
      <c r="C1063" s="18" t="n">
        <v>2021</v>
      </c>
      <c r="D1063" s="18" t="n">
        <v>2021</v>
      </c>
      <c r="E1063" s="18" t="inlineStr">
        <is>
          <t>No Time to Die</t>
        </is>
      </c>
      <c r="F1063" s="18" t="inlineStr">
        <is>
          <t>F0005</t>
        </is>
      </c>
    </row>
    <row r="1064" ht="15.75" customHeight="1" s="108">
      <c r="A1064" s="18" t="inlineStr">
        <is>
          <t>David Dencik</t>
        </is>
      </c>
      <c r="B1064" s="18" t="n">
        <v>2</v>
      </c>
      <c r="C1064" s="18" t="n">
        <v>2011</v>
      </c>
      <c r="D1064" s="18" t="n">
        <v>2021</v>
      </c>
      <c r="E1064" s="18" t="inlineStr">
        <is>
          <t>No Time to Die, The Girl with the Dragon Tattoo</t>
        </is>
      </c>
      <c r="F1064" s="18" t="inlineStr">
        <is>
          <t>F0005, F0120</t>
        </is>
      </c>
    </row>
    <row r="1065" ht="15.75" customHeight="1" s="108">
      <c r="A1065" s="18" t="inlineStr">
        <is>
          <t>Ana de Armas</t>
        </is>
      </c>
      <c r="B1065" s="18" t="n">
        <v>2</v>
      </c>
      <c r="C1065" s="18" t="n">
        <v>2018</v>
      </c>
      <c r="D1065" s="18" t="n">
        <v>2021</v>
      </c>
      <c r="E1065" s="18" t="inlineStr">
        <is>
          <t>No Time to Die, blade runner 2049</t>
        </is>
      </c>
      <c r="F1065" s="18" t="inlineStr">
        <is>
          <t>F0005, F0366</t>
        </is>
      </c>
    </row>
    <row r="1066" ht="15.75" customHeight="1" s="108">
      <c r="A1066" s="18" t="inlineStr">
        <is>
          <t>Dali Benssalah</t>
        </is>
      </c>
      <c r="B1066" s="18" t="n">
        <v>1</v>
      </c>
      <c r="C1066" s="18" t="n">
        <v>2021</v>
      </c>
      <c r="D1066" s="18" t="n">
        <v>2021</v>
      </c>
      <c r="E1066" s="18" t="inlineStr">
        <is>
          <t>No Time to Die</t>
        </is>
      </c>
      <c r="F1066" s="18" t="inlineStr">
        <is>
          <t>F0005</t>
        </is>
      </c>
    </row>
    <row r="1067" ht="15.75" customHeight="1" s="108">
      <c r="A1067" s="18" t="inlineStr">
        <is>
          <t>Lisa-Dorah Sonnet</t>
        </is>
      </c>
      <c r="B1067" s="18" t="n">
        <v>1</v>
      </c>
      <c r="C1067" s="18" t="n">
        <v>2021</v>
      </c>
      <c r="D1067" s="18" t="n">
        <v>2021</v>
      </c>
      <c r="E1067" s="18" t="inlineStr">
        <is>
          <t>No Time to Die</t>
        </is>
      </c>
      <c r="F1067" s="18" t="inlineStr">
        <is>
          <t>F0005</t>
        </is>
      </c>
    </row>
    <row r="1068" ht="15.75" customHeight="1" s="108">
      <c r="A1068" s="18" t="inlineStr">
        <is>
          <t>Coline Defaud</t>
        </is>
      </c>
      <c r="B1068" s="18" t="n">
        <v>1</v>
      </c>
      <c r="C1068" s="18" t="n">
        <v>2021</v>
      </c>
      <c r="D1068" s="18" t="n">
        <v>2021</v>
      </c>
      <c r="E1068" s="18" t="inlineStr">
        <is>
          <t>No Time to Die</t>
        </is>
      </c>
      <c r="F1068" s="18" t="inlineStr">
        <is>
          <t>F0005</t>
        </is>
      </c>
    </row>
    <row r="1069" ht="15.75" customHeight="1" s="108">
      <c r="A1069" s="18" t="inlineStr">
        <is>
          <t>Mathilde Bourbin</t>
        </is>
      </c>
      <c r="B1069" s="18" t="n">
        <v>1</v>
      </c>
      <c r="C1069" s="18" t="n">
        <v>2021</v>
      </c>
      <c r="D1069" s="18" t="n">
        <v>2021</v>
      </c>
      <c r="E1069" s="18" t="inlineStr">
        <is>
          <t>No Time to Die</t>
        </is>
      </c>
      <c r="F1069" s="18" t="inlineStr">
        <is>
          <t>F0005</t>
        </is>
      </c>
    </row>
    <row r="1070" ht="15.75" customHeight="1" s="108">
      <c r="A1070" s="18" t="inlineStr">
        <is>
          <t>Hugh Dennis</t>
        </is>
      </c>
      <c r="B1070" s="18" t="n">
        <v>1</v>
      </c>
      <c r="C1070" s="18" t="n">
        <v>2021</v>
      </c>
      <c r="D1070" s="18" t="n">
        <v>2021</v>
      </c>
      <c r="E1070" s="18" t="inlineStr">
        <is>
          <t>No Time to Die</t>
        </is>
      </c>
      <c r="F1070" s="18" t="inlineStr">
        <is>
          <t>F0005</t>
        </is>
      </c>
    </row>
    <row r="1071" ht="15.75" customHeight="1" s="108">
      <c r="A1071" s="18" t="inlineStr">
        <is>
          <t>Priyanga Burford</t>
        </is>
      </c>
      <c r="B1071" s="18" t="n">
        <v>1</v>
      </c>
      <c r="C1071" s="18" t="n">
        <v>2021</v>
      </c>
      <c r="D1071" s="18" t="n">
        <v>2021</v>
      </c>
      <c r="E1071" s="18" t="inlineStr">
        <is>
          <t>No Time to Die</t>
        </is>
      </c>
      <c r="F1071" s="18" t="inlineStr">
        <is>
          <t>F0005</t>
        </is>
      </c>
    </row>
    <row r="1072" ht="15.75" customHeight="1" s="108">
      <c r="A1072" s="18" t="inlineStr">
        <is>
          <t>Joe Grossi</t>
        </is>
      </c>
      <c r="B1072" s="18" t="n">
        <v>1</v>
      </c>
      <c r="C1072" s="18" t="n">
        <v>2021</v>
      </c>
      <c r="D1072" s="18" t="n">
        <v>2021</v>
      </c>
      <c r="E1072" s="18" t="inlineStr">
        <is>
          <t>No Time to Die</t>
        </is>
      </c>
      <c r="F1072" s="18" t="inlineStr">
        <is>
          <t>F0005</t>
        </is>
      </c>
    </row>
    <row r="1073" ht="15.75" customHeight="1" s="108">
      <c r="A1073" s="18" t="inlineStr">
        <is>
          <t>Nicola Olivieri</t>
        </is>
      </c>
      <c r="B1073" s="18" t="n">
        <v>1</v>
      </c>
      <c r="C1073" s="18" t="n">
        <v>2021</v>
      </c>
      <c r="D1073" s="18" t="n">
        <v>2021</v>
      </c>
      <c r="E1073" s="18" t="inlineStr">
        <is>
          <t>No Time to Die</t>
        </is>
      </c>
      <c r="F1073" s="18" t="inlineStr">
        <is>
          <t>F0005</t>
        </is>
      </c>
    </row>
    <row r="1074" ht="15.75" customHeight="1" s="108">
      <c r="A1074" s="18" t="inlineStr">
        <is>
          <t>Pio Amato</t>
        </is>
      </c>
      <c r="B1074" s="18" t="n">
        <v>1</v>
      </c>
      <c r="C1074" s="18" t="n">
        <v>2021</v>
      </c>
      <c r="D1074" s="18" t="n">
        <v>2021</v>
      </c>
      <c r="E1074" s="18" t="inlineStr">
        <is>
          <t>No Time to Die</t>
        </is>
      </c>
      <c r="F1074" s="18" t="inlineStr">
        <is>
          <t>F0005</t>
        </is>
      </c>
    </row>
    <row r="1075" ht="15.75" customHeight="1" s="108">
      <c r="A1075" s="18" t="inlineStr">
        <is>
          <t>Javone Prince</t>
        </is>
      </c>
      <c r="B1075" s="18" t="n">
        <v>1</v>
      </c>
      <c r="C1075" s="18" t="n">
        <v>2021</v>
      </c>
      <c r="D1075" s="18" t="n">
        <v>2021</v>
      </c>
      <c r="E1075" s="18" t="inlineStr">
        <is>
          <t>No Time to Die</t>
        </is>
      </c>
      <c r="F1075" s="18" t="inlineStr">
        <is>
          <t>F0005</t>
        </is>
      </c>
    </row>
    <row r="1076" ht="15.75" customHeight="1" s="108">
      <c r="A1076" s="18" t="inlineStr">
        <is>
          <t>Davina Moon</t>
        </is>
      </c>
      <c r="B1076" s="18" t="n">
        <v>1</v>
      </c>
      <c r="C1076" s="18" t="n">
        <v>2021</v>
      </c>
      <c r="D1076" s="18" t="n">
        <v>2021</v>
      </c>
      <c r="E1076" s="18" t="inlineStr">
        <is>
          <t>No Time to Die</t>
        </is>
      </c>
      <c r="F1076" s="18" t="inlineStr">
        <is>
          <t>F0005</t>
        </is>
      </c>
    </row>
    <row r="1077" ht="15.75" customHeight="1" s="108">
      <c r="A1077" s="18" t="inlineStr">
        <is>
          <t>Mattia Lacovone</t>
        </is>
      </c>
      <c r="B1077" s="18" t="n">
        <v>1</v>
      </c>
      <c r="C1077" s="18" t="n">
        <v>2021</v>
      </c>
      <c r="D1077" s="18" t="n">
        <v>2021</v>
      </c>
      <c r="E1077" s="18" t="inlineStr">
        <is>
          <t>No Time to Die</t>
        </is>
      </c>
      <c r="F1077" s="18" t="inlineStr">
        <is>
          <t>F0005</t>
        </is>
      </c>
    </row>
    <row r="1078" ht="15.75" customHeight="1" s="108">
      <c r="A1078" s="18" t="inlineStr">
        <is>
          <t>Giansalvatore Duca</t>
        </is>
      </c>
      <c r="B1078" s="18" t="n">
        <v>1</v>
      </c>
      <c r="C1078" s="18" t="n">
        <v>2021</v>
      </c>
      <c r="D1078" s="18" t="n">
        <v>2021</v>
      </c>
      <c r="E1078" s="18" t="inlineStr">
        <is>
          <t>No Time to Die</t>
        </is>
      </c>
      <c r="F1078" s="18" t="inlineStr">
        <is>
          <t>F0005</t>
        </is>
      </c>
    </row>
    <row r="1079" ht="15.75" customHeight="1" s="108">
      <c r="A1079" s="18" t="inlineStr">
        <is>
          <t>Amy Morgan</t>
        </is>
      </c>
      <c r="B1079" s="18" t="n">
        <v>1</v>
      </c>
      <c r="C1079" s="18" t="n">
        <v>2021</v>
      </c>
      <c r="D1079" s="18" t="n">
        <v>2021</v>
      </c>
      <c r="E1079" s="18" t="inlineStr">
        <is>
          <t>No Time to Die</t>
        </is>
      </c>
      <c r="F1079" s="18" t="inlineStr">
        <is>
          <t>F0005</t>
        </is>
      </c>
    </row>
    <row r="1080" ht="15.75" customHeight="1" s="108">
      <c r="A1080" s="18" t="inlineStr">
        <is>
          <t>Lizzie Winkler</t>
        </is>
      </c>
      <c r="B1080" s="18" t="n">
        <v>1</v>
      </c>
      <c r="C1080" s="18" t="n">
        <v>2021</v>
      </c>
      <c r="D1080" s="18" t="n">
        <v>2021</v>
      </c>
      <c r="E1080" s="18" t="inlineStr">
        <is>
          <t>No Time to Die</t>
        </is>
      </c>
      <c r="F1080" s="18" t="inlineStr">
        <is>
          <t>F0005</t>
        </is>
      </c>
    </row>
    <row r="1081" ht="15.75" customHeight="1" s="108">
      <c r="A1081" s="18" t="inlineStr">
        <is>
          <t>Andrei Nova</t>
        </is>
      </c>
      <c r="B1081" s="18" t="n">
        <v>1</v>
      </c>
      <c r="C1081" s="18" t="n">
        <v>2021</v>
      </c>
      <c r="D1081" s="18" t="n">
        <v>2021</v>
      </c>
      <c r="E1081" s="18" t="inlineStr">
        <is>
          <t>No Time to Die</t>
        </is>
      </c>
      <c r="F1081" s="18" t="inlineStr">
        <is>
          <t>F0005</t>
        </is>
      </c>
    </row>
    <row r="1082" ht="15.75" customHeight="1" s="108">
      <c r="A1082" s="18" t="inlineStr">
        <is>
          <t>Ernest Gromov</t>
        </is>
      </c>
      <c r="B1082" s="18" t="n">
        <v>1</v>
      </c>
      <c r="C1082" s="18" t="n">
        <v>2021</v>
      </c>
      <c r="D1082" s="18" t="n">
        <v>2021</v>
      </c>
      <c r="E1082" s="18" t="inlineStr">
        <is>
          <t>No Time to Die</t>
        </is>
      </c>
      <c r="F1082" s="18" t="inlineStr">
        <is>
          <t>F0005</t>
        </is>
      </c>
    </row>
    <row r="1083" ht="15.75" customHeight="1" s="108">
      <c r="A1083" s="18" t="inlineStr">
        <is>
          <t>Tom McCarthy</t>
        </is>
      </c>
      <c r="B1083" s="18" t="n">
        <v>1</v>
      </c>
      <c r="C1083" s="18" t="n">
        <v>2009</v>
      </c>
      <c r="D1083" s="18" t="n">
        <v>2009</v>
      </c>
      <c r="E1083" s="18" t="inlineStr">
        <is>
          <t>2012</t>
        </is>
      </c>
      <c r="F1083" s="18" t="inlineStr">
        <is>
          <t>F0006</t>
        </is>
      </c>
    </row>
    <row r="1084" ht="15.75" customHeight="1" s="108">
      <c r="A1084" s="18" t="inlineStr">
        <is>
          <t>Danny Glover</t>
        </is>
      </c>
      <c r="B1084" s="18" t="n">
        <v>2</v>
      </c>
      <c r="C1084" s="18" t="n">
        <v>2009</v>
      </c>
      <c r="D1084" s="18" t="n">
        <v>2016</v>
      </c>
      <c r="E1084" s="18" t="inlineStr">
        <is>
          <t>2012, Dirty Grandpa</t>
        </is>
      </c>
      <c r="F1084" s="18" t="inlineStr">
        <is>
          <t>F0006, F0087</t>
        </is>
      </c>
    </row>
    <row r="1085" ht="15.75" customHeight="1" s="108">
      <c r="A1085" s="18" t="inlineStr">
        <is>
          <t>Liam James</t>
        </is>
      </c>
      <c r="B1085" s="18" t="n">
        <v>1</v>
      </c>
      <c r="C1085" s="18" t="n">
        <v>2009</v>
      </c>
      <c r="D1085" s="18" t="n">
        <v>2009</v>
      </c>
      <c r="E1085" s="18" t="inlineStr">
        <is>
          <t>2012</t>
        </is>
      </c>
      <c r="F1085" s="18" t="inlineStr">
        <is>
          <t>F0006</t>
        </is>
      </c>
    </row>
    <row r="1086" ht="15.75" customHeight="1" s="108">
      <c r="A1086" s="18" t="inlineStr">
        <is>
          <t>Morgan Lily</t>
        </is>
      </c>
      <c r="B1086" s="18" t="n">
        <v>2</v>
      </c>
      <c r="C1086" s="18" t="n">
        <v>2009</v>
      </c>
      <c r="D1086" s="18" t="n">
        <v>2011</v>
      </c>
      <c r="E1086" s="18" t="inlineStr">
        <is>
          <t>2012, X-Men: First Class</t>
        </is>
      </c>
      <c r="F1086" s="18" t="inlineStr">
        <is>
          <t>F0006, F0340</t>
        </is>
      </c>
    </row>
    <row r="1087" ht="15.75" customHeight="1" s="108">
      <c r="A1087" s="18" t="inlineStr">
        <is>
          <t>Zlatko Burić</t>
        </is>
      </c>
      <c r="B1087" s="18" t="n">
        <v>1</v>
      </c>
      <c r="C1087" s="18" t="n">
        <v>2009</v>
      </c>
      <c r="D1087" s="18" t="n">
        <v>2009</v>
      </c>
      <c r="E1087" s="18" t="inlineStr">
        <is>
          <t>2012</t>
        </is>
      </c>
      <c r="F1087" s="18" t="inlineStr">
        <is>
          <t>F0006</t>
        </is>
      </c>
    </row>
    <row r="1088" ht="15.75" customHeight="1" s="108">
      <c r="A1088" s="18" t="inlineStr">
        <is>
          <t>Beatrice Rosen</t>
        </is>
      </c>
      <c r="B1088" s="18" t="n">
        <v>2</v>
      </c>
      <c r="C1088" s="18" t="n">
        <v>2009</v>
      </c>
      <c r="D1088" s="18" t="n">
        <v>2013</v>
      </c>
      <c r="E1088" s="18" t="inlineStr">
        <is>
          <t>2012, The Smurfs 2</t>
        </is>
      </c>
      <c r="F1088" s="18" t="inlineStr">
        <is>
          <t>F0006, F0282</t>
        </is>
      </c>
    </row>
    <row r="1089" ht="15.75" customHeight="1" s="108">
      <c r="A1089" s="18" t="inlineStr">
        <is>
          <t>Alexandre Haussmann</t>
        </is>
      </c>
      <c r="B1089" s="18" t="n">
        <v>1</v>
      </c>
      <c r="C1089" s="18" t="n">
        <v>2009</v>
      </c>
      <c r="D1089" s="18" t="n">
        <v>2009</v>
      </c>
      <c r="E1089" s="18" t="inlineStr">
        <is>
          <t>2012</t>
        </is>
      </c>
      <c r="F1089" s="18" t="inlineStr">
        <is>
          <t>F0006</t>
        </is>
      </c>
    </row>
    <row r="1090" ht="15.75" customHeight="1" s="108">
      <c r="A1090" s="18" t="inlineStr">
        <is>
          <t>Philippe Haussmann</t>
        </is>
      </c>
      <c r="B1090" s="18" t="n">
        <v>1</v>
      </c>
      <c r="C1090" s="18" t="n">
        <v>2009</v>
      </c>
      <c r="D1090" s="18" t="n">
        <v>2009</v>
      </c>
      <c r="E1090" s="18" t="inlineStr">
        <is>
          <t>2012</t>
        </is>
      </c>
      <c r="F1090" s="18" t="inlineStr">
        <is>
          <t>F0006</t>
        </is>
      </c>
    </row>
    <row r="1091" ht="15.75" customHeight="1" s="108">
      <c r="A1091" s="18" t="inlineStr">
        <is>
          <t>Johann Urb</t>
        </is>
      </c>
      <c r="B1091" s="18" t="n">
        <v>1</v>
      </c>
      <c r="C1091" s="18" t="n">
        <v>2009</v>
      </c>
      <c r="D1091" s="18" t="n">
        <v>2009</v>
      </c>
      <c r="E1091" s="18" t="inlineStr">
        <is>
          <t>2012</t>
        </is>
      </c>
      <c r="F1091" s="18" t="inlineStr">
        <is>
          <t>F0006</t>
        </is>
      </c>
    </row>
    <row r="1092" ht="15.75" customHeight="1" s="108">
      <c r="A1092" s="18" t="inlineStr">
        <is>
          <t>John Billingsley</t>
        </is>
      </c>
      <c r="B1092" s="18" t="n">
        <v>1</v>
      </c>
      <c r="C1092" s="18" t="n">
        <v>2009</v>
      </c>
      <c r="D1092" s="18" t="n">
        <v>2009</v>
      </c>
      <c r="E1092" s="18" t="inlineStr">
        <is>
          <t>2012</t>
        </is>
      </c>
      <c r="F1092" s="18" t="inlineStr">
        <is>
          <t>F0006</t>
        </is>
      </c>
    </row>
    <row r="1093" ht="15.75" customHeight="1" s="108">
      <c r="A1093" s="18" t="inlineStr">
        <is>
          <t>Chin Han</t>
        </is>
      </c>
      <c r="B1093" s="18" t="n">
        <v>2</v>
      </c>
      <c r="C1093" s="18" t="n">
        <v>2008</v>
      </c>
      <c r="D1093" s="18" t="n">
        <v>2009</v>
      </c>
      <c r="E1093" s="18" t="inlineStr">
        <is>
          <t>2012, The Dark Knight</t>
        </is>
      </c>
      <c r="F1093" s="18" t="inlineStr">
        <is>
          <t>F0006, F0044</t>
        </is>
      </c>
    </row>
    <row r="1094" ht="15.75" customHeight="1" s="108">
      <c r="A1094" s="18" t="inlineStr">
        <is>
          <t>Osric Chau</t>
        </is>
      </c>
      <c r="B1094" s="18" t="n">
        <v>1</v>
      </c>
      <c r="C1094" s="18" t="n">
        <v>2009</v>
      </c>
      <c r="D1094" s="18" t="n">
        <v>2009</v>
      </c>
      <c r="E1094" s="18" t="inlineStr">
        <is>
          <t>2012</t>
        </is>
      </c>
      <c r="F1094" s="18" t="inlineStr">
        <is>
          <t>F0006</t>
        </is>
      </c>
    </row>
    <row r="1095" ht="15.75" customHeight="1" s="108">
      <c r="A1095" s="18" t="inlineStr">
        <is>
          <t>Chang Tseng</t>
        </is>
      </c>
      <c r="B1095" s="18" t="n">
        <v>1</v>
      </c>
      <c r="C1095" s="18" t="n">
        <v>2009</v>
      </c>
      <c r="D1095" s="18" t="n">
        <v>2009</v>
      </c>
      <c r="E1095" s="18" t="inlineStr">
        <is>
          <t>2012</t>
        </is>
      </c>
      <c r="F1095" s="18" t="inlineStr">
        <is>
          <t>F0006</t>
        </is>
      </c>
    </row>
    <row r="1096" ht="15.75" customHeight="1" s="108">
      <c r="A1096" s="18" t="inlineStr">
        <is>
          <t>Lisa Lu</t>
        </is>
      </c>
      <c r="B1096" s="18" t="n">
        <v>1</v>
      </c>
      <c r="C1096" s="18" t="n">
        <v>2009</v>
      </c>
      <c r="D1096" s="18" t="n">
        <v>2009</v>
      </c>
      <c r="E1096" s="18" t="inlineStr">
        <is>
          <t>2012</t>
        </is>
      </c>
      <c r="F1096" s="18" t="inlineStr">
        <is>
          <t>F0006</t>
        </is>
      </c>
    </row>
    <row r="1097" ht="15.75" customHeight="1" s="108">
      <c r="A1097" s="18" t="inlineStr">
        <is>
          <t>Blu Mankuma</t>
        </is>
      </c>
      <c r="B1097" s="18" t="n">
        <v>1</v>
      </c>
      <c r="C1097" s="18" t="n">
        <v>2009</v>
      </c>
      <c r="D1097" s="18" t="n">
        <v>2009</v>
      </c>
      <c r="E1097" s="18" t="inlineStr">
        <is>
          <t>2012</t>
        </is>
      </c>
      <c r="F1097" s="18" t="inlineStr">
        <is>
          <t>F0006</t>
        </is>
      </c>
    </row>
    <row r="1098" ht="15.75" customHeight="1" s="108">
      <c r="A1098" s="18" t="inlineStr">
        <is>
          <t>George Segal</t>
        </is>
      </c>
      <c r="B1098" s="18" t="n">
        <v>1</v>
      </c>
      <c r="C1098" s="18" t="n">
        <v>2009</v>
      </c>
      <c r="D1098" s="18" t="n">
        <v>2009</v>
      </c>
      <c r="E1098" s="18" t="inlineStr">
        <is>
          <t>2012</t>
        </is>
      </c>
      <c r="F1098" s="18" t="inlineStr">
        <is>
          <t>F0006</t>
        </is>
      </c>
    </row>
    <row r="1099" ht="15.75" customHeight="1" s="108">
      <c r="A1099" s="18" t="inlineStr">
        <is>
          <t>Stephen McHattie</t>
        </is>
      </c>
      <c r="B1099" s="18" t="n">
        <v>1</v>
      </c>
      <c r="C1099" s="18" t="n">
        <v>2009</v>
      </c>
      <c r="D1099" s="18" t="n">
        <v>2009</v>
      </c>
      <c r="E1099" s="18" t="inlineStr">
        <is>
          <t>2012</t>
        </is>
      </c>
      <c r="F1099" s="18" t="inlineStr">
        <is>
          <t>F0006</t>
        </is>
      </c>
    </row>
    <row r="1100" ht="15.75" customHeight="1" s="108">
      <c r="A1100" s="18" t="inlineStr">
        <is>
          <t>Patrick Bauchau</t>
        </is>
      </c>
      <c r="B1100" s="18" t="n">
        <v>1</v>
      </c>
      <c r="C1100" s="18" t="n">
        <v>2009</v>
      </c>
      <c r="D1100" s="18" t="n">
        <v>2009</v>
      </c>
      <c r="E1100" s="18" t="inlineStr">
        <is>
          <t>2012</t>
        </is>
      </c>
      <c r="F1100" s="18" t="inlineStr">
        <is>
          <t>F0006</t>
        </is>
      </c>
    </row>
    <row r="1101" ht="15.75" customHeight="1" s="108">
      <c r="A1101" s="18" t="inlineStr">
        <is>
          <t>Jimi Mistry</t>
        </is>
      </c>
      <c r="B1101" s="18" t="n">
        <v>1</v>
      </c>
      <c r="C1101" s="18" t="n">
        <v>2009</v>
      </c>
      <c r="D1101" s="18" t="n">
        <v>2009</v>
      </c>
      <c r="E1101" s="18" t="inlineStr">
        <is>
          <t>2012</t>
        </is>
      </c>
      <c r="F1101" s="18" t="inlineStr">
        <is>
          <t>F0006</t>
        </is>
      </c>
    </row>
    <row r="1102" ht="15.75" customHeight="1" s="108">
      <c r="A1102" s="18" t="inlineStr">
        <is>
          <t>Ryan McDonald</t>
        </is>
      </c>
      <c r="B1102" s="18" t="n">
        <v>1</v>
      </c>
      <c r="C1102" s="18" t="n">
        <v>2009</v>
      </c>
      <c r="D1102" s="18" t="n">
        <v>2009</v>
      </c>
      <c r="E1102" s="18" t="inlineStr">
        <is>
          <t>2012</t>
        </is>
      </c>
      <c r="F1102" s="18" t="inlineStr">
        <is>
          <t>F0006</t>
        </is>
      </c>
    </row>
    <row r="1103" ht="15.75" customHeight="1" s="108">
      <c r="A1103" s="18" t="inlineStr">
        <is>
          <t>Merrilyn Gann</t>
        </is>
      </c>
      <c r="B1103" s="18" t="n">
        <v>1</v>
      </c>
      <c r="C1103" s="18" t="n">
        <v>2009</v>
      </c>
      <c r="D1103" s="18" t="n">
        <v>2009</v>
      </c>
      <c r="E1103" s="18" t="inlineStr">
        <is>
          <t>2012</t>
        </is>
      </c>
      <c r="F1103" s="18" t="inlineStr">
        <is>
          <t>F0006</t>
        </is>
      </c>
    </row>
    <row r="1104" ht="15.75" customHeight="1" s="108">
      <c r="A1104" s="18" t="inlineStr">
        <is>
          <t>Henry O</t>
        </is>
      </c>
      <c r="B1104" s="18" t="n">
        <v>2</v>
      </c>
      <c r="C1104" s="18" t="n">
        <v>2007</v>
      </c>
      <c r="D1104" s="18" t="n">
        <v>2009</v>
      </c>
      <c r="E1104" s="18" t="inlineStr">
        <is>
          <t>2012, Rush Hour 3</t>
        </is>
      </c>
      <c r="F1104" s="18" t="inlineStr">
        <is>
          <t>F0006, F0271</t>
        </is>
      </c>
    </row>
    <row r="1105" ht="15.75" customHeight="1" s="108">
      <c r="A1105" s="18" t="inlineStr">
        <is>
          <t>Patrick Gilmore</t>
        </is>
      </c>
      <c r="B1105" s="18" t="n">
        <v>1</v>
      </c>
      <c r="C1105" s="18" t="n">
        <v>2009</v>
      </c>
      <c r="D1105" s="18" t="n">
        <v>2009</v>
      </c>
      <c r="E1105" s="18" t="inlineStr">
        <is>
          <t>2012</t>
        </is>
      </c>
      <c r="F1105" s="18" t="inlineStr">
        <is>
          <t>F0006</t>
        </is>
      </c>
    </row>
    <row r="1106" ht="15.75" customHeight="1" s="108">
      <c r="A1106" s="18" t="inlineStr">
        <is>
          <t>Dean Marshall</t>
        </is>
      </c>
      <c r="B1106" s="18" t="n">
        <v>1</v>
      </c>
      <c r="C1106" s="18" t="n">
        <v>2009</v>
      </c>
      <c r="D1106" s="18" t="n">
        <v>2009</v>
      </c>
      <c r="E1106" s="18" t="inlineStr">
        <is>
          <t>2012</t>
        </is>
      </c>
      <c r="F1106" s="18" t="inlineStr">
        <is>
          <t>F0006</t>
        </is>
      </c>
    </row>
    <row r="1107" ht="15.75" customHeight="1" s="108">
      <c r="A1107" s="18" t="inlineStr">
        <is>
          <t>DeRay Davis</t>
        </is>
      </c>
      <c r="B1107" s="18" t="n">
        <v>1</v>
      </c>
      <c r="C1107" s="18" t="n">
        <v>2012</v>
      </c>
      <c r="D1107" s="18" t="n">
        <v>2012</v>
      </c>
      <c r="E1107" s="18" t="inlineStr">
        <is>
          <t>21 Jump Street</t>
        </is>
      </c>
      <c r="F1107" s="18" t="inlineStr">
        <is>
          <t>F0007</t>
        </is>
      </c>
    </row>
    <row r="1108" ht="15.75" customHeight="1" s="108">
      <c r="A1108" s="18" t="inlineStr">
        <is>
          <t>Ice Cube</t>
        </is>
      </c>
      <c r="B1108" s="18" t="n">
        <v>2</v>
      </c>
      <c r="C1108" s="18" t="n">
        <v>2012</v>
      </c>
      <c r="D1108" s="18" t="n">
        <v>2014</v>
      </c>
      <c r="E1108" s="18" t="inlineStr">
        <is>
          <t>21 Jump Street, 22 Jump Street</t>
        </is>
      </c>
      <c r="F1108" s="18" t="inlineStr">
        <is>
          <t>F0007, F0008</t>
        </is>
      </c>
    </row>
    <row r="1109" ht="15.75" customHeight="1" s="108">
      <c r="A1109" s="18" t="inlineStr">
        <is>
          <t>Dax Flame</t>
        </is>
      </c>
      <c r="B1109" s="18" t="n">
        <v>2</v>
      </c>
      <c r="C1109" s="18" t="n">
        <v>2012</v>
      </c>
      <c r="D1109" s="18" t="n">
        <v>2014</v>
      </c>
      <c r="E1109" s="18" t="inlineStr">
        <is>
          <t>21 Jump Street, 22 Jump Street</t>
        </is>
      </c>
      <c r="F1109" s="18" t="inlineStr">
        <is>
          <t>F0007, F0008</t>
        </is>
      </c>
    </row>
    <row r="1110" ht="15.75" customHeight="1" s="108">
      <c r="A1110" s="18" t="inlineStr">
        <is>
          <t>Chris Parnell</t>
        </is>
      </c>
      <c r="B1110" s="18" t="n">
        <v>4</v>
      </c>
      <c r="C1110" s="18" t="n">
        <v>2004</v>
      </c>
      <c r="D1110" s="18" t="n">
        <v>2013</v>
      </c>
      <c r="E1110" s="18" t="inlineStr">
        <is>
          <t>21 Jump Street, Anchorman: The Legend of Ron Burgundy, The Dictator, Anchorman 2</t>
        </is>
      </c>
      <c r="F1110" s="18" t="inlineStr">
        <is>
          <t>F0007, F0022, F0085, F0357</t>
        </is>
      </c>
    </row>
    <row r="1111" ht="15.75" customHeight="1" s="108">
      <c r="A1111" s="18" t="inlineStr">
        <is>
          <t>Jake Johnson</t>
        </is>
      </c>
      <c r="B1111" s="18" t="n">
        <v>3</v>
      </c>
      <c r="C1111" s="18" t="n">
        <v>2012</v>
      </c>
      <c r="D1111" s="18" t="n">
        <v>2015</v>
      </c>
      <c r="E1111" s="18" t="inlineStr">
        <is>
          <t>21 Jump Street, Jurassic World, The Lego Movie</t>
        </is>
      </c>
      <c r="F1111" s="18" t="inlineStr">
        <is>
          <t>F0007, F0179, F0195</t>
        </is>
      </c>
    </row>
    <row r="1112" ht="15.75" customHeight="1" s="108">
      <c r="A1112" s="18" t="inlineStr">
        <is>
          <t>Nick Offerman</t>
        </is>
      </c>
      <c r="B1112" s="18" t="n">
        <v>6</v>
      </c>
      <c r="C1112" s="18" t="n">
        <v>2012</v>
      </c>
      <c r="D1112" s="18" t="n">
        <v>2025</v>
      </c>
      <c r="E1112" s="18" t="inlineStr">
        <is>
          <t>21 Jump Street, 22 Jump Street, The Lego Movie, The Lego Movie 2: The Second Part, Mission: Impossible - The Final Reckoning, Sing</t>
        </is>
      </c>
      <c r="F1112" s="18" t="inlineStr">
        <is>
          <t>F0007, F0008, F0195, F0196, F0228, F0280</t>
        </is>
      </c>
    </row>
    <row r="1113" ht="15.75" customHeight="1" s="108">
      <c r="A1113" s="18" t="inlineStr">
        <is>
          <t>Holly Robinson Peete</t>
        </is>
      </c>
      <c r="B1113" s="18" t="n">
        <v>1</v>
      </c>
      <c r="C1113" s="18" t="n">
        <v>2012</v>
      </c>
      <c r="D1113" s="18" t="n">
        <v>2012</v>
      </c>
      <c r="E1113" s="18" t="inlineStr">
        <is>
          <t>21 Jump Street</t>
        </is>
      </c>
      <c r="F1113" s="18" t="inlineStr">
        <is>
          <t>F0007</t>
        </is>
      </c>
    </row>
    <row r="1114" ht="15.75" customHeight="1" s="108">
      <c r="A1114" s="18" t="inlineStr">
        <is>
          <t>Johnny Pemberton</t>
        </is>
      </c>
      <c r="B1114" s="18" t="n">
        <v>2</v>
      </c>
      <c r="C1114" s="18" t="n">
        <v>2012</v>
      </c>
      <c r="D1114" s="18" t="n">
        <v>2014</v>
      </c>
      <c r="E1114" s="18" t="inlineStr">
        <is>
          <t>21 Jump Street, 22 Jump Street</t>
        </is>
      </c>
      <c r="F1114" s="18" t="inlineStr">
        <is>
          <t>F0007, F0008</t>
        </is>
      </c>
    </row>
    <row r="1115" ht="15.75" customHeight="1" s="108">
      <c r="A1115" s="18" t="inlineStr">
        <is>
          <t>Stanley Wong</t>
        </is>
      </c>
      <c r="B1115" s="18" t="n">
        <v>2</v>
      </c>
      <c r="C1115" s="18" t="n">
        <v>2012</v>
      </c>
      <c r="D1115" s="18" t="n">
        <v>2014</v>
      </c>
      <c r="E1115" s="18" t="inlineStr">
        <is>
          <t>21 Jump Street, 22 Jump Street</t>
        </is>
      </c>
      <c r="F1115" s="18" t="inlineStr">
        <is>
          <t>F0007, F0008</t>
        </is>
      </c>
    </row>
    <row r="1116" ht="15.75" customHeight="1" s="108">
      <c r="A1116" s="18" t="inlineStr">
        <is>
          <t>Justin Hires</t>
        </is>
      </c>
      <c r="B1116" s="18" t="n">
        <v>1</v>
      </c>
      <c r="C1116" s="18" t="n">
        <v>2012</v>
      </c>
      <c r="D1116" s="18" t="n">
        <v>2012</v>
      </c>
      <c r="E1116" s="18" t="inlineStr">
        <is>
          <t>21 Jump Street</t>
        </is>
      </c>
      <c r="F1116" s="18" t="inlineStr">
        <is>
          <t>F0007</t>
        </is>
      </c>
    </row>
    <row r="1117" ht="15.75" customHeight="1" s="108">
      <c r="A1117" s="18" t="inlineStr">
        <is>
          <t>Brett Lapeyrouse</t>
        </is>
      </c>
      <c r="B1117" s="18" t="n">
        <v>1</v>
      </c>
      <c r="C1117" s="18" t="n">
        <v>2012</v>
      </c>
      <c r="D1117" s="18" t="n">
        <v>2012</v>
      </c>
      <c r="E1117" s="18" t="inlineStr">
        <is>
          <t>21 Jump Street</t>
        </is>
      </c>
      <c r="F1117" s="18" t="inlineStr">
        <is>
          <t>F0007</t>
        </is>
      </c>
    </row>
    <row r="1118" ht="15.75" customHeight="1" s="108">
      <c r="A1118" s="18" t="inlineStr">
        <is>
          <t>Lindsey Broad</t>
        </is>
      </c>
      <c r="B1118" s="18" t="n">
        <v>1</v>
      </c>
      <c r="C1118" s="18" t="n">
        <v>2012</v>
      </c>
      <c r="D1118" s="18" t="n">
        <v>2012</v>
      </c>
      <c r="E1118" s="18" t="inlineStr">
        <is>
          <t>21 Jump Street</t>
        </is>
      </c>
      <c r="F1118" s="18" t="inlineStr">
        <is>
          <t>F0007</t>
        </is>
      </c>
    </row>
    <row r="1119" ht="15.75" customHeight="1" s="108">
      <c r="A1119" s="18" t="inlineStr">
        <is>
          <t>Caroline Aaron</t>
        </is>
      </c>
      <c r="B1119" s="18" t="n">
        <v>2</v>
      </c>
      <c r="C1119" s="18" t="n">
        <v>2012</v>
      </c>
      <c r="D1119" s="18" t="n">
        <v>2014</v>
      </c>
      <c r="E1119" s="18" t="inlineStr">
        <is>
          <t>21 Jump Street, 22 Jump Street</t>
        </is>
      </c>
      <c r="F1119" s="18" t="inlineStr">
        <is>
          <t>F0007, F0008</t>
        </is>
      </c>
    </row>
    <row r="1120" ht="15.75" customHeight="1" s="108">
      <c r="A1120" s="18" t="inlineStr">
        <is>
          <t>Joe Chrest</t>
        </is>
      </c>
      <c r="B1120" s="18" t="n">
        <v>6</v>
      </c>
      <c r="C1120" s="18" t="n">
        <v>2010</v>
      </c>
      <c r="D1120" s="18" t="n">
        <v>2015</v>
      </c>
      <c r="E1120" s="18" t="inlineStr">
        <is>
          <t>21 Jump Street, 22 Jump Street, Battle: Los Angeles, Killing Them Softly, RED, Mockingjay part 2</t>
        </is>
      </c>
      <c r="F1120" s="18" t="inlineStr">
        <is>
          <t>F0007, F0008, F0046, F0187, F0262, F0383</t>
        </is>
      </c>
    </row>
    <row r="1121" ht="15.75" customHeight="1" s="108">
      <c r="A1121" s="18" t="inlineStr">
        <is>
          <t>Geraldine Singer</t>
        </is>
      </c>
      <c r="B1121" s="18" t="n">
        <v>1</v>
      </c>
      <c r="C1121" s="18" t="n">
        <v>2012</v>
      </c>
      <c r="D1121" s="18" t="n">
        <v>2012</v>
      </c>
      <c r="E1121" s="18" t="inlineStr">
        <is>
          <t>21 Jump Street</t>
        </is>
      </c>
      <c r="F1121" s="18" t="inlineStr">
        <is>
          <t>F0007</t>
        </is>
      </c>
    </row>
    <row r="1122" ht="15.75" customHeight="1" s="108">
      <c r="A1122" s="18" t="inlineStr">
        <is>
          <t>Dakota Johnson</t>
        </is>
      </c>
      <c r="B1122" s="18" t="n">
        <v>2</v>
      </c>
      <c r="C1122" s="18" t="n">
        <v>2012</v>
      </c>
      <c r="D1122" s="18" t="n">
        <v>2014</v>
      </c>
      <c r="E1122" s="18" t="inlineStr">
        <is>
          <t>21 Jump Street, Need for Speed</t>
        </is>
      </c>
      <c r="F1122" s="18" t="inlineStr">
        <is>
          <t>F0007, F0234</t>
        </is>
      </c>
    </row>
    <row r="1123" ht="15.75" customHeight="1" s="108">
      <c r="A1123" s="18" t="inlineStr">
        <is>
          <t>Rye Rye</t>
        </is>
      </c>
      <c r="B1123" s="18" t="n">
        <v>2</v>
      </c>
      <c r="C1123" s="18" t="n">
        <v>2012</v>
      </c>
      <c r="D1123" s="18" t="n">
        <v>2014</v>
      </c>
      <c r="E1123" s="18" t="inlineStr">
        <is>
          <t>21 Jump Street, 22 Jump Street</t>
        </is>
      </c>
      <c r="F1123" s="18" t="inlineStr">
        <is>
          <t>F0007, F0008</t>
        </is>
      </c>
    </row>
    <row r="1124" ht="15.75" customHeight="1" s="108">
      <c r="A1124" s="18" t="inlineStr">
        <is>
          <t>Valerie Tian</t>
        </is>
      </c>
      <c r="B1124" s="18" t="n">
        <v>1</v>
      </c>
      <c r="C1124" s="18" t="n">
        <v>2012</v>
      </c>
      <c r="D1124" s="18" t="n">
        <v>2012</v>
      </c>
      <c r="E1124" s="18" t="inlineStr">
        <is>
          <t>21 Jump Street</t>
        </is>
      </c>
      <c r="F1124" s="18" t="inlineStr">
        <is>
          <t>F0007</t>
        </is>
      </c>
    </row>
    <row r="1125" ht="15.75" customHeight="1" s="108">
      <c r="A1125" s="18" t="inlineStr">
        <is>
          <t>Jaren Mitchell</t>
        </is>
      </c>
      <c r="B1125" s="18" t="n">
        <v>1</v>
      </c>
      <c r="C1125" s="18" t="n">
        <v>2012</v>
      </c>
      <c r="D1125" s="18" t="n">
        <v>2012</v>
      </c>
      <c r="E1125" s="18" t="inlineStr">
        <is>
          <t>21 Jump Street</t>
        </is>
      </c>
      <c r="F1125" s="18" t="inlineStr">
        <is>
          <t>F0007</t>
        </is>
      </c>
    </row>
    <row r="1126" ht="15.75" customHeight="1" s="108">
      <c r="A1126" s="18" t="inlineStr">
        <is>
          <t>Johnny Simmons</t>
        </is>
      </c>
      <c r="B1126" s="18" t="n">
        <v>1</v>
      </c>
      <c r="C1126" s="18" t="n">
        <v>2012</v>
      </c>
      <c r="D1126" s="18" t="n">
        <v>2012</v>
      </c>
      <c r="E1126" s="18" t="inlineStr">
        <is>
          <t>21 Jump Street</t>
        </is>
      </c>
      <c r="F1126" s="18" t="inlineStr">
        <is>
          <t>F0007</t>
        </is>
      </c>
    </row>
    <row r="1127" ht="15.75" customHeight="1" s="108">
      <c r="A1127" s="18" t="inlineStr">
        <is>
          <t>Keith Kurtz</t>
        </is>
      </c>
      <c r="B1127" s="18" t="n">
        <v>1</v>
      </c>
      <c r="C1127" s="18" t="n">
        <v>2012</v>
      </c>
      <c r="D1127" s="18" t="n">
        <v>2012</v>
      </c>
      <c r="E1127" s="18" t="inlineStr">
        <is>
          <t>21 Jump Street</t>
        </is>
      </c>
      <c r="F1127" s="18" t="inlineStr">
        <is>
          <t>F0007</t>
        </is>
      </c>
    </row>
    <row r="1128" ht="15.75" customHeight="1" s="108">
      <c r="A1128" s="18" t="inlineStr">
        <is>
          <t>Randal Reeder</t>
        </is>
      </c>
      <c r="B1128" s="18" t="n">
        <v>4</v>
      </c>
      <c r="C1128" s="18" t="n">
        <v>2012</v>
      </c>
      <c r="D1128" s="18" t="n">
        <v>2024</v>
      </c>
      <c r="E1128" s="18" t="inlineStr">
        <is>
          <t>21 Jump Street, Deadpool, Deadpool 2, Deadpool &amp; Wolverine</t>
        </is>
      </c>
      <c r="F1128" s="18" t="inlineStr">
        <is>
          <t>F0007, F0076, F0077, F0078</t>
        </is>
      </c>
    </row>
    <row r="1129" ht="15.75" customHeight="1" s="108">
      <c r="A1129" s="18" t="inlineStr">
        <is>
          <t>Peter Epstein</t>
        </is>
      </c>
      <c r="B1129" s="18" t="n">
        <v>1</v>
      </c>
      <c r="C1129" s="18" t="n">
        <v>2012</v>
      </c>
      <c r="D1129" s="18" t="n">
        <v>2012</v>
      </c>
      <c r="E1129" s="18" t="inlineStr">
        <is>
          <t>21 Jump Street</t>
        </is>
      </c>
      <c r="F1129" s="18" t="inlineStr">
        <is>
          <t>F0007</t>
        </is>
      </c>
    </row>
    <row r="1130" ht="15.75" customHeight="1" s="108">
      <c r="A1130" s="18" t="inlineStr">
        <is>
          <t>Anthony Molinari</t>
        </is>
      </c>
      <c r="B1130" s="18" t="n">
        <v>2</v>
      </c>
      <c r="C1130" s="18" t="n">
        <v>2012</v>
      </c>
      <c r="D1130" s="18" t="n">
        <v>2020</v>
      </c>
      <c r="E1130" s="18" t="inlineStr">
        <is>
          <t>21 Jump Street, Tenet</t>
        </is>
      </c>
      <c r="F1130" s="18" t="inlineStr">
        <is>
          <t>F0007, F0387</t>
        </is>
      </c>
    </row>
    <row r="1131" ht="15.75" customHeight="1" s="108">
      <c r="A1131" s="18" t="inlineStr">
        <is>
          <t>Jillian Bell</t>
        </is>
      </c>
      <c r="B1131" s="18" t="n">
        <v>1</v>
      </c>
      <c r="C1131" s="18" t="n">
        <v>2014</v>
      </c>
      <c r="D1131" s="18" t="n">
        <v>2014</v>
      </c>
      <c r="E1131" s="18" t="inlineStr">
        <is>
          <t>22 Jump Street</t>
        </is>
      </c>
      <c r="F1131" s="18" t="inlineStr">
        <is>
          <t>F0008</t>
        </is>
      </c>
    </row>
    <row r="1132" ht="15.75" customHeight="1" s="108">
      <c r="A1132" s="18" t="inlineStr">
        <is>
          <t>Keith Lucas</t>
        </is>
      </c>
      <c r="B1132" s="18" t="n">
        <v>1</v>
      </c>
      <c r="C1132" s="18" t="n">
        <v>2014</v>
      </c>
      <c r="D1132" s="18" t="n">
        <v>2014</v>
      </c>
      <c r="E1132" s="18" t="inlineStr">
        <is>
          <t>22 Jump Street</t>
        </is>
      </c>
      <c r="F1132" s="18" t="inlineStr">
        <is>
          <t>F0008</t>
        </is>
      </c>
    </row>
    <row r="1133" ht="15.75" customHeight="1" s="108">
      <c r="A1133" s="18" t="inlineStr">
        <is>
          <t>Kenneth Lucas</t>
        </is>
      </c>
      <c r="B1133" s="18" t="n">
        <v>1</v>
      </c>
      <c r="C1133" s="18" t="n">
        <v>2014</v>
      </c>
      <c r="D1133" s="18" t="n">
        <v>2014</v>
      </c>
      <c r="E1133" s="18" t="inlineStr">
        <is>
          <t>22 Jump Street</t>
        </is>
      </c>
      <c r="F1133" s="18" t="inlineStr">
        <is>
          <t>F0008</t>
        </is>
      </c>
    </row>
    <row r="1134" ht="15.75" customHeight="1" s="108">
      <c r="A1134" s="18" t="inlineStr">
        <is>
          <t>Jimmy Tatro</t>
        </is>
      </c>
      <c r="B1134" s="18" t="n">
        <v>1</v>
      </c>
      <c r="C1134" s="18" t="n">
        <v>2014</v>
      </c>
      <c r="D1134" s="18" t="n">
        <v>2014</v>
      </c>
      <c r="E1134" s="18" t="inlineStr">
        <is>
          <t>22 Jump Street</t>
        </is>
      </c>
      <c r="F1134" s="18" t="inlineStr">
        <is>
          <t>F0008</t>
        </is>
      </c>
    </row>
    <row r="1135" ht="15.75" customHeight="1" s="108">
      <c r="A1135" s="18" t="inlineStr">
        <is>
          <t>Craig Roberts</t>
        </is>
      </c>
      <c r="B1135" s="18" t="n">
        <v>1</v>
      </c>
      <c r="C1135" s="18" t="n">
        <v>2014</v>
      </c>
      <c r="D1135" s="18" t="n">
        <v>2014</v>
      </c>
      <c r="E1135" s="18" t="inlineStr">
        <is>
          <t>22 Jump Street</t>
        </is>
      </c>
      <c r="F1135" s="18" t="inlineStr">
        <is>
          <t>F0008</t>
        </is>
      </c>
    </row>
    <row r="1136" ht="15.75" customHeight="1" s="108">
      <c r="A1136" s="18" t="inlineStr">
        <is>
          <t>Marc Evan Jackson</t>
        </is>
      </c>
      <c r="B1136" s="18" t="n">
        <v>3</v>
      </c>
      <c r="C1136" s="18" t="n">
        <v>2014</v>
      </c>
      <c r="D1136" s="18" t="n">
        <v>2017</v>
      </c>
      <c r="E1136" s="18" t="inlineStr">
        <is>
          <t>22 Jump Street, Kong: Skull Island, Jumanji welcome to the jungle</t>
        </is>
      </c>
      <c r="F1136" s="18" t="inlineStr">
        <is>
          <t>F0008, F0190, F0359</t>
        </is>
      </c>
    </row>
    <row r="1137" ht="15.75" customHeight="1" s="108">
      <c r="A1137" s="18" t="inlineStr">
        <is>
          <t>Eddie J. Fernandez</t>
        </is>
      </c>
      <c r="B1137" s="18" t="n">
        <v>1</v>
      </c>
      <c r="C1137" s="18" t="n">
        <v>2014</v>
      </c>
      <c r="D1137" s="18" t="n">
        <v>2014</v>
      </c>
      <c r="E1137" s="18" t="inlineStr">
        <is>
          <t>22 Jump Street</t>
        </is>
      </c>
      <c r="F1137" s="18" t="inlineStr">
        <is>
          <t>F0008</t>
        </is>
      </c>
    </row>
    <row r="1138" ht="15.75" customHeight="1" s="108">
      <c r="A1138" s="18" t="inlineStr">
        <is>
          <t>Diplo</t>
        </is>
      </c>
      <c r="B1138" s="18" t="n">
        <v>1</v>
      </c>
      <c r="C1138" s="18" t="n">
        <v>2014</v>
      </c>
      <c r="D1138" s="18" t="n">
        <v>2014</v>
      </c>
      <c r="E1138" s="18" t="inlineStr">
        <is>
          <t>22 Jump Street</t>
        </is>
      </c>
      <c r="F1138" s="18" t="inlineStr">
        <is>
          <t>F0008</t>
        </is>
      </c>
    </row>
    <row r="1139" ht="15.75" customHeight="1" s="108">
      <c r="A1139" s="18" t="inlineStr">
        <is>
          <t>Tyler Forrest</t>
        </is>
      </c>
      <c r="B1139" s="18" t="n">
        <v>1</v>
      </c>
      <c r="C1139" s="18" t="n">
        <v>2014</v>
      </c>
      <c r="D1139" s="18" t="n">
        <v>2014</v>
      </c>
      <c r="E1139" s="18" t="inlineStr">
        <is>
          <t>22 Jump Street</t>
        </is>
      </c>
      <c r="F1139" s="18" t="inlineStr">
        <is>
          <t>F0008</t>
        </is>
      </c>
    </row>
    <row r="1140" ht="15.75" customHeight="1" s="108">
      <c r="A1140" s="18" t="inlineStr">
        <is>
          <t>John Bostic</t>
        </is>
      </c>
      <c r="B1140" s="18" t="n">
        <v>1</v>
      </c>
      <c r="C1140" s="18" t="n">
        <v>2014</v>
      </c>
      <c r="D1140" s="18" t="n">
        <v>2014</v>
      </c>
      <c r="E1140" s="18" t="inlineStr">
        <is>
          <t>22 Jump Street</t>
        </is>
      </c>
      <c r="F1140" s="18" t="inlineStr">
        <is>
          <t>F0008</t>
        </is>
      </c>
    </row>
    <row r="1141" ht="15.75" customHeight="1" s="108">
      <c r="A1141" s="18" t="inlineStr">
        <is>
          <t>Richard Grieco</t>
        </is>
      </c>
      <c r="B1141" s="18" t="n">
        <v>1</v>
      </c>
      <c r="C1141" s="18" t="n">
        <v>2014</v>
      </c>
      <c r="D1141" s="18" t="n">
        <v>2014</v>
      </c>
      <c r="E1141" s="18" t="inlineStr">
        <is>
          <t>22 Jump Street</t>
        </is>
      </c>
      <c r="F1141" s="18" t="inlineStr">
        <is>
          <t>F0008</t>
        </is>
      </c>
    </row>
    <row r="1142" ht="15.75" customHeight="1" s="108">
      <c r="A1142" s="18" t="inlineStr">
        <is>
          <t>Dustin Nguyen</t>
        </is>
      </c>
      <c r="B1142" s="18" t="n">
        <v>1</v>
      </c>
      <c r="C1142" s="18" t="n">
        <v>2014</v>
      </c>
      <c r="D1142" s="18" t="n">
        <v>2014</v>
      </c>
      <c r="E1142" s="18" t="inlineStr">
        <is>
          <t>22 Jump Street</t>
        </is>
      </c>
      <c r="F1142" s="18" t="inlineStr">
        <is>
          <t>F0008</t>
        </is>
      </c>
    </row>
    <row r="1143" ht="15.75" customHeight="1" s="108">
      <c r="A1143" s="18" t="inlineStr">
        <is>
          <t>Ian Hoch</t>
        </is>
      </c>
      <c r="B1143" s="18" t="n">
        <v>1</v>
      </c>
      <c r="C1143" s="18" t="n">
        <v>2014</v>
      </c>
      <c r="D1143" s="18" t="n">
        <v>2014</v>
      </c>
      <c r="E1143" s="18" t="inlineStr">
        <is>
          <t>22 Jump Street</t>
        </is>
      </c>
      <c r="F1143" s="18" t="inlineStr">
        <is>
          <t>F0008</t>
        </is>
      </c>
    </row>
    <row r="1144" ht="15.75" customHeight="1" s="108">
      <c r="A1144" s="18" t="inlineStr">
        <is>
          <t>Kate Adair</t>
        </is>
      </c>
      <c r="B1144" s="18" t="n">
        <v>1</v>
      </c>
      <c r="C1144" s="18" t="n">
        <v>2014</v>
      </c>
      <c r="D1144" s="18" t="n">
        <v>2014</v>
      </c>
      <c r="E1144" s="18" t="inlineStr">
        <is>
          <t>22 Jump Street</t>
        </is>
      </c>
      <c r="F1144" s="18" t="inlineStr">
        <is>
          <t>F0008</t>
        </is>
      </c>
    </row>
    <row r="1145" ht="15.75" customHeight="1" s="108">
      <c r="A1145" s="18" t="inlineStr">
        <is>
          <t>Drew Cross</t>
        </is>
      </c>
      <c r="B1145" s="18" t="n">
        <v>1</v>
      </c>
      <c r="C1145" s="18" t="n">
        <v>2014</v>
      </c>
      <c r="D1145" s="18" t="n">
        <v>2014</v>
      </c>
      <c r="E1145" s="18" t="inlineStr">
        <is>
          <t>22 Jump Street</t>
        </is>
      </c>
      <c r="F1145" s="18" t="inlineStr">
        <is>
          <t>F0008</t>
        </is>
      </c>
    </row>
    <row r="1146" ht="15.75" customHeight="1" s="108">
      <c r="A1146" s="18" t="inlineStr">
        <is>
          <t>Katrina Despain</t>
        </is>
      </c>
      <c r="B1146" s="18" t="n">
        <v>2</v>
      </c>
      <c r="C1146" s="18" t="n">
        <v>2012</v>
      </c>
      <c r="D1146" s="18" t="n">
        <v>2014</v>
      </c>
      <c r="E1146" s="18" t="inlineStr">
        <is>
          <t>22 Jump Street, Pitch Perfect</t>
        </is>
      </c>
      <c r="F1146" s="18" t="inlineStr">
        <is>
          <t>F0008, F0250</t>
        </is>
      </c>
    </row>
    <row r="1147" ht="15.75" customHeight="1" s="108">
      <c r="A1147" s="18" t="inlineStr">
        <is>
          <t>Oscar Gale</t>
        </is>
      </c>
      <c r="B1147" s="18" t="n">
        <v>1</v>
      </c>
      <c r="C1147" s="18" t="n">
        <v>2014</v>
      </c>
      <c r="D1147" s="18" t="n">
        <v>2014</v>
      </c>
      <c r="E1147" s="18" t="inlineStr">
        <is>
          <t>22 Jump Street</t>
        </is>
      </c>
      <c r="F1147" s="18" t="inlineStr">
        <is>
          <t>F0008</t>
        </is>
      </c>
    </row>
    <row r="1148" ht="15.75" customHeight="1" s="108">
      <c r="A1148" s="18" t="inlineStr">
        <is>
          <t>Bianca Kajlich</t>
        </is>
      </c>
      <c r="B1148" s="18" t="n">
        <v>1</v>
      </c>
      <c r="C1148" s="18" t="n">
        <v>2011</v>
      </c>
      <c r="D1148" s="18" t="n">
        <v>2011</v>
      </c>
      <c r="E1148" s="18" t="inlineStr">
        <is>
          <t>30 Minutes or Less</t>
        </is>
      </c>
      <c r="F1148" s="18" t="inlineStr">
        <is>
          <t>F0009</t>
        </is>
      </c>
    </row>
    <row r="1149" ht="15.75" customHeight="1" s="108">
      <c r="A1149" s="18" t="inlineStr">
        <is>
          <t>Fred Ward</t>
        </is>
      </c>
      <c r="B1149" s="18" t="n">
        <v>2</v>
      </c>
      <c r="C1149" s="18" t="n">
        <v>2011</v>
      </c>
      <c r="D1149" s="18" t="n">
        <v>2013</v>
      </c>
      <c r="E1149" s="18" t="inlineStr">
        <is>
          <t>30 Minutes or Less, 2 guns</t>
        </is>
      </c>
      <c r="F1149" s="18" t="inlineStr">
        <is>
          <t>F0009, F0355</t>
        </is>
      </c>
    </row>
    <row r="1150" ht="15.75" customHeight="1" s="108">
      <c r="A1150" s="18" t="inlineStr">
        <is>
          <t>Samuel Johnston</t>
        </is>
      </c>
      <c r="B1150" s="18" t="n">
        <v>1</v>
      </c>
      <c r="C1150" s="18" t="n">
        <v>2011</v>
      </c>
      <c r="D1150" s="18" t="n">
        <v>2011</v>
      </c>
      <c r="E1150" s="18" t="inlineStr">
        <is>
          <t>30 Minutes or Less</t>
        </is>
      </c>
      <c r="F1150" s="18" t="inlineStr">
        <is>
          <t>F0009</t>
        </is>
      </c>
    </row>
    <row r="1151" ht="15.75" customHeight="1" s="108">
      <c r="A1151" s="18" t="inlineStr">
        <is>
          <t>Jack Foley</t>
        </is>
      </c>
      <c r="B1151" s="18" t="n">
        <v>1</v>
      </c>
      <c r="C1151" s="18" t="n">
        <v>2011</v>
      </c>
      <c r="D1151" s="18" t="n">
        <v>2011</v>
      </c>
      <c r="E1151" s="18" t="inlineStr">
        <is>
          <t>30 Minutes or Less</t>
        </is>
      </c>
      <c r="F1151" s="18" t="inlineStr">
        <is>
          <t>F0009</t>
        </is>
      </c>
    </row>
    <row r="1152" ht="15.75" customHeight="1" s="108">
      <c r="A1152" s="18" t="inlineStr">
        <is>
          <t>Elizabeth Shapiro</t>
        </is>
      </c>
      <c r="B1152" s="18" t="n">
        <v>1</v>
      </c>
      <c r="C1152" s="18" t="n">
        <v>2011</v>
      </c>
      <c r="D1152" s="18" t="n">
        <v>2011</v>
      </c>
      <c r="E1152" s="18" t="inlineStr">
        <is>
          <t>30 Minutes or Less</t>
        </is>
      </c>
      <c r="F1152" s="18" t="inlineStr">
        <is>
          <t>F0009</t>
        </is>
      </c>
    </row>
    <row r="1153" ht="15.75" customHeight="1" s="108">
      <c r="A1153" s="18" t="inlineStr">
        <is>
          <t>Brett Gelman</t>
        </is>
      </c>
      <c r="B1153" s="18" t="n">
        <v>1</v>
      </c>
      <c r="C1153" s="18" t="n">
        <v>2011</v>
      </c>
      <c r="D1153" s="18" t="n">
        <v>2011</v>
      </c>
      <c r="E1153" s="18" t="inlineStr">
        <is>
          <t>30 Minutes or Less</t>
        </is>
      </c>
      <c r="F1153" s="18" t="inlineStr">
        <is>
          <t>F0009</t>
        </is>
      </c>
    </row>
    <row r="1154" ht="15.75" customHeight="1" s="108">
      <c r="A1154" s="18" t="inlineStr">
        <is>
          <t>Paul Tierney</t>
        </is>
      </c>
      <c r="B1154" s="18" t="n">
        <v>1</v>
      </c>
      <c r="C1154" s="18" t="n">
        <v>2011</v>
      </c>
      <c r="D1154" s="18" t="n">
        <v>2011</v>
      </c>
      <c r="E1154" s="18" t="inlineStr">
        <is>
          <t>30 Minutes or Less</t>
        </is>
      </c>
      <c r="F1154" s="18" t="inlineStr">
        <is>
          <t>F0009</t>
        </is>
      </c>
    </row>
    <row r="1155" ht="15.75" customHeight="1" s="108">
      <c r="A1155" s="18" t="inlineStr">
        <is>
          <t>Staci Lynn Fletcher</t>
        </is>
      </c>
      <c r="B1155" s="18" t="n">
        <v>1</v>
      </c>
      <c r="C1155" s="18" t="n">
        <v>2011</v>
      </c>
      <c r="D1155" s="18" t="n">
        <v>2011</v>
      </c>
      <c r="E1155" s="18" t="inlineStr">
        <is>
          <t>30 Minutes or Less</t>
        </is>
      </c>
      <c r="F1155" s="18" t="inlineStr">
        <is>
          <t>F0009</t>
        </is>
      </c>
    </row>
    <row r="1156" ht="15.75" customHeight="1" s="108">
      <c r="A1156" s="18" t="inlineStr">
        <is>
          <t>Gary Brichetto</t>
        </is>
      </c>
      <c r="B1156" s="18" t="n">
        <v>1</v>
      </c>
      <c r="C1156" s="18" t="n">
        <v>2011</v>
      </c>
      <c r="D1156" s="18" t="n">
        <v>2011</v>
      </c>
      <c r="E1156" s="18" t="inlineStr">
        <is>
          <t>30 Minutes or Less</t>
        </is>
      </c>
      <c r="F1156" s="18" t="inlineStr">
        <is>
          <t>F0009</t>
        </is>
      </c>
    </row>
    <row r="1157" ht="15.75" customHeight="1" s="108">
      <c r="A1157" s="18" t="inlineStr">
        <is>
          <t>Ilyssa Fradin</t>
        </is>
      </c>
      <c r="B1157" s="18" t="n">
        <v>1</v>
      </c>
      <c r="C1157" s="18" t="n">
        <v>2011</v>
      </c>
      <c r="D1157" s="18" t="n">
        <v>2011</v>
      </c>
      <c r="E1157" s="18" t="inlineStr">
        <is>
          <t>30 Minutes or Less</t>
        </is>
      </c>
      <c r="F1157" s="18" t="inlineStr">
        <is>
          <t>F0009</t>
        </is>
      </c>
    </row>
    <row r="1158" ht="15.75" customHeight="1" s="108">
      <c r="A1158" s="18" t="inlineStr">
        <is>
          <t>Grace Heemstra</t>
        </is>
      </c>
      <c r="B1158" s="18" t="n">
        <v>1</v>
      </c>
      <c r="C1158" s="18" t="n">
        <v>2011</v>
      </c>
      <c r="D1158" s="18" t="n">
        <v>2011</v>
      </c>
      <c r="E1158" s="18" t="inlineStr">
        <is>
          <t>30 Minutes or Less</t>
        </is>
      </c>
      <c r="F1158" s="18" t="inlineStr">
        <is>
          <t>F0009</t>
        </is>
      </c>
    </row>
    <row r="1159" ht="15.75" customHeight="1" s="108">
      <c r="A1159" s="18" t="inlineStr">
        <is>
          <t>Torey Adkins</t>
        </is>
      </c>
      <c r="B1159" s="18" t="n">
        <v>1</v>
      </c>
      <c r="C1159" s="18" t="n">
        <v>2011</v>
      </c>
      <c r="D1159" s="18" t="n">
        <v>2011</v>
      </c>
      <c r="E1159" s="18" t="inlineStr">
        <is>
          <t>30 Minutes or Less</t>
        </is>
      </c>
      <c r="F1159" s="18" t="inlineStr">
        <is>
          <t>F0009</t>
        </is>
      </c>
    </row>
    <row r="1160" ht="15.75" customHeight="1" s="108">
      <c r="A1160" s="18" t="inlineStr">
        <is>
          <t>Rebecca Cox</t>
        </is>
      </c>
      <c r="B1160" s="18" t="n">
        <v>1</v>
      </c>
      <c r="C1160" s="18" t="n">
        <v>2011</v>
      </c>
      <c r="D1160" s="18" t="n">
        <v>2011</v>
      </c>
      <c r="E1160" s="18" t="inlineStr">
        <is>
          <t>30 Minutes or Less</t>
        </is>
      </c>
      <c r="F1160" s="18" t="inlineStr">
        <is>
          <t>F0009</t>
        </is>
      </c>
    </row>
    <row r="1161" ht="15.75" customHeight="1" s="108">
      <c r="A1161" s="18" t="inlineStr">
        <is>
          <t>Rick Irwin</t>
        </is>
      </c>
      <c r="B1161" s="18" t="n">
        <v>1</v>
      </c>
      <c r="C1161" s="18" t="n">
        <v>2011</v>
      </c>
      <c r="D1161" s="18" t="n">
        <v>2011</v>
      </c>
      <c r="E1161" s="18" t="inlineStr">
        <is>
          <t>30 Minutes or Less</t>
        </is>
      </c>
      <c r="F1161" s="18" t="inlineStr">
        <is>
          <t>F0009</t>
        </is>
      </c>
    </row>
    <row r="1162" ht="15.75" customHeight="1" s="108">
      <c r="A1162" s="18" t="inlineStr">
        <is>
          <t>Sam Tedesco</t>
        </is>
      </c>
      <c r="B1162" s="18" t="n">
        <v>1</v>
      </c>
      <c r="C1162" s="18" t="n">
        <v>2011</v>
      </c>
      <c r="D1162" s="18" t="n">
        <v>2011</v>
      </c>
      <c r="E1162" s="18" t="inlineStr">
        <is>
          <t>30 Minutes or Less</t>
        </is>
      </c>
      <c r="F1162" s="18" t="inlineStr">
        <is>
          <t>F0009</t>
        </is>
      </c>
    </row>
    <row r="1163" ht="15.75" customHeight="1" s="108">
      <c r="A1163" s="18" t="inlineStr">
        <is>
          <t>Wayne Bibbs</t>
        </is>
      </c>
      <c r="B1163" s="18" t="n">
        <v>1</v>
      </c>
      <c r="C1163" s="18" t="n">
        <v>2011</v>
      </c>
      <c r="D1163" s="18" t="n">
        <v>2011</v>
      </c>
      <c r="E1163" s="18" t="inlineStr">
        <is>
          <t>30 Minutes or Less</t>
        </is>
      </c>
      <c r="F1163" s="18" t="inlineStr">
        <is>
          <t>F0009</t>
        </is>
      </c>
    </row>
    <row r="1164" ht="15.75" customHeight="1" s="108">
      <c r="A1164" s="18" t="inlineStr">
        <is>
          <t>Jamaal Hines</t>
        </is>
      </c>
      <c r="B1164" s="18" t="n">
        <v>1</v>
      </c>
      <c r="C1164" s="18" t="n">
        <v>2011</v>
      </c>
      <c r="D1164" s="18" t="n">
        <v>2011</v>
      </c>
      <c r="E1164" s="18" t="inlineStr">
        <is>
          <t>30 Minutes or Less</t>
        </is>
      </c>
      <c r="F1164" s="18" t="inlineStr">
        <is>
          <t>F0009</t>
        </is>
      </c>
    </row>
    <row r="1165" ht="15.75" customHeight="1" s="108">
      <c r="A1165" s="18" t="inlineStr">
        <is>
          <t>Joseph Lyman</t>
        </is>
      </c>
      <c r="B1165" s="18" t="n">
        <v>1</v>
      </c>
      <c r="C1165" s="18" t="n">
        <v>2011</v>
      </c>
      <c r="D1165" s="18" t="n">
        <v>2011</v>
      </c>
      <c r="E1165" s="18" t="inlineStr">
        <is>
          <t>30 Minutes or Less</t>
        </is>
      </c>
      <c r="F1165" s="18" t="inlineStr">
        <is>
          <t>F0009</t>
        </is>
      </c>
    </row>
    <row r="1166" ht="15.75" customHeight="1" s="108">
      <c r="A1166" s="18" t="inlineStr">
        <is>
          <t>David Fleischer</t>
        </is>
      </c>
      <c r="B1166" s="18" t="n">
        <v>1</v>
      </c>
      <c r="C1166" s="18" t="n">
        <v>2011</v>
      </c>
      <c r="D1166" s="18" t="n">
        <v>2011</v>
      </c>
      <c r="E1166" s="18" t="inlineStr">
        <is>
          <t>30 Minutes or Less</t>
        </is>
      </c>
      <c r="F1166" s="18" t="inlineStr">
        <is>
          <t>F0009</t>
        </is>
      </c>
    </row>
    <row r="1167" ht="15.75" customHeight="1" s="108">
      <c r="A1167" s="18" t="inlineStr">
        <is>
          <t>Lucas Fleischer</t>
        </is>
      </c>
      <c r="B1167" s="18" t="n">
        <v>1</v>
      </c>
      <c r="C1167" s="18" t="n">
        <v>2011</v>
      </c>
      <c r="D1167" s="18" t="n">
        <v>2011</v>
      </c>
      <c r="E1167" s="18" t="inlineStr">
        <is>
          <t>30 Minutes or Less</t>
        </is>
      </c>
      <c r="F1167" s="18" t="inlineStr">
        <is>
          <t>F0009</t>
        </is>
      </c>
    </row>
    <row r="1168" ht="15.75" customHeight="1" s="108">
      <c r="A1168" s="18" t="inlineStr">
        <is>
          <t>Matthew Sullivan</t>
        </is>
      </c>
      <c r="B1168" s="18" t="n">
        <v>1</v>
      </c>
      <c r="C1168" s="18" t="n">
        <v>2011</v>
      </c>
      <c r="D1168" s="18" t="n">
        <v>2011</v>
      </c>
      <c r="E1168" s="18" t="inlineStr">
        <is>
          <t>30 Minutes or Less</t>
        </is>
      </c>
      <c r="F1168" s="18" t="inlineStr">
        <is>
          <t>F0009</t>
        </is>
      </c>
    </row>
    <row r="1169" ht="15.75" customHeight="1" s="108">
      <c r="A1169" s="18" t="inlineStr">
        <is>
          <t>Angelique Sky</t>
        </is>
      </c>
      <c r="B1169" s="18" t="n">
        <v>1</v>
      </c>
      <c r="C1169" s="18" t="n">
        <v>2011</v>
      </c>
      <c r="D1169" s="18" t="n">
        <v>2011</v>
      </c>
      <c r="E1169" s="18" t="inlineStr">
        <is>
          <t>30 Minutes or Less</t>
        </is>
      </c>
      <c r="F1169" s="18" t="inlineStr">
        <is>
          <t>F0009</t>
        </is>
      </c>
    </row>
    <row r="1170" ht="15.75" customHeight="1" s="108">
      <c r="A1170" s="18" t="inlineStr">
        <is>
          <t>Melvil Poupaud</t>
        </is>
      </c>
      <c r="B1170" s="18" t="n">
        <v>1</v>
      </c>
      <c r="C1170" s="18" t="n">
        <v>2009</v>
      </c>
      <c r="D1170" s="18" t="n">
        <v>2009</v>
      </c>
      <c r="E1170" s="18" t="inlineStr">
        <is>
          <t>44 Inch Chest</t>
        </is>
      </c>
      <c r="F1170" s="18" t="inlineStr">
        <is>
          <t>F0010</t>
        </is>
      </c>
    </row>
    <row r="1171" ht="15.75" customHeight="1" s="108">
      <c r="A1171" s="18" t="inlineStr">
        <is>
          <t>Steven Berkoff</t>
        </is>
      </c>
      <c r="B1171" s="18" t="n">
        <v>2</v>
      </c>
      <c r="C1171" s="18" t="n">
        <v>2009</v>
      </c>
      <c r="D1171" s="18" t="n">
        <v>2011</v>
      </c>
      <c r="E1171" s="18" t="inlineStr">
        <is>
          <t>44 Inch Chest, The Girl with the Dragon Tattoo</t>
        </is>
      </c>
      <c r="F1171" s="18" t="inlineStr">
        <is>
          <t>F0010, F0120</t>
        </is>
      </c>
    </row>
    <row r="1172" ht="15.75" customHeight="1" s="108">
      <c r="A1172" s="18" t="inlineStr">
        <is>
          <t>Derek Lea</t>
        </is>
      </c>
      <c r="B1172" s="18" t="n">
        <v>1</v>
      </c>
      <c r="C1172" s="18" t="n">
        <v>2009</v>
      </c>
      <c r="D1172" s="18" t="n">
        <v>2009</v>
      </c>
      <c r="E1172" s="18" t="inlineStr">
        <is>
          <t>44 Inch Chest</t>
        </is>
      </c>
      <c r="F1172" s="18" t="inlineStr">
        <is>
          <t>F0010</t>
        </is>
      </c>
    </row>
    <row r="1173" ht="15.75" customHeight="1" s="108">
      <c r="A1173" s="18" t="inlineStr">
        <is>
          <t>Andy de la Tour</t>
        </is>
      </c>
      <c r="B1173" s="18" t="n">
        <v>1</v>
      </c>
      <c r="C1173" s="18" t="n">
        <v>2009</v>
      </c>
      <c r="D1173" s="18" t="n">
        <v>2009</v>
      </c>
      <c r="E1173" s="18" t="inlineStr">
        <is>
          <t>44 Inch Chest</t>
        </is>
      </c>
      <c r="F1173" s="18" t="inlineStr">
        <is>
          <t>F0010</t>
        </is>
      </c>
    </row>
    <row r="1174" ht="15.75" customHeight="1" s="108">
      <c r="A1174" s="18" t="inlineStr">
        <is>
          <t>Stephen Dillane</t>
        </is>
      </c>
      <c r="B1174" s="18" t="n">
        <v>2</v>
      </c>
      <c r="C1174" s="18" t="n">
        <v>2009</v>
      </c>
      <c r="D1174" s="18" t="n">
        <v>2012</v>
      </c>
      <c r="E1174" s="18" t="inlineStr">
        <is>
          <t>44 Inch Chest, Zero Dark Thirty</t>
        </is>
      </c>
      <c r="F1174" s="18" t="inlineStr">
        <is>
          <t>F0010, F0349</t>
        </is>
      </c>
    </row>
    <row r="1175" ht="15.75" customHeight="1" s="108">
      <c r="A1175" s="18" t="inlineStr">
        <is>
          <t>Edna Doré</t>
        </is>
      </c>
      <c r="B1175" s="18" t="n">
        <v>1</v>
      </c>
      <c r="C1175" s="18" t="n">
        <v>2009</v>
      </c>
      <c r="D1175" s="18" t="n">
        <v>2009</v>
      </c>
      <c r="E1175" s="18" t="inlineStr">
        <is>
          <t>44 Inch Chest</t>
        </is>
      </c>
      <c r="F1175" s="18" t="inlineStr">
        <is>
          <t>F0010</t>
        </is>
      </c>
    </row>
    <row r="1176" ht="15.75" customHeight="1" s="108">
      <c r="A1176" s="18" t="inlineStr">
        <is>
          <t>Anjelica Huston</t>
        </is>
      </c>
      <c r="B1176" s="18" t="n">
        <v>2</v>
      </c>
      <c r="C1176" s="18" t="n">
        <v>2011</v>
      </c>
      <c r="D1176" s="18" t="n">
        <v>2019</v>
      </c>
      <c r="E1176" s="18" t="inlineStr">
        <is>
          <t>50/50, John wick chapter 3</t>
        </is>
      </c>
      <c r="F1176" s="18" t="inlineStr">
        <is>
          <t>F0011, F0391</t>
        </is>
      </c>
    </row>
    <row r="1177" ht="15.75" customHeight="1" s="108">
      <c r="A1177" s="18" t="inlineStr">
        <is>
          <t>Serge Houde</t>
        </is>
      </c>
      <c r="B1177" s="18" t="n">
        <v>1</v>
      </c>
      <c r="C1177" s="18" t="n">
        <v>2011</v>
      </c>
      <c r="D1177" s="18" t="n">
        <v>2011</v>
      </c>
      <c r="E1177" s="18" t="inlineStr">
        <is>
          <t>50/50</t>
        </is>
      </c>
      <c r="F1177" s="18" t="inlineStr">
        <is>
          <t>F0011</t>
        </is>
      </c>
    </row>
    <row r="1178" ht="15.75" customHeight="1" s="108">
      <c r="A1178" s="18" t="inlineStr">
        <is>
          <t>Matt Frewer</t>
        </is>
      </c>
      <c r="B1178" s="18" t="n">
        <v>3</v>
      </c>
      <c r="C1178" s="18" t="n">
        <v>2011</v>
      </c>
      <c r="D1178" s="18" t="n">
        <v>2016</v>
      </c>
      <c r="E1178" s="18" t="inlineStr">
        <is>
          <t>50/50, The BFG, Hercules</t>
        </is>
      </c>
      <c r="F1178" s="18" t="inlineStr">
        <is>
          <t>F0011, F0047, F0147</t>
        </is>
      </c>
    </row>
    <row r="1179" ht="15.75" customHeight="1" s="108">
      <c r="A1179" s="18" t="inlineStr">
        <is>
          <t>Andrew Airlie</t>
        </is>
      </c>
      <c r="B1179" s="18" t="n">
        <v>1</v>
      </c>
      <c r="C1179" s="18" t="n">
        <v>2011</v>
      </c>
      <c r="D1179" s="18" t="n">
        <v>2011</v>
      </c>
      <c r="E1179" s="18" t="inlineStr">
        <is>
          <t>50/50</t>
        </is>
      </c>
      <c r="F1179" s="18" t="inlineStr">
        <is>
          <t>F0011</t>
        </is>
      </c>
    </row>
    <row r="1180" ht="15.75" customHeight="1" s="108">
      <c r="A1180" s="18" t="inlineStr">
        <is>
          <t>Peter Kelamis</t>
        </is>
      </c>
      <c r="B1180" s="18" t="n">
        <v>1</v>
      </c>
      <c r="C1180" s="18" t="n">
        <v>2011</v>
      </c>
      <c r="D1180" s="18" t="n">
        <v>2011</v>
      </c>
      <c r="E1180" s="18" t="inlineStr">
        <is>
          <t>50/50</t>
        </is>
      </c>
      <c r="F1180" s="18" t="inlineStr">
        <is>
          <t>F0011</t>
        </is>
      </c>
    </row>
    <row r="1181" ht="15.75" customHeight="1" s="108">
      <c r="A1181" s="18" t="inlineStr">
        <is>
          <t>Jessica Parker Kennedy</t>
        </is>
      </c>
      <c r="B1181" s="18" t="n">
        <v>1</v>
      </c>
      <c r="C1181" s="18" t="n">
        <v>2011</v>
      </c>
      <c r="D1181" s="18" t="n">
        <v>2011</v>
      </c>
      <c r="E1181" s="18" t="inlineStr">
        <is>
          <t>50/50</t>
        </is>
      </c>
      <c r="F1181" s="18" t="inlineStr">
        <is>
          <t>F0011</t>
        </is>
      </c>
    </row>
    <row r="1182" ht="15.75" customHeight="1" s="108">
      <c r="A1182" s="18" t="inlineStr">
        <is>
          <t>Sugar Lyn Beard</t>
        </is>
      </c>
      <c r="B1182" s="18" t="n">
        <v>1</v>
      </c>
      <c r="C1182" s="18" t="n">
        <v>2011</v>
      </c>
      <c r="D1182" s="18" t="n">
        <v>2011</v>
      </c>
      <c r="E1182" s="18" t="inlineStr">
        <is>
          <t>50/50</t>
        </is>
      </c>
      <c r="F1182" s="18" t="inlineStr">
        <is>
          <t>F0011</t>
        </is>
      </c>
    </row>
    <row r="1183" ht="15.75" customHeight="1" s="108">
      <c r="A1183" s="18" t="inlineStr">
        <is>
          <t>Donna Yamamoto</t>
        </is>
      </c>
      <c r="B1183" s="18" t="n">
        <v>2</v>
      </c>
      <c r="C1183" s="18" t="n">
        <v>2011</v>
      </c>
      <c r="D1183" s="18" t="n">
        <v>2016</v>
      </c>
      <c r="E1183" s="18" t="inlineStr">
        <is>
          <t>50/50, Deadpool</t>
        </is>
      </c>
      <c r="F1183" s="18" t="inlineStr">
        <is>
          <t>F0011, F0076</t>
        </is>
      </c>
    </row>
    <row r="1184" ht="15.75" customHeight="1" s="108">
      <c r="A1184" s="18" t="inlineStr">
        <is>
          <t>Yee Jee Tso</t>
        </is>
      </c>
      <c r="B1184" s="18" t="n">
        <v>1</v>
      </c>
      <c r="C1184" s="18" t="n">
        <v>2011</v>
      </c>
      <c r="D1184" s="18" t="n">
        <v>2011</v>
      </c>
      <c r="E1184" s="18" t="inlineStr">
        <is>
          <t>50/50</t>
        </is>
      </c>
      <c r="F1184" s="18" t="inlineStr">
        <is>
          <t>F0011</t>
        </is>
      </c>
    </row>
    <row r="1185" ht="15.75" customHeight="1" s="108">
      <c r="A1185" s="18" t="inlineStr">
        <is>
          <t>Sarah Smyth</t>
        </is>
      </c>
      <c r="B1185" s="18" t="n">
        <v>1</v>
      </c>
      <c r="C1185" s="18" t="n">
        <v>2011</v>
      </c>
      <c r="D1185" s="18" t="n">
        <v>2011</v>
      </c>
      <c r="E1185" s="18" t="inlineStr">
        <is>
          <t>50/50</t>
        </is>
      </c>
      <c r="F1185" s="18" t="inlineStr">
        <is>
          <t>F0011</t>
        </is>
      </c>
    </row>
    <row r="1186" ht="15.75" customHeight="1" s="108">
      <c r="A1186" s="18" t="inlineStr">
        <is>
          <t>Daniel Bacon</t>
        </is>
      </c>
      <c r="B1186" s="18" t="n">
        <v>2</v>
      </c>
      <c r="C1186" s="18" t="n">
        <v>2011</v>
      </c>
      <c r="D1186" s="18" t="n">
        <v>2016</v>
      </c>
      <c r="E1186" s="18" t="inlineStr">
        <is>
          <t>50/50, The BFG</t>
        </is>
      </c>
      <c r="F1186" s="18" t="inlineStr">
        <is>
          <t>F0011, F0047</t>
        </is>
      </c>
    </row>
    <row r="1187" ht="15.75" customHeight="1" s="108">
      <c r="A1187" s="18" t="inlineStr">
        <is>
          <t>P. Lynn Johnson</t>
        </is>
      </c>
      <c r="B1187" s="18" t="n">
        <v>1</v>
      </c>
      <c r="C1187" s="18" t="n">
        <v>2011</v>
      </c>
      <c r="D1187" s="18" t="n">
        <v>2011</v>
      </c>
      <c r="E1187" s="18" t="inlineStr">
        <is>
          <t>50/50</t>
        </is>
      </c>
      <c r="F1187" s="18" t="inlineStr">
        <is>
          <t>F0011</t>
        </is>
      </c>
    </row>
    <row r="1188" ht="15.75" customHeight="1" s="108">
      <c r="A1188" s="18" t="inlineStr">
        <is>
          <t>Laura Bertram</t>
        </is>
      </c>
      <c r="B1188" s="18" t="n">
        <v>1</v>
      </c>
      <c r="C1188" s="18" t="n">
        <v>2011</v>
      </c>
      <c r="D1188" s="18" t="n">
        <v>2011</v>
      </c>
      <c r="E1188" s="18" t="inlineStr">
        <is>
          <t>50/50</t>
        </is>
      </c>
      <c r="F1188" s="18" t="inlineStr">
        <is>
          <t>F0011</t>
        </is>
      </c>
    </row>
    <row r="1189" ht="15.75" customHeight="1" s="108">
      <c r="A1189" s="18" t="inlineStr">
        <is>
          <t>Matty Finochio</t>
        </is>
      </c>
      <c r="B1189" s="18" t="n">
        <v>1</v>
      </c>
      <c r="C1189" s="18" t="n">
        <v>2011</v>
      </c>
      <c r="D1189" s="18" t="n">
        <v>2011</v>
      </c>
      <c r="E1189" s="18" t="inlineStr">
        <is>
          <t>50/50</t>
        </is>
      </c>
      <c r="F1189" s="18" t="inlineStr">
        <is>
          <t>F0011</t>
        </is>
      </c>
    </row>
    <row r="1190" ht="15.75" customHeight="1" s="108">
      <c r="A1190" s="18" t="inlineStr">
        <is>
          <t>Marie Avgeropoulos</t>
        </is>
      </c>
      <c r="B1190" s="18" t="n">
        <v>1</v>
      </c>
      <c r="C1190" s="18" t="n">
        <v>2011</v>
      </c>
      <c r="D1190" s="18" t="n">
        <v>2011</v>
      </c>
      <c r="E1190" s="18" t="inlineStr">
        <is>
          <t>50/50</t>
        </is>
      </c>
      <c r="F1190" s="18" t="inlineStr">
        <is>
          <t>F0011</t>
        </is>
      </c>
    </row>
    <row r="1191" ht="15.75" customHeight="1" s="108">
      <c r="A1191" s="18" t="inlineStr">
        <is>
          <t>Luisa d'Oliveira</t>
        </is>
      </c>
      <c r="B1191" s="18" t="n">
        <v>1</v>
      </c>
      <c r="C1191" s="18" t="n">
        <v>2011</v>
      </c>
      <c r="D1191" s="18" t="n">
        <v>2011</v>
      </c>
      <c r="E1191" s="18" t="inlineStr">
        <is>
          <t>50/50</t>
        </is>
      </c>
      <c r="F1191" s="18" t="inlineStr">
        <is>
          <t>F0011</t>
        </is>
      </c>
    </row>
    <row r="1192" ht="15.75" customHeight="1" s="108">
      <c r="A1192" s="18" t="inlineStr">
        <is>
          <t>Veena Sood</t>
        </is>
      </c>
      <c r="B1192" s="18" t="n">
        <v>1</v>
      </c>
      <c r="C1192" s="18" t="n">
        <v>2011</v>
      </c>
      <c r="D1192" s="18" t="n">
        <v>2011</v>
      </c>
      <c r="E1192" s="18" t="inlineStr">
        <is>
          <t>50/50</t>
        </is>
      </c>
      <c r="F1192" s="18" t="inlineStr">
        <is>
          <t>F0011</t>
        </is>
      </c>
    </row>
    <row r="1193" ht="15.75" customHeight="1" s="108">
      <c r="A1193" s="18" t="inlineStr">
        <is>
          <t>Andrea Brooks</t>
        </is>
      </c>
      <c r="B1193" s="18" t="n">
        <v>1</v>
      </c>
      <c r="C1193" s="18" t="n">
        <v>2011</v>
      </c>
      <c r="D1193" s="18" t="n">
        <v>2011</v>
      </c>
      <c r="E1193" s="18" t="inlineStr">
        <is>
          <t>50/50</t>
        </is>
      </c>
      <c r="F1193" s="18" t="inlineStr">
        <is>
          <t>F0011</t>
        </is>
      </c>
    </row>
    <row r="1194" ht="15.75" customHeight="1" s="108">
      <c r="A1194" s="18" t="inlineStr">
        <is>
          <t>Beatrice King</t>
        </is>
      </c>
      <c r="B1194" s="18" t="n">
        <v>1</v>
      </c>
      <c r="C1194" s="18" t="n">
        <v>2011</v>
      </c>
      <c r="D1194" s="18" t="n">
        <v>2011</v>
      </c>
      <c r="E1194" s="18" t="inlineStr">
        <is>
          <t>50/50</t>
        </is>
      </c>
      <c r="F1194" s="18" t="inlineStr">
        <is>
          <t>F0011</t>
        </is>
      </c>
    </row>
    <row r="1195" ht="15.75" customHeight="1" s="108">
      <c r="A1195" s="18" t="inlineStr">
        <is>
          <t>Chilton Crane</t>
        </is>
      </c>
      <c r="B1195" s="18" t="n">
        <v>1</v>
      </c>
      <c r="C1195" s="18" t="n">
        <v>2011</v>
      </c>
      <c r="D1195" s="18" t="n">
        <v>2011</v>
      </c>
      <c r="E1195" s="18" t="inlineStr">
        <is>
          <t>50/50</t>
        </is>
      </c>
      <c r="F1195" s="18" t="inlineStr">
        <is>
          <t>F0011</t>
        </is>
      </c>
    </row>
    <row r="1196" ht="15.75" customHeight="1" s="108">
      <c r="A1196" s="18" t="inlineStr">
        <is>
          <t>Lauren Miller Rogen</t>
        </is>
      </c>
      <c r="B1196" s="18" t="n">
        <v>1</v>
      </c>
      <c r="C1196" s="18" t="n">
        <v>2011</v>
      </c>
      <c r="D1196" s="18" t="n">
        <v>2011</v>
      </c>
      <c r="E1196" s="18" t="inlineStr">
        <is>
          <t>50/50</t>
        </is>
      </c>
      <c r="F1196" s="18" t="inlineStr">
        <is>
          <t>F0011</t>
        </is>
      </c>
    </row>
    <row r="1197" ht="15.75" customHeight="1" s="108">
      <c r="A1197" s="18" t="inlineStr">
        <is>
          <t>Jason Vaisvila</t>
        </is>
      </c>
      <c r="B1197" s="18" t="n">
        <v>1</v>
      </c>
      <c r="C1197" s="18" t="n">
        <v>2011</v>
      </c>
      <c r="D1197" s="18" t="n">
        <v>2011</v>
      </c>
      <c r="E1197" s="18" t="inlineStr">
        <is>
          <t>50/50</t>
        </is>
      </c>
      <c r="F1197" s="18" t="inlineStr">
        <is>
          <t>F0011</t>
        </is>
      </c>
    </row>
    <row r="1198" ht="15.75" customHeight="1" s="108">
      <c r="A1198" s="18" t="inlineStr">
        <is>
          <t>Brent Sheppard</t>
        </is>
      </c>
      <c r="B1198" s="18" t="n">
        <v>1</v>
      </c>
      <c r="C1198" s="18" t="n">
        <v>2011</v>
      </c>
      <c r="D1198" s="18" t="n">
        <v>2011</v>
      </c>
      <c r="E1198" s="18" t="inlineStr">
        <is>
          <t>50/50</t>
        </is>
      </c>
      <c r="F1198" s="18" t="inlineStr">
        <is>
          <t>F0011</t>
        </is>
      </c>
    </row>
    <row r="1199" ht="15.75" customHeight="1" s="108">
      <c r="A1199" s="18" t="inlineStr">
        <is>
          <t>Stephanie Belding</t>
        </is>
      </c>
      <c r="B1199" s="18" t="n">
        <v>1</v>
      </c>
      <c r="C1199" s="18" t="n">
        <v>2011</v>
      </c>
      <c r="D1199" s="18" t="n">
        <v>2011</v>
      </c>
      <c r="E1199" s="18" t="inlineStr">
        <is>
          <t>50/50</t>
        </is>
      </c>
      <c r="F1199" s="18" t="inlineStr">
        <is>
          <t>F0011</t>
        </is>
      </c>
    </row>
    <row r="1200" ht="15.75" customHeight="1" s="108">
      <c r="A1200" s="18" t="inlineStr">
        <is>
          <t>Ryan W. Smith</t>
        </is>
      </c>
      <c r="B1200" s="18" t="n">
        <v>1</v>
      </c>
      <c r="C1200" s="18" t="n">
        <v>2011</v>
      </c>
      <c r="D1200" s="18" t="n">
        <v>2011</v>
      </c>
      <c r="E1200" s="18" t="inlineStr">
        <is>
          <t>50/50</t>
        </is>
      </c>
      <c r="F1200" s="18" t="inlineStr">
        <is>
          <t>F0011</t>
        </is>
      </c>
    </row>
    <row r="1201" ht="15.75" customHeight="1" s="108">
      <c r="A1201" s="18" t="inlineStr">
        <is>
          <t>David Hyde Pierce</t>
        </is>
      </c>
      <c r="B1201" s="18" t="n">
        <v>1</v>
      </c>
      <c r="C1201" s="18" t="n">
        <v>1998</v>
      </c>
      <c r="D1201" s="18" t="n">
        <v>1998</v>
      </c>
      <c r="E1201" s="18" t="inlineStr">
        <is>
          <t>A Bug's Life</t>
        </is>
      </c>
      <c r="F1201" s="18" t="inlineStr">
        <is>
          <t>F0012</t>
        </is>
      </c>
    </row>
    <row r="1202" ht="15.75" customHeight="1" s="108">
      <c r="A1202" s="18" t="inlineStr">
        <is>
          <t>Joe Ranft</t>
        </is>
      </c>
      <c r="B1202" s="18" t="n">
        <v>4</v>
      </c>
      <c r="C1202" s="18" t="n">
        <v>1998</v>
      </c>
      <c r="D1202" s="18" t="n">
        <v>2003</v>
      </c>
      <c r="E1202" s="18" t="inlineStr">
        <is>
          <t>A Bug's Life, Toy Story 2, finding nemo,  finding nemo</t>
        </is>
      </c>
      <c r="F1202" s="18" t="inlineStr">
        <is>
          <t>F0012, F0313, F0369</t>
        </is>
      </c>
    </row>
    <row r="1203" ht="15.75" customHeight="1" s="108">
      <c r="A1203" s="18" t="inlineStr">
        <is>
          <t>Jonathan Harris</t>
        </is>
      </c>
      <c r="B1203" s="18" t="n">
        <v>2</v>
      </c>
      <c r="C1203" s="18" t="n">
        <v>1998</v>
      </c>
      <c r="D1203" s="18" t="n">
        <v>1999</v>
      </c>
      <c r="E1203" s="18" t="inlineStr">
        <is>
          <t>A Bug's Life, Toy Story 2</t>
        </is>
      </c>
      <c r="F1203" s="18" t="inlineStr">
        <is>
          <t>F0012, F0313</t>
        </is>
      </c>
    </row>
    <row r="1204" ht="15.75" customHeight="1" s="108">
      <c r="A1204" s="18" t="inlineStr">
        <is>
          <t>Madeline Kahn</t>
        </is>
      </c>
      <c r="B1204" s="18" t="n">
        <v>1</v>
      </c>
      <c r="C1204" s="18" t="n">
        <v>1998</v>
      </c>
      <c r="D1204" s="18" t="n">
        <v>1998</v>
      </c>
      <c r="E1204" s="18" t="inlineStr">
        <is>
          <t>A Bug's Life</t>
        </is>
      </c>
      <c r="F1204" s="18" t="inlineStr">
        <is>
          <t>F0012</t>
        </is>
      </c>
    </row>
    <row r="1205" ht="15.75" customHeight="1" s="108">
      <c r="A1205" s="18" t="inlineStr">
        <is>
          <t>Bonnie Hunt</t>
        </is>
      </c>
      <c r="B1205" s="18" t="n">
        <v>8</v>
      </c>
      <c r="C1205" s="18" t="n">
        <v>1998</v>
      </c>
      <c r="D1205" s="18" t="n">
        <v>2019</v>
      </c>
      <c r="E1205" s="18" t="inlineStr">
        <is>
          <t>A Bug's Life, Monsters, Inc., Monsters University, Toy Story 3, Toy Story 4, Monsters, Inc., Monsters, Inc., Monsters, Inc.</t>
        </is>
      </c>
      <c r="F1205" s="18" t="inlineStr">
        <is>
          <t>F0012, F0229, F0230, F0314, F0315</t>
        </is>
      </c>
    </row>
    <row r="1206" ht="15.75" customHeight="1" s="108">
      <c r="A1206" s="18" t="inlineStr">
        <is>
          <t>Michael McShane</t>
        </is>
      </c>
      <c r="B1206" s="18" t="n">
        <v>1</v>
      </c>
      <c r="C1206" s="18" t="n">
        <v>1998</v>
      </c>
      <c r="D1206" s="18" t="n">
        <v>1998</v>
      </c>
      <c r="E1206" s="18" t="inlineStr">
        <is>
          <t>A Bug's Life</t>
        </is>
      </c>
      <c r="F1206" s="18" t="inlineStr">
        <is>
          <t>F0012</t>
        </is>
      </c>
    </row>
    <row r="1207" ht="15.75" customHeight="1" s="108">
      <c r="A1207" s="18" t="inlineStr">
        <is>
          <t>Brad Garrett</t>
        </is>
      </c>
      <c r="B1207" s="18" t="n">
        <v>4</v>
      </c>
      <c r="C1207" s="18" t="n">
        <v>1998</v>
      </c>
      <c r="D1207" s="18" t="n">
        <v>2016</v>
      </c>
      <c r="E1207" s="18" t="inlineStr">
        <is>
          <t>A Bug's Life, Finding Dory, finding nemo,  finding nemo</t>
        </is>
      </c>
      <c r="F1207" s="18" t="inlineStr">
        <is>
          <t>F0012, F0113, F0369</t>
        </is>
      </c>
    </row>
    <row r="1208" ht="15.75" customHeight="1" s="108">
      <c r="A1208" s="18" t="inlineStr">
        <is>
          <t>Roddy McDowall</t>
        </is>
      </c>
      <c r="B1208" s="18" t="n">
        <v>1</v>
      </c>
      <c r="C1208" s="18" t="n">
        <v>1998</v>
      </c>
      <c r="D1208" s="18" t="n">
        <v>1998</v>
      </c>
      <c r="E1208" s="18" t="inlineStr">
        <is>
          <t>A Bug's Life</t>
        </is>
      </c>
      <c r="F1208" s="18" t="inlineStr">
        <is>
          <t>F0012</t>
        </is>
      </c>
    </row>
    <row r="1209" ht="15.75" customHeight="1" s="108">
      <c r="A1209" s="18" t="inlineStr">
        <is>
          <t>Edie McClurg</t>
        </is>
      </c>
      <c r="B1209" s="18" t="n">
        <v>3</v>
      </c>
      <c r="C1209" s="18" t="n">
        <v>1998</v>
      </c>
      <c r="D1209" s="18" t="n">
        <v>2013</v>
      </c>
      <c r="E1209" s="18" t="inlineStr">
        <is>
          <t>A Bug's Life, Frozen, Wreck-It Ralph</t>
        </is>
      </c>
      <c r="F1209" s="18" t="inlineStr">
        <is>
          <t>F0012, F0116, F0336</t>
        </is>
      </c>
    </row>
    <row r="1210" ht="15.75" customHeight="1" s="108">
      <c r="A1210" s="18" t="inlineStr">
        <is>
          <t>Alex Rocco</t>
        </is>
      </c>
      <c r="B1210" s="18" t="n">
        <v>1</v>
      </c>
      <c r="C1210" s="18" t="n">
        <v>1998</v>
      </c>
      <c r="D1210" s="18" t="n">
        <v>1998</v>
      </c>
      <c r="E1210" s="18" t="inlineStr">
        <is>
          <t>A Bug's Life</t>
        </is>
      </c>
      <c r="F1210" s="18" t="inlineStr">
        <is>
          <t>F0012</t>
        </is>
      </c>
    </row>
    <row r="1211" ht="15.75" customHeight="1" s="108">
      <c r="A1211" s="18" t="inlineStr">
        <is>
          <t>David Ossman</t>
        </is>
      </c>
      <c r="B1211" s="18" t="n">
        <v>1</v>
      </c>
      <c r="C1211" s="18" t="n">
        <v>1998</v>
      </c>
      <c r="D1211" s="18" t="n">
        <v>1998</v>
      </c>
      <c r="E1211" s="18" t="inlineStr">
        <is>
          <t>A Bug's Life</t>
        </is>
      </c>
      <c r="F1211" s="18" t="inlineStr">
        <is>
          <t>F0012</t>
        </is>
      </c>
    </row>
    <row r="1212" ht="15.75" customHeight="1" s="108">
      <c r="A1212" s="18" t="inlineStr">
        <is>
          <t>Carlos Alazraqui</t>
        </is>
      </c>
      <c r="B1212" s="18" t="n">
        <v>10</v>
      </c>
      <c r="C1212" s="18" t="n">
        <v>1998</v>
      </c>
      <c r="D1212" s="18" t="n">
        <v>2023</v>
      </c>
      <c r="E1212" s="18" t="inlineStr">
        <is>
          <t>A Bug's Life, Despicable Me 3, Happy Feet Two, Inside Out, The Super Mario Bros. Movie, Minions, Monsters University, Sing, finding nemo,  finding nemo</t>
        </is>
      </c>
      <c r="F1212" s="18" t="inlineStr">
        <is>
          <t>F0012, F0084, F0145, F0167, F0212, F0220, F0230, F0280, F0369</t>
        </is>
      </c>
    </row>
    <row r="1213" ht="15.75" customHeight="1" s="108">
      <c r="A1213" s="18" t="inlineStr">
        <is>
          <t>Jack Angel</t>
        </is>
      </c>
      <c r="B1213" s="18" t="n">
        <v>12</v>
      </c>
      <c r="C1213" s="18" t="n">
        <v>1986</v>
      </c>
      <c r="D1213" s="18" t="n">
        <v>2014</v>
      </c>
      <c r="E1213" s="18" t="inlineStr">
        <is>
          <t>A Bug's Life, Despicable Me 2, Hercules, Monsters, Inc., Monsters University, Toy Story, Toy Story 2, Toy Story 3, The Transformers: The Movie, Monsters, Inc., Monsters, Inc., Monsters, Inc.</t>
        </is>
      </c>
      <c r="F1213" s="18" t="inlineStr">
        <is>
          <t>F0012, F0083, F0147, F0229, F0230, F0312, F0313, F0314, F0322</t>
        </is>
      </c>
    </row>
    <row r="1214" ht="15.75" customHeight="1" s="108">
      <c r="A1214" s="18" t="inlineStr">
        <is>
          <t>Bob Bergen</t>
        </is>
      </c>
      <c r="B1214" s="18" t="n">
        <v>14</v>
      </c>
      <c r="C1214" s="18" t="n">
        <v>1998</v>
      </c>
      <c r="D1214" s="18" t="n">
        <v>2017</v>
      </c>
      <c r="E1214" s="18" t="inlineStr">
        <is>
          <t>A Bug's Life, Despicable Me 3, Minions, Monsters, Inc., Monsters University, The Secret Life of Pets, Toy Story 2, Up, WALL·E, Monsters, Inc., Monsters, Inc., finding nemo, Monsters, Inc.,  finding nemo</t>
        </is>
      </c>
      <c r="F1214" s="18" t="inlineStr">
        <is>
          <t>F0012, F0084, F0220, F0229, F0230, F0274, F0313, F0330, F0331, F0369</t>
        </is>
      </c>
    </row>
    <row r="1215" ht="15.75" customHeight="1" s="108">
      <c r="A1215" s="18" t="inlineStr">
        <is>
          <t>Kimberly J. Brown</t>
        </is>
      </c>
      <c r="B1215" s="18" t="n">
        <v>1</v>
      </c>
      <c r="C1215" s="18" t="n">
        <v>1998</v>
      </c>
      <c r="D1215" s="18" t="n">
        <v>1998</v>
      </c>
      <c r="E1215" s="18" t="inlineStr">
        <is>
          <t>A Bug's Life</t>
        </is>
      </c>
      <c r="F1215" s="18" t="inlineStr">
        <is>
          <t>F0012</t>
        </is>
      </c>
    </row>
    <row r="1216" ht="15.75" customHeight="1" s="108">
      <c r="A1216" s="18" t="inlineStr">
        <is>
          <t>Rodger Bumpass</t>
        </is>
      </c>
      <c r="B1216" s="18" t="n">
        <v>7</v>
      </c>
      <c r="C1216" s="18" t="n">
        <v>1998</v>
      </c>
      <c r="D1216" s="18" t="n">
        <v>2013</v>
      </c>
      <c r="E1216" s="18" t="inlineStr">
        <is>
          <t>A Bug's Life, Monsters, Inc., Monsters University, Toy Story 2, Monsters, Inc., Monsters, Inc., Monsters, Inc.</t>
        </is>
      </c>
      <c r="F1216" s="18" t="inlineStr">
        <is>
          <t>F0012, F0229, F0230, F0313</t>
        </is>
      </c>
    </row>
    <row r="1217" ht="15.75" customHeight="1" s="108">
      <c r="A1217" s="18" t="inlineStr">
        <is>
          <t>Anthony Burch</t>
        </is>
      </c>
      <c r="B1217" s="18" t="n">
        <v>1</v>
      </c>
      <c r="C1217" s="18" t="n">
        <v>1998</v>
      </c>
      <c r="D1217" s="18" t="n">
        <v>1998</v>
      </c>
      <c r="E1217" s="18" t="inlineStr">
        <is>
          <t>A Bug's Life</t>
        </is>
      </c>
      <c r="F1217" s="18" t="inlineStr">
        <is>
          <t>F0012</t>
        </is>
      </c>
    </row>
    <row r="1218" ht="15.75" customHeight="1" s="108">
      <c r="A1218" s="18" t="inlineStr">
        <is>
          <t>Jennifer Darling</t>
        </is>
      </c>
      <c r="B1218" s="18" t="n">
        <v>5</v>
      </c>
      <c r="C1218" s="18" t="n">
        <v>1998</v>
      </c>
      <c r="D1218" s="18" t="n">
        <v>2001</v>
      </c>
      <c r="E1218" s="18" t="inlineStr">
        <is>
          <t>A Bug's Life, Monsters, Inc., Monsters, Inc., Monsters, Inc., Monsters, Inc.</t>
        </is>
      </c>
      <c r="F1218" s="18" t="inlineStr">
        <is>
          <t>F0012, F0229</t>
        </is>
      </c>
    </row>
    <row r="1219" ht="15.75" customHeight="1" s="108">
      <c r="A1219" s="18" t="inlineStr">
        <is>
          <t>Rachel Davey</t>
        </is>
      </c>
      <c r="B1219" s="18" t="n">
        <v>2</v>
      </c>
      <c r="C1219" s="18" t="n">
        <v>1998</v>
      </c>
      <c r="D1219" s="18" t="n">
        <v>1999</v>
      </c>
      <c r="E1219" s="18" t="inlineStr">
        <is>
          <t>A Bug's Life, Toy Story 2</t>
        </is>
      </c>
      <c r="F1219" s="18" t="inlineStr">
        <is>
          <t>F0012, F0313</t>
        </is>
      </c>
    </row>
    <row r="1220" ht="15.75" customHeight="1" s="108">
      <c r="A1220" s="18" t="inlineStr">
        <is>
          <t>Debi Derryberry</t>
        </is>
      </c>
      <c r="B1220" s="18" t="n">
        <v>6</v>
      </c>
      <c r="C1220" s="18" t="n">
        <v>1995</v>
      </c>
      <c r="D1220" s="18" t="n">
        <v>2014</v>
      </c>
      <c r="E1220" s="18" t="inlineStr">
        <is>
          <t>A Bug's Life, Despicable Me 2, Hercules, Ice Age: The Meltdown, Toy Story, Toy Story 2</t>
        </is>
      </c>
      <c r="F1220" s="18" t="inlineStr">
        <is>
          <t>F0012, F0083, F0147, F0160, F0312, F0313</t>
        </is>
      </c>
    </row>
    <row r="1221" ht="15.75" customHeight="1" s="108">
      <c r="A1221" s="18" t="inlineStr">
        <is>
          <t>Paul Eiding</t>
        </is>
      </c>
      <c r="B1221" s="18" t="n">
        <v>8</v>
      </c>
      <c r="C1221" s="18" t="n">
        <v>1986</v>
      </c>
      <c r="D1221" s="18" t="n">
        <v>2009</v>
      </c>
      <c r="E1221" s="18" t="inlineStr">
        <is>
          <t>A Bug's Life, Monsters, Inc., The Transformers: The Movie, Up, WALL·E, Monsters, Inc., Monsters, Inc., Monsters, Inc.</t>
        </is>
      </c>
      <c r="F1221" s="18" t="inlineStr">
        <is>
          <t>F0012, F0229, F0322, F0330, F0331</t>
        </is>
      </c>
    </row>
    <row r="1222" ht="15.75" customHeight="1" s="108">
      <c r="A1222" s="18" t="inlineStr">
        <is>
          <t>Jessica Evans</t>
        </is>
      </c>
      <c r="B1222" s="18" t="n">
        <v>2</v>
      </c>
      <c r="C1222" s="18" t="n">
        <v>1998</v>
      </c>
      <c r="D1222" s="18" t="n">
        <v>1999</v>
      </c>
      <c r="E1222" s="18" t="inlineStr">
        <is>
          <t>A Bug's Life, Toy Story 2</t>
        </is>
      </c>
      <c r="F1222" s="18" t="inlineStr">
        <is>
          <t>F0012, F0313</t>
        </is>
      </c>
    </row>
    <row r="1223" ht="15.75" customHeight="1" s="108">
      <c r="A1223" s="18" t="inlineStr">
        <is>
          <t>Jeffrey Tambor</t>
        </is>
      </c>
      <c r="B1223" s="18" t="n">
        <v>6</v>
      </c>
      <c r="C1223" s="18" t="n">
        <v>2004</v>
      </c>
      <c r="D1223" s="18" t="n">
        <v>2016</v>
      </c>
      <c r="E1223" s="18" t="inlineStr">
        <is>
          <t>The Accountant, The Hangover, The Hangover Part II, The Hangover Part III, Paul, hellboy</t>
        </is>
      </c>
      <c r="F1223" s="18" t="inlineStr">
        <is>
          <t>F0013, F0134, F0135, F0136, F0245, F0373</t>
        </is>
      </c>
    </row>
    <row r="1224" ht="15.75" customHeight="1" s="108">
      <c r="A1224" s="18" t="inlineStr">
        <is>
          <t>Jean Smart</t>
        </is>
      </c>
      <c r="B1224" s="18" t="n">
        <v>1</v>
      </c>
      <c r="C1224" s="18" t="n">
        <v>2016</v>
      </c>
      <c r="D1224" s="18" t="n">
        <v>2016</v>
      </c>
      <c r="E1224" s="18" t="inlineStr">
        <is>
          <t>The Accountant</t>
        </is>
      </c>
      <c r="F1224" s="18" t="inlineStr">
        <is>
          <t>F0013</t>
        </is>
      </c>
    </row>
    <row r="1225" ht="15.75" customHeight="1" s="108">
      <c r="A1225" s="18" t="inlineStr">
        <is>
          <t>Andy Umberger</t>
        </is>
      </c>
      <c r="B1225" s="18" t="n">
        <v>1</v>
      </c>
      <c r="C1225" s="18" t="n">
        <v>2016</v>
      </c>
      <c r="D1225" s="18" t="n">
        <v>2016</v>
      </c>
      <c r="E1225" s="18" t="inlineStr">
        <is>
          <t>The Accountant</t>
        </is>
      </c>
      <c r="F1225" s="18" t="inlineStr">
        <is>
          <t>F0013</t>
        </is>
      </c>
    </row>
    <row r="1226" ht="15.75" customHeight="1" s="108">
      <c r="A1226" s="18" t="inlineStr">
        <is>
          <t>Alison Wright</t>
        </is>
      </c>
      <c r="B1226" s="18" t="n">
        <v>1</v>
      </c>
      <c r="C1226" s="18" t="n">
        <v>2016</v>
      </c>
      <c r="D1226" s="18" t="n">
        <v>2016</v>
      </c>
      <c r="E1226" s="18" t="inlineStr">
        <is>
          <t>The Accountant</t>
        </is>
      </c>
      <c r="F1226" s="18" t="inlineStr">
        <is>
          <t>F0013</t>
        </is>
      </c>
    </row>
    <row r="1227" ht="15.75" customHeight="1" s="108">
      <c r="A1227" s="18" t="inlineStr">
        <is>
          <t>Jason Davis</t>
        </is>
      </c>
      <c r="B1227" s="18" t="n">
        <v>1</v>
      </c>
      <c r="C1227" s="18" t="n">
        <v>2016</v>
      </c>
      <c r="D1227" s="18" t="n">
        <v>2016</v>
      </c>
      <c r="E1227" s="18" t="inlineStr">
        <is>
          <t>The Accountant</t>
        </is>
      </c>
      <c r="F1227" s="18" t="inlineStr">
        <is>
          <t>F0013</t>
        </is>
      </c>
    </row>
    <row r="1228" ht="15.75" customHeight="1" s="108">
      <c r="A1228" s="18" t="inlineStr">
        <is>
          <t>Robert C. Treveiler</t>
        </is>
      </c>
      <c r="B1228" s="18" t="n">
        <v>2</v>
      </c>
      <c r="C1228" s="18" t="n">
        <v>2013</v>
      </c>
      <c r="D1228" s="18" t="n">
        <v>2016</v>
      </c>
      <c r="E1228" s="18" t="inlineStr">
        <is>
          <t>The Accountant, Prisoners</t>
        </is>
      </c>
      <c r="F1228" s="18" t="inlineStr">
        <is>
          <t>F0013, F0258</t>
        </is>
      </c>
    </row>
    <row r="1229" ht="15.75" customHeight="1" s="108">
      <c r="A1229" s="18" t="inlineStr">
        <is>
          <t>Mary Kraft</t>
        </is>
      </c>
      <c r="B1229" s="18" t="n">
        <v>1</v>
      </c>
      <c r="C1229" s="18" t="n">
        <v>2016</v>
      </c>
      <c r="D1229" s="18" t="n">
        <v>2016</v>
      </c>
      <c r="E1229" s="18" t="inlineStr">
        <is>
          <t>The Accountant</t>
        </is>
      </c>
      <c r="F1229" s="18" t="inlineStr">
        <is>
          <t>F0013</t>
        </is>
      </c>
    </row>
    <row r="1230" ht="15.75" customHeight="1" s="108">
      <c r="A1230" s="18" t="inlineStr">
        <is>
          <t>Seth Lee</t>
        </is>
      </c>
      <c r="B1230" s="18" t="n">
        <v>1</v>
      </c>
      <c r="C1230" s="18" t="n">
        <v>2016</v>
      </c>
      <c r="D1230" s="18" t="n">
        <v>2016</v>
      </c>
      <c r="E1230" s="18" t="inlineStr">
        <is>
          <t>The Accountant</t>
        </is>
      </c>
      <c r="F1230" s="18" t="inlineStr">
        <is>
          <t>F0013</t>
        </is>
      </c>
    </row>
    <row r="1231" ht="15.75" customHeight="1" s="108">
      <c r="A1231" s="18" t="inlineStr">
        <is>
          <t>Jake Presley</t>
        </is>
      </c>
      <c r="B1231" s="18" t="n">
        <v>1</v>
      </c>
      <c r="C1231" s="18" t="n">
        <v>2016</v>
      </c>
      <c r="D1231" s="18" t="n">
        <v>2016</v>
      </c>
      <c r="E1231" s="18" t="inlineStr">
        <is>
          <t>The Accountant</t>
        </is>
      </c>
      <c r="F1231" s="18" t="inlineStr">
        <is>
          <t>F0013</t>
        </is>
      </c>
    </row>
    <row r="1232" ht="15.75" customHeight="1" s="108">
      <c r="A1232" s="18" t="inlineStr">
        <is>
          <t>Izzy Fenech</t>
        </is>
      </c>
      <c r="B1232" s="18" t="n">
        <v>1</v>
      </c>
      <c r="C1232" s="18" t="n">
        <v>2016</v>
      </c>
      <c r="D1232" s="18" t="n">
        <v>2016</v>
      </c>
      <c r="E1232" s="18" t="inlineStr">
        <is>
          <t>The Accountant</t>
        </is>
      </c>
      <c r="F1232" s="18" t="inlineStr">
        <is>
          <t>F0013</t>
        </is>
      </c>
    </row>
    <row r="1233" ht="15.75" customHeight="1" s="108">
      <c r="A1233" s="18" t="inlineStr">
        <is>
          <t>Ron Prather</t>
        </is>
      </c>
      <c r="B1233" s="18" t="n">
        <v>1</v>
      </c>
      <c r="C1233" s="18" t="n">
        <v>2016</v>
      </c>
      <c r="D1233" s="18" t="n">
        <v>2016</v>
      </c>
      <c r="E1233" s="18" t="inlineStr">
        <is>
          <t>The Accountant</t>
        </is>
      </c>
      <c r="F1233" s="18" t="inlineStr">
        <is>
          <t>F0013</t>
        </is>
      </c>
    </row>
    <row r="1234" ht="15.75" customHeight="1" s="108">
      <c r="A1234" s="18" t="inlineStr">
        <is>
          <t>Susan Savoie</t>
        </is>
      </c>
      <c r="B1234" s="18" t="n">
        <v>1</v>
      </c>
      <c r="C1234" s="18" t="n">
        <v>2016</v>
      </c>
      <c r="D1234" s="18" t="n">
        <v>2016</v>
      </c>
      <c r="E1234" s="18" t="inlineStr">
        <is>
          <t>The Accountant</t>
        </is>
      </c>
      <c r="F1234" s="18" t="inlineStr">
        <is>
          <t>F0013</t>
        </is>
      </c>
    </row>
    <row r="1235" ht="15.75" customHeight="1" s="108">
      <c r="A1235" s="18" t="inlineStr">
        <is>
          <t>Gary Basaraba</t>
        </is>
      </c>
      <c r="B1235" s="18" t="n">
        <v>1</v>
      </c>
      <c r="C1235" s="18" t="n">
        <v>2016</v>
      </c>
      <c r="D1235" s="18" t="n">
        <v>2016</v>
      </c>
      <c r="E1235" s="18" t="inlineStr">
        <is>
          <t>The Accountant</t>
        </is>
      </c>
      <c r="F1235" s="18" t="inlineStr">
        <is>
          <t>F0013</t>
        </is>
      </c>
    </row>
    <row r="1236" ht="15.75" customHeight="1" s="108">
      <c r="A1236" s="18" t="inlineStr">
        <is>
          <t>Fernando Chien</t>
        </is>
      </c>
      <c r="B1236" s="18" t="n">
        <v>3</v>
      </c>
      <c r="C1236" s="18" t="n">
        <v>2011</v>
      </c>
      <c r="D1236" s="18" t="n">
        <v>2016</v>
      </c>
      <c r="E1236" s="18" t="inlineStr">
        <is>
          <t>The Accountant, Fast Five, Warrior</t>
        </is>
      </c>
      <c r="F1236" s="18" t="inlineStr">
        <is>
          <t>F0013, F0105, F0333</t>
        </is>
      </c>
    </row>
    <row r="1237" ht="15.75" customHeight="1" s="108">
      <c r="A1237" s="18" t="inlineStr">
        <is>
          <t>Alex Collins</t>
        </is>
      </c>
      <c r="B1237" s="18" t="n">
        <v>1</v>
      </c>
      <c r="C1237" s="18" t="n">
        <v>2016</v>
      </c>
      <c r="D1237" s="18" t="n">
        <v>2016</v>
      </c>
      <c r="E1237" s="18" t="inlineStr">
        <is>
          <t>The Accountant</t>
        </is>
      </c>
      <c r="F1237" s="18" t="inlineStr">
        <is>
          <t>F0013</t>
        </is>
      </c>
    </row>
    <row r="1238" ht="15.75" customHeight="1" s="108">
      <c r="A1238" s="18" t="inlineStr">
        <is>
          <t>Tait Fletcher</t>
        </is>
      </c>
      <c r="B1238" s="18" t="n">
        <v>4</v>
      </c>
      <c r="C1238" s="18" t="n">
        <v>2013</v>
      </c>
      <c r="D1238" s="18" t="n">
        <v>2017</v>
      </c>
      <c r="E1238" s="18" t="inlineStr">
        <is>
          <t>The Accountant, 2 guns, Jumanji welcome to the jungle, john wick</t>
        </is>
      </c>
      <c r="F1238" s="18" t="inlineStr">
        <is>
          <t>F0013, F0355, F0359, F0374</t>
        </is>
      </c>
    </row>
    <row r="1239" ht="15.75" customHeight="1" s="108">
      <c r="A1239" s="18" t="inlineStr">
        <is>
          <t>Curtis Lyons</t>
        </is>
      </c>
      <c r="B1239" s="18" t="n">
        <v>1</v>
      </c>
      <c r="C1239" s="18" t="n">
        <v>2016</v>
      </c>
      <c r="D1239" s="18" t="n">
        <v>2016</v>
      </c>
      <c r="E1239" s="18" t="inlineStr">
        <is>
          <t>The Accountant</t>
        </is>
      </c>
      <c r="F1239" s="18" t="inlineStr">
        <is>
          <t>F0013</t>
        </is>
      </c>
    </row>
    <row r="1240" ht="15.75" customHeight="1" s="108">
      <c r="A1240" s="18" t="inlineStr">
        <is>
          <t>Buster Reeves</t>
        </is>
      </c>
      <c r="B1240" s="18" t="n">
        <v>2</v>
      </c>
      <c r="C1240" s="18" t="n">
        <v>2009</v>
      </c>
      <c r="D1240" s="18" t="n">
        <v>2016</v>
      </c>
      <c r="E1240" s="18" t="inlineStr">
        <is>
          <t>The Accountant, Terminator Salvation</t>
        </is>
      </c>
      <c r="F1240" s="18" t="inlineStr">
        <is>
          <t>F0013, F0310</t>
        </is>
      </c>
    </row>
    <row r="1241" ht="15.75" customHeight="1" s="108">
      <c r="A1241" s="18" t="inlineStr">
        <is>
          <t>Ron Yuan</t>
        </is>
      </c>
      <c r="B1241" s="18" t="n">
        <v>2</v>
      </c>
      <c r="C1241" s="18" t="n">
        <v>2009</v>
      </c>
      <c r="D1241" s="18" t="n">
        <v>2016</v>
      </c>
      <c r="E1241" s="18" t="inlineStr">
        <is>
          <t>The Accountant, Fast &amp; Furious</t>
        </is>
      </c>
      <c r="F1241" s="18" t="inlineStr">
        <is>
          <t>F0013, F0104</t>
        </is>
      </c>
    </row>
    <row r="1242" ht="15.75" customHeight="1" s="108">
      <c r="A1242" s="18" t="inlineStr">
        <is>
          <t>Sheila Maddox</t>
        </is>
      </c>
      <c r="B1242" s="18" t="n">
        <v>1</v>
      </c>
      <c r="C1242" s="18" t="n">
        <v>2016</v>
      </c>
      <c r="D1242" s="18" t="n">
        <v>2016</v>
      </c>
      <c r="E1242" s="18" t="inlineStr">
        <is>
          <t>The Accountant</t>
        </is>
      </c>
      <c r="F1242" s="18" t="inlineStr">
        <is>
          <t>F0013</t>
        </is>
      </c>
    </row>
    <row r="1243" ht="15.75" customHeight="1" s="108">
      <c r="A1243" s="18" t="inlineStr">
        <is>
          <t>Malachi Malik</t>
        </is>
      </c>
      <c r="B1243" s="18" t="n">
        <v>1</v>
      </c>
      <c r="C1243" s="18" t="n">
        <v>2016</v>
      </c>
      <c r="D1243" s="18" t="n">
        <v>2016</v>
      </c>
      <c r="E1243" s="18" t="inlineStr">
        <is>
          <t>The Accountant</t>
        </is>
      </c>
      <c r="F1243" s="18" t="inlineStr">
        <is>
          <t>F0013</t>
        </is>
      </c>
    </row>
    <row r="1244" ht="15.75" customHeight="1" s="108">
      <c r="A1244" s="18" t="inlineStr">
        <is>
          <t>Gregory Alan Williams</t>
        </is>
      </c>
      <c r="B1244" s="18" t="n">
        <v>1</v>
      </c>
      <c r="C1244" s="18" t="n">
        <v>2016</v>
      </c>
      <c r="D1244" s="18" t="n">
        <v>2016</v>
      </c>
      <c r="E1244" s="18" t="inlineStr">
        <is>
          <t>The Accountant</t>
        </is>
      </c>
      <c r="F1244" s="18" t="inlineStr">
        <is>
          <t>F0013</t>
        </is>
      </c>
    </row>
    <row r="1245" ht="15.75" customHeight="1" s="108">
      <c r="A1245" s="18" t="inlineStr">
        <is>
          <t>Kelly Collins Lintz</t>
        </is>
      </c>
      <c r="B1245" s="18" t="n">
        <v>1</v>
      </c>
      <c r="C1245" s="18" t="n">
        <v>2016</v>
      </c>
      <c r="D1245" s="18" t="n">
        <v>2016</v>
      </c>
      <c r="E1245" s="18" t="inlineStr">
        <is>
          <t>The Accountant</t>
        </is>
      </c>
      <c r="F1245" s="18" t="inlineStr">
        <is>
          <t>F0013</t>
        </is>
      </c>
    </row>
    <row r="1246" ht="15.75" customHeight="1" s="108">
      <c r="A1246" s="18" t="inlineStr">
        <is>
          <t>Jason MacDonald</t>
        </is>
      </c>
      <c r="B1246" s="18" t="n">
        <v>1</v>
      </c>
      <c r="C1246" s="18" t="n">
        <v>2016</v>
      </c>
      <c r="D1246" s="18" t="n">
        <v>2016</v>
      </c>
      <c r="E1246" s="18" t="inlineStr">
        <is>
          <t>The Accountant</t>
        </is>
      </c>
      <c r="F1246" s="18" t="inlineStr">
        <is>
          <t>F0013</t>
        </is>
      </c>
    </row>
    <row r="1247" ht="15.75" customHeight="1" s="108">
      <c r="A1247" s="18" t="inlineStr">
        <is>
          <t>Darren Boyd</t>
        </is>
      </c>
      <c r="B1247" s="18" t="n">
        <v>2</v>
      </c>
      <c r="C1247" s="18" t="n">
        <v>2013</v>
      </c>
      <c r="D1247" s="18" t="n">
        <v>2013</v>
      </c>
      <c r="E1247" s="18" t="inlineStr">
        <is>
          <t>Alan Partridge: Alpha Papa, The World's End</t>
        </is>
      </c>
      <c r="F1247" s="18" t="inlineStr">
        <is>
          <t>F0014, F0072</t>
        </is>
      </c>
    </row>
    <row r="1248" ht="15.75" customHeight="1" s="108">
      <c r="A1248" s="18" t="inlineStr">
        <is>
          <t>Nigel Lindsay</t>
        </is>
      </c>
      <c r="B1248" s="18" t="n">
        <v>1</v>
      </c>
      <c r="C1248" s="18" t="n">
        <v>2013</v>
      </c>
      <c r="D1248" s="18" t="n">
        <v>2013</v>
      </c>
      <c r="E1248" s="18" t="inlineStr">
        <is>
          <t>Alan Partridge: Alpha Papa</t>
        </is>
      </c>
      <c r="F1248" s="18" t="inlineStr">
        <is>
          <t>F0014</t>
        </is>
      </c>
    </row>
    <row r="1249" ht="15.75" customHeight="1" s="108">
      <c r="A1249" s="18" t="inlineStr">
        <is>
          <t>Dustin Demri-Burns</t>
        </is>
      </c>
      <c r="B1249" s="18" t="n">
        <v>1</v>
      </c>
      <c r="C1249" s="18" t="n">
        <v>2013</v>
      </c>
      <c r="D1249" s="18" t="n">
        <v>2013</v>
      </c>
      <c r="E1249" s="18" t="inlineStr">
        <is>
          <t>Alan Partridge: Alpha Papa</t>
        </is>
      </c>
      <c r="F1249" s="18" t="inlineStr">
        <is>
          <t>F0014</t>
        </is>
      </c>
    </row>
    <row r="1250" ht="15.75" customHeight="1" s="108">
      <c r="A1250" s="18" t="inlineStr">
        <is>
          <t>Monica Dolan</t>
        </is>
      </c>
      <c r="B1250" s="18" t="n">
        <v>2</v>
      </c>
      <c r="C1250" s="18" t="n">
        <v>2013</v>
      </c>
      <c r="D1250" s="18" t="n">
        <v>2013</v>
      </c>
      <c r="E1250" s="18" t="inlineStr">
        <is>
          <t>Alan Partridge: Alpha Papa, Kick-Ass 2</t>
        </is>
      </c>
      <c r="F1250" s="18" t="inlineStr">
        <is>
          <t>F0014, F0186</t>
        </is>
      </c>
    </row>
    <row r="1251" ht="15.75" customHeight="1" s="108">
      <c r="A1251" s="18" t="inlineStr">
        <is>
          <t>Phil Cornwell</t>
        </is>
      </c>
      <c r="B1251" s="18" t="n">
        <v>1</v>
      </c>
      <c r="C1251" s="18" t="n">
        <v>2013</v>
      </c>
      <c r="D1251" s="18" t="n">
        <v>2013</v>
      </c>
      <c r="E1251" s="18" t="inlineStr">
        <is>
          <t>Alan Partridge: Alpha Papa</t>
        </is>
      </c>
      <c r="F1251" s="18" t="inlineStr">
        <is>
          <t>F0014</t>
        </is>
      </c>
    </row>
    <row r="1252" ht="15.75" customHeight="1" s="108">
      <c r="A1252" s="18" t="inlineStr">
        <is>
          <t>Tim Key</t>
        </is>
      </c>
      <c r="B1252" s="18" t="n">
        <v>2</v>
      </c>
      <c r="C1252" s="18" t="n">
        <v>2013</v>
      </c>
      <c r="D1252" s="18" t="n">
        <v>2025</v>
      </c>
      <c r="E1252" s="18" t="inlineStr">
        <is>
          <t>Alan Partridge: Alpha Papa, mickey 17</t>
        </is>
      </c>
      <c r="F1252" s="18" t="inlineStr">
        <is>
          <t>F0014, F0376</t>
        </is>
      </c>
    </row>
    <row r="1253" ht="15.75" customHeight="1" s="108">
      <c r="A1253" s="18" t="inlineStr">
        <is>
          <t>Simon Delaney</t>
        </is>
      </c>
      <c r="B1253" s="18" t="n">
        <v>2</v>
      </c>
      <c r="C1253" s="18" t="n">
        <v>2013</v>
      </c>
      <c r="D1253" s="18" t="n">
        <v>2013</v>
      </c>
      <c r="E1253" s="18" t="inlineStr">
        <is>
          <t>Alan Partridge: Alpha Papa, Delivery Man</t>
        </is>
      </c>
      <c r="F1253" s="18" t="inlineStr">
        <is>
          <t>F0014, F0080</t>
        </is>
      </c>
    </row>
    <row r="1254" ht="15.75" customHeight="1" s="108">
      <c r="A1254" s="18" t="inlineStr">
        <is>
          <t>Sean Pertwee</t>
        </is>
      </c>
      <c r="B1254" s="18" t="n">
        <v>1</v>
      </c>
      <c r="C1254" s="18" t="n">
        <v>2013</v>
      </c>
      <c r="D1254" s="18" t="n">
        <v>2013</v>
      </c>
      <c r="E1254" s="18" t="inlineStr">
        <is>
          <t>Alan Partridge: Alpha Papa</t>
        </is>
      </c>
      <c r="F1254" s="18" t="inlineStr">
        <is>
          <t>F0014</t>
        </is>
      </c>
    </row>
    <row r="1255" ht="15.75" customHeight="1" s="108">
      <c r="A1255" s="18" t="inlineStr">
        <is>
          <t>Karl Theobald</t>
        </is>
      </c>
      <c r="B1255" s="18" t="n">
        <v>1</v>
      </c>
      <c r="C1255" s="18" t="n">
        <v>2013</v>
      </c>
      <c r="D1255" s="18" t="n">
        <v>2013</v>
      </c>
      <c r="E1255" s="18" t="inlineStr">
        <is>
          <t>Alan Partridge: Alpha Papa</t>
        </is>
      </c>
      <c r="F1255" s="18" t="inlineStr">
        <is>
          <t>F0014</t>
        </is>
      </c>
    </row>
    <row r="1256" ht="15.75" customHeight="1" s="108">
      <c r="A1256" s="18" t="inlineStr">
        <is>
          <t>Elizabeth Berrington</t>
        </is>
      </c>
      <c r="B1256" s="18" t="n">
        <v>1</v>
      </c>
      <c r="C1256" s="18" t="n">
        <v>2013</v>
      </c>
      <c r="D1256" s="18" t="n">
        <v>2013</v>
      </c>
      <c r="E1256" s="18" t="inlineStr">
        <is>
          <t>Alan Partridge: Alpha Papa</t>
        </is>
      </c>
      <c r="F1256" s="18" t="inlineStr">
        <is>
          <t>F0014</t>
        </is>
      </c>
    </row>
    <row r="1257" ht="15.75" customHeight="1" s="108">
      <c r="A1257" s="18" t="inlineStr">
        <is>
          <t>Jessica Knappett</t>
        </is>
      </c>
      <c r="B1257" s="18" t="n">
        <v>2</v>
      </c>
      <c r="C1257" s="18" t="n">
        <v>2011</v>
      </c>
      <c r="D1257" s="18" t="n">
        <v>2013</v>
      </c>
      <c r="E1257" s="18" t="inlineStr">
        <is>
          <t>Alan Partridge: Alpha Papa, The Inbetweeners Movie</t>
        </is>
      </c>
      <c r="F1257" s="18" t="inlineStr">
        <is>
          <t>F0014, F0163</t>
        </is>
      </c>
    </row>
    <row r="1258" ht="15.75" customHeight="1" s="108">
      <c r="A1258" s="18" t="inlineStr">
        <is>
          <t>Simon Kunz</t>
        </is>
      </c>
      <c r="B1258" s="18" t="n">
        <v>2</v>
      </c>
      <c r="C1258" s="18" t="n">
        <v>2013</v>
      </c>
      <c r="D1258" s="18" t="n">
        <v>2025</v>
      </c>
      <c r="E1258" s="18" t="inlineStr">
        <is>
          <t>Alan Partridge: Alpha Papa, F1</t>
        </is>
      </c>
      <c r="F1258" s="18" t="inlineStr">
        <is>
          <t>F0014, F0098</t>
        </is>
      </c>
    </row>
    <row r="1259" ht="15.75" customHeight="1" s="108">
      <c r="A1259" s="18" t="inlineStr">
        <is>
          <t>Peter Singh</t>
        </is>
      </c>
      <c r="B1259" s="18" t="n">
        <v>1</v>
      </c>
      <c r="C1259" s="18" t="n">
        <v>2013</v>
      </c>
      <c r="D1259" s="18" t="n">
        <v>2013</v>
      </c>
      <c r="E1259" s="18" t="inlineStr">
        <is>
          <t>Alan Partridge: Alpha Papa</t>
        </is>
      </c>
      <c r="F1259" s="18" t="inlineStr">
        <is>
          <t>F0014</t>
        </is>
      </c>
    </row>
    <row r="1260" ht="15.75" customHeight="1" s="108">
      <c r="A1260" s="18" t="inlineStr">
        <is>
          <t>Lucy Briers</t>
        </is>
      </c>
      <c r="B1260" s="18" t="n">
        <v>1</v>
      </c>
      <c r="C1260" s="18" t="n">
        <v>2013</v>
      </c>
      <c r="D1260" s="18" t="n">
        <v>2013</v>
      </c>
      <c r="E1260" s="18" t="inlineStr">
        <is>
          <t>Alan Partridge: Alpha Papa</t>
        </is>
      </c>
      <c r="F1260" s="18" t="inlineStr">
        <is>
          <t>F0014</t>
        </is>
      </c>
    </row>
    <row r="1261" ht="15.75" customHeight="1" s="108">
      <c r="A1261" s="18" t="inlineStr">
        <is>
          <t>Eleanor Matsuura</t>
        </is>
      </c>
      <c r="B1261" s="18" t="n">
        <v>1</v>
      </c>
      <c r="C1261" s="18" t="n">
        <v>2013</v>
      </c>
      <c r="D1261" s="18" t="n">
        <v>2013</v>
      </c>
      <c r="E1261" s="18" t="inlineStr">
        <is>
          <t>Alan Partridge: Alpha Papa</t>
        </is>
      </c>
      <c r="F1261" s="18" t="inlineStr">
        <is>
          <t>F0014</t>
        </is>
      </c>
    </row>
    <row r="1262" ht="15.75" customHeight="1" s="108">
      <c r="A1262" s="18" t="inlineStr">
        <is>
          <t>Diane Morgan</t>
        </is>
      </c>
      <c r="B1262" s="18" t="n">
        <v>1</v>
      </c>
      <c r="C1262" s="18" t="n">
        <v>2013</v>
      </c>
      <c r="D1262" s="18" t="n">
        <v>2013</v>
      </c>
      <c r="E1262" s="18" t="inlineStr">
        <is>
          <t>Alan Partridge: Alpha Papa</t>
        </is>
      </c>
      <c r="F1262" s="18" t="inlineStr">
        <is>
          <t>F0014</t>
        </is>
      </c>
    </row>
    <row r="1263" ht="15.75" customHeight="1" s="108">
      <c r="A1263" s="18" t="inlineStr">
        <is>
          <t>Robert Whitelock</t>
        </is>
      </c>
      <c r="B1263" s="18" t="n">
        <v>1</v>
      </c>
      <c r="C1263" s="18" t="n">
        <v>2013</v>
      </c>
      <c r="D1263" s="18" t="n">
        <v>2013</v>
      </c>
      <c r="E1263" s="18" t="inlineStr">
        <is>
          <t>Alan Partridge: Alpha Papa</t>
        </is>
      </c>
      <c r="F1263" s="18" t="inlineStr">
        <is>
          <t>F0014</t>
        </is>
      </c>
    </row>
    <row r="1264" ht="15.75" customHeight="1" s="108">
      <c r="A1264" s="18" t="inlineStr">
        <is>
          <t>Martin Glyn Murray</t>
        </is>
      </c>
      <c r="B1264" s="18" t="n">
        <v>1</v>
      </c>
      <c r="C1264" s="18" t="n">
        <v>2013</v>
      </c>
      <c r="D1264" s="18" t="n">
        <v>2013</v>
      </c>
      <c r="E1264" s="18" t="inlineStr">
        <is>
          <t>Alan Partridge: Alpha Papa</t>
        </is>
      </c>
      <c r="F1264" s="18" t="inlineStr">
        <is>
          <t>F0014</t>
        </is>
      </c>
    </row>
    <row r="1265" ht="15.75" customHeight="1" s="108">
      <c r="A1265" s="18" t="inlineStr">
        <is>
          <t>Alan Rothwell</t>
        </is>
      </c>
      <c r="B1265" s="18" t="n">
        <v>1</v>
      </c>
      <c r="C1265" s="18" t="n">
        <v>2013</v>
      </c>
      <c r="D1265" s="18" t="n">
        <v>2013</v>
      </c>
      <c r="E1265" s="18" t="inlineStr">
        <is>
          <t>Alan Partridge: Alpha Papa</t>
        </is>
      </c>
      <c r="F1265" s="18" t="inlineStr">
        <is>
          <t>F0014</t>
        </is>
      </c>
    </row>
    <row r="1266" ht="15.75" customHeight="1" s="108">
      <c r="A1266" s="18" t="inlineStr">
        <is>
          <t>Rita Davies</t>
        </is>
      </c>
      <c r="B1266" s="18" t="n">
        <v>1</v>
      </c>
      <c r="C1266" s="18" t="n">
        <v>2013</v>
      </c>
      <c r="D1266" s="18" t="n">
        <v>2013</v>
      </c>
      <c r="E1266" s="18" t="inlineStr">
        <is>
          <t>Alan Partridge: Alpha Papa</t>
        </is>
      </c>
      <c r="F1266" s="18" t="inlineStr">
        <is>
          <t>F0014</t>
        </is>
      </c>
    </row>
    <row r="1267" ht="15.75" customHeight="1" s="108">
      <c r="A1267" s="18" t="inlineStr">
        <is>
          <t>Katie Males</t>
        </is>
      </c>
      <c r="B1267" s="18" t="n">
        <v>1</v>
      </c>
      <c r="C1267" s="18" t="n">
        <v>2013</v>
      </c>
      <c r="D1267" s="18" t="n">
        <v>2013</v>
      </c>
      <c r="E1267" s="18" t="inlineStr">
        <is>
          <t>Alan Partridge: Alpha Papa</t>
        </is>
      </c>
      <c r="F1267" s="18" t="inlineStr">
        <is>
          <t>F0014</t>
        </is>
      </c>
    </row>
    <row r="1268" ht="15.75" customHeight="1" s="108">
      <c r="A1268" s="18" t="inlineStr">
        <is>
          <t>Dan Mersh</t>
        </is>
      </c>
      <c r="B1268" s="18" t="n">
        <v>1</v>
      </c>
      <c r="C1268" s="18" t="n">
        <v>2013</v>
      </c>
      <c r="D1268" s="18" t="n">
        <v>2013</v>
      </c>
      <c r="E1268" s="18" t="inlineStr">
        <is>
          <t>Alan Partridge: Alpha Papa</t>
        </is>
      </c>
      <c r="F1268" s="18" t="inlineStr">
        <is>
          <t>F0014</t>
        </is>
      </c>
    </row>
    <row r="1269" ht="15.75" customHeight="1" s="108">
      <c r="A1269" s="18" t="inlineStr">
        <is>
          <t>Anna Stockton</t>
        </is>
      </c>
      <c r="B1269" s="18" t="n">
        <v>1</v>
      </c>
      <c r="C1269" s="18" t="n">
        <v>2013</v>
      </c>
      <c r="D1269" s="18" t="n">
        <v>2013</v>
      </c>
      <c r="E1269" s="18" t="inlineStr">
        <is>
          <t>Alan Partridge: Alpha Papa</t>
        </is>
      </c>
      <c r="F1269" s="18" t="inlineStr">
        <is>
          <t>F0014</t>
        </is>
      </c>
    </row>
    <row r="1270" ht="15.75" customHeight="1" s="108">
      <c r="A1270" s="18" t="inlineStr">
        <is>
          <t>Kieran Hodgson</t>
        </is>
      </c>
      <c r="B1270" s="18" t="n">
        <v>1</v>
      </c>
      <c r="C1270" s="18" t="n">
        <v>2013</v>
      </c>
      <c r="D1270" s="18" t="n">
        <v>2013</v>
      </c>
      <c r="E1270" s="18" t="inlineStr">
        <is>
          <t>Alan Partridge: Alpha Papa</t>
        </is>
      </c>
      <c r="F1270" s="18" t="inlineStr">
        <is>
          <t>F0014</t>
        </is>
      </c>
    </row>
    <row r="1271" ht="15.75" customHeight="1" s="108">
      <c r="A1271" s="18" t="inlineStr">
        <is>
          <t>Jayne Secker</t>
        </is>
      </c>
      <c r="B1271" s="18" t="n">
        <v>1</v>
      </c>
      <c r="C1271" s="18" t="n">
        <v>2013</v>
      </c>
      <c r="D1271" s="18" t="n">
        <v>2013</v>
      </c>
      <c r="E1271" s="18" t="inlineStr">
        <is>
          <t>Alan Partridge: Alpha Papa</t>
        </is>
      </c>
      <c r="F1271" s="18" t="inlineStr">
        <is>
          <t>F0014</t>
        </is>
      </c>
    </row>
    <row r="1272" ht="15.75" customHeight="1" s="108">
      <c r="A1272" s="18" t="inlineStr">
        <is>
          <t>Yaphet Kotto</t>
        </is>
      </c>
      <c r="B1272" s="18" t="n">
        <v>1</v>
      </c>
      <c r="C1272" s="18" t="n">
        <v>1979</v>
      </c>
      <c r="D1272" s="18" t="n">
        <v>1979</v>
      </c>
      <c r="E1272" s="18" t="inlineStr">
        <is>
          <t>Alien</t>
        </is>
      </c>
      <c r="F1272" s="18" t="inlineStr">
        <is>
          <t>F0015</t>
        </is>
      </c>
    </row>
    <row r="1273" ht="15.75" customHeight="1" s="108">
      <c r="A1273" s="18" t="inlineStr">
        <is>
          <t>Bolaji Badejo</t>
        </is>
      </c>
      <c r="B1273" s="18" t="n">
        <v>1</v>
      </c>
      <c r="C1273" s="18" t="n">
        <v>1979</v>
      </c>
      <c r="D1273" s="18" t="n">
        <v>1979</v>
      </c>
      <c r="E1273" s="18" t="inlineStr">
        <is>
          <t>Alien</t>
        </is>
      </c>
      <c r="F1273" s="18" t="inlineStr">
        <is>
          <t>F0015</t>
        </is>
      </c>
    </row>
    <row r="1274" ht="15.75" customHeight="1" s="108">
      <c r="A1274" s="18" t="inlineStr">
        <is>
          <t>Helen Horton</t>
        </is>
      </c>
      <c r="B1274" s="18" t="n">
        <v>1</v>
      </c>
      <c r="C1274" s="18" t="n">
        <v>1979</v>
      </c>
      <c r="D1274" s="18" t="n">
        <v>1979</v>
      </c>
      <c r="E1274" s="18" t="inlineStr">
        <is>
          <t>Alien</t>
        </is>
      </c>
      <c r="F1274" s="18" t="inlineStr">
        <is>
          <t>F0015</t>
        </is>
      </c>
    </row>
    <row r="1275" ht="15.75" customHeight="1" s="108">
      <c r="A1275" s="18" t="inlineStr">
        <is>
          <t>Bill Paxton</t>
        </is>
      </c>
      <c r="B1275" s="18" t="n">
        <v>2</v>
      </c>
      <c r="C1275" s="18" t="n">
        <v>1986</v>
      </c>
      <c r="D1275" s="18" t="n">
        <v>2013</v>
      </c>
      <c r="E1275" s="18" t="inlineStr">
        <is>
          <t>Aliens, 2 guns</t>
        </is>
      </c>
      <c r="F1275" s="18" t="inlineStr">
        <is>
          <t>F0016, F0355</t>
        </is>
      </c>
    </row>
    <row r="1276" ht="15.75" customHeight="1" s="108">
      <c r="A1276" s="18" t="inlineStr">
        <is>
          <t>William Hope</t>
        </is>
      </c>
      <c r="B1276" s="18" t="n">
        <v>2</v>
      </c>
      <c r="C1276" s="18" t="n">
        <v>1986</v>
      </c>
      <c r="D1276" s="18" t="n">
        <v>2009</v>
      </c>
      <c r="E1276" s="18" t="inlineStr">
        <is>
          <t>Aliens, Sherlock Holmes</t>
        </is>
      </c>
      <c r="F1276" s="18" t="inlineStr">
        <is>
          <t>F0016, F0278</t>
        </is>
      </c>
    </row>
    <row r="1277" ht="15.75" customHeight="1" s="108">
      <c r="A1277" s="18" t="inlineStr">
        <is>
          <t>Jenette Goldstein</t>
        </is>
      </c>
      <c r="B1277" s="18" t="n">
        <v>1</v>
      </c>
      <c r="C1277" s="18" t="n">
        <v>1986</v>
      </c>
      <c r="D1277" s="18" t="n">
        <v>1986</v>
      </c>
      <c r="E1277" s="18" t="inlineStr">
        <is>
          <t>Aliens</t>
        </is>
      </c>
      <c r="F1277" s="18" t="inlineStr">
        <is>
          <t>F0016</t>
        </is>
      </c>
    </row>
    <row r="1278" ht="15.75" customHeight="1" s="108">
      <c r="A1278" s="18" t="inlineStr">
        <is>
          <t>Al Matthews</t>
        </is>
      </c>
      <c r="B1278" s="18" t="n">
        <v>1</v>
      </c>
      <c r="C1278" s="18" t="n">
        <v>1986</v>
      </c>
      <c r="D1278" s="18" t="n">
        <v>1986</v>
      </c>
      <c r="E1278" s="18" t="inlineStr">
        <is>
          <t>Aliens</t>
        </is>
      </c>
      <c r="F1278" s="18" t="inlineStr">
        <is>
          <t>F0016</t>
        </is>
      </c>
    </row>
    <row r="1279" ht="15.75" customHeight="1" s="108">
      <c r="A1279" s="18" t="inlineStr">
        <is>
          <t>Mark Rolston</t>
        </is>
      </c>
      <c r="B1279" s="18" t="n">
        <v>2</v>
      </c>
      <c r="C1279" s="18" t="n">
        <v>1986</v>
      </c>
      <c r="D1279" s="18" t="n">
        <v>2006</v>
      </c>
      <c r="E1279" s="18" t="inlineStr">
        <is>
          <t>Aliens, The Departed</t>
        </is>
      </c>
      <c r="F1279" s="18" t="inlineStr">
        <is>
          <t>F0016, F0081</t>
        </is>
      </c>
    </row>
    <row r="1280" ht="15.75" customHeight="1" s="108">
      <c r="A1280" s="18" t="inlineStr">
        <is>
          <t>Ricco Ross</t>
        </is>
      </c>
      <c r="B1280" s="18" t="n">
        <v>2</v>
      </c>
      <c r="C1280" s="18" t="n">
        <v>1986</v>
      </c>
      <c r="D1280" s="18" t="n">
        <v>1996</v>
      </c>
      <c r="E1280" s="18" t="inlineStr">
        <is>
          <t>Aliens, Mission: Impossible</t>
        </is>
      </c>
      <c r="F1280" s="18" t="inlineStr">
        <is>
          <t>F0016, F0221</t>
        </is>
      </c>
    </row>
    <row r="1281" ht="15.75" customHeight="1" s="108">
      <c r="A1281" s="18" t="inlineStr">
        <is>
          <t>Colette Hiller</t>
        </is>
      </c>
      <c r="B1281" s="18" t="n">
        <v>1</v>
      </c>
      <c r="C1281" s="18" t="n">
        <v>1986</v>
      </c>
      <c r="D1281" s="18" t="n">
        <v>1986</v>
      </c>
      <c r="E1281" s="18" t="inlineStr">
        <is>
          <t>Aliens</t>
        </is>
      </c>
      <c r="F1281" s="18" t="inlineStr">
        <is>
          <t>F0016</t>
        </is>
      </c>
    </row>
    <row r="1282" ht="15.75" customHeight="1" s="108">
      <c r="A1282" s="18" t="inlineStr">
        <is>
          <t>Daniel Kash</t>
        </is>
      </c>
      <c r="B1282" s="18" t="n">
        <v>2</v>
      </c>
      <c r="C1282" s="18" t="n">
        <v>1986</v>
      </c>
      <c r="D1282" s="18" t="n">
        <v>1986</v>
      </c>
      <c r="E1282" s="18" t="inlineStr">
        <is>
          <t>Aliens, RoboCop</t>
        </is>
      </c>
      <c r="F1282" s="18" t="inlineStr">
        <is>
          <t>F0016, F0268</t>
        </is>
      </c>
    </row>
    <row r="1283" ht="15.75" customHeight="1" s="108">
      <c r="A1283" s="18" t="inlineStr">
        <is>
          <t>Cynthia Dale Scott</t>
        </is>
      </c>
      <c r="B1283" s="18" t="n">
        <v>1</v>
      </c>
      <c r="C1283" s="18" t="n">
        <v>1986</v>
      </c>
      <c r="D1283" s="18" t="n">
        <v>1986</v>
      </c>
      <c r="E1283" s="18" t="inlineStr">
        <is>
          <t>Aliens</t>
        </is>
      </c>
      <c r="F1283" s="18" t="inlineStr">
        <is>
          <t>F0016</t>
        </is>
      </c>
    </row>
    <row r="1284" ht="15.75" customHeight="1" s="108">
      <c r="A1284" s="18" t="inlineStr">
        <is>
          <t>Tip Tipping</t>
        </is>
      </c>
      <c r="B1284" s="18" t="n">
        <v>1</v>
      </c>
      <c r="C1284" s="18" t="n">
        <v>1986</v>
      </c>
      <c r="D1284" s="18" t="n">
        <v>1986</v>
      </c>
      <c r="E1284" s="18" t="inlineStr">
        <is>
          <t>Aliens</t>
        </is>
      </c>
      <c r="F1284" s="18" t="inlineStr">
        <is>
          <t>F0016</t>
        </is>
      </c>
    </row>
    <row r="1285" ht="15.75" customHeight="1" s="108">
      <c r="A1285" s="18" t="inlineStr">
        <is>
          <t>Trevor Steedman</t>
        </is>
      </c>
      <c r="B1285" s="18" t="n">
        <v>1</v>
      </c>
      <c r="C1285" s="18" t="n">
        <v>1986</v>
      </c>
      <c r="D1285" s="18" t="n">
        <v>1986</v>
      </c>
      <c r="E1285" s="18" t="inlineStr">
        <is>
          <t>Aliens</t>
        </is>
      </c>
      <c r="F1285" s="18" t="inlineStr">
        <is>
          <t>F0016</t>
        </is>
      </c>
    </row>
    <row r="1286" ht="15.75" customHeight="1" s="108">
      <c r="A1286" s="18" t="inlineStr">
        <is>
          <t>Paul Maxwell</t>
        </is>
      </c>
      <c r="B1286" s="18" t="n">
        <v>1</v>
      </c>
      <c r="C1286" s="18" t="n">
        <v>1986</v>
      </c>
      <c r="D1286" s="18" t="n">
        <v>1986</v>
      </c>
      <c r="E1286" s="18" t="inlineStr">
        <is>
          <t>Aliens</t>
        </is>
      </c>
      <c r="F1286" s="18" t="inlineStr">
        <is>
          <t>F0016</t>
        </is>
      </c>
    </row>
    <row r="1287" ht="15.75" customHeight="1" s="108">
      <c r="A1287" s="18" t="inlineStr">
        <is>
          <t>Valerie Colgan</t>
        </is>
      </c>
      <c r="B1287" s="18" t="n">
        <v>1</v>
      </c>
      <c r="C1287" s="18" t="n">
        <v>1986</v>
      </c>
      <c r="D1287" s="18" t="n">
        <v>1986</v>
      </c>
      <c r="E1287" s="18" t="inlineStr">
        <is>
          <t>Aliens</t>
        </is>
      </c>
      <c r="F1287" s="18" t="inlineStr">
        <is>
          <t>F0016</t>
        </is>
      </c>
    </row>
    <row r="1288" ht="15.75" customHeight="1" s="108">
      <c r="A1288" s="18" t="inlineStr">
        <is>
          <t>Alan Polonsky</t>
        </is>
      </c>
      <c r="B1288" s="18" t="n">
        <v>1</v>
      </c>
      <c r="C1288" s="18" t="n">
        <v>1986</v>
      </c>
      <c r="D1288" s="18" t="n">
        <v>1986</v>
      </c>
      <c r="E1288" s="18" t="inlineStr">
        <is>
          <t>Aliens</t>
        </is>
      </c>
      <c r="F1288" s="18" t="inlineStr">
        <is>
          <t>F0016</t>
        </is>
      </c>
    </row>
    <row r="1289" ht="15.75" customHeight="1" s="108">
      <c r="A1289" s="18" t="inlineStr">
        <is>
          <t>Alibe Parsons</t>
        </is>
      </c>
      <c r="B1289" s="18" t="n">
        <v>1</v>
      </c>
      <c r="C1289" s="18" t="n">
        <v>1986</v>
      </c>
      <c r="D1289" s="18" t="n">
        <v>1986</v>
      </c>
      <c r="E1289" s="18" t="inlineStr">
        <is>
          <t>Aliens</t>
        </is>
      </c>
      <c r="F1289" s="18" t="inlineStr">
        <is>
          <t>F0016</t>
        </is>
      </c>
    </row>
    <row r="1290" ht="15.75" customHeight="1" s="108">
      <c r="A1290" s="18" t="inlineStr">
        <is>
          <t>Blain Fairman</t>
        </is>
      </c>
      <c r="B1290" s="18" t="n">
        <v>1</v>
      </c>
      <c r="C1290" s="18" t="n">
        <v>1986</v>
      </c>
      <c r="D1290" s="18" t="n">
        <v>1986</v>
      </c>
      <c r="E1290" s="18" t="inlineStr">
        <is>
          <t>Aliens</t>
        </is>
      </c>
      <c r="F1290" s="18" t="inlineStr">
        <is>
          <t>F0016</t>
        </is>
      </c>
    </row>
    <row r="1291" ht="15.75" customHeight="1" s="108">
      <c r="A1291" s="18" t="inlineStr">
        <is>
          <t>Barbara Coles</t>
        </is>
      </c>
      <c r="B1291" s="18" t="n">
        <v>1</v>
      </c>
      <c r="C1291" s="18" t="n">
        <v>1986</v>
      </c>
      <c r="D1291" s="18" t="n">
        <v>1986</v>
      </c>
      <c r="E1291" s="18" t="inlineStr">
        <is>
          <t>Aliens</t>
        </is>
      </c>
      <c r="F1291" s="18" t="inlineStr">
        <is>
          <t>F0016</t>
        </is>
      </c>
    </row>
    <row r="1292" ht="15.75" customHeight="1" s="108">
      <c r="A1292" s="18" t="inlineStr">
        <is>
          <t>Carl Toop</t>
        </is>
      </c>
      <c r="B1292" s="18" t="n">
        <v>1</v>
      </c>
      <c r="C1292" s="18" t="n">
        <v>1986</v>
      </c>
      <c r="D1292" s="18" t="n">
        <v>1986</v>
      </c>
      <c r="E1292" s="18" t="inlineStr">
        <is>
          <t>Aliens</t>
        </is>
      </c>
      <c r="F1292" s="18" t="inlineStr">
        <is>
          <t>F0016</t>
        </is>
      </c>
    </row>
    <row r="1293" ht="15.75" customHeight="1" s="108">
      <c r="A1293" s="18" t="inlineStr">
        <is>
          <t>John Lees</t>
        </is>
      </c>
      <c r="B1293" s="18" t="n">
        <v>1</v>
      </c>
      <c r="C1293" s="18" t="n">
        <v>1986</v>
      </c>
      <c r="D1293" s="18" t="n">
        <v>1986</v>
      </c>
      <c r="E1293" s="18" t="inlineStr">
        <is>
          <t>Aliens</t>
        </is>
      </c>
      <c r="F1293" s="18" t="inlineStr">
        <is>
          <t>F0016</t>
        </is>
      </c>
    </row>
    <row r="1294" ht="15.75" customHeight="1" s="108">
      <c r="A1294" s="18" t="inlineStr">
        <is>
          <t>Eddie Powell</t>
        </is>
      </c>
      <c r="B1294" s="18" t="n">
        <v>1</v>
      </c>
      <c r="C1294" s="18" t="n">
        <v>1986</v>
      </c>
      <c r="D1294" s="18" t="n">
        <v>1986</v>
      </c>
      <c r="E1294" s="18" t="inlineStr">
        <is>
          <t>Aliens</t>
        </is>
      </c>
      <c r="F1294" s="18" t="inlineStr">
        <is>
          <t>F0016</t>
        </is>
      </c>
    </row>
    <row r="1295" ht="15.75" customHeight="1" s="108">
      <c r="A1295" s="18" t="inlineStr">
        <is>
          <t>Chris Webb</t>
        </is>
      </c>
      <c r="B1295" s="18" t="n">
        <v>1</v>
      </c>
      <c r="C1295" s="18" t="n">
        <v>1986</v>
      </c>
      <c r="D1295" s="18" t="n">
        <v>1986</v>
      </c>
      <c r="E1295" s="18" t="inlineStr">
        <is>
          <t>Aliens</t>
        </is>
      </c>
      <c r="F1295" s="18" t="inlineStr">
        <is>
          <t>F0016</t>
        </is>
      </c>
    </row>
    <row r="1296" ht="15.75" customHeight="1" s="108">
      <c r="A1296" s="18" t="inlineStr">
        <is>
          <t>Alec Gillis</t>
        </is>
      </c>
      <c r="B1296" s="18" t="n">
        <v>1</v>
      </c>
      <c r="C1296" s="18" t="n">
        <v>1986</v>
      </c>
      <c r="D1296" s="18" t="n">
        <v>1986</v>
      </c>
      <c r="E1296" s="18" t="inlineStr">
        <is>
          <t>Aliens</t>
        </is>
      </c>
      <c r="F1296" s="18" t="inlineStr">
        <is>
          <t>F0016</t>
        </is>
      </c>
    </row>
    <row r="1297" ht="15.75" customHeight="1" s="108">
      <c r="A1297" s="18" t="inlineStr">
        <is>
          <t>Ralph Brown</t>
        </is>
      </c>
      <c r="B1297" s="18" t="n">
        <v>2</v>
      </c>
      <c r="C1297" s="18" t="n">
        <v>1992</v>
      </c>
      <c r="D1297" s="18" t="n">
        <v>1999</v>
      </c>
      <c r="E1297" s="18" t="inlineStr">
        <is>
          <t>Alien³, Star Wars: Episode I – The Phantom Menace</t>
        </is>
      </c>
      <c r="F1297" s="18" t="inlineStr">
        <is>
          <t>F0017, F0292</t>
        </is>
      </c>
    </row>
    <row r="1298" ht="15.75" customHeight="1" s="108">
      <c r="A1298" s="18" t="inlineStr">
        <is>
          <t>Danny Webb</t>
        </is>
      </c>
      <c r="B1298" s="18" t="n">
        <v>2</v>
      </c>
      <c r="C1298" s="18" t="n">
        <v>1992</v>
      </c>
      <c r="D1298" s="18" t="n">
        <v>2013</v>
      </c>
      <c r="E1298" s="18" t="inlineStr">
        <is>
          <t>Alien³, Hummingbird</t>
        </is>
      </c>
      <c r="F1298" s="18" t="inlineStr">
        <is>
          <t>F0017, F0156</t>
        </is>
      </c>
    </row>
    <row r="1299" ht="15.75" customHeight="1" s="108">
      <c r="A1299" s="18" t="inlineStr">
        <is>
          <t>Christopher John Fields</t>
        </is>
      </c>
      <c r="B1299" s="18" t="n">
        <v>2</v>
      </c>
      <c r="C1299" s="18" t="n">
        <v>1992</v>
      </c>
      <c r="D1299" s="18" t="n">
        <v>1993</v>
      </c>
      <c r="E1299" s="18" t="inlineStr">
        <is>
          <t>Alien³, Jurassic Park</t>
        </is>
      </c>
      <c r="F1299" s="18" t="inlineStr">
        <is>
          <t>F0017, F0176</t>
        </is>
      </c>
    </row>
    <row r="1300" ht="15.75" customHeight="1" s="108">
      <c r="A1300" s="18" t="inlineStr">
        <is>
          <t>Holt McCallany</t>
        </is>
      </c>
      <c r="B1300" s="18" t="n">
        <v>3</v>
      </c>
      <c r="C1300" s="18" t="n">
        <v>1992</v>
      </c>
      <c r="D1300" s="18" t="n">
        <v>2025</v>
      </c>
      <c r="E1300" s="18" t="inlineStr">
        <is>
          <t>Alien³, Fight Club, Mission: Impossible - The Final Reckoning</t>
        </is>
      </c>
      <c r="F1300" s="18" t="inlineStr">
        <is>
          <t>F0017, F0112, F0228</t>
        </is>
      </c>
    </row>
    <row r="1301" ht="15.75" customHeight="1" s="108">
      <c r="A1301" s="18" t="inlineStr">
        <is>
          <t>Christopher Fairbank</t>
        </is>
      </c>
      <c r="B1301" s="18" t="n">
        <v>2</v>
      </c>
      <c r="C1301" s="18" t="n">
        <v>1992</v>
      </c>
      <c r="D1301" s="18" t="n">
        <v>2011</v>
      </c>
      <c r="E1301" s="18" t="inlineStr">
        <is>
          <t>Alien³, Pirates of the Caribbean: On Stranger Tides</t>
        </is>
      </c>
      <c r="F1301" s="18" t="inlineStr">
        <is>
          <t>F0017, F0249</t>
        </is>
      </c>
    </row>
    <row r="1302" ht="15.75" customHeight="1" s="108">
      <c r="A1302" s="18" t="inlineStr">
        <is>
          <t>Carl Chase</t>
        </is>
      </c>
      <c r="B1302" s="18" t="n">
        <v>1</v>
      </c>
      <c r="C1302" s="18" t="n">
        <v>1992</v>
      </c>
      <c r="D1302" s="18" t="n">
        <v>1992</v>
      </c>
      <c r="E1302" s="18" t="inlineStr">
        <is>
          <t>Alien³</t>
        </is>
      </c>
      <c r="F1302" s="18" t="inlineStr">
        <is>
          <t>F0017</t>
        </is>
      </c>
    </row>
    <row r="1303" ht="15.75" customHeight="1" s="108">
      <c r="A1303" s="18" t="inlineStr">
        <is>
          <t>Leon Herbert</t>
        </is>
      </c>
      <c r="B1303" s="18" t="n">
        <v>1</v>
      </c>
      <c r="C1303" s="18" t="n">
        <v>1992</v>
      </c>
      <c r="D1303" s="18" t="n">
        <v>1992</v>
      </c>
      <c r="E1303" s="18" t="inlineStr">
        <is>
          <t>Alien³</t>
        </is>
      </c>
      <c r="F1303" s="18" t="inlineStr">
        <is>
          <t>F0017</t>
        </is>
      </c>
    </row>
    <row r="1304" ht="15.75" customHeight="1" s="108">
      <c r="A1304" s="18" t="inlineStr">
        <is>
          <t>Vincenzo Nicoli</t>
        </is>
      </c>
      <c r="B1304" s="18" t="n">
        <v>2</v>
      </c>
      <c r="C1304" s="18" t="n">
        <v>1992</v>
      </c>
      <c r="D1304" s="18" t="n">
        <v>2013</v>
      </c>
      <c r="E1304" s="18" t="inlineStr">
        <is>
          <t>Alien³, Captain Phillips</t>
        </is>
      </c>
      <c r="F1304" s="18" t="inlineStr">
        <is>
          <t>F0017, F0062</t>
        </is>
      </c>
    </row>
    <row r="1305" ht="15.75" customHeight="1" s="108">
      <c r="A1305" s="18" t="inlineStr">
        <is>
          <t>Paul Brennen</t>
        </is>
      </c>
      <c r="B1305" s="18" t="n">
        <v>1</v>
      </c>
      <c r="C1305" s="18" t="n">
        <v>1992</v>
      </c>
      <c r="D1305" s="18" t="n">
        <v>1992</v>
      </c>
      <c r="E1305" s="18" t="inlineStr">
        <is>
          <t>Alien³</t>
        </is>
      </c>
      <c r="F1305" s="18" t="inlineStr">
        <is>
          <t>F0017</t>
        </is>
      </c>
    </row>
    <row r="1306" ht="15.75" customHeight="1" s="108">
      <c r="A1306" s="18" t="inlineStr">
        <is>
          <t>Clive Mantle</t>
        </is>
      </c>
      <c r="B1306" s="18" t="n">
        <v>1</v>
      </c>
      <c r="C1306" s="18" t="n">
        <v>1992</v>
      </c>
      <c r="D1306" s="18" t="n">
        <v>1992</v>
      </c>
      <c r="E1306" s="18" t="inlineStr">
        <is>
          <t>Alien³</t>
        </is>
      </c>
      <c r="F1306" s="18" t="inlineStr">
        <is>
          <t>F0017</t>
        </is>
      </c>
    </row>
    <row r="1307" ht="15.75" customHeight="1" s="108">
      <c r="A1307" s="18" t="inlineStr">
        <is>
          <t>Peter Guinness</t>
        </is>
      </c>
      <c r="B1307" s="18" t="n">
        <v>1</v>
      </c>
      <c r="C1307" s="18" t="n">
        <v>1992</v>
      </c>
      <c r="D1307" s="18" t="n">
        <v>1992</v>
      </c>
      <c r="E1307" s="18" t="inlineStr">
        <is>
          <t>Alien³</t>
        </is>
      </c>
      <c r="F1307" s="18" t="inlineStr">
        <is>
          <t>F0017</t>
        </is>
      </c>
    </row>
    <row r="1308" ht="15.75" customHeight="1" s="108">
      <c r="A1308" s="18" t="inlineStr">
        <is>
          <t>Deobia Oparei</t>
        </is>
      </c>
      <c r="B1308" s="18" t="n">
        <v>2</v>
      </c>
      <c r="C1308" s="18" t="n">
        <v>1992</v>
      </c>
      <c r="D1308" s="18" t="n">
        <v>2011</v>
      </c>
      <c r="E1308" s="18" t="inlineStr">
        <is>
          <t>Alien³, Pirates of the Caribbean: On Stranger Tides</t>
        </is>
      </c>
      <c r="F1308" s="18" t="inlineStr">
        <is>
          <t>F0017, F0249</t>
        </is>
      </c>
    </row>
    <row r="1309" ht="15.75" customHeight="1" s="108">
      <c r="A1309" s="18" t="inlineStr">
        <is>
          <t>Phil Davis</t>
        </is>
      </c>
      <c r="B1309" s="18" t="n">
        <v>1</v>
      </c>
      <c r="C1309" s="18" t="n">
        <v>1992</v>
      </c>
      <c r="D1309" s="18" t="n">
        <v>1992</v>
      </c>
      <c r="E1309" s="18" t="inlineStr">
        <is>
          <t>Alien³</t>
        </is>
      </c>
      <c r="F1309" s="18" t="inlineStr">
        <is>
          <t>F0017</t>
        </is>
      </c>
    </row>
    <row r="1310" ht="15.75" customHeight="1" s="108">
      <c r="A1310" s="18" t="inlineStr">
        <is>
          <t>Niall Buggy</t>
        </is>
      </c>
      <c r="B1310" s="18" t="n">
        <v>2</v>
      </c>
      <c r="C1310" s="18" t="n">
        <v>1992</v>
      </c>
      <c r="D1310" s="18" t="n">
        <v>2008</v>
      </c>
      <c r="E1310" s="18" t="inlineStr">
        <is>
          <t>Alien³, Mamma Mia!</t>
        </is>
      </c>
      <c r="F1310" s="18" t="inlineStr">
        <is>
          <t>F0017, F0209</t>
        </is>
      </c>
    </row>
    <row r="1311" ht="15.75" customHeight="1" s="108">
      <c r="A1311" s="18" t="inlineStr">
        <is>
          <t>Hi Ching</t>
        </is>
      </c>
      <c r="B1311" s="18" t="n">
        <v>1</v>
      </c>
      <c r="C1311" s="18" t="n">
        <v>1992</v>
      </c>
      <c r="D1311" s="18" t="n">
        <v>1992</v>
      </c>
      <c r="E1311" s="18" t="inlineStr">
        <is>
          <t>Alien³</t>
        </is>
      </c>
      <c r="F1311" s="18" t="inlineStr">
        <is>
          <t>F0017</t>
        </is>
      </c>
    </row>
    <row r="1312" ht="15.75" customHeight="1" s="108">
      <c r="A1312" s="18" t="inlineStr">
        <is>
          <t>Danielle Edmond</t>
        </is>
      </c>
      <c r="B1312" s="18" t="n">
        <v>1</v>
      </c>
      <c r="C1312" s="18" t="n">
        <v>1992</v>
      </c>
      <c r="D1312" s="18" t="n">
        <v>1992</v>
      </c>
      <c r="E1312" s="18" t="inlineStr">
        <is>
          <t>Alien³</t>
        </is>
      </c>
      <c r="F1312" s="18" t="inlineStr">
        <is>
          <t>F0017</t>
        </is>
      </c>
    </row>
    <row r="1313" ht="15.75" customHeight="1" s="108">
      <c r="A1313" s="18" t="inlineStr">
        <is>
          <t>Tom Woodruff Jr.</t>
        </is>
      </c>
      <c r="B1313" s="18" t="n">
        <v>3</v>
      </c>
      <c r="C1313" s="18" t="n">
        <v>1992</v>
      </c>
      <c r="D1313" s="18" t="n">
        <v>2001</v>
      </c>
      <c r="E1313" s="18" t="inlineStr">
        <is>
          <t>Alien³, Alien Resurrection, Evolution</t>
        </is>
      </c>
      <c r="F1313" s="18" t="inlineStr">
        <is>
          <t>F0017, F0018, F0381</t>
        </is>
      </c>
    </row>
    <row r="1314" ht="15.75" customHeight="1" s="108">
      <c r="A1314" s="18" t="inlineStr">
        <is>
          <t>Michael Wincott</t>
        </is>
      </c>
      <c r="B1314" s="18" t="n">
        <v>1</v>
      </c>
      <c r="C1314" s="18" t="n">
        <v>1997</v>
      </c>
      <c r="D1314" s="18" t="n">
        <v>1997</v>
      </c>
      <c r="E1314" s="18" t="inlineStr">
        <is>
          <t>Alien Resurrection</t>
        </is>
      </c>
      <c r="F1314" s="18" t="inlineStr">
        <is>
          <t>F0018</t>
        </is>
      </c>
    </row>
    <row r="1315" ht="15.75" customHeight="1" s="108">
      <c r="A1315" s="18" t="inlineStr">
        <is>
          <t>Kim Flowers</t>
        </is>
      </c>
      <c r="B1315" s="18" t="n">
        <v>1</v>
      </c>
      <c r="C1315" s="18" t="n">
        <v>1997</v>
      </c>
      <c r="D1315" s="18" t="n">
        <v>1997</v>
      </c>
      <c r="E1315" s="18" t="inlineStr">
        <is>
          <t>Alien Resurrection</t>
        </is>
      </c>
      <c r="F1315" s="18" t="inlineStr">
        <is>
          <t>F0018</t>
        </is>
      </c>
    </row>
    <row r="1316" ht="15.75" customHeight="1" s="108">
      <c r="A1316" s="18" t="inlineStr">
        <is>
          <t>Dan Hedaya</t>
        </is>
      </c>
      <c r="B1316" s="18" t="n">
        <v>1</v>
      </c>
      <c r="C1316" s="18" t="n">
        <v>1997</v>
      </c>
      <c r="D1316" s="18" t="n">
        <v>1997</v>
      </c>
      <c r="E1316" s="18" t="inlineStr">
        <is>
          <t>Alien Resurrection</t>
        </is>
      </c>
      <c r="F1316" s="18" t="inlineStr">
        <is>
          <t>F0018</t>
        </is>
      </c>
    </row>
    <row r="1317" ht="15.75" customHeight="1" s="108">
      <c r="A1317" s="18" t="inlineStr">
        <is>
          <t>J.E. Freeman</t>
        </is>
      </c>
      <c r="B1317" s="18" t="n">
        <v>1</v>
      </c>
      <c r="C1317" s="18" t="n">
        <v>1997</v>
      </c>
      <c r="D1317" s="18" t="n">
        <v>1997</v>
      </c>
      <c r="E1317" s="18" t="inlineStr">
        <is>
          <t>Alien Resurrection</t>
        </is>
      </c>
      <c r="F1317" s="18" t="inlineStr">
        <is>
          <t>F0018</t>
        </is>
      </c>
    </row>
    <row r="1318" ht="15.75" customHeight="1" s="108">
      <c r="A1318" s="18" t="inlineStr">
        <is>
          <t>Brad Dourif</t>
        </is>
      </c>
      <c r="B1318" s="18" t="n">
        <v>3</v>
      </c>
      <c r="C1318" s="18" t="n">
        <v>1997</v>
      </c>
      <c r="D1318" s="18" t="n">
        <v>2011</v>
      </c>
      <c r="E1318" s="18" t="inlineStr">
        <is>
          <t>Alien Resurrection, Catch.44, The Lord of the Rings: The Two Towers</t>
        </is>
      </c>
      <c r="F1318" s="18" t="inlineStr">
        <is>
          <t>F0018, F0063, F0204</t>
        </is>
      </c>
    </row>
    <row r="1319" ht="15.75" customHeight="1" s="108">
      <c r="A1319" s="18" t="inlineStr">
        <is>
          <t>Raymond Cruz</t>
        </is>
      </c>
      <c r="B1319" s="18" t="n">
        <v>1</v>
      </c>
      <c r="C1319" s="18" t="n">
        <v>1997</v>
      </c>
      <c r="D1319" s="18" t="n">
        <v>1997</v>
      </c>
      <c r="E1319" s="18" t="inlineStr">
        <is>
          <t>Alien Resurrection</t>
        </is>
      </c>
      <c r="F1319" s="18" t="inlineStr">
        <is>
          <t>F0018</t>
        </is>
      </c>
    </row>
    <row r="1320" ht="15.75" customHeight="1" s="108">
      <c r="A1320" s="18" t="inlineStr">
        <is>
          <t>Carolyn Campbell</t>
        </is>
      </c>
      <c r="B1320" s="18" t="n">
        <v>1</v>
      </c>
      <c r="C1320" s="18" t="n">
        <v>1997</v>
      </c>
      <c r="D1320" s="18" t="n">
        <v>1997</v>
      </c>
      <c r="E1320" s="18" t="inlineStr">
        <is>
          <t>Alien Resurrection</t>
        </is>
      </c>
      <c r="F1320" s="18" t="inlineStr">
        <is>
          <t>F0018</t>
        </is>
      </c>
    </row>
    <row r="1321" ht="15.75" customHeight="1" s="108">
      <c r="A1321" s="18" t="inlineStr">
        <is>
          <t>Marlene Bush</t>
        </is>
      </c>
      <c r="B1321" s="18" t="n">
        <v>1</v>
      </c>
      <c r="C1321" s="18" t="n">
        <v>1997</v>
      </c>
      <c r="D1321" s="18" t="n">
        <v>1997</v>
      </c>
      <c r="E1321" s="18" t="inlineStr">
        <is>
          <t>Alien Resurrection</t>
        </is>
      </c>
      <c r="F1321" s="18" t="inlineStr">
        <is>
          <t>F0018</t>
        </is>
      </c>
    </row>
    <row r="1322" ht="15.75" customHeight="1" s="108">
      <c r="A1322" s="18" t="inlineStr">
        <is>
          <t>David St. James</t>
        </is>
      </c>
      <c r="B1322" s="18" t="n">
        <v>1</v>
      </c>
      <c r="C1322" s="18" t="n">
        <v>1997</v>
      </c>
      <c r="D1322" s="18" t="n">
        <v>1997</v>
      </c>
      <c r="E1322" s="18" t="inlineStr">
        <is>
          <t>Alien Resurrection</t>
        </is>
      </c>
      <c r="F1322" s="18" t="inlineStr">
        <is>
          <t>F0018</t>
        </is>
      </c>
    </row>
    <row r="1323" ht="15.75" customHeight="1" s="108">
      <c r="A1323" s="18" t="inlineStr">
        <is>
          <t>Rodney Mitchell</t>
        </is>
      </c>
      <c r="B1323" s="18" t="n">
        <v>1</v>
      </c>
      <c r="C1323" s="18" t="n">
        <v>1997</v>
      </c>
      <c r="D1323" s="18" t="n">
        <v>1997</v>
      </c>
      <c r="E1323" s="18" t="inlineStr">
        <is>
          <t>Alien Resurrection</t>
        </is>
      </c>
      <c r="F1323" s="18" t="inlineStr">
        <is>
          <t>F0018</t>
        </is>
      </c>
    </row>
    <row r="1324" ht="15.75" customHeight="1" s="108">
      <c r="A1324" s="18" t="inlineStr">
        <is>
          <t>Robert Faltisco</t>
        </is>
      </c>
      <c r="B1324" s="18" t="n">
        <v>1</v>
      </c>
      <c r="C1324" s="18" t="n">
        <v>1997</v>
      </c>
      <c r="D1324" s="18" t="n">
        <v>1997</v>
      </c>
      <c r="E1324" s="18" t="inlineStr">
        <is>
          <t>Alien Resurrection</t>
        </is>
      </c>
      <c r="F1324" s="18" t="inlineStr">
        <is>
          <t>F0018</t>
        </is>
      </c>
    </row>
    <row r="1325" ht="15.75" customHeight="1" s="108">
      <c r="A1325" s="18" t="inlineStr">
        <is>
          <t>David Rowe</t>
        </is>
      </c>
      <c r="B1325" s="18" t="n">
        <v>1</v>
      </c>
      <c r="C1325" s="18" t="n">
        <v>1997</v>
      </c>
      <c r="D1325" s="18" t="n">
        <v>1997</v>
      </c>
      <c r="E1325" s="18" t="inlineStr">
        <is>
          <t>Alien Resurrection</t>
        </is>
      </c>
      <c r="F1325" s="18" t="inlineStr">
        <is>
          <t>F0018</t>
        </is>
      </c>
    </row>
    <row r="1326" ht="15.75" customHeight="1" s="108">
      <c r="A1326" s="18" t="inlineStr">
        <is>
          <t>Garrett House</t>
        </is>
      </c>
      <c r="B1326" s="18" t="n">
        <v>1</v>
      </c>
      <c r="C1326" s="18" t="n">
        <v>1997</v>
      </c>
      <c r="D1326" s="18" t="n">
        <v>1997</v>
      </c>
      <c r="E1326" s="18" t="inlineStr">
        <is>
          <t>Alien Resurrection</t>
        </is>
      </c>
      <c r="F1326" s="18" t="inlineStr">
        <is>
          <t>F0018</t>
        </is>
      </c>
    </row>
    <row r="1327" ht="15.75" customHeight="1" s="108">
      <c r="A1327" s="18" t="inlineStr">
        <is>
          <t>Rod Damer</t>
        </is>
      </c>
      <c r="B1327" s="18" t="n">
        <v>1</v>
      </c>
      <c r="C1327" s="18" t="n">
        <v>1997</v>
      </c>
      <c r="D1327" s="18" t="n">
        <v>1997</v>
      </c>
      <c r="E1327" s="18" t="inlineStr">
        <is>
          <t>Alien Resurrection</t>
        </is>
      </c>
      <c r="F1327" s="18" t="inlineStr">
        <is>
          <t>F0018</t>
        </is>
      </c>
    </row>
    <row r="1328" ht="15.75" customHeight="1" s="108">
      <c r="A1328" s="18" t="inlineStr">
        <is>
          <t>Mark Mansfield</t>
        </is>
      </c>
      <c r="B1328" s="18" t="n">
        <v>1</v>
      </c>
      <c r="C1328" s="18" t="n">
        <v>1997</v>
      </c>
      <c r="D1328" s="18" t="n">
        <v>1997</v>
      </c>
      <c r="E1328" s="18" t="inlineStr">
        <is>
          <t>Alien Resurrection</t>
        </is>
      </c>
      <c r="F1328" s="18" t="inlineStr">
        <is>
          <t>F0018</t>
        </is>
      </c>
    </row>
    <row r="1329" ht="15.75" customHeight="1" s="108">
      <c r="A1329" s="18" t="inlineStr">
        <is>
          <t>Daniel Raymont</t>
        </is>
      </c>
      <c r="B1329" s="18" t="n">
        <v>1</v>
      </c>
      <c r="C1329" s="18" t="n">
        <v>1997</v>
      </c>
      <c r="D1329" s="18" t="n">
        <v>1997</v>
      </c>
      <c r="E1329" s="18" t="inlineStr">
        <is>
          <t>Alien Resurrection</t>
        </is>
      </c>
      <c r="F1329" s="18" t="inlineStr">
        <is>
          <t>F0018</t>
        </is>
      </c>
    </row>
    <row r="1330" ht="15.75" customHeight="1" s="108">
      <c r="A1330" s="18" t="inlineStr">
        <is>
          <t>Cris D'Annunzio</t>
        </is>
      </c>
      <c r="B1330" s="18" t="n">
        <v>1</v>
      </c>
      <c r="C1330" s="18" t="n">
        <v>1997</v>
      </c>
      <c r="D1330" s="18" t="n">
        <v>1997</v>
      </c>
      <c r="E1330" s="18" t="inlineStr">
        <is>
          <t>Alien Resurrection</t>
        </is>
      </c>
      <c r="F1330" s="18" t="inlineStr">
        <is>
          <t>F0018</t>
        </is>
      </c>
    </row>
    <row r="1331" ht="15.75" customHeight="1" s="108">
      <c r="A1331" s="18" t="inlineStr">
        <is>
          <t>Steven Gilborn</t>
        </is>
      </c>
      <c r="B1331" s="18" t="n">
        <v>2</v>
      </c>
      <c r="C1331" s="18" t="n">
        <v>1997</v>
      </c>
      <c r="D1331" s="18" t="n">
        <v>2001</v>
      </c>
      <c r="E1331" s="18" t="inlineStr">
        <is>
          <t>Alien Resurrection, Evolution</t>
        </is>
      </c>
      <c r="F1331" s="18" t="inlineStr">
        <is>
          <t>F0018, F0381</t>
        </is>
      </c>
    </row>
    <row r="1332" ht="15.75" customHeight="1" s="108">
      <c r="A1332" s="18" t="inlineStr">
        <is>
          <t>Robert Bastens</t>
        </is>
      </c>
      <c r="B1332" s="18" t="n">
        <v>1</v>
      </c>
      <c r="C1332" s="18" t="n">
        <v>1997</v>
      </c>
      <c r="D1332" s="18" t="n">
        <v>1997</v>
      </c>
      <c r="E1332" s="18" t="inlineStr">
        <is>
          <t>Alien Resurrection</t>
        </is>
      </c>
      <c r="F1332" s="18" t="inlineStr">
        <is>
          <t>F0018</t>
        </is>
      </c>
    </row>
    <row r="1333" ht="15.75" customHeight="1" s="108">
      <c r="A1333" s="18" t="inlineStr">
        <is>
          <t>Rico Bueno</t>
        </is>
      </c>
      <c r="B1333" s="18" t="n">
        <v>1</v>
      </c>
      <c r="C1333" s="18" t="n">
        <v>1997</v>
      </c>
      <c r="D1333" s="18" t="n">
        <v>1997</v>
      </c>
      <c r="E1333" s="18" t="inlineStr">
        <is>
          <t>Alien Resurrection</t>
        </is>
      </c>
      <c r="F1333" s="18" t="inlineStr">
        <is>
          <t>F0018</t>
        </is>
      </c>
    </row>
    <row r="1334" ht="15.75" customHeight="1" s="108">
      <c r="A1334" s="18" t="inlineStr">
        <is>
          <t>Alex Lorre</t>
        </is>
      </c>
      <c r="B1334" s="18" t="n">
        <v>1</v>
      </c>
      <c r="C1334" s="18" t="n">
        <v>1997</v>
      </c>
      <c r="D1334" s="18" t="n">
        <v>1997</v>
      </c>
      <c r="E1334" s="18" t="inlineStr">
        <is>
          <t>Alien Resurrection</t>
        </is>
      </c>
      <c r="F1334" s="18" t="inlineStr">
        <is>
          <t>F0018</t>
        </is>
      </c>
    </row>
    <row r="1335" ht="15.75" customHeight="1" s="108">
      <c r="A1335" s="18" t="inlineStr">
        <is>
          <t>Ronald Ramessar</t>
        </is>
      </c>
      <c r="B1335" s="18" t="n">
        <v>1</v>
      </c>
      <c r="C1335" s="18" t="n">
        <v>1997</v>
      </c>
      <c r="D1335" s="18" t="n">
        <v>1997</v>
      </c>
      <c r="E1335" s="18" t="inlineStr">
        <is>
          <t>Alien Resurrection</t>
        </is>
      </c>
      <c r="F1335" s="18" t="inlineStr">
        <is>
          <t>F0018</t>
        </is>
      </c>
    </row>
    <row r="1336" ht="15.75" customHeight="1" s="108">
      <c r="A1336" s="18" t="inlineStr">
        <is>
          <t>Nicole Fellows</t>
        </is>
      </c>
      <c r="B1336" s="18" t="n">
        <v>1</v>
      </c>
      <c r="C1336" s="18" t="n">
        <v>1997</v>
      </c>
      <c r="D1336" s="18" t="n">
        <v>1997</v>
      </c>
      <c r="E1336" s="18" t="inlineStr">
        <is>
          <t>Alien Resurrection</t>
        </is>
      </c>
      <c r="F1336" s="18" t="inlineStr">
        <is>
          <t>F0018</t>
        </is>
      </c>
    </row>
    <row r="1337" ht="15.75" customHeight="1" s="108">
      <c r="A1337" s="18" t="inlineStr">
        <is>
          <t>Sally Field</t>
        </is>
      </c>
      <c r="B1337" s="18" t="n">
        <v>2</v>
      </c>
      <c r="C1337" s="18" t="n">
        <v>2012</v>
      </c>
      <c r="D1337" s="18" t="n">
        <v>2014</v>
      </c>
      <c r="E1337" s="18" t="inlineStr">
        <is>
          <t>The Amazing Spider-Man, amazing spider-man 2</t>
        </is>
      </c>
      <c r="F1337" s="18" t="inlineStr">
        <is>
          <t>F0019, F0363</t>
        </is>
      </c>
    </row>
    <row r="1338" ht="15.75" customHeight="1" s="108">
      <c r="A1338" s="18" t="inlineStr">
        <is>
          <t>Campbell Scott</t>
        </is>
      </c>
      <c r="B1338" s="18" t="n">
        <v>3</v>
      </c>
      <c r="C1338" s="18" t="n">
        <v>2012</v>
      </c>
      <c r="D1338" s="18" t="n">
        <v>2022</v>
      </c>
      <c r="E1338" s="18" t="inlineStr">
        <is>
          <t>The Amazing Spider-Man, Jurassic World Dominion, amazing spider-man 2</t>
        </is>
      </c>
      <c r="F1338" s="18" t="inlineStr">
        <is>
          <t>F0019, F0181, F0363</t>
        </is>
      </c>
    </row>
    <row r="1339" ht="15.75" customHeight="1" s="108">
      <c r="A1339" s="18" t="inlineStr">
        <is>
          <t>Embeth Davidtz</t>
        </is>
      </c>
      <c r="B1339" s="18" t="n">
        <v>2</v>
      </c>
      <c r="C1339" s="18" t="n">
        <v>2012</v>
      </c>
      <c r="D1339" s="18" t="n">
        <v>2014</v>
      </c>
      <c r="E1339" s="18" t="inlineStr">
        <is>
          <t>The Amazing Spider-Man, amazing spider-man 2</t>
        </is>
      </c>
      <c r="F1339" s="18" t="inlineStr">
        <is>
          <t>F0019, F0363</t>
        </is>
      </c>
    </row>
    <row r="1340" ht="15.75" customHeight="1" s="108">
      <c r="A1340" s="18" t="inlineStr">
        <is>
          <t>Chris Zylka</t>
        </is>
      </c>
      <c r="B1340" s="18" t="n">
        <v>1</v>
      </c>
      <c r="C1340" s="18" t="n">
        <v>2012</v>
      </c>
      <c r="D1340" s="18" t="n">
        <v>2012</v>
      </c>
      <c r="E1340" s="18" t="inlineStr">
        <is>
          <t>The Amazing Spider-Man</t>
        </is>
      </c>
      <c r="F1340" s="18" t="inlineStr">
        <is>
          <t>F0019</t>
        </is>
      </c>
    </row>
    <row r="1341" ht="15.75" customHeight="1" s="108">
      <c r="A1341" s="18" t="inlineStr">
        <is>
          <t>Max Charles</t>
        </is>
      </c>
      <c r="B1341" s="18" t="n">
        <v>2</v>
      </c>
      <c r="C1341" s="18" t="n">
        <v>2012</v>
      </c>
      <c r="D1341" s="18" t="n">
        <v>2014</v>
      </c>
      <c r="E1341" s="18" t="inlineStr">
        <is>
          <t>The Amazing Spider-Man, amazing spider-man 2</t>
        </is>
      </c>
      <c r="F1341" s="18" t="inlineStr">
        <is>
          <t>F0019, F0363</t>
        </is>
      </c>
    </row>
    <row r="1342" ht="15.75" customHeight="1" s="108">
      <c r="A1342" s="18" t="inlineStr">
        <is>
          <t>C. Thomas Howell</t>
        </is>
      </c>
      <c r="B1342" s="18" t="n">
        <v>1</v>
      </c>
      <c r="C1342" s="18" t="n">
        <v>2012</v>
      </c>
      <c r="D1342" s="18" t="n">
        <v>2012</v>
      </c>
      <c r="E1342" s="18" t="inlineStr">
        <is>
          <t>The Amazing Spider-Man</t>
        </is>
      </c>
      <c r="F1342" s="18" t="inlineStr">
        <is>
          <t>F0019</t>
        </is>
      </c>
    </row>
    <row r="1343" ht="15.75" customHeight="1" s="108">
      <c r="A1343" s="18" t="inlineStr">
        <is>
          <t>Jake Keiffer</t>
        </is>
      </c>
      <c r="B1343" s="18" t="n">
        <v>1</v>
      </c>
      <c r="C1343" s="18" t="n">
        <v>2012</v>
      </c>
      <c r="D1343" s="18" t="n">
        <v>2012</v>
      </c>
      <c r="E1343" s="18" t="inlineStr">
        <is>
          <t>The Amazing Spider-Man</t>
        </is>
      </c>
      <c r="F1343" s="18" t="inlineStr">
        <is>
          <t>F0019</t>
        </is>
      </c>
    </row>
    <row r="1344" ht="15.75" customHeight="1" s="108">
      <c r="A1344" s="18" t="inlineStr">
        <is>
          <t>Kari Coleman</t>
        </is>
      </c>
      <c r="B1344" s="18" t="n">
        <v>2</v>
      </c>
      <c r="C1344" s="18" t="n">
        <v>2012</v>
      </c>
      <c r="D1344" s="18" t="n">
        <v>2014</v>
      </c>
      <c r="E1344" s="18" t="inlineStr">
        <is>
          <t>The Amazing Spider-Man, amazing spider-man 2</t>
        </is>
      </c>
      <c r="F1344" s="18" t="inlineStr">
        <is>
          <t>F0019, F0363</t>
        </is>
      </c>
    </row>
    <row r="1345" ht="15.75" customHeight="1" s="108">
      <c r="A1345" s="18" t="inlineStr">
        <is>
          <t>Michael Barra</t>
        </is>
      </c>
      <c r="B1345" s="18" t="n">
        <v>1</v>
      </c>
      <c r="C1345" s="18" t="n">
        <v>2012</v>
      </c>
      <c r="D1345" s="18" t="n">
        <v>2012</v>
      </c>
      <c r="E1345" s="18" t="inlineStr">
        <is>
          <t>The Amazing Spider-Man</t>
        </is>
      </c>
      <c r="F1345" s="18" t="inlineStr">
        <is>
          <t>F0019</t>
        </is>
      </c>
    </row>
    <row r="1346" ht="15.75" customHeight="1" s="108">
      <c r="A1346" s="18" t="inlineStr">
        <is>
          <t>Leif Gantvoort</t>
        </is>
      </c>
      <c r="B1346" s="18" t="n">
        <v>1</v>
      </c>
      <c r="C1346" s="18" t="n">
        <v>2012</v>
      </c>
      <c r="D1346" s="18" t="n">
        <v>2012</v>
      </c>
      <c r="E1346" s="18" t="inlineStr">
        <is>
          <t>The Amazing Spider-Man</t>
        </is>
      </c>
      <c r="F1346" s="18" t="inlineStr">
        <is>
          <t>F0019</t>
        </is>
      </c>
    </row>
    <row r="1347" ht="15.75" customHeight="1" s="108">
      <c r="A1347" s="18" t="inlineStr">
        <is>
          <t>Andy Pessoa</t>
        </is>
      </c>
      <c r="B1347" s="18" t="n">
        <v>1</v>
      </c>
      <c r="C1347" s="18" t="n">
        <v>2012</v>
      </c>
      <c r="D1347" s="18" t="n">
        <v>2012</v>
      </c>
      <c r="E1347" s="18" t="inlineStr">
        <is>
          <t>The Amazing Spider-Man</t>
        </is>
      </c>
      <c r="F1347" s="18" t="inlineStr">
        <is>
          <t>F0019</t>
        </is>
      </c>
    </row>
    <row r="1348" ht="15.75" customHeight="1" s="108">
      <c r="A1348" s="18" t="inlineStr">
        <is>
          <t>Hannah Marks</t>
        </is>
      </c>
      <c r="B1348" s="18" t="n">
        <v>1</v>
      </c>
      <c r="C1348" s="18" t="n">
        <v>2012</v>
      </c>
      <c r="D1348" s="18" t="n">
        <v>2012</v>
      </c>
      <c r="E1348" s="18" t="inlineStr">
        <is>
          <t>The Amazing Spider-Man</t>
        </is>
      </c>
      <c r="F1348" s="18" t="inlineStr">
        <is>
          <t>F0019</t>
        </is>
      </c>
    </row>
    <row r="1349" ht="15.75" customHeight="1" s="108">
      <c r="A1349" s="18" t="inlineStr">
        <is>
          <t>Kelsey Asbille</t>
        </is>
      </c>
      <c r="B1349" s="18" t="n">
        <v>1</v>
      </c>
      <c r="C1349" s="18" t="n">
        <v>2012</v>
      </c>
      <c r="D1349" s="18" t="n">
        <v>2012</v>
      </c>
      <c r="E1349" s="18" t="inlineStr">
        <is>
          <t>The Amazing Spider-Man</t>
        </is>
      </c>
      <c r="F1349" s="18" t="inlineStr">
        <is>
          <t>F0019</t>
        </is>
      </c>
    </row>
    <row r="1350" ht="15.75" customHeight="1" s="108">
      <c r="A1350" s="18" t="inlineStr">
        <is>
          <t>Kevin McCorkle</t>
        </is>
      </c>
      <c r="B1350" s="18" t="n">
        <v>1</v>
      </c>
      <c r="C1350" s="18" t="n">
        <v>2012</v>
      </c>
      <c r="D1350" s="18" t="n">
        <v>2012</v>
      </c>
      <c r="E1350" s="18" t="inlineStr">
        <is>
          <t>The Amazing Spider-Man</t>
        </is>
      </c>
      <c r="F1350" s="18" t="inlineStr">
        <is>
          <t>F0019</t>
        </is>
      </c>
    </row>
    <row r="1351" ht="15.75" customHeight="1" s="108">
      <c r="A1351" s="18" t="inlineStr">
        <is>
          <t>Andy Gladbach</t>
        </is>
      </c>
      <c r="B1351" s="18" t="n">
        <v>1</v>
      </c>
      <c r="C1351" s="18" t="n">
        <v>2012</v>
      </c>
      <c r="D1351" s="18" t="n">
        <v>2012</v>
      </c>
      <c r="E1351" s="18" t="inlineStr">
        <is>
          <t>The Amazing Spider-Man</t>
        </is>
      </c>
      <c r="F1351" s="18" t="inlineStr">
        <is>
          <t>F0019</t>
        </is>
      </c>
    </row>
    <row r="1352" ht="15.75" customHeight="1" s="108">
      <c r="A1352" s="18" t="inlineStr">
        <is>
          <t>Ring Hendricks-Tellefsen</t>
        </is>
      </c>
      <c r="B1352" s="18" t="n">
        <v>1</v>
      </c>
      <c r="C1352" s="18" t="n">
        <v>2012</v>
      </c>
      <c r="D1352" s="18" t="n">
        <v>2012</v>
      </c>
      <c r="E1352" s="18" t="inlineStr">
        <is>
          <t>The Amazing Spider-Man</t>
        </is>
      </c>
      <c r="F1352" s="18" t="inlineStr">
        <is>
          <t>F0019</t>
        </is>
      </c>
    </row>
    <row r="1353" ht="15.75" customHeight="1" s="108">
      <c r="A1353" s="18" t="inlineStr">
        <is>
          <t>Barbara Eve Harris</t>
        </is>
      </c>
      <c r="B1353" s="18" t="n">
        <v>1</v>
      </c>
      <c r="C1353" s="18" t="n">
        <v>2012</v>
      </c>
      <c r="D1353" s="18" t="n">
        <v>2012</v>
      </c>
      <c r="E1353" s="18" t="inlineStr">
        <is>
          <t>The Amazing Spider-Man</t>
        </is>
      </c>
      <c r="F1353" s="18" t="inlineStr">
        <is>
          <t>F0019</t>
        </is>
      </c>
    </row>
    <row r="1354" ht="15.75" customHeight="1" s="108">
      <c r="A1354" s="18" t="inlineStr">
        <is>
          <t>Stan Lee</t>
        </is>
      </c>
      <c r="B1354" s="18" t="n">
        <v>7</v>
      </c>
      <c r="C1354" s="18" t="n">
        <v>2000</v>
      </c>
      <c r="D1354" s="18" t="n">
        <v>2016</v>
      </c>
      <c r="E1354" s="18" t="inlineStr">
        <is>
          <t>The Amazing Spider-Man, Big Hero 6, Deadpool, Spider-Man 2, Spider-Man 3, X-Men, X-Men: The Last Stand</t>
        </is>
      </c>
      <c r="F1354" s="18" t="inlineStr">
        <is>
          <t>F0019, F0048, F0076, F0288, F0289, F0344, F0346</t>
        </is>
      </c>
    </row>
    <row r="1355" ht="15.75" customHeight="1" s="108">
      <c r="A1355" s="18" t="inlineStr">
        <is>
          <t>Danielle Burgio</t>
        </is>
      </c>
      <c r="B1355" s="18" t="n">
        <v>2</v>
      </c>
      <c r="C1355" s="18" t="n">
        <v>2012</v>
      </c>
      <c r="D1355" s="18" t="n">
        <v>2012</v>
      </c>
      <c r="E1355" s="18" t="inlineStr">
        <is>
          <t>The Amazing Spider-Man, The Dictator</t>
        </is>
      </c>
      <c r="F1355" s="18" t="inlineStr">
        <is>
          <t>F0019, F0085</t>
        </is>
      </c>
    </row>
    <row r="1356" ht="15.75" customHeight="1" s="108">
      <c r="A1356" s="18" t="inlineStr">
        <is>
          <t>Tom Waite</t>
        </is>
      </c>
      <c r="B1356" s="18" t="n">
        <v>1</v>
      </c>
      <c r="C1356" s="18" t="n">
        <v>2012</v>
      </c>
      <c r="D1356" s="18" t="n">
        <v>2012</v>
      </c>
      <c r="E1356" s="18" t="inlineStr">
        <is>
          <t>The Amazing Spider-Man</t>
        </is>
      </c>
      <c r="F1356" s="18" t="inlineStr">
        <is>
          <t>F0019</t>
        </is>
      </c>
    </row>
    <row r="1357" ht="15.75" customHeight="1" s="108">
      <c r="A1357" s="18" t="inlineStr">
        <is>
          <t>Keith Campbell</t>
        </is>
      </c>
      <c r="B1357" s="18" t="n">
        <v>2</v>
      </c>
      <c r="C1357" s="18" t="n">
        <v>1997</v>
      </c>
      <c r="D1357" s="18" t="n">
        <v>2012</v>
      </c>
      <c r="E1357" s="18" t="inlineStr">
        <is>
          <t>The Amazing Spider-Man, Men in Black</t>
        </is>
      </c>
      <c r="F1357" s="18" t="inlineStr">
        <is>
          <t>F0019, F0218</t>
        </is>
      </c>
    </row>
    <row r="1358" ht="15.75" customHeight="1" s="108">
      <c r="A1358" s="18" t="inlineStr">
        <is>
          <t>Steve DeCastro</t>
        </is>
      </c>
      <c r="B1358" s="18" t="n">
        <v>1</v>
      </c>
      <c r="C1358" s="18" t="n">
        <v>2012</v>
      </c>
      <c r="D1358" s="18" t="n">
        <v>2012</v>
      </c>
      <c r="E1358" s="18" t="inlineStr">
        <is>
          <t>The Amazing Spider-Man</t>
        </is>
      </c>
      <c r="F1358" s="18" t="inlineStr">
        <is>
          <t>F0019</t>
        </is>
      </c>
    </row>
    <row r="1359" ht="15.75" customHeight="1" s="108">
      <c r="A1359" s="18" t="inlineStr">
        <is>
          <t>Jill Flint</t>
        </is>
      </c>
      <c r="B1359" s="18" t="n">
        <v>1</v>
      </c>
      <c r="C1359" s="18" t="n">
        <v>2012</v>
      </c>
      <c r="D1359" s="18" t="n">
        <v>2012</v>
      </c>
      <c r="E1359" s="18" t="inlineStr">
        <is>
          <t>The Amazing Spider-Man</t>
        </is>
      </c>
      <c r="F1359" s="18" t="inlineStr">
        <is>
          <t>F0019</t>
        </is>
      </c>
    </row>
    <row r="1360" ht="15.75" customHeight="1" s="108">
      <c r="A1360" s="18" t="inlineStr">
        <is>
          <t>Mark Daugherty</t>
        </is>
      </c>
      <c r="B1360" s="18" t="n">
        <v>1</v>
      </c>
      <c r="C1360" s="18" t="n">
        <v>2012</v>
      </c>
      <c r="D1360" s="18" t="n">
        <v>2012</v>
      </c>
      <c r="E1360" s="18" t="inlineStr">
        <is>
          <t>The Amazing Spider-Man</t>
        </is>
      </c>
      <c r="F1360" s="18" t="inlineStr">
        <is>
          <t>F0019</t>
        </is>
      </c>
    </row>
    <row r="1361" ht="15.75" customHeight="1" s="108">
      <c r="A1361" s="18" t="inlineStr">
        <is>
          <t>Jack Huston</t>
        </is>
      </c>
      <c r="B1361" s="18" t="n">
        <v>1</v>
      </c>
      <c r="C1361" s="18" t="n">
        <v>2013</v>
      </c>
      <c r="D1361" s="18" t="n">
        <v>2013</v>
      </c>
      <c r="E1361" s="18" t="inlineStr">
        <is>
          <t>American Hustle</t>
        </is>
      </c>
      <c r="F1361" s="18" t="inlineStr">
        <is>
          <t>F0020</t>
        </is>
      </c>
    </row>
    <row r="1362" ht="15.75" customHeight="1" s="108">
      <c r="A1362" s="18" t="inlineStr">
        <is>
          <t>Shea Whigham</t>
        </is>
      </c>
      <c r="B1362" s="18" t="n">
        <v>9</v>
      </c>
      <c r="C1362" s="18" t="n">
        <v>2009</v>
      </c>
      <c r="D1362" s="18" t="n">
        <v>2025</v>
      </c>
      <c r="E1362" s="18" t="inlineStr">
        <is>
          <t>American Hustle, Catch.44, F1, Fast &amp; Furious 6, F9: The Fast Saga, Kong: Skull Island, Mission: Impossible - Dead Reckoning Part One, Mission: Impossible - The Final Reckoning, Fast &amp; Furious</t>
        </is>
      </c>
      <c r="F1362" s="18" t="inlineStr">
        <is>
          <t>F0020, F0063, F0098, F0106, F0109, F0190, F0227, F0228, F0104</t>
        </is>
      </c>
    </row>
    <row r="1363" ht="15.75" customHeight="1" s="108">
      <c r="A1363" s="18" t="inlineStr">
        <is>
          <t>Elisabeth Röhm</t>
        </is>
      </c>
      <c r="B1363" s="18" t="n">
        <v>1</v>
      </c>
      <c r="C1363" s="18" t="n">
        <v>2013</v>
      </c>
      <c r="D1363" s="18" t="n">
        <v>2013</v>
      </c>
      <c r="E1363" s="18" t="inlineStr">
        <is>
          <t>American Hustle</t>
        </is>
      </c>
      <c r="F1363" s="18" t="inlineStr">
        <is>
          <t>F0020</t>
        </is>
      </c>
    </row>
    <row r="1364" ht="15.75" customHeight="1" s="108">
      <c r="A1364" s="18" t="inlineStr">
        <is>
          <t>Paul Herman</t>
        </is>
      </c>
      <c r="B1364" s="18" t="n">
        <v>1</v>
      </c>
      <c r="C1364" s="18" t="n">
        <v>2013</v>
      </c>
      <c r="D1364" s="18" t="n">
        <v>2013</v>
      </c>
      <c r="E1364" s="18" t="inlineStr">
        <is>
          <t>American Hustle</t>
        </is>
      </c>
      <c r="F1364" s="18" t="inlineStr">
        <is>
          <t>F0020</t>
        </is>
      </c>
    </row>
    <row r="1365" ht="15.75" customHeight="1" s="108">
      <c r="A1365" s="18" t="inlineStr">
        <is>
          <t>Saïd Taghmaoui</t>
        </is>
      </c>
      <c r="B1365" s="18" t="n">
        <v>3</v>
      </c>
      <c r="C1365" s="18" t="n">
        <v>2009</v>
      </c>
      <c r="D1365" s="18" t="n">
        <v>2019</v>
      </c>
      <c r="E1365" s="18" t="inlineStr">
        <is>
          <t>American Hustle, G.I. Joe: The Rise of Cobra, John wick chapter 3</t>
        </is>
      </c>
      <c r="F1365" s="18" t="inlineStr">
        <is>
          <t>F0020, F0118, F0391</t>
        </is>
      </c>
    </row>
    <row r="1366" ht="15.75" customHeight="1" s="108">
      <c r="A1366" s="18" t="inlineStr">
        <is>
          <t>Matthew Russell</t>
        </is>
      </c>
      <c r="B1366" s="18" t="n">
        <v>1</v>
      </c>
      <c r="C1366" s="18" t="n">
        <v>2013</v>
      </c>
      <c r="D1366" s="18" t="n">
        <v>2013</v>
      </c>
      <c r="E1366" s="18" t="inlineStr">
        <is>
          <t>American Hustle</t>
        </is>
      </c>
      <c r="F1366" s="18" t="inlineStr">
        <is>
          <t>F0020</t>
        </is>
      </c>
    </row>
    <row r="1367" ht="15.75" customHeight="1" s="108">
      <c r="A1367" s="18" t="inlineStr">
        <is>
          <t>Thomas Matthews</t>
        </is>
      </c>
      <c r="B1367" s="18" t="n">
        <v>1</v>
      </c>
      <c r="C1367" s="18" t="n">
        <v>2013</v>
      </c>
      <c r="D1367" s="18" t="n">
        <v>2013</v>
      </c>
      <c r="E1367" s="18" t="inlineStr">
        <is>
          <t>American Hustle</t>
        </is>
      </c>
      <c r="F1367" s="18" t="inlineStr">
        <is>
          <t>F0020</t>
        </is>
      </c>
    </row>
    <row r="1368" ht="15.75" customHeight="1" s="108">
      <c r="A1368" s="18" t="inlineStr">
        <is>
          <t>Adrian Martinez</t>
        </is>
      </c>
      <c r="B1368" s="18" t="n">
        <v>3</v>
      </c>
      <c r="C1368" s="18" t="n">
        <v>2010</v>
      </c>
      <c r="D1368" s="18" t="n">
        <v>2014</v>
      </c>
      <c r="E1368" s="18" t="inlineStr">
        <is>
          <t>American Hustle, Kick-Ass, amazing spider-man 2</t>
        </is>
      </c>
      <c r="F1368" s="18" t="inlineStr">
        <is>
          <t>F0020, F0185, F0363</t>
        </is>
      </c>
    </row>
    <row r="1369" ht="15.75" customHeight="1" s="108">
      <c r="A1369" s="18" t="inlineStr">
        <is>
          <t>Anthony Zerbe</t>
        </is>
      </c>
      <c r="B1369" s="18" t="n">
        <v>3</v>
      </c>
      <c r="C1369" s="18" t="n">
        <v>2003</v>
      </c>
      <c r="D1369" s="18" t="n">
        <v>2013</v>
      </c>
      <c r="E1369" s="18" t="inlineStr">
        <is>
          <t>American Hustle, The Matrix Reloaded, The Matrix Revolutions</t>
        </is>
      </c>
      <c r="F1369" s="18" t="inlineStr">
        <is>
          <t>F0020, F0215, F0216</t>
        </is>
      </c>
    </row>
    <row r="1370" ht="15.75" customHeight="1" s="108">
      <c r="A1370" s="18" t="inlineStr">
        <is>
          <t>Colleen Camp</t>
        </is>
      </c>
      <c r="B1370" s="18" t="n">
        <v>1</v>
      </c>
      <c r="C1370" s="18" t="n">
        <v>2013</v>
      </c>
      <c r="D1370" s="18" t="n">
        <v>2013</v>
      </c>
      <c r="E1370" s="18" t="inlineStr">
        <is>
          <t>American Hustle</t>
        </is>
      </c>
      <c r="F1370" s="18" t="inlineStr">
        <is>
          <t>F0020</t>
        </is>
      </c>
    </row>
    <row r="1371" ht="15.75" customHeight="1" s="108">
      <c r="A1371" s="18" t="inlineStr">
        <is>
          <t>Steve Gagliastro</t>
        </is>
      </c>
      <c r="B1371" s="18" t="n">
        <v>1</v>
      </c>
      <c r="C1371" s="18" t="n">
        <v>2013</v>
      </c>
      <c r="D1371" s="18" t="n">
        <v>2013</v>
      </c>
      <c r="E1371" s="18" t="inlineStr">
        <is>
          <t>American Hustle</t>
        </is>
      </c>
      <c r="F1371" s="18" t="inlineStr">
        <is>
          <t>F0020</t>
        </is>
      </c>
    </row>
    <row r="1372" ht="15.75" customHeight="1" s="108">
      <c r="A1372" s="18" t="inlineStr">
        <is>
          <t>Christopher Tarjan</t>
        </is>
      </c>
      <c r="B1372" s="18" t="n">
        <v>1</v>
      </c>
      <c r="C1372" s="18" t="n">
        <v>2013</v>
      </c>
      <c r="D1372" s="18" t="n">
        <v>2013</v>
      </c>
      <c r="E1372" s="18" t="inlineStr">
        <is>
          <t>American Hustle</t>
        </is>
      </c>
      <c r="F1372" s="18" t="inlineStr">
        <is>
          <t>F0020</t>
        </is>
      </c>
    </row>
    <row r="1373" ht="15.75" customHeight="1" s="108">
      <c r="A1373" s="18" t="inlineStr">
        <is>
          <t>Zachariah Supka</t>
        </is>
      </c>
      <c r="B1373" s="18" t="n">
        <v>1</v>
      </c>
      <c r="C1373" s="18" t="n">
        <v>2013</v>
      </c>
      <c r="D1373" s="18" t="n">
        <v>2013</v>
      </c>
      <c r="E1373" s="18" t="inlineStr">
        <is>
          <t>American Hustle</t>
        </is>
      </c>
      <c r="F1373" s="18" t="inlineStr">
        <is>
          <t>F0020</t>
        </is>
      </c>
    </row>
    <row r="1374" ht="15.75" customHeight="1" s="108">
      <c r="A1374" s="18" t="inlineStr">
        <is>
          <t>Christy Scott Cashman</t>
        </is>
      </c>
      <c r="B1374" s="18" t="n">
        <v>1</v>
      </c>
      <c r="C1374" s="18" t="n">
        <v>2013</v>
      </c>
      <c r="D1374" s="18" t="n">
        <v>2013</v>
      </c>
      <c r="E1374" s="18" t="inlineStr">
        <is>
          <t>American Hustle</t>
        </is>
      </c>
      <c r="F1374" s="18" t="inlineStr">
        <is>
          <t>F0020</t>
        </is>
      </c>
    </row>
    <row r="1375" ht="15.75" customHeight="1" s="108">
      <c r="A1375" s="18" t="inlineStr">
        <is>
          <t>Simon Hamlin</t>
        </is>
      </c>
      <c r="B1375" s="18" t="n">
        <v>1</v>
      </c>
      <c r="C1375" s="18" t="n">
        <v>2013</v>
      </c>
      <c r="D1375" s="18" t="n">
        <v>2013</v>
      </c>
      <c r="E1375" s="18" t="inlineStr">
        <is>
          <t>American Hustle</t>
        </is>
      </c>
      <c r="F1375" s="18" t="inlineStr">
        <is>
          <t>F0020</t>
        </is>
      </c>
    </row>
    <row r="1376" ht="15.75" customHeight="1" s="108">
      <c r="A1376" s="18" t="inlineStr">
        <is>
          <t>Martie Barylick</t>
        </is>
      </c>
      <c r="B1376" s="18" t="n">
        <v>1</v>
      </c>
      <c r="C1376" s="18" t="n">
        <v>2013</v>
      </c>
      <c r="D1376" s="18" t="n">
        <v>2013</v>
      </c>
      <c r="E1376" s="18" t="inlineStr">
        <is>
          <t>American Hustle</t>
        </is>
      </c>
      <c r="F1376" s="18" t="inlineStr">
        <is>
          <t>F0020</t>
        </is>
      </c>
    </row>
    <row r="1377" ht="15.75" customHeight="1" s="108">
      <c r="A1377" s="18" t="inlineStr">
        <is>
          <t>Dawn Olivieri</t>
        </is>
      </c>
      <c r="B1377" s="18" t="n">
        <v>1</v>
      </c>
      <c r="C1377" s="18" t="n">
        <v>2013</v>
      </c>
      <c r="D1377" s="18" t="n">
        <v>2013</v>
      </c>
      <c r="E1377" s="18" t="inlineStr">
        <is>
          <t>American Hustle</t>
        </is>
      </c>
      <c r="F1377" s="18" t="inlineStr">
        <is>
          <t>F0020</t>
        </is>
      </c>
    </row>
    <row r="1378" ht="15.75" customHeight="1" s="108">
      <c r="A1378" s="18" t="inlineStr">
        <is>
          <t>Becki Dennis</t>
        </is>
      </c>
      <c r="B1378" s="18" t="n">
        <v>1</v>
      </c>
      <c r="C1378" s="18" t="n">
        <v>2013</v>
      </c>
      <c r="D1378" s="18" t="n">
        <v>2013</v>
      </c>
      <c r="E1378" s="18" t="inlineStr">
        <is>
          <t>American Hustle</t>
        </is>
      </c>
      <c r="F1378" s="18" t="inlineStr">
        <is>
          <t>F0020</t>
        </is>
      </c>
    </row>
    <row r="1379" ht="15.75" customHeight="1" s="108">
      <c r="A1379" s="18" t="inlineStr">
        <is>
          <t>Jay Giannone</t>
        </is>
      </c>
      <c r="B1379" s="18" t="n">
        <v>1</v>
      </c>
      <c r="C1379" s="18" t="n">
        <v>2013</v>
      </c>
      <c r="D1379" s="18" t="n">
        <v>2013</v>
      </c>
      <c r="E1379" s="18" t="inlineStr">
        <is>
          <t>American Hustle</t>
        </is>
      </c>
      <c r="F1379" s="18" t="inlineStr">
        <is>
          <t>F0020</t>
        </is>
      </c>
    </row>
    <row r="1380" ht="15.75" customHeight="1" s="108">
      <c r="A1380" s="18" t="inlineStr">
        <is>
          <t>Arthur Birnbaum</t>
        </is>
      </c>
      <c r="B1380" s="18" t="n">
        <v>1</v>
      </c>
      <c r="C1380" s="18" t="n">
        <v>2013</v>
      </c>
      <c r="D1380" s="18" t="n">
        <v>2013</v>
      </c>
      <c r="E1380" s="18" t="inlineStr">
        <is>
          <t>American Hustle</t>
        </is>
      </c>
      <c r="F1380" s="18" t="inlineStr">
        <is>
          <t>F0020</t>
        </is>
      </c>
    </row>
    <row r="1381" ht="15.75" customHeight="1" s="108">
      <c r="A1381" s="18" t="inlineStr">
        <is>
          <t>Rob DiNinni</t>
        </is>
      </c>
      <c r="B1381" s="18" t="n">
        <v>1</v>
      </c>
      <c r="C1381" s="18" t="n">
        <v>2013</v>
      </c>
      <c r="D1381" s="18" t="n">
        <v>2013</v>
      </c>
      <c r="E1381" s="18" t="inlineStr">
        <is>
          <t>American Hustle</t>
        </is>
      </c>
      <c r="F1381" s="18" t="inlineStr">
        <is>
          <t>F0020</t>
        </is>
      </c>
    </row>
    <row r="1382" ht="15.75" customHeight="1" s="108">
      <c r="A1382" s="18" t="inlineStr">
        <is>
          <t>Michael Fennimore</t>
        </is>
      </c>
      <c r="B1382" s="18" t="n">
        <v>1</v>
      </c>
      <c r="C1382" s="18" t="n">
        <v>2013</v>
      </c>
      <c r="D1382" s="18" t="n">
        <v>2013</v>
      </c>
      <c r="E1382" s="18" t="inlineStr">
        <is>
          <t>American Hustle</t>
        </is>
      </c>
      <c r="F1382" s="18" t="inlineStr">
        <is>
          <t>F0020</t>
        </is>
      </c>
    </row>
    <row r="1383" ht="15.75" customHeight="1" s="108">
      <c r="A1383" s="18" t="inlineStr">
        <is>
          <t>Christopher Hagen</t>
        </is>
      </c>
      <c r="B1383" s="18" t="n">
        <v>1</v>
      </c>
      <c r="C1383" s="18" t="n">
        <v>2014</v>
      </c>
      <c r="D1383" s="18" t="n">
        <v>2014</v>
      </c>
      <c r="E1383" s="18" t="inlineStr">
        <is>
          <t>A Million Ways to Die in the West</t>
        </is>
      </c>
      <c r="F1383" s="18" t="inlineStr">
        <is>
          <t>F0021</t>
        </is>
      </c>
    </row>
    <row r="1384" ht="15.75" customHeight="1" s="108">
      <c r="A1384" s="18" t="inlineStr">
        <is>
          <t>Wes Studi</t>
        </is>
      </c>
      <c r="B1384" s="18" t="n">
        <v>2</v>
      </c>
      <c r="C1384" s="18" t="n">
        <v>2009</v>
      </c>
      <c r="D1384" s="18" t="n">
        <v>2014</v>
      </c>
      <c r="E1384" s="18" t="inlineStr">
        <is>
          <t>A Million Ways to Die in the West, Avatar</t>
        </is>
      </c>
      <c r="F1384" s="18" t="inlineStr">
        <is>
          <t>F0021, F0028</t>
        </is>
      </c>
    </row>
    <row r="1385" ht="15.75" customHeight="1" s="108">
      <c r="A1385" s="18" t="inlineStr">
        <is>
          <t>Matt Clark</t>
        </is>
      </c>
      <c r="B1385" s="18" t="n">
        <v>2</v>
      </c>
      <c r="C1385" s="18" t="n">
        <v>1990</v>
      </c>
      <c r="D1385" s="18" t="n">
        <v>2014</v>
      </c>
      <c r="E1385" s="18" t="inlineStr">
        <is>
          <t>A Million Ways to Die in the West, Back to the Future Part III</t>
        </is>
      </c>
      <c r="F1385" s="18" t="inlineStr">
        <is>
          <t>F0021, F0035</t>
        </is>
      </c>
    </row>
    <row r="1386" ht="15.75" customHeight="1" s="108">
      <c r="A1386" s="18" t="inlineStr">
        <is>
          <t>Evan Jones</t>
        </is>
      </c>
      <c r="B1386" s="18" t="n">
        <v>1</v>
      </c>
      <c r="C1386" s="18" t="n">
        <v>2014</v>
      </c>
      <c r="D1386" s="18" t="n">
        <v>2014</v>
      </c>
      <c r="E1386" s="18" t="inlineStr">
        <is>
          <t>A Million Ways to Die in the West</t>
        </is>
      </c>
      <c r="F1386" s="18" t="inlineStr">
        <is>
          <t>F0021</t>
        </is>
      </c>
    </row>
    <row r="1387" ht="15.75" customHeight="1" s="108">
      <c r="A1387" s="18" t="inlineStr">
        <is>
          <t>Aaron McPherson</t>
        </is>
      </c>
      <c r="B1387" s="18" t="n">
        <v>1</v>
      </c>
      <c r="C1387" s="18" t="n">
        <v>2014</v>
      </c>
      <c r="D1387" s="18" t="n">
        <v>2014</v>
      </c>
      <c r="E1387" s="18" t="inlineStr">
        <is>
          <t>A Million Ways to Die in the West</t>
        </is>
      </c>
      <c r="F1387" s="18" t="inlineStr">
        <is>
          <t>F0021</t>
        </is>
      </c>
    </row>
    <row r="1388" ht="15.75" customHeight="1" s="108">
      <c r="A1388" s="18" t="inlineStr">
        <is>
          <t>Rex Linn</t>
        </is>
      </c>
      <c r="B1388" s="18" t="n">
        <v>1</v>
      </c>
      <c r="C1388" s="18" t="n">
        <v>2014</v>
      </c>
      <c r="D1388" s="18" t="n">
        <v>2014</v>
      </c>
      <c r="E1388" s="18" t="inlineStr">
        <is>
          <t>A Million Ways to Die in the West</t>
        </is>
      </c>
      <c r="F1388" s="18" t="inlineStr">
        <is>
          <t>F0021</t>
        </is>
      </c>
    </row>
    <row r="1389" ht="15.75" customHeight="1" s="108">
      <c r="A1389" s="18" t="inlineStr">
        <is>
          <t>Brett Rickaby</t>
        </is>
      </c>
      <c r="B1389" s="18" t="n">
        <v>1</v>
      </c>
      <c r="C1389" s="18" t="n">
        <v>2014</v>
      </c>
      <c r="D1389" s="18" t="n">
        <v>2014</v>
      </c>
      <c r="E1389" s="18" t="inlineStr">
        <is>
          <t>A Million Ways to Die in the West</t>
        </is>
      </c>
      <c r="F1389" s="18" t="inlineStr">
        <is>
          <t>F0021</t>
        </is>
      </c>
    </row>
    <row r="1390" ht="15.75" customHeight="1" s="108">
      <c r="A1390" s="18" t="inlineStr">
        <is>
          <t>Alex Borstein</t>
        </is>
      </c>
      <c r="B1390" s="18" t="n">
        <v>2</v>
      </c>
      <c r="C1390" s="18" t="n">
        <v>2012</v>
      </c>
      <c r="D1390" s="18" t="n">
        <v>2014</v>
      </c>
      <c r="E1390" s="18" t="inlineStr">
        <is>
          <t>A Million Ways to Die in the West, Ted</t>
        </is>
      </c>
      <c r="F1390" s="18" t="inlineStr">
        <is>
          <t>F0021, F0308</t>
        </is>
      </c>
    </row>
    <row r="1391" ht="15.75" customHeight="1" s="108">
      <c r="A1391" s="18" t="inlineStr">
        <is>
          <t>Ralph Garman</t>
        </is>
      </c>
      <c r="B1391" s="18" t="n">
        <v>3</v>
      </c>
      <c r="C1391" s="18" t="n">
        <v>2012</v>
      </c>
      <c r="D1391" s="18" t="n">
        <v>2017</v>
      </c>
      <c r="E1391" s="18" t="inlineStr">
        <is>
          <t>A Million Ways to Die in the West, The Lego Batman Movie, Ted</t>
        </is>
      </c>
      <c r="F1391" s="18" t="inlineStr">
        <is>
          <t>F0021, F0193, F0308</t>
        </is>
      </c>
    </row>
    <row r="1392" ht="15.75" customHeight="1" s="108">
      <c r="A1392" s="18" t="inlineStr">
        <is>
          <t>John Aylward</t>
        </is>
      </c>
      <c r="B1392" s="18" t="n">
        <v>1</v>
      </c>
      <c r="C1392" s="18" t="n">
        <v>2014</v>
      </c>
      <c r="D1392" s="18" t="n">
        <v>2014</v>
      </c>
      <c r="E1392" s="18" t="inlineStr">
        <is>
          <t>A Million Ways to Die in the West</t>
        </is>
      </c>
      <c r="F1392" s="18" t="inlineStr">
        <is>
          <t>F0021</t>
        </is>
      </c>
    </row>
    <row r="1393" ht="15.75" customHeight="1" s="108">
      <c r="A1393" s="18" t="inlineStr">
        <is>
          <t>Jay Patterson</t>
        </is>
      </c>
      <c r="B1393" s="18" t="n">
        <v>1</v>
      </c>
      <c r="C1393" s="18" t="n">
        <v>2014</v>
      </c>
      <c r="D1393" s="18" t="n">
        <v>2014</v>
      </c>
      <c r="E1393" s="18" t="inlineStr">
        <is>
          <t>A Million Ways to Die in the West</t>
        </is>
      </c>
      <c r="F1393" s="18" t="inlineStr">
        <is>
          <t>F0021</t>
        </is>
      </c>
    </row>
    <row r="1394" ht="15.75" customHeight="1" s="108">
      <c r="A1394" s="18" t="inlineStr">
        <is>
          <t>Amick Byram</t>
        </is>
      </c>
      <c r="B1394" s="18" t="n">
        <v>1</v>
      </c>
      <c r="C1394" s="18" t="n">
        <v>2014</v>
      </c>
      <c r="D1394" s="18" t="n">
        <v>2014</v>
      </c>
      <c r="E1394" s="18" t="inlineStr">
        <is>
          <t>A Million Ways to Die in the West</t>
        </is>
      </c>
      <c r="F1394" s="18" t="inlineStr">
        <is>
          <t>F0021</t>
        </is>
      </c>
    </row>
    <row r="1395" ht="15.75" customHeight="1" s="108">
      <c r="A1395" s="18" t="inlineStr">
        <is>
          <t>Dennis Haskins</t>
        </is>
      </c>
      <c r="B1395" s="18" t="n">
        <v>1</v>
      </c>
      <c r="C1395" s="18" t="n">
        <v>2014</v>
      </c>
      <c r="D1395" s="18" t="n">
        <v>2014</v>
      </c>
      <c r="E1395" s="18" t="inlineStr">
        <is>
          <t>A Million Ways to Die in the West</t>
        </is>
      </c>
      <c r="F1395" s="18" t="inlineStr">
        <is>
          <t>F0021</t>
        </is>
      </c>
    </row>
    <row r="1396" ht="15.75" customHeight="1" s="108">
      <c r="A1396" s="18" t="inlineStr">
        <is>
          <t>Gilbert Gottfried</t>
        </is>
      </c>
      <c r="B1396" s="18" t="n">
        <v>1</v>
      </c>
      <c r="C1396" s="18" t="n">
        <v>2014</v>
      </c>
      <c r="D1396" s="18" t="n">
        <v>2014</v>
      </c>
      <c r="E1396" s="18" t="inlineStr">
        <is>
          <t>A Million Ways to Die in the West</t>
        </is>
      </c>
      <c r="F1396" s="18" t="inlineStr">
        <is>
          <t>F0021</t>
        </is>
      </c>
    </row>
    <row r="1397" ht="15.75" customHeight="1" s="108">
      <c r="A1397" s="18" t="inlineStr">
        <is>
          <t>Julius Sharpe</t>
        </is>
      </c>
      <c r="B1397" s="18" t="n">
        <v>1</v>
      </c>
      <c r="C1397" s="18" t="n">
        <v>2014</v>
      </c>
      <c r="D1397" s="18" t="n">
        <v>2014</v>
      </c>
      <c r="E1397" s="18" t="inlineStr">
        <is>
          <t>A Million Ways to Die in the West</t>
        </is>
      </c>
      <c r="F1397" s="18" t="inlineStr">
        <is>
          <t>F0021</t>
        </is>
      </c>
    </row>
    <row r="1398" ht="15.75" customHeight="1" s="108">
      <c r="A1398" s="18" t="inlineStr">
        <is>
          <t>Mike Miller</t>
        </is>
      </c>
      <c r="B1398" s="18" t="n">
        <v>2</v>
      </c>
      <c r="C1398" s="18" t="n">
        <v>2011</v>
      </c>
      <c r="D1398" s="18" t="n">
        <v>2014</v>
      </c>
      <c r="E1398" s="18" t="inlineStr">
        <is>
          <t>A Million Ways to Die in the West, Paul</t>
        </is>
      </c>
      <c r="F1398" s="18" t="inlineStr">
        <is>
          <t>F0021, F0245</t>
        </is>
      </c>
    </row>
    <row r="1399" ht="15.75" customHeight="1" s="108">
      <c r="A1399" s="18" t="inlineStr">
        <is>
          <t>Ardy Brent Carlson</t>
        </is>
      </c>
      <c r="B1399" s="18" t="n">
        <v>1</v>
      </c>
      <c r="C1399" s="18" t="n">
        <v>2014</v>
      </c>
      <c r="D1399" s="18" t="n">
        <v>2014</v>
      </c>
      <c r="E1399" s="18" t="inlineStr">
        <is>
          <t>A Million Ways to Die in the West</t>
        </is>
      </c>
      <c r="F1399" s="18" t="inlineStr">
        <is>
          <t>F0021</t>
        </is>
      </c>
    </row>
    <row r="1400" ht="15.75" customHeight="1" s="108">
      <c r="A1400" s="18" t="inlineStr">
        <is>
          <t>Alec Sulkin</t>
        </is>
      </c>
      <c r="B1400" s="18" t="n">
        <v>1</v>
      </c>
      <c r="C1400" s="18" t="n">
        <v>2014</v>
      </c>
      <c r="D1400" s="18" t="n">
        <v>2014</v>
      </c>
      <c r="E1400" s="18" t="inlineStr">
        <is>
          <t>A Million Ways to Die in the West</t>
        </is>
      </c>
      <c r="F1400" s="18" t="inlineStr">
        <is>
          <t>F0021</t>
        </is>
      </c>
    </row>
    <row r="1401" ht="15.75" customHeight="1" s="108">
      <c r="A1401" s="18" t="inlineStr">
        <is>
          <t>Tatanka Means</t>
        </is>
      </c>
      <c r="B1401" s="18" t="n">
        <v>1</v>
      </c>
      <c r="C1401" s="18" t="n">
        <v>2014</v>
      </c>
      <c r="D1401" s="18" t="n">
        <v>2014</v>
      </c>
      <c r="E1401" s="18" t="inlineStr">
        <is>
          <t>A Million Ways to Die in the West</t>
        </is>
      </c>
      <c r="F1401" s="18" t="inlineStr">
        <is>
          <t>F0021</t>
        </is>
      </c>
    </row>
    <row r="1402" ht="15.75" customHeight="1" s="108">
      <c r="A1402" s="18" t="inlineStr">
        <is>
          <t>Ivan Brutsche</t>
        </is>
      </c>
      <c r="B1402" s="18" t="n">
        <v>1</v>
      </c>
      <c r="C1402" s="18" t="n">
        <v>2014</v>
      </c>
      <c r="D1402" s="18" t="n">
        <v>2014</v>
      </c>
      <c r="E1402" s="18" t="inlineStr">
        <is>
          <t>A Million Ways to Die in the West</t>
        </is>
      </c>
      <c r="F1402" s="18" t="inlineStr">
        <is>
          <t>F0021</t>
        </is>
      </c>
    </row>
    <row r="1403" ht="15.75" customHeight="1" s="108">
      <c r="A1403" s="18" t="inlineStr">
        <is>
          <t>Fred Armisen</t>
        </is>
      </c>
      <c r="B1403" s="18" t="n">
        <v>3</v>
      </c>
      <c r="C1403" s="18" t="n">
        <v>2004</v>
      </c>
      <c r="D1403" s="18" t="n">
        <v>2023</v>
      </c>
      <c r="E1403" s="18" t="inlineStr">
        <is>
          <t>Anchorman: The Legend of Ron Burgundy, Cop Out, The Super Mario Bros. Movie</t>
        </is>
      </c>
      <c r="F1403" s="18" t="inlineStr">
        <is>
          <t>F0022, F0069, F0212</t>
        </is>
      </c>
    </row>
    <row r="1404" ht="15.75" customHeight="1" s="108">
      <c r="A1404" s="18" t="inlineStr">
        <is>
          <t>Paul F. Tompkins</t>
        </is>
      </c>
      <c r="B1404" s="18" t="n">
        <v>1</v>
      </c>
      <c r="C1404" s="18" t="n">
        <v>2004</v>
      </c>
      <c r="D1404" s="18" t="n">
        <v>2004</v>
      </c>
      <c r="E1404" s="18" t="inlineStr">
        <is>
          <t>Anchorman: The Legend of Ron Burgundy</t>
        </is>
      </c>
      <c r="F1404" s="18" t="inlineStr">
        <is>
          <t>F0022</t>
        </is>
      </c>
    </row>
    <row r="1405" ht="15.75" customHeight="1" s="108">
      <c r="A1405" s="18" t="inlineStr">
        <is>
          <t>Danny Trejo</t>
        </is>
      </c>
      <c r="B1405" s="18" t="n">
        <v>3</v>
      </c>
      <c r="C1405" s="18" t="n">
        <v>1997</v>
      </c>
      <c r="D1405" s="18" t="n">
        <v>2014</v>
      </c>
      <c r="E1405" s="18" t="inlineStr">
        <is>
          <t>Anchorman: The Legend of Ron Burgundy, Con Air, Muppets Most Wanted</t>
        </is>
      </c>
      <c r="F1405" s="18" t="inlineStr">
        <is>
          <t>F0022, F0068, F0232</t>
        </is>
      </c>
    </row>
    <row r="1406" ht="15.75" customHeight="1" s="108">
      <c r="A1406" s="18" t="inlineStr">
        <is>
          <t>Scot Robinson</t>
        </is>
      </c>
      <c r="B1406" s="18" t="n">
        <v>1</v>
      </c>
      <c r="C1406" s="18" t="n">
        <v>2004</v>
      </c>
      <c r="D1406" s="18" t="n">
        <v>2004</v>
      </c>
      <c r="E1406" s="18" t="inlineStr">
        <is>
          <t>Anchorman: The Legend of Ron Burgundy</t>
        </is>
      </c>
      <c r="F1406" s="18" t="inlineStr">
        <is>
          <t>F0022</t>
        </is>
      </c>
    </row>
    <row r="1407" ht="15.75" customHeight="1" s="108">
      <c r="A1407" s="18" t="inlineStr">
        <is>
          <t>Ian Roberts</t>
        </is>
      </c>
      <c r="B1407" s="18" t="n">
        <v>4</v>
      </c>
      <c r="C1407" s="18" t="n">
        <v>2004</v>
      </c>
      <c r="D1407" s="18" t="n">
        <v>2025</v>
      </c>
      <c r="E1407" s="18" t="inlineStr">
        <is>
          <t xml:space="preserve">Anchorman: The Legend of Ron Burgundy, The Dictator, furiosa, furiosa </t>
        </is>
      </c>
      <c r="F1407" s="18" t="inlineStr">
        <is>
          <t>F0022, F0085, F0370</t>
        </is>
      </c>
    </row>
    <row r="1408" ht="15.75" customHeight="1" s="108">
      <c r="A1408" s="18" t="inlineStr">
        <is>
          <t>Darcy Donavan</t>
        </is>
      </c>
      <c r="B1408" s="18" t="n">
        <v>1</v>
      </c>
      <c r="C1408" s="18" t="n">
        <v>2004</v>
      </c>
      <c r="D1408" s="18" t="n">
        <v>2004</v>
      </c>
      <c r="E1408" s="18" t="inlineStr">
        <is>
          <t>Anchorman: The Legend of Ron Burgundy</t>
        </is>
      </c>
      <c r="F1408" s="18" t="inlineStr">
        <is>
          <t>F0022</t>
        </is>
      </c>
    </row>
    <row r="1409" ht="15.75" customHeight="1" s="108">
      <c r="A1409" s="18" t="inlineStr">
        <is>
          <t>Renee Weldon</t>
        </is>
      </c>
      <c r="B1409" s="18" t="n">
        <v>1</v>
      </c>
      <c r="C1409" s="18" t="n">
        <v>2004</v>
      </c>
      <c r="D1409" s="18" t="n">
        <v>2004</v>
      </c>
      <c r="E1409" s="18" t="inlineStr">
        <is>
          <t>Anchorman: The Legend of Ron Burgundy</t>
        </is>
      </c>
      <c r="F1409" s="18" t="inlineStr">
        <is>
          <t>F0022</t>
        </is>
      </c>
    </row>
    <row r="1410" ht="15.75" customHeight="1" s="108">
      <c r="A1410" s="18" t="inlineStr">
        <is>
          <t>Jerry Minor</t>
        </is>
      </c>
      <c r="B1410" s="18" t="n">
        <v>1</v>
      </c>
      <c r="C1410" s="18" t="n">
        <v>2004</v>
      </c>
      <c r="D1410" s="18" t="n">
        <v>2004</v>
      </c>
      <c r="E1410" s="18" t="inlineStr">
        <is>
          <t>Anchorman: The Legend of Ron Burgundy</t>
        </is>
      </c>
      <c r="F1410" s="18" t="inlineStr">
        <is>
          <t>F0022</t>
        </is>
      </c>
    </row>
    <row r="1411" ht="15.75" customHeight="1" s="108">
      <c r="A1411" s="18" t="inlineStr">
        <is>
          <t>Holmes Osborne</t>
        </is>
      </c>
      <c r="B1411" s="18" t="n">
        <v>1</v>
      </c>
      <c r="C1411" s="18" t="n">
        <v>2004</v>
      </c>
      <c r="D1411" s="18" t="n">
        <v>2004</v>
      </c>
      <c r="E1411" s="18" t="inlineStr">
        <is>
          <t>Anchorman: The Legend of Ron Burgundy</t>
        </is>
      </c>
      <c r="F1411" s="18" t="inlineStr">
        <is>
          <t>F0022</t>
        </is>
      </c>
    </row>
    <row r="1412" ht="15.75" customHeight="1" s="108">
      <c r="A1412" s="18" t="inlineStr">
        <is>
          <t>Charles Walker</t>
        </is>
      </c>
      <c r="B1412" s="18" t="n">
        <v>1</v>
      </c>
      <c r="C1412" s="18" t="n">
        <v>2004</v>
      </c>
      <c r="D1412" s="18" t="n">
        <v>2004</v>
      </c>
      <c r="E1412" s="18" t="inlineStr">
        <is>
          <t>Anchorman: The Legend of Ron Burgundy</t>
        </is>
      </c>
      <c r="F1412" s="18" t="inlineStr">
        <is>
          <t>F0022</t>
        </is>
      </c>
    </row>
    <row r="1413" ht="15.75" customHeight="1" s="108">
      <c r="A1413" s="18" t="inlineStr">
        <is>
          <t>Shira Piven</t>
        </is>
      </c>
      <c r="B1413" s="18" t="n">
        <v>1</v>
      </c>
      <c r="C1413" s="18" t="n">
        <v>2004</v>
      </c>
      <c r="D1413" s="18" t="n">
        <v>2004</v>
      </c>
      <c r="E1413" s="18" t="inlineStr">
        <is>
          <t>Anchorman: The Legend of Ron Burgundy</t>
        </is>
      </c>
      <c r="F1413" s="18" t="inlineStr">
        <is>
          <t>F0022</t>
        </is>
      </c>
    </row>
    <row r="1414" ht="15.75" customHeight="1" s="108">
      <c r="A1414" s="18" t="inlineStr">
        <is>
          <t>Lili Rose McKay</t>
        </is>
      </c>
      <c r="B1414" s="18" t="n">
        <v>1</v>
      </c>
      <c r="C1414" s="18" t="n">
        <v>2004</v>
      </c>
      <c r="D1414" s="18" t="n">
        <v>2004</v>
      </c>
      <c r="E1414" s="18" t="inlineStr">
        <is>
          <t>Anchorman: The Legend of Ron Burgundy</t>
        </is>
      </c>
      <c r="F1414" s="18" t="inlineStr">
        <is>
          <t>F0022</t>
        </is>
      </c>
    </row>
    <row r="1415" ht="15.75" customHeight="1" s="108">
      <c r="A1415" s="18" t="inlineStr">
        <is>
          <t>Thomas E. Mastrolia</t>
        </is>
      </c>
      <c r="B1415" s="18" t="n">
        <v>1</v>
      </c>
      <c r="C1415" s="18" t="n">
        <v>2004</v>
      </c>
      <c r="D1415" s="18" t="n">
        <v>2004</v>
      </c>
      <c r="E1415" s="18" t="inlineStr">
        <is>
          <t>Anchorman: The Legend of Ron Burgundy</t>
        </is>
      </c>
      <c r="F1415" s="18" t="inlineStr">
        <is>
          <t>F0022</t>
        </is>
      </c>
    </row>
    <row r="1416" ht="15.75" customHeight="1" s="108">
      <c r="A1416" s="18" t="inlineStr">
        <is>
          <t>Jay Johnston</t>
        </is>
      </c>
      <c r="B1416" s="18" t="n">
        <v>1</v>
      </c>
      <c r="C1416" s="18" t="n">
        <v>2004</v>
      </c>
      <c r="D1416" s="18" t="n">
        <v>2004</v>
      </c>
      <c r="E1416" s="18" t="inlineStr">
        <is>
          <t>Anchorman: The Legend of Ron Burgundy</t>
        </is>
      </c>
      <c r="F1416" s="18" t="inlineStr">
        <is>
          <t>F0022</t>
        </is>
      </c>
    </row>
    <row r="1417" ht="15.75" customHeight="1" s="108">
      <c r="A1417" s="18" t="inlineStr">
        <is>
          <t>Peter A. Hulne</t>
        </is>
      </c>
      <c r="B1417" s="18" t="n">
        <v>2</v>
      </c>
      <c r="C1417" s="18" t="n">
        <v>2003</v>
      </c>
      <c r="D1417" s="18" t="n">
        <v>2004</v>
      </c>
      <c r="E1417" s="18" t="inlineStr">
        <is>
          <t>Anchorman: The Legend of Ron Burgundy, Elf</t>
        </is>
      </c>
      <c r="F1417" s="18" t="inlineStr">
        <is>
          <t>F0022, F0092</t>
        </is>
      </c>
    </row>
    <row r="1418" ht="15.75" customHeight="1" s="108">
      <c r="A1418" s="18" t="inlineStr">
        <is>
          <t>Laura Kightlinger</t>
        </is>
      </c>
      <c r="B1418" s="18" t="n">
        <v>2</v>
      </c>
      <c r="C1418" s="18" t="n">
        <v>2004</v>
      </c>
      <c r="D1418" s="18" t="n">
        <v>2017</v>
      </c>
      <c r="E1418" s="18" t="inlineStr">
        <is>
          <t>Anchorman: The Legend of Ron Burgundy, The Lego Batman Movie</t>
        </is>
      </c>
      <c r="F1418" s="18" t="inlineStr">
        <is>
          <t>F0022, F0193</t>
        </is>
      </c>
    </row>
    <row r="1419" ht="15.75" customHeight="1" s="108">
      <c r="A1419" s="18" t="inlineStr">
        <is>
          <t>Adam McKay</t>
        </is>
      </c>
      <c r="B1419" s="18" t="n">
        <v>1</v>
      </c>
      <c r="C1419" s="18" t="n">
        <v>2004</v>
      </c>
      <c r="D1419" s="18" t="n">
        <v>2004</v>
      </c>
      <c r="E1419" s="18" t="inlineStr">
        <is>
          <t>Anchorman: The Legend of Ron Burgundy</t>
        </is>
      </c>
      <c r="F1419" s="18" t="inlineStr">
        <is>
          <t>F0022</t>
        </is>
      </c>
    </row>
    <row r="1420" ht="15.75" customHeight="1" s="108">
      <c r="A1420" s="18" t="inlineStr">
        <is>
          <t>Joseph T. Mastrolia</t>
        </is>
      </c>
      <c r="B1420" s="18" t="n">
        <v>1</v>
      </c>
      <c r="C1420" s="18" t="n">
        <v>2004</v>
      </c>
      <c r="D1420" s="18" t="n">
        <v>2004</v>
      </c>
      <c r="E1420" s="18" t="inlineStr">
        <is>
          <t>Anchorman: The Legend of Ron Burgundy</t>
        </is>
      </c>
      <c r="F1420" s="18" t="inlineStr">
        <is>
          <t>F0022</t>
        </is>
      </c>
    </row>
    <row r="1421" ht="15.75" customHeight="1" s="108">
      <c r="A1421" s="18" t="inlineStr">
        <is>
          <t>Judd Apatow</t>
        </is>
      </c>
      <c r="B1421" s="18" t="n">
        <v>1</v>
      </c>
      <c r="C1421" s="18" t="n">
        <v>2004</v>
      </c>
      <c r="D1421" s="18" t="n">
        <v>2004</v>
      </c>
      <c r="E1421" s="18" t="inlineStr">
        <is>
          <t>Anchorman: The Legend of Ron Burgundy</t>
        </is>
      </c>
      <c r="F1421" s="18" t="inlineStr">
        <is>
          <t>F0022</t>
        </is>
      </c>
    </row>
    <row r="1422" ht="15.75" customHeight="1" s="108">
      <c r="A1422" s="18" t="inlineStr">
        <is>
          <t>Debra McGuire</t>
        </is>
      </c>
      <c r="B1422" s="18" t="n">
        <v>1</v>
      </c>
      <c r="C1422" s="18" t="n">
        <v>2004</v>
      </c>
      <c r="D1422" s="18" t="n">
        <v>2004</v>
      </c>
      <c r="E1422" s="18" t="inlineStr">
        <is>
          <t>Anchorman: The Legend of Ron Burgundy</t>
        </is>
      </c>
      <c r="F1422" s="18" t="inlineStr">
        <is>
          <t>F0022</t>
        </is>
      </c>
    </row>
    <row r="1423" ht="15.75" customHeight="1" s="108">
      <c r="A1423" s="18" t="inlineStr">
        <is>
          <t>Kent Shocknek</t>
        </is>
      </c>
      <c r="B1423" s="18" t="n">
        <v>1</v>
      </c>
      <c r="C1423" s="18" t="n">
        <v>2004</v>
      </c>
      <c r="D1423" s="18" t="n">
        <v>2004</v>
      </c>
      <c r="E1423" s="18" t="inlineStr">
        <is>
          <t>Anchorman: The Legend of Ron Burgundy</t>
        </is>
      </c>
      <c r="F1423" s="18" t="inlineStr">
        <is>
          <t>F0022</t>
        </is>
      </c>
    </row>
    <row r="1424" ht="15.75" customHeight="1" s="108">
      <c r="A1424" s="18" t="inlineStr">
        <is>
          <t>Nikolaj Lie Kaas</t>
        </is>
      </c>
      <c r="B1424" s="18" t="n">
        <v>1</v>
      </c>
      <c r="C1424" s="18" t="n">
        <v>2009</v>
      </c>
      <c r="D1424" s="18" t="n">
        <v>2009</v>
      </c>
      <c r="E1424" s="18" t="inlineStr">
        <is>
          <t>Angels &amp; Demons</t>
        </is>
      </c>
      <c r="F1424" s="18" t="inlineStr">
        <is>
          <t>F0023</t>
        </is>
      </c>
    </row>
    <row r="1425" ht="15.75" customHeight="1" s="108">
      <c r="A1425" s="18" t="inlineStr">
        <is>
          <t>Armin Mueller-Stahl</t>
        </is>
      </c>
      <c r="B1425" s="18" t="n">
        <v>1</v>
      </c>
      <c r="C1425" s="18" t="n">
        <v>2009</v>
      </c>
      <c r="D1425" s="18" t="n">
        <v>2009</v>
      </c>
      <c r="E1425" s="18" t="inlineStr">
        <is>
          <t>Angels &amp; Demons</t>
        </is>
      </c>
      <c r="F1425" s="18" t="inlineStr">
        <is>
          <t>F0023</t>
        </is>
      </c>
    </row>
    <row r="1426" ht="15.75" customHeight="1" s="108">
      <c r="A1426" s="18" t="inlineStr">
        <is>
          <t>Thure Lindhardt</t>
        </is>
      </c>
      <c r="B1426" s="18" t="n">
        <v>2</v>
      </c>
      <c r="C1426" s="18" t="n">
        <v>2009</v>
      </c>
      <c r="D1426" s="18" t="n">
        <v>2013</v>
      </c>
      <c r="E1426" s="18" t="inlineStr">
        <is>
          <t>Angels &amp; Demons, Fast &amp; Furious 6</t>
        </is>
      </c>
      <c r="F1426" s="18" t="inlineStr">
        <is>
          <t>F0023, F0106</t>
        </is>
      </c>
    </row>
    <row r="1427" ht="15.75" customHeight="1" s="108">
      <c r="A1427" s="18" t="inlineStr">
        <is>
          <t>David Pasquesi</t>
        </is>
      </c>
      <c r="B1427" s="18" t="n">
        <v>1</v>
      </c>
      <c r="C1427" s="18" t="n">
        <v>2009</v>
      </c>
      <c r="D1427" s="18" t="n">
        <v>2009</v>
      </c>
      <c r="E1427" s="18" t="inlineStr">
        <is>
          <t>Angels &amp; Demons</t>
        </is>
      </c>
      <c r="F1427" s="18" t="inlineStr">
        <is>
          <t>F0023</t>
        </is>
      </c>
    </row>
    <row r="1428" ht="15.75" customHeight="1" s="108">
      <c r="A1428" s="18" t="inlineStr">
        <is>
          <t>Cosimo Fusco</t>
        </is>
      </c>
      <c r="B1428" s="18" t="n">
        <v>1</v>
      </c>
      <c r="C1428" s="18" t="n">
        <v>2009</v>
      </c>
      <c r="D1428" s="18" t="n">
        <v>2009</v>
      </c>
      <c r="E1428" s="18" t="inlineStr">
        <is>
          <t>Angels &amp; Demons</t>
        </is>
      </c>
      <c r="F1428" s="18" t="inlineStr">
        <is>
          <t>F0023</t>
        </is>
      </c>
    </row>
    <row r="1429" ht="15.75" customHeight="1" s="108">
      <c r="A1429" s="18" t="inlineStr">
        <is>
          <t>Victor Alfieri</t>
        </is>
      </c>
      <c r="B1429" s="18" t="n">
        <v>1</v>
      </c>
      <c r="C1429" s="18" t="n">
        <v>2009</v>
      </c>
      <c r="D1429" s="18" t="n">
        <v>2009</v>
      </c>
      <c r="E1429" s="18" t="inlineStr">
        <is>
          <t>Angels &amp; Demons</t>
        </is>
      </c>
      <c r="F1429" s="18" t="inlineStr">
        <is>
          <t>F0023</t>
        </is>
      </c>
    </row>
    <row r="1430" ht="15.75" customHeight="1" s="108">
      <c r="A1430" s="18" t="inlineStr">
        <is>
          <t>Franklin Amobi</t>
        </is>
      </c>
      <c r="B1430" s="18" t="n">
        <v>1</v>
      </c>
      <c r="C1430" s="18" t="n">
        <v>2009</v>
      </c>
      <c r="D1430" s="18" t="n">
        <v>2009</v>
      </c>
      <c r="E1430" s="18" t="inlineStr">
        <is>
          <t>Angels &amp; Demons</t>
        </is>
      </c>
      <c r="F1430" s="18" t="inlineStr">
        <is>
          <t>F0023</t>
        </is>
      </c>
    </row>
    <row r="1431" ht="15.75" customHeight="1" s="108">
      <c r="A1431" s="18" t="inlineStr">
        <is>
          <t>Curt Lowens</t>
        </is>
      </c>
      <c r="B1431" s="18" t="n">
        <v>1</v>
      </c>
      <c r="C1431" s="18" t="n">
        <v>2009</v>
      </c>
      <c r="D1431" s="18" t="n">
        <v>2009</v>
      </c>
      <c r="E1431" s="18" t="inlineStr">
        <is>
          <t>Angels &amp; Demons</t>
        </is>
      </c>
      <c r="F1431" s="18" t="inlineStr">
        <is>
          <t>F0023</t>
        </is>
      </c>
    </row>
    <row r="1432" ht="15.75" customHeight="1" s="108">
      <c r="A1432" s="18" t="inlineStr">
        <is>
          <t>Bob Yerkes</t>
        </is>
      </c>
      <c r="B1432" s="18" t="n">
        <v>1</v>
      </c>
      <c r="C1432" s="18" t="n">
        <v>2009</v>
      </c>
      <c r="D1432" s="18" t="n">
        <v>2009</v>
      </c>
      <c r="E1432" s="18" t="inlineStr">
        <is>
          <t>Angels &amp; Demons</t>
        </is>
      </c>
      <c r="F1432" s="18" t="inlineStr">
        <is>
          <t>F0023</t>
        </is>
      </c>
    </row>
    <row r="1433" ht="15.75" customHeight="1" s="108">
      <c r="A1433" s="18" t="inlineStr">
        <is>
          <t>Marc Fiorini</t>
        </is>
      </c>
      <c r="B1433" s="18" t="n">
        <v>1</v>
      </c>
      <c r="C1433" s="18" t="n">
        <v>2009</v>
      </c>
      <c r="D1433" s="18" t="n">
        <v>2009</v>
      </c>
      <c r="E1433" s="18" t="inlineStr">
        <is>
          <t>Angels &amp; Demons</t>
        </is>
      </c>
      <c r="F1433" s="18" t="inlineStr">
        <is>
          <t>F0023</t>
        </is>
      </c>
    </row>
    <row r="1434" ht="15.75" customHeight="1" s="108">
      <c r="A1434" s="18" t="inlineStr">
        <is>
          <t>Carmen Argenziano</t>
        </is>
      </c>
      <c r="B1434" s="18" t="n">
        <v>1</v>
      </c>
      <c r="C1434" s="18" t="n">
        <v>2009</v>
      </c>
      <c r="D1434" s="18" t="n">
        <v>2009</v>
      </c>
      <c r="E1434" s="18" t="inlineStr">
        <is>
          <t>Angels &amp; Demons</t>
        </is>
      </c>
      <c r="F1434" s="18" t="inlineStr">
        <is>
          <t>F0023</t>
        </is>
      </c>
    </row>
    <row r="1435" ht="15.75" customHeight="1" s="108">
      <c r="A1435" s="18" t="inlineStr">
        <is>
          <t>Howard Mungo</t>
        </is>
      </c>
      <c r="B1435" s="18" t="n">
        <v>2</v>
      </c>
      <c r="C1435" s="18" t="n">
        <v>2001</v>
      </c>
      <c r="D1435" s="18" t="n">
        <v>2009</v>
      </c>
      <c r="E1435" s="18" t="inlineStr">
        <is>
          <t>Angels &amp; Demons, Pearl Harbor</t>
        </is>
      </c>
      <c r="F1435" s="18" t="inlineStr">
        <is>
          <t>F0023, F0246</t>
        </is>
      </c>
    </row>
    <row r="1436" ht="15.75" customHeight="1" s="108">
      <c r="A1436" s="18" t="inlineStr">
        <is>
          <t>Rance Howard</t>
        </is>
      </c>
      <c r="B1436" s="18" t="n">
        <v>1</v>
      </c>
      <c r="C1436" s="18" t="n">
        <v>2009</v>
      </c>
      <c r="D1436" s="18" t="n">
        <v>2009</v>
      </c>
      <c r="E1436" s="18" t="inlineStr">
        <is>
          <t>Angels &amp; Demons</t>
        </is>
      </c>
      <c r="F1436" s="18" t="inlineStr">
        <is>
          <t>F0023</t>
        </is>
      </c>
    </row>
    <row r="1437" ht="15.75" customHeight="1" s="108">
      <c r="A1437" s="18" t="inlineStr">
        <is>
          <t>Steve Franken</t>
        </is>
      </c>
      <c r="B1437" s="18" t="n">
        <v>1</v>
      </c>
      <c r="C1437" s="18" t="n">
        <v>2009</v>
      </c>
      <c r="D1437" s="18" t="n">
        <v>2009</v>
      </c>
      <c r="E1437" s="18" t="inlineStr">
        <is>
          <t>Angels &amp; Demons</t>
        </is>
      </c>
      <c r="F1437" s="18" t="inlineStr">
        <is>
          <t>F0023</t>
        </is>
      </c>
    </row>
    <row r="1438" ht="15.75" customHeight="1" s="108">
      <c r="A1438" s="18" t="inlineStr">
        <is>
          <t>Gino Conforti</t>
        </is>
      </c>
      <c r="B1438" s="18" t="n">
        <v>5</v>
      </c>
      <c r="C1438" s="18" t="n">
        <v>2001</v>
      </c>
      <c r="D1438" s="18" t="n">
        <v>2009</v>
      </c>
      <c r="E1438" s="18" t="inlineStr">
        <is>
          <t>Angels &amp; Demons, Monsters, Inc., Monsters, Inc., Monsters, Inc., Monsters, Inc.</t>
        </is>
      </c>
      <c r="F1438" s="18" t="inlineStr">
        <is>
          <t>F0023, F0229</t>
        </is>
      </c>
    </row>
    <row r="1439" ht="15.75" customHeight="1" s="108">
      <c r="A1439" s="18" t="inlineStr">
        <is>
          <t>Elya Baskin</t>
        </is>
      </c>
      <c r="B1439" s="18" t="n">
        <v>3</v>
      </c>
      <c r="C1439" s="18" t="n">
        <v>2004</v>
      </c>
      <c r="D1439" s="18" t="n">
        <v>2009</v>
      </c>
      <c r="E1439" s="18" t="inlineStr">
        <is>
          <t>Angels &amp; Demons, Spider-Man 2, Spider-Man 3</t>
        </is>
      </c>
      <c r="F1439" s="18" t="inlineStr">
        <is>
          <t>F0023, F0288, F0289</t>
        </is>
      </c>
    </row>
    <row r="1440" ht="15.75" customHeight="1" s="108">
      <c r="A1440" s="18" t="inlineStr">
        <is>
          <t>Richard Rosetti</t>
        </is>
      </c>
      <c r="B1440" s="18" t="n">
        <v>1</v>
      </c>
      <c r="C1440" s="18" t="n">
        <v>2009</v>
      </c>
      <c r="D1440" s="18" t="n">
        <v>2009</v>
      </c>
      <c r="E1440" s="18" t="inlineStr">
        <is>
          <t>Angels &amp; Demons</t>
        </is>
      </c>
      <c r="F1440" s="18" t="inlineStr">
        <is>
          <t>F0023</t>
        </is>
      </c>
    </row>
    <row r="1441" ht="15.75" customHeight="1" s="108">
      <c r="A1441" s="18" t="inlineStr">
        <is>
          <t>Silvano Marchetto</t>
        </is>
      </c>
      <c r="B1441" s="18" t="n">
        <v>1</v>
      </c>
      <c r="C1441" s="18" t="n">
        <v>2009</v>
      </c>
      <c r="D1441" s="18" t="n">
        <v>2009</v>
      </c>
      <c r="E1441" s="18" t="inlineStr">
        <is>
          <t>Angels &amp; Demons</t>
        </is>
      </c>
      <c r="F1441" s="18" t="inlineStr">
        <is>
          <t>F0023</t>
        </is>
      </c>
    </row>
    <row r="1442" ht="15.75" customHeight="1" s="108">
      <c r="A1442" s="18" t="inlineStr">
        <is>
          <t>Thomas Morris</t>
        </is>
      </c>
      <c r="B1442" s="18" t="n">
        <v>1</v>
      </c>
      <c r="C1442" s="18" t="n">
        <v>2009</v>
      </c>
      <c r="D1442" s="18" t="n">
        <v>2009</v>
      </c>
      <c r="E1442" s="18" t="inlineStr">
        <is>
          <t>Angels &amp; Demons</t>
        </is>
      </c>
      <c r="F1442" s="18" t="inlineStr">
        <is>
          <t>F0023</t>
        </is>
      </c>
    </row>
    <row r="1443" ht="15.75" customHeight="1" s="108">
      <c r="A1443" s="18" t="inlineStr">
        <is>
          <t>Jonas Fisch</t>
        </is>
      </c>
      <c r="B1443" s="18" t="n">
        <v>1</v>
      </c>
      <c r="C1443" s="18" t="n">
        <v>2009</v>
      </c>
      <c r="D1443" s="18" t="n">
        <v>2009</v>
      </c>
      <c r="E1443" s="18" t="inlineStr">
        <is>
          <t>Angels &amp; Demons</t>
        </is>
      </c>
      <c r="F1443" s="18" t="inlineStr">
        <is>
          <t>F0023</t>
        </is>
      </c>
    </row>
    <row r="1444" ht="15.75" customHeight="1" s="108">
      <c r="A1444" s="18" t="inlineStr">
        <is>
          <t>August Wittgenstein</t>
        </is>
      </c>
      <c r="B1444" s="18" t="n">
        <v>1</v>
      </c>
      <c r="C1444" s="18" t="n">
        <v>2009</v>
      </c>
      <c r="D1444" s="18" t="n">
        <v>2009</v>
      </c>
      <c r="E1444" s="18" t="inlineStr">
        <is>
          <t>Angels &amp; Demons</t>
        </is>
      </c>
      <c r="F1444" s="18" t="inlineStr">
        <is>
          <t>F0023</t>
        </is>
      </c>
    </row>
    <row r="1445" ht="15.75" customHeight="1" s="108">
      <c r="A1445" s="18" t="inlineStr">
        <is>
          <t>Ben Bela Böhm</t>
        </is>
      </c>
      <c r="B1445" s="18" t="n">
        <v>1</v>
      </c>
      <c r="C1445" s="18" t="n">
        <v>2009</v>
      </c>
      <c r="D1445" s="18" t="n">
        <v>2009</v>
      </c>
      <c r="E1445" s="18" t="inlineStr">
        <is>
          <t>Angels &amp; Demons</t>
        </is>
      </c>
      <c r="F1445" s="18" t="inlineStr">
        <is>
          <t>F0023</t>
        </is>
      </c>
    </row>
    <row r="1446" ht="15.75" customHeight="1" s="108">
      <c r="A1446" s="18" t="inlineStr">
        <is>
          <t>Paul Schmitz</t>
        </is>
      </c>
      <c r="B1446" s="18" t="n">
        <v>1</v>
      </c>
      <c r="C1446" s="18" t="n">
        <v>2009</v>
      </c>
      <c r="D1446" s="18" t="n">
        <v>2009</v>
      </c>
      <c r="E1446" s="18" t="inlineStr">
        <is>
          <t>Angels &amp; Demons</t>
        </is>
      </c>
      <c r="F1446" s="18" t="inlineStr">
        <is>
          <t>F0023</t>
        </is>
      </c>
    </row>
    <row r="1447" ht="15.75" customHeight="1" s="108">
      <c r="A1447" s="18" t="inlineStr">
        <is>
          <t>Jeffrey Boehm</t>
        </is>
      </c>
      <c r="B1447" s="18" t="n">
        <v>1</v>
      </c>
      <c r="C1447" s="18" t="n">
        <v>2009</v>
      </c>
      <c r="D1447" s="18" t="n">
        <v>2009</v>
      </c>
      <c r="E1447" s="18" t="inlineStr">
        <is>
          <t>Angels &amp; Demons</t>
        </is>
      </c>
      <c r="F1447" s="18" t="inlineStr">
        <is>
          <t>F0023</t>
        </is>
      </c>
    </row>
    <row r="1448" ht="15.75" customHeight="1" s="108">
      <c r="A1448" s="18" t="inlineStr">
        <is>
          <t>Xavier J. Nathan</t>
        </is>
      </c>
      <c r="B1448" s="18" t="n">
        <v>1</v>
      </c>
      <c r="C1448" s="18" t="n">
        <v>2009</v>
      </c>
      <c r="D1448" s="18" t="n">
        <v>2009</v>
      </c>
      <c r="E1448" s="18" t="inlineStr">
        <is>
          <t>Angels &amp; Demons</t>
        </is>
      </c>
      <c r="F1448" s="18" t="inlineStr">
        <is>
          <t>F0023</t>
        </is>
      </c>
    </row>
    <row r="1449" ht="15.75" customHeight="1" s="108">
      <c r="A1449" s="18" t="inlineStr">
        <is>
          <t>Michael Vu</t>
        </is>
      </c>
      <c r="B1449" s="18" t="n">
        <v>1</v>
      </c>
      <c r="C1449" s="18" t="n">
        <v>2011</v>
      </c>
      <c r="D1449" s="18" t="n">
        <v>2011</v>
      </c>
      <c r="E1449" s="18" t="inlineStr">
        <is>
          <t>Anuvahood</t>
        </is>
      </c>
      <c r="F1449" s="18" t="inlineStr">
        <is>
          <t>F0024</t>
        </is>
      </c>
    </row>
    <row r="1450" ht="15.75" customHeight="1" s="108">
      <c r="A1450" s="18" t="inlineStr">
        <is>
          <t>Paul Kaye</t>
        </is>
      </c>
      <c r="B1450" s="18" t="n">
        <v>1</v>
      </c>
      <c r="C1450" s="18" t="n">
        <v>2011</v>
      </c>
      <c r="D1450" s="18" t="n">
        <v>2011</v>
      </c>
      <c r="E1450" s="18" t="inlineStr">
        <is>
          <t>Anuvahood</t>
        </is>
      </c>
      <c r="F1450" s="18" t="inlineStr">
        <is>
          <t>F0024</t>
        </is>
      </c>
    </row>
    <row r="1451" ht="15.75" customHeight="1" s="108">
      <c r="A1451" s="18" t="inlineStr">
        <is>
          <t>Ashley Walters</t>
        </is>
      </c>
      <c r="B1451" s="18" t="n">
        <v>1</v>
      </c>
      <c r="C1451" s="18" t="n">
        <v>2011</v>
      </c>
      <c r="D1451" s="18" t="n">
        <v>2011</v>
      </c>
      <c r="E1451" s="18" t="inlineStr">
        <is>
          <t>Anuvahood</t>
        </is>
      </c>
      <c r="F1451" s="18" t="inlineStr">
        <is>
          <t>F0024</t>
        </is>
      </c>
    </row>
    <row r="1452" ht="15.75" customHeight="1" s="108">
      <c r="A1452" s="18" t="inlineStr">
        <is>
          <t>Richard Blackwood</t>
        </is>
      </c>
      <c r="B1452" s="18" t="n">
        <v>1</v>
      </c>
      <c r="C1452" s="18" t="n">
        <v>2011</v>
      </c>
      <c r="D1452" s="18" t="n">
        <v>2011</v>
      </c>
      <c r="E1452" s="18" t="inlineStr">
        <is>
          <t>Anuvahood</t>
        </is>
      </c>
      <c r="F1452" s="18" t="inlineStr">
        <is>
          <t>F0024</t>
        </is>
      </c>
    </row>
    <row r="1453" ht="15.75" customHeight="1" s="108">
      <c r="A1453" s="18" t="inlineStr">
        <is>
          <t>Eddie Kadi</t>
        </is>
      </c>
      <c r="B1453" s="18" t="n">
        <v>1</v>
      </c>
      <c r="C1453" s="18" t="n">
        <v>2011</v>
      </c>
      <c r="D1453" s="18" t="n">
        <v>2011</v>
      </c>
      <c r="E1453" s="18" t="inlineStr">
        <is>
          <t>Anuvahood</t>
        </is>
      </c>
      <c r="F1453" s="18" t="inlineStr">
        <is>
          <t>F0024</t>
        </is>
      </c>
    </row>
    <row r="1454" ht="15.75" customHeight="1" s="108">
      <c r="A1454" s="18" t="inlineStr">
        <is>
          <t>Perry Benson</t>
        </is>
      </c>
      <c r="B1454" s="18" t="n">
        <v>1</v>
      </c>
      <c r="C1454" s="18" t="n">
        <v>2011</v>
      </c>
      <c r="D1454" s="18" t="n">
        <v>2011</v>
      </c>
      <c r="E1454" s="18" t="inlineStr">
        <is>
          <t>Anuvahood</t>
        </is>
      </c>
      <c r="F1454" s="18" t="inlineStr">
        <is>
          <t>F0024</t>
        </is>
      </c>
    </row>
    <row r="1455" ht="15.75" customHeight="1" s="108">
      <c r="A1455" s="18" t="inlineStr">
        <is>
          <t>Linda Robson</t>
        </is>
      </c>
      <c r="B1455" s="18" t="n">
        <v>1</v>
      </c>
      <c r="C1455" s="18" t="n">
        <v>2011</v>
      </c>
      <c r="D1455" s="18" t="n">
        <v>2011</v>
      </c>
      <c r="E1455" s="18" t="inlineStr">
        <is>
          <t>Anuvahood</t>
        </is>
      </c>
      <c r="F1455" s="18" t="inlineStr">
        <is>
          <t>F0024</t>
        </is>
      </c>
    </row>
    <row r="1456" ht="15.75" customHeight="1" s="108">
      <c r="A1456" s="18" t="inlineStr">
        <is>
          <t>Terry Stone</t>
        </is>
      </c>
      <c r="B1456" s="18" t="n">
        <v>1</v>
      </c>
      <c r="C1456" s="18" t="n">
        <v>2011</v>
      </c>
      <c r="D1456" s="18" t="n">
        <v>2011</v>
      </c>
      <c r="E1456" s="18" t="inlineStr">
        <is>
          <t>Anuvahood</t>
        </is>
      </c>
      <c r="F1456" s="18" t="inlineStr">
        <is>
          <t>F0024</t>
        </is>
      </c>
    </row>
    <row r="1457" ht="15.75" customHeight="1" s="108">
      <c r="A1457" s="18" t="inlineStr">
        <is>
          <t>Wil Johnson</t>
        </is>
      </c>
      <c r="B1457" s="18" t="n">
        <v>1</v>
      </c>
      <c r="C1457" s="18" t="n">
        <v>2011</v>
      </c>
      <c r="D1457" s="18" t="n">
        <v>2011</v>
      </c>
      <c r="E1457" s="18" t="inlineStr">
        <is>
          <t>Anuvahood</t>
        </is>
      </c>
      <c r="F1457" s="18" t="inlineStr">
        <is>
          <t>F0024</t>
        </is>
      </c>
    </row>
    <row r="1458" ht="15.75" customHeight="1" s="108">
      <c r="A1458" s="18" t="inlineStr">
        <is>
          <t>Femi Oyeniran</t>
        </is>
      </c>
      <c r="B1458" s="18" t="n">
        <v>1</v>
      </c>
      <c r="C1458" s="18" t="n">
        <v>2011</v>
      </c>
      <c r="D1458" s="18" t="n">
        <v>2011</v>
      </c>
      <c r="E1458" s="18" t="inlineStr">
        <is>
          <t>Anuvahood</t>
        </is>
      </c>
      <c r="F1458" s="18" t="inlineStr">
        <is>
          <t>F0024</t>
        </is>
      </c>
    </row>
    <row r="1459" ht="15.75" customHeight="1" s="108">
      <c r="A1459" s="18" t="inlineStr">
        <is>
          <t>Darwood Grace</t>
        </is>
      </c>
      <c r="B1459" s="18" t="n">
        <v>1</v>
      </c>
      <c r="C1459" s="18" t="n">
        <v>2011</v>
      </c>
      <c r="D1459" s="18" t="n">
        <v>2011</v>
      </c>
      <c r="E1459" s="18" t="inlineStr">
        <is>
          <t>Anuvahood</t>
        </is>
      </c>
      <c r="F1459" s="18" t="inlineStr">
        <is>
          <t>F0024</t>
        </is>
      </c>
    </row>
    <row r="1460" ht="15.75" customHeight="1" s="108">
      <c r="A1460" s="18" t="inlineStr">
        <is>
          <t>Leon Black</t>
        </is>
      </c>
      <c r="B1460" s="18" t="n">
        <v>1</v>
      </c>
      <c r="C1460" s="18" t="n">
        <v>2011</v>
      </c>
      <c r="D1460" s="18" t="n">
        <v>2011</v>
      </c>
      <c r="E1460" s="18" t="inlineStr">
        <is>
          <t>Anuvahood</t>
        </is>
      </c>
      <c r="F1460" s="18" t="inlineStr">
        <is>
          <t>F0024</t>
        </is>
      </c>
    </row>
    <row r="1461" ht="15.75" customHeight="1" s="108">
      <c r="A1461" s="18" t="inlineStr">
        <is>
          <t>Lethal Bizzle</t>
        </is>
      </c>
      <c r="B1461" s="18" t="n">
        <v>1</v>
      </c>
      <c r="C1461" s="18" t="n">
        <v>2011</v>
      </c>
      <c r="D1461" s="18" t="n">
        <v>2011</v>
      </c>
      <c r="E1461" s="18" t="inlineStr">
        <is>
          <t>Anuvahood</t>
        </is>
      </c>
      <c r="F1461" s="18" t="inlineStr">
        <is>
          <t>F0024</t>
        </is>
      </c>
    </row>
    <row r="1462" ht="15.75" customHeight="1" s="108">
      <c r="A1462" s="18" t="inlineStr">
        <is>
          <t>Big Narstie</t>
        </is>
      </c>
      <c r="B1462" s="18" t="n">
        <v>1</v>
      </c>
      <c r="C1462" s="18" t="n">
        <v>2011</v>
      </c>
      <c r="D1462" s="18" t="n">
        <v>2011</v>
      </c>
      <c r="E1462" s="18" t="inlineStr">
        <is>
          <t>Anuvahood</t>
        </is>
      </c>
      <c r="F1462" s="18" t="inlineStr">
        <is>
          <t>F0024</t>
        </is>
      </c>
    </row>
    <row r="1463" ht="15.75" customHeight="1" s="108">
      <c r="A1463" s="18" t="inlineStr">
        <is>
          <t>Alanna Flyn</t>
        </is>
      </c>
      <c r="B1463" s="18" t="n">
        <v>1</v>
      </c>
      <c r="C1463" s="18" t="n">
        <v>2011</v>
      </c>
      <c r="D1463" s="18" t="n">
        <v>2011</v>
      </c>
      <c r="E1463" s="18" t="inlineStr">
        <is>
          <t>Anuvahood</t>
        </is>
      </c>
      <c r="F1463" s="18" t="inlineStr">
        <is>
          <t>F0024</t>
        </is>
      </c>
    </row>
    <row r="1464" ht="15.75" customHeight="1" s="108">
      <c r="A1464" s="18" t="inlineStr">
        <is>
          <t>Sonic</t>
        </is>
      </c>
      <c r="B1464" s="18" t="n">
        <v>1</v>
      </c>
      <c r="C1464" s="18" t="n">
        <v>2011</v>
      </c>
      <c r="D1464" s="18" t="n">
        <v>2011</v>
      </c>
      <c r="E1464" s="18" t="inlineStr">
        <is>
          <t>Anuvahood</t>
        </is>
      </c>
      <c r="F1464" s="18" t="inlineStr">
        <is>
          <t>F0024</t>
        </is>
      </c>
    </row>
    <row r="1465" ht="15.75" customHeight="1" s="108">
      <c r="A1465" s="18" t="inlineStr">
        <is>
          <t>Bhasker Patel</t>
        </is>
      </c>
      <c r="B1465" s="18" t="n">
        <v>1</v>
      </c>
      <c r="C1465" s="18" t="n">
        <v>2011</v>
      </c>
      <c r="D1465" s="18" t="n">
        <v>2011</v>
      </c>
      <c r="E1465" s="18" t="inlineStr">
        <is>
          <t>Anuvahood</t>
        </is>
      </c>
      <c r="F1465" s="18" t="inlineStr">
        <is>
          <t>F0024</t>
        </is>
      </c>
    </row>
    <row r="1466" ht="15.75" customHeight="1" s="108">
      <c r="A1466" s="18" t="inlineStr">
        <is>
          <t>Levi Roots</t>
        </is>
      </c>
      <c r="B1466" s="18" t="n">
        <v>1</v>
      </c>
      <c r="C1466" s="18" t="n">
        <v>2011</v>
      </c>
      <c r="D1466" s="18" t="n">
        <v>2011</v>
      </c>
      <c r="E1466" s="18" t="inlineStr">
        <is>
          <t>Anuvahood</t>
        </is>
      </c>
      <c r="F1466" s="18" t="inlineStr">
        <is>
          <t>F0024</t>
        </is>
      </c>
    </row>
    <row r="1467" ht="15.75" customHeight="1" s="108">
      <c r="A1467" s="18" t="inlineStr">
        <is>
          <t>Carmel O'Connor</t>
        </is>
      </c>
      <c r="B1467" s="18" t="n">
        <v>1</v>
      </c>
      <c r="C1467" s="18" t="n">
        <v>2011</v>
      </c>
      <c r="D1467" s="18" t="n">
        <v>2011</v>
      </c>
      <c r="E1467" s="18" t="inlineStr">
        <is>
          <t>Anuvahood</t>
        </is>
      </c>
      <c r="F1467" s="18" t="inlineStr">
        <is>
          <t>F0024</t>
        </is>
      </c>
    </row>
    <row r="1468" ht="15.75" customHeight="1" s="108">
      <c r="A1468" s="18" t="inlineStr">
        <is>
          <t>Jason Maza</t>
        </is>
      </c>
      <c r="B1468" s="18" t="n">
        <v>1</v>
      </c>
      <c r="C1468" s="18" t="n">
        <v>2011</v>
      </c>
      <c r="D1468" s="18" t="n">
        <v>2011</v>
      </c>
      <c r="E1468" s="18" t="inlineStr">
        <is>
          <t>Anuvahood</t>
        </is>
      </c>
      <c r="F1468" s="18" t="inlineStr">
        <is>
          <t>F0024</t>
        </is>
      </c>
    </row>
    <row r="1469" ht="15.75" customHeight="1" s="108">
      <c r="A1469" s="18" t="inlineStr">
        <is>
          <t>Doon Mackichan</t>
        </is>
      </c>
      <c r="B1469" s="18" t="n">
        <v>1</v>
      </c>
      <c r="C1469" s="18" t="n">
        <v>2011</v>
      </c>
      <c r="D1469" s="18" t="n">
        <v>2011</v>
      </c>
      <c r="E1469" s="18" t="inlineStr">
        <is>
          <t>Anuvahood</t>
        </is>
      </c>
      <c r="F1469" s="18" t="inlineStr">
        <is>
          <t>F0024</t>
        </is>
      </c>
    </row>
    <row r="1470" ht="15.75" customHeight="1" s="108">
      <c r="A1470" s="18" t="inlineStr">
        <is>
          <t>Jammer</t>
        </is>
      </c>
      <c r="B1470" s="18" t="n">
        <v>1</v>
      </c>
      <c r="C1470" s="18" t="n">
        <v>2011</v>
      </c>
      <c r="D1470" s="18" t="n">
        <v>2011</v>
      </c>
      <c r="E1470" s="18" t="inlineStr">
        <is>
          <t>Anuvahood</t>
        </is>
      </c>
      <c r="F1470" s="18" t="inlineStr">
        <is>
          <t>F0024</t>
        </is>
      </c>
    </row>
    <row r="1471" ht="15.75" customHeight="1" s="108">
      <c r="A1471" s="18" t="inlineStr">
        <is>
          <t>Connor Donaghey</t>
        </is>
      </c>
      <c r="B1471" s="18" t="n">
        <v>1</v>
      </c>
      <c r="C1471" s="18" t="n">
        <v>2011</v>
      </c>
      <c r="D1471" s="18" t="n">
        <v>2011</v>
      </c>
      <c r="E1471" s="18" t="inlineStr">
        <is>
          <t>Anuvahood</t>
        </is>
      </c>
      <c r="F1471" s="18" t="inlineStr">
        <is>
          <t>F0024</t>
        </is>
      </c>
    </row>
    <row r="1472" ht="15.75" customHeight="1" s="108">
      <c r="A1472" s="18" t="inlineStr">
        <is>
          <t>Alex Macqueen</t>
        </is>
      </c>
      <c r="B1472" s="18" t="n">
        <v>3</v>
      </c>
      <c r="C1472" s="18" t="n">
        <v>2011</v>
      </c>
      <c r="D1472" s="18" t="n">
        <v>2014</v>
      </c>
      <c r="E1472" s="18" t="inlineStr">
        <is>
          <t>Anuvahood, The Inbetweeners Movie, The Inbetweeners 2</t>
        </is>
      </c>
      <c r="F1472" s="18" t="inlineStr">
        <is>
          <t>F0024, F0163, F0164</t>
        </is>
      </c>
    </row>
    <row r="1473" ht="15.75" customHeight="1" s="108">
      <c r="A1473" s="18" t="inlineStr">
        <is>
          <t>Ben Stylianou</t>
        </is>
      </c>
      <c r="B1473" s="18" t="n">
        <v>2</v>
      </c>
      <c r="C1473" s="18" t="n">
        <v>2011</v>
      </c>
      <c r="D1473" s="18" t="n">
        <v>2016</v>
      </c>
      <c r="E1473" s="18" t="inlineStr">
        <is>
          <t>Anuvahood, Jason bourne</t>
        </is>
      </c>
      <c r="F1473" s="18" t="inlineStr">
        <is>
          <t>F0024, F0358</t>
        </is>
      </c>
    </row>
    <row r="1474" ht="15.75" customHeight="1" s="108">
      <c r="A1474" s="18" t="inlineStr">
        <is>
          <t>Tate Donovan</t>
        </is>
      </c>
      <c r="B1474" s="18" t="n">
        <v>3</v>
      </c>
      <c r="C1474" s="18" t="n">
        <v>2012</v>
      </c>
      <c r="D1474" s="18" t="n">
        <v>2019</v>
      </c>
      <c r="E1474" s="18" t="inlineStr">
        <is>
          <t>Argo, Hercules, Rocketman</t>
        </is>
      </c>
      <c r="F1474" s="18" t="inlineStr">
        <is>
          <t>F0025, F0147, F0269</t>
        </is>
      </c>
    </row>
    <row r="1475" ht="15.75" customHeight="1" s="108">
      <c r="A1475" s="18" t="inlineStr">
        <is>
          <t>Clea DuVall</t>
        </is>
      </c>
      <c r="B1475" s="18" t="n">
        <v>1</v>
      </c>
      <c r="C1475" s="18" t="n">
        <v>2012</v>
      </c>
      <c r="D1475" s="18" t="n">
        <v>2012</v>
      </c>
      <c r="E1475" s="18" t="inlineStr">
        <is>
          <t>Argo</t>
        </is>
      </c>
      <c r="F1475" s="18" t="inlineStr">
        <is>
          <t>F0025</t>
        </is>
      </c>
    </row>
    <row r="1476" ht="15.75" customHeight="1" s="108">
      <c r="A1476" s="18" t="inlineStr">
        <is>
          <t>Rory Cochrane</t>
        </is>
      </c>
      <c r="B1476" s="18" t="n">
        <v>1</v>
      </c>
      <c r="C1476" s="18" t="n">
        <v>2012</v>
      </c>
      <c r="D1476" s="18" t="n">
        <v>2012</v>
      </c>
      <c r="E1476" s="18" t="inlineStr">
        <is>
          <t>Argo</t>
        </is>
      </c>
      <c r="F1476" s="18" t="inlineStr">
        <is>
          <t>F0025</t>
        </is>
      </c>
    </row>
    <row r="1477" ht="15.75" customHeight="1" s="108">
      <c r="A1477" s="18" t="inlineStr">
        <is>
          <t>Christopher Denham</t>
        </is>
      </c>
      <c r="B1477" s="18" t="n">
        <v>1</v>
      </c>
      <c r="C1477" s="18" t="n">
        <v>2012</v>
      </c>
      <c r="D1477" s="18" t="n">
        <v>2012</v>
      </c>
      <c r="E1477" s="18" t="inlineStr">
        <is>
          <t>Argo</t>
        </is>
      </c>
      <c r="F1477" s="18" t="inlineStr">
        <is>
          <t>F0025</t>
        </is>
      </c>
    </row>
    <row r="1478" ht="15.75" customHeight="1" s="108">
      <c r="A1478" s="18" t="inlineStr">
        <is>
          <t>Kerry Bishé</t>
        </is>
      </c>
      <c r="B1478" s="18" t="n">
        <v>1</v>
      </c>
      <c r="C1478" s="18" t="n">
        <v>2012</v>
      </c>
      <c r="D1478" s="18" t="n">
        <v>2012</v>
      </c>
      <c r="E1478" s="18" t="inlineStr">
        <is>
          <t>Argo</t>
        </is>
      </c>
      <c r="F1478" s="18" t="inlineStr">
        <is>
          <t>F0025</t>
        </is>
      </c>
    </row>
    <row r="1479" ht="15.75" customHeight="1" s="108">
      <c r="A1479" s="18" t="inlineStr">
        <is>
          <t>Chris Messina</t>
        </is>
      </c>
      <c r="B1479" s="18" t="n">
        <v>1</v>
      </c>
      <c r="C1479" s="18" t="n">
        <v>2012</v>
      </c>
      <c r="D1479" s="18" t="n">
        <v>2012</v>
      </c>
      <c r="E1479" s="18" t="inlineStr">
        <is>
          <t>Argo</t>
        </is>
      </c>
      <c r="F1479" s="18" t="inlineStr">
        <is>
          <t>F0025</t>
        </is>
      </c>
    </row>
    <row r="1480" ht="15.75" customHeight="1" s="108">
      <c r="A1480" s="18" t="inlineStr">
        <is>
          <t>Željko Ivanek</t>
        </is>
      </c>
      <c r="B1480" s="18" t="n">
        <v>4</v>
      </c>
      <c r="C1480" s="18" t="n">
        <v>2001</v>
      </c>
      <c r="D1480" s="18" t="n">
        <v>2012</v>
      </c>
      <c r="E1480" s="18" t="inlineStr">
        <is>
          <t>Argo, Black Hawk Down, The Bourne Legacy, Live Free or Die Hard</t>
        </is>
      </c>
      <c r="F1480" s="18" t="inlineStr">
        <is>
          <t>F0025, F0050, F0056, F0086</t>
        </is>
      </c>
    </row>
    <row r="1481" ht="15.75" customHeight="1" s="108">
      <c r="A1481" s="18" t="inlineStr">
        <is>
          <t>Titus Welliver</t>
        </is>
      </c>
      <c r="B1481" s="18" t="n">
        <v>3</v>
      </c>
      <c r="C1481" s="18" t="n">
        <v>2012</v>
      </c>
      <c r="D1481" s="18" t="n">
        <v>2014</v>
      </c>
      <c r="E1481" s="18" t="inlineStr">
        <is>
          <t>Argo, Man on a Ledge, Transformers: Age of Extinction</t>
        </is>
      </c>
      <c r="F1481" s="18" t="inlineStr">
        <is>
          <t>F0025, F0210, F0319</t>
        </is>
      </c>
    </row>
    <row r="1482" ht="15.75" customHeight="1" s="108">
      <c r="A1482" s="18" t="inlineStr">
        <is>
          <t>Keith Szarabajka</t>
        </is>
      </c>
      <c r="B1482" s="18" t="n">
        <v>2</v>
      </c>
      <c r="C1482" s="18" t="n">
        <v>2008</v>
      </c>
      <c r="D1482" s="18" t="n">
        <v>2012</v>
      </c>
      <c r="E1482" s="18" t="inlineStr">
        <is>
          <t>Argo, The Dark Knight</t>
        </is>
      </c>
      <c r="F1482" s="18" t="inlineStr">
        <is>
          <t>F0025, F0044</t>
        </is>
      </c>
    </row>
    <row r="1483" ht="15.75" customHeight="1" s="108">
      <c r="A1483" s="18" t="inlineStr">
        <is>
          <t>Bob Gunton</t>
        </is>
      </c>
      <c r="B1483" s="18" t="n">
        <v>1</v>
      </c>
      <c r="C1483" s="18" t="n">
        <v>2012</v>
      </c>
      <c r="D1483" s="18" t="n">
        <v>2012</v>
      </c>
      <c r="E1483" s="18" t="inlineStr">
        <is>
          <t>Argo</t>
        </is>
      </c>
      <c r="F1483" s="18" t="inlineStr">
        <is>
          <t>F0025</t>
        </is>
      </c>
    </row>
    <row r="1484" ht="15.75" customHeight="1" s="108">
      <c r="A1484" s="18" t="inlineStr">
        <is>
          <t>Richard Dillane</t>
        </is>
      </c>
      <c r="B1484" s="18" t="n">
        <v>1</v>
      </c>
      <c r="C1484" s="18" t="n">
        <v>2012</v>
      </c>
      <c r="D1484" s="18" t="n">
        <v>2012</v>
      </c>
      <c r="E1484" s="18" t="inlineStr">
        <is>
          <t>Argo</t>
        </is>
      </c>
      <c r="F1484" s="18" t="inlineStr">
        <is>
          <t>F0025</t>
        </is>
      </c>
    </row>
    <row r="1485" ht="15.75" customHeight="1" s="108">
      <c r="A1485" s="18" t="inlineStr">
        <is>
          <t>Omid Abtahi</t>
        </is>
      </c>
      <c r="B1485" s="18" t="n">
        <v>2</v>
      </c>
      <c r="C1485" s="18" t="n">
        <v>2012</v>
      </c>
      <c r="D1485" s="18" t="n">
        <v>2015</v>
      </c>
      <c r="E1485" s="18" t="inlineStr">
        <is>
          <t>Argo, Mockingjay part 2</t>
        </is>
      </c>
      <c r="F1485" s="18" t="inlineStr">
        <is>
          <t>F0025, F0383</t>
        </is>
      </c>
    </row>
    <row r="1486" ht="15.75" customHeight="1" s="108">
      <c r="A1486" s="18" t="inlineStr">
        <is>
          <t>Page Leong</t>
        </is>
      </c>
      <c r="B1486" s="18" t="n">
        <v>1</v>
      </c>
      <c r="C1486" s="18" t="n">
        <v>2012</v>
      </c>
      <c r="D1486" s="18" t="n">
        <v>2012</v>
      </c>
      <c r="E1486" s="18" t="inlineStr">
        <is>
          <t>Argo</t>
        </is>
      </c>
      <c r="F1486" s="18" t="inlineStr">
        <is>
          <t>F0025</t>
        </is>
      </c>
    </row>
    <row r="1487" ht="15.75" customHeight="1" s="108">
      <c r="A1487" s="18" t="inlineStr">
        <is>
          <t>Farshad Farahat</t>
        </is>
      </c>
      <c r="B1487" s="18" t="n">
        <v>1</v>
      </c>
      <c r="C1487" s="18" t="n">
        <v>2012</v>
      </c>
      <c r="D1487" s="18" t="n">
        <v>2012</v>
      </c>
      <c r="E1487" s="18" t="inlineStr">
        <is>
          <t>Argo</t>
        </is>
      </c>
      <c r="F1487" s="18" t="inlineStr">
        <is>
          <t>F0025</t>
        </is>
      </c>
    </row>
    <row r="1488" ht="15.75" customHeight="1" s="108">
      <c r="A1488" s="18" t="inlineStr">
        <is>
          <t>Sheila Vand</t>
        </is>
      </c>
      <c r="B1488" s="18" t="n">
        <v>1</v>
      </c>
      <c r="C1488" s="18" t="n">
        <v>2012</v>
      </c>
      <c r="D1488" s="18" t="n">
        <v>2012</v>
      </c>
      <c r="E1488" s="18" t="inlineStr">
        <is>
          <t>Argo</t>
        </is>
      </c>
      <c r="F1488" s="18" t="inlineStr">
        <is>
          <t>F0025</t>
        </is>
      </c>
    </row>
    <row r="1489" ht="15.75" customHeight="1" s="108">
      <c r="A1489" s="18" t="inlineStr">
        <is>
          <t>Karina Logue</t>
        </is>
      </c>
      <c r="B1489" s="18" t="n">
        <v>1</v>
      </c>
      <c r="C1489" s="18" t="n">
        <v>2012</v>
      </c>
      <c r="D1489" s="18" t="n">
        <v>2012</v>
      </c>
      <c r="E1489" s="18" t="inlineStr">
        <is>
          <t>Argo</t>
        </is>
      </c>
      <c r="F1489" s="18" t="inlineStr">
        <is>
          <t>F0025</t>
        </is>
      </c>
    </row>
    <row r="1490" ht="15.75" customHeight="1" s="108">
      <c r="A1490" s="18" t="inlineStr">
        <is>
          <t>Ryan Ahern</t>
        </is>
      </c>
      <c r="B1490" s="18" t="n">
        <v>1</v>
      </c>
      <c r="C1490" s="18" t="n">
        <v>2012</v>
      </c>
      <c r="D1490" s="18" t="n">
        <v>2012</v>
      </c>
      <c r="E1490" s="18" t="inlineStr">
        <is>
          <t>Argo</t>
        </is>
      </c>
      <c r="F1490" s="18" t="inlineStr">
        <is>
          <t>F0025</t>
        </is>
      </c>
    </row>
    <row r="1491" ht="15.75" customHeight="1" s="108">
      <c r="A1491" s="18" t="inlineStr">
        <is>
          <t>Bill Tangradi</t>
        </is>
      </c>
      <c r="B1491" s="18" t="n">
        <v>1</v>
      </c>
      <c r="C1491" s="18" t="n">
        <v>2012</v>
      </c>
      <c r="D1491" s="18" t="n">
        <v>2012</v>
      </c>
      <c r="E1491" s="18" t="inlineStr">
        <is>
          <t>Argo</t>
        </is>
      </c>
      <c r="F1491" s="18" t="inlineStr">
        <is>
          <t>F0025</t>
        </is>
      </c>
    </row>
    <row r="1492" ht="15.75" customHeight="1" s="108">
      <c r="A1492" s="18" t="inlineStr">
        <is>
          <t>Jamie McShane</t>
        </is>
      </c>
      <c r="B1492" s="18" t="n">
        <v>1</v>
      </c>
      <c r="C1492" s="18" t="n">
        <v>2012</v>
      </c>
      <c r="D1492" s="18" t="n">
        <v>2012</v>
      </c>
      <c r="E1492" s="18" t="inlineStr">
        <is>
          <t>Argo</t>
        </is>
      </c>
      <c r="F1492" s="18" t="inlineStr">
        <is>
          <t>F0025</t>
        </is>
      </c>
    </row>
    <row r="1493" ht="15.75" customHeight="1" s="108">
      <c r="A1493" s="18" t="inlineStr">
        <is>
          <t>Matthew Glave</t>
        </is>
      </c>
      <c r="B1493" s="18" t="n">
        <v>1</v>
      </c>
      <c r="C1493" s="18" t="n">
        <v>2012</v>
      </c>
      <c r="D1493" s="18" t="n">
        <v>2012</v>
      </c>
      <c r="E1493" s="18" t="inlineStr">
        <is>
          <t>Argo</t>
        </is>
      </c>
      <c r="F1493" s="18" t="inlineStr">
        <is>
          <t>F0025</t>
        </is>
      </c>
    </row>
    <row r="1494" ht="15.75" customHeight="1" s="108">
      <c r="A1494" s="18" t="inlineStr">
        <is>
          <t>Roberto Garcia</t>
        </is>
      </c>
      <c r="B1494" s="18" t="n">
        <v>1</v>
      </c>
      <c r="C1494" s="18" t="n">
        <v>2012</v>
      </c>
      <c r="D1494" s="18" t="n">
        <v>2012</v>
      </c>
      <c r="E1494" s="18" t="inlineStr">
        <is>
          <t>Argo</t>
        </is>
      </c>
      <c r="F1494" s="18" t="inlineStr">
        <is>
          <t>F0025</t>
        </is>
      </c>
    </row>
    <row r="1495" ht="15.75" customHeight="1" s="108">
      <c r="A1495" s="18" t="inlineStr">
        <is>
          <t>Christopher Stanley</t>
        </is>
      </c>
      <c r="B1495" s="18" t="n">
        <v>1</v>
      </c>
      <c r="C1495" s="18" t="n">
        <v>2012</v>
      </c>
      <c r="D1495" s="18" t="n">
        <v>2012</v>
      </c>
      <c r="E1495" s="18" t="inlineStr">
        <is>
          <t>Argo</t>
        </is>
      </c>
      <c r="F1495" s="18" t="inlineStr">
        <is>
          <t>F0025</t>
        </is>
      </c>
    </row>
    <row r="1496" ht="15.75" customHeight="1" s="108">
      <c r="A1496" s="18" t="inlineStr">
        <is>
          <t>Patrick Wilson</t>
        </is>
      </c>
      <c r="B1496" s="18" t="n">
        <v>2</v>
      </c>
      <c r="C1496" s="18" t="n">
        <v>2010</v>
      </c>
      <c r="D1496" s="18" t="n">
        <v>2012</v>
      </c>
      <c r="E1496" s="18" t="inlineStr">
        <is>
          <t>The A-Team, Prometheus</t>
        </is>
      </c>
      <c r="F1496" s="18" t="inlineStr">
        <is>
          <t>F0026, F0259</t>
        </is>
      </c>
    </row>
    <row r="1497" ht="15.75" customHeight="1" s="108">
      <c r="A1497" s="18" t="inlineStr">
        <is>
          <t>Gerald McRaney</t>
        </is>
      </c>
      <c r="B1497" s="18" t="n">
        <v>1</v>
      </c>
      <c r="C1497" s="18" t="n">
        <v>2010</v>
      </c>
      <c r="D1497" s="18" t="n">
        <v>2010</v>
      </c>
      <c r="E1497" s="18" t="inlineStr">
        <is>
          <t>The A-Team</t>
        </is>
      </c>
      <c r="F1497" s="18" t="inlineStr">
        <is>
          <t>F0026</t>
        </is>
      </c>
    </row>
    <row r="1498" ht="15.75" customHeight="1" s="108">
      <c r="A1498" s="18" t="inlineStr">
        <is>
          <t>Yul Vazquez</t>
        </is>
      </c>
      <c r="B1498" s="18" t="n">
        <v>4</v>
      </c>
      <c r="C1498" s="18" t="n">
        <v>2003</v>
      </c>
      <c r="D1498" s="18" t="n">
        <v>2013</v>
      </c>
      <c r="E1498" s="18" t="inlineStr">
        <is>
          <t>The A-Team, Bad Boys II, Captain Phillips, War of the Worlds</t>
        </is>
      </c>
      <c r="F1498" s="18" t="inlineStr">
        <is>
          <t>F0026, F0037, F0062, F0332</t>
        </is>
      </c>
    </row>
    <row r="1499" ht="15.75" customHeight="1" s="108">
      <c r="A1499" s="18" t="inlineStr">
        <is>
          <t>Brian Bloom</t>
        </is>
      </c>
      <c r="B1499" s="18" t="n">
        <v>2</v>
      </c>
      <c r="C1499" s="18" t="n">
        <v>2010</v>
      </c>
      <c r="D1499" s="18" t="n">
        <v>2013</v>
      </c>
      <c r="E1499" s="18" t="inlineStr">
        <is>
          <t>The A-Team, Lego Batman: The Movie - DC Super Heroes Unite</t>
        </is>
      </c>
      <c r="F1499" s="18" t="inlineStr">
        <is>
          <t>F0026, F0194</t>
        </is>
      </c>
    </row>
    <row r="1500" ht="15.75" customHeight="1" s="108">
      <c r="A1500" s="18" t="inlineStr">
        <is>
          <t>Maury Sterling</t>
        </is>
      </c>
      <c r="B1500" s="18" t="n">
        <v>1</v>
      </c>
      <c r="C1500" s="18" t="n">
        <v>2010</v>
      </c>
      <c r="D1500" s="18" t="n">
        <v>2010</v>
      </c>
      <c r="E1500" s="18" t="inlineStr">
        <is>
          <t>The A-Team</t>
        </is>
      </c>
      <c r="F1500" s="18" t="inlineStr">
        <is>
          <t>F0026</t>
        </is>
      </c>
    </row>
    <row r="1501" ht="15.75" customHeight="1" s="108">
      <c r="A1501" s="18" t="inlineStr">
        <is>
          <t>Terry Chen</t>
        </is>
      </c>
      <c r="B1501" s="18" t="n">
        <v>3</v>
      </c>
      <c r="C1501" s="18" t="n">
        <v>2010</v>
      </c>
      <c r="D1501" s="18" t="n">
        <v>2014</v>
      </c>
      <c r="E1501" s="18" t="inlineStr">
        <is>
          <t>The A-Team, Elysium, Godzilla</t>
        </is>
      </c>
      <c r="F1501" s="18" t="inlineStr">
        <is>
          <t>F0026, F0093, F0121</t>
        </is>
      </c>
    </row>
    <row r="1502" ht="15.75" customHeight="1" s="108">
      <c r="A1502" s="18" t="inlineStr">
        <is>
          <t>Omari Hardwick</t>
        </is>
      </c>
      <c r="B1502" s="18" t="n">
        <v>2</v>
      </c>
      <c r="C1502" s="18" t="n">
        <v>2010</v>
      </c>
      <c r="D1502" s="18" t="n">
        <v>2010</v>
      </c>
      <c r="E1502" s="18" t="inlineStr">
        <is>
          <t>The A-Team, Kick-Ass</t>
        </is>
      </c>
      <c r="F1502" s="18" t="inlineStr">
        <is>
          <t>F0026, F0185</t>
        </is>
      </c>
    </row>
    <row r="1503" ht="15.75" customHeight="1" s="108">
      <c r="A1503" s="18" t="inlineStr">
        <is>
          <t>David Hugghins</t>
        </is>
      </c>
      <c r="B1503" s="18" t="n">
        <v>1</v>
      </c>
      <c r="C1503" s="18" t="n">
        <v>2010</v>
      </c>
      <c r="D1503" s="18" t="n">
        <v>2010</v>
      </c>
      <c r="E1503" s="18" t="inlineStr">
        <is>
          <t>The A-Team</t>
        </is>
      </c>
      <c r="F1503" s="18" t="inlineStr">
        <is>
          <t>F0026</t>
        </is>
      </c>
    </row>
    <row r="1504" ht="15.75" customHeight="1" s="108">
      <c r="A1504" s="18" t="inlineStr">
        <is>
          <t>Jacob Blair</t>
        </is>
      </c>
      <c r="B1504" s="18" t="n">
        <v>3</v>
      </c>
      <c r="C1504" s="18" t="n">
        <v>2010</v>
      </c>
      <c r="D1504" s="18" t="n">
        <v>2012</v>
      </c>
      <c r="E1504" s="18" t="inlineStr">
        <is>
          <t>The A-Team, Underworld: Awakening, Underworld awakening</t>
        </is>
      </c>
      <c r="F1504" s="18" t="inlineStr">
        <is>
          <t>F0026, F0328, F0390</t>
        </is>
      </c>
    </row>
    <row r="1505" ht="15.75" customHeight="1" s="108">
      <c r="A1505" s="18" t="inlineStr">
        <is>
          <t>Rad Daly</t>
        </is>
      </c>
      <c r="B1505" s="18" t="n">
        <v>1</v>
      </c>
      <c r="C1505" s="18" t="n">
        <v>2010</v>
      </c>
      <c r="D1505" s="18" t="n">
        <v>2010</v>
      </c>
      <c r="E1505" s="18" t="inlineStr">
        <is>
          <t>The A-Team</t>
        </is>
      </c>
      <c r="F1505" s="18" t="inlineStr">
        <is>
          <t>F0026</t>
        </is>
      </c>
    </row>
    <row r="1506" ht="15.75" customHeight="1" s="108">
      <c r="A1506" s="18" t="inlineStr">
        <is>
          <t>Kyle Riefsnyder</t>
        </is>
      </c>
      <c r="B1506" s="18" t="n">
        <v>2</v>
      </c>
      <c r="C1506" s="18" t="n">
        <v>2010</v>
      </c>
      <c r="D1506" s="18" t="n">
        <v>2011</v>
      </c>
      <c r="E1506" s="18" t="inlineStr">
        <is>
          <t>The A-Team, Rise of the Planet of the Apes</t>
        </is>
      </c>
      <c r="F1506" s="18" t="inlineStr">
        <is>
          <t>F0026, F0253</t>
        </is>
      </c>
    </row>
    <row r="1507" ht="15.75" customHeight="1" s="108">
      <c r="A1507" s="18" t="inlineStr">
        <is>
          <t>Andrew Coghlan</t>
        </is>
      </c>
      <c r="B1507" s="18" t="n">
        <v>1</v>
      </c>
      <c r="C1507" s="18" t="n">
        <v>2010</v>
      </c>
      <c r="D1507" s="18" t="n">
        <v>2010</v>
      </c>
      <c r="E1507" s="18" t="inlineStr">
        <is>
          <t>The A-Team</t>
        </is>
      </c>
      <c r="F1507" s="18" t="inlineStr">
        <is>
          <t>F0026</t>
        </is>
      </c>
    </row>
    <row r="1508" ht="15.75" customHeight="1" s="108">
      <c r="A1508" s="18" t="inlineStr">
        <is>
          <t>James O'Sullivan</t>
        </is>
      </c>
      <c r="B1508" s="18" t="n">
        <v>1</v>
      </c>
      <c r="C1508" s="18" t="n">
        <v>2010</v>
      </c>
      <c r="D1508" s="18" t="n">
        <v>2010</v>
      </c>
      <c r="E1508" s="18" t="inlineStr">
        <is>
          <t>The A-Team</t>
        </is>
      </c>
      <c r="F1508" s="18" t="inlineStr">
        <is>
          <t>F0026</t>
        </is>
      </c>
    </row>
    <row r="1509" ht="15.75" customHeight="1" s="108">
      <c r="A1509" s="18" t="inlineStr">
        <is>
          <t>C. Ernst Harth</t>
        </is>
      </c>
      <c r="B1509" s="18" t="n">
        <v>1</v>
      </c>
      <c r="C1509" s="18" t="n">
        <v>2010</v>
      </c>
      <c r="D1509" s="18" t="n">
        <v>2010</v>
      </c>
      <c r="E1509" s="18" t="inlineStr">
        <is>
          <t>The A-Team</t>
        </is>
      </c>
      <c r="F1509" s="18" t="inlineStr">
        <is>
          <t>F0026</t>
        </is>
      </c>
    </row>
    <row r="1510" ht="15.75" customHeight="1" s="108">
      <c r="A1510" s="18" t="inlineStr">
        <is>
          <t>Stefan Arngrim</t>
        </is>
      </c>
      <c r="B1510" s="18" t="n">
        <v>1</v>
      </c>
      <c r="C1510" s="18" t="n">
        <v>2010</v>
      </c>
      <c r="D1510" s="18" t="n">
        <v>2010</v>
      </c>
      <c r="E1510" s="18" t="inlineStr">
        <is>
          <t>The A-Team</t>
        </is>
      </c>
      <c r="F1510" s="18" t="inlineStr">
        <is>
          <t>F0026</t>
        </is>
      </c>
    </row>
    <row r="1511" ht="15.75" customHeight="1" s="108">
      <c r="A1511" s="18" t="inlineStr">
        <is>
          <t>Christian Tessier</t>
        </is>
      </c>
      <c r="B1511" s="18" t="n">
        <v>3</v>
      </c>
      <c r="C1511" s="18" t="n">
        <v>2010</v>
      </c>
      <c r="D1511" s="18" t="n">
        <v>2012</v>
      </c>
      <c r="E1511" s="18" t="inlineStr">
        <is>
          <t>The A-Team, Underworld: Awakening, Underworld awakening</t>
        </is>
      </c>
      <c r="F1511" s="18" t="inlineStr">
        <is>
          <t>F0026, F0328, F0390</t>
        </is>
      </c>
    </row>
    <row r="1512" ht="15.75" customHeight="1" s="108">
      <c r="A1512" s="18" t="inlineStr">
        <is>
          <t>William 'Big Sleeps' Stewart</t>
        </is>
      </c>
      <c r="B1512" s="18" t="n">
        <v>1</v>
      </c>
      <c r="C1512" s="18" t="n">
        <v>2010</v>
      </c>
      <c r="D1512" s="18" t="n">
        <v>2010</v>
      </c>
      <c r="E1512" s="18" t="inlineStr">
        <is>
          <t>The A-Team</t>
        </is>
      </c>
      <c r="F1512" s="18" t="inlineStr">
        <is>
          <t>F0026</t>
        </is>
      </c>
    </row>
    <row r="1513" ht="15.75" customHeight="1" s="108">
      <c r="A1513" s="18" t="inlineStr">
        <is>
          <t>Marc-Anthony Massiah</t>
        </is>
      </c>
      <c r="B1513" s="18" t="n">
        <v>1</v>
      </c>
      <c r="C1513" s="18" t="n">
        <v>2010</v>
      </c>
      <c r="D1513" s="18" t="n">
        <v>2010</v>
      </c>
      <c r="E1513" s="18" t="inlineStr">
        <is>
          <t>The A-Team</t>
        </is>
      </c>
      <c r="F1513" s="18" t="inlineStr">
        <is>
          <t>F0026</t>
        </is>
      </c>
    </row>
    <row r="1514" ht="15.75" customHeight="1" s="108">
      <c r="A1514" s="18" t="inlineStr">
        <is>
          <t>Kwesi Ameyaw</t>
        </is>
      </c>
      <c r="B1514" s="18" t="n">
        <v>1</v>
      </c>
      <c r="C1514" s="18" t="n">
        <v>2010</v>
      </c>
      <c r="D1514" s="18" t="n">
        <v>2010</v>
      </c>
      <c r="E1514" s="18" t="inlineStr">
        <is>
          <t>The A-Team</t>
        </is>
      </c>
      <c r="F1514" s="18" t="inlineStr">
        <is>
          <t>F0026</t>
        </is>
      </c>
    </row>
    <row r="1515" ht="15.75" customHeight="1" s="108">
      <c r="A1515" s="18" t="inlineStr">
        <is>
          <t>Robert Thomas Conway Jr.</t>
        </is>
      </c>
      <c r="B1515" s="18" t="n">
        <v>1</v>
      </c>
      <c r="C1515" s="18" t="n">
        <v>2010</v>
      </c>
      <c r="D1515" s="18" t="n">
        <v>2010</v>
      </c>
      <c r="E1515" s="18" t="inlineStr">
        <is>
          <t>The A-Team</t>
        </is>
      </c>
      <c r="F1515" s="18" t="inlineStr">
        <is>
          <t>F0026</t>
        </is>
      </c>
    </row>
    <row r="1516" ht="15.75" customHeight="1" s="108">
      <c r="A1516" s="18" t="inlineStr">
        <is>
          <t>Gardiner Millar</t>
        </is>
      </c>
      <c r="B1516" s="18" t="n">
        <v>1</v>
      </c>
      <c r="C1516" s="18" t="n">
        <v>2010</v>
      </c>
      <c r="D1516" s="18" t="n">
        <v>2010</v>
      </c>
      <c r="E1516" s="18" t="inlineStr">
        <is>
          <t>The A-Team</t>
        </is>
      </c>
      <c r="F1516" s="18" t="inlineStr">
        <is>
          <t>F0026</t>
        </is>
      </c>
    </row>
    <row r="1517" ht="15.75" customHeight="1" s="108">
      <c r="A1517" s="18" t="inlineStr">
        <is>
          <t>Anita Brown</t>
        </is>
      </c>
      <c r="B1517" s="18" t="n">
        <v>1</v>
      </c>
      <c r="C1517" s="18" t="n">
        <v>2010</v>
      </c>
      <c r="D1517" s="18" t="n">
        <v>2010</v>
      </c>
      <c r="E1517" s="18" t="inlineStr">
        <is>
          <t>The A-Team</t>
        </is>
      </c>
      <c r="F1517" s="18" t="inlineStr">
        <is>
          <t>F0026</t>
        </is>
      </c>
    </row>
    <row r="1518" ht="15.75" customHeight="1" s="108">
      <c r="A1518" s="18" t="inlineStr">
        <is>
          <t>Alex Madison</t>
        </is>
      </c>
      <c r="B1518" s="18" t="n">
        <v>1</v>
      </c>
      <c r="C1518" s="18" t="n">
        <v>2010</v>
      </c>
      <c r="D1518" s="18" t="n">
        <v>2010</v>
      </c>
      <c r="E1518" s="18" t="inlineStr">
        <is>
          <t>The A-Team</t>
        </is>
      </c>
      <c r="F1518" s="18" t="inlineStr">
        <is>
          <t>F0026</t>
        </is>
      </c>
    </row>
    <row r="1519" ht="15.75" customHeight="1" s="108">
      <c r="A1519" s="18" t="inlineStr">
        <is>
          <t>Ben Hernandez Bray</t>
        </is>
      </c>
      <c r="B1519" s="18" t="n">
        <v>1</v>
      </c>
      <c r="C1519" s="18" t="n">
        <v>2010</v>
      </c>
      <c r="D1519" s="18" t="n">
        <v>2010</v>
      </c>
      <c r="E1519" s="18" t="inlineStr">
        <is>
          <t>The A-Team</t>
        </is>
      </c>
      <c r="F1519" s="18" t="inlineStr">
        <is>
          <t>F0026</t>
        </is>
      </c>
    </row>
    <row r="1520" ht="15.75" customHeight="1" s="108">
      <c r="A1520" s="18" t="inlineStr">
        <is>
          <t>Selom Awadzi</t>
        </is>
      </c>
      <c r="B1520" s="18" t="n">
        <v>1</v>
      </c>
      <c r="C1520" s="18" t="n">
        <v>2011</v>
      </c>
      <c r="D1520" s="18" t="n">
        <v>2011</v>
      </c>
      <c r="E1520" s="18" t="inlineStr">
        <is>
          <t>Attack the Block</t>
        </is>
      </c>
      <c r="F1520" s="18" t="inlineStr">
        <is>
          <t>F0027</t>
        </is>
      </c>
    </row>
    <row r="1521" ht="15.75" customHeight="1" s="108">
      <c r="A1521" s="18" t="inlineStr">
        <is>
          <t>Franz Drameh</t>
        </is>
      </c>
      <c r="B1521" s="18" t="n">
        <v>2</v>
      </c>
      <c r="C1521" s="18" t="n">
        <v>2011</v>
      </c>
      <c r="D1521" s="18" t="n">
        <v>2020</v>
      </c>
      <c r="E1521" s="18" t="inlineStr">
        <is>
          <t>Attack the Block, The Gentlemen</t>
        </is>
      </c>
      <c r="F1521" s="18" t="inlineStr">
        <is>
          <t>F0027, F0119</t>
        </is>
      </c>
    </row>
    <row r="1522" ht="15.75" customHeight="1" s="108">
      <c r="A1522" s="18" t="inlineStr">
        <is>
          <t>Simon Howard</t>
        </is>
      </c>
      <c r="B1522" s="18" t="n">
        <v>1</v>
      </c>
      <c r="C1522" s="18" t="n">
        <v>2011</v>
      </c>
      <c r="D1522" s="18" t="n">
        <v>2011</v>
      </c>
      <c r="E1522" s="18" t="inlineStr">
        <is>
          <t>Attack the Block</t>
        </is>
      </c>
      <c r="F1522" s="18" t="inlineStr">
        <is>
          <t>F0027</t>
        </is>
      </c>
    </row>
    <row r="1523" ht="15.75" customHeight="1" s="108">
      <c r="A1523" s="18" t="inlineStr">
        <is>
          <t>Jumayn Hunter</t>
        </is>
      </c>
      <c r="B1523" s="18" t="n">
        <v>1</v>
      </c>
      <c r="C1523" s="18" t="n">
        <v>2011</v>
      </c>
      <c r="D1523" s="18" t="n">
        <v>2011</v>
      </c>
      <c r="E1523" s="18" t="inlineStr">
        <is>
          <t>Attack the Block</t>
        </is>
      </c>
      <c r="F1523" s="18" t="inlineStr">
        <is>
          <t>F0027</t>
        </is>
      </c>
    </row>
    <row r="1524" ht="15.75" customHeight="1" s="108">
      <c r="A1524" s="18" t="inlineStr">
        <is>
          <t>Leeon Jones</t>
        </is>
      </c>
      <c r="B1524" s="18" t="n">
        <v>1</v>
      </c>
      <c r="C1524" s="18" t="n">
        <v>2011</v>
      </c>
      <c r="D1524" s="18" t="n">
        <v>2011</v>
      </c>
      <c r="E1524" s="18" t="inlineStr">
        <is>
          <t>Attack the Block</t>
        </is>
      </c>
      <c r="F1524" s="18" t="inlineStr">
        <is>
          <t>F0027</t>
        </is>
      </c>
    </row>
    <row r="1525" ht="15.75" customHeight="1" s="108">
      <c r="A1525" s="18" t="inlineStr">
        <is>
          <t>Sammy Williams</t>
        </is>
      </c>
      <c r="B1525" s="18" t="n">
        <v>1</v>
      </c>
      <c r="C1525" s="18" t="n">
        <v>2011</v>
      </c>
      <c r="D1525" s="18" t="n">
        <v>2011</v>
      </c>
      <c r="E1525" s="18" t="inlineStr">
        <is>
          <t>Attack the Block</t>
        </is>
      </c>
      <c r="F1525" s="18" t="inlineStr">
        <is>
          <t>F0027</t>
        </is>
      </c>
    </row>
    <row r="1526" ht="15.75" customHeight="1" s="108">
      <c r="A1526" s="18" t="inlineStr">
        <is>
          <t>Michael Ajao</t>
        </is>
      </c>
      <c r="B1526" s="18" t="n">
        <v>1</v>
      </c>
      <c r="C1526" s="18" t="n">
        <v>2011</v>
      </c>
      <c r="D1526" s="18" t="n">
        <v>2011</v>
      </c>
      <c r="E1526" s="18" t="inlineStr">
        <is>
          <t>Attack the Block</t>
        </is>
      </c>
      <c r="F1526" s="18" t="inlineStr">
        <is>
          <t>F0027</t>
        </is>
      </c>
    </row>
    <row r="1527" ht="15.75" customHeight="1" s="108">
      <c r="A1527" s="18" t="inlineStr">
        <is>
          <t>Paige Meade</t>
        </is>
      </c>
      <c r="B1527" s="18" t="n">
        <v>1</v>
      </c>
      <c r="C1527" s="18" t="n">
        <v>2011</v>
      </c>
      <c r="D1527" s="18" t="n">
        <v>2011</v>
      </c>
      <c r="E1527" s="18" t="inlineStr">
        <is>
          <t>Attack the Block</t>
        </is>
      </c>
      <c r="F1527" s="18" t="inlineStr">
        <is>
          <t>F0027</t>
        </is>
      </c>
    </row>
    <row r="1528" ht="15.75" customHeight="1" s="108">
      <c r="A1528" s="18" t="inlineStr">
        <is>
          <t>Danielle Vitalis</t>
        </is>
      </c>
      <c r="B1528" s="18" t="n">
        <v>1</v>
      </c>
      <c r="C1528" s="18" t="n">
        <v>2011</v>
      </c>
      <c r="D1528" s="18" t="n">
        <v>2011</v>
      </c>
      <c r="E1528" s="18" t="inlineStr">
        <is>
          <t>Attack the Block</t>
        </is>
      </c>
      <c r="F1528" s="18" t="inlineStr">
        <is>
          <t>F0027</t>
        </is>
      </c>
    </row>
    <row r="1529" ht="15.75" customHeight="1" s="108">
      <c r="A1529" s="18" t="inlineStr">
        <is>
          <t>Gina Antwi</t>
        </is>
      </c>
      <c r="B1529" s="18" t="n">
        <v>1</v>
      </c>
      <c r="C1529" s="18" t="n">
        <v>2011</v>
      </c>
      <c r="D1529" s="18" t="n">
        <v>2011</v>
      </c>
      <c r="E1529" s="18" t="inlineStr">
        <is>
          <t>Attack the Block</t>
        </is>
      </c>
      <c r="F1529" s="18" t="inlineStr">
        <is>
          <t>F0027</t>
        </is>
      </c>
    </row>
    <row r="1530" ht="15.75" customHeight="1" s="108">
      <c r="A1530" s="18" t="inlineStr">
        <is>
          <t>Natasha Jonas</t>
        </is>
      </c>
      <c r="B1530" s="18" t="n">
        <v>1</v>
      </c>
      <c r="C1530" s="18" t="n">
        <v>2011</v>
      </c>
      <c r="D1530" s="18" t="n">
        <v>2011</v>
      </c>
      <c r="E1530" s="18" t="inlineStr">
        <is>
          <t>Attack the Block</t>
        </is>
      </c>
      <c r="F1530" s="18" t="inlineStr">
        <is>
          <t>F0027</t>
        </is>
      </c>
    </row>
    <row r="1531" ht="15.75" customHeight="1" s="108">
      <c r="A1531" s="18" t="inlineStr">
        <is>
          <t>Chris Wilson</t>
        </is>
      </c>
      <c r="B1531" s="18" t="n">
        <v>1</v>
      </c>
      <c r="C1531" s="18" t="n">
        <v>2011</v>
      </c>
      <c r="D1531" s="18" t="n">
        <v>2011</v>
      </c>
      <c r="E1531" s="18" t="inlineStr">
        <is>
          <t>Attack the Block</t>
        </is>
      </c>
      <c r="F1531" s="18" t="inlineStr">
        <is>
          <t>F0027</t>
        </is>
      </c>
    </row>
    <row r="1532" ht="15.75" customHeight="1" s="108">
      <c r="A1532" s="18" t="inlineStr">
        <is>
          <t>Joey Ansah</t>
        </is>
      </c>
      <c r="B1532" s="18" t="n">
        <v>3</v>
      </c>
      <c r="C1532" s="18" t="n">
        <v>2007</v>
      </c>
      <c r="D1532" s="18" t="n">
        <v>2018</v>
      </c>
      <c r="E1532" s="18" t="inlineStr">
        <is>
          <t>Attack the Block, The Bourne Ultimatum, Mission: Impossible - Fallout</t>
        </is>
      </c>
      <c r="F1532" s="18" t="inlineStr">
        <is>
          <t>F0027, F0055, F0226</t>
        </is>
      </c>
    </row>
    <row r="1533" ht="15.75" customHeight="1" s="108">
      <c r="A1533" s="18" t="inlineStr">
        <is>
          <t>Adam Leese</t>
        </is>
      </c>
      <c r="B1533" s="18" t="n">
        <v>1</v>
      </c>
      <c r="C1533" s="18" t="n">
        <v>2011</v>
      </c>
      <c r="D1533" s="18" t="n">
        <v>2011</v>
      </c>
      <c r="E1533" s="18" t="inlineStr">
        <is>
          <t>Attack the Block</t>
        </is>
      </c>
      <c r="F1533" s="18" t="inlineStr">
        <is>
          <t>F0027</t>
        </is>
      </c>
    </row>
    <row r="1534" ht="15.75" customHeight="1" s="108">
      <c r="A1534" s="18" t="inlineStr">
        <is>
          <t>Adam Buxton</t>
        </is>
      </c>
      <c r="B1534" s="18" t="n">
        <v>3</v>
      </c>
      <c r="C1534" s="18" t="n">
        <v>2007</v>
      </c>
      <c r="D1534" s="18" t="n">
        <v>2016</v>
      </c>
      <c r="E1534" s="18" t="inlineStr">
        <is>
          <t>Attack the Block, Hot Fuzz, Sing</t>
        </is>
      </c>
      <c r="F1534" s="18" t="inlineStr">
        <is>
          <t>F0027, F0071, F0280</t>
        </is>
      </c>
    </row>
    <row r="1535" ht="15.75" customHeight="1" s="108">
      <c r="A1535" s="18" t="inlineStr">
        <is>
          <t>Maggie McCarthy</t>
        </is>
      </c>
      <c r="B1535" s="18" t="n">
        <v>1</v>
      </c>
      <c r="C1535" s="18" t="n">
        <v>2011</v>
      </c>
      <c r="D1535" s="18" t="n">
        <v>2011</v>
      </c>
      <c r="E1535" s="18" t="inlineStr">
        <is>
          <t>Attack the Block</t>
        </is>
      </c>
      <c r="F1535" s="18" t="inlineStr">
        <is>
          <t>F0027</t>
        </is>
      </c>
    </row>
    <row r="1536" ht="15.75" customHeight="1" s="108">
      <c r="A1536" s="18" t="inlineStr">
        <is>
          <t>Flaminia Cinque</t>
        </is>
      </c>
      <c r="B1536" s="18" t="n">
        <v>1</v>
      </c>
      <c r="C1536" s="18" t="n">
        <v>2011</v>
      </c>
      <c r="D1536" s="18" t="n">
        <v>2011</v>
      </c>
      <c r="E1536" s="18" t="inlineStr">
        <is>
          <t>Attack the Block</t>
        </is>
      </c>
      <c r="F1536" s="18" t="inlineStr">
        <is>
          <t>F0027</t>
        </is>
      </c>
    </row>
    <row r="1537" ht="15.75" customHeight="1" s="108">
      <c r="A1537" s="18" t="inlineStr">
        <is>
          <t>Jacey Sallés</t>
        </is>
      </c>
      <c r="B1537" s="18" t="n">
        <v>1</v>
      </c>
      <c r="C1537" s="18" t="n">
        <v>2011</v>
      </c>
      <c r="D1537" s="18" t="n">
        <v>2011</v>
      </c>
      <c r="E1537" s="18" t="inlineStr">
        <is>
          <t>Attack the Block</t>
        </is>
      </c>
      <c r="F1537" s="18" t="inlineStr">
        <is>
          <t>F0027</t>
        </is>
      </c>
    </row>
    <row r="1538" ht="15.75" customHeight="1" s="108">
      <c r="A1538" s="18" t="inlineStr">
        <is>
          <t>Yvonne D'Alpra</t>
        </is>
      </c>
      <c r="B1538" s="18" t="n">
        <v>1</v>
      </c>
      <c r="C1538" s="18" t="n">
        <v>2011</v>
      </c>
      <c r="D1538" s="18" t="n">
        <v>2011</v>
      </c>
      <c r="E1538" s="18" t="inlineStr">
        <is>
          <t>Attack the Block</t>
        </is>
      </c>
      <c r="F1538" s="18" t="inlineStr">
        <is>
          <t>F0027</t>
        </is>
      </c>
    </row>
    <row r="1539" ht="15.75" customHeight="1" s="108">
      <c r="A1539" s="18" t="inlineStr">
        <is>
          <t>Karl Collins</t>
        </is>
      </c>
      <c r="B1539" s="18" t="n">
        <v>1</v>
      </c>
      <c r="C1539" s="18" t="n">
        <v>2011</v>
      </c>
      <c r="D1539" s="18" t="n">
        <v>2011</v>
      </c>
      <c r="E1539" s="18" t="inlineStr">
        <is>
          <t>Attack the Block</t>
        </is>
      </c>
      <c r="F1539" s="18" t="inlineStr">
        <is>
          <t>F0027</t>
        </is>
      </c>
    </row>
    <row r="1540" ht="15.75" customHeight="1" s="108">
      <c r="A1540" s="18" t="inlineStr">
        <is>
          <t>Jermaine Smith</t>
        </is>
      </c>
      <c r="B1540" s="18" t="n">
        <v>1</v>
      </c>
      <c r="C1540" s="18" t="n">
        <v>2011</v>
      </c>
      <c r="D1540" s="18" t="n">
        <v>2011</v>
      </c>
      <c r="E1540" s="18" t="inlineStr">
        <is>
          <t>Attack the Block</t>
        </is>
      </c>
      <c r="F1540" s="18" t="inlineStr">
        <is>
          <t>F0027</t>
        </is>
      </c>
    </row>
    <row r="1541" ht="15.75" customHeight="1" s="108">
      <c r="A1541" s="18" t="inlineStr">
        <is>
          <t>Lee Long</t>
        </is>
      </c>
      <c r="B1541" s="18" t="n">
        <v>1</v>
      </c>
      <c r="C1541" s="18" t="n">
        <v>2011</v>
      </c>
      <c r="D1541" s="18" t="n">
        <v>2011</v>
      </c>
      <c r="E1541" s="18" t="inlineStr">
        <is>
          <t>Attack the Block</t>
        </is>
      </c>
      <c r="F1541" s="18" t="inlineStr">
        <is>
          <t>F0027</t>
        </is>
      </c>
    </row>
    <row r="1542" ht="15.75" customHeight="1" s="108">
      <c r="A1542" s="18" t="inlineStr">
        <is>
          <t>David Cann</t>
        </is>
      </c>
      <c r="B1542" s="18" t="n">
        <v>1</v>
      </c>
      <c r="C1542" s="18" t="n">
        <v>2011</v>
      </c>
      <c r="D1542" s="18" t="n">
        <v>2011</v>
      </c>
      <c r="E1542" s="18" t="inlineStr">
        <is>
          <t>Attack the Block</t>
        </is>
      </c>
      <c r="F1542" s="18" t="inlineStr">
        <is>
          <t>F0027</t>
        </is>
      </c>
    </row>
    <row r="1543" ht="15.75" customHeight="1" s="108">
      <c r="A1543" s="18" t="inlineStr">
        <is>
          <t>Dylan Charles</t>
        </is>
      </c>
      <c r="B1543" s="18" t="n">
        <v>2</v>
      </c>
      <c r="C1543" s="18" t="n">
        <v>2008</v>
      </c>
      <c r="D1543" s="18" t="n">
        <v>2011</v>
      </c>
      <c r="E1543" s="18" t="inlineStr">
        <is>
          <t>Attack the Block, The Bank Job</t>
        </is>
      </c>
      <c r="F1543" s="18" t="inlineStr">
        <is>
          <t>F0027, F0040</t>
        </is>
      </c>
    </row>
    <row r="1544" ht="15.75" customHeight="1" s="108">
      <c r="A1544" s="18" t="inlineStr">
        <is>
          <t>Joel David Moore</t>
        </is>
      </c>
      <c r="B1544" s="18" t="n">
        <v>2</v>
      </c>
      <c r="C1544" s="18" t="n">
        <v>2009</v>
      </c>
      <c r="D1544" s="18" t="n">
        <v>2022</v>
      </c>
      <c r="E1544" s="18" t="inlineStr">
        <is>
          <t>Avatar, avatar way of water</t>
        </is>
      </c>
      <c r="F1544" s="18" t="inlineStr">
        <is>
          <t>F0028, F0364</t>
        </is>
      </c>
    </row>
    <row r="1545" ht="15.75" customHeight="1" s="108">
      <c r="A1545" s="18" t="inlineStr">
        <is>
          <t>CCH Pounder</t>
        </is>
      </c>
      <c r="B1545" s="18" t="n">
        <v>3</v>
      </c>
      <c r="C1545" s="18" t="n">
        <v>2009</v>
      </c>
      <c r="D1545" s="18" t="n">
        <v>2022</v>
      </c>
      <c r="E1545" s="18" t="inlineStr">
        <is>
          <t>Avatar, Godzilla: King of the Monsters, avatar way of water</t>
        </is>
      </c>
      <c r="F1545" s="18" t="inlineStr">
        <is>
          <t>F0028, F0122, F0364</t>
        </is>
      </c>
    </row>
    <row r="1546" ht="15.75" customHeight="1" s="108">
      <c r="A1546" s="18" t="inlineStr">
        <is>
          <t>Laz Alonso</t>
        </is>
      </c>
      <c r="B1546" s="18" t="n">
        <v>2</v>
      </c>
      <c r="C1546" s="18" t="n">
        <v>2009</v>
      </c>
      <c r="D1546" s="18" t="n">
        <v>2009</v>
      </c>
      <c r="E1546" s="18" t="inlineStr">
        <is>
          <t>Avatar, Fast &amp; Furious</t>
        </is>
      </c>
      <c r="F1546" s="18" t="inlineStr">
        <is>
          <t>F0028, F0104</t>
        </is>
      </c>
    </row>
    <row r="1547" ht="15.75" customHeight="1" s="108">
      <c r="A1547" s="18" t="inlineStr">
        <is>
          <t>Dileep Rao</t>
        </is>
      </c>
      <c r="B1547" s="18" t="n">
        <v>3</v>
      </c>
      <c r="C1547" s="18" t="n">
        <v>2009</v>
      </c>
      <c r="D1547" s="18" t="n">
        <v>2022</v>
      </c>
      <c r="E1547" s="18" t="inlineStr">
        <is>
          <t>Avatar, Inception, avatar way of water</t>
        </is>
      </c>
      <c r="F1547" s="18" t="inlineStr">
        <is>
          <t>F0028, F0165, F0364</t>
        </is>
      </c>
    </row>
    <row r="1548" ht="15.75" customHeight="1" s="108">
      <c r="A1548" s="18" t="inlineStr">
        <is>
          <t>Matt Gerald</t>
        </is>
      </c>
      <c r="B1548" s="18" t="n">
        <v>2</v>
      </c>
      <c r="C1548" s="18" t="n">
        <v>2009</v>
      </c>
      <c r="D1548" s="18" t="n">
        <v>2022</v>
      </c>
      <c r="E1548" s="18" t="inlineStr">
        <is>
          <t>Avatar, avatar way of water</t>
        </is>
      </c>
      <c r="F1548" s="18" t="inlineStr">
        <is>
          <t>F0028, F0364</t>
        </is>
      </c>
    </row>
    <row r="1549" ht="15.75" customHeight="1" s="108">
      <c r="A1549" s="18" t="inlineStr">
        <is>
          <t>Sean Anthony Moran</t>
        </is>
      </c>
      <c r="B1549" s="18" t="n">
        <v>2</v>
      </c>
      <c r="C1549" s="18" t="n">
        <v>2009</v>
      </c>
      <c r="D1549" s="18" t="n">
        <v>2022</v>
      </c>
      <c r="E1549" s="18" t="inlineStr">
        <is>
          <t>Avatar, avatar way of water</t>
        </is>
      </c>
      <c r="F1549" s="18" t="inlineStr">
        <is>
          <t>F0028, F0364</t>
        </is>
      </c>
    </row>
    <row r="1550" ht="15.75" customHeight="1" s="108">
      <c r="A1550" s="18" t="inlineStr">
        <is>
          <t>Jason Whyte</t>
        </is>
      </c>
      <c r="B1550" s="18" t="n">
        <v>1</v>
      </c>
      <c r="C1550" s="18" t="n">
        <v>2009</v>
      </c>
      <c r="D1550" s="18" t="n">
        <v>2009</v>
      </c>
      <c r="E1550" s="18" t="inlineStr">
        <is>
          <t>Avatar</t>
        </is>
      </c>
      <c r="F1550" s="18" t="inlineStr">
        <is>
          <t>F0028</t>
        </is>
      </c>
    </row>
    <row r="1551" ht="15.75" customHeight="1" s="108">
      <c r="A1551" s="18" t="inlineStr">
        <is>
          <t>Scott Lawrence</t>
        </is>
      </c>
      <c r="B1551" s="18" t="n">
        <v>1</v>
      </c>
      <c r="C1551" s="18" t="n">
        <v>2009</v>
      </c>
      <c r="D1551" s="18" t="n">
        <v>2009</v>
      </c>
      <c r="E1551" s="18" t="inlineStr">
        <is>
          <t>Avatar</t>
        </is>
      </c>
      <c r="F1551" s="18" t="inlineStr">
        <is>
          <t>F0028</t>
        </is>
      </c>
    </row>
    <row r="1552" ht="15.75" customHeight="1" s="108">
      <c r="A1552" s="18" t="inlineStr">
        <is>
          <t>Kelly Kilgour</t>
        </is>
      </c>
      <c r="B1552" s="18" t="n">
        <v>1</v>
      </c>
      <c r="C1552" s="18" t="n">
        <v>2009</v>
      </c>
      <c r="D1552" s="18" t="n">
        <v>2009</v>
      </c>
      <c r="E1552" s="18" t="inlineStr">
        <is>
          <t>Avatar</t>
        </is>
      </c>
      <c r="F1552" s="18" t="inlineStr">
        <is>
          <t>F0028</t>
        </is>
      </c>
    </row>
    <row r="1553" ht="15.75" customHeight="1" s="108">
      <c r="A1553" s="18" t="inlineStr">
        <is>
          <t>James Patrick Pitt</t>
        </is>
      </c>
      <c r="B1553" s="18" t="n">
        <v>1</v>
      </c>
      <c r="C1553" s="18" t="n">
        <v>2009</v>
      </c>
      <c r="D1553" s="18" t="n">
        <v>2009</v>
      </c>
      <c r="E1553" s="18" t="inlineStr">
        <is>
          <t>Avatar</t>
        </is>
      </c>
      <c r="F1553" s="18" t="inlineStr">
        <is>
          <t>F0028</t>
        </is>
      </c>
    </row>
    <row r="1554" ht="15.75" customHeight="1" s="108">
      <c r="A1554" s="18" t="inlineStr">
        <is>
          <t>Sean Patrick Murphy</t>
        </is>
      </c>
      <c r="B1554" s="18" t="n">
        <v>1</v>
      </c>
      <c r="C1554" s="18" t="n">
        <v>2009</v>
      </c>
      <c r="D1554" s="18" t="n">
        <v>2009</v>
      </c>
      <c r="E1554" s="18" t="inlineStr">
        <is>
          <t>Avatar</t>
        </is>
      </c>
      <c r="F1554" s="18" t="inlineStr">
        <is>
          <t>F0028</t>
        </is>
      </c>
    </row>
    <row r="1555" ht="15.75" customHeight="1" s="108">
      <c r="A1555" s="18" t="inlineStr">
        <is>
          <t>Peter Dillon</t>
        </is>
      </c>
      <c r="B1555" s="18" t="n">
        <v>1</v>
      </c>
      <c r="C1555" s="18" t="n">
        <v>2009</v>
      </c>
      <c r="D1555" s="18" t="n">
        <v>2009</v>
      </c>
      <c r="E1555" s="18" t="inlineStr">
        <is>
          <t>Avatar</t>
        </is>
      </c>
      <c r="F1555" s="18" t="inlineStr">
        <is>
          <t>F0028</t>
        </is>
      </c>
    </row>
    <row r="1556" ht="15.75" customHeight="1" s="108">
      <c r="A1556" s="18" t="inlineStr">
        <is>
          <t>Kevin Dorman</t>
        </is>
      </c>
      <c r="B1556" s="18" t="n">
        <v>2</v>
      </c>
      <c r="C1556" s="18" t="n">
        <v>2009</v>
      </c>
      <c r="D1556" s="18" t="n">
        <v>2022</v>
      </c>
      <c r="E1556" s="18" t="inlineStr">
        <is>
          <t>Avatar, avatar way of water</t>
        </is>
      </c>
      <c r="F1556" s="18" t="inlineStr">
        <is>
          <t>F0028, F0364</t>
        </is>
      </c>
    </row>
    <row r="1557" ht="15.75" customHeight="1" s="108">
      <c r="A1557" s="18" t="inlineStr">
        <is>
          <t>Kelson Henderson</t>
        </is>
      </c>
      <c r="B1557" s="18" t="n">
        <v>1</v>
      </c>
      <c r="C1557" s="18" t="n">
        <v>2009</v>
      </c>
      <c r="D1557" s="18" t="n">
        <v>2009</v>
      </c>
      <c r="E1557" s="18" t="inlineStr">
        <is>
          <t>Avatar</t>
        </is>
      </c>
      <c r="F1557" s="18" t="inlineStr">
        <is>
          <t>F0028</t>
        </is>
      </c>
    </row>
    <row r="1558" ht="15.75" customHeight="1" s="108">
      <c r="A1558" s="18" t="inlineStr">
        <is>
          <t>David Van Horn</t>
        </is>
      </c>
      <c r="B1558" s="18" t="n">
        <v>1</v>
      </c>
      <c r="C1558" s="18" t="n">
        <v>2009</v>
      </c>
      <c r="D1558" s="18" t="n">
        <v>2009</v>
      </c>
      <c r="E1558" s="18" t="inlineStr">
        <is>
          <t>Avatar</t>
        </is>
      </c>
      <c r="F1558" s="18" t="inlineStr">
        <is>
          <t>F0028</t>
        </is>
      </c>
    </row>
    <row r="1559" ht="15.75" customHeight="1" s="108">
      <c r="A1559" s="18" t="inlineStr">
        <is>
          <t>Jacob Tomuri</t>
        </is>
      </c>
      <c r="B1559" s="18" t="n">
        <v>1</v>
      </c>
      <c r="C1559" s="18" t="n">
        <v>2009</v>
      </c>
      <c r="D1559" s="18" t="n">
        <v>2009</v>
      </c>
      <c r="E1559" s="18" t="inlineStr">
        <is>
          <t>Avatar</t>
        </is>
      </c>
      <c r="F1559" s="18" t="inlineStr">
        <is>
          <t>F0028</t>
        </is>
      </c>
    </row>
    <row r="1560" ht="15.75" customHeight="1" s="108">
      <c r="A1560" s="18" t="inlineStr">
        <is>
          <t>Michael Blain-Rozgay</t>
        </is>
      </c>
      <c r="B1560" s="18" t="n">
        <v>1</v>
      </c>
      <c r="C1560" s="18" t="n">
        <v>2009</v>
      </c>
      <c r="D1560" s="18" t="n">
        <v>2009</v>
      </c>
      <c r="E1560" s="18" t="inlineStr">
        <is>
          <t>Avatar</t>
        </is>
      </c>
      <c r="F1560" s="18" t="inlineStr">
        <is>
          <t>F0028</t>
        </is>
      </c>
    </row>
    <row r="1561" ht="15.75" customHeight="1" s="108">
      <c r="A1561" s="18" t="inlineStr">
        <is>
          <t>Jon Curry</t>
        </is>
      </c>
      <c r="B1561" s="18" t="n">
        <v>1</v>
      </c>
      <c r="C1561" s="18" t="n">
        <v>2009</v>
      </c>
      <c r="D1561" s="18" t="n">
        <v>2009</v>
      </c>
      <c r="E1561" s="18" t="inlineStr">
        <is>
          <t>Avatar</t>
        </is>
      </c>
      <c r="F1561" s="18" t="inlineStr">
        <is>
          <t>F0028</t>
        </is>
      </c>
    </row>
    <row r="1562" ht="15.75" customHeight="1" s="108">
      <c r="A1562" s="18" t="inlineStr">
        <is>
          <t>Julene Renee</t>
        </is>
      </c>
      <c r="B1562" s="18" t="n">
        <v>1</v>
      </c>
      <c r="C1562" s="18" t="n">
        <v>2009</v>
      </c>
      <c r="D1562" s="18" t="n">
        <v>2009</v>
      </c>
      <c r="E1562" s="18" t="inlineStr">
        <is>
          <t>Avatar</t>
        </is>
      </c>
      <c r="F1562" s="18" t="inlineStr">
        <is>
          <t>F0028</t>
        </is>
      </c>
    </row>
    <row r="1563" ht="15.75" customHeight="1" s="108">
      <c r="A1563" s="18" t="inlineStr">
        <is>
          <t>Luke Hawker</t>
        </is>
      </c>
      <c r="B1563" s="18" t="n">
        <v>1</v>
      </c>
      <c r="C1563" s="18" t="n">
        <v>2009</v>
      </c>
      <c r="D1563" s="18" t="n">
        <v>2009</v>
      </c>
      <c r="E1563" s="18" t="inlineStr">
        <is>
          <t>Avatar</t>
        </is>
      </c>
      <c r="F1563" s="18" t="inlineStr">
        <is>
          <t>F0028</t>
        </is>
      </c>
    </row>
    <row r="1564" ht="15.75" customHeight="1" s="108">
      <c r="A1564" s="18" t="inlineStr">
        <is>
          <t>Woody Schultz</t>
        </is>
      </c>
      <c r="B1564" s="18" t="n">
        <v>1</v>
      </c>
      <c r="C1564" s="18" t="n">
        <v>2009</v>
      </c>
      <c r="D1564" s="18" t="n">
        <v>2009</v>
      </c>
      <c r="E1564" s="18" t="inlineStr">
        <is>
          <t>Avatar</t>
        </is>
      </c>
      <c r="F1564" s="18" t="inlineStr">
        <is>
          <t>F0028</t>
        </is>
      </c>
    </row>
    <row r="1565" ht="15.75" customHeight="1" s="108">
      <c r="A1565" s="18" t="inlineStr">
        <is>
          <t>Peter Mensah</t>
        </is>
      </c>
      <c r="B1565" s="18" t="n">
        <v>1</v>
      </c>
      <c r="C1565" s="18" t="n">
        <v>2009</v>
      </c>
      <c r="D1565" s="18" t="n">
        <v>2009</v>
      </c>
      <c r="E1565" s="18" t="inlineStr">
        <is>
          <t>Avatar</t>
        </is>
      </c>
      <c r="F1565" s="18" t="inlineStr">
        <is>
          <t>F0028</t>
        </is>
      </c>
    </row>
    <row r="1566" ht="15.75" customHeight="1" s="108">
      <c r="A1566" s="18" t="inlineStr">
        <is>
          <t>Sonia Yee</t>
        </is>
      </c>
      <c r="B1566" s="18" t="n">
        <v>1</v>
      </c>
      <c r="C1566" s="18" t="n">
        <v>2009</v>
      </c>
      <c r="D1566" s="18" t="n">
        <v>2009</v>
      </c>
      <c r="E1566" s="18" t="inlineStr">
        <is>
          <t>Avatar</t>
        </is>
      </c>
      <c r="F1566" s="18" t="inlineStr">
        <is>
          <t>F0028</t>
        </is>
      </c>
    </row>
    <row r="1567" ht="15.75" customHeight="1" s="108">
      <c r="A1567" s="18" t="inlineStr">
        <is>
          <t>Clark Gregg</t>
        </is>
      </c>
      <c r="B1567" s="18" t="n">
        <v>1</v>
      </c>
      <c r="C1567" s="18" t="n">
        <v>2012</v>
      </c>
      <c r="D1567" s="18" t="n">
        <v>2012</v>
      </c>
      <c r="E1567" s="18" t="inlineStr">
        <is>
          <t>The Avengers</t>
        </is>
      </c>
      <c r="F1567" s="18" t="inlineStr">
        <is>
          <t>F0029</t>
        </is>
      </c>
    </row>
    <row r="1568" ht="15.75" customHeight="1" s="108">
      <c r="A1568" s="18" t="inlineStr">
        <is>
          <t>Alexis Denisof</t>
        </is>
      </c>
      <c r="B1568" s="18" t="n">
        <v>1</v>
      </c>
      <c r="C1568" s="18" t="n">
        <v>2012</v>
      </c>
      <c r="D1568" s="18" t="n">
        <v>2012</v>
      </c>
      <c r="E1568" s="18" t="inlineStr">
        <is>
          <t>The Avengers</t>
        </is>
      </c>
      <c r="F1568" s="18" t="inlineStr">
        <is>
          <t>F0029</t>
        </is>
      </c>
    </row>
    <row r="1569" ht="15.75" customHeight="1" s="108">
      <c r="A1569" s="18" t="inlineStr">
        <is>
          <t>Tina Benko</t>
        </is>
      </c>
      <c r="B1569" s="18" t="n">
        <v>2</v>
      </c>
      <c r="C1569" s="18" t="n">
        <v>2012</v>
      </c>
      <c r="D1569" s="18" t="n">
        <v>2017</v>
      </c>
      <c r="E1569" s="18" t="inlineStr">
        <is>
          <t>The Avengers, The Greatest Showman</t>
        </is>
      </c>
      <c r="F1569" s="18" t="inlineStr">
        <is>
          <t>F0029, F0127</t>
        </is>
      </c>
    </row>
    <row r="1570" ht="15.75" customHeight="1" s="108">
      <c r="A1570" s="18" t="inlineStr">
        <is>
          <t>Jerzy Skolimowski</t>
        </is>
      </c>
      <c r="B1570" s="18" t="n">
        <v>1</v>
      </c>
      <c r="C1570" s="18" t="n">
        <v>2012</v>
      </c>
      <c r="D1570" s="18" t="n">
        <v>2012</v>
      </c>
      <c r="E1570" s="18" t="inlineStr">
        <is>
          <t>The Avengers</t>
        </is>
      </c>
      <c r="F1570" s="18" t="inlineStr">
        <is>
          <t>F0029</t>
        </is>
      </c>
    </row>
    <row r="1571" ht="15.75" customHeight="1" s="108">
      <c r="A1571" s="18" t="inlineStr">
        <is>
          <t>Kirill Nikiforov</t>
        </is>
      </c>
      <c r="B1571" s="18" t="n">
        <v>1</v>
      </c>
      <c r="C1571" s="18" t="n">
        <v>2012</v>
      </c>
      <c r="D1571" s="18" t="n">
        <v>2012</v>
      </c>
      <c r="E1571" s="18" t="inlineStr">
        <is>
          <t>The Avengers</t>
        </is>
      </c>
      <c r="F1571" s="18" t="inlineStr">
        <is>
          <t>F0029</t>
        </is>
      </c>
    </row>
    <row r="1572" ht="15.75" customHeight="1" s="108">
      <c r="A1572" s="18" t="inlineStr">
        <is>
          <t>Jeff Wolfe</t>
        </is>
      </c>
      <c r="B1572" s="18" t="n">
        <v>2</v>
      </c>
      <c r="C1572" s="18" t="n">
        <v>2011</v>
      </c>
      <c r="D1572" s="18" t="n">
        <v>2012</v>
      </c>
      <c r="E1572" s="18" t="inlineStr">
        <is>
          <t>The Avengers, Green Lantern</t>
        </is>
      </c>
      <c r="F1572" s="18" t="inlineStr">
        <is>
          <t>F0029, F0128</t>
        </is>
      </c>
    </row>
    <row r="1573" ht="15.75" customHeight="1" s="108">
      <c r="A1573" s="18" t="inlineStr">
        <is>
          <t>M'laah Kaur Singh</t>
        </is>
      </c>
      <c r="B1573" s="18" t="n">
        <v>1</v>
      </c>
      <c r="C1573" s="18" t="n">
        <v>2012</v>
      </c>
      <c r="D1573" s="18" t="n">
        <v>2012</v>
      </c>
      <c r="E1573" s="18" t="inlineStr">
        <is>
          <t>The Avengers</t>
        </is>
      </c>
      <c r="F1573" s="18" t="inlineStr">
        <is>
          <t>F0029</t>
        </is>
      </c>
    </row>
    <row r="1574" ht="15.75" customHeight="1" s="108">
      <c r="A1574" s="18" t="inlineStr">
        <is>
          <t>Rashmi Rustagi</t>
        </is>
      </c>
      <c r="B1574" s="18" t="n">
        <v>1</v>
      </c>
      <c r="C1574" s="18" t="n">
        <v>2012</v>
      </c>
      <c r="D1574" s="18" t="n">
        <v>2012</v>
      </c>
      <c r="E1574" s="18" t="inlineStr">
        <is>
          <t>The Avengers</t>
        </is>
      </c>
      <c r="F1574" s="18" t="inlineStr">
        <is>
          <t>F0029</t>
        </is>
      </c>
    </row>
    <row r="1575" ht="15.75" customHeight="1" s="108">
      <c r="A1575" s="18" t="inlineStr">
        <is>
          <t>Powers Boothe</t>
        </is>
      </c>
      <c r="B1575" s="18" t="n">
        <v>1</v>
      </c>
      <c r="C1575" s="18" t="n">
        <v>2012</v>
      </c>
      <c r="D1575" s="18" t="n">
        <v>2012</v>
      </c>
      <c r="E1575" s="18" t="inlineStr">
        <is>
          <t>The Avengers</t>
        </is>
      </c>
      <c r="F1575" s="18" t="inlineStr">
        <is>
          <t>F0029</t>
        </is>
      </c>
    </row>
    <row r="1576" ht="15.75" customHeight="1" s="108">
      <c r="A1576" s="18" t="inlineStr">
        <is>
          <t>Jenny Agutter</t>
        </is>
      </c>
      <c r="B1576" s="18" t="n">
        <v>1</v>
      </c>
      <c r="C1576" s="18" t="n">
        <v>2012</v>
      </c>
      <c r="D1576" s="18" t="n">
        <v>2012</v>
      </c>
      <c r="E1576" s="18" t="inlineStr">
        <is>
          <t>The Avengers</t>
        </is>
      </c>
      <c r="F1576" s="18" t="inlineStr">
        <is>
          <t>F0029</t>
        </is>
      </c>
    </row>
    <row r="1577" ht="15.75" customHeight="1" s="108">
      <c r="A1577" s="18" t="inlineStr">
        <is>
          <t>Arthur Darbinyan</t>
        </is>
      </c>
      <c r="B1577" s="18" t="n">
        <v>1</v>
      </c>
      <c r="C1577" s="18" t="n">
        <v>2012</v>
      </c>
      <c r="D1577" s="18" t="n">
        <v>2012</v>
      </c>
      <c r="E1577" s="18" t="inlineStr">
        <is>
          <t>The Avengers</t>
        </is>
      </c>
      <c r="F1577" s="18" t="inlineStr">
        <is>
          <t>F0029</t>
        </is>
      </c>
    </row>
    <row r="1578" ht="15.75" customHeight="1" s="108">
      <c r="A1578" s="18" t="inlineStr">
        <is>
          <t>Donald Li</t>
        </is>
      </c>
      <c r="B1578" s="18" t="n">
        <v>1</v>
      </c>
      <c r="C1578" s="18" t="n">
        <v>2012</v>
      </c>
      <c r="D1578" s="18" t="n">
        <v>2012</v>
      </c>
      <c r="E1578" s="18" t="inlineStr">
        <is>
          <t>The Avengers</t>
        </is>
      </c>
      <c r="F1578" s="18" t="inlineStr">
        <is>
          <t>F0029</t>
        </is>
      </c>
    </row>
    <row r="1579" ht="15.75" customHeight="1" s="108">
      <c r="A1579" s="18" t="inlineStr">
        <is>
          <t>Warren Kole</t>
        </is>
      </c>
      <c r="B1579" s="18" t="n">
        <v>1</v>
      </c>
      <c r="C1579" s="18" t="n">
        <v>2012</v>
      </c>
      <c r="D1579" s="18" t="n">
        <v>2012</v>
      </c>
      <c r="E1579" s="18" t="inlineStr">
        <is>
          <t>The Avengers</t>
        </is>
      </c>
      <c r="F1579" s="18" t="inlineStr">
        <is>
          <t>F0029</t>
        </is>
      </c>
    </row>
    <row r="1580" ht="15.75" customHeight="1" s="108">
      <c r="A1580" s="18" t="inlineStr">
        <is>
          <t>Alicia Sixtos</t>
        </is>
      </c>
      <c r="B1580" s="18" t="n">
        <v>1</v>
      </c>
      <c r="C1580" s="18" t="n">
        <v>2012</v>
      </c>
      <c r="D1580" s="18" t="n">
        <v>2012</v>
      </c>
      <c r="E1580" s="18" t="inlineStr">
        <is>
          <t>The Avengers</t>
        </is>
      </c>
      <c r="F1580" s="18" t="inlineStr">
        <is>
          <t>F0029</t>
        </is>
      </c>
    </row>
    <row r="1581" ht="15.75" customHeight="1" s="108">
      <c r="A1581" s="18" t="inlineStr">
        <is>
          <t>Jesse Garcia</t>
        </is>
      </c>
      <c r="B1581" s="18" t="n">
        <v>1</v>
      </c>
      <c r="C1581" s="18" t="n">
        <v>2012</v>
      </c>
      <c r="D1581" s="18" t="n">
        <v>2012</v>
      </c>
      <c r="E1581" s="18" t="inlineStr">
        <is>
          <t>The Avengers</t>
        </is>
      </c>
      <c r="F1581" s="18" t="inlineStr">
        <is>
          <t>F0029</t>
        </is>
      </c>
    </row>
    <row r="1582" ht="15.75" customHeight="1" s="108">
      <c r="A1582" s="18" t="inlineStr">
        <is>
          <t>Maximiliano Hernández</t>
        </is>
      </c>
      <c r="B1582" s="18" t="n">
        <v>2</v>
      </c>
      <c r="C1582" s="18" t="n">
        <v>2011</v>
      </c>
      <c r="D1582" s="18" t="n">
        <v>2012</v>
      </c>
      <c r="E1582" s="18" t="inlineStr">
        <is>
          <t>The Avengers, Warrior</t>
        </is>
      </c>
      <c r="F1582" s="18" t="inlineStr">
        <is>
          <t>F0029, F0333</t>
        </is>
      </c>
    </row>
    <row r="1583" ht="15.75" customHeight="1" s="108">
      <c r="A1583" s="18" t="inlineStr">
        <is>
          <t>Dieter Riesle</t>
        </is>
      </c>
      <c r="B1583" s="18" t="n">
        <v>1</v>
      </c>
      <c r="C1583" s="18" t="n">
        <v>2012</v>
      </c>
      <c r="D1583" s="18" t="n">
        <v>2012</v>
      </c>
      <c r="E1583" s="18" t="inlineStr">
        <is>
          <t>The Avengers</t>
        </is>
      </c>
      <c r="F1583" s="18" t="inlineStr">
        <is>
          <t>F0029</t>
        </is>
      </c>
    </row>
    <row r="1584" ht="15.75" customHeight="1" s="108">
      <c r="A1584" s="18" t="inlineStr">
        <is>
          <t>Kenneth Tigar</t>
        </is>
      </c>
      <c r="B1584" s="18" t="n">
        <v>1</v>
      </c>
      <c r="C1584" s="18" t="n">
        <v>2012</v>
      </c>
      <c r="D1584" s="18" t="n">
        <v>2012</v>
      </c>
      <c r="E1584" s="18" t="inlineStr">
        <is>
          <t>The Avengers</t>
        </is>
      </c>
      <c r="F1584" s="18" t="inlineStr">
        <is>
          <t>F0029</t>
        </is>
      </c>
    </row>
    <row r="1585" ht="15.75" customHeight="1" s="108">
      <c r="A1585" s="18" t="inlineStr">
        <is>
          <t>Tom Holland</t>
        </is>
      </c>
      <c r="B1585" s="18" t="n">
        <v>2</v>
      </c>
      <c r="C1585" s="18" t="n">
        <v>2018</v>
      </c>
      <c r="D1585" s="18" t="n">
        <v>2019</v>
      </c>
      <c r="E1585" s="18" t="inlineStr">
        <is>
          <t>Avengers: Infinity War, Avengers: Endgame</t>
        </is>
      </c>
      <c r="F1585" s="18" t="inlineStr">
        <is>
          <t>F0030, F0031</t>
        </is>
      </c>
    </row>
    <row r="1586" ht="15.75" customHeight="1" s="108">
      <c r="A1586" s="18" t="inlineStr">
        <is>
          <t>Chadwick Boseman</t>
        </is>
      </c>
      <c r="B1586" s="18" t="n">
        <v>2</v>
      </c>
      <c r="C1586" s="18" t="n">
        <v>2018</v>
      </c>
      <c r="D1586" s="18" t="n">
        <v>2019</v>
      </c>
      <c r="E1586" s="18" t="inlineStr">
        <is>
          <t>Avengers: Infinity War, Avengers: Endgame</t>
        </is>
      </c>
      <c r="F1586" s="18" t="inlineStr">
        <is>
          <t>F0030, F0031</t>
        </is>
      </c>
    </row>
    <row r="1587" ht="15.75" customHeight="1" s="108">
      <c r="A1587" s="18" t="inlineStr">
        <is>
          <t>Karen Gillan</t>
        </is>
      </c>
      <c r="B1587" s="18" t="n">
        <v>3</v>
      </c>
      <c r="C1587" s="18" t="n">
        <v>2017</v>
      </c>
      <c r="D1587" s="18" t="n">
        <v>2019</v>
      </c>
      <c r="E1587" s="18" t="inlineStr">
        <is>
          <t>Avengers: Infinity War, Avengers: Endgame, Jumanji welcome to the jungle</t>
        </is>
      </c>
      <c r="F1587" s="18" t="inlineStr">
        <is>
          <t>F0030, F0031, F0359</t>
        </is>
      </c>
    </row>
    <row r="1588" ht="15.75" customHeight="1" s="108">
      <c r="A1588" s="18" t="inlineStr">
        <is>
          <t>Sebastian Stan</t>
        </is>
      </c>
      <c r="B1588" s="18" t="n">
        <v>3</v>
      </c>
      <c r="C1588" s="18" t="n">
        <v>2015</v>
      </c>
      <c r="D1588" s="18" t="n">
        <v>2019</v>
      </c>
      <c r="E1588" s="18" t="inlineStr">
        <is>
          <t>Avengers: Infinity War, Avengers: Endgame, The Martian</t>
        </is>
      </c>
      <c r="F1588" s="18" t="inlineStr">
        <is>
          <t>F0030, F0031, F0213</t>
        </is>
      </c>
    </row>
    <row r="1589" ht="15.75" customHeight="1" s="108">
      <c r="A1589" s="18" t="inlineStr">
        <is>
          <t>Danai Gurira</t>
        </is>
      </c>
      <c r="B1589" s="18" t="n">
        <v>2</v>
      </c>
      <c r="C1589" s="18" t="n">
        <v>2018</v>
      </c>
      <c r="D1589" s="18" t="n">
        <v>2019</v>
      </c>
      <c r="E1589" s="18" t="inlineStr">
        <is>
          <t>Avengers: Infinity War, Avengers: Endgame</t>
        </is>
      </c>
      <c r="F1589" s="18" t="inlineStr">
        <is>
          <t>F0030, F0031</t>
        </is>
      </c>
    </row>
    <row r="1590" ht="15.75" customHeight="1" s="108">
      <c r="A1590" s="18" t="inlineStr">
        <is>
          <t>Pom Klementieff</t>
        </is>
      </c>
      <c r="B1590" s="18" t="n">
        <v>5</v>
      </c>
      <c r="C1590" s="18" t="n">
        <v>2018</v>
      </c>
      <c r="D1590" s="18" t="n">
        <v>2025</v>
      </c>
      <c r="E1590" s="18" t="inlineStr">
        <is>
          <t>Avengers: Infinity War, Avengers: Endgame, Mission: Impossible - Dead Reckoning Part One, Mission: Impossible - The Final Reckoning, Superman</t>
        </is>
      </c>
      <c r="F1590" s="18" t="inlineStr">
        <is>
          <t>F0030, F0031, F0227, F0228, F0304</t>
        </is>
      </c>
    </row>
    <row r="1591" ht="15.75" customHeight="1" s="108">
      <c r="A1591" s="18" t="inlineStr">
        <is>
          <t>Benicio del Toro</t>
        </is>
      </c>
      <c r="B1591" s="18" t="n">
        <v>3</v>
      </c>
      <c r="C1591" s="18" t="n">
        <v>2017</v>
      </c>
      <c r="D1591" s="18" t="n">
        <v>2025</v>
      </c>
      <c r="E1591" s="18" t="inlineStr">
        <is>
          <t>Avengers: Infinity War, Star Wars: The Last Jedi, One battle after another</t>
        </is>
      </c>
      <c r="F1591" s="18" t="inlineStr">
        <is>
          <t>F0030, F0299, F0353</t>
        </is>
      </c>
    </row>
    <row r="1592" ht="15.75" customHeight="1" s="108">
      <c r="A1592" s="18" t="inlineStr">
        <is>
          <t>Sean Gunn</t>
        </is>
      </c>
      <c r="B1592" s="18" t="n">
        <v>1</v>
      </c>
      <c r="C1592" s="18" t="n">
        <v>2018</v>
      </c>
      <c r="D1592" s="18" t="n">
        <v>2018</v>
      </c>
      <c r="E1592" s="18" t="inlineStr">
        <is>
          <t>Avengers: Infinity War</t>
        </is>
      </c>
      <c r="F1592" s="18" t="inlineStr">
        <is>
          <t>F0030</t>
        </is>
      </c>
    </row>
    <row r="1593" ht="15.75" customHeight="1" s="108">
      <c r="A1593" s="18" t="inlineStr">
        <is>
          <t>Rene Russo</t>
        </is>
      </c>
      <c r="B1593" s="18" t="n">
        <v>1</v>
      </c>
      <c r="C1593" s="18" t="n">
        <v>2019</v>
      </c>
      <c r="D1593" s="18" t="n">
        <v>2019</v>
      </c>
      <c r="E1593" s="18" t="inlineStr">
        <is>
          <t>Avengers: Endgame</t>
        </is>
      </c>
      <c r="F1593" s="18" t="inlineStr">
        <is>
          <t>F0031</t>
        </is>
      </c>
    </row>
    <row r="1594" ht="15.75" customHeight="1" s="108">
      <c r="A1594" s="18" t="inlineStr">
        <is>
          <t>Letitia Wright</t>
        </is>
      </c>
      <c r="B1594" s="18" t="n">
        <v>1</v>
      </c>
      <c r="C1594" s="18" t="n">
        <v>2019</v>
      </c>
      <c r="D1594" s="18" t="n">
        <v>2019</v>
      </c>
      <c r="E1594" s="18" t="inlineStr">
        <is>
          <t>Avengers: Endgame</t>
        </is>
      </c>
      <c r="F1594" s="18" t="inlineStr">
        <is>
          <t>F0031</t>
        </is>
      </c>
    </row>
    <row r="1595" ht="15.75" customHeight="1" s="108">
      <c r="A1595" s="18" t="inlineStr">
        <is>
          <t>John Slattery</t>
        </is>
      </c>
      <c r="B1595" s="18" t="n">
        <v>1</v>
      </c>
      <c r="C1595" s="18" t="n">
        <v>2019</v>
      </c>
      <c r="D1595" s="18" t="n">
        <v>2019</v>
      </c>
      <c r="E1595" s="18" t="inlineStr">
        <is>
          <t>Avengers: Endgame</t>
        </is>
      </c>
      <c r="F1595" s="18" t="inlineStr">
        <is>
          <t>F0031</t>
        </is>
      </c>
    </row>
    <row r="1596" ht="15.75" customHeight="1" s="108">
      <c r="A1596" s="18" t="inlineStr">
        <is>
          <t>Eiza González</t>
        </is>
      </c>
      <c r="B1596" s="18" t="n">
        <v>3</v>
      </c>
      <c r="C1596" s="18" t="n">
        <v>2017</v>
      </c>
      <c r="D1596" s="18" t="n">
        <v>2021</v>
      </c>
      <c r="E1596" s="18" t="inlineStr">
        <is>
          <t>Baby Driver, Fast &amp; Furious Presents: Hobbs &amp; Shaw, Godzilla vs. Kong</t>
        </is>
      </c>
      <c r="F1596" s="18" t="inlineStr">
        <is>
          <t>F0032, F0111, F0123</t>
        </is>
      </c>
    </row>
    <row r="1597" ht="15.75" customHeight="1" s="108">
      <c r="A1597" s="18" t="inlineStr">
        <is>
          <t>Flea</t>
        </is>
      </c>
      <c r="B1597" s="18" t="n">
        <v>5</v>
      </c>
      <c r="C1597" s="18" t="n">
        <v>1989</v>
      </c>
      <c r="D1597" s="18" t="n">
        <v>2017</v>
      </c>
      <c r="E1597" s="18" t="inlineStr">
        <is>
          <t>Baby Driver, Back to the Future Part II, Back to the Future Part III, The Big Lebowski, Inside Out</t>
        </is>
      </c>
      <c r="F1597" s="18" t="inlineStr">
        <is>
          <t>F0032, F0034, F0035, F0049, F0167</t>
        </is>
      </c>
    </row>
    <row r="1598" ht="15.75" customHeight="1" s="108">
      <c r="A1598" s="18" t="inlineStr">
        <is>
          <t>CJ Jones</t>
        </is>
      </c>
      <c r="B1598" s="18" t="n">
        <v>1</v>
      </c>
      <c r="C1598" s="18" t="n">
        <v>2017</v>
      </c>
      <c r="D1598" s="18" t="n">
        <v>2017</v>
      </c>
      <c r="E1598" s="18" t="inlineStr">
        <is>
          <t>Baby Driver</t>
        </is>
      </c>
      <c r="F1598" s="18" t="inlineStr">
        <is>
          <t>F0032</t>
        </is>
      </c>
    </row>
    <row r="1599" ht="15.75" customHeight="1" s="108">
      <c r="A1599" s="18" t="inlineStr">
        <is>
          <t>Lanny Joon</t>
        </is>
      </c>
      <c r="B1599" s="18" t="n">
        <v>1</v>
      </c>
      <c r="C1599" s="18" t="n">
        <v>2017</v>
      </c>
      <c r="D1599" s="18" t="n">
        <v>2017</v>
      </c>
      <c r="E1599" s="18" t="inlineStr">
        <is>
          <t>Baby Driver</t>
        </is>
      </c>
      <c r="F1599" s="18" t="inlineStr">
        <is>
          <t>F0032</t>
        </is>
      </c>
    </row>
    <row r="1600" ht="15.75" customHeight="1" s="108">
      <c r="A1600" s="18" t="inlineStr">
        <is>
          <t>Micah Howard</t>
        </is>
      </c>
      <c r="B1600" s="18" t="n">
        <v>1</v>
      </c>
      <c r="C1600" s="18" t="n">
        <v>2017</v>
      </c>
      <c r="D1600" s="18" t="n">
        <v>2017</v>
      </c>
      <c r="E1600" s="18" t="inlineStr">
        <is>
          <t>Baby Driver</t>
        </is>
      </c>
      <c r="F1600" s="18" t="inlineStr">
        <is>
          <t>F0032</t>
        </is>
      </c>
    </row>
    <row r="1601" ht="15.75" customHeight="1" s="108">
      <c r="A1601" s="18" t="inlineStr">
        <is>
          <t>Morgan Brown</t>
        </is>
      </c>
      <c r="B1601" s="18" t="n">
        <v>1</v>
      </c>
      <c r="C1601" s="18" t="n">
        <v>2017</v>
      </c>
      <c r="D1601" s="18" t="n">
        <v>2017</v>
      </c>
      <c r="E1601" s="18" t="inlineStr">
        <is>
          <t>Baby Driver</t>
        </is>
      </c>
      <c r="F1601" s="18" t="inlineStr">
        <is>
          <t>F0032</t>
        </is>
      </c>
    </row>
    <row r="1602" ht="15.75" customHeight="1" s="108">
      <c r="A1602" s="18" t="inlineStr">
        <is>
          <t>Morse Diggs</t>
        </is>
      </c>
      <c r="B1602" s="18" t="n">
        <v>1</v>
      </c>
      <c r="C1602" s="18" t="n">
        <v>2017</v>
      </c>
      <c r="D1602" s="18" t="n">
        <v>2017</v>
      </c>
      <c r="E1602" s="18" t="inlineStr">
        <is>
          <t>Baby Driver</t>
        </is>
      </c>
      <c r="F1602" s="18" t="inlineStr">
        <is>
          <t>F0032</t>
        </is>
      </c>
    </row>
    <row r="1603" ht="15.75" customHeight="1" s="108">
      <c r="A1603" s="18" t="inlineStr">
        <is>
          <t>Sky Ferreira</t>
        </is>
      </c>
      <c r="B1603" s="18" t="n">
        <v>1</v>
      </c>
      <c r="C1603" s="18" t="n">
        <v>2017</v>
      </c>
      <c r="D1603" s="18" t="n">
        <v>2017</v>
      </c>
      <c r="E1603" s="18" t="inlineStr">
        <is>
          <t>Baby Driver</t>
        </is>
      </c>
      <c r="F1603" s="18" t="inlineStr">
        <is>
          <t>F0032</t>
        </is>
      </c>
    </row>
    <row r="1604" ht="15.75" customHeight="1" s="108">
      <c r="A1604" s="18" t="inlineStr">
        <is>
          <t>Lance Palmer</t>
        </is>
      </c>
      <c r="B1604" s="18" t="n">
        <v>1</v>
      </c>
      <c r="C1604" s="18" t="n">
        <v>2017</v>
      </c>
      <c r="D1604" s="18" t="n">
        <v>2017</v>
      </c>
      <c r="E1604" s="18" t="inlineStr">
        <is>
          <t>Baby Driver</t>
        </is>
      </c>
      <c r="F1604" s="18" t="inlineStr">
        <is>
          <t>F0032</t>
        </is>
      </c>
    </row>
    <row r="1605" ht="15.75" customHeight="1" s="108">
      <c r="A1605" s="18" t="inlineStr">
        <is>
          <t>Hudson Meek</t>
        </is>
      </c>
      <c r="B1605" s="18" t="n">
        <v>1</v>
      </c>
      <c r="C1605" s="18" t="n">
        <v>2017</v>
      </c>
      <c r="D1605" s="18" t="n">
        <v>2017</v>
      </c>
      <c r="E1605" s="18" t="inlineStr">
        <is>
          <t>Baby Driver</t>
        </is>
      </c>
      <c r="F1605" s="18" t="inlineStr">
        <is>
          <t>F0032</t>
        </is>
      </c>
    </row>
    <row r="1606" ht="15.75" customHeight="1" s="108">
      <c r="A1606" s="18" t="inlineStr">
        <is>
          <t>Viviana Chavez</t>
        </is>
      </c>
      <c r="B1606" s="18" t="n">
        <v>1</v>
      </c>
      <c r="C1606" s="18" t="n">
        <v>2017</v>
      </c>
      <c r="D1606" s="18" t="n">
        <v>2017</v>
      </c>
      <c r="E1606" s="18" t="inlineStr">
        <is>
          <t>Baby Driver</t>
        </is>
      </c>
      <c r="F1606" s="18" t="inlineStr">
        <is>
          <t>F0032</t>
        </is>
      </c>
    </row>
    <row r="1607" ht="15.75" customHeight="1" s="108">
      <c r="A1607" s="18" t="inlineStr">
        <is>
          <t>Hal Whiteside</t>
        </is>
      </c>
      <c r="B1607" s="18" t="n">
        <v>1</v>
      </c>
      <c r="C1607" s="18" t="n">
        <v>2017</v>
      </c>
      <c r="D1607" s="18" t="n">
        <v>2017</v>
      </c>
      <c r="E1607" s="18" t="inlineStr">
        <is>
          <t>Baby Driver</t>
        </is>
      </c>
      <c r="F1607" s="18" t="inlineStr">
        <is>
          <t>F0032</t>
        </is>
      </c>
    </row>
    <row r="1608" ht="15.75" customHeight="1" s="108">
      <c r="A1608" s="18" t="inlineStr">
        <is>
          <t>Clay Donahue Fontenot</t>
        </is>
      </c>
      <c r="B1608" s="18" t="n">
        <v>2</v>
      </c>
      <c r="C1608" s="18" t="n">
        <v>2012</v>
      </c>
      <c r="D1608" s="18" t="n">
        <v>2017</v>
      </c>
      <c r="E1608" s="18" t="inlineStr">
        <is>
          <t>Baby Driver, Django Unchained</t>
        </is>
      </c>
      <c r="F1608" s="18" t="inlineStr">
        <is>
          <t>F0032, F0090</t>
        </is>
      </c>
    </row>
    <row r="1609" ht="15.75" customHeight="1" s="108">
      <c r="A1609" s="18" t="inlineStr">
        <is>
          <t>Brigitte Kali Canales</t>
        </is>
      </c>
      <c r="B1609" s="18" t="n">
        <v>1</v>
      </c>
      <c r="C1609" s="18" t="n">
        <v>2017</v>
      </c>
      <c r="D1609" s="18" t="n">
        <v>2017</v>
      </c>
      <c r="E1609" s="18" t="inlineStr">
        <is>
          <t>Baby Driver</t>
        </is>
      </c>
      <c r="F1609" s="18" t="inlineStr">
        <is>
          <t>F0032</t>
        </is>
      </c>
    </row>
    <row r="1610" ht="15.75" customHeight="1" s="108">
      <c r="A1610" s="18" t="inlineStr">
        <is>
          <t>Patrick Walker</t>
        </is>
      </c>
      <c r="B1610" s="18" t="n">
        <v>1</v>
      </c>
      <c r="C1610" s="18" t="n">
        <v>2017</v>
      </c>
      <c r="D1610" s="18" t="n">
        <v>2017</v>
      </c>
      <c r="E1610" s="18" t="inlineStr">
        <is>
          <t>Baby Driver</t>
        </is>
      </c>
      <c r="F1610" s="18" t="inlineStr">
        <is>
          <t>F0032</t>
        </is>
      </c>
    </row>
    <row r="1611" ht="15.75" customHeight="1" s="108">
      <c r="A1611" s="18" t="inlineStr">
        <is>
          <t>Ben VanderMey</t>
        </is>
      </c>
      <c r="B1611" s="18" t="n">
        <v>1</v>
      </c>
      <c r="C1611" s="18" t="n">
        <v>2017</v>
      </c>
      <c r="D1611" s="18" t="n">
        <v>2017</v>
      </c>
      <c r="E1611" s="18" t="inlineStr">
        <is>
          <t>Baby Driver</t>
        </is>
      </c>
      <c r="F1611" s="18" t="inlineStr">
        <is>
          <t>F0032</t>
        </is>
      </c>
    </row>
    <row r="1612" ht="15.75" customHeight="1" s="108">
      <c r="A1612" s="18" t="inlineStr">
        <is>
          <t>David Robert Lewis</t>
        </is>
      </c>
      <c r="B1612" s="18" t="n">
        <v>1</v>
      </c>
      <c r="C1612" s="18" t="n">
        <v>2017</v>
      </c>
      <c r="D1612" s="18" t="n">
        <v>2017</v>
      </c>
      <c r="E1612" s="18" t="inlineStr">
        <is>
          <t>Baby Driver</t>
        </is>
      </c>
      <c r="F1612" s="18" t="inlineStr">
        <is>
          <t>F0032</t>
        </is>
      </c>
    </row>
    <row r="1613" ht="15.75" customHeight="1" s="108">
      <c r="A1613" s="18" t="inlineStr">
        <is>
          <t>Big Boi</t>
        </is>
      </c>
      <c r="B1613" s="18" t="n">
        <v>1</v>
      </c>
      <c r="C1613" s="18" t="n">
        <v>2017</v>
      </c>
      <c r="D1613" s="18" t="n">
        <v>2017</v>
      </c>
      <c r="E1613" s="18" t="inlineStr">
        <is>
          <t>Baby Driver</t>
        </is>
      </c>
      <c r="F1613" s="18" t="inlineStr">
        <is>
          <t>F0032</t>
        </is>
      </c>
    </row>
    <row r="1614" ht="15.75" customHeight="1" s="108">
      <c r="A1614" s="18" t="inlineStr">
        <is>
          <t>Killer Mike</t>
        </is>
      </c>
      <c r="B1614" s="18" t="n">
        <v>1</v>
      </c>
      <c r="C1614" s="18" t="n">
        <v>2017</v>
      </c>
      <c r="D1614" s="18" t="n">
        <v>2017</v>
      </c>
      <c r="E1614" s="18" t="inlineStr">
        <is>
          <t>Baby Driver</t>
        </is>
      </c>
      <c r="F1614" s="18" t="inlineStr">
        <is>
          <t>F0032</t>
        </is>
      </c>
    </row>
    <row r="1615" ht="15.75" customHeight="1" s="108">
      <c r="A1615" s="18" t="inlineStr">
        <is>
          <t>Brogan Hall</t>
        </is>
      </c>
      <c r="B1615" s="18" t="n">
        <v>1</v>
      </c>
      <c r="C1615" s="18" t="n">
        <v>2017</v>
      </c>
      <c r="D1615" s="18" t="n">
        <v>2017</v>
      </c>
      <c r="E1615" s="18" t="inlineStr">
        <is>
          <t>Baby Driver</t>
        </is>
      </c>
      <c r="F1615" s="18" t="inlineStr">
        <is>
          <t>F0032</t>
        </is>
      </c>
    </row>
    <row r="1616" ht="15.75" customHeight="1" s="108">
      <c r="A1616" s="18" t="inlineStr">
        <is>
          <t>Allison Gabriel</t>
        </is>
      </c>
      <c r="B1616" s="18" t="n">
        <v>1</v>
      </c>
      <c r="C1616" s="18" t="n">
        <v>2017</v>
      </c>
      <c r="D1616" s="18" t="n">
        <v>2017</v>
      </c>
      <c r="E1616" s="18" t="inlineStr">
        <is>
          <t>Baby Driver</t>
        </is>
      </c>
      <c r="F1616" s="18" t="inlineStr">
        <is>
          <t>F0032</t>
        </is>
      </c>
    </row>
    <row r="1617" ht="15.75" customHeight="1" s="108">
      <c r="A1617" s="18" t="inlineStr">
        <is>
          <t>R. Marcos Taylor</t>
        </is>
      </c>
      <c r="B1617" s="18" t="n">
        <v>2</v>
      </c>
      <c r="C1617" s="18" t="n">
        <v>2015</v>
      </c>
      <c r="D1617" s="18" t="n">
        <v>2017</v>
      </c>
      <c r="E1617" s="18" t="inlineStr">
        <is>
          <t>Baby Driver, Straight Outta Compton</t>
        </is>
      </c>
      <c r="F1617" s="18" t="inlineStr">
        <is>
          <t>F0032, F0301</t>
        </is>
      </c>
    </row>
    <row r="1618" ht="15.75" customHeight="1" s="108">
      <c r="A1618" s="18" t="inlineStr">
        <is>
          <t>Paul Williams</t>
        </is>
      </c>
      <c r="B1618" s="18" t="n">
        <v>1</v>
      </c>
      <c r="C1618" s="18" t="n">
        <v>2017</v>
      </c>
      <c r="D1618" s="18" t="n">
        <v>2017</v>
      </c>
      <c r="E1618" s="18" t="inlineStr">
        <is>
          <t>Baby Driver</t>
        </is>
      </c>
      <c r="F1618" s="18" t="inlineStr">
        <is>
          <t>F0032</t>
        </is>
      </c>
    </row>
    <row r="1619" ht="15.75" customHeight="1" s="108">
      <c r="A1619" s="18" t="inlineStr">
        <is>
          <t>Joe Loya</t>
        </is>
      </c>
      <c r="B1619" s="18" t="n">
        <v>1</v>
      </c>
      <c r="C1619" s="18" t="n">
        <v>2017</v>
      </c>
      <c r="D1619" s="18" t="n">
        <v>2017</v>
      </c>
      <c r="E1619" s="18" t="inlineStr">
        <is>
          <t>Baby Driver</t>
        </is>
      </c>
      <c r="F1619" s="18" t="inlineStr">
        <is>
          <t>F0032</t>
        </is>
      </c>
    </row>
    <row r="1620" ht="15.75" customHeight="1" s="108">
      <c r="A1620" s="18" t="inlineStr">
        <is>
          <t>Marc McClure</t>
        </is>
      </c>
      <c r="B1620" s="18" t="n">
        <v>2</v>
      </c>
      <c r="C1620" s="18" t="n">
        <v>1985</v>
      </c>
      <c r="D1620" s="18" t="n">
        <v>1990</v>
      </c>
      <c r="E1620" s="18" t="inlineStr">
        <is>
          <t>Back to the Future, Back to the Future Part III</t>
        </is>
      </c>
      <c r="F1620" s="18" t="inlineStr">
        <is>
          <t>F0033, F0035</t>
        </is>
      </c>
    </row>
    <row r="1621" ht="15.75" customHeight="1" s="108">
      <c r="A1621" s="18" t="inlineStr">
        <is>
          <t>Wendie Jo Sperber</t>
        </is>
      </c>
      <c r="B1621" s="18" t="n">
        <v>2</v>
      </c>
      <c r="C1621" s="18" t="n">
        <v>1985</v>
      </c>
      <c r="D1621" s="18" t="n">
        <v>1990</v>
      </c>
      <c r="E1621" s="18" t="inlineStr">
        <is>
          <t>Back to the Future, Back to the Future Part III</t>
        </is>
      </c>
      <c r="F1621" s="18" t="inlineStr">
        <is>
          <t>F0033, F0035</t>
        </is>
      </c>
    </row>
    <row r="1622" ht="15.75" customHeight="1" s="108">
      <c r="A1622" s="18" t="inlineStr">
        <is>
          <t>George DiCenzo</t>
        </is>
      </c>
      <c r="B1622" s="18" t="n">
        <v>1</v>
      </c>
      <c r="C1622" s="18" t="n">
        <v>1985</v>
      </c>
      <c r="D1622" s="18" t="n">
        <v>1985</v>
      </c>
      <c r="E1622" s="18" t="inlineStr">
        <is>
          <t>Back to the Future</t>
        </is>
      </c>
      <c r="F1622" s="18" t="inlineStr">
        <is>
          <t>F0033</t>
        </is>
      </c>
    </row>
    <row r="1623" ht="15.75" customHeight="1" s="108">
      <c r="A1623" s="18" t="inlineStr">
        <is>
          <t>Frances Lee McCain</t>
        </is>
      </c>
      <c r="B1623" s="18" t="n">
        <v>1</v>
      </c>
      <c r="C1623" s="18" t="n">
        <v>1985</v>
      </c>
      <c r="D1623" s="18" t="n">
        <v>1985</v>
      </c>
      <c r="E1623" s="18" t="inlineStr">
        <is>
          <t>Back to the Future</t>
        </is>
      </c>
      <c r="F1623" s="18" t="inlineStr">
        <is>
          <t>F0033</t>
        </is>
      </c>
    </row>
    <row r="1624" ht="15.75" customHeight="1" s="108">
      <c r="A1624" s="18" t="inlineStr">
        <is>
          <t>James Tolkan</t>
        </is>
      </c>
      <c r="B1624" s="18" t="n">
        <v>3</v>
      </c>
      <c r="C1624" s="18" t="n">
        <v>1985</v>
      </c>
      <c r="D1624" s="18" t="n">
        <v>1990</v>
      </c>
      <c r="E1624" s="18" t="inlineStr">
        <is>
          <t>Back to the Future, Back to the Future Part II, Back to the Future Part III</t>
        </is>
      </c>
      <c r="F1624" s="18" t="inlineStr">
        <is>
          <t>F0033, F0034, F0035</t>
        </is>
      </c>
    </row>
    <row r="1625" ht="15.75" customHeight="1" s="108">
      <c r="A1625" s="18" t="inlineStr">
        <is>
          <t>J.J. Cohen</t>
        </is>
      </c>
      <c r="B1625" s="18" t="n">
        <v>3</v>
      </c>
      <c r="C1625" s="18" t="n">
        <v>1985</v>
      </c>
      <c r="D1625" s="18" t="n">
        <v>1990</v>
      </c>
      <c r="E1625" s="18" t="inlineStr">
        <is>
          <t>Back to the Future, Back to the Future Part II, Back to the Future Part III</t>
        </is>
      </c>
      <c r="F1625" s="18" t="inlineStr">
        <is>
          <t>F0033, F0034, F0035</t>
        </is>
      </c>
    </row>
    <row r="1626" ht="15.75" customHeight="1" s="108">
      <c r="A1626" s="18" t="inlineStr">
        <is>
          <t>Casey Siemaszko</t>
        </is>
      </c>
      <c r="B1626" s="18" t="n">
        <v>2</v>
      </c>
      <c r="C1626" s="18" t="n">
        <v>1985</v>
      </c>
      <c r="D1626" s="18" t="n">
        <v>1989</v>
      </c>
      <c r="E1626" s="18" t="inlineStr">
        <is>
          <t>Back to the Future, Back to the Future Part II</t>
        </is>
      </c>
      <c r="F1626" s="18" t="inlineStr">
        <is>
          <t>F0033, F0034</t>
        </is>
      </c>
    </row>
    <row r="1627" ht="15.75" customHeight="1" s="108">
      <c r="A1627" s="18" t="inlineStr">
        <is>
          <t>Billy Zane</t>
        </is>
      </c>
      <c r="B1627" s="18" t="n">
        <v>2</v>
      </c>
      <c r="C1627" s="18" t="n">
        <v>1985</v>
      </c>
      <c r="D1627" s="18" t="n">
        <v>1989</v>
      </c>
      <c r="E1627" s="18" t="inlineStr">
        <is>
          <t>Back to the Future, Back to the Future Part II</t>
        </is>
      </c>
      <c r="F1627" s="18" t="inlineStr">
        <is>
          <t>F0033, F0034</t>
        </is>
      </c>
    </row>
    <row r="1628" ht="15.75" customHeight="1" s="108">
      <c r="A1628" s="18" t="inlineStr">
        <is>
          <t>Harry Waters, Jr.</t>
        </is>
      </c>
      <c r="B1628" s="18" t="n">
        <v>1</v>
      </c>
      <c r="C1628" s="18" t="n">
        <v>1985</v>
      </c>
      <c r="D1628" s="18" t="n">
        <v>1985</v>
      </c>
      <c r="E1628" s="18" t="inlineStr">
        <is>
          <t>Back to the Future</t>
        </is>
      </c>
      <c r="F1628" s="18" t="inlineStr">
        <is>
          <t>F0033</t>
        </is>
      </c>
    </row>
    <row r="1629" ht="15.75" customHeight="1" s="108">
      <c r="A1629" s="18" t="inlineStr">
        <is>
          <t>Donald Fullilove</t>
        </is>
      </c>
      <c r="B1629" s="18" t="n">
        <v>3</v>
      </c>
      <c r="C1629" s="18" t="n">
        <v>1985</v>
      </c>
      <c r="D1629" s="18" t="n">
        <v>2009</v>
      </c>
      <c r="E1629" s="18" t="inlineStr">
        <is>
          <t>Back to the Future, Up, WALL·E</t>
        </is>
      </c>
      <c r="F1629" s="18" t="inlineStr">
        <is>
          <t>F0033, F0330, F0331</t>
        </is>
      </c>
    </row>
    <row r="1630" ht="15.75" customHeight="1" s="108">
      <c r="A1630" s="18" t="inlineStr">
        <is>
          <t>Lisa Freeman</t>
        </is>
      </c>
      <c r="B1630" s="18" t="n">
        <v>1</v>
      </c>
      <c r="C1630" s="18" t="n">
        <v>1985</v>
      </c>
      <c r="D1630" s="18" t="n">
        <v>1985</v>
      </c>
      <c r="E1630" s="18" t="inlineStr">
        <is>
          <t>Back to the Future</t>
        </is>
      </c>
      <c r="F1630" s="18" t="inlineStr">
        <is>
          <t>F0033</t>
        </is>
      </c>
    </row>
    <row r="1631" ht="15.75" customHeight="1" s="108">
      <c r="A1631" s="18" t="inlineStr">
        <is>
          <t>Cristen Kauffman</t>
        </is>
      </c>
      <c r="B1631" s="18" t="n">
        <v>1</v>
      </c>
      <c r="C1631" s="18" t="n">
        <v>1985</v>
      </c>
      <c r="D1631" s="18" t="n">
        <v>1985</v>
      </c>
      <c r="E1631" s="18" t="inlineStr">
        <is>
          <t>Back to the Future</t>
        </is>
      </c>
      <c r="F1631" s="18" t="inlineStr">
        <is>
          <t>F0033</t>
        </is>
      </c>
    </row>
    <row r="1632" ht="15.75" customHeight="1" s="108">
      <c r="A1632" s="18" t="inlineStr">
        <is>
          <t>Elsa Raven</t>
        </is>
      </c>
      <c r="B1632" s="18" t="n">
        <v>1</v>
      </c>
      <c r="C1632" s="18" t="n">
        <v>1985</v>
      </c>
      <c r="D1632" s="18" t="n">
        <v>1985</v>
      </c>
      <c r="E1632" s="18" t="inlineStr">
        <is>
          <t>Back to the Future</t>
        </is>
      </c>
      <c r="F1632" s="18" t="inlineStr">
        <is>
          <t>F0033</t>
        </is>
      </c>
    </row>
    <row r="1633" ht="15.75" customHeight="1" s="108">
      <c r="A1633" s="18" t="inlineStr">
        <is>
          <t>Will Hare</t>
        </is>
      </c>
      <c r="B1633" s="18" t="n">
        <v>1</v>
      </c>
      <c r="C1633" s="18" t="n">
        <v>1985</v>
      </c>
      <c r="D1633" s="18" t="n">
        <v>1985</v>
      </c>
      <c r="E1633" s="18" t="inlineStr">
        <is>
          <t>Back to the Future</t>
        </is>
      </c>
      <c r="F1633" s="18" t="inlineStr">
        <is>
          <t>F0033</t>
        </is>
      </c>
    </row>
    <row r="1634" ht="15.75" customHeight="1" s="108">
      <c r="A1634" s="18" t="inlineStr">
        <is>
          <t>Ivy Bethune</t>
        </is>
      </c>
      <c r="B1634" s="18" t="n">
        <v>1</v>
      </c>
      <c r="C1634" s="18" t="n">
        <v>1985</v>
      </c>
      <c r="D1634" s="18" t="n">
        <v>1985</v>
      </c>
      <c r="E1634" s="18" t="inlineStr">
        <is>
          <t>Back to the Future</t>
        </is>
      </c>
      <c r="F1634" s="18" t="inlineStr">
        <is>
          <t>F0033</t>
        </is>
      </c>
    </row>
    <row r="1635" ht="15.75" customHeight="1" s="108">
      <c r="A1635" s="18" t="inlineStr">
        <is>
          <t>Jason Marin</t>
        </is>
      </c>
      <c r="B1635" s="18" t="n">
        <v>1</v>
      </c>
      <c r="C1635" s="18" t="n">
        <v>1985</v>
      </c>
      <c r="D1635" s="18" t="n">
        <v>1985</v>
      </c>
      <c r="E1635" s="18" t="inlineStr">
        <is>
          <t>Back to the Future</t>
        </is>
      </c>
      <c r="F1635" s="18" t="inlineStr">
        <is>
          <t>F0033</t>
        </is>
      </c>
    </row>
    <row r="1636" ht="15.75" customHeight="1" s="108">
      <c r="A1636" s="18" t="inlineStr">
        <is>
          <t>Katherine Britton</t>
        </is>
      </c>
      <c r="B1636" s="18" t="n">
        <v>1</v>
      </c>
      <c r="C1636" s="18" t="n">
        <v>1985</v>
      </c>
      <c r="D1636" s="18" t="n">
        <v>1985</v>
      </c>
      <c r="E1636" s="18" t="inlineStr">
        <is>
          <t>Back to the Future</t>
        </is>
      </c>
      <c r="F1636" s="18" t="inlineStr">
        <is>
          <t>F0033</t>
        </is>
      </c>
    </row>
    <row r="1637" ht="15.75" customHeight="1" s="108">
      <c r="A1637" s="18" t="inlineStr">
        <is>
          <t>Jason Hervey</t>
        </is>
      </c>
      <c r="B1637" s="18" t="n">
        <v>1</v>
      </c>
      <c r="C1637" s="18" t="n">
        <v>1985</v>
      </c>
      <c r="D1637" s="18" t="n">
        <v>1985</v>
      </c>
      <c r="E1637" s="18" t="inlineStr">
        <is>
          <t>Back to the Future</t>
        </is>
      </c>
      <c r="F1637" s="18" t="inlineStr">
        <is>
          <t>F0033</t>
        </is>
      </c>
    </row>
    <row r="1638" ht="15.75" customHeight="1" s="108">
      <c r="A1638" s="18" t="inlineStr">
        <is>
          <t>Maia Brewton</t>
        </is>
      </c>
      <c r="B1638" s="18" t="n">
        <v>1</v>
      </c>
      <c r="C1638" s="18" t="n">
        <v>1985</v>
      </c>
      <c r="D1638" s="18" t="n">
        <v>1985</v>
      </c>
      <c r="E1638" s="18" t="inlineStr">
        <is>
          <t>Back to the Future</t>
        </is>
      </c>
      <c r="F1638" s="18" t="inlineStr">
        <is>
          <t>F0033</t>
        </is>
      </c>
    </row>
    <row r="1639" ht="15.75" customHeight="1" s="108">
      <c r="A1639" s="18" t="inlineStr">
        <is>
          <t>Courtney Gains</t>
        </is>
      </c>
      <c r="B1639" s="18" t="n">
        <v>1</v>
      </c>
      <c r="C1639" s="18" t="n">
        <v>1985</v>
      </c>
      <c r="D1639" s="18" t="n">
        <v>1985</v>
      </c>
      <c r="E1639" s="18" t="inlineStr">
        <is>
          <t>Back to the Future</t>
        </is>
      </c>
      <c r="F1639" s="18" t="inlineStr">
        <is>
          <t>F0033</t>
        </is>
      </c>
    </row>
    <row r="1640" ht="15.75" customHeight="1" s="108">
      <c r="A1640" s="18" t="inlineStr">
        <is>
          <t>Richard L. Duran</t>
        </is>
      </c>
      <c r="B1640" s="18" t="n">
        <v>1</v>
      </c>
      <c r="C1640" s="18" t="n">
        <v>1985</v>
      </c>
      <c r="D1640" s="18" t="n">
        <v>1985</v>
      </c>
      <c r="E1640" s="18" t="inlineStr">
        <is>
          <t>Back to the Future</t>
        </is>
      </c>
      <c r="F1640" s="18" t="inlineStr">
        <is>
          <t>F0033</t>
        </is>
      </c>
    </row>
    <row r="1641" ht="15.75" customHeight="1" s="108">
      <c r="A1641" s="18" t="inlineStr">
        <is>
          <t>Jeff O'Haco</t>
        </is>
      </c>
      <c r="B1641" s="18" t="n">
        <v>1</v>
      </c>
      <c r="C1641" s="18" t="n">
        <v>1985</v>
      </c>
      <c r="D1641" s="18" t="n">
        <v>1985</v>
      </c>
      <c r="E1641" s="18" t="inlineStr">
        <is>
          <t>Back to the Future</t>
        </is>
      </c>
      <c r="F1641" s="18" t="inlineStr">
        <is>
          <t>F0033</t>
        </is>
      </c>
    </row>
    <row r="1642" ht="15.75" customHeight="1" s="108">
      <c r="A1642" s="18" t="inlineStr">
        <is>
          <t>Johnny Green</t>
        </is>
      </c>
      <c r="B1642" s="18" t="n">
        <v>1</v>
      </c>
      <c r="C1642" s="18" t="n">
        <v>1985</v>
      </c>
      <c r="D1642" s="18" t="n">
        <v>1985</v>
      </c>
      <c r="E1642" s="18" t="inlineStr">
        <is>
          <t>Back to the Future</t>
        </is>
      </c>
      <c r="F1642" s="18" t="inlineStr">
        <is>
          <t>F0033</t>
        </is>
      </c>
    </row>
    <row r="1643" ht="15.75" customHeight="1" s="108">
      <c r="A1643" s="18" t="inlineStr">
        <is>
          <t>Jamie Abbott</t>
        </is>
      </c>
      <c r="B1643" s="18" t="n">
        <v>1</v>
      </c>
      <c r="C1643" s="18" t="n">
        <v>1985</v>
      </c>
      <c r="D1643" s="18" t="n">
        <v>1985</v>
      </c>
      <c r="E1643" s="18" t="inlineStr">
        <is>
          <t>Back to the Future</t>
        </is>
      </c>
      <c r="F1643" s="18" t="inlineStr">
        <is>
          <t>F0033</t>
        </is>
      </c>
    </row>
    <row r="1644" ht="15.75" customHeight="1" s="108">
      <c r="A1644" s="18" t="inlineStr">
        <is>
          <t>Jeffrey Weissman</t>
        </is>
      </c>
      <c r="B1644" s="18" t="n">
        <v>2</v>
      </c>
      <c r="C1644" s="18" t="n">
        <v>1989</v>
      </c>
      <c r="D1644" s="18" t="n">
        <v>1990</v>
      </c>
      <c r="E1644" s="18" t="inlineStr">
        <is>
          <t>Back to the Future Part II, Back to the Future Part III</t>
        </is>
      </c>
      <c r="F1644" s="18" t="inlineStr">
        <is>
          <t>F0034, F0035</t>
        </is>
      </c>
    </row>
    <row r="1645" ht="15.75" customHeight="1" s="108">
      <c r="A1645" s="18" t="inlineStr">
        <is>
          <t>Charles Fleischer</t>
        </is>
      </c>
      <c r="B1645" s="18" t="n">
        <v>2</v>
      </c>
      <c r="C1645" s="18" t="n">
        <v>1989</v>
      </c>
      <c r="D1645" s="18" t="n">
        <v>2007</v>
      </c>
      <c r="E1645" s="18" t="inlineStr">
        <is>
          <t>Back to the Future Part II, Zodiac</t>
        </is>
      </c>
      <c r="F1645" s="18" t="inlineStr">
        <is>
          <t>F0034, F0350</t>
        </is>
      </c>
    </row>
    <row r="1646" ht="15.75" customHeight="1" s="108">
      <c r="A1646" s="18" t="inlineStr">
        <is>
          <t>E. Casanova Evans</t>
        </is>
      </c>
      <c r="B1646" s="18" t="n">
        <v>1</v>
      </c>
      <c r="C1646" s="18" t="n">
        <v>1989</v>
      </c>
      <c r="D1646" s="18" t="n">
        <v>1989</v>
      </c>
      <c r="E1646" s="18" t="inlineStr">
        <is>
          <t>Back to the Future Part II</t>
        </is>
      </c>
      <c r="F1646" s="18" t="inlineStr">
        <is>
          <t>F0034</t>
        </is>
      </c>
    </row>
    <row r="1647" ht="15.75" customHeight="1" s="108">
      <c r="A1647" s="18" t="inlineStr">
        <is>
          <t>Jay Koch</t>
        </is>
      </c>
      <c r="B1647" s="18" t="n">
        <v>1</v>
      </c>
      <c r="C1647" s="18" t="n">
        <v>1989</v>
      </c>
      <c r="D1647" s="18" t="n">
        <v>1989</v>
      </c>
      <c r="E1647" s="18" t="inlineStr">
        <is>
          <t>Back to the Future Part II</t>
        </is>
      </c>
      <c r="F1647" s="18" t="inlineStr">
        <is>
          <t>F0034</t>
        </is>
      </c>
    </row>
    <row r="1648" ht="15.75" customHeight="1" s="108">
      <c r="A1648" s="18" t="inlineStr">
        <is>
          <t>Charles Gherardi</t>
        </is>
      </c>
      <c r="B1648" s="18" t="n">
        <v>1</v>
      </c>
      <c r="C1648" s="18" t="n">
        <v>1989</v>
      </c>
      <c r="D1648" s="18" t="n">
        <v>1989</v>
      </c>
      <c r="E1648" s="18" t="inlineStr">
        <is>
          <t>Back to the Future Part II</t>
        </is>
      </c>
      <c r="F1648" s="18" t="inlineStr">
        <is>
          <t>F0034</t>
        </is>
      </c>
    </row>
    <row r="1649" ht="15.75" customHeight="1" s="108">
      <c r="A1649" s="18" t="inlineStr">
        <is>
          <t>Ricky Dean Logan</t>
        </is>
      </c>
      <c r="B1649" s="18" t="n">
        <v>2</v>
      </c>
      <c r="C1649" s="18" t="n">
        <v>1989</v>
      </c>
      <c r="D1649" s="18" t="n">
        <v>1990</v>
      </c>
      <c r="E1649" s="18" t="inlineStr">
        <is>
          <t>Back to the Future Part II, Back to the Future Part III</t>
        </is>
      </c>
      <c r="F1649" s="18" t="inlineStr">
        <is>
          <t>F0034, F0035</t>
        </is>
      </c>
    </row>
    <row r="1650" ht="15.75" customHeight="1" s="108">
      <c r="A1650" s="18" t="inlineStr">
        <is>
          <t>Darlene Vogel</t>
        </is>
      </c>
      <c r="B1650" s="18" t="n">
        <v>1</v>
      </c>
      <c r="C1650" s="18" t="n">
        <v>1989</v>
      </c>
      <c r="D1650" s="18" t="n">
        <v>1989</v>
      </c>
      <c r="E1650" s="18" t="inlineStr">
        <is>
          <t>Back to the Future Part II</t>
        </is>
      </c>
      <c r="F1650" s="18" t="inlineStr">
        <is>
          <t>F0034</t>
        </is>
      </c>
    </row>
    <row r="1651" ht="15.75" customHeight="1" s="108">
      <c r="A1651" s="18" t="inlineStr">
        <is>
          <t>Jason Scott Lee</t>
        </is>
      </c>
      <c r="B1651" s="18" t="n">
        <v>1</v>
      </c>
      <c r="C1651" s="18" t="n">
        <v>1989</v>
      </c>
      <c r="D1651" s="18" t="n">
        <v>1989</v>
      </c>
      <c r="E1651" s="18" t="inlineStr">
        <is>
          <t>Back to the Future Part II</t>
        </is>
      </c>
      <c r="F1651" s="18" t="inlineStr">
        <is>
          <t>F0034</t>
        </is>
      </c>
    </row>
    <row r="1652" ht="15.75" customHeight="1" s="108">
      <c r="A1652" s="18" t="inlineStr">
        <is>
          <t>John Thornton</t>
        </is>
      </c>
      <c r="B1652" s="18" t="n">
        <v>1</v>
      </c>
      <c r="C1652" s="18" t="n">
        <v>1989</v>
      </c>
      <c r="D1652" s="18" t="n">
        <v>1989</v>
      </c>
      <c r="E1652" s="18" t="inlineStr">
        <is>
          <t>Back to the Future Part II</t>
        </is>
      </c>
      <c r="F1652" s="18" t="inlineStr">
        <is>
          <t>F0034</t>
        </is>
      </c>
    </row>
    <row r="1653" ht="15.75" customHeight="1" s="108">
      <c r="A1653" s="18" t="inlineStr">
        <is>
          <t>Theo Schwartz</t>
        </is>
      </c>
      <c r="B1653" s="18" t="n">
        <v>1</v>
      </c>
      <c r="C1653" s="18" t="n">
        <v>1989</v>
      </c>
      <c r="D1653" s="18" t="n">
        <v>1989</v>
      </c>
      <c r="E1653" s="18" t="inlineStr">
        <is>
          <t>Back to the Future Part II</t>
        </is>
      </c>
      <c r="F1653" s="18" t="inlineStr">
        <is>
          <t>F0034</t>
        </is>
      </c>
    </row>
    <row r="1654" ht="15.75" customHeight="1" s="108">
      <c r="A1654" s="18" t="inlineStr">
        <is>
          <t>Lindsey Whitney Barry</t>
        </is>
      </c>
      <c r="B1654" s="18" t="n">
        <v>1</v>
      </c>
      <c r="C1654" s="18" t="n">
        <v>1989</v>
      </c>
      <c r="D1654" s="18" t="n">
        <v>1989</v>
      </c>
      <c r="E1654" s="18" t="inlineStr">
        <is>
          <t>Back to the Future Part II</t>
        </is>
      </c>
      <c r="F1654" s="18" t="inlineStr">
        <is>
          <t>F0034</t>
        </is>
      </c>
    </row>
    <row r="1655" ht="15.75" customHeight="1" s="108">
      <c r="A1655" s="18" t="inlineStr">
        <is>
          <t>Judy Ovitz</t>
        </is>
      </c>
      <c r="B1655" s="18" t="n">
        <v>1</v>
      </c>
      <c r="C1655" s="18" t="n">
        <v>1989</v>
      </c>
      <c r="D1655" s="18" t="n">
        <v>1989</v>
      </c>
      <c r="E1655" s="18" t="inlineStr">
        <is>
          <t>Back to the Future Part II</t>
        </is>
      </c>
      <c r="F1655" s="18" t="inlineStr">
        <is>
          <t>F0034</t>
        </is>
      </c>
    </row>
    <row r="1656" ht="15.75" customHeight="1" s="108">
      <c r="A1656" s="18" t="inlineStr">
        <is>
          <t>Stephanie Williams</t>
        </is>
      </c>
      <c r="B1656" s="18" t="n">
        <v>1</v>
      </c>
      <c r="C1656" s="18" t="n">
        <v>1989</v>
      </c>
      <c r="D1656" s="18" t="n">
        <v>1989</v>
      </c>
      <c r="E1656" s="18" t="inlineStr">
        <is>
          <t>Back to the Future Part II</t>
        </is>
      </c>
      <c r="F1656" s="18" t="inlineStr">
        <is>
          <t>F0034</t>
        </is>
      </c>
    </row>
    <row r="1657" ht="15.75" customHeight="1" s="108">
      <c r="A1657" s="18" t="inlineStr">
        <is>
          <t>Marty Levy</t>
        </is>
      </c>
      <c r="B1657" s="18" t="n">
        <v>1</v>
      </c>
      <c r="C1657" s="18" t="n">
        <v>1989</v>
      </c>
      <c r="D1657" s="18" t="n">
        <v>1989</v>
      </c>
      <c r="E1657" s="18" t="inlineStr">
        <is>
          <t>Back to the Future Part II</t>
        </is>
      </c>
      <c r="F1657" s="18" t="inlineStr">
        <is>
          <t>F0034</t>
        </is>
      </c>
    </row>
    <row r="1658" ht="15.75" customHeight="1" s="108">
      <c r="A1658" s="18" t="inlineStr">
        <is>
          <t>Jim Ishida</t>
        </is>
      </c>
      <c r="B1658" s="18" t="n">
        <v>1</v>
      </c>
      <c r="C1658" s="18" t="n">
        <v>1989</v>
      </c>
      <c r="D1658" s="18" t="n">
        <v>1989</v>
      </c>
      <c r="E1658" s="18" t="inlineStr">
        <is>
          <t>Back to the Future Part II</t>
        </is>
      </c>
      <c r="F1658" s="18" t="inlineStr">
        <is>
          <t>F0034</t>
        </is>
      </c>
    </row>
    <row r="1659" ht="15.75" customHeight="1" s="108">
      <c r="A1659" s="18" t="inlineStr">
        <is>
          <t>Nikki Birdsong</t>
        </is>
      </c>
      <c r="B1659" s="18" t="n">
        <v>1</v>
      </c>
      <c r="C1659" s="18" t="n">
        <v>1989</v>
      </c>
      <c r="D1659" s="18" t="n">
        <v>1989</v>
      </c>
      <c r="E1659" s="18" t="inlineStr">
        <is>
          <t>Back to the Future Part II</t>
        </is>
      </c>
      <c r="F1659" s="18" t="inlineStr">
        <is>
          <t>F0034</t>
        </is>
      </c>
    </row>
    <row r="1660" ht="15.75" customHeight="1" s="108">
      <c r="A1660" s="18" t="inlineStr">
        <is>
          <t>Al White</t>
        </is>
      </c>
      <c r="B1660" s="18" t="n">
        <v>1</v>
      </c>
      <c r="C1660" s="18" t="n">
        <v>1989</v>
      </c>
      <c r="D1660" s="18" t="n">
        <v>1989</v>
      </c>
      <c r="E1660" s="18" t="inlineStr">
        <is>
          <t>Back to the Future Part II</t>
        </is>
      </c>
      <c r="F1660" s="18" t="inlineStr">
        <is>
          <t>F0034</t>
        </is>
      </c>
    </row>
    <row r="1661" ht="15.75" customHeight="1" s="108">
      <c r="A1661" s="18" t="inlineStr">
        <is>
          <t>Junior Fann</t>
        </is>
      </c>
      <c r="B1661" s="18" t="n">
        <v>1</v>
      </c>
      <c r="C1661" s="18" t="n">
        <v>1989</v>
      </c>
      <c r="D1661" s="18" t="n">
        <v>1989</v>
      </c>
      <c r="E1661" s="18" t="inlineStr">
        <is>
          <t>Back to the Future Part II</t>
        </is>
      </c>
      <c r="F1661" s="18" t="inlineStr">
        <is>
          <t>F0034</t>
        </is>
      </c>
    </row>
    <row r="1662" ht="15.75" customHeight="1" s="108">
      <c r="A1662" s="18" t="inlineStr">
        <is>
          <t>Shaun Hunter</t>
        </is>
      </c>
      <c r="B1662" s="18" t="n">
        <v>1</v>
      </c>
      <c r="C1662" s="18" t="n">
        <v>1989</v>
      </c>
      <c r="D1662" s="18" t="n">
        <v>1989</v>
      </c>
      <c r="E1662" s="18" t="inlineStr">
        <is>
          <t>Back to the Future Part II</t>
        </is>
      </c>
      <c r="F1662" s="18" t="inlineStr">
        <is>
          <t>F0034</t>
        </is>
      </c>
    </row>
    <row r="1663" ht="15.75" customHeight="1" s="108">
      <c r="A1663" s="18" t="inlineStr">
        <is>
          <t>Richard Dysart</t>
        </is>
      </c>
      <c r="B1663" s="18" t="n">
        <v>1</v>
      </c>
      <c r="C1663" s="18" t="n">
        <v>1990</v>
      </c>
      <c r="D1663" s="18" t="n">
        <v>1990</v>
      </c>
      <c r="E1663" s="18" t="inlineStr">
        <is>
          <t>Back to the Future Part III</t>
        </is>
      </c>
      <c r="F1663" s="18" t="inlineStr">
        <is>
          <t>F0035</t>
        </is>
      </c>
    </row>
    <row r="1664" ht="15.75" customHeight="1" s="108">
      <c r="A1664" s="18" t="inlineStr">
        <is>
          <t>Pat Buttram</t>
        </is>
      </c>
      <c r="B1664" s="18" t="n">
        <v>1</v>
      </c>
      <c r="C1664" s="18" t="n">
        <v>1990</v>
      </c>
      <c r="D1664" s="18" t="n">
        <v>1990</v>
      </c>
      <c r="E1664" s="18" t="inlineStr">
        <is>
          <t>Back to the Future Part III</t>
        </is>
      </c>
      <c r="F1664" s="18" t="inlineStr">
        <is>
          <t>F0035</t>
        </is>
      </c>
    </row>
    <row r="1665" ht="15.75" customHeight="1" s="108">
      <c r="A1665" s="18" t="inlineStr">
        <is>
          <t>Harry Carey, Jr.</t>
        </is>
      </c>
      <c r="B1665" s="18" t="n">
        <v>1</v>
      </c>
      <c r="C1665" s="18" t="n">
        <v>1990</v>
      </c>
      <c r="D1665" s="18" t="n">
        <v>1990</v>
      </c>
      <c r="E1665" s="18" t="inlineStr">
        <is>
          <t>Back to the Future Part III</t>
        </is>
      </c>
      <c r="F1665" s="18" t="inlineStr">
        <is>
          <t>F0035</t>
        </is>
      </c>
    </row>
    <row r="1666" ht="15.75" customHeight="1" s="108">
      <c r="A1666" s="18" t="inlineStr">
        <is>
          <t>Dub Taylor</t>
        </is>
      </c>
      <c r="B1666" s="18" t="n">
        <v>1</v>
      </c>
      <c r="C1666" s="18" t="n">
        <v>1990</v>
      </c>
      <c r="D1666" s="18" t="n">
        <v>1990</v>
      </c>
      <c r="E1666" s="18" t="inlineStr">
        <is>
          <t>Back to the Future Part III</t>
        </is>
      </c>
      <c r="F1666" s="18" t="inlineStr">
        <is>
          <t>F0035</t>
        </is>
      </c>
    </row>
    <row r="1667" ht="15.75" customHeight="1" s="108">
      <c r="A1667" s="18" t="inlineStr">
        <is>
          <t>Christopher Wynne</t>
        </is>
      </c>
      <c r="B1667" s="18" t="n">
        <v>1</v>
      </c>
      <c r="C1667" s="18" t="n">
        <v>1990</v>
      </c>
      <c r="D1667" s="18" t="n">
        <v>1990</v>
      </c>
      <c r="E1667" s="18" t="inlineStr">
        <is>
          <t>Back to the Future Part III</t>
        </is>
      </c>
      <c r="F1667" s="18" t="inlineStr">
        <is>
          <t>F0035</t>
        </is>
      </c>
    </row>
    <row r="1668" ht="15.75" customHeight="1" s="108">
      <c r="A1668" s="18" t="inlineStr">
        <is>
          <t>Sean Sullivan</t>
        </is>
      </c>
      <c r="B1668" s="18" t="n">
        <v>1</v>
      </c>
      <c r="C1668" s="18" t="n">
        <v>1990</v>
      </c>
      <c r="D1668" s="18" t="n">
        <v>1990</v>
      </c>
      <c r="E1668" s="18" t="inlineStr">
        <is>
          <t>Back to the Future Part III</t>
        </is>
      </c>
      <c r="F1668" s="18" t="inlineStr">
        <is>
          <t>F0035</t>
        </is>
      </c>
    </row>
    <row r="1669" ht="15.75" customHeight="1" s="108">
      <c r="A1669" s="18" t="inlineStr">
        <is>
          <t>Mike Watson</t>
        </is>
      </c>
      <c r="B1669" s="18" t="n">
        <v>1</v>
      </c>
      <c r="C1669" s="18" t="n">
        <v>1990</v>
      </c>
      <c r="D1669" s="18" t="n">
        <v>1990</v>
      </c>
      <c r="E1669" s="18" t="inlineStr">
        <is>
          <t>Back to the Future Part III</t>
        </is>
      </c>
      <c r="F1669" s="18" t="inlineStr">
        <is>
          <t>F0035</t>
        </is>
      </c>
    </row>
    <row r="1670" ht="15.75" customHeight="1" s="108">
      <c r="A1670" s="18" t="inlineStr">
        <is>
          <t>Hugh Gillin</t>
        </is>
      </c>
      <c r="B1670" s="18" t="n">
        <v>1</v>
      </c>
      <c r="C1670" s="18" t="n">
        <v>1990</v>
      </c>
      <c r="D1670" s="18" t="n">
        <v>1990</v>
      </c>
      <c r="E1670" s="18" t="inlineStr">
        <is>
          <t>Back to the Future Part III</t>
        </is>
      </c>
      <c r="F1670" s="18" t="inlineStr">
        <is>
          <t>F0035</t>
        </is>
      </c>
    </row>
    <row r="1671" ht="15.75" customHeight="1" s="108">
      <c r="A1671" s="18" t="inlineStr">
        <is>
          <t>Burton Gilliam</t>
        </is>
      </c>
      <c r="B1671" s="18" t="n">
        <v>1</v>
      </c>
      <c r="C1671" s="18" t="n">
        <v>1990</v>
      </c>
      <c r="D1671" s="18" t="n">
        <v>1990</v>
      </c>
      <c r="E1671" s="18" t="inlineStr">
        <is>
          <t>Back to the Future Part III</t>
        </is>
      </c>
      <c r="F1671" s="18" t="inlineStr">
        <is>
          <t>F0035</t>
        </is>
      </c>
    </row>
    <row r="1672" ht="15.75" customHeight="1" s="108">
      <c r="A1672" s="18" t="inlineStr">
        <is>
          <t>Bill McKinney</t>
        </is>
      </c>
      <c r="B1672" s="18" t="n">
        <v>1</v>
      </c>
      <c r="C1672" s="18" t="n">
        <v>1990</v>
      </c>
      <c r="D1672" s="18" t="n">
        <v>1990</v>
      </c>
      <c r="E1672" s="18" t="inlineStr">
        <is>
          <t>Back to the Future Part III</t>
        </is>
      </c>
      <c r="F1672" s="18" t="inlineStr">
        <is>
          <t>F0035</t>
        </is>
      </c>
    </row>
    <row r="1673" ht="15.75" customHeight="1" s="108">
      <c r="A1673" s="18" t="inlineStr">
        <is>
          <t>Donovan Scott</t>
        </is>
      </c>
      <c r="B1673" s="18" t="n">
        <v>1</v>
      </c>
      <c r="C1673" s="18" t="n">
        <v>1990</v>
      </c>
      <c r="D1673" s="18" t="n">
        <v>1990</v>
      </c>
      <c r="E1673" s="18" t="inlineStr">
        <is>
          <t>Back to the Future Part III</t>
        </is>
      </c>
      <c r="F1673" s="18" t="inlineStr">
        <is>
          <t>F0035</t>
        </is>
      </c>
    </row>
    <row r="1674" ht="15.75" customHeight="1" s="108">
      <c r="A1674" s="18" t="inlineStr">
        <is>
          <t>Marvin J. McIntyre</t>
        </is>
      </c>
      <c r="B1674" s="18" t="n">
        <v>1</v>
      </c>
      <c r="C1674" s="18" t="n">
        <v>1990</v>
      </c>
      <c r="D1674" s="18" t="n">
        <v>1990</v>
      </c>
      <c r="E1674" s="18" t="inlineStr">
        <is>
          <t>Back to the Future Part III</t>
        </is>
      </c>
      <c r="F1674" s="18" t="inlineStr">
        <is>
          <t>F0035</t>
        </is>
      </c>
    </row>
    <row r="1675" ht="15.75" customHeight="1" s="108">
      <c r="A1675" s="18" t="inlineStr">
        <is>
          <t>Kaleb Henley</t>
        </is>
      </c>
      <c r="B1675" s="18" t="n">
        <v>1</v>
      </c>
      <c r="C1675" s="18" t="n">
        <v>1990</v>
      </c>
      <c r="D1675" s="18" t="n">
        <v>1990</v>
      </c>
      <c r="E1675" s="18" t="inlineStr">
        <is>
          <t>Back to the Future Part III</t>
        </is>
      </c>
      <c r="F1675" s="18" t="inlineStr">
        <is>
          <t>F0035</t>
        </is>
      </c>
    </row>
    <row r="1676" ht="15.75" customHeight="1" s="108">
      <c r="A1676" s="18" t="inlineStr">
        <is>
          <t>Todd Cameron Brown</t>
        </is>
      </c>
      <c r="B1676" s="18" t="n">
        <v>1</v>
      </c>
      <c r="C1676" s="18" t="n">
        <v>1990</v>
      </c>
      <c r="D1676" s="18" t="n">
        <v>1990</v>
      </c>
      <c r="E1676" s="18" t="inlineStr">
        <is>
          <t>Back to the Future Part III</t>
        </is>
      </c>
      <c r="F1676" s="18" t="inlineStr">
        <is>
          <t>F0035</t>
        </is>
      </c>
    </row>
    <row r="1677" ht="15.75" customHeight="1" s="108">
      <c r="A1677" s="18" t="inlineStr">
        <is>
          <t>Dannel Evans</t>
        </is>
      </c>
      <c r="B1677" s="18" t="n">
        <v>1</v>
      </c>
      <c r="C1677" s="18" t="n">
        <v>1990</v>
      </c>
      <c r="D1677" s="18" t="n">
        <v>1990</v>
      </c>
      <c r="E1677" s="18" t="inlineStr">
        <is>
          <t>Back to the Future Part III</t>
        </is>
      </c>
      <c r="F1677" s="18" t="inlineStr">
        <is>
          <t>F0035</t>
        </is>
      </c>
    </row>
    <row r="1678" ht="15.75" customHeight="1" s="108">
      <c r="A1678" s="18" t="inlineStr">
        <is>
          <t>Kevin Holloway</t>
        </is>
      </c>
      <c r="B1678" s="18" t="n">
        <v>1</v>
      </c>
      <c r="C1678" s="18" t="n">
        <v>1990</v>
      </c>
      <c r="D1678" s="18" t="n">
        <v>1990</v>
      </c>
      <c r="E1678" s="18" t="inlineStr">
        <is>
          <t>Back to the Future Part III</t>
        </is>
      </c>
      <c r="F1678" s="18" t="inlineStr">
        <is>
          <t>F0035</t>
        </is>
      </c>
    </row>
    <row r="1679" ht="15.75" customHeight="1" s="108">
      <c r="A1679" s="18" t="inlineStr">
        <is>
          <t>Theresa Randle</t>
        </is>
      </c>
      <c r="B1679" s="18" t="n">
        <v>2</v>
      </c>
      <c r="C1679" s="18" t="n">
        <v>1995</v>
      </c>
      <c r="D1679" s="18" t="n">
        <v>2003</v>
      </c>
      <c r="E1679" s="18" t="inlineStr">
        <is>
          <t>Bad Boys, Bad Boys II</t>
        </is>
      </c>
      <c r="F1679" s="18" t="inlineStr">
        <is>
          <t>F0036, F0037</t>
        </is>
      </c>
    </row>
    <row r="1680" ht="15.75" customHeight="1" s="108">
      <c r="A1680" s="18" t="inlineStr">
        <is>
          <t>Marg Helgenberger</t>
        </is>
      </c>
      <c r="B1680" s="18" t="n">
        <v>1</v>
      </c>
      <c r="C1680" s="18" t="n">
        <v>1995</v>
      </c>
      <c r="D1680" s="18" t="n">
        <v>1995</v>
      </c>
      <c r="E1680" s="18" t="inlineStr">
        <is>
          <t>Bad Boys</t>
        </is>
      </c>
      <c r="F1680" s="18" t="inlineStr">
        <is>
          <t>F0036</t>
        </is>
      </c>
    </row>
    <row r="1681" ht="15.75" customHeight="1" s="108">
      <c r="A1681" s="18" t="inlineStr">
        <is>
          <t>Nestor Serrano</t>
        </is>
      </c>
      <c r="B1681" s="18" t="n">
        <v>1</v>
      </c>
      <c r="C1681" s="18" t="n">
        <v>1995</v>
      </c>
      <c r="D1681" s="18" t="n">
        <v>1995</v>
      </c>
      <c r="E1681" s="18" t="inlineStr">
        <is>
          <t>Bad Boys</t>
        </is>
      </c>
      <c r="F1681" s="18" t="inlineStr">
        <is>
          <t>F0036</t>
        </is>
      </c>
    </row>
    <row r="1682" ht="15.75" customHeight="1" s="108">
      <c r="A1682" s="18" t="inlineStr">
        <is>
          <t>Julio Oscar Mechoso</t>
        </is>
      </c>
      <c r="B1682" s="18" t="n">
        <v>2</v>
      </c>
      <c r="C1682" s="18" t="n">
        <v>1995</v>
      </c>
      <c r="D1682" s="18" t="n">
        <v>2001</v>
      </c>
      <c r="E1682" s="18" t="inlineStr">
        <is>
          <t>Bad Boys, Jurassic Park III</t>
        </is>
      </c>
      <c r="F1682" s="18" t="inlineStr">
        <is>
          <t>F0036, F0178</t>
        </is>
      </c>
    </row>
    <row r="1683" ht="15.75" customHeight="1" s="108">
      <c r="A1683" s="18" t="inlineStr">
        <is>
          <t>Saverio Guerra</t>
        </is>
      </c>
      <c r="B1683" s="18" t="n">
        <v>1</v>
      </c>
      <c r="C1683" s="18" t="n">
        <v>1995</v>
      </c>
      <c r="D1683" s="18" t="n">
        <v>1995</v>
      </c>
      <c r="E1683" s="18" t="inlineStr">
        <is>
          <t>Bad Boys</t>
        </is>
      </c>
      <c r="F1683" s="18" t="inlineStr">
        <is>
          <t>F0036</t>
        </is>
      </c>
    </row>
    <row r="1684" ht="15.75" customHeight="1" s="108">
      <c r="A1684" s="18" t="inlineStr">
        <is>
          <t>Anna Thomson</t>
        </is>
      </c>
      <c r="B1684" s="18" t="n">
        <v>1</v>
      </c>
      <c r="C1684" s="18" t="n">
        <v>1995</v>
      </c>
      <c r="D1684" s="18" t="n">
        <v>1995</v>
      </c>
      <c r="E1684" s="18" t="inlineStr">
        <is>
          <t>Bad Boys</t>
        </is>
      </c>
      <c r="F1684" s="18" t="inlineStr">
        <is>
          <t>F0036</t>
        </is>
      </c>
    </row>
    <row r="1685" ht="15.75" customHeight="1" s="108">
      <c r="A1685" s="18" t="inlineStr">
        <is>
          <t>Kevin Corrigan</t>
        </is>
      </c>
      <c r="B1685" s="18" t="n">
        <v>4</v>
      </c>
      <c r="C1685" s="18" t="n">
        <v>1995</v>
      </c>
      <c r="D1685" s="18" t="n">
        <v>2008</v>
      </c>
      <c r="E1685" s="18" t="inlineStr">
        <is>
          <t>Bad Boys, The Departed, Pineapple Express, Superbad</t>
        </is>
      </c>
      <c r="F1685" s="18" t="inlineStr">
        <is>
          <t>F0036, F0081, F0247, F0303</t>
        </is>
      </c>
    </row>
    <row r="1686" ht="15.75" customHeight="1" s="108">
      <c r="A1686" s="18" t="inlineStr">
        <is>
          <t>Michael Imperioli</t>
        </is>
      </c>
      <c r="B1686" s="18" t="n">
        <v>1</v>
      </c>
      <c r="C1686" s="18" t="n">
        <v>1995</v>
      </c>
      <c r="D1686" s="18" t="n">
        <v>1995</v>
      </c>
      <c r="E1686" s="18" t="inlineStr">
        <is>
          <t>Bad Boys</t>
        </is>
      </c>
      <c r="F1686" s="18" t="inlineStr">
        <is>
          <t>F0036</t>
        </is>
      </c>
    </row>
    <row r="1687" ht="15.75" customHeight="1" s="108">
      <c r="A1687" s="18" t="inlineStr">
        <is>
          <t>Lisa Boyle</t>
        </is>
      </c>
      <c r="B1687" s="18" t="n">
        <v>1</v>
      </c>
      <c r="C1687" s="18" t="n">
        <v>1995</v>
      </c>
      <c r="D1687" s="18" t="n">
        <v>1995</v>
      </c>
      <c r="E1687" s="18" t="inlineStr">
        <is>
          <t>Bad Boys</t>
        </is>
      </c>
      <c r="F1687" s="18" t="inlineStr">
        <is>
          <t>F0036</t>
        </is>
      </c>
    </row>
    <row r="1688" ht="15.75" customHeight="1" s="108">
      <c r="A1688" s="18" t="inlineStr">
        <is>
          <t>Michael Taliferro</t>
        </is>
      </c>
      <c r="B1688" s="18" t="n">
        <v>1</v>
      </c>
      <c r="C1688" s="18" t="n">
        <v>1995</v>
      </c>
      <c r="D1688" s="18" t="n">
        <v>1995</v>
      </c>
      <c r="E1688" s="18" t="inlineStr">
        <is>
          <t>Bad Boys</t>
        </is>
      </c>
      <c r="F1688" s="18" t="inlineStr">
        <is>
          <t>F0036</t>
        </is>
      </c>
    </row>
    <row r="1689" ht="15.75" customHeight="1" s="108">
      <c r="A1689" s="18" t="inlineStr">
        <is>
          <t>Emmanuel Xuereb</t>
        </is>
      </c>
      <c r="B1689" s="18" t="n">
        <v>1</v>
      </c>
      <c r="C1689" s="18" t="n">
        <v>1995</v>
      </c>
      <c r="D1689" s="18" t="n">
        <v>1995</v>
      </c>
      <c r="E1689" s="18" t="inlineStr">
        <is>
          <t>Bad Boys</t>
        </is>
      </c>
      <c r="F1689" s="18" t="inlineStr">
        <is>
          <t>F0036</t>
        </is>
      </c>
    </row>
    <row r="1690" ht="15.75" customHeight="1" s="108">
      <c r="A1690" s="18" t="inlineStr">
        <is>
          <t>Marc Macaulay</t>
        </is>
      </c>
      <c r="B1690" s="18" t="n">
        <v>3</v>
      </c>
      <c r="C1690" s="18" t="n">
        <v>1995</v>
      </c>
      <c r="D1690" s="18" t="n">
        <v>2009</v>
      </c>
      <c r="E1690" s="18" t="inlineStr">
        <is>
          <t>Bad Boys, 2 Fast 2 Furious, Fast &amp; Furious</t>
        </is>
      </c>
      <c r="F1690" s="18" t="inlineStr">
        <is>
          <t>F0036, F0102, F0104</t>
        </is>
      </c>
    </row>
    <row r="1691" ht="15.75" customHeight="1" s="108">
      <c r="A1691" s="18" t="inlineStr">
        <is>
          <t>Ralph Gonzalez</t>
        </is>
      </c>
      <c r="B1691" s="18" t="n">
        <v>1</v>
      </c>
      <c r="C1691" s="18" t="n">
        <v>1995</v>
      </c>
      <c r="D1691" s="18" t="n">
        <v>1995</v>
      </c>
      <c r="E1691" s="18" t="inlineStr">
        <is>
          <t>Bad Boys</t>
        </is>
      </c>
      <c r="F1691" s="18" t="inlineStr">
        <is>
          <t>F0036</t>
        </is>
      </c>
    </row>
    <row r="1692" ht="15.75" customHeight="1" s="108">
      <c r="A1692" s="18" t="inlineStr">
        <is>
          <t>Vic Manni</t>
        </is>
      </c>
      <c r="B1692" s="18" t="n">
        <v>2</v>
      </c>
      <c r="C1692" s="18" t="n">
        <v>1995</v>
      </c>
      <c r="D1692" s="18" t="n">
        <v>1998</v>
      </c>
      <c r="E1692" s="18" t="inlineStr">
        <is>
          <t>Bad Boys, Enemy of the State</t>
        </is>
      </c>
      <c r="F1692" s="18" t="inlineStr">
        <is>
          <t>F0036, F0094</t>
        </is>
      </c>
    </row>
    <row r="1693" ht="15.75" customHeight="1" s="108">
      <c r="A1693" s="18" t="inlineStr">
        <is>
          <t>Frank John Hughes</t>
        </is>
      </c>
      <c r="B1693" s="18" t="n">
        <v>2</v>
      </c>
      <c r="C1693" s="18" t="n">
        <v>1995</v>
      </c>
      <c r="D1693" s="18" t="n">
        <v>2002</v>
      </c>
      <c r="E1693" s="18" t="inlineStr">
        <is>
          <t>Bad Boys, Catch Me If You Can</t>
        </is>
      </c>
      <c r="F1693" s="18" t="inlineStr">
        <is>
          <t>F0036, F0064</t>
        </is>
      </c>
    </row>
    <row r="1694" ht="15.75" customHeight="1" s="108">
      <c r="A1694" s="18" t="inlineStr">
        <is>
          <t>Mike Kirton</t>
        </is>
      </c>
      <c r="B1694" s="18" t="n">
        <v>1</v>
      </c>
      <c r="C1694" s="18" t="n">
        <v>1995</v>
      </c>
      <c r="D1694" s="18" t="n">
        <v>1995</v>
      </c>
      <c r="E1694" s="18" t="inlineStr">
        <is>
          <t>Bad Boys</t>
        </is>
      </c>
      <c r="F1694" s="18" t="inlineStr">
        <is>
          <t>F0036</t>
        </is>
      </c>
    </row>
    <row r="1695" ht="15.75" customHeight="1" s="108">
      <c r="A1695" s="18" t="inlineStr">
        <is>
          <t>Will Knickerbocker</t>
        </is>
      </c>
      <c r="B1695" s="18" t="n">
        <v>1</v>
      </c>
      <c r="C1695" s="18" t="n">
        <v>1995</v>
      </c>
      <c r="D1695" s="18" t="n">
        <v>1995</v>
      </c>
      <c r="E1695" s="18" t="inlineStr">
        <is>
          <t>Bad Boys</t>
        </is>
      </c>
      <c r="F1695" s="18" t="inlineStr">
        <is>
          <t>F0036</t>
        </is>
      </c>
    </row>
    <row r="1696" ht="15.75" customHeight="1" s="108">
      <c r="A1696" s="18" t="inlineStr">
        <is>
          <t>Tiffany Samuels</t>
        </is>
      </c>
      <c r="B1696" s="18" t="n">
        <v>1</v>
      </c>
      <c r="C1696" s="18" t="n">
        <v>1995</v>
      </c>
      <c r="D1696" s="18" t="n">
        <v>1995</v>
      </c>
      <c r="E1696" s="18" t="inlineStr">
        <is>
          <t>Bad Boys</t>
        </is>
      </c>
      <c r="F1696" s="18" t="inlineStr">
        <is>
          <t>F0036</t>
        </is>
      </c>
    </row>
    <row r="1697" ht="15.75" customHeight="1" s="108">
      <c r="A1697" s="18" t="inlineStr">
        <is>
          <t>Cory Hodges</t>
        </is>
      </c>
      <c r="B1697" s="18" t="n">
        <v>1</v>
      </c>
      <c r="C1697" s="18" t="n">
        <v>1995</v>
      </c>
      <c r="D1697" s="18" t="n">
        <v>1995</v>
      </c>
      <c r="E1697" s="18" t="inlineStr">
        <is>
          <t>Bad Boys</t>
        </is>
      </c>
      <c r="F1697" s="18" t="inlineStr">
        <is>
          <t>F0036</t>
        </is>
      </c>
    </row>
    <row r="1698" ht="15.75" customHeight="1" s="108">
      <c r="A1698" s="18" t="inlineStr">
        <is>
          <t>Scott Cumberbatch</t>
        </is>
      </c>
      <c r="B1698" s="18" t="n">
        <v>1</v>
      </c>
      <c r="C1698" s="18" t="n">
        <v>1995</v>
      </c>
      <c r="D1698" s="18" t="n">
        <v>1995</v>
      </c>
      <c r="E1698" s="18" t="inlineStr">
        <is>
          <t>Bad Boys</t>
        </is>
      </c>
      <c r="F1698" s="18" t="inlineStr">
        <is>
          <t>F0036</t>
        </is>
      </c>
    </row>
    <row r="1699" ht="15.75" customHeight="1" s="108">
      <c r="A1699" s="18" t="inlineStr">
        <is>
          <t>Joey Romano</t>
        </is>
      </c>
      <c r="B1699" s="18" t="n">
        <v>1</v>
      </c>
      <c r="C1699" s="18" t="n">
        <v>1995</v>
      </c>
      <c r="D1699" s="18" t="n">
        <v>1995</v>
      </c>
      <c r="E1699" s="18" t="inlineStr">
        <is>
          <t>Bad Boys</t>
        </is>
      </c>
      <c r="F1699" s="18" t="inlineStr">
        <is>
          <t>F0036</t>
        </is>
      </c>
    </row>
    <row r="1700" ht="15.75" customHeight="1" s="108">
      <c r="A1700" s="18" t="inlineStr">
        <is>
          <t>Sam Ayers</t>
        </is>
      </c>
      <c r="B1700" s="18" t="n">
        <v>1</v>
      </c>
      <c r="C1700" s="18" t="n">
        <v>1995</v>
      </c>
      <c r="D1700" s="18" t="n">
        <v>1995</v>
      </c>
      <c r="E1700" s="18" t="inlineStr">
        <is>
          <t>Bad Boys</t>
        </is>
      </c>
      <c r="F1700" s="18" t="inlineStr">
        <is>
          <t>F0036</t>
        </is>
      </c>
    </row>
    <row r="1701" ht="15.75" customHeight="1" s="108">
      <c r="A1701" s="18" t="inlineStr">
        <is>
          <t>Karen Alexander</t>
        </is>
      </c>
      <c r="B1701" s="18" t="n">
        <v>1</v>
      </c>
      <c r="C1701" s="18" t="n">
        <v>1995</v>
      </c>
      <c r="D1701" s="18" t="n">
        <v>1995</v>
      </c>
      <c r="E1701" s="18" t="inlineStr">
        <is>
          <t>Bad Boys</t>
        </is>
      </c>
      <c r="F1701" s="18" t="inlineStr">
        <is>
          <t>F0036</t>
        </is>
      </c>
    </row>
    <row r="1702" ht="15.75" customHeight="1" s="108">
      <c r="A1702" s="18" t="inlineStr">
        <is>
          <t>Fawn Reed</t>
        </is>
      </c>
      <c r="B1702" s="18" t="n">
        <v>1</v>
      </c>
      <c r="C1702" s="18" t="n">
        <v>1995</v>
      </c>
      <c r="D1702" s="18" t="n">
        <v>1995</v>
      </c>
      <c r="E1702" s="18" t="inlineStr">
        <is>
          <t>Bad Boys</t>
        </is>
      </c>
      <c r="F1702" s="18" t="inlineStr">
        <is>
          <t>F0036</t>
        </is>
      </c>
    </row>
    <row r="1703" ht="15.75" customHeight="1" s="108">
      <c r="A1703" s="18" t="inlineStr">
        <is>
          <t>Heather Davis</t>
        </is>
      </c>
      <c r="B1703" s="18" t="n">
        <v>1</v>
      </c>
      <c r="C1703" s="18" t="n">
        <v>1995</v>
      </c>
      <c r="D1703" s="18" t="n">
        <v>1995</v>
      </c>
      <c r="E1703" s="18" t="inlineStr">
        <is>
          <t>Bad Boys</t>
        </is>
      </c>
      <c r="F1703" s="18" t="inlineStr">
        <is>
          <t>F0036</t>
        </is>
      </c>
    </row>
    <row r="1704" ht="15.75" customHeight="1" s="108">
      <c r="A1704" s="18" t="inlineStr">
        <is>
          <t>Jon Seda</t>
        </is>
      </c>
      <c r="B1704" s="18" t="n">
        <v>1</v>
      </c>
      <c r="C1704" s="18" t="n">
        <v>2003</v>
      </c>
      <c r="D1704" s="18" t="n">
        <v>2003</v>
      </c>
      <c r="E1704" s="18" t="inlineStr">
        <is>
          <t>Bad Boys II</t>
        </is>
      </c>
      <c r="F1704" s="18" t="inlineStr">
        <is>
          <t>F0037</t>
        </is>
      </c>
    </row>
    <row r="1705" ht="15.75" customHeight="1" s="108">
      <c r="A1705" s="18" t="inlineStr">
        <is>
          <t>Jason Manuel Olazabal</t>
        </is>
      </c>
      <c r="B1705" s="18" t="n">
        <v>1</v>
      </c>
      <c r="C1705" s="18" t="n">
        <v>2003</v>
      </c>
      <c r="D1705" s="18" t="n">
        <v>2003</v>
      </c>
      <c r="E1705" s="18" t="inlineStr">
        <is>
          <t>Bad Boys II</t>
        </is>
      </c>
      <c r="F1705" s="18" t="inlineStr">
        <is>
          <t>F0037</t>
        </is>
      </c>
    </row>
    <row r="1706" ht="15.75" customHeight="1" s="108">
      <c r="A1706" s="18" t="inlineStr">
        <is>
          <t>Otto Sanchez</t>
        </is>
      </c>
      <c r="B1706" s="18" t="n">
        <v>1</v>
      </c>
      <c r="C1706" s="18" t="n">
        <v>2003</v>
      </c>
      <c r="D1706" s="18" t="n">
        <v>2003</v>
      </c>
      <c r="E1706" s="18" t="inlineStr">
        <is>
          <t>Bad Boys II</t>
        </is>
      </c>
      <c r="F1706" s="18" t="inlineStr">
        <is>
          <t>F0037</t>
        </is>
      </c>
    </row>
    <row r="1707" ht="15.75" customHeight="1" s="108">
      <c r="A1707" s="18" t="inlineStr">
        <is>
          <t>Henry Rollins</t>
        </is>
      </c>
      <c r="B1707" s="18" t="n">
        <v>1</v>
      </c>
      <c r="C1707" s="18" t="n">
        <v>2003</v>
      </c>
      <c r="D1707" s="18" t="n">
        <v>2003</v>
      </c>
      <c r="E1707" s="18" t="inlineStr">
        <is>
          <t>Bad Boys II</t>
        </is>
      </c>
      <c r="F1707" s="18" t="inlineStr">
        <is>
          <t>F0037</t>
        </is>
      </c>
    </row>
    <row r="1708" ht="15.75" customHeight="1" s="108">
      <c r="A1708" s="18" t="inlineStr">
        <is>
          <t>Antoni Corone</t>
        </is>
      </c>
      <c r="B1708" s="18" t="n">
        <v>3</v>
      </c>
      <c r="C1708" s="18" t="n">
        <v>2003</v>
      </c>
      <c r="D1708" s="18" t="n">
        <v>2014</v>
      </c>
      <c r="E1708" s="18" t="inlineStr">
        <is>
          <t>Bad Boys II, Green Zone, Need for Speed</t>
        </is>
      </c>
      <c r="F1708" s="18" t="inlineStr">
        <is>
          <t>F0037, F0129, F0234</t>
        </is>
      </c>
    </row>
    <row r="1709" ht="15.75" customHeight="1" s="108">
      <c r="A1709" s="18" t="inlineStr">
        <is>
          <t>Gary Nickens</t>
        </is>
      </c>
      <c r="B1709" s="18" t="n">
        <v>1</v>
      </c>
      <c r="C1709" s="18" t="n">
        <v>2003</v>
      </c>
      <c r="D1709" s="18" t="n">
        <v>2003</v>
      </c>
      <c r="E1709" s="18" t="inlineStr">
        <is>
          <t>Bad Boys II</t>
        </is>
      </c>
      <c r="F1709" s="18" t="inlineStr">
        <is>
          <t>F0037</t>
        </is>
      </c>
    </row>
    <row r="1710" ht="15.75" customHeight="1" s="108">
      <c r="A1710" s="18" t="inlineStr">
        <is>
          <t>Rey Hernandez</t>
        </is>
      </c>
      <c r="B1710" s="18" t="n">
        <v>1</v>
      </c>
      <c r="C1710" s="18" t="n">
        <v>2003</v>
      </c>
      <c r="D1710" s="18" t="n">
        <v>2003</v>
      </c>
      <c r="E1710" s="18" t="inlineStr">
        <is>
          <t>Bad Boys II</t>
        </is>
      </c>
      <c r="F1710" s="18" t="inlineStr">
        <is>
          <t>F0037</t>
        </is>
      </c>
    </row>
    <row r="1711" ht="15.75" customHeight="1" s="108">
      <c r="A1711" s="18" t="inlineStr">
        <is>
          <t>Charlie Johnson Jr.</t>
        </is>
      </c>
      <c r="B1711" s="18" t="n">
        <v>1</v>
      </c>
      <c r="C1711" s="18" t="n">
        <v>2003</v>
      </c>
      <c r="D1711" s="18" t="n">
        <v>2003</v>
      </c>
      <c r="E1711" s="18" t="inlineStr">
        <is>
          <t>Bad Boys II</t>
        </is>
      </c>
      <c r="F1711" s="18" t="inlineStr">
        <is>
          <t>F0037</t>
        </is>
      </c>
    </row>
    <row r="1712" ht="15.75" customHeight="1" s="108">
      <c r="A1712" s="18" t="inlineStr">
        <is>
          <t>Paul Villaverde</t>
        </is>
      </c>
      <c r="B1712" s="18" t="n">
        <v>1</v>
      </c>
      <c r="C1712" s="18" t="n">
        <v>2003</v>
      </c>
      <c r="D1712" s="18" t="n">
        <v>2003</v>
      </c>
      <c r="E1712" s="18" t="inlineStr">
        <is>
          <t>Bad Boys II</t>
        </is>
      </c>
      <c r="F1712" s="18" t="inlineStr">
        <is>
          <t>F0037</t>
        </is>
      </c>
    </row>
    <row r="1713" ht="15.75" customHeight="1" s="108">
      <c r="A1713" s="18" t="inlineStr">
        <is>
          <t>John Salley</t>
        </is>
      </c>
      <c r="B1713" s="18" t="n">
        <v>1</v>
      </c>
      <c r="C1713" s="18" t="n">
        <v>2003</v>
      </c>
      <c r="D1713" s="18" t="n">
        <v>2003</v>
      </c>
      <c r="E1713" s="18" t="inlineStr">
        <is>
          <t>Bad Boys II</t>
        </is>
      </c>
      <c r="F1713" s="18" t="inlineStr">
        <is>
          <t>F0037</t>
        </is>
      </c>
    </row>
    <row r="1714" ht="15.75" customHeight="1" s="108">
      <c r="A1714" s="18" t="inlineStr">
        <is>
          <t>Veryl Jones</t>
        </is>
      </c>
      <c r="B1714" s="18" t="n">
        <v>1</v>
      </c>
      <c r="C1714" s="18" t="n">
        <v>2003</v>
      </c>
      <c r="D1714" s="18" t="n">
        <v>2003</v>
      </c>
      <c r="E1714" s="18" t="inlineStr">
        <is>
          <t>Bad Boys II</t>
        </is>
      </c>
      <c r="F1714" s="18" t="inlineStr">
        <is>
          <t>F0037</t>
        </is>
      </c>
    </row>
    <row r="1715" ht="15.75" customHeight="1" s="108">
      <c r="A1715" s="18" t="inlineStr">
        <is>
          <t>Tim Powell</t>
        </is>
      </c>
      <c r="B1715" s="18" t="n">
        <v>1</v>
      </c>
      <c r="C1715" s="18" t="n">
        <v>2003</v>
      </c>
      <c r="D1715" s="18" t="n">
        <v>2003</v>
      </c>
      <c r="E1715" s="18" t="inlineStr">
        <is>
          <t>Bad Boys II</t>
        </is>
      </c>
      <c r="F1715" s="18" t="inlineStr">
        <is>
          <t>F0037</t>
        </is>
      </c>
    </row>
    <row r="1716" ht="15.75" customHeight="1" s="108">
      <c r="A1716" s="18" t="inlineStr">
        <is>
          <t>Phil Owens</t>
        </is>
      </c>
      <c r="B1716" s="18" t="n">
        <v>1</v>
      </c>
      <c r="C1716" s="18" t="n">
        <v>2003</v>
      </c>
      <c r="D1716" s="18" t="n">
        <v>2003</v>
      </c>
      <c r="E1716" s="18" t="inlineStr">
        <is>
          <t>Bad Boys II</t>
        </is>
      </c>
      <c r="F1716" s="18" t="inlineStr">
        <is>
          <t>F0037</t>
        </is>
      </c>
    </row>
    <row r="1717" ht="15.75" customHeight="1" s="108">
      <c r="A1717" s="18" t="inlineStr">
        <is>
          <t>Timothy Adams</t>
        </is>
      </c>
      <c r="B1717" s="18" t="n">
        <v>1</v>
      </c>
      <c r="C1717" s="18" t="n">
        <v>2003</v>
      </c>
      <c r="D1717" s="18" t="n">
        <v>2003</v>
      </c>
      <c r="E1717" s="18" t="inlineStr">
        <is>
          <t>Bad Boys II</t>
        </is>
      </c>
      <c r="F1717" s="18" t="inlineStr">
        <is>
          <t>F0037</t>
        </is>
      </c>
    </row>
    <row r="1718" ht="15.75" customHeight="1" s="108">
      <c r="A1718" s="18" t="inlineStr">
        <is>
          <t>Keith Hudson</t>
        </is>
      </c>
      <c r="B1718" s="18" t="n">
        <v>1</v>
      </c>
      <c r="C1718" s="18" t="n">
        <v>2003</v>
      </c>
      <c r="D1718" s="18" t="n">
        <v>2003</v>
      </c>
      <c r="E1718" s="18" t="inlineStr">
        <is>
          <t>Bad Boys II</t>
        </is>
      </c>
      <c r="F1718" s="18" t="inlineStr">
        <is>
          <t>F0037</t>
        </is>
      </c>
    </row>
    <row r="1719" ht="15.75" customHeight="1" s="108">
      <c r="A1719" s="18" t="inlineStr">
        <is>
          <t>Rich Kelley</t>
        </is>
      </c>
      <c r="B1719" s="18" t="n">
        <v>1</v>
      </c>
      <c r="C1719" s="18" t="n">
        <v>2003</v>
      </c>
      <c r="D1719" s="18" t="n">
        <v>2003</v>
      </c>
      <c r="E1719" s="18" t="inlineStr">
        <is>
          <t>Bad Boys II</t>
        </is>
      </c>
      <c r="F1719" s="18" t="inlineStr">
        <is>
          <t>F0037</t>
        </is>
      </c>
    </row>
    <row r="1720" ht="15.75" customHeight="1" s="108">
      <c r="A1720" s="18" t="inlineStr">
        <is>
          <t>Dave Corey</t>
        </is>
      </c>
      <c r="B1720" s="18" t="n">
        <v>1</v>
      </c>
      <c r="C1720" s="18" t="n">
        <v>2003</v>
      </c>
      <c r="D1720" s="18" t="n">
        <v>2003</v>
      </c>
      <c r="E1720" s="18" t="inlineStr">
        <is>
          <t>Bad Boys II</t>
        </is>
      </c>
      <c r="F1720" s="18" t="inlineStr">
        <is>
          <t>F0037</t>
        </is>
      </c>
    </row>
    <row r="1721" ht="15.75" customHeight="1" s="108">
      <c r="A1721" s="18" t="inlineStr">
        <is>
          <t>Bill Erfurth</t>
        </is>
      </c>
      <c r="B1721" s="18" t="n">
        <v>1</v>
      </c>
      <c r="C1721" s="18" t="n">
        <v>2003</v>
      </c>
      <c r="D1721" s="18" t="n">
        <v>2003</v>
      </c>
      <c r="E1721" s="18" t="inlineStr">
        <is>
          <t>Bad Boys II</t>
        </is>
      </c>
      <c r="F1721" s="18" t="inlineStr">
        <is>
          <t>F0037</t>
        </is>
      </c>
    </row>
    <row r="1722" ht="15.75" customHeight="1" s="108">
      <c r="A1722" s="18" t="inlineStr">
        <is>
          <t>Jennifer Diaz</t>
        </is>
      </c>
      <c r="B1722" s="18" t="n">
        <v>1</v>
      </c>
      <c r="C1722" s="18" t="n">
        <v>2003</v>
      </c>
      <c r="D1722" s="18" t="n">
        <v>2003</v>
      </c>
      <c r="E1722" s="18" t="inlineStr">
        <is>
          <t>Bad Boys II</t>
        </is>
      </c>
      <c r="F1722" s="18" t="inlineStr">
        <is>
          <t>F0037</t>
        </is>
      </c>
    </row>
    <row r="1723" ht="15.75" customHeight="1" s="108">
      <c r="A1723" s="18" t="inlineStr">
        <is>
          <t>R.E. Rodgers</t>
        </is>
      </c>
      <c r="B1723" s="18" t="n">
        <v>1</v>
      </c>
      <c r="C1723" s="18" t="n">
        <v>2003</v>
      </c>
      <c r="D1723" s="18" t="n">
        <v>2003</v>
      </c>
      <c r="E1723" s="18" t="inlineStr">
        <is>
          <t>Bad Boys II</t>
        </is>
      </c>
      <c r="F1723" s="18" t="inlineStr">
        <is>
          <t>F0037</t>
        </is>
      </c>
    </row>
    <row r="1724" ht="15.75" customHeight="1" s="108">
      <c r="A1724" s="18" t="inlineStr">
        <is>
          <t>Jay Hernandez</t>
        </is>
      </c>
      <c r="B1724" s="18" t="n">
        <v>2</v>
      </c>
      <c r="C1724" s="18" t="n">
        <v>2016</v>
      </c>
      <c r="D1724" s="18" t="n">
        <v>2019</v>
      </c>
      <c r="E1724" s="18" t="inlineStr">
        <is>
          <t>Bad Moms, Toy Story 4</t>
        </is>
      </c>
      <c r="F1724" s="18" t="inlineStr">
        <is>
          <t>F0038, F0315</t>
        </is>
      </c>
    </row>
    <row r="1725" ht="15.75" customHeight="1" s="108">
      <c r="A1725" s="18" t="inlineStr">
        <is>
          <t>Clark Duke</t>
        </is>
      </c>
      <c r="B1725" s="18" t="n">
        <v>4</v>
      </c>
      <c r="C1725" s="18" t="n">
        <v>2010</v>
      </c>
      <c r="D1725" s="18" t="n">
        <v>2016</v>
      </c>
      <c r="E1725" s="18" t="inlineStr">
        <is>
          <t>Bad Moms, The Croods, Kick-Ass, Kick-Ass 2</t>
        </is>
      </c>
      <c r="F1725" s="18" t="inlineStr">
        <is>
          <t>F0038, F0075, F0185, F0186</t>
        </is>
      </c>
    </row>
    <row r="1726" ht="15.75" customHeight="1" s="108">
      <c r="A1726" s="18" t="inlineStr">
        <is>
          <t>Annie Mumolo</t>
        </is>
      </c>
      <c r="B1726" s="18" t="n">
        <v>1</v>
      </c>
      <c r="C1726" s="18" t="n">
        <v>2016</v>
      </c>
      <c r="D1726" s="18" t="n">
        <v>2016</v>
      </c>
      <c r="E1726" s="18" t="inlineStr">
        <is>
          <t>Bad Moms</t>
        </is>
      </c>
      <c r="F1726" s="18" t="inlineStr">
        <is>
          <t>F0038</t>
        </is>
      </c>
    </row>
    <row r="1727" ht="15.75" customHeight="1" s="108">
      <c r="A1727" s="18" t="inlineStr">
        <is>
          <t>David Walton</t>
        </is>
      </c>
      <c r="B1727" s="18" t="n">
        <v>1</v>
      </c>
      <c r="C1727" s="18" t="n">
        <v>2016</v>
      </c>
      <c r="D1727" s="18" t="n">
        <v>2016</v>
      </c>
      <c r="E1727" s="18" t="inlineStr">
        <is>
          <t>Bad Moms</t>
        </is>
      </c>
      <c r="F1727" s="18" t="inlineStr">
        <is>
          <t>F0038</t>
        </is>
      </c>
    </row>
    <row r="1728" ht="15.75" customHeight="1" s="108">
      <c r="A1728" s="18" t="inlineStr">
        <is>
          <t>Wendell Pierce</t>
        </is>
      </c>
      <c r="B1728" s="18" t="n">
        <v>2</v>
      </c>
      <c r="C1728" s="18" t="n">
        <v>2016</v>
      </c>
      <c r="D1728" s="18" t="n">
        <v>2025</v>
      </c>
      <c r="E1728" s="18" t="inlineStr">
        <is>
          <t>Bad Moms, Superman</t>
        </is>
      </c>
      <c r="F1728" s="18" t="inlineStr">
        <is>
          <t>F0038, F0304</t>
        </is>
      </c>
    </row>
    <row r="1729" ht="15.75" customHeight="1" s="108">
      <c r="A1729" s="18" t="inlineStr">
        <is>
          <t>J.J. Watt</t>
        </is>
      </c>
      <c r="B1729" s="18" t="n">
        <v>1</v>
      </c>
      <c r="C1729" s="18" t="n">
        <v>2016</v>
      </c>
      <c r="D1729" s="18" t="n">
        <v>2016</v>
      </c>
      <c r="E1729" s="18" t="inlineStr">
        <is>
          <t>Bad Moms</t>
        </is>
      </c>
      <c r="F1729" s="18" t="inlineStr">
        <is>
          <t>F0038</t>
        </is>
      </c>
    </row>
    <row r="1730" ht="15.75" customHeight="1" s="108">
      <c r="A1730" s="18" t="inlineStr">
        <is>
          <t>Leah McKendrick</t>
        </is>
      </c>
      <c r="B1730" s="18" t="n">
        <v>1</v>
      </c>
      <c r="C1730" s="18" t="n">
        <v>2016</v>
      </c>
      <c r="D1730" s="18" t="n">
        <v>2016</v>
      </c>
      <c r="E1730" s="18" t="inlineStr">
        <is>
          <t>Bad Moms</t>
        </is>
      </c>
      <c r="F1730" s="18" t="inlineStr">
        <is>
          <t>F0038</t>
        </is>
      </c>
    </row>
    <row r="1731" ht="15.75" customHeight="1" s="108">
      <c r="A1731" s="18" t="inlineStr">
        <is>
          <t>Megan Ferguson</t>
        </is>
      </c>
      <c r="B1731" s="18" t="n">
        <v>1</v>
      </c>
      <c r="C1731" s="18" t="n">
        <v>2016</v>
      </c>
      <c r="D1731" s="18" t="n">
        <v>2016</v>
      </c>
      <c r="E1731" s="18" t="inlineStr">
        <is>
          <t>Bad Moms</t>
        </is>
      </c>
      <c r="F1731" s="18" t="inlineStr">
        <is>
          <t>F0038</t>
        </is>
      </c>
    </row>
    <row r="1732" ht="15.75" customHeight="1" s="108">
      <c r="A1732" s="18" t="inlineStr">
        <is>
          <t>Lyle Brocato</t>
        </is>
      </c>
      <c r="B1732" s="18" t="n">
        <v>2</v>
      </c>
      <c r="C1732" s="18" t="n">
        <v>2016</v>
      </c>
      <c r="D1732" s="18" t="n">
        <v>2019</v>
      </c>
      <c r="E1732" s="18" t="inlineStr">
        <is>
          <t>Bad Moms, Godzilla: King of the Monsters</t>
        </is>
      </c>
      <c r="F1732" s="18" t="inlineStr">
        <is>
          <t>F0038, F0122</t>
        </is>
      </c>
    </row>
    <row r="1733" ht="15.75" customHeight="1" s="108">
      <c r="A1733" s="18" t="inlineStr">
        <is>
          <t>Wanda Sykes</t>
        </is>
      </c>
      <c r="B1733" s="18" t="n">
        <v>2</v>
      </c>
      <c r="C1733" s="18" t="n">
        <v>2011</v>
      </c>
      <c r="D1733" s="18" t="n">
        <v>2016</v>
      </c>
      <c r="E1733" s="18" t="inlineStr">
        <is>
          <t>Bad Moms, Rio</t>
        </is>
      </c>
      <c r="F1733" s="18" t="inlineStr">
        <is>
          <t>F0038, F0265</t>
        </is>
      </c>
    </row>
    <row r="1734" ht="15.75" customHeight="1" s="108">
      <c r="A1734" s="18" t="inlineStr">
        <is>
          <t>Cade Mansfield Cooksey</t>
        </is>
      </c>
      <c r="B1734" s="18" t="n">
        <v>1</v>
      </c>
      <c r="C1734" s="18" t="n">
        <v>2016</v>
      </c>
      <c r="D1734" s="18" t="n">
        <v>2016</v>
      </c>
      <c r="E1734" s="18" t="inlineStr">
        <is>
          <t>Bad Moms</t>
        </is>
      </c>
      <c r="F1734" s="18" t="inlineStr">
        <is>
          <t>F0038</t>
        </is>
      </c>
    </row>
    <row r="1735" ht="15.75" customHeight="1" s="108">
      <c r="A1735" s="18" t="inlineStr">
        <is>
          <t>Ann Mahoney</t>
        </is>
      </c>
      <c r="B1735" s="18" t="n">
        <v>1</v>
      </c>
      <c r="C1735" s="18" t="n">
        <v>2016</v>
      </c>
      <c r="D1735" s="18" t="n">
        <v>2016</v>
      </c>
      <c r="E1735" s="18" t="inlineStr">
        <is>
          <t>Bad Moms</t>
        </is>
      </c>
      <c r="F1735" s="18" t="inlineStr">
        <is>
          <t>F0038</t>
        </is>
      </c>
    </row>
    <row r="1736" ht="15.75" customHeight="1" s="108">
      <c r="A1736" s="18" t="inlineStr">
        <is>
          <t>Samantha Beaulieu</t>
        </is>
      </c>
      <c r="B1736" s="18" t="n">
        <v>1</v>
      </c>
      <c r="C1736" s="18" t="n">
        <v>2016</v>
      </c>
      <c r="D1736" s="18" t="n">
        <v>2016</v>
      </c>
      <c r="E1736" s="18" t="inlineStr">
        <is>
          <t>Bad Moms</t>
        </is>
      </c>
      <c r="F1736" s="18" t="inlineStr">
        <is>
          <t>F0038</t>
        </is>
      </c>
    </row>
    <row r="1737" ht="15.75" customHeight="1" s="108">
      <c r="A1737" s="18" t="inlineStr">
        <is>
          <t>Yuka Takara</t>
        </is>
      </c>
      <c r="B1737" s="18" t="n">
        <v>1</v>
      </c>
      <c r="C1737" s="18" t="n">
        <v>2016</v>
      </c>
      <c r="D1737" s="18" t="n">
        <v>2016</v>
      </c>
      <c r="E1737" s="18" t="inlineStr">
        <is>
          <t>Bad Moms</t>
        </is>
      </c>
      <c r="F1737" s="18" t="inlineStr">
        <is>
          <t>F0038</t>
        </is>
      </c>
    </row>
    <row r="1738" ht="15.75" customHeight="1" s="108">
      <c r="A1738" s="18" t="inlineStr">
        <is>
          <t>Jackie Tuttle</t>
        </is>
      </c>
      <c r="B1738" s="18" t="n">
        <v>1</v>
      </c>
      <c r="C1738" s="18" t="n">
        <v>2016</v>
      </c>
      <c r="D1738" s="18" t="n">
        <v>2016</v>
      </c>
      <c r="E1738" s="18" t="inlineStr">
        <is>
          <t>Bad Moms</t>
        </is>
      </c>
      <c r="F1738" s="18" t="inlineStr">
        <is>
          <t>F0038</t>
        </is>
      </c>
    </row>
    <row r="1739" ht="15.75" customHeight="1" s="108">
      <c r="A1739" s="18" t="inlineStr">
        <is>
          <t>Adria Tennor</t>
        </is>
      </c>
      <c r="B1739" s="18" t="n">
        <v>1</v>
      </c>
      <c r="C1739" s="18" t="n">
        <v>2016</v>
      </c>
      <c r="D1739" s="18" t="n">
        <v>2016</v>
      </c>
      <c r="E1739" s="18" t="inlineStr">
        <is>
          <t>Bad Moms</t>
        </is>
      </c>
      <c r="F1739" s="18" t="inlineStr">
        <is>
          <t>F0038</t>
        </is>
      </c>
    </row>
    <row r="1740" ht="15.75" customHeight="1" s="108">
      <c r="A1740" s="18" t="inlineStr">
        <is>
          <t>Kelly Lind</t>
        </is>
      </c>
      <c r="B1740" s="18" t="n">
        <v>1</v>
      </c>
      <c r="C1740" s="18" t="n">
        <v>2016</v>
      </c>
      <c r="D1740" s="18" t="n">
        <v>2016</v>
      </c>
      <c r="E1740" s="18" t="inlineStr">
        <is>
          <t>Bad Moms</t>
        </is>
      </c>
      <c r="F1740" s="18" t="inlineStr">
        <is>
          <t>F0038</t>
        </is>
      </c>
    </row>
    <row r="1741" ht="15.75" customHeight="1" s="108">
      <c r="A1741" s="18" t="inlineStr">
        <is>
          <t>Lena Clark</t>
        </is>
      </c>
      <c r="B1741" s="18" t="n">
        <v>2</v>
      </c>
      <c r="C1741" s="18" t="n">
        <v>2011</v>
      </c>
      <c r="D1741" s="18" t="n">
        <v>2016</v>
      </c>
      <c r="E1741" s="18" t="inlineStr">
        <is>
          <t>Bad Moms, Green Lantern</t>
        </is>
      </c>
      <c r="F1741" s="18" t="inlineStr">
        <is>
          <t>F0038, F0128</t>
        </is>
      </c>
    </row>
    <row r="1742" ht="15.75" customHeight="1" s="108">
      <c r="A1742" s="18" t="inlineStr">
        <is>
          <t>Amy Brassette</t>
        </is>
      </c>
      <c r="B1742" s="18" t="n">
        <v>1</v>
      </c>
      <c r="C1742" s="18" t="n">
        <v>2016</v>
      </c>
      <c r="D1742" s="18" t="n">
        <v>2016</v>
      </c>
      <c r="E1742" s="18" t="inlineStr">
        <is>
          <t>Bad Moms</t>
        </is>
      </c>
      <c r="F1742" s="18" t="inlineStr">
        <is>
          <t>F0038</t>
        </is>
      </c>
    </row>
    <row r="1743" ht="15.75" customHeight="1" s="108">
      <c r="A1743" s="18" t="inlineStr">
        <is>
          <t>Karmen Capella</t>
        </is>
      </c>
      <c r="B1743" s="18" t="n">
        <v>1</v>
      </c>
      <c r="C1743" s="18" t="n">
        <v>2016</v>
      </c>
      <c r="D1743" s="18" t="n">
        <v>2016</v>
      </c>
      <c r="E1743" s="18" t="inlineStr">
        <is>
          <t>Bad Moms</t>
        </is>
      </c>
      <c r="F1743" s="18" t="inlineStr">
        <is>
          <t>F0038</t>
        </is>
      </c>
    </row>
    <row r="1744" ht="15.75" customHeight="1" s="108">
      <c r="A1744" s="18" t="inlineStr">
        <is>
          <t>Donna DuPlantier</t>
        </is>
      </c>
      <c r="B1744" s="18" t="n">
        <v>1</v>
      </c>
      <c r="C1744" s="18" t="n">
        <v>2016</v>
      </c>
      <c r="D1744" s="18" t="n">
        <v>2016</v>
      </c>
      <c r="E1744" s="18" t="inlineStr">
        <is>
          <t>Bad Moms</t>
        </is>
      </c>
      <c r="F1744" s="18" t="inlineStr">
        <is>
          <t>F0038</t>
        </is>
      </c>
    </row>
    <row r="1745" ht="15.75" customHeight="1" s="108">
      <c r="A1745" s="18" t="inlineStr">
        <is>
          <t>Lindsey Garrett</t>
        </is>
      </c>
      <c r="B1745" s="18" t="n">
        <v>1</v>
      </c>
      <c r="C1745" s="18" t="n">
        <v>2016</v>
      </c>
      <c r="D1745" s="18" t="n">
        <v>2016</v>
      </c>
      <c r="E1745" s="18" t="inlineStr">
        <is>
          <t>Bad Moms</t>
        </is>
      </c>
      <c r="F1745" s="18" t="inlineStr">
        <is>
          <t>F0038</t>
        </is>
      </c>
    </row>
    <row r="1746" ht="15.75" customHeight="1" s="108">
      <c r="A1746" s="18" t="inlineStr">
        <is>
          <t>Angela Larson</t>
        </is>
      </c>
      <c r="B1746" s="18" t="n">
        <v>1</v>
      </c>
      <c r="C1746" s="18" t="n">
        <v>2016</v>
      </c>
      <c r="D1746" s="18" t="n">
        <v>2016</v>
      </c>
      <c r="E1746" s="18" t="inlineStr">
        <is>
          <t>Bad Moms</t>
        </is>
      </c>
      <c r="F1746" s="18" t="inlineStr">
        <is>
          <t>F0038</t>
        </is>
      </c>
    </row>
    <row r="1747" ht="15.75" customHeight="1" s="108">
      <c r="A1747" s="18" t="inlineStr">
        <is>
          <t>Kaitlyn Dever</t>
        </is>
      </c>
      <c r="B1747" s="18" t="n">
        <v>1</v>
      </c>
      <c r="C1747" s="18" t="n">
        <v>2011</v>
      </c>
      <c r="D1747" s="18" t="n">
        <v>2011</v>
      </c>
      <c r="E1747" s="18" t="inlineStr">
        <is>
          <t>Bad Teacher</t>
        </is>
      </c>
      <c r="F1747" s="18" t="inlineStr">
        <is>
          <t>F0039</t>
        </is>
      </c>
    </row>
    <row r="1748" ht="15.75" customHeight="1" s="108">
      <c r="A1748" s="18" t="inlineStr">
        <is>
          <t>Thomas Lennon</t>
        </is>
      </c>
      <c r="B1748" s="18" t="n">
        <v>2</v>
      </c>
      <c r="C1748" s="18" t="n">
        <v>2011</v>
      </c>
      <c r="D1748" s="18" t="n">
        <v>2014</v>
      </c>
      <c r="E1748" s="18" t="inlineStr">
        <is>
          <t>Bad Teacher, Transformers: Age of Extinction</t>
        </is>
      </c>
      <c r="F1748" s="18" t="inlineStr">
        <is>
          <t>F0039, F0319</t>
        </is>
      </c>
    </row>
    <row r="1749" ht="15.75" customHeight="1" s="108">
      <c r="A1749" s="18" t="inlineStr">
        <is>
          <t>Kathryn Newton</t>
        </is>
      </c>
      <c r="B1749" s="18" t="n">
        <v>1</v>
      </c>
      <c r="C1749" s="18" t="n">
        <v>2011</v>
      </c>
      <c r="D1749" s="18" t="n">
        <v>2011</v>
      </c>
      <c r="E1749" s="18" t="inlineStr">
        <is>
          <t>Bad Teacher</t>
        </is>
      </c>
      <c r="F1749" s="18" t="inlineStr">
        <is>
          <t>F0039</t>
        </is>
      </c>
    </row>
    <row r="1750" ht="15.75" customHeight="1" s="108">
      <c r="A1750" s="18" t="inlineStr">
        <is>
          <t>Molly Shannon</t>
        </is>
      </c>
      <c r="B1750" s="18" t="n">
        <v>1</v>
      </c>
      <c r="C1750" s="18" t="n">
        <v>2011</v>
      </c>
      <c r="D1750" s="18" t="n">
        <v>2011</v>
      </c>
      <c r="E1750" s="18" t="inlineStr">
        <is>
          <t>Bad Teacher</t>
        </is>
      </c>
      <c r="F1750" s="18" t="inlineStr">
        <is>
          <t>F0039</t>
        </is>
      </c>
    </row>
    <row r="1751" ht="15.75" customHeight="1" s="108">
      <c r="A1751" s="18" t="inlineStr">
        <is>
          <t>Matthew J. Evans</t>
        </is>
      </c>
      <c r="B1751" s="18" t="n">
        <v>1</v>
      </c>
      <c r="C1751" s="18" t="n">
        <v>2011</v>
      </c>
      <c r="D1751" s="18" t="n">
        <v>2011</v>
      </c>
      <c r="E1751" s="18" t="inlineStr">
        <is>
          <t>Bad Teacher</t>
        </is>
      </c>
      <c r="F1751" s="18" t="inlineStr">
        <is>
          <t>F0039</t>
        </is>
      </c>
    </row>
    <row r="1752" ht="15.75" customHeight="1" s="108">
      <c r="A1752" s="18" t="inlineStr">
        <is>
          <t>Dave Allen</t>
        </is>
      </c>
      <c r="B1752" s="18" t="n">
        <v>1</v>
      </c>
      <c r="C1752" s="18" t="n">
        <v>2011</v>
      </c>
      <c r="D1752" s="18" t="n">
        <v>2011</v>
      </c>
      <c r="E1752" s="18" t="inlineStr">
        <is>
          <t>Bad Teacher</t>
        </is>
      </c>
      <c r="F1752" s="18" t="inlineStr">
        <is>
          <t>F0039</t>
        </is>
      </c>
    </row>
    <row r="1753" ht="15.75" customHeight="1" s="108">
      <c r="A1753" s="18" t="inlineStr">
        <is>
          <t>Jillian Armenante</t>
        </is>
      </c>
      <c r="B1753" s="18" t="n">
        <v>1</v>
      </c>
      <c r="C1753" s="18" t="n">
        <v>2011</v>
      </c>
      <c r="D1753" s="18" t="n">
        <v>2011</v>
      </c>
      <c r="E1753" s="18" t="inlineStr">
        <is>
          <t>Bad Teacher</t>
        </is>
      </c>
      <c r="F1753" s="18" t="inlineStr">
        <is>
          <t>F0039</t>
        </is>
      </c>
    </row>
    <row r="1754" ht="15.75" customHeight="1" s="108">
      <c r="A1754" s="18" t="inlineStr">
        <is>
          <t>Igal Ben Yair</t>
        </is>
      </c>
      <c r="B1754" s="18" t="n">
        <v>1</v>
      </c>
      <c r="C1754" s="18" t="n">
        <v>2011</v>
      </c>
      <c r="D1754" s="18" t="n">
        <v>2011</v>
      </c>
      <c r="E1754" s="18" t="inlineStr">
        <is>
          <t>Bad Teacher</t>
        </is>
      </c>
      <c r="F1754" s="18" t="inlineStr">
        <is>
          <t>F0039</t>
        </is>
      </c>
    </row>
    <row r="1755" ht="15.75" customHeight="1" s="108">
      <c r="A1755" s="18" t="inlineStr">
        <is>
          <t>Aja Bair</t>
        </is>
      </c>
      <c r="B1755" s="18" t="n">
        <v>1</v>
      </c>
      <c r="C1755" s="18" t="n">
        <v>2011</v>
      </c>
      <c r="D1755" s="18" t="n">
        <v>2011</v>
      </c>
      <c r="E1755" s="18" t="inlineStr">
        <is>
          <t>Bad Teacher</t>
        </is>
      </c>
      <c r="F1755" s="18" t="inlineStr">
        <is>
          <t>F0039</t>
        </is>
      </c>
    </row>
    <row r="1756" ht="15.75" customHeight="1" s="108">
      <c r="A1756" s="18" t="inlineStr">
        <is>
          <t>Andra Nechita</t>
        </is>
      </c>
      <c r="B1756" s="18" t="n">
        <v>1</v>
      </c>
      <c r="C1756" s="18" t="n">
        <v>2011</v>
      </c>
      <c r="D1756" s="18" t="n">
        <v>2011</v>
      </c>
      <c r="E1756" s="18" t="inlineStr">
        <is>
          <t>Bad Teacher</t>
        </is>
      </c>
      <c r="F1756" s="18" t="inlineStr">
        <is>
          <t>F0039</t>
        </is>
      </c>
    </row>
    <row r="1757" ht="15.75" customHeight="1" s="108">
      <c r="A1757" s="18" t="inlineStr">
        <is>
          <t>Noah Munck</t>
        </is>
      </c>
      <c r="B1757" s="18" t="n">
        <v>1</v>
      </c>
      <c r="C1757" s="18" t="n">
        <v>2011</v>
      </c>
      <c r="D1757" s="18" t="n">
        <v>2011</v>
      </c>
      <c r="E1757" s="18" t="inlineStr">
        <is>
          <t>Bad Teacher</t>
        </is>
      </c>
      <c r="F1757" s="18" t="inlineStr">
        <is>
          <t>F0039</t>
        </is>
      </c>
    </row>
    <row r="1758" ht="15.75" customHeight="1" s="108">
      <c r="A1758" s="18" t="inlineStr">
        <is>
          <t>FINNEAS</t>
        </is>
      </c>
      <c r="B1758" s="18" t="n">
        <v>1</v>
      </c>
      <c r="C1758" s="18" t="n">
        <v>2011</v>
      </c>
      <c r="D1758" s="18" t="n">
        <v>2011</v>
      </c>
      <c r="E1758" s="18" t="inlineStr">
        <is>
          <t>Bad Teacher</t>
        </is>
      </c>
      <c r="F1758" s="18" t="inlineStr">
        <is>
          <t>F0039</t>
        </is>
      </c>
    </row>
    <row r="1759" ht="15.75" customHeight="1" s="108">
      <c r="A1759" s="18" t="inlineStr">
        <is>
          <t>Daniel Castro</t>
        </is>
      </c>
      <c r="B1759" s="18" t="n">
        <v>1</v>
      </c>
      <c r="C1759" s="18" t="n">
        <v>2011</v>
      </c>
      <c r="D1759" s="18" t="n">
        <v>2011</v>
      </c>
      <c r="E1759" s="18" t="inlineStr">
        <is>
          <t>Bad Teacher</t>
        </is>
      </c>
      <c r="F1759" s="18" t="inlineStr">
        <is>
          <t>F0039</t>
        </is>
      </c>
    </row>
    <row r="1760" ht="15.75" customHeight="1" s="108">
      <c r="A1760" s="18" t="inlineStr">
        <is>
          <t>Deirdre Lovejoy</t>
        </is>
      </c>
      <c r="B1760" s="18" t="n">
        <v>1</v>
      </c>
      <c r="C1760" s="18" t="n">
        <v>2011</v>
      </c>
      <c r="D1760" s="18" t="n">
        <v>2011</v>
      </c>
      <c r="E1760" s="18" t="inlineStr">
        <is>
          <t>Bad Teacher</t>
        </is>
      </c>
      <c r="F1760" s="18" t="inlineStr">
        <is>
          <t>F0039</t>
        </is>
      </c>
    </row>
    <row r="1761" ht="15.75" customHeight="1" s="108">
      <c r="A1761" s="18" t="inlineStr">
        <is>
          <t>Adrian Kali Turner</t>
        </is>
      </c>
      <c r="B1761" s="18" t="n">
        <v>1</v>
      </c>
      <c r="C1761" s="18" t="n">
        <v>2011</v>
      </c>
      <c r="D1761" s="18" t="n">
        <v>2011</v>
      </c>
      <c r="E1761" s="18" t="inlineStr">
        <is>
          <t>Bad Teacher</t>
        </is>
      </c>
      <c r="F1761" s="18" t="inlineStr">
        <is>
          <t>F0039</t>
        </is>
      </c>
    </row>
    <row r="1762" ht="15.75" customHeight="1" s="108">
      <c r="A1762" s="18" t="inlineStr">
        <is>
          <t>Paul Bates</t>
        </is>
      </c>
      <c r="B1762" s="18" t="n">
        <v>1</v>
      </c>
      <c r="C1762" s="18" t="n">
        <v>2011</v>
      </c>
      <c r="D1762" s="18" t="n">
        <v>2011</v>
      </c>
      <c r="E1762" s="18" t="inlineStr">
        <is>
          <t>Bad Teacher</t>
        </is>
      </c>
      <c r="F1762" s="18" t="inlineStr">
        <is>
          <t>F0039</t>
        </is>
      </c>
    </row>
    <row r="1763" ht="15.75" customHeight="1" s="108">
      <c r="A1763" s="18" t="inlineStr">
        <is>
          <t>Jeff Judah</t>
        </is>
      </c>
      <c r="B1763" s="18" t="n">
        <v>1</v>
      </c>
      <c r="C1763" s="18" t="n">
        <v>2011</v>
      </c>
      <c r="D1763" s="18" t="n">
        <v>2011</v>
      </c>
      <c r="E1763" s="18" t="inlineStr">
        <is>
          <t>Bad Teacher</t>
        </is>
      </c>
      <c r="F1763" s="18" t="inlineStr">
        <is>
          <t>F0039</t>
        </is>
      </c>
    </row>
    <row r="1764" ht="15.75" customHeight="1" s="108">
      <c r="A1764" s="18" t="inlineStr">
        <is>
          <t>Nat Faxon</t>
        </is>
      </c>
      <c r="B1764" s="18" t="n">
        <v>1</v>
      </c>
      <c r="C1764" s="18" t="n">
        <v>2011</v>
      </c>
      <c r="D1764" s="18" t="n">
        <v>2011</v>
      </c>
      <c r="E1764" s="18" t="inlineStr">
        <is>
          <t>Bad Teacher</t>
        </is>
      </c>
      <c r="F1764" s="18" t="inlineStr">
        <is>
          <t>F0039</t>
        </is>
      </c>
    </row>
    <row r="1765" ht="15.75" customHeight="1" s="108">
      <c r="A1765" s="18" t="inlineStr">
        <is>
          <t>Stephanie Faracy</t>
        </is>
      </c>
      <c r="B1765" s="18" t="n">
        <v>1</v>
      </c>
      <c r="C1765" s="18" t="n">
        <v>2011</v>
      </c>
      <c r="D1765" s="18" t="n">
        <v>2011</v>
      </c>
      <c r="E1765" s="18" t="inlineStr">
        <is>
          <t>Bad Teacher</t>
        </is>
      </c>
      <c r="F1765" s="18" t="inlineStr">
        <is>
          <t>F0039</t>
        </is>
      </c>
    </row>
    <row r="1766" ht="15.75" customHeight="1" s="108">
      <c r="A1766" s="18" t="inlineStr">
        <is>
          <t>David Paymer</t>
        </is>
      </c>
      <c r="B1766" s="18" t="n">
        <v>1</v>
      </c>
      <c r="C1766" s="18" t="n">
        <v>2011</v>
      </c>
      <c r="D1766" s="18" t="n">
        <v>2011</v>
      </c>
      <c r="E1766" s="18" t="inlineStr">
        <is>
          <t>Bad Teacher</t>
        </is>
      </c>
      <c r="F1766" s="18" t="inlineStr">
        <is>
          <t>F0039</t>
        </is>
      </c>
    </row>
    <row r="1767" ht="15.75" customHeight="1" s="108">
      <c r="A1767" s="18" t="inlineStr">
        <is>
          <t>Alanna Ubach</t>
        </is>
      </c>
      <c r="B1767" s="18" t="n">
        <v>1</v>
      </c>
      <c r="C1767" s="18" t="n">
        <v>2011</v>
      </c>
      <c r="D1767" s="18" t="n">
        <v>2011</v>
      </c>
      <c r="E1767" s="18" t="inlineStr">
        <is>
          <t>Bad Teacher</t>
        </is>
      </c>
      <c r="F1767" s="18" t="inlineStr">
        <is>
          <t>F0039</t>
        </is>
      </c>
    </row>
    <row r="1768" ht="15.75" customHeight="1" s="108">
      <c r="A1768" s="18" t="inlineStr">
        <is>
          <t>Christine Smith</t>
        </is>
      </c>
      <c r="B1768" s="18" t="n">
        <v>1</v>
      </c>
      <c r="C1768" s="18" t="n">
        <v>2011</v>
      </c>
      <c r="D1768" s="18" t="n">
        <v>2011</v>
      </c>
      <c r="E1768" s="18" t="inlineStr">
        <is>
          <t>Bad Teacher</t>
        </is>
      </c>
      <c r="F1768" s="18" t="inlineStr">
        <is>
          <t>F0039</t>
        </is>
      </c>
    </row>
    <row r="1769" ht="15.75" customHeight="1" s="108">
      <c r="A1769" s="18" t="inlineStr">
        <is>
          <t>Paul Feig</t>
        </is>
      </c>
      <c r="B1769" s="18" t="n">
        <v>1</v>
      </c>
      <c r="C1769" s="18" t="n">
        <v>2011</v>
      </c>
      <c r="D1769" s="18" t="n">
        <v>2011</v>
      </c>
      <c r="E1769" s="18" t="inlineStr">
        <is>
          <t>Bad Teacher</t>
        </is>
      </c>
      <c r="F1769" s="18" t="inlineStr">
        <is>
          <t>F0039</t>
        </is>
      </c>
    </row>
    <row r="1770" ht="15.75" customHeight="1" s="108">
      <c r="A1770" s="18" t="inlineStr">
        <is>
          <t>Andrew Brooke</t>
        </is>
      </c>
      <c r="B1770" s="18" t="n">
        <v>2</v>
      </c>
      <c r="C1770" s="18" t="n">
        <v>2008</v>
      </c>
      <c r="D1770" s="18" t="n">
        <v>2009</v>
      </c>
      <c r="E1770" s="18" t="inlineStr">
        <is>
          <t>The Bank Job, Sherlock Holmes</t>
        </is>
      </c>
      <c r="F1770" s="18" t="inlineStr">
        <is>
          <t>F0040, F0278</t>
        </is>
      </c>
    </row>
    <row r="1771" ht="15.75" customHeight="1" s="108">
      <c r="A1771" s="18" t="inlineStr">
        <is>
          <t>Michael Jibson</t>
        </is>
      </c>
      <c r="B1771" s="18" t="n">
        <v>2</v>
      </c>
      <c r="C1771" s="18" t="n">
        <v>2008</v>
      </c>
      <c r="D1771" s="18" t="n">
        <v>2012</v>
      </c>
      <c r="E1771" s="18" t="inlineStr">
        <is>
          <t>The Bank Job, Les Misérables</t>
        </is>
      </c>
      <c r="F1771" s="18" t="inlineStr">
        <is>
          <t>F0040, F0199</t>
        </is>
      </c>
    </row>
    <row r="1772" ht="15.75" customHeight="1" s="108">
      <c r="A1772" s="18" t="inlineStr">
        <is>
          <t>Georgia Taylor</t>
        </is>
      </c>
      <c r="B1772" s="18" t="n">
        <v>1</v>
      </c>
      <c r="C1772" s="18" t="n">
        <v>2008</v>
      </c>
      <c r="D1772" s="18" t="n">
        <v>2008</v>
      </c>
      <c r="E1772" s="18" t="inlineStr">
        <is>
          <t>The Bank Job</t>
        </is>
      </c>
      <c r="F1772" s="18" t="inlineStr">
        <is>
          <t>F0040</t>
        </is>
      </c>
    </row>
    <row r="1773" ht="15.75" customHeight="1" s="108">
      <c r="A1773" s="18" t="inlineStr">
        <is>
          <t>Richard Lintern</t>
        </is>
      </c>
      <c r="B1773" s="18" t="n">
        <v>1</v>
      </c>
      <c r="C1773" s="18" t="n">
        <v>2008</v>
      </c>
      <c r="D1773" s="18" t="n">
        <v>2008</v>
      </c>
      <c r="E1773" s="18" t="inlineStr">
        <is>
          <t>The Bank Job</t>
        </is>
      </c>
      <c r="F1773" s="18" t="inlineStr">
        <is>
          <t>F0040</t>
        </is>
      </c>
    </row>
    <row r="1774" ht="15.75" customHeight="1" s="108">
      <c r="A1774" s="18" t="inlineStr">
        <is>
          <t>Peter Bowles</t>
        </is>
      </c>
      <c r="B1774" s="18" t="n">
        <v>1</v>
      </c>
      <c r="C1774" s="18" t="n">
        <v>2008</v>
      </c>
      <c r="D1774" s="18" t="n">
        <v>2008</v>
      </c>
      <c r="E1774" s="18" t="inlineStr">
        <is>
          <t>The Bank Job</t>
        </is>
      </c>
      <c r="F1774" s="18" t="inlineStr">
        <is>
          <t>F0040</t>
        </is>
      </c>
    </row>
    <row r="1775" ht="15.75" customHeight="1" s="108">
      <c r="A1775" s="18" t="inlineStr">
        <is>
          <t>Alistair Petrie</t>
        </is>
      </c>
      <c r="B1775" s="18" t="n">
        <v>3</v>
      </c>
      <c r="C1775" s="18" t="n">
        <v>2008</v>
      </c>
      <c r="D1775" s="18" t="n">
        <v>2016</v>
      </c>
      <c r="E1775" s="18" t="inlineStr">
        <is>
          <t>The Bank Job, Rush, Rogue one</t>
        </is>
      </c>
      <c r="F1775" s="18" t="inlineStr">
        <is>
          <t>F0040, F0270, F0385</t>
        </is>
      </c>
    </row>
    <row r="1776" ht="15.75" customHeight="1" s="108">
      <c r="A1776" s="18" t="inlineStr">
        <is>
          <t>Alki David</t>
        </is>
      </c>
      <c r="B1776" s="18" t="n">
        <v>1</v>
      </c>
      <c r="C1776" s="18" t="n">
        <v>2008</v>
      </c>
      <c r="D1776" s="18" t="n">
        <v>2008</v>
      </c>
      <c r="E1776" s="18" t="inlineStr">
        <is>
          <t>The Bank Job</t>
        </is>
      </c>
      <c r="F1776" s="18" t="inlineStr">
        <is>
          <t>F0040</t>
        </is>
      </c>
    </row>
    <row r="1777" ht="15.75" customHeight="1" s="108">
      <c r="A1777" s="18" t="inlineStr">
        <is>
          <t>Hattie Morahan</t>
        </is>
      </c>
      <c r="B1777" s="18" t="n">
        <v>1</v>
      </c>
      <c r="C1777" s="18" t="n">
        <v>2008</v>
      </c>
      <c r="D1777" s="18" t="n">
        <v>2008</v>
      </c>
      <c r="E1777" s="18" t="inlineStr">
        <is>
          <t>The Bank Job</t>
        </is>
      </c>
      <c r="F1777" s="18" t="inlineStr">
        <is>
          <t>F0040</t>
        </is>
      </c>
    </row>
    <row r="1778" ht="15.75" customHeight="1" s="108">
      <c r="A1778" s="18" t="inlineStr">
        <is>
          <t>Julian Lewis Jones</t>
        </is>
      </c>
      <c r="B1778" s="18" t="n">
        <v>1</v>
      </c>
      <c r="C1778" s="18" t="n">
        <v>2008</v>
      </c>
      <c r="D1778" s="18" t="n">
        <v>2008</v>
      </c>
      <c r="E1778" s="18" t="inlineStr">
        <is>
          <t>The Bank Job</t>
        </is>
      </c>
      <c r="F1778" s="18" t="inlineStr">
        <is>
          <t>F0040</t>
        </is>
      </c>
    </row>
    <row r="1779" ht="15.75" customHeight="1" s="108">
      <c r="A1779" s="18" t="inlineStr">
        <is>
          <t>Rupert Frazer</t>
        </is>
      </c>
      <c r="B1779" s="18" t="n">
        <v>1</v>
      </c>
      <c r="C1779" s="18" t="n">
        <v>2008</v>
      </c>
      <c r="D1779" s="18" t="n">
        <v>2008</v>
      </c>
      <c r="E1779" s="18" t="inlineStr">
        <is>
          <t>The Bank Job</t>
        </is>
      </c>
      <c r="F1779" s="18" t="inlineStr">
        <is>
          <t>F0040</t>
        </is>
      </c>
    </row>
    <row r="1780" ht="15.75" customHeight="1" s="108">
      <c r="A1780" s="18" t="inlineStr">
        <is>
          <t>Keeley Hawes</t>
        </is>
      </c>
      <c r="B1780" s="18" t="n">
        <v>1</v>
      </c>
      <c r="C1780" s="18" t="n">
        <v>2008</v>
      </c>
      <c r="D1780" s="18" t="n">
        <v>2008</v>
      </c>
      <c r="E1780" s="18" t="inlineStr">
        <is>
          <t>The Bank Job</t>
        </is>
      </c>
      <c r="F1780" s="18" t="inlineStr">
        <is>
          <t>F0040</t>
        </is>
      </c>
    </row>
    <row r="1781" ht="15.75" customHeight="1" s="108">
      <c r="A1781" s="18" t="inlineStr">
        <is>
          <t>Don Gallagher</t>
        </is>
      </c>
      <c r="B1781" s="18" t="n">
        <v>1</v>
      </c>
      <c r="C1781" s="18" t="n">
        <v>2008</v>
      </c>
      <c r="D1781" s="18" t="n">
        <v>2008</v>
      </c>
      <c r="E1781" s="18" t="inlineStr">
        <is>
          <t>The Bank Job</t>
        </is>
      </c>
      <c r="F1781" s="18" t="inlineStr">
        <is>
          <t>F0040</t>
        </is>
      </c>
    </row>
    <row r="1782" ht="15.75" customHeight="1" s="108">
      <c r="A1782" s="18" t="inlineStr">
        <is>
          <t>Craig Fairbrass</t>
        </is>
      </c>
      <c r="B1782" s="18" t="n">
        <v>1</v>
      </c>
      <c r="C1782" s="18" t="n">
        <v>2008</v>
      </c>
      <c r="D1782" s="18" t="n">
        <v>2008</v>
      </c>
      <c r="E1782" s="18" t="inlineStr">
        <is>
          <t>The Bank Job</t>
        </is>
      </c>
      <c r="F1782" s="18" t="inlineStr">
        <is>
          <t>F0040</t>
        </is>
      </c>
    </row>
    <row r="1783" ht="15.75" customHeight="1" s="108">
      <c r="A1783" s="18" t="inlineStr">
        <is>
          <t>Gerard Horan</t>
        </is>
      </c>
      <c r="B1783" s="18" t="n">
        <v>1</v>
      </c>
      <c r="C1783" s="18" t="n">
        <v>2008</v>
      </c>
      <c r="D1783" s="18" t="n">
        <v>2008</v>
      </c>
      <c r="E1783" s="18" t="inlineStr">
        <is>
          <t>The Bank Job</t>
        </is>
      </c>
      <c r="F1783" s="18" t="inlineStr">
        <is>
          <t>F0040</t>
        </is>
      </c>
    </row>
    <row r="1784" ht="15.75" customHeight="1" s="108">
      <c r="A1784" s="18" t="inlineStr">
        <is>
          <t>David Suchet</t>
        </is>
      </c>
      <c r="B1784" s="18" t="n">
        <v>1</v>
      </c>
      <c r="C1784" s="18" t="n">
        <v>2008</v>
      </c>
      <c r="D1784" s="18" t="n">
        <v>2008</v>
      </c>
      <c r="E1784" s="18" t="inlineStr">
        <is>
          <t>The Bank Job</t>
        </is>
      </c>
      <c r="F1784" s="18" t="inlineStr">
        <is>
          <t>F0040</t>
        </is>
      </c>
    </row>
    <row r="1785" ht="15.75" customHeight="1" s="108">
      <c r="A1785" s="18" t="inlineStr">
        <is>
          <t>Peter de Jersey</t>
        </is>
      </c>
      <c r="B1785" s="18" t="n">
        <v>1</v>
      </c>
      <c r="C1785" s="18" t="n">
        <v>2008</v>
      </c>
      <c r="D1785" s="18" t="n">
        <v>2008</v>
      </c>
      <c r="E1785" s="18" t="inlineStr">
        <is>
          <t>The Bank Job</t>
        </is>
      </c>
      <c r="F1785" s="18" t="inlineStr">
        <is>
          <t>F0040</t>
        </is>
      </c>
    </row>
    <row r="1786" ht="15.75" customHeight="1" s="108">
      <c r="A1786" s="18" t="inlineStr">
        <is>
          <t>Colin Salmon</t>
        </is>
      </c>
      <c r="B1786" s="18" t="n">
        <v>1</v>
      </c>
      <c r="C1786" s="18" t="n">
        <v>2008</v>
      </c>
      <c r="D1786" s="18" t="n">
        <v>2008</v>
      </c>
      <c r="E1786" s="18" t="inlineStr">
        <is>
          <t>The Bank Job</t>
        </is>
      </c>
      <c r="F1786" s="18" t="inlineStr">
        <is>
          <t>F0040</t>
        </is>
      </c>
    </row>
    <row r="1787" ht="15.75" customHeight="1" s="108">
      <c r="A1787" s="18" t="inlineStr">
        <is>
          <t>Sharon Maughan</t>
        </is>
      </c>
      <c r="B1787" s="18" t="n">
        <v>1</v>
      </c>
      <c r="C1787" s="18" t="n">
        <v>2008</v>
      </c>
      <c r="D1787" s="18" t="n">
        <v>2008</v>
      </c>
      <c r="E1787" s="18" t="inlineStr">
        <is>
          <t>The Bank Job</t>
        </is>
      </c>
      <c r="F1787" s="18" t="inlineStr">
        <is>
          <t>F0040</t>
        </is>
      </c>
    </row>
    <row r="1788" ht="15.75" customHeight="1" s="108">
      <c r="A1788" s="18" t="inlineStr">
        <is>
          <t>Angus Wright</t>
        </is>
      </c>
      <c r="B1788" s="18" t="n">
        <v>2</v>
      </c>
      <c r="C1788" s="18" t="n">
        <v>2008</v>
      </c>
      <c r="D1788" s="18" t="n">
        <v>2014</v>
      </c>
      <c r="E1788" s="18" t="inlineStr">
        <is>
          <t>The Bank Job, Maleficent</t>
        </is>
      </c>
      <c r="F1788" s="18" t="inlineStr">
        <is>
          <t>F0040, F0208</t>
        </is>
      </c>
    </row>
    <row r="1789" ht="15.75" customHeight="1" s="108">
      <c r="A1789" s="18" t="inlineStr">
        <is>
          <t>Rupert Vansittart</t>
        </is>
      </c>
      <c r="B1789" s="18" t="n">
        <v>1</v>
      </c>
      <c r="C1789" s="18" t="n">
        <v>2008</v>
      </c>
      <c r="D1789" s="18" t="n">
        <v>2008</v>
      </c>
      <c r="E1789" s="18" t="inlineStr">
        <is>
          <t>The Bank Job</t>
        </is>
      </c>
      <c r="F1789" s="18" t="inlineStr">
        <is>
          <t>F0040</t>
        </is>
      </c>
    </row>
    <row r="1790" ht="15.75" customHeight="1" s="108">
      <c r="A1790" s="18" t="inlineStr">
        <is>
          <t>Bronson Webb</t>
        </is>
      </c>
      <c r="B1790" s="18" t="n">
        <v>3</v>
      </c>
      <c r="C1790" s="18" t="n">
        <v>2008</v>
      </c>
      <c r="D1790" s="18" t="n">
        <v>2011</v>
      </c>
      <c r="E1790" s="18" t="inlineStr">
        <is>
          <t>The Bank Job, Pirates of the Caribbean: On Stranger Tides, Robin Hood</t>
        </is>
      </c>
      <c r="F1790" s="18" t="inlineStr">
        <is>
          <t>F0040, F0249, F0267</t>
        </is>
      </c>
    </row>
    <row r="1791" ht="15.75" customHeight="1" s="108">
      <c r="A1791" s="18" t="inlineStr">
        <is>
          <t>Julian Firth</t>
        </is>
      </c>
      <c r="B1791" s="18" t="n">
        <v>1</v>
      </c>
      <c r="C1791" s="18" t="n">
        <v>2008</v>
      </c>
      <c r="D1791" s="18" t="n">
        <v>2008</v>
      </c>
      <c r="E1791" s="18" t="inlineStr">
        <is>
          <t>The Bank Job</t>
        </is>
      </c>
      <c r="F1791" s="18" t="inlineStr">
        <is>
          <t>F0040</t>
        </is>
      </c>
    </row>
    <row r="1792" ht="15.75" customHeight="1" s="108">
      <c r="A1792" s="18" t="inlineStr">
        <is>
          <t>Christopher Owen</t>
        </is>
      </c>
      <c r="B1792" s="18" t="n">
        <v>1</v>
      </c>
      <c r="C1792" s="18" t="n">
        <v>2008</v>
      </c>
      <c r="D1792" s="18" t="n">
        <v>2008</v>
      </c>
      <c r="E1792" s="18" t="inlineStr">
        <is>
          <t>The Bank Job</t>
        </is>
      </c>
      <c r="F1792" s="18" t="inlineStr">
        <is>
          <t>F0040</t>
        </is>
      </c>
    </row>
    <row r="1793" ht="15.75" customHeight="1" s="108">
      <c r="A1793" s="18" t="inlineStr">
        <is>
          <t>Antony Gabriel</t>
        </is>
      </c>
      <c r="B1793" s="18" t="n">
        <v>1</v>
      </c>
      <c r="C1793" s="18" t="n">
        <v>2008</v>
      </c>
      <c r="D1793" s="18" t="n">
        <v>2008</v>
      </c>
      <c r="E1793" s="18" t="inlineStr">
        <is>
          <t>The Bank Job</t>
        </is>
      </c>
      <c r="F1793" s="18" t="inlineStr">
        <is>
          <t>F0040</t>
        </is>
      </c>
    </row>
    <row r="1794" ht="15.75" customHeight="1" s="108">
      <c r="A1794" s="18" t="inlineStr">
        <is>
          <t>Kate McKinnon</t>
        </is>
      </c>
      <c r="B1794" s="18" t="n">
        <v>2</v>
      </c>
      <c r="C1794" s="18" t="n">
        <v>2016</v>
      </c>
      <c r="D1794" s="18" t="n">
        <v>2023</v>
      </c>
      <c r="E1794" s="18" t="inlineStr">
        <is>
          <t>Barbie, Finding Dory</t>
        </is>
      </c>
      <c r="F1794" s="18" t="inlineStr">
        <is>
          <t>F0041, F0113</t>
        </is>
      </c>
    </row>
    <row r="1795" ht="15.75" customHeight="1" s="108">
      <c r="A1795" s="18" t="inlineStr">
        <is>
          <t>Alexandra Shipp</t>
        </is>
      </c>
      <c r="B1795" s="18" t="n">
        <v>4</v>
      </c>
      <c r="C1795" s="18" t="n">
        <v>2015</v>
      </c>
      <c r="D1795" s="18" t="n">
        <v>2023</v>
      </c>
      <c r="E1795" s="18" t="inlineStr">
        <is>
          <t>Barbie, Straight Outta Compton, X-Men: Apocalypse, X-men dark phoenix</t>
        </is>
      </c>
      <c r="F1795" s="18" t="inlineStr">
        <is>
          <t>F0041, F0301, F0342, F0380</t>
        </is>
      </c>
    </row>
    <row r="1796" ht="15.75" customHeight="1" s="108">
      <c r="A1796" s="18" t="inlineStr">
        <is>
          <t>Emma Mackey</t>
        </is>
      </c>
      <c r="B1796" s="18" t="n">
        <v>1</v>
      </c>
      <c r="C1796" s="18" t="n">
        <v>2023</v>
      </c>
      <c r="D1796" s="18" t="n">
        <v>2023</v>
      </c>
      <c r="E1796" s="18" t="inlineStr">
        <is>
          <t>Barbie</t>
        </is>
      </c>
      <c r="F1796" s="18" t="inlineStr">
        <is>
          <t>F0041</t>
        </is>
      </c>
    </row>
    <row r="1797" ht="15.75" customHeight="1" s="108">
      <c r="A1797" s="18" t="inlineStr">
        <is>
          <t>Hari Nef</t>
        </is>
      </c>
      <c r="B1797" s="18" t="n">
        <v>1</v>
      </c>
      <c r="C1797" s="18" t="n">
        <v>2023</v>
      </c>
      <c r="D1797" s="18" t="n">
        <v>2023</v>
      </c>
      <c r="E1797" s="18" t="inlineStr">
        <is>
          <t>Barbie</t>
        </is>
      </c>
      <c r="F1797" s="18" t="inlineStr">
        <is>
          <t>F0041</t>
        </is>
      </c>
    </row>
    <row r="1798" ht="15.75" customHeight="1" s="108">
      <c r="A1798" s="18" t="inlineStr">
        <is>
          <t>Sharon Rooney</t>
        </is>
      </c>
      <c r="B1798" s="18" t="n">
        <v>1</v>
      </c>
      <c r="C1798" s="18" t="n">
        <v>2023</v>
      </c>
      <c r="D1798" s="18" t="n">
        <v>2023</v>
      </c>
      <c r="E1798" s="18" t="inlineStr">
        <is>
          <t>Barbie</t>
        </is>
      </c>
      <c r="F1798" s="18" t="inlineStr">
        <is>
          <t>F0041</t>
        </is>
      </c>
    </row>
    <row r="1799" ht="15.75" customHeight="1" s="108">
      <c r="A1799" s="18" t="inlineStr">
        <is>
          <t>Ana Cruz Kayne</t>
        </is>
      </c>
      <c r="B1799" s="18" t="n">
        <v>1</v>
      </c>
      <c r="C1799" s="18" t="n">
        <v>2023</v>
      </c>
      <c r="D1799" s="18" t="n">
        <v>2023</v>
      </c>
      <c r="E1799" s="18" t="inlineStr">
        <is>
          <t>Barbie</t>
        </is>
      </c>
      <c r="F1799" s="18" t="inlineStr">
        <is>
          <t>F0041</t>
        </is>
      </c>
    </row>
    <row r="1800" ht="15.75" customHeight="1" s="108">
      <c r="A1800" s="18" t="inlineStr">
        <is>
          <t>Ritu Arya</t>
        </is>
      </c>
      <c r="B1800" s="18" t="n">
        <v>1</v>
      </c>
      <c r="C1800" s="18" t="n">
        <v>2023</v>
      </c>
      <c r="D1800" s="18" t="n">
        <v>2023</v>
      </c>
      <c r="E1800" s="18" t="inlineStr">
        <is>
          <t>Barbie</t>
        </is>
      </c>
      <c r="F1800" s="18" t="inlineStr">
        <is>
          <t>F0041</t>
        </is>
      </c>
    </row>
    <row r="1801" ht="15.75" customHeight="1" s="108">
      <c r="A1801" s="18" t="inlineStr">
        <is>
          <t>Dua Lipa</t>
        </is>
      </c>
      <c r="B1801" s="18" t="n">
        <v>1</v>
      </c>
      <c r="C1801" s="18" t="n">
        <v>2023</v>
      </c>
      <c r="D1801" s="18" t="n">
        <v>2023</v>
      </c>
      <c r="E1801" s="18" t="inlineStr">
        <is>
          <t>Barbie</t>
        </is>
      </c>
      <c r="F1801" s="18" t="inlineStr">
        <is>
          <t>F0041</t>
        </is>
      </c>
    </row>
    <row r="1802" ht="15.75" customHeight="1" s="108">
      <c r="A1802" s="18" t="inlineStr">
        <is>
          <t>Nicola Coughlan</t>
        </is>
      </c>
      <c r="B1802" s="18" t="n">
        <v>1</v>
      </c>
      <c r="C1802" s="18" t="n">
        <v>2023</v>
      </c>
      <c r="D1802" s="18" t="n">
        <v>2023</v>
      </c>
      <c r="E1802" s="18" t="inlineStr">
        <is>
          <t>Barbie</t>
        </is>
      </c>
      <c r="F1802" s="18" t="inlineStr">
        <is>
          <t>F0041</t>
        </is>
      </c>
    </row>
    <row r="1803" ht="15.75" customHeight="1" s="108">
      <c r="A1803" s="18" t="inlineStr">
        <is>
          <t>Emerald Fennell</t>
        </is>
      </c>
      <c r="B1803" s="18" t="n">
        <v>1</v>
      </c>
      <c r="C1803" s="18" t="n">
        <v>2023</v>
      </c>
      <c r="D1803" s="18" t="n">
        <v>2023</v>
      </c>
      <c r="E1803" s="18" t="inlineStr">
        <is>
          <t>Barbie</t>
        </is>
      </c>
      <c r="F1803" s="18" t="inlineStr">
        <is>
          <t>F0041</t>
        </is>
      </c>
    </row>
    <row r="1804" ht="15.75" customHeight="1" s="108">
      <c r="A1804" s="18" t="inlineStr">
        <is>
          <t>Simu Liu</t>
        </is>
      </c>
      <c r="B1804" s="18" t="n">
        <v>1</v>
      </c>
      <c r="C1804" s="18" t="n">
        <v>2023</v>
      </c>
      <c r="D1804" s="18" t="n">
        <v>2023</v>
      </c>
      <c r="E1804" s="18" t="inlineStr">
        <is>
          <t>Barbie</t>
        </is>
      </c>
      <c r="F1804" s="18" t="inlineStr">
        <is>
          <t>F0041</t>
        </is>
      </c>
    </row>
    <row r="1805" ht="15.75" customHeight="1" s="108">
      <c r="A1805" s="18" t="inlineStr">
        <is>
          <t>Kingsley Ben-Adir</t>
        </is>
      </c>
      <c r="B1805" s="18" t="n">
        <v>1</v>
      </c>
      <c r="C1805" s="18" t="n">
        <v>2023</v>
      </c>
      <c r="D1805" s="18" t="n">
        <v>2023</v>
      </c>
      <c r="E1805" s="18" t="inlineStr">
        <is>
          <t>Barbie</t>
        </is>
      </c>
      <c r="F1805" s="18" t="inlineStr">
        <is>
          <t>F0041</t>
        </is>
      </c>
    </row>
    <row r="1806" ht="15.75" customHeight="1" s="108">
      <c r="A1806" s="18" t="inlineStr">
        <is>
          <t>Ncuti Gatwa</t>
        </is>
      </c>
      <c r="B1806" s="18" t="n">
        <v>1</v>
      </c>
      <c r="C1806" s="18" t="n">
        <v>2023</v>
      </c>
      <c r="D1806" s="18" t="n">
        <v>2023</v>
      </c>
      <c r="E1806" s="18" t="inlineStr">
        <is>
          <t>Barbie</t>
        </is>
      </c>
      <c r="F1806" s="18" t="inlineStr">
        <is>
          <t>F0041</t>
        </is>
      </c>
    </row>
    <row r="1807" ht="15.75" customHeight="1" s="108">
      <c r="A1807" s="18" t="inlineStr">
        <is>
          <t>Scott Evans</t>
        </is>
      </c>
      <c r="B1807" s="18" t="n">
        <v>1</v>
      </c>
      <c r="C1807" s="18" t="n">
        <v>2023</v>
      </c>
      <c r="D1807" s="18" t="n">
        <v>2023</v>
      </c>
      <c r="E1807" s="18" t="inlineStr">
        <is>
          <t>Barbie</t>
        </is>
      </c>
      <c r="F1807" s="18" t="inlineStr">
        <is>
          <t>F0041</t>
        </is>
      </c>
    </row>
    <row r="1808" ht="15.75" customHeight="1" s="108">
      <c r="A1808" s="18" t="inlineStr">
        <is>
          <t>Rhea Perlman</t>
        </is>
      </c>
      <c r="B1808" s="18" t="n">
        <v>2</v>
      </c>
      <c r="C1808" s="18" t="n">
        <v>2016</v>
      </c>
      <c r="D1808" s="18" t="n">
        <v>2023</v>
      </c>
      <c r="E1808" s="18" t="inlineStr">
        <is>
          <t>Barbie, Sing</t>
        </is>
      </c>
      <c r="F1808" s="18" t="inlineStr">
        <is>
          <t>F0041, F0280</t>
        </is>
      </c>
    </row>
    <row r="1809" ht="15.75" customHeight="1" s="108">
      <c r="A1809" s="18" t="inlineStr">
        <is>
          <t>Connor Swindells</t>
        </is>
      </c>
      <c r="B1809" s="18" t="n">
        <v>1</v>
      </c>
      <c r="C1809" s="18" t="n">
        <v>2023</v>
      </c>
      <c r="D1809" s="18" t="n">
        <v>2023</v>
      </c>
      <c r="E1809" s="18" t="inlineStr">
        <is>
          <t>Barbie</t>
        </is>
      </c>
      <c r="F1809" s="18" t="inlineStr">
        <is>
          <t>F0041</t>
        </is>
      </c>
    </row>
    <row r="1810" ht="15.75" customHeight="1" s="108">
      <c r="A1810" s="18" t="inlineStr">
        <is>
          <t>Jamie Demetriou</t>
        </is>
      </c>
      <c r="B1810" s="18" t="n">
        <v>1</v>
      </c>
      <c r="C1810" s="18" t="n">
        <v>2023</v>
      </c>
      <c r="D1810" s="18" t="n">
        <v>2023</v>
      </c>
      <c r="E1810" s="18" t="inlineStr">
        <is>
          <t>Barbie</t>
        </is>
      </c>
      <c r="F1810" s="18" t="inlineStr">
        <is>
          <t>F0041</t>
        </is>
      </c>
    </row>
    <row r="1811" ht="15.75" customHeight="1" s="108">
      <c r="A1811" s="18" t="inlineStr">
        <is>
          <t>Andrew Leung</t>
        </is>
      </c>
      <c r="B1811" s="18" t="n">
        <v>1</v>
      </c>
      <c r="C1811" s="18" t="n">
        <v>2023</v>
      </c>
      <c r="D1811" s="18" t="n">
        <v>2023</v>
      </c>
      <c r="E1811" s="18" t="inlineStr">
        <is>
          <t>Barbie</t>
        </is>
      </c>
      <c r="F1811" s="18" t="inlineStr">
        <is>
          <t>F0041</t>
        </is>
      </c>
    </row>
    <row r="1812" ht="15.75" customHeight="1" s="108">
      <c r="A1812" s="18" t="inlineStr">
        <is>
          <t>Will Merrick</t>
        </is>
      </c>
      <c r="B1812" s="18" t="n">
        <v>2</v>
      </c>
      <c r="C1812" s="18" t="n">
        <v>2023</v>
      </c>
      <c r="D1812" s="18" t="n">
        <v>2025</v>
      </c>
      <c r="E1812" s="18" t="inlineStr">
        <is>
          <t>Barbie, F1</t>
        </is>
      </c>
      <c r="F1812" s="18" t="inlineStr">
        <is>
          <t>F0041, F0098</t>
        </is>
      </c>
    </row>
    <row r="1813" ht="15.75" customHeight="1" s="108">
      <c r="A1813" s="18" t="inlineStr">
        <is>
          <t>Zheng Xi Yong</t>
        </is>
      </c>
      <c r="B1813" s="18" t="n">
        <v>1</v>
      </c>
      <c r="C1813" s="18" t="n">
        <v>2023</v>
      </c>
      <c r="D1813" s="18" t="n">
        <v>2023</v>
      </c>
      <c r="E1813" s="18" t="inlineStr">
        <is>
          <t>Barbie</t>
        </is>
      </c>
      <c r="F1813" s="18" t="inlineStr">
        <is>
          <t>F0041</t>
        </is>
      </c>
    </row>
    <row r="1814" ht="15.75" customHeight="1" s="108">
      <c r="A1814" s="18" t="inlineStr">
        <is>
          <t>Asim Chaudhry</t>
        </is>
      </c>
      <c r="B1814" s="18" t="n">
        <v>1</v>
      </c>
      <c r="C1814" s="18" t="n">
        <v>2023</v>
      </c>
      <c r="D1814" s="18" t="n">
        <v>2023</v>
      </c>
      <c r="E1814" s="18" t="inlineStr">
        <is>
          <t>Barbie</t>
        </is>
      </c>
      <c r="F1814" s="18" t="inlineStr">
        <is>
          <t>F0041</t>
        </is>
      </c>
    </row>
    <row r="1815" ht="15.75" customHeight="1" s="108">
      <c r="A1815" s="18" t="inlineStr">
        <is>
          <t>Barry Keoghan</t>
        </is>
      </c>
      <c r="B1815" s="18" t="n">
        <v>1</v>
      </c>
      <c r="C1815" s="18" t="n">
        <v>2022</v>
      </c>
      <c r="D1815" s="18" t="n">
        <v>2022</v>
      </c>
      <c r="E1815" s="18" t="inlineStr">
        <is>
          <t>The Batman</t>
        </is>
      </c>
      <c r="F1815" s="18" t="inlineStr">
        <is>
          <t>F0042</t>
        </is>
      </c>
    </row>
    <row r="1816" ht="15.75" customHeight="1" s="108">
      <c r="A1816" s="18" t="inlineStr">
        <is>
          <t>Jayme Lawson</t>
        </is>
      </c>
      <c r="B1816" s="18" t="n">
        <v>1</v>
      </c>
      <c r="C1816" s="18" t="n">
        <v>2022</v>
      </c>
      <c r="D1816" s="18" t="n">
        <v>2022</v>
      </c>
      <c r="E1816" s="18" t="inlineStr">
        <is>
          <t>The Batman</t>
        </is>
      </c>
      <c r="F1816" s="18" t="inlineStr">
        <is>
          <t>F0042</t>
        </is>
      </c>
    </row>
    <row r="1817" ht="15.75" customHeight="1" s="108">
      <c r="A1817" s="18" t="inlineStr">
        <is>
          <t>Gil Perez-Abraham</t>
        </is>
      </c>
      <c r="B1817" s="18" t="n">
        <v>1</v>
      </c>
      <c r="C1817" s="18" t="n">
        <v>2022</v>
      </c>
      <c r="D1817" s="18" t="n">
        <v>2022</v>
      </c>
      <c r="E1817" s="18" t="inlineStr">
        <is>
          <t>The Batman</t>
        </is>
      </c>
      <c r="F1817" s="18" t="inlineStr">
        <is>
          <t>F0042</t>
        </is>
      </c>
    </row>
    <row r="1818" ht="15.75" customHeight="1" s="108">
      <c r="A1818" s="18" t="inlineStr">
        <is>
          <t>Peter McDonald</t>
        </is>
      </c>
      <c r="B1818" s="18" t="n">
        <v>1</v>
      </c>
      <c r="C1818" s="18" t="n">
        <v>2022</v>
      </c>
      <c r="D1818" s="18" t="n">
        <v>2022</v>
      </c>
      <c r="E1818" s="18" t="inlineStr">
        <is>
          <t>The Batman</t>
        </is>
      </c>
      <c r="F1818" s="18" t="inlineStr">
        <is>
          <t>F0042</t>
        </is>
      </c>
    </row>
    <row r="1819" ht="15.75" customHeight="1" s="108">
      <c r="A1819" s="18" t="inlineStr">
        <is>
          <t>Con O'Neill</t>
        </is>
      </c>
      <c r="B1819" s="18" t="n">
        <v>1</v>
      </c>
      <c r="C1819" s="18" t="n">
        <v>2022</v>
      </c>
      <c r="D1819" s="18" t="n">
        <v>2022</v>
      </c>
      <c r="E1819" s="18" t="inlineStr">
        <is>
          <t>The Batman</t>
        </is>
      </c>
      <c r="F1819" s="18" t="inlineStr">
        <is>
          <t>F0042</t>
        </is>
      </c>
    </row>
    <row r="1820" ht="15.75" customHeight="1" s="108">
      <c r="A1820" s="18" t="inlineStr">
        <is>
          <t>Alex Ferns</t>
        </is>
      </c>
      <c r="B1820" s="18" t="n">
        <v>2</v>
      </c>
      <c r="C1820" s="18" t="n">
        <v>2022</v>
      </c>
      <c r="D1820" s="18" t="n">
        <v>2024</v>
      </c>
      <c r="E1820" s="18" t="inlineStr">
        <is>
          <t>The Batman, godzilla x kong  the new empire</t>
        </is>
      </c>
      <c r="F1820" s="18" t="inlineStr">
        <is>
          <t>F0042, F0372</t>
        </is>
      </c>
    </row>
    <row r="1821" ht="15.75" customHeight="1" s="108">
      <c r="A1821" s="18" t="inlineStr">
        <is>
          <t>Rupert Penry-Jones</t>
        </is>
      </c>
      <c r="B1821" s="18" t="n">
        <v>1</v>
      </c>
      <c r="C1821" s="18" t="n">
        <v>2022</v>
      </c>
      <c r="D1821" s="18" t="n">
        <v>2022</v>
      </c>
      <c r="E1821" s="18" t="inlineStr">
        <is>
          <t>The Batman</t>
        </is>
      </c>
      <c r="F1821" s="18" t="inlineStr">
        <is>
          <t>F0042</t>
        </is>
      </c>
    </row>
    <row r="1822" ht="15.75" customHeight="1" s="108">
      <c r="A1822" s="18" t="inlineStr">
        <is>
          <t>Kosha Engler</t>
        </is>
      </c>
      <c r="B1822" s="18" t="n">
        <v>1</v>
      </c>
      <c r="C1822" s="18" t="n">
        <v>2022</v>
      </c>
      <c r="D1822" s="18" t="n">
        <v>2022</v>
      </c>
      <c r="E1822" s="18" t="inlineStr">
        <is>
          <t>The Batman</t>
        </is>
      </c>
      <c r="F1822" s="18" t="inlineStr">
        <is>
          <t>F0042</t>
        </is>
      </c>
    </row>
    <row r="1823" ht="15.75" customHeight="1" s="108">
      <c r="A1823" s="18" t="inlineStr">
        <is>
          <t>Archie Barnes</t>
        </is>
      </c>
      <c r="B1823" s="18" t="n">
        <v>1</v>
      </c>
      <c r="C1823" s="18" t="n">
        <v>2022</v>
      </c>
      <c r="D1823" s="18" t="n">
        <v>2022</v>
      </c>
      <c r="E1823" s="18" t="inlineStr">
        <is>
          <t>The Batman</t>
        </is>
      </c>
      <c r="F1823" s="18" t="inlineStr">
        <is>
          <t>F0042</t>
        </is>
      </c>
    </row>
    <row r="1824" ht="15.75" customHeight="1" s="108">
      <c r="A1824" s="18" t="inlineStr">
        <is>
          <t>Janine Harouni</t>
        </is>
      </c>
      <c r="B1824" s="18" t="n">
        <v>1</v>
      </c>
      <c r="C1824" s="18" t="n">
        <v>2022</v>
      </c>
      <c r="D1824" s="18" t="n">
        <v>2022</v>
      </c>
      <c r="E1824" s="18" t="inlineStr">
        <is>
          <t>The Batman</t>
        </is>
      </c>
      <c r="F1824" s="18" t="inlineStr">
        <is>
          <t>F0042</t>
        </is>
      </c>
    </row>
    <row r="1825" ht="15.75" customHeight="1" s="108">
      <c r="A1825" s="18" t="inlineStr">
        <is>
          <t>Hana Hrzic</t>
        </is>
      </c>
      <c r="B1825" s="18" t="n">
        <v>1</v>
      </c>
      <c r="C1825" s="18" t="n">
        <v>2022</v>
      </c>
      <c r="D1825" s="18" t="n">
        <v>2022</v>
      </c>
      <c r="E1825" s="18" t="inlineStr">
        <is>
          <t>The Batman</t>
        </is>
      </c>
      <c r="F1825" s="18" t="inlineStr">
        <is>
          <t>F0042</t>
        </is>
      </c>
    </row>
    <row r="1826" ht="15.75" customHeight="1" s="108">
      <c r="A1826" s="18" t="inlineStr">
        <is>
          <t>Joseph Walker</t>
        </is>
      </c>
      <c r="B1826" s="18" t="n">
        <v>1</v>
      </c>
      <c r="C1826" s="18" t="n">
        <v>2022</v>
      </c>
      <c r="D1826" s="18" t="n">
        <v>2022</v>
      </c>
      <c r="E1826" s="18" t="inlineStr">
        <is>
          <t>The Batman</t>
        </is>
      </c>
      <c r="F1826" s="18" t="inlineStr">
        <is>
          <t>F0042</t>
        </is>
      </c>
    </row>
    <row r="1827" ht="15.75" customHeight="1" s="108">
      <c r="A1827" s="18" t="inlineStr">
        <is>
          <t>Luke Roberts</t>
        </is>
      </c>
      <c r="B1827" s="18" t="n">
        <v>1</v>
      </c>
      <c r="C1827" s="18" t="n">
        <v>2022</v>
      </c>
      <c r="D1827" s="18" t="n">
        <v>2022</v>
      </c>
      <c r="E1827" s="18" t="inlineStr">
        <is>
          <t>The Batman</t>
        </is>
      </c>
      <c r="F1827" s="18" t="inlineStr">
        <is>
          <t>F0042</t>
        </is>
      </c>
    </row>
    <row r="1828" ht="15.75" customHeight="1" s="108">
      <c r="A1828" s="18" t="inlineStr">
        <is>
          <t>Oscar Novak</t>
        </is>
      </c>
      <c r="B1828" s="18" t="n">
        <v>1</v>
      </c>
      <c r="C1828" s="18" t="n">
        <v>2022</v>
      </c>
      <c r="D1828" s="18" t="n">
        <v>2022</v>
      </c>
      <c r="E1828" s="18" t="inlineStr">
        <is>
          <t>The Batman</t>
        </is>
      </c>
      <c r="F1828" s="18" t="inlineStr">
        <is>
          <t>F0042</t>
        </is>
      </c>
    </row>
    <row r="1829" ht="15.75" customHeight="1" s="108">
      <c r="A1829" s="18" t="inlineStr">
        <is>
          <t>Stella Stocker</t>
        </is>
      </c>
      <c r="B1829" s="18" t="n">
        <v>2</v>
      </c>
      <c r="C1829" s="18" t="n">
        <v>2014</v>
      </c>
      <c r="D1829" s="18" t="n">
        <v>2022</v>
      </c>
      <c r="E1829" s="18" t="inlineStr">
        <is>
          <t>The Batman, Fury</t>
        </is>
      </c>
      <c r="F1829" s="18" t="inlineStr">
        <is>
          <t>F0042, F0117</t>
        </is>
      </c>
    </row>
    <row r="1830" ht="15.75" customHeight="1" s="108">
      <c r="A1830" s="18" t="inlineStr">
        <is>
          <t>Sandra Dickinson</t>
        </is>
      </c>
      <c r="B1830" s="18" t="n">
        <v>2</v>
      </c>
      <c r="C1830" s="18" t="n">
        <v>2018</v>
      </c>
      <c r="D1830" s="18" t="n">
        <v>2022</v>
      </c>
      <c r="E1830" s="18" t="inlineStr">
        <is>
          <t>The Batman, Ready player one</t>
        </is>
      </c>
      <c r="F1830" s="18" t="inlineStr">
        <is>
          <t>F0042, F0352</t>
        </is>
      </c>
    </row>
    <row r="1831" ht="15.75" customHeight="1" s="108">
      <c r="A1831" s="18" t="inlineStr">
        <is>
          <t>Jack Bennett</t>
        </is>
      </c>
      <c r="B1831" s="18" t="n">
        <v>1</v>
      </c>
      <c r="C1831" s="18" t="n">
        <v>2022</v>
      </c>
      <c r="D1831" s="18" t="n">
        <v>2022</v>
      </c>
      <c r="E1831" s="18" t="inlineStr">
        <is>
          <t>The Batman</t>
        </is>
      </c>
      <c r="F1831" s="18" t="inlineStr">
        <is>
          <t>F0042</t>
        </is>
      </c>
    </row>
    <row r="1832" ht="15.75" customHeight="1" s="108">
      <c r="A1832" s="18" t="inlineStr">
        <is>
          <t>Andre Nightingale</t>
        </is>
      </c>
      <c r="B1832" s="18" t="n">
        <v>1</v>
      </c>
      <c r="C1832" s="18" t="n">
        <v>2022</v>
      </c>
      <c r="D1832" s="18" t="n">
        <v>2022</v>
      </c>
      <c r="E1832" s="18" t="inlineStr">
        <is>
          <t>The Batman</t>
        </is>
      </c>
      <c r="F1832" s="18" t="inlineStr">
        <is>
          <t>F0042</t>
        </is>
      </c>
    </row>
    <row r="1833" ht="15.75" customHeight="1" s="108">
      <c r="A1833" s="18" t="inlineStr">
        <is>
          <t>Richard James-Neale</t>
        </is>
      </c>
      <c r="B1833" s="18" t="n">
        <v>1</v>
      </c>
      <c r="C1833" s="18" t="n">
        <v>2022</v>
      </c>
      <c r="D1833" s="18" t="n">
        <v>2022</v>
      </c>
      <c r="E1833" s="18" t="inlineStr">
        <is>
          <t>The Batman</t>
        </is>
      </c>
      <c r="F1833" s="18" t="inlineStr">
        <is>
          <t>F0042</t>
        </is>
      </c>
    </row>
    <row r="1834" ht="15.75" customHeight="1" s="108">
      <c r="A1834" s="18" t="inlineStr">
        <is>
          <t>Lorraine Tai</t>
        </is>
      </c>
      <c r="B1834" s="18" t="n">
        <v>1</v>
      </c>
      <c r="C1834" s="18" t="n">
        <v>2022</v>
      </c>
      <c r="D1834" s="18" t="n">
        <v>2022</v>
      </c>
      <c r="E1834" s="18" t="inlineStr">
        <is>
          <t>The Batman</t>
        </is>
      </c>
      <c r="F1834" s="18" t="inlineStr">
        <is>
          <t>F0042</t>
        </is>
      </c>
    </row>
    <row r="1835" ht="15.75" customHeight="1" s="108">
      <c r="A1835" s="18" t="inlineStr">
        <is>
          <t>Joseph Balderrama</t>
        </is>
      </c>
      <c r="B1835" s="18" t="n">
        <v>2</v>
      </c>
      <c r="C1835" s="18" t="n">
        <v>2022</v>
      </c>
      <c r="D1835" s="18" t="n">
        <v>2025</v>
      </c>
      <c r="E1835" s="18" t="inlineStr">
        <is>
          <t>The Batman, F1</t>
        </is>
      </c>
      <c r="F1835" s="18" t="inlineStr">
        <is>
          <t>F0042, F0098</t>
        </is>
      </c>
    </row>
    <row r="1836" ht="15.75" customHeight="1" s="108">
      <c r="A1836" s="18" t="inlineStr">
        <is>
          <t>James Eeles</t>
        </is>
      </c>
      <c r="B1836" s="18" t="n">
        <v>1</v>
      </c>
      <c r="C1836" s="18" t="n">
        <v>2022</v>
      </c>
      <c r="D1836" s="18" t="n">
        <v>2022</v>
      </c>
      <c r="E1836" s="18" t="inlineStr">
        <is>
          <t>The Batman</t>
        </is>
      </c>
      <c r="F1836" s="18" t="inlineStr">
        <is>
          <t>F0042</t>
        </is>
      </c>
    </row>
    <row r="1837" ht="15.75" customHeight="1" s="108">
      <c r="A1837" s="18" t="inlineStr">
        <is>
          <t>Rutger Hauer</t>
        </is>
      </c>
      <c r="B1837" s="18" t="n">
        <v>2</v>
      </c>
      <c r="C1837" s="18" t="n">
        <v>1982</v>
      </c>
      <c r="D1837" s="18" t="n">
        <v>2005</v>
      </c>
      <c r="E1837" s="18" t="inlineStr">
        <is>
          <t>Batman Begins, blade runner</t>
        </is>
      </c>
      <c r="F1837" s="18" t="inlineStr">
        <is>
          <t>F0043, F0365</t>
        </is>
      </c>
    </row>
    <row r="1838" ht="15.75" customHeight="1" s="108">
      <c r="A1838" s="18" t="inlineStr">
        <is>
          <t>Mark Boone Junior</t>
        </is>
      </c>
      <c r="B1838" s="18" t="n">
        <v>3</v>
      </c>
      <c r="C1838" s="18" t="n">
        <v>2003</v>
      </c>
      <c r="D1838" s="18" t="n">
        <v>2009</v>
      </c>
      <c r="E1838" s="18" t="inlineStr">
        <is>
          <t>Batman Begins, 2 Fast 2 Furious, Fast &amp; Furious</t>
        </is>
      </c>
      <c r="F1838" s="18" t="inlineStr">
        <is>
          <t>F0043, F0102, F0104</t>
        </is>
      </c>
    </row>
    <row r="1839" ht="15.75" customHeight="1" s="108">
      <c r="A1839" s="18" t="inlineStr">
        <is>
          <t>Linus Roache</t>
        </is>
      </c>
      <c r="B1839" s="18" t="n">
        <v>1</v>
      </c>
      <c r="C1839" s="18" t="n">
        <v>2005</v>
      </c>
      <c r="D1839" s="18" t="n">
        <v>2005</v>
      </c>
      <c r="E1839" s="18" t="inlineStr">
        <is>
          <t>Batman Begins</t>
        </is>
      </c>
      <c r="F1839" s="18" t="inlineStr">
        <is>
          <t>F0043</t>
        </is>
      </c>
    </row>
    <row r="1840" ht="15.75" customHeight="1" s="108">
      <c r="A1840" s="18" t="inlineStr">
        <is>
          <t>Larry Holden</t>
        </is>
      </c>
      <c r="B1840" s="18" t="n">
        <v>1</v>
      </c>
      <c r="C1840" s="18" t="n">
        <v>2005</v>
      </c>
      <c r="D1840" s="18" t="n">
        <v>2005</v>
      </c>
      <c r="E1840" s="18" t="inlineStr">
        <is>
          <t>Batman Begins</t>
        </is>
      </c>
      <c r="F1840" s="18" t="inlineStr">
        <is>
          <t>F0043</t>
        </is>
      </c>
    </row>
    <row r="1841" ht="15.75" customHeight="1" s="108">
      <c r="A1841" s="18" t="inlineStr">
        <is>
          <t>Gerard Murphy</t>
        </is>
      </c>
      <c r="B1841" s="18" t="n">
        <v>1</v>
      </c>
      <c r="C1841" s="18" t="n">
        <v>2005</v>
      </c>
      <c r="D1841" s="18" t="n">
        <v>2005</v>
      </c>
      <c r="E1841" s="18" t="inlineStr">
        <is>
          <t>Batman Begins</t>
        </is>
      </c>
      <c r="F1841" s="18" t="inlineStr">
        <is>
          <t>F0043</t>
        </is>
      </c>
    </row>
    <row r="1842" ht="15.75" customHeight="1" s="108">
      <c r="A1842" s="18" t="inlineStr">
        <is>
          <t>Colin McFarlane</t>
        </is>
      </c>
      <c r="B1842" s="18" t="n">
        <v>2</v>
      </c>
      <c r="C1842" s="18" t="n">
        <v>2005</v>
      </c>
      <c r="D1842" s="18" t="n">
        <v>2008</v>
      </c>
      <c r="E1842" s="18" t="inlineStr">
        <is>
          <t>Batman Begins, The Dark Knight</t>
        </is>
      </c>
      <c r="F1842" s="18" t="inlineStr">
        <is>
          <t>F0043, F0044</t>
        </is>
      </c>
    </row>
    <row r="1843" ht="15.75" customHeight="1" s="108">
      <c r="A1843" s="18" t="inlineStr">
        <is>
          <t>Sara Stewart</t>
        </is>
      </c>
      <c r="B1843" s="18" t="n">
        <v>2</v>
      </c>
      <c r="C1843" s="18" t="n">
        <v>2005</v>
      </c>
      <c r="D1843" s="18" t="n">
        <v>2017</v>
      </c>
      <c r="E1843" s="18" t="inlineStr">
        <is>
          <t>Batman Begins, Transformers: The Last Knight</t>
        </is>
      </c>
      <c r="F1843" s="18" t="inlineStr">
        <is>
          <t>F0043, F0320</t>
        </is>
      </c>
    </row>
    <row r="1844" ht="15.75" customHeight="1" s="108">
      <c r="A1844" s="18" t="inlineStr">
        <is>
          <t>Gus Lewis</t>
        </is>
      </c>
      <c r="B1844" s="18" t="n">
        <v>1</v>
      </c>
      <c r="C1844" s="18" t="n">
        <v>2005</v>
      </c>
      <c r="D1844" s="18" t="n">
        <v>2005</v>
      </c>
      <c r="E1844" s="18" t="inlineStr">
        <is>
          <t>Batman Begins</t>
        </is>
      </c>
      <c r="F1844" s="18" t="inlineStr">
        <is>
          <t>F0043</t>
        </is>
      </c>
    </row>
    <row r="1845" ht="15.75" customHeight="1" s="108">
      <c r="A1845" s="18" t="inlineStr">
        <is>
          <t>Richard Brake</t>
        </is>
      </c>
      <c r="B1845" s="18" t="n">
        <v>2</v>
      </c>
      <c r="C1845" s="18" t="n">
        <v>2005</v>
      </c>
      <c r="D1845" s="18" t="n">
        <v>2015</v>
      </c>
      <c r="E1845" s="18" t="inlineStr">
        <is>
          <t>Batman Begins, Spy</t>
        </is>
      </c>
      <c r="F1845" s="18" t="inlineStr">
        <is>
          <t>F0043, F0290</t>
        </is>
      </c>
    </row>
    <row r="1846" ht="15.75" customHeight="1" s="108">
      <c r="A1846" s="18" t="inlineStr">
        <is>
          <t>Rade Šerbedžija</t>
        </is>
      </c>
      <c r="B1846" s="18" t="n">
        <v>5</v>
      </c>
      <c r="C1846" s="18" t="n">
        <v>2000</v>
      </c>
      <c r="D1846" s="18" t="n">
        <v>2014</v>
      </c>
      <c r="E1846" s="18" t="inlineStr">
        <is>
          <t>Batman Begins, The Legend of Hercules, Mission: Impossible II, Taken 2, X-Men: First Class</t>
        </is>
      </c>
      <c r="F1846" s="18" t="inlineStr">
        <is>
          <t>F0043, F0148, F0222, F0307, F0340</t>
        </is>
      </c>
    </row>
    <row r="1847" ht="15.75" customHeight="1" s="108">
      <c r="A1847" s="18" t="inlineStr">
        <is>
          <t>Emma Lockhart</t>
        </is>
      </c>
      <c r="B1847" s="18" t="n">
        <v>1</v>
      </c>
      <c r="C1847" s="18" t="n">
        <v>2005</v>
      </c>
      <c r="D1847" s="18" t="n">
        <v>2005</v>
      </c>
      <c r="E1847" s="18" t="inlineStr">
        <is>
          <t>Batman Begins</t>
        </is>
      </c>
      <c r="F1847" s="18" t="inlineStr">
        <is>
          <t>F0043</t>
        </is>
      </c>
    </row>
    <row r="1848" ht="15.75" customHeight="1" s="108">
      <c r="A1848" s="18" t="inlineStr">
        <is>
          <t>Christine Adams</t>
        </is>
      </c>
      <c r="B1848" s="18" t="n">
        <v>1</v>
      </c>
      <c r="C1848" s="18" t="n">
        <v>2005</v>
      </c>
      <c r="D1848" s="18" t="n">
        <v>2005</v>
      </c>
      <c r="E1848" s="18" t="inlineStr">
        <is>
          <t>Batman Begins</t>
        </is>
      </c>
      <c r="F1848" s="18" t="inlineStr">
        <is>
          <t>F0043</t>
        </is>
      </c>
    </row>
    <row r="1849" ht="15.75" customHeight="1" s="108">
      <c r="A1849" s="18" t="inlineStr">
        <is>
          <t>Catherine Porter</t>
        </is>
      </c>
      <c r="B1849" s="18" t="n">
        <v>1</v>
      </c>
      <c r="C1849" s="18" t="n">
        <v>2005</v>
      </c>
      <c r="D1849" s="18" t="n">
        <v>2005</v>
      </c>
      <c r="E1849" s="18" t="inlineStr">
        <is>
          <t>Batman Begins</t>
        </is>
      </c>
      <c r="F1849" s="18" t="inlineStr">
        <is>
          <t>F0043</t>
        </is>
      </c>
    </row>
    <row r="1850" ht="15.75" customHeight="1" s="108">
      <c r="A1850" s="18" t="inlineStr">
        <is>
          <t>John Nolan</t>
        </is>
      </c>
      <c r="B1850" s="18" t="n">
        <v>1</v>
      </c>
      <c r="C1850" s="18" t="n">
        <v>2005</v>
      </c>
      <c r="D1850" s="18" t="n">
        <v>2005</v>
      </c>
      <c r="E1850" s="18" t="inlineStr">
        <is>
          <t>Batman Begins</t>
        </is>
      </c>
      <c r="F1850" s="18" t="inlineStr">
        <is>
          <t>F0043</t>
        </is>
      </c>
    </row>
    <row r="1851" ht="15.75" customHeight="1" s="108">
      <c r="A1851" s="18" t="inlineStr">
        <is>
          <t>Karen David</t>
        </is>
      </c>
      <c r="B1851" s="18" t="n">
        <v>1</v>
      </c>
      <c r="C1851" s="18" t="n">
        <v>2005</v>
      </c>
      <c r="D1851" s="18" t="n">
        <v>2005</v>
      </c>
      <c r="E1851" s="18" t="inlineStr">
        <is>
          <t>Batman Begins</t>
        </is>
      </c>
      <c r="F1851" s="18" t="inlineStr">
        <is>
          <t>F0043</t>
        </is>
      </c>
    </row>
    <row r="1852" ht="15.75" customHeight="1" s="108">
      <c r="A1852" s="18" t="inlineStr">
        <is>
          <t>Jonathan D. Ellis</t>
        </is>
      </c>
      <c r="B1852" s="18" t="n">
        <v>1</v>
      </c>
      <c r="C1852" s="18" t="n">
        <v>2005</v>
      </c>
      <c r="D1852" s="18" t="n">
        <v>2005</v>
      </c>
      <c r="E1852" s="18" t="inlineStr">
        <is>
          <t>Batman Begins</t>
        </is>
      </c>
      <c r="F1852" s="18" t="inlineStr">
        <is>
          <t>F0043</t>
        </is>
      </c>
    </row>
    <row r="1853" ht="15.75" customHeight="1" s="108">
      <c r="A1853" s="18" t="inlineStr">
        <is>
          <t>Tamer Hassan</t>
        </is>
      </c>
      <c r="B1853" s="18" t="n">
        <v>1</v>
      </c>
      <c r="C1853" s="18" t="n">
        <v>2005</v>
      </c>
      <c r="D1853" s="18" t="n">
        <v>2005</v>
      </c>
      <c r="E1853" s="18" t="inlineStr">
        <is>
          <t>Batman Begins</t>
        </is>
      </c>
      <c r="F1853" s="18" t="inlineStr">
        <is>
          <t>F0043</t>
        </is>
      </c>
    </row>
    <row r="1854" ht="15.75" customHeight="1" s="108">
      <c r="A1854" s="18" t="inlineStr">
        <is>
          <t>Ronan Leahy</t>
        </is>
      </c>
      <c r="B1854" s="18" t="n">
        <v>1</v>
      </c>
      <c r="C1854" s="18" t="n">
        <v>2005</v>
      </c>
      <c r="D1854" s="18" t="n">
        <v>2005</v>
      </c>
      <c r="E1854" s="18" t="inlineStr">
        <is>
          <t>Batman Begins</t>
        </is>
      </c>
      <c r="F1854" s="18" t="inlineStr">
        <is>
          <t>F0043</t>
        </is>
      </c>
    </row>
    <row r="1855" ht="15.75" customHeight="1" s="108">
      <c r="A1855" s="18" t="inlineStr">
        <is>
          <t>Vincent Wong</t>
        </is>
      </c>
      <c r="B1855" s="18" t="n">
        <v>1</v>
      </c>
      <c r="C1855" s="18" t="n">
        <v>2005</v>
      </c>
      <c r="D1855" s="18" t="n">
        <v>2005</v>
      </c>
      <c r="E1855" s="18" t="inlineStr">
        <is>
          <t>Batman Begins</t>
        </is>
      </c>
      <c r="F1855" s="18" t="inlineStr">
        <is>
          <t>F0043</t>
        </is>
      </c>
    </row>
    <row r="1856" ht="15.75" customHeight="1" s="108">
      <c r="A1856" s="18" t="inlineStr">
        <is>
          <t>Tom Wu</t>
        </is>
      </c>
      <c r="B1856" s="18" t="n">
        <v>4</v>
      </c>
      <c r="C1856" s="18" t="n">
        <v>2005</v>
      </c>
      <c r="D1856" s="18" t="n">
        <v>2020</v>
      </c>
      <c r="E1856" s="18" t="inlineStr">
        <is>
          <t>Batman Begins, Fast &amp; Furious Presents: Hobbs &amp; Shaw, The Gentlemen, Kick-Ass 2</t>
        </is>
      </c>
      <c r="F1856" s="18" t="inlineStr">
        <is>
          <t>F0043, F0111, F0119, F0186</t>
        </is>
      </c>
    </row>
    <row r="1857" ht="15.75" customHeight="1" s="108">
      <c r="A1857" s="18" t="inlineStr">
        <is>
          <t>Mark Chiu</t>
        </is>
      </c>
      <c r="B1857" s="18" t="n">
        <v>1</v>
      </c>
      <c r="C1857" s="18" t="n">
        <v>2005</v>
      </c>
      <c r="D1857" s="18" t="n">
        <v>2005</v>
      </c>
      <c r="E1857" s="18" t="inlineStr">
        <is>
          <t>Batman Begins</t>
        </is>
      </c>
      <c r="F1857" s="18" t="inlineStr">
        <is>
          <t>F0043</t>
        </is>
      </c>
    </row>
    <row r="1858" ht="15.75" customHeight="1" s="108">
      <c r="A1858" s="18" t="inlineStr">
        <is>
          <t>Monique Gabriela Curnen</t>
        </is>
      </c>
      <c r="B1858" s="18" t="n">
        <v>2</v>
      </c>
      <c r="C1858" s="18" t="n">
        <v>2008</v>
      </c>
      <c r="D1858" s="18" t="n">
        <v>2009</v>
      </c>
      <c r="E1858" s="18" t="inlineStr">
        <is>
          <t>The Dark Knight, Fast &amp; Furious</t>
        </is>
      </c>
      <c r="F1858" s="18" t="inlineStr">
        <is>
          <t>F0044, F0104</t>
        </is>
      </c>
    </row>
    <row r="1859" ht="15.75" customHeight="1" s="108">
      <c r="A1859" s="18" t="inlineStr">
        <is>
          <t>Ron Dean</t>
        </is>
      </c>
      <c r="B1859" s="18" t="n">
        <v>2</v>
      </c>
      <c r="C1859" s="18" t="n">
        <v>1985</v>
      </c>
      <c r="D1859" s="18" t="n">
        <v>2008</v>
      </c>
      <c r="E1859" s="18" t="inlineStr">
        <is>
          <t>The Dark Knight, The Breakfast Club</t>
        </is>
      </c>
      <c r="F1859" s="18" t="inlineStr">
        <is>
          <t>F0044, F0057</t>
        </is>
      </c>
    </row>
    <row r="1860" ht="15.75" customHeight="1" s="108">
      <c r="A1860" s="18" t="inlineStr">
        <is>
          <t>Nestor Carbonell</t>
        </is>
      </c>
      <c r="B1860" s="18" t="n">
        <v>2</v>
      </c>
      <c r="C1860" s="18" t="n">
        <v>2008</v>
      </c>
      <c r="D1860" s="18" t="n">
        <v>2012</v>
      </c>
      <c r="E1860" s="18" t="inlineStr">
        <is>
          <t>The Dark Knight, The Dark Knight Rises</t>
        </is>
      </c>
      <c r="F1860" s="18" t="inlineStr">
        <is>
          <t>F0044, F0045</t>
        </is>
      </c>
    </row>
    <row r="1861" ht="15.75" customHeight="1" s="108">
      <c r="A1861" s="18" t="inlineStr">
        <is>
          <t>Ritchie Coster</t>
        </is>
      </c>
      <c r="B1861" s="18" t="n">
        <v>2</v>
      </c>
      <c r="C1861" s="18" t="n">
        <v>2008</v>
      </c>
      <c r="D1861" s="18" t="n">
        <v>2015</v>
      </c>
      <c r="E1861" s="18" t="inlineStr">
        <is>
          <t>The Dark Knight, Creed</t>
        </is>
      </c>
      <c r="F1861" s="18" t="inlineStr">
        <is>
          <t>F0044, F0074</t>
        </is>
      </c>
    </row>
    <row r="1862" ht="15.75" customHeight="1" s="108">
      <c r="A1862" s="18" t="inlineStr">
        <is>
          <t>Joshua Harto</t>
        </is>
      </c>
      <c r="B1862" s="18" t="n">
        <v>1</v>
      </c>
      <c r="C1862" s="18" t="n">
        <v>2008</v>
      </c>
      <c r="D1862" s="18" t="n">
        <v>2008</v>
      </c>
      <c r="E1862" s="18" t="inlineStr">
        <is>
          <t>The Dark Knight</t>
        </is>
      </c>
      <c r="F1862" s="18" t="inlineStr">
        <is>
          <t>F0044</t>
        </is>
      </c>
    </row>
    <row r="1863" ht="15.75" customHeight="1" s="108">
      <c r="A1863" s="18" t="inlineStr">
        <is>
          <t>Melinda McGraw</t>
        </is>
      </c>
      <c r="B1863" s="18" t="n">
        <v>1</v>
      </c>
      <c r="C1863" s="18" t="n">
        <v>2008</v>
      </c>
      <c r="D1863" s="18" t="n">
        <v>2008</v>
      </c>
      <c r="E1863" s="18" t="inlineStr">
        <is>
          <t>The Dark Knight</t>
        </is>
      </c>
      <c r="F1863" s="18" t="inlineStr">
        <is>
          <t>F0044</t>
        </is>
      </c>
    </row>
    <row r="1864" ht="15.75" customHeight="1" s="108">
      <c r="A1864" s="18" t="inlineStr">
        <is>
          <t>Nathan Gamble</t>
        </is>
      </c>
      <c r="B1864" s="18" t="n">
        <v>1</v>
      </c>
      <c r="C1864" s="18" t="n">
        <v>2008</v>
      </c>
      <c r="D1864" s="18" t="n">
        <v>2008</v>
      </c>
      <c r="E1864" s="18" t="inlineStr">
        <is>
          <t>The Dark Knight</t>
        </is>
      </c>
      <c r="F1864" s="18" t="inlineStr">
        <is>
          <t>F0044</t>
        </is>
      </c>
    </row>
    <row r="1865" ht="15.75" customHeight="1" s="108">
      <c r="A1865" s="18" t="inlineStr">
        <is>
          <t>Michael Vieau</t>
        </is>
      </c>
      <c r="B1865" s="18" t="n">
        <v>1</v>
      </c>
      <c r="C1865" s="18" t="n">
        <v>2008</v>
      </c>
      <c r="D1865" s="18" t="n">
        <v>2008</v>
      </c>
      <c r="E1865" s="18" t="inlineStr">
        <is>
          <t>The Dark Knight</t>
        </is>
      </c>
      <c r="F1865" s="18" t="inlineStr">
        <is>
          <t>F0044</t>
        </is>
      </c>
    </row>
    <row r="1866" ht="15.75" customHeight="1" s="108">
      <c r="A1866" s="18" t="inlineStr">
        <is>
          <t>Michael Stoyanov</t>
        </is>
      </c>
      <c r="B1866" s="18" t="n">
        <v>1</v>
      </c>
      <c r="C1866" s="18" t="n">
        <v>2008</v>
      </c>
      <c r="D1866" s="18" t="n">
        <v>2008</v>
      </c>
      <c r="E1866" s="18" t="inlineStr">
        <is>
          <t>The Dark Knight</t>
        </is>
      </c>
      <c r="F1866" s="18" t="inlineStr">
        <is>
          <t>F0044</t>
        </is>
      </c>
    </row>
    <row r="1867" ht="15.75" customHeight="1" s="108">
      <c r="A1867" s="18" t="inlineStr">
        <is>
          <t>William Smillie</t>
        </is>
      </c>
      <c r="B1867" s="18" t="n">
        <v>1</v>
      </c>
      <c r="C1867" s="18" t="n">
        <v>2008</v>
      </c>
      <c r="D1867" s="18" t="n">
        <v>2008</v>
      </c>
      <c r="E1867" s="18" t="inlineStr">
        <is>
          <t>The Dark Knight</t>
        </is>
      </c>
      <c r="F1867" s="18" t="inlineStr">
        <is>
          <t>F0044</t>
        </is>
      </c>
    </row>
    <row r="1868" ht="15.75" customHeight="1" s="108">
      <c r="A1868" s="18" t="inlineStr">
        <is>
          <t>Danny Goldring</t>
        </is>
      </c>
      <c r="B1868" s="18" t="n">
        <v>1</v>
      </c>
      <c r="C1868" s="18" t="n">
        <v>2008</v>
      </c>
      <c r="D1868" s="18" t="n">
        <v>2008</v>
      </c>
      <c r="E1868" s="18" t="inlineStr">
        <is>
          <t>The Dark Knight</t>
        </is>
      </c>
      <c r="F1868" s="18" t="inlineStr">
        <is>
          <t>F0044</t>
        </is>
      </c>
    </row>
    <row r="1869" ht="15.75" customHeight="1" s="108">
      <c r="A1869" s="18" t="inlineStr">
        <is>
          <t>Michael Jai White</t>
        </is>
      </c>
      <c r="B1869" s="18" t="n">
        <v>1</v>
      </c>
      <c r="C1869" s="18" t="n">
        <v>2008</v>
      </c>
      <c r="D1869" s="18" t="n">
        <v>2008</v>
      </c>
      <c r="E1869" s="18" t="inlineStr">
        <is>
          <t>The Dark Knight</t>
        </is>
      </c>
      <c r="F1869" s="18" t="inlineStr">
        <is>
          <t>F0044</t>
        </is>
      </c>
    </row>
    <row r="1870" ht="15.75" customHeight="1" s="108">
      <c r="A1870" s="18" t="inlineStr">
        <is>
          <t>Matthew O'Neill</t>
        </is>
      </c>
      <c r="B1870" s="18" t="n">
        <v>2</v>
      </c>
      <c r="C1870" s="18" t="n">
        <v>2008</v>
      </c>
      <c r="D1870" s="18" t="n">
        <v>2016</v>
      </c>
      <c r="E1870" s="18" t="inlineStr">
        <is>
          <t>The Dark Knight, Jason bourne</t>
        </is>
      </c>
      <c r="F1870" s="18" t="inlineStr">
        <is>
          <t>F0044, F0358</t>
        </is>
      </c>
    </row>
    <row r="1871" ht="15.75" customHeight="1" s="108">
      <c r="A1871" s="18" t="inlineStr">
        <is>
          <t>Olumiji Olawumi</t>
        </is>
      </c>
      <c r="B1871" s="18" t="n">
        <v>1</v>
      </c>
      <c r="C1871" s="18" t="n">
        <v>2008</v>
      </c>
      <c r="D1871" s="18" t="n">
        <v>2008</v>
      </c>
      <c r="E1871" s="18" t="inlineStr">
        <is>
          <t>The Dark Knight</t>
        </is>
      </c>
      <c r="F1871" s="18" t="inlineStr">
        <is>
          <t>F0044</t>
        </is>
      </c>
    </row>
    <row r="1872" ht="15.75" customHeight="1" s="108">
      <c r="A1872" s="18" t="inlineStr">
        <is>
          <t>Greg Beam</t>
        </is>
      </c>
      <c r="B1872" s="18" t="n">
        <v>1</v>
      </c>
      <c r="C1872" s="18" t="n">
        <v>2008</v>
      </c>
      <c r="D1872" s="18" t="n">
        <v>2008</v>
      </c>
      <c r="E1872" s="18" t="inlineStr">
        <is>
          <t>The Dark Knight</t>
        </is>
      </c>
      <c r="F1872" s="18" t="inlineStr">
        <is>
          <t>F0044</t>
        </is>
      </c>
    </row>
    <row r="1873" ht="15.75" customHeight="1" s="108">
      <c r="A1873" s="18" t="inlineStr">
        <is>
          <t>Erik Hellman</t>
        </is>
      </c>
      <c r="B1873" s="18" t="n">
        <v>1</v>
      </c>
      <c r="C1873" s="18" t="n">
        <v>2008</v>
      </c>
      <c r="D1873" s="18" t="n">
        <v>2008</v>
      </c>
      <c r="E1873" s="18" t="inlineStr">
        <is>
          <t>The Dark Knight</t>
        </is>
      </c>
      <c r="F1873" s="18" t="inlineStr">
        <is>
          <t>F0044</t>
        </is>
      </c>
    </row>
    <row r="1874" ht="15.75" customHeight="1" s="108">
      <c r="A1874" s="18" t="inlineStr">
        <is>
          <t>Marion Cotillard</t>
        </is>
      </c>
      <c r="B1874" s="18" t="n">
        <v>2</v>
      </c>
      <c r="C1874" s="18" t="n">
        <v>2010</v>
      </c>
      <c r="D1874" s="18" t="n">
        <v>2012</v>
      </c>
      <c r="E1874" s="18" t="inlineStr">
        <is>
          <t>The Dark Knight Rises, Inception</t>
        </is>
      </c>
      <c r="F1874" s="18" t="inlineStr">
        <is>
          <t>F0045, F0165</t>
        </is>
      </c>
    </row>
    <row r="1875" ht="15.75" customHeight="1" s="108">
      <c r="A1875" s="18" t="inlineStr">
        <is>
          <t>Matthew Modine</t>
        </is>
      </c>
      <c r="B1875" s="18" t="n">
        <v>2</v>
      </c>
      <c r="C1875" s="18" t="n">
        <v>2012</v>
      </c>
      <c r="D1875" s="18" t="n">
        <v>2023</v>
      </c>
      <c r="E1875" s="18" t="inlineStr">
        <is>
          <t>The Dark Knight Rises, Oppenheimer</t>
        </is>
      </c>
      <c r="F1875" s="18" t="inlineStr">
        <is>
          <t>F0045, F0242</t>
        </is>
      </c>
    </row>
    <row r="1876" ht="15.75" customHeight="1" s="108">
      <c r="A1876" s="18" t="inlineStr">
        <is>
          <t>Alon Aboutboul</t>
        </is>
      </c>
      <c r="B1876" s="18" t="n">
        <v>3</v>
      </c>
      <c r="C1876" s="18" t="n">
        <v>2008</v>
      </c>
      <c r="D1876" s="18" t="n">
        <v>2012</v>
      </c>
      <c r="E1876" s="18" t="inlineStr">
        <is>
          <t>The Dark Knight Rises, Body of Lies, Rambo</t>
        </is>
      </c>
      <c r="F1876" s="18" t="inlineStr">
        <is>
          <t>F0045, F0051, F0261</t>
        </is>
      </c>
    </row>
    <row r="1877" ht="15.75" customHeight="1" s="108">
      <c r="A1877" s="18" t="inlineStr">
        <is>
          <t>Burn Gorman</t>
        </is>
      </c>
      <c r="B1877" s="18" t="n">
        <v>2</v>
      </c>
      <c r="C1877" s="18" t="n">
        <v>2012</v>
      </c>
      <c r="D1877" s="18" t="n">
        <v>2013</v>
      </c>
      <c r="E1877" s="18" t="inlineStr">
        <is>
          <t>The Dark Knight Rises, Pacific Rim</t>
        </is>
      </c>
      <c r="F1877" s="18" t="inlineStr">
        <is>
          <t>F0045, F0243</t>
        </is>
      </c>
    </row>
    <row r="1878" ht="15.75" customHeight="1" s="108">
      <c r="A1878" s="18" t="inlineStr">
        <is>
          <t>Daniel Sunjata</t>
        </is>
      </c>
      <c r="B1878" s="18" t="n">
        <v>1</v>
      </c>
      <c r="C1878" s="18" t="n">
        <v>2012</v>
      </c>
      <c r="D1878" s="18" t="n">
        <v>2012</v>
      </c>
      <c r="E1878" s="18" t="inlineStr">
        <is>
          <t>The Dark Knight Rises</t>
        </is>
      </c>
      <c r="F1878" s="18" t="inlineStr">
        <is>
          <t>F0045</t>
        </is>
      </c>
    </row>
    <row r="1879" ht="15.75" customHeight="1" s="108">
      <c r="A1879" s="18" t="inlineStr">
        <is>
          <t>Aidan Gillen</t>
        </is>
      </c>
      <c r="B1879" s="18" t="n">
        <v>2</v>
      </c>
      <c r="C1879" s="18" t="n">
        <v>2012</v>
      </c>
      <c r="D1879" s="18" t="n">
        <v>2018</v>
      </c>
      <c r="E1879" s="18" t="inlineStr">
        <is>
          <t>The Dark Knight Rises, Bohemian Rhapsody</t>
        </is>
      </c>
      <c r="F1879" s="18" t="inlineStr">
        <is>
          <t>F0045, F0052</t>
        </is>
      </c>
    </row>
    <row r="1880" ht="15.75" customHeight="1" s="108">
      <c r="A1880" s="18" t="inlineStr">
        <is>
          <t>Sam Kennard</t>
        </is>
      </c>
      <c r="B1880" s="18" t="n">
        <v>1</v>
      </c>
      <c r="C1880" s="18" t="n">
        <v>2012</v>
      </c>
      <c r="D1880" s="18" t="n">
        <v>2012</v>
      </c>
      <c r="E1880" s="18" t="inlineStr">
        <is>
          <t>The Dark Knight Rises</t>
        </is>
      </c>
      <c r="F1880" s="18" t="inlineStr">
        <is>
          <t>F0045</t>
        </is>
      </c>
    </row>
    <row r="1881" ht="15.75" customHeight="1" s="108">
      <c r="A1881" s="18" t="inlineStr">
        <is>
          <t>Aljaž Tepina</t>
        </is>
      </c>
      <c r="B1881" s="18" t="n">
        <v>1</v>
      </c>
      <c r="C1881" s="18" t="n">
        <v>2012</v>
      </c>
      <c r="D1881" s="18" t="n">
        <v>2012</v>
      </c>
      <c r="E1881" s="18" t="inlineStr">
        <is>
          <t>The Dark Knight Rises</t>
        </is>
      </c>
      <c r="F1881" s="18" t="inlineStr">
        <is>
          <t>F0045</t>
        </is>
      </c>
    </row>
    <row r="1882" ht="15.75" customHeight="1" s="108">
      <c r="A1882" s="18" t="inlineStr">
        <is>
          <t>Brett Cullen</t>
        </is>
      </c>
      <c r="B1882" s="18" t="n">
        <v>1</v>
      </c>
      <c r="C1882" s="18" t="n">
        <v>2012</v>
      </c>
      <c r="D1882" s="18" t="n">
        <v>2012</v>
      </c>
      <c r="E1882" s="18" t="inlineStr">
        <is>
          <t>The Dark Knight Rises</t>
        </is>
      </c>
      <c r="F1882" s="18" t="inlineStr">
        <is>
          <t>F0045</t>
        </is>
      </c>
    </row>
    <row r="1883" ht="15.75" customHeight="1" s="108">
      <c r="A1883" s="18" t="inlineStr">
        <is>
          <t>Nick Julian</t>
        </is>
      </c>
      <c r="B1883" s="18" t="n">
        <v>1</v>
      </c>
      <c r="C1883" s="18" t="n">
        <v>2012</v>
      </c>
      <c r="D1883" s="18" t="n">
        <v>2012</v>
      </c>
      <c r="E1883" s="18" t="inlineStr">
        <is>
          <t>The Dark Knight Rises</t>
        </is>
      </c>
      <c r="F1883" s="18" t="inlineStr">
        <is>
          <t>F0045</t>
        </is>
      </c>
    </row>
    <row r="1884" ht="15.75" customHeight="1" s="108">
      <c r="A1884" s="18" t="inlineStr">
        <is>
          <t>Miranda Nolan</t>
        </is>
      </c>
      <c r="B1884" s="18" t="n">
        <v>2</v>
      </c>
      <c r="C1884" s="18" t="n">
        <v>2010</v>
      </c>
      <c r="D1884" s="18" t="n">
        <v>2012</v>
      </c>
      <c r="E1884" s="18" t="inlineStr">
        <is>
          <t>The Dark Knight Rises, Inception</t>
        </is>
      </c>
      <c r="F1884" s="18" t="inlineStr">
        <is>
          <t>F0045, F0165</t>
        </is>
      </c>
    </row>
    <row r="1885" ht="15.75" customHeight="1" s="108">
      <c r="A1885" s="18" t="inlineStr">
        <is>
          <t>Claire Julien</t>
        </is>
      </c>
      <c r="B1885" s="18" t="n">
        <v>1</v>
      </c>
      <c r="C1885" s="18" t="n">
        <v>2012</v>
      </c>
      <c r="D1885" s="18" t="n">
        <v>2012</v>
      </c>
      <c r="E1885" s="18" t="inlineStr">
        <is>
          <t>The Dark Knight Rises</t>
        </is>
      </c>
      <c r="F1885" s="18" t="inlineStr">
        <is>
          <t>F0045</t>
        </is>
      </c>
    </row>
    <row r="1886" ht="15.75" customHeight="1" s="108">
      <c r="A1886" s="18" t="inlineStr">
        <is>
          <t>Reggie Lee</t>
        </is>
      </c>
      <c r="B1886" s="18" t="n">
        <v>3</v>
      </c>
      <c r="C1886" s="18" t="n">
        <v>2001</v>
      </c>
      <c r="D1886" s="18" t="n">
        <v>2012</v>
      </c>
      <c r="E1886" s="18" t="inlineStr">
        <is>
          <t>The Dark Knight Rises, The Fast and the Furious, Tropic Thunder</t>
        </is>
      </c>
      <c r="F1886" s="18" t="inlineStr">
        <is>
          <t>F0045, F0101, F0324</t>
        </is>
      </c>
    </row>
    <row r="1887" ht="15.75" customHeight="1" s="108">
      <c r="A1887" s="18" t="inlineStr">
        <is>
          <t>Joseph Lyle Taylor</t>
        </is>
      </c>
      <c r="B1887" s="18" t="n">
        <v>1</v>
      </c>
      <c r="C1887" s="18" t="n">
        <v>2012</v>
      </c>
      <c r="D1887" s="18" t="n">
        <v>2012</v>
      </c>
      <c r="E1887" s="18" t="inlineStr">
        <is>
          <t>The Dark Knight Rises</t>
        </is>
      </c>
      <c r="F1887" s="18" t="inlineStr">
        <is>
          <t>F0045</t>
        </is>
      </c>
    </row>
    <row r="1888" ht="15.75" customHeight="1" s="108">
      <c r="A1888" s="18" t="inlineStr">
        <is>
          <t>Chris Ellis</t>
        </is>
      </c>
      <c r="B1888" s="18" t="n">
        <v>3</v>
      </c>
      <c r="C1888" s="18" t="n">
        <v>2002</v>
      </c>
      <c r="D1888" s="18" t="n">
        <v>2012</v>
      </c>
      <c r="E1888" s="18" t="inlineStr">
        <is>
          <t>The Dark Knight Rises, Catch Me If You Can, Live Free or Die Hard</t>
        </is>
      </c>
      <c r="F1888" s="18" t="inlineStr">
        <is>
          <t>F0045, F0064, F0086</t>
        </is>
      </c>
    </row>
    <row r="1889" ht="15.75" customHeight="1" s="108">
      <c r="A1889" s="18" t="inlineStr">
        <is>
          <t>Tyler Dean Flores</t>
        </is>
      </c>
      <c r="B1889" s="18" t="n">
        <v>1</v>
      </c>
      <c r="C1889" s="18" t="n">
        <v>2012</v>
      </c>
      <c r="D1889" s="18" t="n">
        <v>2012</v>
      </c>
      <c r="E1889" s="18" t="inlineStr">
        <is>
          <t>The Dark Knight Rises</t>
        </is>
      </c>
      <c r="F1889" s="18" t="inlineStr">
        <is>
          <t>F0045</t>
        </is>
      </c>
    </row>
    <row r="1890" ht="15.75" customHeight="1" s="108">
      <c r="A1890" s="18" t="inlineStr">
        <is>
          <t>Juno Temple</t>
        </is>
      </c>
      <c r="B1890" s="18" t="n">
        <v>2</v>
      </c>
      <c r="C1890" s="18" t="n">
        <v>2012</v>
      </c>
      <c r="D1890" s="18" t="n">
        <v>2014</v>
      </c>
      <c r="E1890" s="18" t="inlineStr">
        <is>
          <t>The Dark Knight Rises, Maleficent</t>
        </is>
      </c>
      <c r="F1890" s="18" t="inlineStr">
        <is>
          <t>F0045, F0208</t>
        </is>
      </c>
    </row>
    <row r="1891" ht="15.75" customHeight="1" s="108">
      <c r="A1891" s="18" t="inlineStr">
        <is>
          <t>Duane Henry</t>
        </is>
      </c>
      <c r="B1891" s="18" t="n">
        <v>1</v>
      </c>
      <c r="C1891" s="18" t="n">
        <v>2012</v>
      </c>
      <c r="D1891" s="18" t="n">
        <v>2012</v>
      </c>
      <c r="E1891" s="18" t="inlineStr">
        <is>
          <t>The Dark Knight Rises</t>
        </is>
      </c>
      <c r="F1891" s="18" t="inlineStr">
        <is>
          <t>F0045</t>
        </is>
      </c>
    </row>
    <row r="1892" ht="15.75" customHeight="1" s="108">
      <c r="A1892" s="18" t="inlineStr">
        <is>
          <t>James Harvey Ward</t>
        </is>
      </c>
      <c r="B1892" s="18" t="n">
        <v>1</v>
      </c>
      <c r="C1892" s="18" t="n">
        <v>2012</v>
      </c>
      <c r="D1892" s="18" t="n">
        <v>2012</v>
      </c>
      <c r="E1892" s="18" t="inlineStr">
        <is>
          <t>The Dark Knight Rises</t>
        </is>
      </c>
      <c r="F1892" s="18" t="inlineStr">
        <is>
          <t>F0045</t>
        </is>
      </c>
    </row>
    <row r="1893" ht="15.75" customHeight="1" s="108">
      <c r="A1893" s="18" t="inlineStr">
        <is>
          <t>Gonzalo Menendez</t>
        </is>
      </c>
      <c r="B1893" s="18" t="n">
        <v>1</v>
      </c>
      <c r="C1893" s="18" t="n">
        <v>2012</v>
      </c>
      <c r="D1893" s="18" t="n">
        <v>2012</v>
      </c>
      <c r="E1893" s="18" t="inlineStr">
        <is>
          <t>The Dark Knight Rises</t>
        </is>
      </c>
      <c r="F1893" s="18" t="inlineStr">
        <is>
          <t>F0045</t>
        </is>
      </c>
    </row>
    <row r="1894" ht="15.75" customHeight="1" s="108">
      <c r="A1894" s="18" t="inlineStr">
        <is>
          <t>Cameron Jack</t>
        </is>
      </c>
      <c r="B1894" s="18" t="n">
        <v>1</v>
      </c>
      <c r="C1894" s="18" t="n">
        <v>2012</v>
      </c>
      <c r="D1894" s="18" t="n">
        <v>2012</v>
      </c>
      <c r="E1894" s="18" t="inlineStr">
        <is>
          <t>The Dark Knight Rises</t>
        </is>
      </c>
      <c r="F1894" s="18" t="inlineStr">
        <is>
          <t>F0045</t>
        </is>
      </c>
    </row>
    <row r="1895" ht="15.75" customHeight="1" s="108">
      <c r="A1895" s="18" t="inlineStr">
        <is>
          <t>Beth Keener</t>
        </is>
      </c>
      <c r="B1895" s="18" t="n">
        <v>1</v>
      </c>
      <c r="C1895" s="18" t="n">
        <v>2011</v>
      </c>
      <c r="D1895" s="18" t="n">
        <v>2011</v>
      </c>
      <c r="E1895" s="18" t="inlineStr">
        <is>
          <t>Battle: Los Angeles</t>
        </is>
      </c>
      <c r="F1895" s="18" t="inlineStr">
        <is>
          <t>F0046</t>
        </is>
      </c>
    </row>
    <row r="1896" ht="15.75" customHeight="1" s="108">
      <c r="A1896" s="18" t="inlineStr">
        <is>
          <t>Jessica Heap</t>
        </is>
      </c>
      <c r="B1896" s="18" t="n">
        <v>1</v>
      </c>
      <c r="C1896" s="18" t="n">
        <v>2011</v>
      </c>
      <c r="D1896" s="18" t="n">
        <v>2011</v>
      </c>
      <c r="E1896" s="18" t="inlineStr">
        <is>
          <t>Battle: Los Angeles</t>
        </is>
      </c>
      <c r="F1896" s="18" t="inlineStr">
        <is>
          <t>F0046</t>
        </is>
      </c>
    </row>
    <row r="1897" ht="15.75" customHeight="1" s="108">
      <c r="A1897" s="18" t="inlineStr">
        <is>
          <t>Cory Hardrict</t>
        </is>
      </c>
      <c r="B1897" s="18" t="n">
        <v>2</v>
      </c>
      <c r="C1897" s="18" t="n">
        <v>2008</v>
      </c>
      <c r="D1897" s="18" t="n">
        <v>2011</v>
      </c>
      <c r="E1897" s="18" t="inlineStr">
        <is>
          <t>Battle: Los Angeles, Gran Torino</t>
        </is>
      </c>
      <c r="F1897" s="18" t="inlineStr">
        <is>
          <t>F0046, F0125</t>
        </is>
      </c>
    </row>
    <row r="1898" ht="15.75" customHeight="1" s="108">
      <c r="A1898" s="18" t="inlineStr">
        <is>
          <t>Jim Parrack</t>
        </is>
      </c>
      <c r="B1898" s="18" t="n">
        <v>3</v>
      </c>
      <c r="C1898" s="18" t="n">
        <v>2011</v>
      </c>
      <c r="D1898" s="18" t="n">
        <v>2021</v>
      </c>
      <c r="E1898" s="18" t="inlineStr">
        <is>
          <t>Battle: Los Angeles, F9: The Fast Saga, Fury</t>
        </is>
      </c>
      <c r="F1898" s="18" t="inlineStr">
        <is>
          <t>F0046, F0109, F0117</t>
        </is>
      </c>
    </row>
    <row r="1899" ht="15.75" customHeight="1" s="108">
      <c r="A1899" s="18" t="inlineStr">
        <is>
          <t>Gino Anthony Pesi</t>
        </is>
      </c>
      <c r="B1899" s="18" t="n">
        <v>1</v>
      </c>
      <c r="C1899" s="18" t="n">
        <v>2011</v>
      </c>
      <c r="D1899" s="18" t="n">
        <v>2011</v>
      </c>
      <c r="E1899" s="18" t="inlineStr">
        <is>
          <t>Battle: Los Angeles</t>
        </is>
      </c>
      <c r="F1899" s="18" t="inlineStr">
        <is>
          <t>F0046</t>
        </is>
      </c>
    </row>
    <row r="1900" ht="15.75" customHeight="1" s="108">
      <c r="A1900" s="18" t="inlineStr">
        <is>
          <t>Ne-Yo</t>
        </is>
      </c>
      <c r="B1900" s="18" t="n">
        <v>1</v>
      </c>
      <c r="C1900" s="18" t="n">
        <v>2011</v>
      </c>
      <c r="D1900" s="18" t="n">
        <v>2011</v>
      </c>
      <c r="E1900" s="18" t="inlineStr">
        <is>
          <t>Battle: Los Angeles</t>
        </is>
      </c>
      <c r="F1900" s="18" t="inlineStr">
        <is>
          <t>F0046</t>
        </is>
      </c>
    </row>
    <row r="1901" ht="15.75" customHeight="1" s="108">
      <c r="A1901" s="18" t="inlineStr">
        <is>
          <t>James Hiroyuki Liao</t>
        </is>
      </c>
      <c r="B1901" s="18" t="n">
        <v>1</v>
      </c>
      <c r="C1901" s="18" t="n">
        <v>2011</v>
      </c>
      <c r="D1901" s="18" t="n">
        <v>2011</v>
      </c>
      <c r="E1901" s="18" t="inlineStr">
        <is>
          <t>Battle: Los Angeles</t>
        </is>
      </c>
      <c r="F1901" s="18" t="inlineStr">
        <is>
          <t>F0046</t>
        </is>
      </c>
    </row>
    <row r="1902" ht="15.75" customHeight="1" s="108">
      <c r="A1902" s="18" t="inlineStr">
        <is>
          <t>Adetokumboh M'Cormack</t>
        </is>
      </c>
      <c r="B1902" s="18" t="n">
        <v>1</v>
      </c>
      <c r="C1902" s="18" t="n">
        <v>2011</v>
      </c>
      <c r="D1902" s="18" t="n">
        <v>2011</v>
      </c>
      <c r="E1902" s="18" t="inlineStr">
        <is>
          <t>Battle: Los Angeles</t>
        </is>
      </c>
      <c r="F1902" s="18" t="inlineStr">
        <is>
          <t>F0046</t>
        </is>
      </c>
    </row>
    <row r="1903" ht="15.75" customHeight="1" s="108">
      <c r="A1903" s="18" t="inlineStr">
        <is>
          <t>Bryce Cass</t>
        </is>
      </c>
      <c r="B1903" s="18" t="n">
        <v>1</v>
      </c>
      <c r="C1903" s="18" t="n">
        <v>2011</v>
      </c>
      <c r="D1903" s="18" t="n">
        <v>2011</v>
      </c>
      <c r="E1903" s="18" t="inlineStr">
        <is>
          <t>Battle: Los Angeles</t>
        </is>
      </c>
      <c r="F1903" s="18" t="inlineStr">
        <is>
          <t>F0046</t>
        </is>
      </c>
    </row>
    <row r="1904" ht="15.75" customHeight="1" s="108">
      <c r="A1904" s="18" t="inlineStr">
        <is>
          <t>Taylor Handley</t>
        </is>
      </c>
      <c r="B1904" s="18" t="n">
        <v>1</v>
      </c>
      <c r="C1904" s="18" t="n">
        <v>2011</v>
      </c>
      <c r="D1904" s="18" t="n">
        <v>2011</v>
      </c>
      <c r="E1904" s="18" t="inlineStr">
        <is>
          <t>Battle: Los Angeles</t>
        </is>
      </c>
      <c r="F1904" s="18" t="inlineStr">
        <is>
          <t>F0046</t>
        </is>
      </c>
    </row>
    <row r="1905" ht="15.75" customHeight="1" s="108">
      <c r="A1905" s="18" t="inlineStr">
        <is>
          <t>Lucas Till</t>
        </is>
      </c>
      <c r="B1905" s="18" t="n">
        <v>4</v>
      </c>
      <c r="C1905" s="18" t="n">
        <v>2011</v>
      </c>
      <c r="D1905" s="18" t="n">
        <v>2016</v>
      </c>
      <c r="E1905" s="18" t="inlineStr">
        <is>
          <t>Battle: Los Angeles, X-Men: First Class, X-Men: Days of Future Past, X-Men: Apocalypse</t>
        </is>
      </c>
      <c r="F1905" s="18" t="inlineStr">
        <is>
          <t>F0046, F0340, F0341, F0342</t>
        </is>
      </c>
    </row>
    <row r="1906" ht="15.75" customHeight="1" s="108">
      <c r="A1906" s="18" t="inlineStr">
        <is>
          <t>Kenneth Brown Jr.</t>
        </is>
      </c>
      <c r="B1906" s="18" t="n">
        <v>3</v>
      </c>
      <c r="C1906" s="18" t="n">
        <v>2011</v>
      </c>
      <c r="D1906" s="18" t="n">
        <v>2012</v>
      </c>
      <c r="E1906" s="18" t="inlineStr">
        <is>
          <t>Battle: Los Angeles, Killing Them Softly, Green Lantern</t>
        </is>
      </c>
      <c r="F1906" s="18" t="inlineStr">
        <is>
          <t>F0046, F0187, F0128</t>
        </is>
      </c>
    </row>
    <row r="1907" ht="15.75" customHeight="1" s="108">
      <c r="A1907" s="18" t="inlineStr">
        <is>
          <t>Jadin Gould</t>
        </is>
      </c>
      <c r="B1907" s="18" t="n">
        <v>2</v>
      </c>
      <c r="C1907" s="18" t="n">
        <v>2011</v>
      </c>
      <c r="D1907" s="18" t="n">
        <v>2013</v>
      </c>
      <c r="E1907" s="18" t="inlineStr">
        <is>
          <t>Battle: Los Angeles, Man of Steel</t>
        </is>
      </c>
      <c r="F1907" s="18" t="inlineStr">
        <is>
          <t>F0046, F0211</t>
        </is>
      </c>
    </row>
    <row r="1908" ht="15.75" customHeight="1" s="108">
      <c r="A1908" s="18" t="inlineStr">
        <is>
          <t>E. Roger Mitchell</t>
        </is>
      </c>
      <c r="B1908" s="18" t="n">
        <v>2</v>
      </c>
      <c r="C1908" s="18" t="n">
        <v>2011</v>
      </c>
      <c r="D1908" s="18" t="n">
        <v>2014</v>
      </c>
      <c r="E1908" s="18" t="inlineStr">
        <is>
          <t>Battle: Los Angeles, Need for Speed</t>
        </is>
      </c>
      <c r="F1908" s="18" t="inlineStr">
        <is>
          <t>F0046, F0234</t>
        </is>
      </c>
    </row>
    <row r="1909" ht="15.75" customHeight="1" s="108">
      <c r="A1909" s="18" t="inlineStr">
        <is>
          <t>Rus Blackwell</t>
        </is>
      </c>
      <c r="B1909" s="18" t="n">
        <v>1</v>
      </c>
      <c r="C1909" s="18" t="n">
        <v>2011</v>
      </c>
      <c r="D1909" s="18" t="n">
        <v>2011</v>
      </c>
      <c r="E1909" s="18" t="inlineStr">
        <is>
          <t>Battle: Los Angeles</t>
        </is>
      </c>
      <c r="F1909" s="18" t="inlineStr">
        <is>
          <t>F0046</t>
        </is>
      </c>
    </row>
    <row r="1910" ht="15.75" customHeight="1" s="108">
      <c r="A1910" s="18" t="inlineStr">
        <is>
          <t>Susie Abromeit</t>
        </is>
      </c>
      <c r="B1910" s="18" t="n">
        <v>1</v>
      </c>
      <c r="C1910" s="18" t="n">
        <v>2011</v>
      </c>
      <c r="D1910" s="18" t="n">
        <v>2011</v>
      </c>
      <c r="E1910" s="18" t="inlineStr">
        <is>
          <t>Battle: Los Angeles</t>
        </is>
      </c>
      <c r="F1910" s="18" t="inlineStr">
        <is>
          <t>F0046</t>
        </is>
      </c>
    </row>
    <row r="1911" ht="15.75" customHeight="1" s="108">
      <c r="A1911" s="18" t="inlineStr">
        <is>
          <t>Brandi Coleman</t>
        </is>
      </c>
      <c r="B1911" s="18" t="n">
        <v>1</v>
      </c>
      <c r="C1911" s="18" t="n">
        <v>2011</v>
      </c>
      <c r="D1911" s="18" t="n">
        <v>2011</v>
      </c>
      <c r="E1911" s="18" t="inlineStr">
        <is>
          <t>Battle: Los Angeles</t>
        </is>
      </c>
      <c r="F1911" s="18" t="inlineStr">
        <is>
          <t>F0046</t>
        </is>
      </c>
    </row>
    <row r="1912" ht="15.75" customHeight="1" s="108">
      <c r="A1912" s="18" t="inlineStr">
        <is>
          <t>David Jensen</t>
        </is>
      </c>
      <c r="B1912" s="18" t="n">
        <v>2</v>
      </c>
      <c r="C1912" s="18" t="n">
        <v>2010</v>
      </c>
      <c r="D1912" s="18" t="n">
        <v>2011</v>
      </c>
      <c r="E1912" s="18" t="inlineStr">
        <is>
          <t>Battle: Los Angeles, Jonah Hex</t>
        </is>
      </c>
      <c r="F1912" s="18" t="inlineStr">
        <is>
          <t>F0046, F0173</t>
        </is>
      </c>
    </row>
    <row r="1913" ht="15.75" customHeight="1" s="108">
      <c r="A1913" s="18" t="inlineStr">
        <is>
          <t>Stacey Turner</t>
        </is>
      </c>
      <c r="B1913" s="18" t="n">
        <v>1</v>
      </c>
      <c r="C1913" s="18" t="n">
        <v>2011</v>
      </c>
      <c r="D1913" s="18" t="n">
        <v>2011</v>
      </c>
      <c r="E1913" s="18" t="inlineStr">
        <is>
          <t>Battle: Los Angeles</t>
        </is>
      </c>
      <c r="F1913" s="18" t="inlineStr">
        <is>
          <t>F0046</t>
        </is>
      </c>
    </row>
    <row r="1914" ht="15.75" customHeight="1" s="108">
      <c r="A1914" s="18" t="inlineStr">
        <is>
          <t>Tom Hillmann</t>
        </is>
      </c>
      <c r="B1914" s="18" t="n">
        <v>1</v>
      </c>
      <c r="C1914" s="18" t="n">
        <v>2011</v>
      </c>
      <c r="D1914" s="18" t="n">
        <v>2011</v>
      </c>
      <c r="E1914" s="18" t="inlineStr">
        <is>
          <t>Battle: Los Angeles</t>
        </is>
      </c>
      <c r="F1914" s="18" t="inlineStr">
        <is>
          <t>F0046</t>
        </is>
      </c>
    </row>
    <row r="1915" ht="15.75" customHeight="1" s="108">
      <c r="A1915" s="18" t="inlineStr">
        <is>
          <t>Penelope Wilton</t>
        </is>
      </c>
      <c r="B1915" s="18" t="n">
        <v>2</v>
      </c>
      <c r="C1915" s="18" t="n">
        <v>2004</v>
      </c>
      <c r="D1915" s="18" t="n">
        <v>2016</v>
      </c>
      <c r="E1915" s="18" t="inlineStr">
        <is>
          <t>The BFG, Shaun of the Dead</t>
        </is>
      </c>
      <c r="F1915" s="18" t="inlineStr">
        <is>
          <t>F0047, F0070</t>
        </is>
      </c>
    </row>
    <row r="1916" ht="15.75" customHeight="1" s="108">
      <c r="A1916" s="18" t="inlineStr">
        <is>
          <t>Marilyn Norry</t>
        </is>
      </c>
      <c r="B1916" s="18" t="n">
        <v>1</v>
      </c>
      <c r="C1916" s="18" t="n">
        <v>2016</v>
      </c>
      <c r="D1916" s="18" t="n">
        <v>2016</v>
      </c>
      <c r="E1916" s="18" t="inlineStr">
        <is>
          <t>The BFG</t>
        </is>
      </c>
      <c r="F1916" s="18" t="inlineStr">
        <is>
          <t>F0047</t>
        </is>
      </c>
    </row>
    <row r="1917" ht="15.75" customHeight="1" s="108">
      <c r="A1917" s="18" t="inlineStr">
        <is>
          <t>Chris Shields</t>
        </is>
      </c>
      <c r="B1917" s="18" t="n">
        <v>2</v>
      </c>
      <c r="C1917" s="18" t="n">
        <v>2013</v>
      </c>
      <c r="D1917" s="18" t="n">
        <v>2016</v>
      </c>
      <c r="E1917" s="18" t="inlineStr">
        <is>
          <t>The BFG, Elysium</t>
        </is>
      </c>
      <c r="F1917" s="18" t="inlineStr">
        <is>
          <t>F0047, F0093</t>
        </is>
      </c>
    </row>
    <row r="1918" ht="15.75" customHeight="1" s="108">
      <c r="A1918" s="18" t="inlineStr">
        <is>
          <t>Geoffrey Wade</t>
        </is>
      </c>
      <c r="B1918" s="18" t="n">
        <v>1</v>
      </c>
      <c r="C1918" s="18" t="n">
        <v>2016</v>
      </c>
      <c r="D1918" s="18" t="n">
        <v>2016</v>
      </c>
      <c r="E1918" s="18" t="inlineStr">
        <is>
          <t>The BFG</t>
        </is>
      </c>
      <c r="F1918" s="18" t="inlineStr">
        <is>
          <t>F0047</t>
        </is>
      </c>
    </row>
    <row r="1919" ht="15.75" customHeight="1" s="108">
      <c r="A1919" s="18" t="inlineStr">
        <is>
          <t>Haig Sutherland</t>
        </is>
      </c>
      <c r="B1919" s="18" t="n">
        <v>1</v>
      </c>
      <c r="C1919" s="18" t="n">
        <v>2016</v>
      </c>
      <c r="D1919" s="18" t="n">
        <v>2016</v>
      </c>
      <c r="E1919" s="18" t="inlineStr">
        <is>
          <t>The BFG</t>
        </is>
      </c>
      <c r="F1919" s="18" t="inlineStr">
        <is>
          <t>F0047</t>
        </is>
      </c>
    </row>
    <row r="1920" ht="15.75" customHeight="1" s="108">
      <c r="A1920" s="18" t="inlineStr">
        <is>
          <t>John Emmet Tracy</t>
        </is>
      </c>
      <c r="B1920" s="18" t="n">
        <v>1</v>
      </c>
      <c r="C1920" s="18" t="n">
        <v>2016</v>
      </c>
      <c r="D1920" s="18" t="n">
        <v>2016</v>
      </c>
      <c r="E1920" s="18" t="inlineStr">
        <is>
          <t>The BFG</t>
        </is>
      </c>
      <c r="F1920" s="18" t="inlineStr">
        <is>
          <t>F0047</t>
        </is>
      </c>
    </row>
    <row r="1921" ht="15.75" customHeight="1" s="108">
      <c r="A1921" s="18" t="inlineStr">
        <is>
          <t>Adam Godley</t>
        </is>
      </c>
      <c r="B1921" s="18" t="n">
        <v>2</v>
      </c>
      <c r="C1921" s="18" t="n">
        <v>2014</v>
      </c>
      <c r="D1921" s="18" t="n">
        <v>2016</v>
      </c>
      <c r="E1921" s="18" t="inlineStr">
        <is>
          <t>The BFG, The Theory of Everything</t>
        </is>
      </c>
      <c r="F1921" s="18" t="inlineStr">
        <is>
          <t>F0047, F0311</t>
        </is>
      </c>
    </row>
    <row r="1922" ht="15.75" customHeight="1" s="108">
      <c r="A1922" s="18" t="inlineStr">
        <is>
          <t>Paul Moniz de Sa</t>
        </is>
      </c>
      <c r="B1922" s="18" t="n">
        <v>1</v>
      </c>
      <c r="C1922" s="18" t="n">
        <v>2016</v>
      </c>
      <c r="D1922" s="18" t="n">
        <v>2016</v>
      </c>
      <c r="E1922" s="18" t="inlineStr">
        <is>
          <t>The BFG</t>
        </is>
      </c>
      <c r="F1922" s="18" t="inlineStr">
        <is>
          <t>F0047</t>
        </is>
      </c>
    </row>
    <row r="1923" ht="15.75" customHeight="1" s="108">
      <c r="A1923" s="18" t="inlineStr">
        <is>
          <t>Ólafur Darri Ólafsson</t>
        </is>
      </c>
      <c r="B1923" s="18" t="n">
        <v>2</v>
      </c>
      <c r="C1923" s="18" t="n">
        <v>2016</v>
      </c>
      <c r="D1923" s="18" t="n">
        <v>2018</v>
      </c>
      <c r="E1923" s="18" t="inlineStr">
        <is>
          <t>The BFG, Fantastic beasts: the crimes of grindelwald</t>
        </is>
      </c>
      <c r="F1923" s="18" t="inlineStr">
        <is>
          <t>F0047, F0360</t>
        </is>
      </c>
    </row>
    <row r="1924" ht="15.75" customHeight="1" s="108">
      <c r="A1924" s="18" t="inlineStr">
        <is>
          <t>Michael Adamthwaite</t>
        </is>
      </c>
      <c r="B1924" s="18" t="n">
        <v>2</v>
      </c>
      <c r="C1924" s="18" t="n">
        <v>2016</v>
      </c>
      <c r="D1924" s="18" t="n">
        <v>2017</v>
      </c>
      <c r="E1924" s="18" t="inlineStr">
        <is>
          <t>The BFG, War for the Planet of the Apes</t>
        </is>
      </c>
      <c r="F1924" s="18" t="inlineStr">
        <is>
          <t>F0047, F0255</t>
        </is>
      </c>
    </row>
    <row r="1925" ht="15.75" customHeight="1" s="108">
      <c r="A1925" s="18" t="inlineStr">
        <is>
          <t>Gabrielle Rose</t>
        </is>
      </c>
      <c r="B1925" s="18" t="n">
        <v>1</v>
      </c>
      <c r="C1925" s="18" t="n">
        <v>2016</v>
      </c>
      <c r="D1925" s="18" t="n">
        <v>2016</v>
      </c>
      <c r="E1925" s="18" t="inlineStr">
        <is>
          <t>The BFG</t>
        </is>
      </c>
      <c r="F1925" s="18" t="inlineStr">
        <is>
          <t>F0047</t>
        </is>
      </c>
    </row>
    <row r="1926" ht="15.75" customHeight="1" s="108">
      <c r="A1926" s="18" t="inlineStr">
        <is>
          <t>Lucia Ryan</t>
        </is>
      </c>
      <c r="B1926" s="18" t="n">
        <v>1</v>
      </c>
      <c r="C1926" s="18" t="n">
        <v>2016</v>
      </c>
      <c r="D1926" s="18" t="n">
        <v>2016</v>
      </c>
      <c r="E1926" s="18" t="inlineStr">
        <is>
          <t>The BFG</t>
        </is>
      </c>
      <c r="F1926" s="18" t="inlineStr">
        <is>
          <t>F0047</t>
        </is>
      </c>
    </row>
    <row r="1927" ht="15.75" customHeight="1" s="108">
      <c r="A1927" s="18" t="inlineStr">
        <is>
          <t>Julia Torrance</t>
        </is>
      </c>
      <c r="B1927" s="18" t="n">
        <v>1</v>
      </c>
      <c r="C1927" s="18" t="n">
        <v>2016</v>
      </c>
      <c r="D1927" s="18" t="n">
        <v>2016</v>
      </c>
      <c r="E1927" s="18" t="inlineStr">
        <is>
          <t>The BFG</t>
        </is>
      </c>
      <c r="F1927" s="18" t="inlineStr">
        <is>
          <t>F0047</t>
        </is>
      </c>
    </row>
    <row r="1928" ht="15.75" customHeight="1" s="108">
      <c r="A1928" s="18" t="inlineStr">
        <is>
          <t>Graham Curry</t>
        </is>
      </c>
      <c r="B1928" s="18" t="n">
        <v>1</v>
      </c>
      <c r="C1928" s="18" t="n">
        <v>2016</v>
      </c>
      <c r="D1928" s="18" t="n">
        <v>2016</v>
      </c>
      <c r="E1928" s="18" t="inlineStr">
        <is>
          <t>The BFG</t>
        </is>
      </c>
      <c r="F1928" s="18" t="inlineStr">
        <is>
          <t>F0047</t>
        </is>
      </c>
    </row>
    <row r="1929" ht="15.75" customHeight="1" s="108">
      <c r="A1929" s="18" t="inlineStr">
        <is>
          <t>Jonathan Holmes</t>
        </is>
      </c>
      <c r="B1929" s="18" t="n">
        <v>1</v>
      </c>
      <c r="C1929" s="18" t="n">
        <v>2016</v>
      </c>
      <c r="D1929" s="18" t="n">
        <v>2016</v>
      </c>
      <c r="E1929" s="18" t="inlineStr">
        <is>
          <t>The BFG</t>
        </is>
      </c>
      <c r="F1929" s="18" t="inlineStr">
        <is>
          <t>F0047</t>
        </is>
      </c>
    </row>
    <row r="1930" ht="15.75" customHeight="1" s="108">
      <c r="A1930" s="18" t="inlineStr">
        <is>
          <t>Chris Gibbs</t>
        </is>
      </c>
      <c r="B1930" s="18" t="n">
        <v>1</v>
      </c>
      <c r="C1930" s="18" t="n">
        <v>2016</v>
      </c>
      <c r="D1930" s="18" t="n">
        <v>2016</v>
      </c>
      <c r="E1930" s="18" t="inlineStr">
        <is>
          <t>The BFG</t>
        </is>
      </c>
      <c r="F1930" s="18" t="inlineStr">
        <is>
          <t>F0047</t>
        </is>
      </c>
    </row>
    <row r="1931" ht="15.75" customHeight="1" s="108">
      <c r="A1931" s="18" t="inlineStr">
        <is>
          <t>Callum Seagram Airlie</t>
        </is>
      </c>
      <c r="B1931" s="18" t="n">
        <v>1</v>
      </c>
      <c r="C1931" s="18" t="n">
        <v>2016</v>
      </c>
      <c r="D1931" s="18" t="n">
        <v>2016</v>
      </c>
      <c r="E1931" s="18" t="inlineStr">
        <is>
          <t>The BFG</t>
        </is>
      </c>
      <c r="F1931" s="18" t="inlineStr">
        <is>
          <t>F0047</t>
        </is>
      </c>
    </row>
    <row r="1932" ht="15.75" customHeight="1" s="108">
      <c r="A1932" s="18" t="inlineStr">
        <is>
          <t>Shauna Hansen</t>
        </is>
      </c>
      <c r="B1932" s="18" t="n">
        <v>1</v>
      </c>
      <c r="C1932" s="18" t="n">
        <v>2016</v>
      </c>
      <c r="D1932" s="18" t="n">
        <v>2016</v>
      </c>
      <c r="E1932" s="18" t="inlineStr">
        <is>
          <t>The BFG</t>
        </is>
      </c>
      <c r="F1932" s="18" t="inlineStr">
        <is>
          <t>F0047</t>
        </is>
      </c>
    </row>
    <row r="1933" ht="15.75" customHeight="1" s="108">
      <c r="A1933" s="18" t="inlineStr">
        <is>
          <t>Denise Jones</t>
        </is>
      </c>
      <c r="B1933" s="18" t="n">
        <v>1</v>
      </c>
      <c r="C1933" s="18" t="n">
        <v>2016</v>
      </c>
      <c r="D1933" s="18" t="n">
        <v>2016</v>
      </c>
      <c r="E1933" s="18" t="inlineStr">
        <is>
          <t>The BFG</t>
        </is>
      </c>
      <c r="F1933" s="18" t="inlineStr">
        <is>
          <t>F0047</t>
        </is>
      </c>
    </row>
    <row r="1934" ht="15.75" customHeight="1" s="108">
      <c r="A1934" s="18" t="inlineStr">
        <is>
          <t>William Samples</t>
        </is>
      </c>
      <c r="B1934" s="18" t="n">
        <v>1</v>
      </c>
      <c r="C1934" s="18" t="n">
        <v>2016</v>
      </c>
      <c r="D1934" s="18" t="n">
        <v>2016</v>
      </c>
      <c r="E1934" s="18" t="inlineStr">
        <is>
          <t>The BFG</t>
        </is>
      </c>
      <c r="F1934" s="18" t="inlineStr">
        <is>
          <t>F0047</t>
        </is>
      </c>
    </row>
    <row r="1935" ht="15.75" customHeight="1" s="108">
      <c r="A1935" s="18" t="inlineStr">
        <is>
          <t>Andy Thompson</t>
        </is>
      </c>
      <c r="B1935" s="18" t="n">
        <v>1</v>
      </c>
      <c r="C1935" s="18" t="n">
        <v>2016</v>
      </c>
      <c r="D1935" s="18" t="n">
        <v>2016</v>
      </c>
      <c r="E1935" s="18" t="inlineStr">
        <is>
          <t>The BFG</t>
        </is>
      </c>
      <c r="F1935" s="18" t="inlineStr">
        <is>
          <t>F0047</t>
        </is>
      </c>
    </row>
    <row r="1936" ht="15.75" customHeight="1" s="108">
      <c r="A1936" s="18" t="inlineStr">
        <is>
          <t>Paul Barnhill</t>
        </is>
      </c>
      <c r="B1936" s="18" t="n">
        <v>1</v>
      </c>
      <c r="C1936" s="18" t="n">
        <v>2016</v>
      </c>
      <c r="D1936" s="18" t="n">
        <v>2016</v>
      </c>
      <c r="E1936" s="18" t="inlineStr">
        <is>
          <t>The BFG</t>
        </is>
      </c>
      <c r="F1936" s="18" t="inlineStr">
        <is>
          <t>F0047</t>
        </is>
      </c>
    </row>
    <row r="1937" ht="15.75" customHeight="1" s="108">
      <c r="A1937" s="18" t="inlineStr">
        <is>
          <t>Damon Wayans Jr.</t>
        </is>
      </c>
      <c r="B1937" s="18" t="n">
        <v>1</v>
      </c>
      <c r="C1937" s="18" t="n">
        <v>2014</v>
      </c>
      <c r="D1937" s="18" t="n">
        <v>2014</v>
      </c>
      <c r="E1937" s="18" t="inlineStr">
        <is>
          <t>Big Hero 6</t>
        </is>
      </c>
      <c r="F1937" s="18" t="inlineStr">
        <is>
          <t>F0048</t>
        </is>
      </c>
    </row>
    <row r="1938" ht="15.75" customHeight="1" s="108">
      <c r="A1938" s="18" t="inlineStr">
        <is>
          <t>Genesis Rodriguez</t>
        </is>
      </c>
      <c r="B1938" s="18" t="n">
        <v>2</v>
      </c>
      <c r="C1938" s="18" t="n">
        <v>2012</v>
      </c>
      <c r="D1938" s="18" t="n">
        <v>2014</v>
      </c>
      <c r="E1938" s="18" t="inlineStr">
        <is>
          <t>Big Hero 6, Man on a Ledge</t>
        </is>
      </c>
      <c r="F1938" s="18" t="inlineStr">
        <is>
          <t>F0048, F0210</t>
        </is>
      </c>
    </row>
    <row r="1939" ht="15.75" customHeight="1" s="108">
      <c r="A1939" s="18" t="inlineStr">
        <is>
          <t>James Cromwell</t>
        </is>
      </c>
      <c r="B1939" s="18" t="n">
        <v>3</v>
      </c>
      <c r="C1939" s="18" t="n">
        <v>2007</v>
      </c>
      <c r="D1939" s="18" t="n">
        <v>2018</v>
      </c>
      <c r="E1939" s="18" t="inlineStr">
        <is>
          <t>Big Hero 6, Jurassic World: Fallen Kingdom, Spider-Man 3</t>
        </is>
      </c>
      <c r="F1939" s="18" t="inlineStr">
        <is>
          <t>F0048, F0180, F0289</t>
        </is>
      </c>
    </row>
    <row r="1940" ht="15.75" customHeight="1" s="108">
      <c r="A1940" s="18" t="inlineStr">
        <is>
          <t>Abraham Benrubi</t>
        </is>
      </c>
      <c r="B1940" s="18" t="n">
        <v>1</v>
      </c>
      <c r="C1940" s="18" t="n">
        <v>2014</v>
      </c>
      <c r="D1940" s="18" t="n">
        <v>2014</v>
      </c>
      <c r="E1940" s="18" t="inlineStr">
        <is>
          <t>Big Hero 6</t>
        </is>
      </c>
      <c r="F1940" s="18" t="inlineStr">
        <is>
          <t>F0048</t>
        </is>
      </c>
    </row>
    <row r="1941" ht="15.75" customHeight="1" s="108">
      <c r="A1941" s="18" t="inlineStr">
        <is>
          <t>Katie Lowes</t>
        </is>
      </c>
      <c r="B1941" s="18" t="n">
        <v>4</v>
      </c>
      <c r="C1941" s="18" t="n">
        <v>2009</v>
      </c>
      <c r="D1941" s="18" t="n">
        <v>2018</v>
      </c>
      <c r="E1941" s="18" t="inlineStr">
        <is>
          <t>Big Hero 6, Transformers: Revenge of the Fallen, Wreck-It Ralph, Ralph Breaks the Internet</t>
        </is>
      </c>
      <c r="F1941" s="18" t="inlineStr">
        <is>
          <t>F0048, F0317, F0336, F0337</t>
        </is>
      </c>
    </row>
    <row r="1942" ht="15.75" customHeight="1" s="108">
      <c r="A1942" s="18" t="inlineStr">
        <is>
          <t>Billy Bush</t>
        </is>
      </c>
      <c r="B1942" s="18" t="n">
        <v>2</v>
      </c>
      <c r="C1942" s="18" t="n">
        <v>2008</v>
      </c>
      <c r="D1942" s="18" t="n">
        <v>2014</v>
      </c>
      <c r="E1942" s="18" t="inlineStr">
        <is>
          <t>Big Hero 6, Forgetting Sarah Marshall</t>
        </is>
      </c>
      <c r="F1942" s="18" t="inlineStr">
        <is>
          <t>F0048, F0115</t>
        </is>
      </c>
    </row>
    <row r="1943" ht="15.75" customHeight="1" s="108">
      <c r="A1943" s="18" t="inlineStr">
        <is>
          <t>Daniel Gerson</t>
        </is>
      </c>
      <c r="B1943" s="18" t="n">
        <v>5</v>
      </c>
      <c r="C1943" s="18" t="n">
        <v>2001</v>
      </c>
      <c r="D1943" s="18" t="n">
        <v>2014</v>
      </c>
      <c r="E1943" s="18" t="inlineStr">
        <is>
          <t>Big Hero 6, Monsters, Inc., Monsters, Inc., Monsters, Inc., Monsters, Inc.</t>
        </is>
      </c>
      <c r="F1943" s="18" t="inlineStr">
        <is>
          <t>F0048, F0229</t>
        </is>
      </c>
    </row>
    <row r="1944" ht="15.75" customHeight="1" s="108">
      <c r="A1944" s="18" t="inlineStr">
        <is>
          <t>Paul Briggs</t>
        </is>
      </c>
      <c r="B1944" s="18" t="n">
        <v>2</v>
      </c>
      <c r="C1944" s="18" t="n">
        <v>2013</v>
      </c>
      <c r="D1944" s="18" t="n">
        <v>2014</v>
      </c>
      <c r="E1944" s="18" t="inlineStr">
        <is>
          <t>Big Hero 6, Frozen</t>
        </is>
      </c>
      <c r="F1944" s="18" t="inlineStr">
        <is>
          <t>F0048, F0116</t>
        </is>
      </c>
    </row>
    <row r="1945" ht="15.75" customHeight="1" s="108">
      <c r="A1945" s="18" t="inlineStr">
        <is>
          <t>Charlie Adler</t>
        </is>
      </c>
      <c r="B1945" s="18" t="n">
        <v>2</v>
      </c>
      <c r="C1945" s="18" t="n">
        <v>2007</v>
      </c>
      <c r="D1945" s="18" t="n">
        <v>2014</v>
      </c>
      <c r="E1945" s="18" t="inlineStr">
        <is>
          <t>Big Hero 6, Transformers</t>
        </is>
      </c>
      <c r="F1945" s="18" t="inlineStr">
        <is>
          <t>F0048, F0316</t>
        </is>
      </c>
    </row>
    <row r="1946" ht="15.75" customHeight="1" s="108">
      <c r="A1946" s="18" t="inlineStr">
        <is>
          <t>Marcella Lentz-Pope</t>
        </is>
      </c>
      <c r="B1946" s="18" t="n">
        <v>2</v>
      </c>
      <c r="C1946" s="18" t="n">
        <v>2007</v>
      </c>
      <c r="D1946" s="18" t="n">
        <v>2014</v>
      </c>
      <c r="E1946" s="18" t="inlineStr">
        <is>
          <t>Big Hero 6, Superbad</t>
        </is>
      </c>
      <c r="F1946" s="18" t="inlineStr">
        <is>
          <t>F0048, F0303</t>
        </is>
      </c>
    </row>
    <row r="1947" ht="15.75" customHeight="1" s="108">
      <c r="A1947" s="18" t="inlineStr">
        <is>
          <t>David Shaughnessy</t>
        </is>
      </c>
      <c r="B1947" s="18" t="n">
        <v>1</v>
      </c>
      <c r="C1947" s="18" t="n">
        <v>2014</v>
      </c>
      <c r="D1947" s="18" t="n">
        <v>2014</v>
      </c>
      <c r="E1947" s="18" t="inlineStr">
        <is>
          <t>Big Hero 6</t>
        </is>
      </c>
      <c r="F1947" s="18" t="inlineStr">
        <is>
          <t>F0048</t>
        </is>
      </c>
    </row>
    <row r="1948" ht="15.75" customHeight="1" s="108">
      <c r="A1948" s="18" t="inlineStr">
        <is>
          <t>Cam Clarke</t>
        </is>
      </c>
      <c r="B1948" s="18" t="n">
        <v>2</v>
      </c>
      <c r="C1948" s="18" t="n">
        <v>2013</v>
      </c>
      <c r="D1948" s="18" t="n">
        <v>2014</v>
      </c>
      <c r="E1948" s="18" t="inlineStr">
        <is>
          <t>Big Hero 6, Lego Batman: The Movie - DC Super Heroes Unite</t>
        </is>
      </c>
      <c r="F1948" s="18" t="inlineStr">
        <is>
          <t>F0048, F0194</t>
        </is>
      </c>
    </row>
    <row r="1949" ht="15.75" customHeight="1" s="108">
      <c r="A1949" s="18" t="inlineStr">
        <is>
          <t>Nicholas Guest</t>
        </is>
      </c>
      <c r="B1949" s="18" t="n">
        <v>1</v>
      </c>
      <c r="C1949" s="18" t="n">
        <v>2014</v>
      </c>
      <c r="D1949" s="18" t="n">
        <v>2014</v>
      </c>
      <c r="E1949" s="18" t="inlineStr">
        <is>
          <t>Big Hero 6</t>
        </is>
      </c>
      <c r="F1949" s="18" t="inlineStr">
        <is>
          <t>F0048</t>
        </is>
      </c>
    </row>
    <row r="1950" ht="15.75" customHeight="1" s="108">
      <c r="A1950" s="18" t="inlineStr">
        <is>
          <t>Terri Douglas</t>
        </is>
      </c>
      <c r="B1950" s="18" t="n">
        <v>1</v>
      </c>
      <c r="C1950" s="18" t="n">
        <v>2014</v>
      </c>
      <c r="D1950" s="18" t="n">
        <v>2014</v>
      </c>
      <c r="E1950" s="18" t="inlineStr">
        <is>
          <t>Big Hero 6</t>
        </is>
      </c>
      <c r="F1950" s="18" t="inlineStr">
        <is>
          <t>F0048</t>
        </is>
      </c>
    </row>
    <row r="1951" ht="15.75" customHeight="1" s="108">
      <c r="A1951" s="18" t="inlineStr">
        <is>
          <t>Tim Mertens</t>
        </is>
      </c>
      <c r="B1951" s="18" t="n">
        <v>1</v>
      </c>
      <c r="C1951" s="18" t="n">
        <v>2014</v>
      </c>
      <c r="D1951" s="18" t="n">
        <v>2014</v>
      </c>
      <c r="E1951" s="18" t="inlineStr">
        <is>
          <t>Big Hero 6</t>
        </is>
      </c>
      <c r="F1951" s="18" t="inlineStr">
        <is>
          <t>F0048</t>
        </is>
      </c>
    </row>
    <row r="1952" ht="15.75" customHeight="1" s="108">
      <c r="A1952" s="18" t="inlineStr">
        <is>
          <t>Yuri Lowenthal</t>
        </is>
      </c>
      <c r="B1952" s="18" t="n">
        <v>2</v>
      </c>
      <c r="C1952" s="18" t="n">
        <v>2014</v>
      </c>
      <c r="D1952" s="18" t="n">
        <v>2016</v>
      </c>
      <c r="E1952" s="18" t="inlineStr">
        <is>
          <t>Big Hero 6, Lego DC Comics Super Heroes: Justice League - Gotham City Breakout</t>
        </is>
      </c>
      <c r="F1952" s="18" t="inlineStr">
        <is>
          <t>F0048, F0198</t>
        </is>
      </c>
    </row>
    <row r="1953" ht="15.75" customHeight="1" s="108">
      <c r="A1953" s="18" t="inlineStr">
        <is>
          <t>Sundra Oakley</t>
        </is>
      </c>
      <c r="B1953" s="18" t="n">
        <v>1</v>
      </c>
      <c r="C1953" s="18" t="n">
        <v>2014</v>
      </c>
      <c r="D1953" s="18" t="n">
        <v>2014</v>
      </c>
      <c r="E1953" s="18" t="inlineStr">
        <is>
          <t>Big Hero 6</t>
        </is>
      </c>
      <c r="F1953" s="18" t="inlineStr">
        <is>
          <t>F0048</t>
        </is>
      </c>
    </row>
    <row r="1954" ht="15.75" customHeight="1" s="108">
      <c r="A1954" s="18" t="inlineStr">
        <is>
          <t>Brian R. Norris</t>
        </is>
      </c>
      <c r="B1954" s="18" t="n">
        <v>1</v>
      </c>
      <c r="C1954" s="18" t="n">
        <v>2014</v>
      </c>
      <c r="D1954" s="18" t="n">
        <v>2014</v>
      </c>
      <c r="E1954" s="18" t="inlineStr">
        <is>
          <t>Big Hero 6</t>
        </is>
      </c>
      <c r="F1954" s="18" t="inlineStr">
        <is>
          <t>F0048</t>
        </is>
      </c>
    </row>
    <row r="1955" ht="15.75" customHeight="1" s="108">
      <c r="A1955" s="18" t="inlineStr">
        <is>
          <t>Shane Sweet</t>
        </is>
      </c>
      <c r="B1955" s="18" t="n">
        <v>1</v>
      </c>
      <c r="C1955" s="18" t="n">
        <v>2014</v>
      </c>
      <c r="D1955" s="18" t="n">
        <v>2014</v>
      </c>
      <c r="E1955" s="18" t="inlineStr">
        <is>
          <t>Big Hero 6</t>
        </is>
      </c>
      <c r="F1955" s="18" t="inlineStr">
        <is>
          <t>F0048</t>
        </is>
      </c>
    </row>
    <row r="1956" ht="15.75" customHeight="1" s="108">
      <c r="A1956" s="18" t="inlineStr">
        <is>
          <t>David Cowgill</t>
        </is>
      </c>
      <c r="B1956" s="18" t="n">
        <v>2</v>
      </c>
      <c r="C1956" s="18" t="n">
        <v>2013</v>
      </c>
      <c r="D1956" s="18" t="n">
        <v>2014</v>
      </c>
      <c r="E1956" s="18" t="inlineStr">
        <is>
          <t>Big Hero 6, Cloudy with a Chance of Meatballs 2</t>
        </is>
      </c>
      <c r="F1956" s="18" t="inlineStr">
        <is>
          <t>F0048, F0067</t>
        </is>
      </c>
    </row>
    <row r="1957" ht="15.75" customHeight="1" s="108">
      <c r="A1957" s="18" t="inlineStr">
        <is>
          <t>Kirk Baily</t>
        </is>
      </c>
      <c r="B1957" s="18" t="n">
        <v>2</v>
      </c>
      <c r="C1957" s="18" t="n">
        <v>2013</v>
      </c>
      <c r="D1957" s="18" t="n">
        <v>2014</v>
      </c>
      <c r="E1957" s="18" t="inlineStr">
        <is>
          <t>Big Hero 6, Frozen</t>
        </is>
      </c>
      <c r="F1957" s="18" t="inlineStr">
        <is>
          <t>F0048, F0116</t>
        </is>
      </c>
    </row>
    <row r="1958" ht="15.75" customHeight="1" s="108">
      <c r="A1958" s="18" t="inlineStr">
        <is>
          <t>Tara Reid</t>
        </is>
      </c>
      <c r="B1958" s="18" t="n">
        <v>1</v>
      </c>
      <c r="C1958" s="18" t="n">
        <v>1998</v>
      </c>
      <c r="D1958" s="18" t="n">
        <v>1998</v>
      </c>
      <c r="E1958" s="18" t="inlineStr">
        <is>
          <t>The Big Lebowski</t>
        </is>
      </c>
      <c r="F1958" s="18" t="inlineStr">
        <is>
          <t>F0049</t>
        </is>
      </c>
    </row>
    <row r="1959" ht="15.75" customHeight="1" s="108">
      <c r="A1959" s="18" t="inlineStr">
        <is>
          <t>Philip Moon</t>
        </is>
      </c>
      <c r="B1959" s="18" t="n">
        <v>1</v>
      </c>
      <c r="C1959" s="18" t="n">
        <v>1998</v>
      </c>
      <c r="D1959" s="18" t="n">
        <v>1998</v>
      </c>
      <c r="E1959" s="18" t="inlineStr">
        <is>
          <t>The Big Lebowski</t>
        </is>
      </c>
      <c r="F1959" s="18" t="inlineStr">
        <is>
          <t>F0049</t>
        </is>
      </c>
    </row>
    <row r="1960" ht="15.75" customHeight="1" s="108">
      <c r="A1960" s="18" t="inlineStr">
        <is>
          <t>Mark Pellegrino</t>
        </is>
      </c>
      <c r="B1960" s="18" t="n">
        <v>1</v>
      </c>
      <c r="C1960" s="18" t="n">
        <v>1998</v>
      </c>
      <c r="D1960" s="18" t="n">
        <v>1998</v>
      </c>
      <c r="E1960" s="18" t="inlineStr">
        <is>
          <t>The Big Lebowski</t>
        </is>
      </c>
      <c r="F1960" s="18" t="inlineStr">
        <is>
          <t>F0049</t>
        </is>
      </c>
    </row>
    <row r="1961" ht="15.75" customHeight="1" s="108">
      <c r="A1961" s="18" t="inlineStr">
        <is>
          <t>Torsten Voges</t>
        </is>
      </c>
      <c r="B1961" s="18" t="n">
        <v>1</v>
      </c>
      <c r="C1961" s="18" t="n">
        <v>1998</v>
      </c>
      <c r="D1961" s="18" t="n">
        <v>1998</v>
      </c>
      <c r="E1961" s="18" t="inlineStr">
        <is>
          <t>The Big Lebowski</t>
        </is>
      </c>
      <c r="F1961" s="18" t="inlineStr">
        <is>
          <t>F0049</t>
        </is>
      </c>
    </row>
    <row r="1962" ht="15.75" customHeight="1" s="108">
      <c r="A1962" s="18" t="inlineStr">
        <is>
          <t>Jimmie Dale Gilmore</t>
        </is>
      </c>
      <c r="B1962" s="18" t="n">
        <v>1</v>
      </c>
      <c r="C1962" s="18" t="n">
        <v>1998</v>
      </c>
      <c r="D1962" s="18" t="n">
        <v>1998</v>
      </c>
      <c r="E1962" s="18" t="inlineStr">
        <is>
          <t>The Big Lebowski</t>
        </is>
      </c>
      <c r="F1962" s="18" t="inlineStr">
        <is>
          <t>F0049</t>
        </is>
      </c>
    </row>
    <row r="1963" ht="15.75" customHeight="1" s="108">
      <c r="A1963" s="18" t="inlineStr">
        <is>
          <t>Jack Kehler</t>
        </is>
      </c>
      <c r="B1963" s="18" t="n">
        <v>1</v>
      </c>
      <c r="C1963" s="18" t="n">
        <v>1998</v>
      </c>
      <c r="D1963" s="18" t="n">
        <v>1998</v>
      </c>
      <c r="E1963" s="18" t="inlineStr">
        <is>
          <t>The Big Lebowski</t>
        </is>
      </c>
      <c r="F1963" s="18" t="inlineStr">
        <is>
          <t>F0049</t>
        </is>
      </c>
    </row>
    <row r="1964" ht="15.75" customHeight="1" s="108">
      <c r="A1964" s="18" t="inlineStr">
        <is>
          <t>James G. Hoosier</t>
        </is>
      </c>
      <c r="B1964" s="18" t="n">
        <v>1</v>
      </c>
      <c r="C1964" s="18" t="n">
        <v>1998</v>
      </c>
      <c r="D1964" s="18" t="n">
        <v>1998</v>
      </c>
      <c r="E1964" s="18" t="inlineStr">
        <is>
          <t>The Big Lebowski</t>
        </is>
      </c>
      <c r="F1964" s="18" t="inlineStr">
        <is>
          <t>F0049</t>
        </is>
      </c>
    </row>
    <row r="1965" ht="15.75" customHeight="1" s="108">
      <c r="A1965" s="18" t="inlineStr">
        <is>
          <t>Carlos Leon</t>
        </is>
      </c>
      <c r="B1965" s="18" t="n">
        <v>1</v>
      </c>
      <c r="C1965" s="18" t="n">
        <v>1998</v>
      </c>
      <c r="D1965" s="18" t="n">
        <v>1998</v>
      </c>
      <c r="E1965" s="18" t="inlineStr">
        <is>
          <t>The Big Lebowski</t>
        </is>
      </c>
      <c r="F1965" s="18" t="inlineStr">
        <is>
          <t>F0049</t>
        </is>
      </c>
    </row>
    <row r="1966" ht="15.75" customHeight="1" s="108">
      <c r="A1966" s="18" t="inlineStr">
        <is>
          <t>Terrence Burton</t>
        </is>
      </c>
      <c r="B1966" s="18" t="n">
        <v>1</v>
      </c>
      <c r="C1966" s="18" t="n">
        <v>1998</v>
      </c>
      <c r="D1966" s="18" t="n">
        <v>1998</v>
      </c>
      <c r="E1966" s="18" t="inlineStr">
        <is>
          <t>The Big Lebowski</t>
        </is>
      </c>
      <c r="F1966" s="18" t="inlineStr">
        <is>
          <t>F0049</t>
        </is>
      </c>
    </row>
    <row r="1967" ht="15.75" customHeight="1" s="108">
      <c r="A1967" s="18" t="inlineStr">
        <is>
          <t>Richard Gant</t>
        </is>
      </c>
      <c r="B1967" s="18" t="n">
        <v>1</v>
      </c>
      <c r="C1967" s="18" t="n">
        <v>1998</v>
      </c>
      <c r="D1967" s="18" t="n">
        <v>1998</v>
      </c>
      <c r="E1967" s="18" t="inlineStr">
        <is>
          <t>The Big Lebowski</t>
        </is>
      </c>
      <c r="F1967" s="18" t="inlineStr">
        <is>
          <t>F0049</t>
        </is>
      </c>
    </row>
    <row r="1968" ht="15.75" customHeight="1" s="108">
      <c r="A1968" s="18" t="inlineStr">
        <is>
          <t>Christian Clemenson</t>
        </is>
      </c>
      <c r="B1968" s="18" t="n">
        <v>1</v>
      </c>
      <c r="C1968" s="18" t="n">
        <v>1998</v>
      </c>
      <c r="D1968" s="18" t="n">
        <v>1998</v>
      </c>
      <c r="E1968" s="18" t="inlineStr">
        <is>
          <t>The Big Lebowski</t>
        </is>
      </c>
      <c r="F1968" s="18" t="inlineStr">
        <is>
          <t>F0049</t>
        </is>
      </c>
    </row>
    <row r="1969" ht="15.75" customHeight="1" s="108">
      <c r="A1969" s="18" t="inlineStr">
        <is>
          <t>Dom Irrera</t>
        </is>
      </c>
      <c r="B1969" s="18" t="n">
        <v>1</v>
      </c>
      <c r="C1969" s="18" t="n">
        <v>1998</v>
      </c>
      <c r="D1969" s="18" t="n">
        <v>1998</v>
      </c>
      <c r="E1969" s="18" t="inlineStr">
        <is>
          <t>The Big Lebowski</t>
        </is>
      </c>
      <c r="F1969" s="18" t="inlineStr">
        <is>
          <t>F0049</t>
        </is>
      </c>
    </row>
    <row r="1970" ht="15.75" customHeight="1" s="108">
      <c r="A1970" s="18" t="inlineStr">
        <is>
          <t>Gérard L'Heureux</t>
        </is>
      </c>
      <c r="B1970" s="18" t="n">
        <v>1</v>
      </c>
      <c r="C1970" s="18" t="n">
        <v>1998</v>
      </c>
      <c r="D1970" s="18" t="n">
        <v>1998</v>
      </c>
      <c r="E1970" s="18" t="inlineStr">
        <is>
          <t>The Big Lebowski</t>
        </is>
      </c>
      <c r="F1970" s="18" t="inlineStr">
        <is>
          <t>F0049</t>
        </is>
      </c>
    </row>
    <row r="1971" ht="15.75" customHeight="1" s="108">
      <c r="A1971" s="18" t="inlineStr">
        <is>
          <t>David Thewlis</t>
        </is>
      </c>
      <c r="B1971" s="18" t="n">
        <v>7</v>
      </c>
      <c r="C1971" s="18" t="n">
        <v>1998</v>
      </c>
      <c r="D1971" s="18" t="n">
        <v>2014</v>
      </c>
      <c r="E1971" s="18" t="inlineStr">
        <is>
          <t>The Big Lebowski, Harry Potter and the Prisoner of Azkaban, Harry Potter and the Order of the Phoenix, Harry Potter and the Half-Blood Prince, Harry Potter and the Deathly Hallows: Part 1, Harry Potter and the Deathly Hallows: Part 2, The Theory of Everything</t>
        </is>
      </c>
      <c r="F1971" s="18" t="inlineStr">
        <is>
          <t>F0049, F0139, F0141, F0142, F0143, F0144, F0311</t>
        </is>
      </c>
    </row>
    <row r="1972" ht="15.75" customHeight="1" s="108">
      <c r="A1972" s="18" t="inlineStr">
        <is>
          <t>Lu Elrod</t>
        </is>
      </c>
      <c r="B1972" s="18" t="n">
        <v>1</v>
      </c>
      <c r="C1972" s="18" t="n">
        <v>1998</v>
      </c>
      <c r="D1972" s="18" t="n">
        <v>1998</v>
      </c>
      <c r="E1972" s="18" t="inlineStr">
        <is>
          <t>The Big Lebowski</t>
        </is>
      </c>
      <c r="F1972" s="18" t="inlineStr">
        <is>
          <t>F0049</t>
        </is>
      </c>
    </row>
    <row r="1973" ht="15.75" customHeight="1" s="108">
      <c r="A1973" s="18" t="inlineStr">
        <is>
          <t>Mike Gomez</t>
        </is>
      </c>
      <c r="B1973" s="18" t="n">
        <v>1</v>
      </c>
      <c r="C1973" s="18" t="n">
        <v>1998</v>
      </c>
      <c r="D1973" s="18" t="n">
        <v>1998</v>
      </c>
      <c r="E1973" s="18" t="inlineStr">
        <is>
          <t>The Big Lebowski</t>
        </is>
      </c>
      <c r="F1973" s="18" t="inlineStr">
        <is>
          <t>F0049</t>
        </is>
      </c>
    </row>
    <row r="1974" ht="15.75" customHeight="1" s="108">
      <c r="A1974" s="18" t="inlineStr">
        <is>
          <t>Peter Siragusa</t>
        </is>
      </c>
      <c r="B1974" s="18" t="n">
        <v>2</v>
      </c>
      <c r="C1974" s="18" t="n">
        <v>1998</v>
      </c>
      <c r="D1974" s="18" t="n">
        <v>2013</v>
      </c>
      <c r="E1974" s="18" t="inlineStr">
        <is>
          <t>The Big Lebowski, Cloudy with a Chance of Meatballs 2</t>
        </is>
      </c>
      <c r="F1974" s="18" t="inlineStr">
        <is>
          <t>F0049, F0067</t>
        </is>
      </c>
    </row>
    <row r="1975" ht="15.75" customHeight="1" s="108">
      <c r="A1975" s="18" t="inlineStr">
        <is>
          <t>Sam Elliott</t>
        </is>
      </c>
      <c r="B1975" s="18" t="n">
        <v>1</v>
      </c>
      <c r="C1975" s="18" t="n">
        <v>1998</v>
      </c>
      <c r="D1975" s="18" t="n">
        <v>1998</v>
      </c>
      <c r="E1975" s="18" t="inlineStr">
        <is>
          <t>The Big Lebowski</t>
        </is>
      </c>
      <c r="F1975" s="18" t="inlineStr">
        <is>
          <t>F0049</t>
        </is>
      </c>
    </row>
    <row r="1976" ht="15.75" customHeight="1" s="108">
      <c r="A1976" s="18" t="inlineStr">
        <is>
          <t>Marshall Manesh</t>
        </is>
      </c>
      <c r="B1976" s="18" t="n">
        <v>1</v>
      </c>
      <c r="C1976" s="18" t="n">
        <v>1998</v>
      </c>
      <c r="D1976" s="18" t="n">
        <v>1998</v>
      </c>
      <c r="E1976" s="18" t="inlineStr">
        <is>
          <t>The Big Lebowski</t>
        </is>
      </c>
      <c r="F1976" s="18" t="inlineStr">
        <is>
          <t>F0049</t>
        </is>
      </c>
    </row>
    <row r="1977" ht="15.75" customHeight="1" s="108">
      <c r="A1977" s="18" t="inlineStr">
        <is>
          <t>Harry Bugin</t>
        </is>
      </c>
      <c r="B1977" s="18" t="n">
        <v>1</v>
      </c>
      <c r="C1977" s="18" t="n">
        <v>1998</v>
      </c>
      <c r="D1977" s="18" t="n">
        <v>1998</v>
      </c>
      <c r="E1977" s="18" t="inlineStr">
        <is>
          <t>The Big Lebowski</t>
        </is>
      </c>
      <c r="F1977" s="18" t="inlineStr">
        <is>
          <t>F0049</t>
        </is>
      </c>
    </row>
    <row r="1978" ht="15.75" customHeight="1" s="108">
      <c r="A1978" s="18" t="inlineStr">
        <is>
          <t>Jesse Flanagan</t>
        </is>
      </c>
      <c r="B1978" s="18" t="n">
        <v>1</v>
      </c>
      <c r="C1978" s="18" t="n">
        <v>1998</v>
      </c>
      <c r="D1978" s="18" t="n">
        <v>1998</v>
      </c>
      <c r="E1978" s="18" t="inlineStr">
        <is>
          <t>The Big Lebowski</t>
        </is>
      </c>
      <c r="F1978" s="18" t="inlineStr">
        <is>
          <t>F0049</t>
        </is>
      </c>
    </row>
    <row r="1979" ht="15.75" customHeight="1" s="108">
      <c r="A1979" s="18" t="inlineStr">
        <is>
          <t>Jason Isaacs</t>
        </is>
      </c>
      <c r="B1979" s="18" t="n">
        <v>8</v>
      </c>
      <c r="C1979" s="18" t="n">
        <v>2001</v>
      </c>
      <c r="D1979" s="18" t="n">
        <v>2014</v>
      </c>
      <c r="E1979" s="18" t="inlineStr">
        <is>
          <t>Black Hawk Down, Fury, Green Zone, Harry Potter and the Chamber of Secrets, Harry Potter and the Goblet of Fire, Harry Potter and the Order of the Phoenix, Harry Potter and the Deathly Hallows: Part 1, Harry Potter and the Deathly Hallows: Part 2</t>
        </is>
      </c>
      <c r="F1979" s="18" t="inlineStr">
        <is>
          <t>F0050, F0117, F0129, F0138, F0140, F0141, F0143, F0144</t>
        </is>
      </c>
    </row>
    <row r="1980" ht="15.75" customHeight="1" s="108">
      <c r="A1980" s="18" t="inlineStr">
        <is>
          <t>Ewen Bremner</t>
        </is>
      </c>
      <c r="B1980" s="18" t="n">
        <v>3</v>
      </c>
      <c r="C1980" s="18" t="n">
        <v>2001</v>
      </c>
      <c r="D1980" s="18" t="n">
        <v>2013</v>
      </c>
      <c r="E1980" s="18" t="inlineStr">
        <is>
          <t>Black Hawk Down, Pearl Harbor, Snowpiercer</t>
        </is>
      </c>
      <c r="F1980" s="18" t="inlineStr">
        <is>
          <t>F0050, F0246, F0283</t>
        </is>
      </c>
    </row>
    <row r="1981" ht="15.75" customHeight="1" s="108">
      <c r="A1981" s="18" t="inlineStr">
        <is>
          <t>Charlie Hofheimer</t>
        </is>
      </c>
      <c r="B1981" s="18" t="n">
        <v>1</v>
      </c>
      <c r="C1981" s="18" t="n">
        <v>2001</v>
      </c>
      <c r="D1981" s="18" t="n">
        <v>2001</v>
      </c>
      <c r="E1981" s="18" t="inlineStr">
        <is>
          <t>Black Hawk Down</t>
        </is>
      </c>
      <c r="F1981" s="18" t="inlineStr">
        <is>
          <t>F0050</t>
        </is>
      </c>
    </row>
    <row r="1982" ht="15.75" customHeight="1" s="108">
      <c r="A1982" s="18" t="inlineStr">
        <is>
          <t>Hugh Dancy</t>
        </is>
      </c>
      <c r="B1982" s="18" t="n">
        <v>1</v>
      </c>
      <c r="C1982" s="18" t="n">
        <v>2001</v>
      </c>
      <c r="D1982" s="18" t="n">
        <v>2001</v>
      </c>
      <c r="E1982" s="18" t="inlineStr">
        <is>
          <t>Black Hawk Down</t>
        </is>
      </c>
      <c r="F1982" s="18" t="inlineStr">
        <is>
          <t>F0050</t>
        </is>
      </c>
    </row>
    <row r="1983" ht="15.75" customHeight="1" s="108">
      <c r="A1983" s="18" t="inlineStr">
        <is>
          <t>Tom Guiry</t>
        </is>
      </c>
      <c r="B1983" s="18" t="n">
        <v>1</v>
      </c>
      <c r="C1983" s="18" t="n">
        <v>2001</v>
      </c>
      <c r="D1983" s="18" t="n">
        <v>2001</v>
      </c>
      <c r="E1983" s="18" t="inlineStr">
        <is>
          <t>Black Hawk Down</t>
        </is>
      </c>
      <c r="F1983" s="18" t="inlineStr">
        <is>
          <t>F0050</t>
        </is>
      </c>
    </row>
    <row r="1984" ht="15.75" customHeight="1" s="108">
      <c r="A1984" s="18" t="inlineStr">
        <is>
          <t>Brian Van Holt</t>
        </is>
      </c>
      <c r="B1984" s="18" t="n">
        <v>1</v>
      </c>
      <c r="C1984" s="18" t="n">
        <v>2001</v>
      </c>
      <c r="D1984" s="18" t="n">
        <v>2001</v>
      </c>
      <c r="E1984" s="18" t="inlineStr">
        <is>
          <t>Black Hawk Down</t>
        </is>
      </c>
      <c r="F1984" s="18" t="inlineStr">
        <is>
          <t>F0050</t>
        </is>
      </c>
    </row>
    <row r="1985" ht="15.75" customHeight="1" s="108">
      <c r="A1985" s="18" t="inlineStr">
        <is>
          <t>Steven Ford</t>
        </is>
      </c>
      <c r="B1985" s="18" t="n">
        <v>1</v>
      </c>
      <c r="C1985" s="18" t="n">
        <v>2001</v>
      </c>
      <c r="D1985" s="18" t="n">
        <v>2001</v>
      </c>
      <c r="E1985" s="18" t="inlineStr">
        <is>
          <t>Black Hawk Down</t>
        </is>
      </c>
      <c r="F1985" s="18" t="inlineStr">
        <is>
          <t>F0050</t>
        </is>
      </c>
    </row>
    <row r="1986" ht="15.75" customHeight="1" s="108">
      <c r="A1986" s="18" t="inlineStr">
        <is>
          <t>Ron Eldard</t>
        </is>
      </c>
      <c r="B1986" s="18" t="n">
        <v>2</v>
      </c>
      <c r="C1986" s="18" t="n">
        <v>2001</v>
      </c>
      <c r="D1986" s="18" t="n">
        <v>2011</v>
      </c>
      <c r="E1986" s="18" t="inlineStr">
        <is>
          <t>Black Hawk Down, Super 8</t>
        </is>
      </c>
      <c r="F1986" s="18" t="inlineStr">
        <is>
          <t>F0050, F0302</t>
        </is>
      </c>
    </row>
    <row r="1987" ht="15.75" customHeight="1" s="108">
      <c r="A1987" s="18" t="inlineStr">
        <is>
          <t>Gregory Sporleder</t>
        </is>
      </c>
      <c r="B1987" s="18" t="n">
        <v>1</v>
      </c>
      <c r="C1987" s="18" t="n">
        <v>2001</v>
      </c>
      <c r="D1987" s="18" t="n">
        <v>2001</v>
      </c>
      <c r="E1987" s="18" t="inlineStr">
        <is>
          <t>Black Hawk Down</t>
        </is>
      </c>
      <c r="F1987" s="18" t="inlineStr">
        <is>
          <t>F0050</t>
        </is>
      </c>
    </row>
    <row r="1988" ht="15.75" customHeight="1" s="108">
      <c r="A1988" s="18" t="inlineStr">
        <is>
          <t>Johnny Strong</t>
        </is>
      </c>
      <c r="B1988" s="18" t="n">
        <v>2</v>
      </c>
      <c r="C1988" s="18" t="n">
        <v>2001</v>
      </c>
      <c r="D1988" s="18" t="n">
        <v>2001</v>
      </c>
      <c r="E1988" s="18" t="inlineStr">
        <is>
          <t>Black Hawk Down, The Fast and the Furious</t>
        </is>
      </c>
      <c r="F1988" s="18" t="inlineStr">
        <is>
          <t>F0050, F0101</t>
        </is>
      </c>
    </row>
    <row r="1989" ht="15.75" customHeight="1" s="108">
      <c r="A1989" s="18" t="inlineStr">
        <is>
          <t>Kim Coates</t>
        </is>
      </c>
      <c r="B1989" s="18" t="n">
        <v>1</v>
      </c>
      <c r="C1989" s="18" t="n">
        <v>2001</v>
      </c>
      <c r="D1989" s="18" t="n">
        <v>2001</v>
      </c>
      <c r="E1989" s="18" t="inlineStr">
        <is>
          <t>Black Hawk Down</t>
        </is>
      </c>
      <c r="F1989" s="18" t="inlineStr">
        <is>
          <t>F0050</t>
        </is>
      </c>
    </row>
    <row r="1990" ht="15.75" customHeight="1" s="108">
      <c r="A1990" s="18" t="inlineStr">
        <is>
          <t>Jeremy Piven</t>
        </is>
      </c>
      <c r="B1990" s="18" t="n">
        <v>1</v>
      </c>
      <c r="C1990" s="18" t="n">
        <v>2001</v>
      </c>
      <c r="D1990" s="18" t="n">
        <v>2001</v>
      </c>
      <c r="E1990" s="18" t="inlineStr">
        <is>
          <t>Black Hawk Down</t>
        </is>
      </c>
      <c r="F1990" s="18" t="inlineStr">
        <is>
          <t>F0050</t>
        </is>
      </c>
    </row>
    <row r="1991" ht="15.75" customHeight="1" s="108">
      <c r="A1991" s="18" t="inlineStr">
        <is>
          <t>Enrique Murciano</t>
        </is>
      </c>
      <c r="B1991" s="18" t="n">
        <v>2</v>
      </c>
      <c r="C1991" s="18" t="n">
        <v>2001</v>
      </c>
      <c r="D1991" s="18" t="n">
        <v>2014</v>
      </c>
      <c r="E1991" s="18" t="inlineStr">
        <is>
          <t>Black Hawk Down, Dawn of the Planet of the Apes</t>
        </is>
      </c>
      <c r="F1991" s="18" t="inlineStr">
        <is>
          <t>F0050, F0254</t>
        </is>
      </c>
    </row>
    <row r="1992" ht="15.75" customHeight="1" s="108">
      <c r="A1992" s="18" t="inlineStr">
        <is>
          <t>Glenn Morshower</t>
        </is>
      </c>
      <c r="B1992" s="18" t="n">
        <v>5</v>
      </c>
      <c r="C1992" s="18" t="n">
        <v>2001</v>
      </c>
      <c r="D1992" s="18" t="n">
        <v>2017</v>
      </c>
      <c r="E1992" s="18" t="inlineStr">
        <is>
          <t>Black Hawk Down, Transformers: Revenge of the Fallen, Transformers: Dark of the Moon, Transformers: The Last Knight, X-Men: First Class</t>
        </is>
      </c>
      <c r="F1992" s="18" t="inlineStr">
        <is>
          <t>F0050, F0317, F0318, F0320, F0340</t>
        </is>
      </c>
    </row>
    <row r="1993" ht="15.75" customHeight="1" s="108">
      <c r="A1993" s="18" t="inlineStr">
        <is>
          <t>Brendan Sexton III</t>
        </is>
      </c>
      <c r="B1993" s="18" t="n">
        <v>1</v>
      </c>
      <c r="C1993" s="18" t="n">
        <v>2001</v>
      </c>
      <c r="D1993" s="18" t="n">
        <v>2001</v>
      </c>
      <c r="E1993" s="18" t="inlineStr">
        <is>
          <t>Black Hawk Down</t>
        </is>
      </c>
      <c r="F1993" s="18" t="inlineStr">
        <is>
          <t>F0050</t>
        </is>
      </c>
    </row>
    <row r="1994" ht="15.75" customHeight="1" s="108">
      <c r="A1994" s="18" t="inlineStr">
        <is>
          <t>Carmine Giovinazzo</t>
        </is>
      </c>
      <c r="B1994" s="18" t="n">
        <v>1</v>
      </c>
      <c r="C1994" s="18" t="n">
        <v>2001</v>
      </c>
      <c r="D1994" s="18" t="n">
        <v>2001</v>
      </c>
      <c r="E1994" s="18" t="inlineStr">
        <is>
          <t>Black Hawk Down</t>
        </is>
      </c>
      <c r="F1994" s="18" t="inlineStr">
        <is>
          <t>F0050</t>
        </is>
      </c>
    </row>
    <row r="1995" ht="15.75" customHeight="1" s="108">
      <c r="A1995" s="18" t="inlineStr">
        <is>
          <t>George Harris</t>
        </is>
      </c>
      <c r="B1995" s="18" t="n">
        <v>2</v>
      </c>
      <c r="C1995" s="18" t="n">
        <v>2001</v>
      </c>
      <c r="D1995" s="18" t="n">
        <v>2007</v>
      </c>
      <c r="E1995" s="18" t="inlineStr">
        <is>
          <t>Black Hawk Down, Harry Potter and the Order of the Phoenix</t>
        </is>
      </c>
      <c r="F1995" s="18" t="inlineStr">
        <is>
          <t>F0050, F0141</t>
        </is>
      </c>
    </row>
    <row r="1996" ht="15.75" customHeight="1" s="108">
      <c r="A1996" s="18" t="inlineStr">
        <is>
          <t>Razaaq Adoti</t>
        </is>
      </c>
      <c r="B1996" s="18" t="n">
        <v>1</v>
      </c>
      <c r="C1996" s="18" t="n">
        <v>2001</v>
      </c>
      <c r="D1996" s="18" t="n">
        <v>2001</v>
      </c>
      <c r="E1996" s="18" t="inlineStr">
        <is>
          <t>Black Hawk Down</t>
        </is>
      </c>
      <c r="F1996" s="18" t="inlineStr">
        <is>
          <t>F0050</t>
        </is>
      </c>
    </row>
    <row r="1997" ht="15.75" customHeight="1" s="108">
      <c r="A1997" s="18" t="inlineStr">
        <is>
          <t>Treva Etienne</t>
        </is>
      </c>
      <c r="B1997" s="18" t="n">
        <v>2</v>
      </c>
      <c r="C1997" s="18" t="n">
        <v>2001</v>
      </c>
      <c r="D1997" s="18" t="n">
        <v>2009</v>
      </c>
      <c r="E1997" s="18" t="inlineStr">
        <is>
          <t>Black Hawk Down, Terminator Salvation</t>
        </is>
      </c>
      <c r="F1997" s="18" t="inlineStr">
        <is>
          <t>F0050, F0310</t>
        </is>
      </c>
    </row>
    <row r="1998" ht="15.75" customHeight="1" s="108">
      <c r="A1998" s="18" t="inlineStr">
        <is>
          <t>Golshifteh Farahani</t>
        </is>
      </c>
      <c r="B1998" s="18" t="n">
        <v>1</v>
      </c>
      <c r="C1998" s="18" t="n">
        <v>2008</v>
      </c>
      <c r="D1998" s="18" t="n">
        <v>2008</v>
      </c>
      <c r="E1998" s="18" t="inlineStr">
        <is>
          <t>Body of Lies</t>
        </is>
      </c>
      <c r="F1998" s="18" t="inlineStr">
        <is>
          <t>F0051</t>
        </is>
      </c>
    </row>
    <row r="1999" ht="15.75" customHeight="1" s="108">
      <c r="A1999" s="18" t="inlineStr">
        <is>
          <t>Lubna Azabal</t>
        </is>
      </c>
      <c r="B1999" s="18" t="n">
        <v>1</v>
      </c>
      <c r="C1999" s="18" t="n">
        <v>2008</v>
      </c>
      <c r="D1999" s="18" t="n">
        <v>2008</v>
      </c>
      <c r="E1999" s="18" t="inlineStr">
        <is>
          <t>Body of Lies</t>
        </is>
      </c>
      <c r="F1999" s="18" t="inlineStr">
        <is>
          <t>F0051</t>
        </is>
      </c>
    </row>
    <row r="2000" ht="15.75" customHeight="1" s="108">
      <c r="A2000" s="18" t="inlineStr">
        <is>
          <t>Michael Stuhlbarg</t>
        </is>
      </c>
      <c r="B2000" s="18" t="n">
        <v>2</v>
      </c>
      <c r="C2000" s="18" t="n">
        <v>2008</v>
      </c>
      <c r="D2000" s="18" t="n">
        <v>2012</v>
      </c>
      <c r="E2000" s="18" t="inlineStr">
        <is>
          <t>Body of Lies, Men in Black 3</t>
        </is>
      </c>
      <c r="F2000" s="18" t="inlineStr">
        <is>
          <t>F0051, F0219</t>
        </is>
      </c>
    </row>
    <row r="2001" ht="15.75" customHeight="1" s="108">
      <c r="A2001" s="18" t="inlineStr">
        <is>
          <t>Mehdi Nebbou</t>
        </is>
      </c>
      <c r="B2001" s="18" t="n">
        <v>1</v>
      </c>
      <c r="C2001" s="18" t="n">
        <v>2008</v>
      </c>
      <c r="D2001" s="18" t="n">
        <v>2008</v>
      </c>
      <c r="E2001" s="18" t="inlineStr">
        <is>
          <t>Body of Lies</t>
        </is>
      </c>
      <c r="F2001" s="18" t="inlineStr">
        <is>
          <t>F0051</t>
        </is>
      </c>
    </row>
    <row r="2002" ht="15.75" customHeight="1" s="108">
      <c r="A2002" s="18" t="inlineStr">
        <is>
          <t>Michael Gaston</t>
        </is>
      </c>
      <c r="B2002" s="18" t="n">
        <v>1</v>
      </c>
      <c r="C2002" s="18" t="n">
        <v>2008</v>
      </c>
      <c r="D2002" s="18" t="n">
        <v>2008</v>
      </c>
      <c r="E2002" s="18" t="inlineStr">
        <is>
          <t>Body of Lies</t>
        </is>
      </c>
      <c r="F2002" s="18" t="inlineStr">
        <is>
          <t>F0051</t>
        </is>
      </c>
    </row>
    <row r="2003" ht="15.75" customHeight="1" s="108">
      <c r="A2003" s="18" t="inlineStr">
        <is>
          <t>Vince Colosimo</t>
        </is>
      </c>
      <c r="B2003" s="18" t="n">
        <v>2</v>
      </c>
      <c r="C2003" s="18" t="n">
        <v>2008</v>
      </c>
      <c r="D2003" s="18" t="n">
        <v>2013</v>
      </c>
      <c r="E2003" s="18" t="inlineStr">
        <is>
          <t>Body of Lies, The Great Gatsby</t>
        </is>
      </c>
      <c r="F2003" s="18" t="inlineStr">
        <is>
          <t>F0051, F0126</t>
        </is>
      </c>
    </row>
    <row r="2004" ht="15.75" customHeight="1" s="108">
      <c r="A2004" s="18" t="inlineStr">
        <is>
          <t>Qais Nashif</t>
        </is>
      </c>
      <c r="B2004" s="18" t="n">
        <v>1</v>
      </c>
      <c r="C2004" s="18" t="n">
        <v>2008</v>
      </c>
      <c r="D2004" s="18" t="n">
        <v>2008</v>
      </c>
      <c r="E2004" s="18" t="inlineStr">
        <is>
          <t>Body of Lies</t>
        </is>
      </c>
      <c r="F2004" s="18" t="inlineStr">
        <is>
          <t>F0051</t>
        </is>
      </c>
    </row>
    <row r="2005" ht="15.75" customHeight="1" s="108">
      <c r="A2005" s="18" t="inlineStr">
        <is>
          <t>Ghali Benlafkih</t>
        </is>
      </c>
      <c r="B2005" s="18" t="n">
        <v>1</v>
      </c>
      <c r="C2005" s="18" t="n">
        <v>2008</v>
      </c>
      <c r="D2005" s="18" t="n">
        <v>2008</v>
      </c>
      <c r="E2005" s="18" t="inlineStr">
        <is>
          <t>Body of Lies</t>
        </is>
      </c>
      <c r="F2005" s="18" t="inlineStr">
        <is>
          <t>F0051</t>
        </is>
      </c>
    </row>
    <row r="2006" ht="15.75" customHeight="1" s="108">
      <c r="A2006" s="18" t="inlineStr">
        <is>
          <t>Clara Khoury</t>
        </is>
      </c>
      <c r="B2006" s="18" t="n">
        <v>1</v>
      </c>
      <c r="C2006" s="18" t="n">
        <v>2008</v>
      </c>
      <c r="D2006" s="18" t="n">
        <v>2008</v>
      </c>
      <c r="E2006" s="18" t="inlineStr">
        <is>
          <t>Body of Lies</t>
        </is>
      </c>
      <c r="F2006" s="18" t="inlineStr">
        <is>
          <t>F0051</t>
        </is>
      </c>
    </row>
    <row r="2007" ht="15.75" customHeight="1" s="108">
      <c r="A2007" s="18" t="inlineStr">
        <is>
          <t>Annabelle Wallis</t>
        </is>
      </c>
      <c r="B2007" s="18" t="n">
        <v>2</v>
      </c>
      <c r="C2007" s="18" t="n">
        <v>2008</v>
      </c>
      <c r="D2007" s="18" t="n">
        <v>2016</v>
      </c>
      <c r="E2007" s="18" t="inlineStr">
        <is>
          <t>Body of Lies, Grimsby</t>
        </is>
      </c>
      <c r="F2007" s="18" t="inlineStr">
        <is>
          <t>F0051, F0130</t>
        </is>
      </c>
    </row>
    <row r="2008" ht="15.75" customHeight="1" s="108">
      <c r="A2008" s="18" t="inlineStr">
        <is>
          <t>Giannina Facio</t>
        </is>
      </c>
      <c r="B2008" s="18" t="n">
        <v>2</v>
      </c>
      <c r="C2008" s="18" t="n">
        <v>2008</v>
      </c>
      <c r="D2008" s="18" t="n">
        <v>2012</v>
      </c>
      <c r="E2008" s="18" t="inlineStr">
        <is>
          <t>Body of Lies, Prometheus</t>
        </is>
      </c>
      <c r="F2008" s="18" t="inlineStr">
        <is>
          <t>F0051, F0259</t>
        </is>
      </c>
    </row>
    <row r="2009" ht="15.75" customHeight="1" s="108">
      <c r="A2009" s="18" t="inlineStr">
        <is>
          <t>Xanthe Elbrick</t>
        </is>
      </c>
      <c r="B2009" s="18" t="n">
        <v>1</v>
      </c>
      <c r="C2009" s="18" t="n">
        <v>2008</v>
      </c>
      <c r="D2009" s="18" t="n">
        <v>2008</v>
      </c>
      <c r="E2009" s="18" t="inlineStr">
        <is>
          <t>Body of Lies</t>
        </is>
      </c>
      <c r="F2009" s="18" t="inlineStr">
        <is>
          <t>F0051</t>
        </is>
      </c>
    </row>
    <row r="2010" ht="15.75" customHeight="1" s="108">
      <c r="A2010" s="18" t="inlineStr">
        <is>
          <t>Jameel Khoury</t>
        </is>
      </c>
      <c r="B2010" s="18" t="n">
        <v>1</v>
      </c>
      <c r="C2010" s="18" t="n">
        <v>2008</v>
      </c>
      <c r="D2010" s="18" t="n">
        <v>2008</v>
      </c>
      <c r="E2010" s="18" t="inlineStr">
        <is>
          <t>Body of Lies</t>
        </is>
      </c>
      <c r="F2010" s="18" t="inlineStr">
        <is>
          <t>F0051</t>
        </is>
      </c>
    </row>
    <row r="2011" ht="15.75" customHeight="1" s="108">
      <c r="A2011" s="18" t="inlineStr">
        <is>
          <t>Aaron Lee Wright</t>
        </is>
      </c>
      <c r="B2011" s="18" t="n">
        <v>1</v>
      </c>
      <c r="C2011" s="18" t="n">
        <v>2008</v>
      </c>
      <c r="D2011" s="18" t="n">
        <v>2008</v>
      </c>
      <c r="E2011" s="18" t="inlineStr">
        <is>
          <t>Body of Lies</t>
        </is>
      </c>
      <c r="F2011" s="18" t="inlineStr">
        <is>
          <t>F0051</t>
        </is>
      </c>
    </row>
    <row r="2012" ht="15.75" customHeight="1" s="108">
      <c r="A2012" s="18" t="inlineStr">
        <is>
          <t>Tom Hollander</t>
        </is>
      </c>
      <c r="B2012" s="18" t="n">
        <v>3</v>
      </c>
      <c r="C2012" s="18" t="n">
        <v>2014</v>
      </c>
      <c r="D2012" s="18" t="n">
        <v>2018</v>
      </c>
      <c r="E2012" s="18" t="inlineStr">
        <is>
          <t>Bohemian Rhapsody, Mission: Impossible - Rogue Nation, Muppets Most Wanted</t>
        </is>
      </c>
      <c r="F2012" s="18" t="inlineStr">
        <is>
          <t>F0052, F0225, F0232</t>
        </is>
      </c>
    </row>
    <row r="2013" ht="15.75" customHeight="1" s="108">
      <c r="A2013" s="18" t="inlineStr">
        <is>
          <t>Mike Myers</t>
        </is>
      </c>
      <c r="B2013" s="18" t="n">
        <v>2</v>
      </c>
      <c r="C2013" s="18" t="n">
        <v>2009</v>
      </c>
      <c r="D2013" s="18" t="n">
        <v>2018</v>
      </c>
      <c r="E2013" s="18" t="inlineStr">
        <is>
          <t>Bohemian Rhapsody, Inglourious Basterds</t>
        </is>
      </c>
      <c r="F2013" s="18" t="inlineStr">
        <is>
          <t>F0052, F0166</t>
        </is>
      </c>
    </row>
    <row r="2014" ht="15.75" customHeight="1" s="108">
      <c r="A2014" s="18" t="inlineStr">
        <is>
          <t>Aaron McCusker</t>
        </is>
      </c>
      <c r="B2014" s="18" t="n">
        <v>1</v>
      </c>
      <c r="C2014" s="18" t="n">
        <v>2018</v>
      </c>
      <c r="D2014" s="18" t="n">
        <v>2018</v>
      </c>
      <c r="E2014" s="18" t="inlineStr">
        <is>
          <t>Bohemian Rhapsody</t>
        </is>
      </c>
      <c r="F2014" s="18" t="inlineStr">
        <is>
          <t>F0052</t>
        </is>
      </c>
    </row>
    <row r="2015" ht="15.75" customHeight="1" s="108">
      <c r="A2015" s="18" t="inlineStr">
        <is>
          <t>Meneka Das</t>
        </is>
      </c>
      <c r="B2015" s="18" t="n">
        <v>1</v>
      </c>
      <c r="C2015" s="18" t="n">
        <v>2018</v>
      </c>
      <c r="D2015" s="18" t="n">
        <v>2018</v>
      </c>
      <c r="E2015" s="18" t="inlineStr">
        <is>
          <t>Bohemian Rhapsody</t>
        </is>
      </c>
      <c r="F2015" s="18" t="inlineStr">
        <is>
          <t>F0052</t>
        </is>
      </c>
    </row>
    <row r="2016" ht="15.75" customHeight="1" s="108">
      <c r="A2016" s="18" t="inlineStr">
        <is>
          <t>Ace Bhatti</t>
        </is>
      </c>
      <c r="B2016" s="18" t="n">
        <v>1</v>
      </c>
      <c r="C2016" s="18" t="n">
        <v>2018</v>
      </c>
      <c r="D2016" s="18" t="n">
        <v>2018</v>
      </c>
      <c r="E2016" s="18" t="inlineStr">
        <is>
          <t>Bohemian Rhapsody</t>
        </is>
      </c>
      <c r="F2016" s="18" t="inlineStr">
        <is>
          <t>F0052</t>
        </is>
      </c>
    </row>
    <row r="2017" ht="15.75" customHeight="1" s="108">
      <c r="A2017" s="18" t="inlineStr">
        <is>
          <t>Priya Blackburn</t>
        </is>
      </c>
      <c r="B2017" s="18" t="n">
        <v>1</v>
      </c>
      <c r="C2017" s="18" t="n">
        <v>2018</v>
      </c>
      <c r="D2017" s="18" t="n">
        <v>2018</v>
      </c>
      <c r="E2017" s="18" t="inlineStr">
        <is>
          <t>Bohemian Rhapsody</t>
        </is>
      </c>
      <c r="F2017" s="18" t="inlineStr">
        <is>
          <t>F0052</t>
        </is>
      </c>
    </row>
    <row r="2018" ht="15.75" customHeight="1" s="108">
      <c r="A2018" s="18" t="inlineStr">
        <is>
          <t>Max Bennett</t>
        </is>
      </c>
      <c r="B2018" s="18" t="n">
        <v>3</v>
      </c>
      <c r="C2018" s="18" t="n">
        <v>2012</v>
      </c>
      <c r="D2018" s="18" t="n">
        <v>2020</v>
      </c>
      <c r="E2018" s="18" t="inlineStr">
        <is>
          <t>Bohemian Rhapsody, The Gentlemen, The Sweeney</t>
        </is>
      </c>
      <c r="F2018" s="18" t="inlineStr">
        <is>
          <t>F0052, F0119, F0305</t>
        </is>
      </c>
    </row>
    <row r="2019" ht="15.75" customHeight="1" s="108">
      <c r="A2019" s="18" t="inlineStr">
        <is>
          <t>Dermot Murphy</t>
        </is>
      </c>
      <c r="B2019" s="18" t="n">
        <v>1</v>
      </c>
      <c r="C2019" s="18" t="n">
        <v>2018</v>
      </c>
      <c r="D2019" s="18" t="n">
        <v>2018</v>
      </c>
      <c r="E2019" s="18" t="inlineStr">
        <is>
          <t>Bohemian Rhapsody</t>
        </is>
      </c>
      <c r="F2019" s="18" t="inlineStr">
        <is>
          <t>F0052</t>
        </is>
      </c>
    </row>
    <row r="2020" ht="15.75" customHeight="1" s="108">
      <c r="A2020" s="18" t="inlineStr">
        <is>
          <t>Dickie Beau</t>
        </is>
      </c>
      <c r="B2020" s="18" t="n">
        <v>1</v>
      </c>
      <c r="C2020" s="18" t="n">
        <v>2018</v>
      </c>
      <c r="D2020" s="18" t="n">
        <v>2018</v>
      </c>
      <c r="E2020" s="18" t="inlineStr">
        <is>
          <t>Bohemian Rhapsody</t>
        </is>
      </c>
      <c r="F2020" s="18" t="inlineStr">
        <is>
          <t>F0052</t>
        </is>
      </c>
    </row>
    <row r="2021" ht="15.75" customHeight="1" s="108">
      <c r="A2021" s="18" t="inlineStr">
        <is>
          <t>Jack Roth</t>
        </is>
      </c>
      <c r="B2021" s="18" t="n">
        <v>1</v>
      </c>
      <c r="C2021" s="18" t="n">
        <v>2018</v>
      </c>
      <c r="D2021" s="18" t="n">
        <v>2018</v>
      </c>
      <c r="E2021" s="18" t="inlineStr">
        <is>
          <t>Bohemian Rhapsody</t>
        </is>
      </c>
      <c r="F2021" s="18" t="inlineStr">
        <is>
          <t>F0052</t>
        </is>
      </c>
    </row>
    <row r="2022" ht="15.75" customHeight="1" s="108">
      <c r="A2022" s="18" t="inlineStr">
        <is>
          <t>Neil Fox-Roberts</t>
        </is>
      </c>
      <c r="B2022" s="18" t="n">
        <v>1</v>
      </c>
      <c r="C2022" s="18" t="n">
        <v>2018</v>
      </c>
      <c r="D2022" s="18" t="n">
        <v>2018</v>
      </c>
      <c r="E2022" s="18" t="inlineStr">
        <is>
          <t>Bohemian Rhapsody</t>
        </is>
      </c>
      <c r="F2022" s="18" t="inlineStr">
        <is>
          <t>F0052</t>
        </is>
      </c>
    </row>
    <row r="2023" ht="15.75" customHeight="1" s="108">
      <c r="A2023" s="18" t="inlineStr">
        <is>
          <t>Jess Radomska</t>
        </is>
      </c>
      <c r="B2023" s="18" t="n">
        <v>1</v>
      </c>
      <c r="C2023" s="18" t="n">
        <v>2018</v>
      </c>
      <c r="D2023" s="18" t="n">
        <v>2018</v>
      </c>
      <c r="E2023" s="18" t="inlineStr">
        <is>
          <t>Bohemian Rhapsody</t>
        </is>
      </c>
      <c r="F2023" s="18" t="inlineStr">
        <is>
          <t>F0052</t>
        </is>
      </c>
    </row>
    <row r="2024" ht="15.75" customHeight="1" s="108">
      <c r="A2024" s="18" t="inlineStr">
        <is>
          <t>Michelle Duncan</t>
        </is>
      </c>
      <c r="B2024" s="18" t="n">
        <v>1</v>
      </c>
      <c r="C2024" s="18" t="n">
        <v>2018</v>
      </c>
      <c r="D2024" s="18" t="n">
        <v>2018</v>
      </c>
      <c r="E2024" s="18" t="inlineStr">
        <is>
          <t>Bohemian Rhapsody</t>
        </is>
      </c>
      <c r="F2024" s="18" t="inlineStr">
        <is>
          <t>F0052</t>
        </is>
      </c>
    </row>
    <row r="2025" ht="15.75" customHeight="1" s="108">
      <c r="A2025" s="18" t="inlineStr">
        <is>
          <t>Ross Green</t>
        </is>
      </c>
      <c r="B2025" s="18" t="n">
        <v>1</v>
      </c>
      <c r="C2025" s="18" t="n">
        <v>2018</v>
      </c>
      <c r="D2025" s="18" t="n">
        <v>2018</v>
      </c>
      <c r="E2025" s="18" t="inlineStr">
        <is>
          <t>Bohemian Rhapsody</t>
        </is>
      </c>
      <c r="F2025" s="18" t="inlineStr">
        <is>
          <t>F0052</t>
        </is>
      </c>
    </row>
    <row r="2026" ht="15.75" customHeight="1" s="108">
      <c r="A2026" s="18" t="inlineStr">
        <is>
          <t>Bruce Mackinnon</t>
        </is>
      </c>
      <c r="B2026" s="18" t="n">
        <v>1</v>
      </c>
      <c r="C2026" s="18" t="n">
        <v>2018</v>
      </c>
      <c r="D2026" s="18" t="n">
        <v>2018</v>
      </c>
      <c r="E2026" s="18" t="inlineStr">
        <is>
          <t>Bohemian Rhapsody</t>
        </is>
      </c>
      <c r="F2026" s="18" t="inlineStr">
        <is>
          <t>F0052</t>
        </is>
      </c>
    </row>
    <row r="2027" ht="15.75" customHeight="1" s="108">
      <c r="A2027" s="18" t="inlineStr">
        <is>
          <t>Joshua Higgott</t>
        </is>
      </c>
      <c r="B2027" s="18" t="n">
        <v>1</v>
      </c>
      <c r="C2027" s="18" t="n">
        <v>2018</v>
      </c>
      <c r="D2027" s="18" t="n">
        <v>2018</v>
      </c>
      <c r="E2027" s="18" t="inlineStr">
        <is>
          <t>Bohemian Rhapsody</t>
        </is>
      </c>
      <c r="F2027" s="18" t="inlineStr">
        <is>
          <t>F0052</t>
        </is>
      </c>
    </row>
    <row r="2028" ht="15.75" customHeight="1" s="108">
      <c r="A2028" s="18" t="inlineStr">
        <is>
          <t>Pat Lally</t>
        </is>
      </c>
      <c r="B2028" s="18" t="n">
        <v>1</v>
      </c>
      <c r="C2028" s="18" t="n">
        <v>2018</v>
      </c>
      <c r="D2028" s="18" t="n">
        <v>2018</v>
      </c>
      <c r="E2028" s="18" t="inlineStr">
        <is>
          <t>Bohemian Rhapsody</t>
        </is>
      </c>
      <c r="F2028" s="18" t="inlineStr">
        <is>
          <t>F0052</t>
        </is>
      </c>
    </row>
    <row r="2029" ht="15.75" customHeight="1" s="108">
      <c r="A2029" s="18" t="inlineStr">
        <is>
          <t>William Owen</t>
        </is>
      </c>
      <c r="B2029" s="18" t="n">
        <v>1</v>
      </c>
      <c r="C2029" s="18" t="n">
        <v>2018</v>
      </c>
      <c r="D2029" s="18" t="n">
        <v>2018</v>
      </c>
      <c r="E2029" s="18" t="inlineStr">
        <is>
          <t>Bohemian Rhapsody</t>
        </is>
      </c>
      <c r="F2029" s="18" t="inlineStr">
        <is>
          <t>F0052</t>
        </is>
      </c>
    </row>
    <row r="2030" ht="15.75" customHeight="1" s="108">
      <c r="A2030" s="18" t="inlineStr">
        <is>
          <t>Philip Andrew Truempi</t>
        </is>
      </c>
      <c r="B2030" s="18" t="n">
        <v>1</v>
      </c>
      <c r="C2030" s="18" t="n">
        <v>2018</v>
      </c>
      <c r="D2030" s="18" t="n">
        <v>2018</v>
      </c>
      <c r="E2030" s="18" t="inlineStr">
        <is>
          <t>Bohemian Rhapsody</t>
        </is>
      </c>
      <c r="F2030" s="18" t="inlineStr">
        <is>
          <t>F0052</t>
        </is>
      </c>
    </row>
    <row r="2031" ht="15.75" customHeight="1" s="108">
      <c r="A2031" s="18" t="inlineStr">
        <is>
          <t>Tim Plester</t>
        </is>
      </c>
      <c r="B2031" s="18" t="n">
        <v>1</v>
      </c>
      <c r="C2031" s="18" t="n">
        <v>2018</v>
      </c>
      <c r="D2031" s="18" t="n">
        <v>2018</v>
      </c>
      <c r="E2031" s="18" t="inlineStr">
        <is>
          <t>Bohemian Rhapsody</t>
        </is>
      </c>
      <c r="F2031" s="18" t="inlineStr">
        <is>
          <t>F0052</t>
        </is>
      </c>
    </row>
    <row r="2032" ht="15.75" customHeight="1" s="108">
      <c r="A2032" s="18" t="inlineStr">
        <is>
          <t>Felipe Bejarano</t>
        </is>
      </c>
      <c r="B2032" s="18" t="n">
        <v>1</v>
      </c>
      <c r="C2032" s="18" t="n">
        <v>2018</v>
      </c>
      <c r="D2032" s="18" t="n">
        <v>2018</v>
      </c>
      <c r="E2032" s="18" t="inlineStr">
        <is>
          <t>Bohemian Rhapsody</t>
        </is>
      </c>
      <c r="F2032" s="18" t="inlineStr">
        <is>
          <t>F0052</t>
        </is>
      </c>
    </row>
    <row r="2033" ht="15.75" customHeight="1" s="108">
      <c r="A2033" s="18" t="inlineStr">
        <is>
          <t>Kieran Hardcastle</t>
        </is>
      </c>
      <c r="B2033" s="18" t="n">
        <v>1</v>
      </c>
      <c r="C2033" s="18" t="n">
        <v>2018</v>
      </c>
      <c r="D2033" s="18" t="n">
        <v>2018</v>
      </c>
      <c r="E2033" s="18" t="inlineStr">
        <is>
          <t>Bohemian Rhapsody</t>
        </is>
      </c>
      <c r="F2033" s="18" t="inlineStr">
        <is>
          <t>F0052</t>
        </is>
      </c>
    </row>
    <row r="2034" ht="15.75" customHeight="1" s="108">
      <c r="A2034" s="18" t="inlineStr">
        <is>
          <t>Martin Oelbermann</t>
        </is>
      </c>
      <c r="B2034" s="18" t="n">
        <v>1</v>
      </c>
      <c r="C2034" s="18" t="n">
        <v>2018</v>
      </c>
      <c r="D2034" s="18" t="n">
        <v>2018</v>
      </c>
      <c r="E2034" s="18" t="inlineStr">
        <is>
          <t>Bohemian Rhapsody</t>
        </is>
      </c>
      <c r="F2034" s="18" t="inlineStr">
        <is>
          <t>F0052</t>
        </is>
      </c>
    </row>
    <row r="2035" ht="15.75" customHeight="1" s="108">
      <c r="A2035" s="18" t="inlineStr">
        <is>
          <t>Gabriel Mann</t>
        </is>
      </c>
      <c r="B2035" s="18" t="n">
        <v>2</v>
      </c>
      <c r="C2035" s="18" t="n">
        <v>2002</v>
      </c>
      <c r="D2035" s="18" t="n">
        <v>2004</v>
      </c>
      <c r="E2035" s="18" t="inlineStr">
        <is>
          <t>The Bourne Identity, The Bourne Supremacy</t>
        </is>
      </c>
      <c r="F2035" s="18" t="inlineStr">
        <is>
          <t>F0053, F0054</t>
        </is>
      </c>
    </row>
    <row r="2036" ht="15.75" customHeight="1" s="108">
      <c r="A2036" s="18" t="inlineStr">
        <is>
          <t>Walton Goggins</t>
        </is>
      </c>
      <c r="B2036" s="18" t="n">
        <v>3</v>
      </c>
      <c r="C2036" s="18" t="n">
        <v>2002</v>
      </c>
      <c r="D2036" s="18" t="n">
        <v>2012</v>
      </c>
      <c r="E2036" s="18" t="inlineStr">
        <is>
          <t>The Bourne Identity, Cowboys &amp; Aliens, Django Unchained</t>
        </is>
      </c>
      <c r="F2036" s="18" t="inlineStr">
        <is>
          <t>F0053, F0073, F0090</t>
        </is>
      </c>
    </row>
    <row r="2037" ht="15.75" customHeight="1" s="108">
      <c r="A2037" s="18" t="inlineStr">
        <is>
          <t>Josh Hamilton</t>
        </is>
      </c>
      <c r="B2037" s="18" t="n">
        <v>1</v>
      </c>
      <c r="C2037" s="18" t="n">
        <v>2002</v>
      </c>
      <c r="D2037" s="18" t="n">
        <v>2002</v>
      </c>
      <c r="E2037" s="18" t="inlineStr">
        <is>
          <t>The Bourne Identity</t>
        </is>
      </c>
      <c r="F2037" s="18" t="inlineStr">
        <is>
          <t>F0053</t>
        </is>
      </c>
    </row>
    <row r="2038" ht="15.75" customHeight="1" s="108">
      <c r="A2038" s="18" t="inlineStr">
        <is>
          <t>Orso Maria Guerrini</t>
        </is>
      </c>
      <c r="B2038" s="18" t="n">
        <v>1</v>
      </c>
      <c r="C2038" s="18" t="n">
        <v>2002</v>
      </c>
      <c r="D2038" s="18" t="n">
        <v>2002</v>
      </c>
      <c r="E2038" s="18" t="inlineStr">
        <is>
          <t>The Bourne Identity</t>
        </is>
      </c>
      <c r="F2038" s="18" t="inlineStr">
        <is>
          <t>F0053</t>
        </is>
      </c>
    </row>
    <row r="2039" ht="15.75" customHeight="1" s="108">
      <c r="A2039" s="18" t="inlineStr">
        <is>
          <t>Tim Dutton</t>
        </is>
      </c>
      <c r="B2039" s="18" t="n">
        <v>1</v>
      </c>
      <c r="C2039" s="18" t="n">
        <v>2002</v>
      </c>
      <c r="D2039" s="18" t="n">
        <v>2002</v>
      </c>
      <c r="E2039" s="18" t="inlineStr">
        <is>
          <t>The Bourne Identity</t>
        </is>
      </c>
      <c r="F2039" s="18" t="inlineStr">
        <is>
          <t>F0053</t>
        </is>
      </c>
    </row>
    <row r="2040" ht="15.75" customHeight="1" s="108">
      <c r="A2040" s="18" t="inlineStr">
        <is>
          <t>Denis Braccini</t>
        </is>
      </c>
      <c r="B2040" s="18" t="n">
        <v>1</v>
      </c>
      <c r="C2040" s="18" t="n">
        <v>2002</v>
      </c>
      <c r="D2040" s="18" t="n">
        <v>2002</v>
      </c>
      <c r="E2040" s="18" t="inlineStr">
        <is>
          <t>The Bourne Identity</t>
        </is>
      </c>
      <c r="F2040" s="18" t="inlineStr">
        <is>
          <t>F0053</t>
        </is>
      </c>
    </row>
    <row r="2041" ht="15.75" customHeight="1" s="108">
      <c r="A2041" s="18" t="inlineStr">
        <is>
          <t>Nicky Naudé</t>
        </is>
      </c>
      <c r="B2041" s="18" t="n">
        <v>1</v>
      </c>
      <c r="C2041" s="18" t="n">
        <v>2002</v>
      </c>
      <c r="D2041" s="18" t="n">
        <v>2002</v>
      </c>
      <c r="E2041" s="18" t="inlineStr">
        <is>
          <t>The Bourne Identity</t>
        </is>
      </c>
      <c r="F2041" s="18" t="inlineStr">
        <is>
          <t>F0053</t>
        </is>
      </c>
    </row>
    <row r="2042" ht="15.75" customHeight="1" s="108">
      <c r="A2042" s="18" t="inlineStr">
        <is>
          <t>David Selburg</t>
        </is>
      </c>
      <c r="B2042" s="18" t="n">
        <v>1</v>
      </c>
      <c r="C2042" s="18" t="n">
        <v>2002</v>
      </c>
      <c r="D2042" s="18" t="n">
        <v>2002</v>
      </c>
      <c r="E2042" s="18" t="inlineStr">
        <is>
          <t>The Bourne Identity</t>
        </is>
      </c>
      <c r="F2042" s="18" t="inlineStr">
        <is>
          <t>F0053</t>
        </is>
      </c>
    </row>
    <row r="2043" ht="15.75" customHeight="1" s="108">
      <c r="A2043" s="18" t="inlineStr">
        <is>
          <t>Demetri Goritsas</t>
        </is>
      </c>
      <c r="B2043" s="18" t="n">
        <v>2</v>
      </c>
      <c r="C2043" s="18" t="n">
        <v>2002</v>
      </c>
      <c r="D2043" s="18" t="n">
        <v>2011</v>
      </c>
      <c r="E2043" s="18" t="inlineStr">
        <is>
          <t>The Bourne Identity, X-Men: First Class</t>
        </is>
      </c>
      <c r="F2043" s="18" t="inlineStr">
        <is>
          <t>F0053, F0340</t>
        </is>
      </c>
    </row>
    <row r="2044" ht="15.75" customHeight="1" s="108">
      <c r="A2044" s="18" t="inlineStr">
        <is>
          <t>Russell Levy</t>
        </is>
      </c>
      <c r="B2044" s="18" t="n">
        <v>1</v>
      </c>
      <c r="C2044" s="18" t="n">
        <v>2002</v>
      </c>
      <c r="D2044" s="18" t="n">
        <v>2002</v>
      </c>
      <c r="E2044" s="18" t="inlineStr">
        <is>
          <t>The Bourne Identity</t>
        </is>
      </c>
      <c r="F2044" s="18" t="inlineStr">
        <is>
          <t>F0053</t>
        </is>
      </c>
    </row>
    <row r="2045" ht="15.75" customHeight="1" s="108">
      <c r="A2045" s="18" t="inlineStr">
        <is>
          <t>Anthony Green</t>
        </is>
      </c>
      <c r="B2045" s="18" t="n">
        <v>1</v>
      </c>
      <c r="C2045" s="18" t="n">
        <v>2002</v>
      </c>
      <c r="D2045" s="18" t="n">
        <v>2002</v>
      </c>
      <c r="E2045" s="18" t="inlineStr">
        <is>
          <t>The Bourne Identity</t>
        </is>
      </c>
      <c r="F2045" s="18" t="inlineStr">
        <is>
          <t>F0053</t>
        </is>
      </c>
    </row>
    <row r="2046" ht="15.75" customHeight="1" s="108">
      <c r="A2046" s="18" t="inlineStr">
        <is>
          <t>Hubert Saint-Macary</t>
        </is>
      </c>
      <c r="B2046" s="18" t="n">
        <v>1</v>
      </c>
      <c r="C2046" s="18" t="n">
        <v>2002</v>
      </c>
      <c r="D2046" s="18" t="n">
        <v>2002</v>
      </c>
      <c r="E2046" s="18" t="inlineStr">
        <is>
          <t>The Bourne Identity</t>
        </is>
      </c>
      <c r="F2046" s="18" t="inlineStr">
        <is>
          <t>F0053</t>
        </is>
      </c>
    </row>
    <row r="2047" ht="15.75" customHeight="1" s="108">
      <c r="A2047" s="18" t="inlineStr">
        <is>
          <t>David Bamber</t>
        </is>
      </c>
      <c r="B2047" s="18" t="n">
        <v>2</v>
      </c>
      <c r="C2047" s="18" t="n">
        <v>2002</v>
      </c>
      <c r="D2047" s="18" t="n">
        <v>2010</v>
      </c>
      <c r="E2047" s="18" t="inlineStr">
        <is>
          <t>The Bourne Identity, The King's Speech</t>
        </is>
      </c>
      <c r="F2047" s="18" t="inlineStr">
        <is>
          <t>F0053, F0189</t>
        </is>
      </c>
    </row>
    <row r="2048" ht="15.75" customHeight="1" s="108">
      <c r="A2048" s="18" t="inlineStr">
        <is>
          <t>Gwenaël Clause</t>
        </is>
      </c>
      <c r="B2048" s="18" t="n">
        <v>1</v>
      </c>
      <c r="C2048" s="18" t="n">
        <v>2002</v>
      </c>
      <c r="D2048" s="18" t="n">
        <v>2002</v>
      </c>
      <c r="E2048" s="18" t="inlineStr">
        <is>
          <t>The Bourne Identity</t>
        </is>
      </c>
      <c r="F2048" s="18" t="inlineStr">
        <is>
          <t>F0053</t>
        </is>
      </c>
    </row>
    <row r="2049" ht="15.75" customHeight="1" s="108">
      <c r="A2049" s="18" t="inlineStr">
        <is>
          <t>Emanuel Booz</t>
        </is>
      </c>
      <c r="B2049" s="18" t="n">
        <v>1</v>
      </c>
      <c r="C2049" s="18" t="n">
        <v>2002</v>
      </c>
      <c r="D2049" s="18" t="n">
        <v>2002</v>
      </c>
      <c r="E2049" s="18" t="inlineStr">
        <is>
          <t>The Bourne Identity</t>
        </is>
      </c>
      <c r="F2049" s="18" t="inlineStr">
        <is>
          <t>F0053</t>
        </is>
      </c>
    </row>
    <row r="2050" ht="15.75" customHeight="1" s="108">
      <c r="A2050" s="18" t="inlineStr">
        <is>
          <t>Philippe Durand</t>
        </is>
      </c>
      <c r="B2050" s="18" t="n">
        <v>1</v>
      </c>
      <c r="C2050" s="18" t="n">
        <v>2002</v>
      </c>
      <c r="D2050" s="18" t="n">
        <v>2002</v>
      </c>
      <c r="E2050" s="18" t="inlineStr">
        <is>
          <t>The Bourne Identity</t>
        </is>
      </c>
      <c r="F2050" s="18" t="inlineStr">
        <is>
          <t>F0053</t>
        </is>
      </c>
    </row>
    <row r="2051" ht="15.75" customHeight="1" s="108">
      <c r="A2051" s="18" t="inlineStr">
        <is>
          <t>Vincent Franklin</t>
        </is>
      </c>
      <c r="B2051" s="18" t="n">
        <v>1</v>
      </c>
      <c r="C2051" s="18" t="n">
        <v>2002</v>
      </c>
      <c r="D2051" s="18" t="n">
        <v>2002</v>
      </c>
      <c r="E2051" s="18" t="inlineStr">
        <is>
          <t>The Bourne Identity</t>
        </is>
      </c>
      <c r="F2051" s="18" t="inlineStr">
        <is>
          <t>F0053</t>
        </is>
      </c>
    </row>
    <row r="2052" ht="15.75" customHeight="1" s="108">
      <c r="A2052" s="18" t="inlineStr">
        <is>
          <t>Paulette Frantz</t>
        </is>
      </c>
      <c r="B2052" s="18" t="n">
        <v>1</v>
      </c>
      <c r="C2052" s="18" t="n">
        <v>2002</v>
      </c>
      <c r="D2052" s="18" t="n">
        <v>2002</v>
      </c>
      <c r="E2052" s="18" t="inlineStr">
        <is>
          <t>The Bourne Identity</t>
        </is>
      </c>
      <c r="F2052" s="18" t="inlineStr">
        <is>
          <t>F0053</t>
        </is>
      </c>
    </row>
    <row r="2053" ht="15.75" customHeight="1" s="108">
      <c r="A2053" s="18" t="inlineStr">
        <is>
          <t>Thierry René</t>
        </is>
      </c>
      <c r="B2053" s="18" t="n">
        <v>1</v>
      </c>
      <c r="C2053" s="18" t="n">
        <v>2002</v>
      </c>
      <c r="D2053" s="18" t="n">
        <v>2002</v>
      </c>
      <c r="E2053" s="18" t="inlineStr">
        <is>
          <t>The Bourne Identity</t>
        </is>
      </c>
      <c r="F2053" s="18" t="inlineStr">
        <is>
          <t>F0053</t>
        </is>
      </c>
    </row>
    <row r="2054" ht="15.75" customHeight="1" s="108">
      <c r="A2054" s="18" t="inlineStr">
        <is>
          <t>Roger Frost</t>
        </is>
      </c>
      <c r="B2054" s="18" t="n">
        <v>1</v>
      </c>
      <c r="C2054" s="18" t="n">
        <v>2002</v>
      </c>
      <c r="D2054" s="18" t="n">
        <v>2002</v>
      </c>
      <c r="E2054" s="18" t="inlineStr">
        <is>
          <t>The Bourne Identity</t>
        </is>
      </c>
      <c r="F2054" s="18" t="inlineStr">
        <is>
          <t>F0053</t>
        </is>
      </c>
    </row>
    <row r="2055" ht="15.75" customHeight="1" s="108">
      <c r="A2055" s="18" t="inlineStr">
        <is>
          <t>David Gasman</t>
        </is>
      </c>
      <c r="B2055" s="18" t="n">
        <v>1</v>
      </c>
      <c r="C2055" s="18" t="n">
        <v>2002</v>
      </c>
      <c r="D2055" s="18" t="n">
        <v>2002</v>
      </c>
      <c r="E2055" s="18" t="inlineStr">
        <is>
          <t>The Bourne Identity</t>
        </is>
      </c>
      <c r="F2055" s="18" t="inlineStr">
        <is>
          <t>F0053</t>
        </is>
      </c>
    </row>
    <row r="2056" ht="15.75" customHeight="1" s="108">
      <c r="A2056" s="18" t="inlineStr">
        <is>
          <t>Harry Gilbert</t>
        </is>
      </c>
      <c r="B2056" s="18" t="n">
        <v>1</v>
      </c>
      <c r="C2056" s="18" t="n">
        <v>2002</v>
      </c>
      <c r="D2056" s="18" t="n">
        <v>2002</v>
      </c>
      <c r="E2056" s="18" t="inlineStr">
        <is>
          <t>The Bourne Identity</t>
        </is>
      </c>
      <c r="F2056" s="18" t="inlineStr">
        <is>
          <t>F0053</t>
        </is>
      </c>
    </row>
    <row r="2057" ht="15.75" customHeight="1" s="108">
      <c r="A2057" s="18" t="inlineStr">
        <is>
          <t>Delphine Lanson</t>
        </is>
      </c>
      <c r="B2057" s="18" t="n">
        <v>1</v>
      </c>
      <c r="C2057" s="18" t="n">
        <v>2002</v>
      </c>
      <c r="D2057" s="18" t="n">
        <v>2002</v>
      </c>
      <c r="E2057" s="18" t="inlineStr">
        <is>
          <t>The Bourne Identity</t>
        </is>
      </c>
      <c r="F2057" s="18" t="inlineStr">
        <is>
          <t>F0053</t>
        </is>
      </c>
    </row>
    <row r="2058" ht="15.75" customHeight="1" s="108">
      <c r="A2058" s="18" t="inlineStr">
        <is>
          <t>Marton Csokas</t>
        </is>
      </c>
      <c r="B2058" s="18" t="n">
        <v>5</v>
      </c>
      <c r="C2058" s="18" t="n">
        <v>2001</v>
      </c>
      <c r="D2058" s="18" t="n">
        <v>2014</v>
      </c>
      <c r="E2058" s="18" t="inlineStr">
        <is>
          <t>The Bourne Supremacy, The Lord of the Rings: The Fellowship of the Ring, The Lord of the Rings: The Return of the King, Noah, amazing spider-man 2</t>
        </is>
      </c>
      <c r="F2058" s="18" t="inlineStr">
        <is>
          <t>F0054, F0203, F0205, F0238, F0363</t>
        </is>
      </c>
    </row>
    <row r="2059" ht="15.75" customHeight="1" s="108">
      <c r="A2059" s="18" t="inlineStr">
        <is>
          <t>Tom Gallop</t>
        </is>
      </c>
      <c r="B2059" s="18" t="n">
        <v>2</v>
      </c>
      <c r="C2059" s="18" t="n">
        <v>2004</v>
      </c>
      <c r="D2059" s="18" t="n">
        <v>2007</v>
      </c>
      <c r="E2059" s="18" t="inlineStr">
        <is>
          <t>The Bourne Supremacy, The Bourne Ultimatum</t>
        </is>
      </c>
      <c r="F2059" s="18" t="inlineStr">
        <is>
          <t>F0054, F0055</t>
        </is>
      </c>
    </row>
    <row r="2060" ht="15.75" customHeight="1" s="108">
      <c r="A2060" s="18" t="inlineStr">
        <is>
          <t>John Bedford Lloyd</t>
        </is>
      </c>
      <c r="B2060" s="18" t="n">
        <v>1</v>
      </c>
      <c r="C2060" s="18" t="n">
        <v>2004</v>
      </c>
      <c r="D2060" s="18" t="n">
        <v>2004</v>
      </c>
      <c r="E2060" s="18" t="inlineStr">
        <is>
          <t>The Bourne Supremacy</t>
        </is>
      </c>
      <c r="F2060" s="18" t="inlineStr">
        <is>
          <t>F0054</t>
        </is>
      </c>
    </row>
    <row r="2061" ht="15.75" customHeight="1" s="108">
      <c r="A2061" s="18" t="inlineStr">
        <is>
          <t>Ethan Sandler</t>
        </is>
      </c>
      <c r="B2061" s="18" t="n">
        <v>1</v>
      </c>
      <c r="C2061" s="18" t="n">
        <v>2004</v>
      </c>
      <c r="D2061" s="18" t="n">
        <v>2004</v>
      </c>
      <c r="E2061" s="18" t="inlineStr">
        <is>
          <t>The Bourne Supremacy</t>
        </is>
      </c>
      <c r="F2061" s="18" t="inlineStr">
        <is>
          <t>F0054</t>
        </is>
      </c>
    </row>
    <row r="2062" ht="15.75" customHeight="1" s="108">
      <c r="A2062" s="18" t="inlineStr">
        <is>
          <t>Karel Roden</t>
        </is>
      </c>
      <c r="B2062" s="18" t="n">
        <v>2</v>
      </c>
      <c r="C2062" s="18" t="n">
        <v>2004</v>
      </c>
      <c r="D2062" s="18" t="n">
        <v>2004</v>
      </c>
      <c r="E2062" s="18" t="inlineStr">
        <is>
          <t>The Bourne Supremacy, hellboy</t>
        </is>
      </c>
      <c r="F2062" s="18" t="inlineStr">
        <is>
          <t>F0054, F0373</t>
        </is>
      </c>
    </row>
    <row r="2063" ht="15.75" customHeight="1" s="108">
      <c r="A2063" s="18" t="inlineStr">
        <is>
          <t>Tomas Arana</t>
        </is>
      </c>
      <c r="B2063" s="18" t="n">
        <v>1</v>
      </c>
      <c r="C2063" s="18" t="n">
        <v>2004</v>
      </c>
      <c r="D2063" s="18" t="n">
        <v>2004</v>
      </c>
      <c r="E2063" s="18" t="inlineStr">
        <is>
          <t>The Bourne Supremacy</t>
        </is>
      </c>
      <c r="F2063" s="18" t="inlineStr">
        <is>
          <t>F0054</t>
        </is>
      </c>
    </row>
    <row r="2064" ht="15.75" customHeight="1" s="108">
      <c r="A2064" s="18" t="inlineStr">
        <is>
          <t>Oksana Akinshina</t>
        </is>
      </c>
      <c r="B2064" s="18" t="n">
        <v>1</v>
      </c>
      <c r="C2064" s="18" t="n">
        <v>2004</v>
      </c>
      <c r="D2064" s="18" t="n">
        <v>2004</v>
      </c>
      <c r="E2064" s="18" t="inlineStr">
        <is>
          <t>The Bourne Supremacy</t>
        </is>
      </c>
      <c r="F2064" s="18" t="inlineStr">
        <is>
          <t>F0054</t>
        </is>
      </c>
    </row>
    <row r="2065" ht="15.75" customHeight="1" s="108">
      <c r="A2065" s="18" t="inlineStr">
        <is>
          <t>Yevgeni Sitokhin</t>
        </is>
      </c>
      <c r="B2065" s="18" t="n">
        <v>1</v>
      </c>
      <c r="C2065" s="18" t="n">
        <v>2004</v>
      </c>
      <c r="D2065" s="18" t="n">
        <v>2004</v>
      </c>
      <c r="E2065" s="18" t="inlineStr">
        <is>
          <t>The Bourne Supremacy</t>
        </is>
      </c>
      <c r="F2065" s="18" t="inlineStr">
        <is>
          <t>F0054</t>
        </is>
      </c>
    </row>
    <row r="2066" ht="15.75" customHeight="1" s="108">
      <c r="A2066" s="18" t="inlineStr">
        <is>
          <t>Marina Weis</t>
        </is>
      </c>
      <c r="B2066" s="18" t="n">
        <v>1</v>
      </c>
      <c r="C2066" s="18" t="n">
        <v>2004</v>
      </c>
      <c r="D2066" s="18" t="n">
        <v>2004</v>
      </c>
      <c r="E2066" s="18" t="inlineStr">
        <is>
          <t>The Bourne Supremacy</t>
        </is>
      </c>
      <c r="F2066" s="18" t="inlineStr">
        <is>
          <t>F0054</t>
        </is>
      </c>
    </row>
    <row r="2067" ht="15.75" customHeight="1" s="108">
      <c r="A2067" s="18" t="inlineStr">
        <is>
          <t>Tim Griffin</t>
        </is>
      </c>
      <c r="B2067" s="18" t="n">
        <v>2</v>
      </c>
      <c r="C2067" s="18" t="n">
        <v>2004</v>
      </c>
      <c r="D2067" s="18" t="n">
        <v>2009</v>
      </c>
      <c r="E2067" s="18" t="inlineStr">
        <is>
          <t>The Bourne Supremacy, Star Trek</t>
        </is>
      </c>
      <c r="F2067" s="18" t="inlineStr">
        <is>
          <t>F0054, F0291</t>
        </is>
      </c>
    </row>
    <row r="2068" ht="15.75" customHeight="1" s="108">
      <c r="A2068" s="18" t="inlineStr">
        <is>
          <t>Sean Smith</t>
        </is>
      </c>
      <c r="B2068" s="18" t="n">
        <v>1</v>
      </c>
      <c r="C2068" s="18" t="n">
        <v>2004</v>
      </c>
      <c r="D2068" s="18" t="n">
        <v>2004</v>
      </c>
      <c r="E2068" s="18" t="inlineStr">
        <is>
          <t>The Bourne Supremacy</t>
        </is>
      </c>
      <c r="F2068" s="18" t="inlineStr">
        <is>
          <t>F0054</t>
        </is>
      </c>
    </row>
    <row r="2069" ht="15.75" customHeight="1" s="108">
      <c r="A2069" s="18" t="inlineStr">
        <is>
          <t>Maxim Kovalevski</t>
        </is>
      </c>
      <c r="B2069" s="18" t="n">
        <v>1</v>
      </c>
      <c r="C2069" s="18" t="n">
        <v>2004</v>
      </c>
      <c r="D2069" s="18" t="n">
        <v>2004</v>
      </c>
      <c r="E2069" s="18" t="inlineStr">
        <is>
          <t>The Bourne Supremacy</t>
        </is>
      </c>
      <c r="F2069" s="18" t="inlineStr">
        <is>
          <t>F0054</t>
        </is>
      </c>
    </row>
    <row r="2070" ht="15.75" customHeight="1" s="108">
      <c r="A2070" s="18" t="inlineStr">
        <is>
          <t>Patrick Crowley</t>
        </is>
      </c>
      <c r="B2070" s="18" t="n">
        <v>3</v>
      </c>
      <c r="C2070" s="18" t="n">
        <v>2004</v>
      </c>
      <c r="D2070" s="18" t="n">
        <v>2018</v>
      </c>
      <c r="E2070" s="18" t="inlineStr">
        <is>
          <t>The Bourne Supremacy, Jurassic World, Jurassic World: Fallen Kingdom</t>
        </is>
      </c>
      <c r="F2070" s="18" t="inlineStr">
        <is>
          <t>F0054, F0179, F0180</t>
        </is>
      </c>
    </row>
    <row r="2071" ht="15.75" customHeight="1" s="108">
      <c r="A2071" s="18" t="inlineStr">
        <is>
          <t>Jon Collin Barclay</t>
        </is>
      </c>
      <c r="B2071" s="18" t="n">
        <v>1</v>
      </c>
      <c r="C2071" s="18" t="n">
        <v>2004</v>
      </c>
      <c r="D2071" s="18" t="n">
        <v>2004</v>
      </c>
      <c r="E2071" s="18" t="inlineStr">
        <is>
          <t>The Bourne Supremacy</t>
        </is>
      </c>
      <c r="F2071" s="18" t="inlineStr">
        <is>
          <t>F0054</t>
        </is>
      </c>
    </row>
    <row r="2072" ht="15.75" customHeight="1" s="108">
      <c r="A2072" s="18" t="inlineStr">
        <is>
          <t>Sam Brown</t>
        </is>
      </c>
      <c r="B2072" s="18" t="n">
        <v>1</v>
      </c>
      <c r="C2072" s="18" t="n">
        <v>2004</v>
      </c>
      <c r="D2072" s="18" t="n">
        <v>2004</v>
      </c>
      <c r="E2072" s="18" t="inlineStr">
        <is>
          <t>The Bourne Supremacy</t>
        </is>
      </c>
      <c r="F2072" s="18" t="inlineStr">
        <is>
          <t>F0054</t>
        </is>
      </c>
    </row>
    <row r="2073" ht="15.75" customHeight="1" s="108">
      <c r="A2073" s="18" t="inlineStr">
        <is>
          <t>Shane Sinutko</t>
        </is>
      </c>
      <c r="B2073" s="18" t="n">
        <v>1</v>
      </c>
      <c r="C2073" s="18" t="n">
        <v>2004</v>
      </c>
      <c r="D2073" s="18" t="n">
        <v>2004</v>
      </c>
      <c r="E2073" s="18" t="inlineStr">
        <is>
          <t>The Bourne Supremacy</t>
        </is>
      </c>
      <c r="F2073" s="18" t="inlineStr">
        <is>
          <t>F0054</t>
        </is>
      </c>
    </row>
    <row r="2074" ht="15.75" customHeight="1" s="108">
      <c r="A2074" s="18" t="inlineStr">
        <is>
          <t>Barnaby Smith</t>
        </is>
      </c>
      <c r="B2074" s="18" t="n">
        <v>1</v>
      </c>
      <c r="C2074" s="18" t="n">
        <v>2004</v>
      </c>
      <c r="D2074" s="18" t="n">
        <v>2004</v>
      </c>
      <c r="E2074" s="18" t="inlineStr">
        <is>
          <t>The Bourne Supremacy</t>
        </is>
      </c>
      <c r="F2074" s="18" t="inlineStr">
        <is>
          <t>F0054</t>
        </is>
      </c>
    </row>
    <row r="2075" ht="15.75" customHeight="1" s="108">
      <c r="A2075" s="18" t="inlineStr">
        <is>
          <t>Dominique Chiout</t>
        </is>
      </c>
      <c r="B2075" s="18" t="n">
        <v>1</v>
      </c>
      <c r="C2075" s="18" t="n">
        <v>2004</v>
      </c>
      <c r="D2075" s="18" t="n">
        <v>2004</v>
      </c>
      <c r="E2075" s="18" t="inlineStr">
        <is>
          <t>The Bourne Supremacy</t>
        </is>
      </c>
      <c r="F2075" s="18" t="inlineStr">
        <is>
          <t>F0054</t>
        </is>
      </c>
    </row>
    <row r="2076" ht="15.75" customHeight="1" s="108">
      <c r="A2076" s="18" t="inlineStr">
        <is>
          <t>Wanja Mues</t>
        </is>
      </c>
      <c r="B2076" s="18" t="n">
        <v>1</v>
      </c>
      <c r="C2076" s="18" t="n">
        <v>2004</v>
      </c>
      <c r="D2076" s="18" t="n">
        <v>2004</v>
      </c>
      <c r="E2076" s="18" t="inlineStr">
        <is>
          <t>The Bourne Supremacy</t>
        </is>
      </c>
      <c r="F2076" s="18" t="inlineStr">
        <is>
          <t>F0054</t>
        </is>
      </c>
    </row>
    <row r="2077" ht="15.75" customHeight="1" s="108">
      <c r="A2077" s="18" t="inlineStr">
        <is>
          <t>Aleksey Shmarinov</t>
        </is>
      </c>
      <c r="B2077" s="18" t="n">
        <v>1</v>
      </c>
      <c r="C2077" s="18" t="n">
        <v>2004</v>
      </c>
      <c r="D2077" s="18" t="n">
        <v>2004</v>
      </c>
      <c r="E2077" s="18" t="inlineStr">
        <is>
          <t>The Bourne Supremacy</t>
        </is>
      </c>
      <c r="F2077" s="18" t="inlineStr">
        <is>
          <t>F0054</t>
        </is>
      </c>
    </row>
    <row r="2078" ht="15.75" customHeight="1" s="108">
      <c r="A2078" s="18" t="inlineStr">
        <is>
          <t>Stephan Wolf-Schönburg</t>
        </is>
      </c>
      <c r="B2078" s="18" t="n">
        <v>1</v>
      </c>
      <c r="C2078" s="18" t="n">
        <v>2004</v>
      </c>
      <c r="D2078" s="18" t="n">
        <v>2004</v>
      </c>
      <c r="E2078" s="18" t="inlineStr">
        <is>
          <t>The Bourne Supremacy</t>
        </is>
      </c>
      <c r="F2078" s="18" t="inlineStr">
        <is>
          <t>F0054</t>
        </is>
      </c>
    </row>
    <row r="2079" ht="15.75" customHeight="1" s="108">
      <c r="A2079" s="18" t="inlineStr">
        <is>
          <t>Olov Ludwig</t>
        </is>
      </c>
      <c r="B2079" s="18" t="n">
        <v>1</v>
      </c>
      <c r="C2079" s="18" t="n">
        <v>2004</v>
      </c>
      <c r="D2079" s="18" t="n">
        <v>2004</v>
      </c>
      <c r="E2079" s="18" t="inlineStr">
        <is>
          <t>The Bourne Supremacy</t>
        </is>
      </c>
      <c r="F2079" s="18" t="inlineStr">
        <is>
          <t>F0054</t>
        </is>
      </c>
    </row>
    <row r="2080" ht="15.75" customHeight="1" s="108">
      <c r="A2080" s="18" t="inlineStr">
        <is>
          <t>Edgar Ramírez</t>
        </is>
      </c>
      <c r="B2080" s="18" t="n">
        <v>2</v>
      </c>
      <c r="C2080" s="18" t="n">
        <v>2007</v>
      </c>
      <c r="D2080" s="18" t="n">
        <v>2012</v>
      </c>
      <c r="E2080" s="18" t="inlineStr">
        <is>
          <t>The Bourne Ultimatum, Zero Dark Thirty</t>
        </is>
      </c>
      <c r="F2080" s="18" t="inlineStr">
        <is>
          <t>F0055, F0349</t>
        </is>
      </c>
    </row>
    <row r="2081" ht="15.75" customHeight="1" s="108">
      <c r="A2081" s="18" t="inlineStr">
        <is>
          <t>Corey Johnson</t>
        </is>
      </c>
      <c r="B2081" s="18" t="n">
        <v>6</v>
      </c>
      <c r="C2081" s="18" t="n">
        <v>2004</v>
      </c>
      <c r="D2081" s="18" t="n">
        <v>2013</v>
      </c>
      <c r="E2081" s="18" t="inlineStr">
        <is>
          <t>The Bourne Ultimatum, The Bourne Legacy, Captain Phillips, Kick-Ass, X-Men: First Class, hellboy</t>
        </is>
      </c>
      <c r="F2081" s="18" t="inlineStr">
        <is>
          <t>F0055, F0056, F0062, F0185, F0340, F0373</t>
        </is>
      </c>
    </row>
    <row r="2082" ht="15.75" customHeight="1" s="108">
      <c r="A2082" s="18" t="inlineStr">
        <is>
          <t>Colin Stinton</t>
        </is>
      </c>
      <c r="B2082" s="18" t="n">
        <v>2</v>
      </c>
      <c r="C2082" s="18" t="n">
        <v>2007</v>
      </c>
      <c r="D2082" s="18" t="n">
        <v>2013</v>
      </c>
      <c r="E2082" s="18" t="inlineStr">
        <is>
          <t>The Bourne Ultimatum, Rush</t>
        </is>
      </c>
      <c r="F2082" s="18" t="inlineStr">
        <is>
          <t>F0055, F0270</t>
        </is>
      </c>
    </row>
    <row r="2083" ht="15.75" customHeight="1" s="108">
      <c r="A2083" s="18" t="inlineStr">
        <is>
          <t>Dan Fredenburgh</t>
        </is>
      </c>
      <c r="B2083" s="18" t="n">
        <v>1</v>
      </c>
      <c r="C2083" s="18" t="n">
        <v>2007</v>
      </c>
      <c r="D2083" s="18" t="n">
        <v>2007</v>
      </c>
      <c r="E2083" s="18" t="inlineStr">
        <is>
          <t>The Bourne Ultimatum</t>
        </is>
      </c>
      <c r="F2083" s="18" t="inlineStr">
        <is>
          <t>F0055</t>
        </is>
      </c>
    </row>
    <row r="2084" ht="15.75" customHeight="1" s="108">
      <c r="A2084" s="18" t="inlineStr">
        <is>
          <t>Lucy Liemann</t>
        </is>
      </c>
      <c r="B2084" s="18" t="n">
        <v>1</v>
      </c>
      <c r="C2084" s="18" t="n">
        <v>2007</v>
      </c>
      <c r="D2084" s="18" t="n">
        <v>2007</v>
      </c>
      <c r="E2084" s="18" t="inlineStr">
        <is>
          <t>The Bourne Ultimatum</t>
        </is>
      </c>
      <c r="F2084" s="18" t="inlineStr">
        <is>
          <t>F0055</t>
        </is>
      </c>
    </row>
    <row r="2085" ht="15.75" customHeight="1" s="108">
      <c r="A2085" s="18" t="inlineStr">
        <is>
          <t>Bryan Reents</t>
        </is>
      </c>
      <c r="B2085" s="18" t="n">
        <v>1</v>
      </c>
      <c r="C2085" s="18" t="n">
        <v>2007</v>
      </c>
      <c r="D2085" s="18" t="n">
        <v>2007</v>
      </c>
      <c r="E2085" s="18" t="inlineStr">
        <is>
          <t>The Bourne Ultimatum</t>
        </is>
      </c>
      <c r="F2085" s="18" t="inlineStr">
        <is>
          <t>F0055</t>
        </is>
      </c>
    </row>
    <row r="2086" ht="15.75" customHeight="1" s="108">
      <c r="A2086" s="18" t="inlineStr">
        <is>
          <t>Arkie Reece</t>
        </is>
      </c>
      <c r="B2086" s="18" t="n">
        <v>1</v>
      </c>
      <c r="C2086" s="18" t="n">
        <v>2007</v>
      </c>
      <c r="D2086" s="18" t="n">
        <v>2007</v>
      </c>
      <c r="E2086" s="18" t="inlineStr">
        <is>
          <t>The Bourne Ultimatum</t>
        </is>
      </c>
      <c r="F2086" s="18" t="inlineStr">
        <is>
          <t>F0055</t>
        </is>
      </c>
    </row>
    <row r="2087" ht="15.75" customHeight="1" s="108">
      <c r="A2087" s="18" t="inlineStr">
        <is>
          <t>John Roberson</t>
        </is>
      </c>
      <c r="B2087" s="18" t="n">
        <v>2</v>
      </c>
      <c r="C2087" s="18" t="n">
        <v>2007</v>
      </c>
      <c r="D2087" s="18" t="n">
        <v>2010</v>
      </c>
      <c r="E2087" s="18" t="inlineStr">
        <is>
          <t>The Bourne Ultimatum, Green Zone</t>
        </is>
      </c>
      <c r="F2087" s="18" t="inlineStr">
        <is>
          <t>F0055, F0129</t>
        </is>
      </c>
    </row>
    <row r="2088" ht="15.75" customHeight="1" s="108">
      <c r="A2088" s="18" t="inlineStr">
        <is>
          <t>Russ Huards</t>
        </is>
      </c>
      <c r="B2088" s="18" t="n">
        <v>1</v>
      </c>
      <c r="C2088" s="18" t="n">
        <v>2007</v>
      </c>
      <c r="D2088" s="18" t="n">
        <v>2007</v>
      </c>
      <c r="E2088" s="18" t="inlineStr">
        <is>
          <t>The Bourne Ultimatum</t>
        </is>
      </c>
      <c r="F2088" s="18" t="inlineStr">
        <is>
          <t>F0055</t>
        </is>
      </c>
    </row>
    <row r="2089" ht="15.75" customHeight="1" s="108">
      <c r="A2089" s="18" t="inlineStr">
        <is>
          <t>Mark Bazeley</t>
        </is>
      </c>
      <c r="B2089" s="18" t="n">
        <v>1</v>
      </c>
      <c r="C2089" s="18" t="n">
        <v>2007</v>
      </c>
      <c r="D2089" s="18" t="n">
        <v>2007</v>
      </c>
      <c r="E2089" s="18" t="inlineStr">
        <is>
          <t>The Bourne Ultimatum</t>
        </is>
      </c>
      <c r="F2089" s="18" t="inlineStr">
        <is>
          <t>F0055</t>
        </is>
      </c>
    </row>
    <row r="2090" ht="15.75" customHeight="1" s="108">
      <c r="A2090" s="18" t="inlineStr">
        <is>
          <t>Sinead O'Keeffe</t>
        </is>
      </c>
      <c r="B2090" s="18" t="n">
        <v>1</v>
      </c>
      <c r="C2090" s="18" t="n">
        <v>2007</v>
      </c>
      <c r="D2090" s="18" t="n">
        <v>2007</v>
      </c>
      <c r="E2090" s="18" t="inlineStr">
        <is>
          <t>The Bourne Ultimatum</t>
        </is>
      </c>
      <c r="F2090" s="18" t="inlineStr">
        <is>
          <t>F0055</t>
        </is>
      </c>
    </row>
    <row r="2091" ht="15.75" customHeight="1" s="108">
      <c r="A2091" s="18" t="inlineStr">
        <is>
          <t>Charles Venn</t>
        </is>
      </c>
      <c r="B2091" s="18" t="n">
        <v>1</v>
      </c>
      <c r="C2091" s="18" t="n">
        <v>2007</v>
      </c>
      <c r="D2091" s="18" t="n">
        <v>2007</v>
      </c>
      <c r="E2091" s="18" t="inlineStr">
        <is>
          <t>The Bourne Ultimatum</t>
        </is>
      </c>
      <c r="F2091" s="18" t="inlineStr">
        <is>
          <t>F0055</t>
        </is>
      </c>
    </row>
    <row r="2092" ht="15.75" customHeight="1" s="108">
      <c r="A2092" s="18" t="inlineStr">
        <is>
          <t>Branko Tomović</t>
        </is>
      </c>
      <c r="B2092" s="18" t="n">
        <v>2</v>
      </c>
      <c r="C2092" s="18" t="n">
        <v>2007</v>
      </c>
      <c r="D2092" s="18" t="n">
        <v>2014</v>
      </c>
      <c r="E2092" s="18" t="inlineStr">
        <is>
          <t>The Bourne Ultimatum, Fury</t>
        </is>
      </c>
      <c r="F2092" s="18" t="inlineStr">
        <is>
          <t>F0055, F0117</t>
        </is>
      </c>
    </row>
    <row r="2093" ht="15.75" customHeight="1" s="108">
      <c r="A2093" s="18" t="inlineStr">
        <is>
          <t>Laurentiu Possa</t>
        </is>
      </c>
      <c r="B2093" s="18" t="n">
        <v>1</v>
      </c>
      <c r="C2093" s="18" t="n">
        <v>2007</v>
      </c>
      <c r="D2093" s="18" t="n">
        <v>2007</v>
      </c>
      <c r="E2093" s="18" t="inlineStr">
        <is>
          <t>The Bourne Ultimatum</t>
        </is>
      </c>
      <c r="F2093" s="18" t="inlineStr">
        <is>
          <t>F0055</t>
        </is>
      </c>
    </row>
    <row r="2094" ht="15.75" customHeight="1" s="108">
      <c r="A2094" s="18" t="inlineStr">
        <is>
          <t>Trevor St. John</t>
        </is>
      </c>
      <c r="B2094" s="18" t="n">
        <v>1</v>
      </c>
      <c r="C2094" s="18" t="n">
        <v>2007</v>
      </c>
      <c r="D2094" s="18" t="n">
        <v>2007</v>
      </c>
      <c r="E2094" s="18" t="inlineStr">
        <is>
          <t>The Bourne Ultimatum</t>
        </is>
      </c>
      <c r="F2094" s="18" t="inlineStr">
        <is>
          <t>F0055</t>
        </is>
      </c>
    </row>
    <row r="2095" ht="15.75" customHeight="1" s="108">
      <c r="A2095" s="18" t="inlineStr">
        <is>
          <t>Albert Jones</t>
        </is>
      </c>
      <c r="B2095" s="18" t="n">
        <v>2</v>
      </c>
      <c r="C2095" s="18" t="n">
        <v>2007</v>
      </c>
      <c r="D2095" s="18" t="n">
        <v>2010</v>
      </c>
      <c r="E2095" s="18" t="inlineStr">
        <is>
          <t>The Bourne Ultimatum, Salt</t>
        </is>
      </c>
      <c r="F2095" s="18" t="inlineStr">
        <is>
          <t>F0055, F0273</t>
        </is>
      </c>
    </row>
    <row r="2096" ht="15.75" customHeight="1" s="108">
      <c r="A2096" s="18" t="inlineStr">
        <is>
          <t>Jeffrey Lee Gibson</t>
        </is>
      </c>
      <c r="B2096" s="18" t="n">
        <v>1</v>
      </c>
      <c r="C2096" s="18" t="n">
        <v>2007</v>
      </c>
      <c r="D2096" s="18" t="n">
        <v>2007</v>
      </c>
      <c r="E2096" s="18" t="inlineStr">
        <is>
          <t>The Bourne Ultimatum</t>
        </is>
      </c>
      <c r="F2096" s="18" t="inlineStr">
        <is>
          <t>F0055</t>
        </is>
      </c>
    </row>
    <row r="2097" ht="15.75" customHeight="1" s="108">
      <c r="A2097" s="18" t="inlineStr">
        <is>
          <t>Uriel Emil Pollack</t>
        </is>
      </c>
      <c r="B2097" s="18" t="n">
        <v>1</v>
      </c>
      <c r="C2097" s="18" t="n">
        <v>2007</v>
      </c>
      <c r="D2097" s="18" t="n">
        <v>2007</v>
      </c>
      <c r="E2097" s="18" t="inlineStr">
        <is>
          <t>The Bourne Ultimatum</t>
        </is>
      </c>
      <c r="F2097" s="18" t="inlineStr">
        <is>
          <t>F0055</t>
        </is>
      </c>
    </row>
    <row r="2098" ht="15.75" customHeight="1" s="108">
      <c r="A2098" s="18" t="inlineStr">
        <is>
          <t>Omar Hernández</t>
        </is>
      </c>
      <c r="B2098" s="18" t="n">
        <v>1</v>
      </c>
      <c r="C2098" s="18" t="n">
        <v>2007</v>
      </c>
      <c r="D2098" s="18" t="n">
        <v>2007</v>
      </c>
      <c r="E2098" s="18" t="inlineStr">
        <is>
          <t>The Bourne Ultimatum</t>
        </is>
      </c>
      <c r="F2098" s="18" t="inlineStr">
        <is>
          <t>F0055</t>
        </is>
      </c>
    </row>
    <row r="2099" ht="15.75" customHeight="1" s="108">
      <c r="A2099" s="18" t="inlineStr">
        <is>
          <t>Donna Murphy</t>
        </is>
      </c>
      <c r="B2099" s="18" t="n">
        <v>2</v>
      </c>
      <c r="C2099" s="18" t="n">
        <v>2004</v>
      </c>
      <c r="D2099" s="18" t="n">
        <v>2012</v>
      </c>
      <c r="E2099" s="18" t="inlineStr">
        <is>
          <t>The Bourne Legacy, Spider-Man 2</t>
        </is>
      </c>
      <c r="F2099" s="18" t="inlineStr">
        <is>
          <t>F0056, F0288</t>
        </is>
      </c>
    </row>
    <row r="2100" ht="15.75" customHeight="1" s="108">
      <c r="A2100" s="18" t="inlineStr">
        <is>
          <t>Michael Chernus</t>
        </is>
      </c>
      <c r="B2100" s="18" t="n">
        <v>3</v>
      </c>
      <c r="C2100" s="18" t="n">
        <v>2012</v>
      </c>
      <c r="D2100" s="18" t="n">
        <v>2013</v>
      </c>
      <c r="E2100" s="18" t="inlineStr">
        <is>
          <t>The Bourne Legacy, Captain Phillips, Men in Black 3</t>
        </is>
      </c>
      <c r="F2100" s="18" t="inlineStr">
        <is>
          <t>F0056, F0062, F0219</t>
        </is>
      </c>
    </row>
    <row r="2101" ht="15.75" customHeight="1" s="108">
      <c r="A2101" s="18" t="inlineStr">
        <is>
          <t>Corey Stoll</t>
        </is>
      </c>
      <c r="B2101" s="18" t="n">
        <v>2</v>
      </c>
      <c r="C2101" s="18" t="n">
        <v>2010</v>
      </c>
      <c r="D2101" s="18" t="n">
        <v>2012</v>
      </c>
      <c r="E2101" s="18" t="inlineStr">
        <is>
          <t>The Bourne Legacy, Salt</t>
        </is>
      </c>
      <c r="F2101" s="18" t="inlineStr">
        <is>
          <t>F0056, F0273</t>
        </is>
      </c>
    </row>
    <row r="2102" ht="15.75" customHeight="1" s="108">
      <c r="A2102" s="18" t="inlineStr">
        <is>
          <t>Shane Jacobson</t>
        </is>
      </c>
      <c r="B2102" s="18" t="n">
        <v>1</v>
      </c>
      <c r="C2102" s="18" t="n">
        <v>2012</v>
      </c>
      <c r="D2102" s="18" t="n">
        <v>2012</v>
      </c>
      <c r="E2102" s="18" t="inlineStr">
        <is>
          <t>The Bourne Legacy</t>
        </is>
      </c>
      <c r="F2102" s="18" t="inlineStr">
        <is>
          <t>F0056</t>
        </is>
      </c>
    </row>
    <row r="2103" ht="15.75" customHeight="1" s="108">
      <c r="A2103" s="18" t="inlineStr">
        <is>
          <t>Elizabeth Marvel</t>
        </is>
      </c>
      <c r="B2103" s="18" t="n">
        <v>2</v>
      </c>
      <c r="C2103" s="18" t="n">
        <v>2010</v>
      </c>
      <c r="D2103" s="18" t="n">
        <v>2012</v>
      </c>
      <c r="E2103" s="18" t="inlineStr">
        <is>
          <t>The Bourne Legacy, True Grit</t>
        </is>
      </c>
      <c r="F2103" s="18" t="inlineStr">
        <is>
          <t>F0056, F0325</t>
        </is>
      </c>
    </row>
    <row r="2104" ht="15.75" customHeight="1" s="108">
      <c r="A2104" s="18" t="inlineStr">
        <is>
          <t>John Douglas Thompson</t>
        </is>
      </c>
      <c r="B2104" s="18" t="n">
        <v>1</v>
      </c>
      <c r="C2104" s="18" t="n">
        <v>2012</v>
      </c>
      <c r="D2104" s="18" t="n">
        <v>2012</v>
      </c>
      <c r="E2104" s="18" t="inlineStr">
        <is>
          <t>The Bourne Legacy</t>
        </is>
      </c>
      <c r="F2104" s="18" t="inlineStr">
        <is>
          <t>F0056</t>
        </is>
      </c>
    </row>
    <row r="2105" ht="15.75" customHeight="1" s="108">
      <c r="A2105" s="18" t="inlineStr">
        <is>
          <t>Louis Ozawa</t>
        </is>
      </c>
      <c r="B2105" s="18" t="n">
        <v>1</v>
      </c>
      <c r="C2105" s="18" t="n">
        <v>2012</v>
      </c>
      <c r="D2105" s="18" t="n">
        <v>2012</v>
      </c>
      <c r="E2105" s="18" t="inlineStr">
        <is>
          <t>The Bourne Legacy</t>
        </is>
      </c>
      <c r="F2105" s="18" t="inlineStr">
        <is>
          <t>F0056</t>
        </is>
      </c>
    </row>
    <row r="2106" ht="15.75" customHeight="1" s="108">
      <c r="A2106" s="18" t="inlineStr">
        <is>
          <t>David Wilson Barnes</t>
        </is>
      </c>
      <c r="B2106" s="18" t="n">
        <v>1</v>
      </c>
      <c r="C2106" s="18" t="n">
        <v>2012</v>
      </c>
      <c r="D2106" s="18" t="n">
        <v>2012</v>
      </c>
      <c r="E2106" s="18" t="inlineStr">
        <is>
          <t>The Bourne Legacy</t>
        </is>
      </c>
      <c r="F2106" s="18" t="inlineStr">
        <is>
          <t>F0056</t>
        </is>
      </c>
    </row>
    <row r="2107" ht="15.75" customHeight="1" s="108">
      <c r="A2107" s="18" t="inlineStr">
        <is>
          <t>Neil Brooks Cunningham</t>
        </is>
      </c>
      <c r="B2107" s="18" t="n">
        <v>1</v>
      </c>
      <c r="C2107" s="18" t="n">
        <v>2012</v>
      </c>
      <c r="D2107" s="18" t="n">
        <v>2012</v>
      </c>
      <c r="E2107" s="18" t="inlineStr">
        <is>
          <t>The Bourne Legacy</t>
        </is>
      </c>
      <c r="F2107" s="18" t="inlineStr">
        <is>
          <t>F0056</t>
        </is>
      </c>
    </row>
    <row r="2108" ht="15.75" customHeight="1" s="108">
      <c r="A2108" s="18" t="inlineStr">
        <is>
          <t>Michael Berresse</t>
        </is>
      </c>
      <c r="B2108" s="18" t="n">
        <v>1</v>
      </c>
      <c r="C2108" s="18" t="n">
        <v>2012</v>
      </c>
      <c r="D2108" s="18" t="n">
        <v>2012</v>
      </c>
      <c r="E2108" s="18" t="inlineStr">
        <is>
          <t>The Bourne Legacy</t>
        </is>
      </c>
      <c r="F2108" s="18" t="inlineStr">
        <is>
          <t>F0056</t>
        </is>
      </c>
    </row>
    <row r="2109" ht="15.75" customHeight="1" s="108">
      <c r="A2109" s="18" t="inlineStr">
        <is>
          <t>Alice Gainer</t>
        </is>
      </c>
      <c r="B2109" s="18" t="n">
        <v>1</v>
      </c>
      <c r="C2109" s="18" t="n">
        <v>2012</v>
      </c>
      <c r="D2109" s="18" t="n">
        <v>2012</v>
      </c>
      <c r="E2109" s="18" t="inlineStr">
        <is>
          <t>The Bourne Legacy</t>
        </is>
      </c>
      <c r="F2109" s="18" t="inlineStr">
        <is>
          <t>F0056</t>
        </is>
      </c>
    </row>
    <row r="2110" ht="15.75" customHeight="1" s="108">
      <c r="A2110" s="18" t="inlineStr">
        <is>
          <t>Prue Lewarne</t>
        </is>
      </c>
      <c r="B2110" s="18" t="n">
        <v>1</v>
      </c>
      <c r="C2110" s="18" t="n">
        <v>2012</v>
      </c>
      <c r="D2110" s="18" t="n">
        <v>2012</v>
      </c>
      <c r="E2110" s="18" t="inlineStr">
        <is>
          <t>The Bourne Legacy</t>
        </is>
      </c>
      <c r="F2110" s="18" t="inlineStr">
        <is>
          <t>F0056</t>
        </is>
      </c>
    </row>
    <row r="2111" ht="15.75" customHeight="1" s="108">
      <c r="A2111" s="18" t="inlineStr">
        <is>
          <t>Howard Leader</t>
        </is>
      </c>
      <c r="B2111" s="18" t="n">
        <v>1</v>
      </c>
      <c r="C2111" s="18" t="n">
        <v>2012</v>
      </c>
      <c r="D2111" s="18" t="n">
        <v>2012</v>
      </c>
      <c r="E2111" s="18" t="inlineStr">
        <is>
          <t>The Bourne Legacy</t>
        </is>
      </c>
      <c r="F2111" s="18" t="inlineStr">
        <is>
          <t>F0056</t>
        </is>
      </c>
    </row>
    <row r="2112" ht="15.75" customHeight="1" s="108">
      <c r="A2112" s="18" t="inlineStr">
        <is>
          <t>James Joseph O'Neil</t>
        </is>
      </c>
      <c r="B2112" s="18" t="n">
        <v>1</v>
      </c>
      <c r="C2112" s="18" t="n">
        <v>2012</v>
      </c>
      <c r="D2112" s="18" t="n">
        <v>2012</v>
      </c>
      <c r="E2112" s="18" t="inlineStr">
        <is>
          <t>The Bourne Legacy</t>
        </is>
      </c>
      <c r="F2112" s="18" t="inlineStr">
        <is>
          <t>F0056</t>
        </is>
      </c>
    </row>
    <row r="2113" ht="15.75" customHeight="1" s="108">
      <c r="A2113" s="18" t="inlineStr">
        <is>
          <t>Tony Guida</t>
        </is>
      </c>
      <c r="B2113" s="18" t="n">
        <v>1</v>
      </c>
      <c r="C2113" s="18" t="n">
        <v>2012</v>
      </c>
      <c r="D2113" s="18" t="n">
        <v>2012</v>
      </c>
      <c r="E2113" s="18" t="inlineStr">
        <is>
          <t>The Bourne Legacy</t>
        </is>
      </c>
      <c r="F2113" s="18" t="inlineStr">
        <is>
          <t>F0056</t>
        </is>
      </c>
    </row>
    <row r="2114" ht="15.75" customHeight="1" s="108">
      <c r="A2114" s="18" t="inlineStr">
        <is>
          <t>Sonnie Brown</t>
        </is>
      </c>
      <c r="B2114" s="18" t="n">
        <v>1</v>
      </c>
      <c r="C2114" s="18" t="n">
        <v>2012</v>
      </c>
      <c r="D2114" s="18" t="n">
        <v>2012</v>
      </c>
      <c r="E2114" s="18" t="inlineStr">
        <is>
          <t>The Bourne Legacy</t>
        </is>
      </c>
      <c r="F2114" s="18" t="inlineStr">
        <is>
          <t>F0056</t>
        </is>
      </c>
    </row>
    <row r="2115" ht="15.75" customHeight="1" s="108">
      <c r="A2115" s="18" t="inlineStr">
        <is>
          <t>Robert Christopher Riley</t>
        </is>
      </c>
      <c r="B2115" s="18" t="n">
        <v>1</v>
      </c>
      <c r="C2115" s="18" t="n">
        <v>2012</v>
      </c>
      <c r="D2115" s="18" t="n">
        <v>2012</v>
      </c>
      <c r="E2115" s="18" t="inlineStr">
        <is>
          <t>The Bourne Legacy</t>
        </is>
      </c>
      <c r="F2115" s="18" t="inlineStr">
        <is>
          <t>F0056</t>
        </is>
      </c>
    </row>
    <row r="2116" ht="15.75" customHeight="1" s="108">
      <c r="A2116" s="18" t="inlineStr">
        <is>
          <t>Noel Wilson</t>
        </is>
      </c>
      <c r="B2116" s="18" t="n">
        <v>1</v>
      </c>
      <c r="C2116" s="18" t="n">
        <v>2012</v>
      </c>
      <c r="D2116" s="18" t="n">
        <v>2012</v>
      </c>
      <c r="E2116" s="18" t="inlineStr">
        <is>
          <t>The Bourne Legacy</t>
        </is>
      </c>
      <c r="F2116" s="18" t="inlineStr">
        <is>
          <t>F0056</t>
        </is>
      </c>
    </row>
    <row r="2117" ht="15.75" customHeight="1" s="108">
      <c r="A2117" s="18" t="inlineStr">
        <is>
          <t>Paul Gleason</t>
        </is>
      </c>
      <c r="B2117" s="18" t="n">
        <v>1</v>
      </c>
      <c r="C2117" s="18" t="n">
        <v>1985</v>
      </c>
      <c r="D2117" s="18" t="n">
        <v>1985</v>
      </c>
      <c r="E2117" s="18" t="inlineStr">
        <is>
          <t>The Breakfast Club</t>
        </is>
      </c>
      <c r="F2117" s="18" t="inlineStr">
        <is>
          <t>F0057</t>
        </is>
      </c>
    </row>
    <row r="2118" ht="15.75" customHeight="1" s="108">
      <c r="A2118" s="18" t="inlineStr">
        <is>
          <t>John Kapelos</t>
        </is>
      </c>
      <c r="B2118" s="18" t="n">
        <v>1</v>
      </c>
      <c r="C2118" s="18" t="n">
        <v>1985</v>
      </c>
      <c r="D2118" s="18" t="n">
        <v>1985</v>
      </c>
      <c r="E2118" s="18" t="inlineStr">
        <is>
          <t>The Breakfast Club</t>
        </is>
      </c>
      <c r="F2118" s="18" t="inlineStr">
        <is>
          <t>F0057</t>
        </is>
      </c>
    </row>
    <row r="2119" ht="15.75" customHeight="1" s="108">
      <c r="A2119" s="18" t="inlineStr">
        <is>
          <t>Perry Crawford</t>
        </is>
      </c>
      <c r="B2119" s="18" t="n">
        <v>1</v>
      </c>
      <c r="C2119" s="18" t="n">
        <v>1985</v>
      </c>
      <c r="D2119" s="18" t="n">
        <v>1985</v>
      </c>
      <c r="E2119" s="18" t="inlineStr">
        <is>
          <t>The Breakfast Club</t>
        </is>
      </c>
      <c r="F2119" s="18" t="inlineStr">
        <is>
          <t>F0057</t>
        </is>
      </c>
    </row>
    <row r="2120" ht="15.75" customHeight="1" s="108">
      <c r="A2120" s="18" t="inlineStr">
        <is>
          <t>Mary Christian</t>
        </is>
      </c>
      <c r="B2120" s="18" t="n">
        <v>1</v>
      </c>
      <c r="C2120" s="18" t="n">
        <v>1985</v>
      </c>
      <c r="D2120" s="18" t="n">
        <v>1985</v>
      </c>
      <c r="E2120" s="18" t="inlineStr">
        <is>
          <t>The Breakfast Club</t>
        </is>
      </c>
      <c r="F2120" s="18" t="inlineStr">
        <is>
          <t>F0057</t>
        </is>
      </c>
    </row>
    <row r="2121" ht="15.75" customHeight="1" s="108">
      <c r="A2121" s="18" t="inlineStr">
        <is>
          <t>Tim Gamble</t>
        </is>
      </c>
      <c r="B2121" s="18" t="n">
        <v>1</v>
      </c>
      <c r="C2121" s="18" t="n">
        <v>1985</v>
      </c>
      <c r="D2121" s="18" t="n">
        <v>1985</v>
      </c>
      <c r="E2121" s="18" t="inlineStr">
        <is>
          <t>The Breakfast Club</t>
        </is>
      </c>
      <c r="F2121" s="18" t="inlineStr">
        <is>
          <t>F0057</t>
        </is>
      </c>
    </row>
    <row r="2122" ht="15.75" customHeight="1" s="108">
      <c r="A2122" s="18" t="inlineStr">
        <is>
          <t>Fran Gargano</t>
        </is>
      </c>
      <c r="B2122" s="18" t="n">
        <v>1</v>
      </c>
      <c r="C2122" s="18" t="n">
        <v>1985</v>
      </c>
      <c r="D2122" s="18" t="n">
        <v>1985</v>
      </c>
      <c r="E2122" s="18" t="inlineStr">
        <is>
          <t>The Breakfast Club</t>
        </is>
      </c>
      <c r="F2122" s="18" t="inlineStr">
        <is>
          <t>F0057</t>
        </is>
      </c>
    </row>
    <row r="2123" ht="15.75" customHeight="1" s="108">
      <c r="A2123" s="18" t="inlineStr">
        <is>
          <t>Mercedes Hall</t>
        </is>
      </c>
      <c r="B2123" s="18" t="n">
        <v>1</v>
      </c>
      <c r="C2123" s="18" t="n">
        <v>1985</v>
      </c>
      <c r="D2123" s="18" t="n">
        <v>1985</v>
      </c>
      <c r="E2123" s="18" t="inlineStr">
        <is>
          <t>The Breakfast Club</t>
        </is>
      </c>
      <c r="F2123" s="18" t="inlineStr">
        <is>
          <t>F0057</t>
        </is>
      </c>
    </row>
    <row r="2124" ht="15.75" customHeight="1" s="108">
      <c r="A2124" s="18" t="inlineStr">
        <is>
          <t>John Hughes</t>
        </is>
      </c>
      <c r="B2124" s="18" t="n">
        <v>1</v>
      </c>
      <c r="C2124" s="18" t="n">
        <v>1985</v>
      </c>
      <c r="D2124" s="18" t="n">
        <v>1985</v>
      </c>
      <c r="E2124" s="18" t="inlineStr">
        <is>
          <t>The Breakfast Club</t>
        </is>
      </c>
      <c r="F2124" s="18" t="inlineStr">
        <is>
          <t>F0057</t>
        </is>
      </c>
    </row>
    <row r="2125" ht="15.75" customHeight="1" s="108">
      <c r="A2125" s="18" t="inlineStr">
        <is>
          <t>Jonathan Chapin</t>
        </is>
      </c>
      <c r="B2125" s="18" t="n">
        <v>1</v>
      </c>
      <c r="C2125" s="18" t="n">
        <v>1985</v>
      </c>
      <c r="D2125" s="18" t="n">
        <v>1985</v>
      </c>
      <c r="E2125" s="18" t="inlineStr">
        <is>
          <t>The Breakfast Club</t>
        </is>
      </c>
      <c r="F2125" s="18" t="inlineStr">
        <is>
          <t>F0057</t>
        </is>
      </c>
    </row>
    <row r="2126" ht="15.75" customHeight="1" s="108">
      <c r="A2126" s="18" t="inlineStr">
        <is>
          <t>Jill Clayburgh</t>
        </is>
      </c>
      <c r="B2126" s="18" t="n">
        <v>1</v>
      </c>
      <c r="C2126" s="18" t="n">
        <v>2011</v>
      </c>
      <c r="D2126" s="18" t="n">
        <v>2011</v>
      </c>
      <c r="E2126" s="18" t="inlineStr">
        <is>
          <t>Bridesmaids</t>
        </is>
      </c>
      <c r="F2126" s="18" t="inlineStr">
        <is>
          <t>F0058</t>
        </is>
      </c>
    </row>
    <row r="2127" ht="15.75" customHeight="1" s="108">
      <c r="A2127" s="18" t="inlineStr">
        <is>
          <t>Matt Lucas</t>
        </is>
      </c>
      <c r="B2127" s="18" t="n">
        <v>4</v>
      </c>
      <c r="C2127" s="18" t="n">
        <v>2004</v>
      </c>
      <c r="D2127" s="18" t="n">
        <v>2023</v>
      </c>
      <c r="E2127" s="18" t="inlineStr">
        <is>
          <t>Bridesmaids, Shaun of the Dead, Paddington, Wonka</t>
        </is>
      </c>
      <c r="F2127" s="18" t="inlineStr">
        <is>
          <t>F0058, F0070, F0244, F0338</t>
        </is>
      </c>
    </row>
    <row r="2128" ht="15.75" customHeight="1" s="108">
      <c r="A2128" s="18" t="inlineStr">
        <is>
          <t>Michael Hitchcock</t>
        </is>
      </c>
      <c r="B2128" s="18" t="n">
        <v>1</v>
      </c>
      <c r="C2128" s="18" t="n">
        <v>2011</v>
      </c>
      <c r="D2128" s="18" t="n">
        <v>2011</v>
      </c>
      <c r="E2128" s="18" t="inlineStr">
        <is>
          <t>Bridesmaids</t>
        </is>
      </c>
      <c r="F2128" s="18" t="inlineStr">
        <is>
          <t>F0058</t>
        </is>
      </c>
    </row>
    <row r="2129" ht="15.75" customHeight="1" s="108">
      <c r="A2129" s="18" t="inlineStr">
        <is>
          <t>Terry Crews</t>
        </is>
      </c>
      <c r="B2129" s="18" t="n">
        <v>7</v>
      </c>
      <c r="C2129" s="18" t="n">
        <v>2009</v>
      </c>
      <c r="D2129" s="18" t="n">
        <v>2018</v>
      </c>
      <c r="E2129" s="18" t="inlineStr">
        <is>
          <t>Bridesmaids, Cloudy with a Chance of Meatballs 2, Deadpool 2, The Expendables, The Expendables 2, The Expendables 3, Terminator Salvation</t>
        </is>
      </c>
      <c r="F2129" s="18" t="inlineStr">
        <is>
          <t>F0058, F0067, F0077, F0095, F0096, F0097, F0310</t>
        </is>
      </c>
    </row>
    <row r="2130" ht="15.75" customHeight="1" s="108">
      <c r="A2130" s="18" t="inlineStr">
        <is>
          <t>Tom Yi</t>
        </is>
      </c>
      <c r="B2130" s="18" t="n">
        <v>1</v>
      </c>
      <c r="C2130" s="18" t="n">
        <v>2011</v>
      </c>
      <c r="D2130" s="18" t="n">
        <v>2011</v>
      </c>
      <c r="E2130" s="18" t="inlineStr">
        <is>
          <t>Bridesmaids</t>
        </is>
      </c>
      <c r="F2130" s="18" t="inlineStr">
        <is>
          <t>F0058</t>
        </is>
      </c>
    </row>
    <row r="2131" ht="15.75" customHeight="1" s="108">
      <c r="A2131" s="18" t="inlineStr">
        <is>
          <t>Elaine Kao</t>
        </is>
      </c>
      <c r="B2131" s="18" t="n">
        <v>1</v>
      </c>
      <c r="C2131" s="18" t="n">
        <v>2011</v>
      </c>
      <c r="D2131" s="18" t="n">
        <v>2011</v>
      </c>
      <c r="E2131" s="18" t="inlineStr">
        <is>
          <t>Bridesmaids</t>
        </is>
      </c>
      <c r="F2131" s="18" t="inlineStr">
        <is>
          <t>F0058</t>
        </is>
      </c>
    </row>
    <row r="2132" ht="15.75" customHeight="1" s="108">
      <c r="A2132" s="18" t="inlineStr">
        <is>
          <t>Kali Hawk</t>
        </is>
      </c>
      <c r="B2132" s="18" t="n">
        <v>1</v>
      </c>
      <c r="C2132" s="18" t="n">
        <v>2011</v>
      </c>
      <c r="D2132" s="18" t="n">
        <v>2011</v>
      </c>
      <c r="E2132" s="18" t="inlineStr">
        <is>
          <t>Bridesmaids</t>
        </is>
      </c>
      <c r="F2132" s="18" t="inlineStr">
        <is>
          <t>F0058</t>
        </is>
      </c>
    </row>
    <row r="2133" ht="15.75" customHeight="1" s="108">
      <c r="A2133" s="18" t="inlineStr">
        <is>
          <t>Joe Nuñez</t>
        </is>
      </c>
      <c r="B2133" s="18" t="n">
        <v>3</v>
      </c>
      <c r="C2133" s="18" t="n">
        <v>2006</v>
      </c>
      <c r="D2133" s="18" t="n">
        <v>2011</v>
      </c>
      <c r="E2133" s="18" t="inlineStr">
        <is>
          <t>Bridesmaids, The Pursuit of Happyness, Superbad</t>
        </is>
      </c>
      <c r="F2133" s="18" t="inlineStr">
        <is>
          <t>F0058, F0260, F0303</t>
        </is>
      </c>
    </row>
    <row r="2134" ht="15.75" customHeight="1" s="108">
      <c r="A2134" s="18" t="inlineStr">
        <is>
          <t>Greg Tuculescu</t>
        </is>
      </c>
      <c r="B2134" s="18" t="n">
        <v>1</v>
      </c>
      <c r="C2134" s="18" t="n">
        <v>2011</v>
      </c>
      <c r="D2134" s="18" t="n">
        <v>2011</v>
      </c>
      <c r="E2134" s="18" t="inlineStr">
        <is>
          <t>Bridesmaids</t>
        </is>
      </c>
      <c r="F2134" s="18" t="inlineStr">
        <is>
          <t>F0058</t>
        </is>
      </c>
    </row>
    <row r="2135" ht="15.75" customHeight="1" s="108">
      <c r="A2135" s="18" t="inlineStr">
        <is>
          <t>Steve Bannos</t>
        </is>
      </c>
      <c r="B2135" s="18" t="n">
        <v>2</v>
      </c>
      <c r="C2135" s="18" t="n">
        <v>2011</v>
      </c>
      <c r="D2135" s="18" t="n">
        <v>2015</v>
      </c>
      <c r="E2135" s="18" t="inlineStr">
        <is>
          <t>Bridesmaids, Spy</t>
        </is>
      </c>
      <c r="F2135" s="18" t="inlineStr">
        <is>
          <t>F0058, F0290</t>
        </is>
      </c>
    </row>
    <row r="2136" ht="15.75" customHeight="1" s="108">
      <c r="A2136" s="18" t="inlineStr">
        <is>
          <t>Hugh Dane</t>
        </is>
      </c>
      <c r="B2136" s="18" t="n">
        <v>1</v>
      </c>
      <c r="C2136" s="18" t="n">
        <v>2011</v>
      </c>
      <c r="D2136" s="18" t="n">
        <v>2011</v>
      </c>
      <c r="E2136" s="18" t="inlineStr">
        <is>
          <t>Bridesmaids</t>
        </is>
      </c>
      <c r="F2136" s="18" t="inlineStr">
        <is>
          <t>F0058</t>
        </is>
      </c>
    </row>
    <row r="2137" ht="15.75" customHeight="1" s="108">
      <c r="A2137" s="18" t="inlineStr">
        <is>
          <t>Franklyn Ajaye</t>
        </is>
      </c>
      <c r="B2137" s="18" t="n">
        <v>1</v>
      </c>
      <c r="C2137" s="18" t="n">
        <v>2011</v>
      </c>
      <c r="D2137" s="18" t="n">
        <v>2011</v>
      </c>
      <c r="E2137" s="18" t="inlineStr">
        <is>
          <t>Bridesmaids</t>
        </is>
      </c>
      <c r="F2137" s="18" t="inlineStr">
        <is>
          <t>F0058</t>
        </is>
      </c>
    </row>
    <row r="2138" ht="15.75" customHeight="1" s="108">
      <c r="A2138" s="18" t="inlineStr">
        <is>
          <t>Tim Heidecker</t>
        </is>
      </c>
      <c r="B2138" s="18" t="n">
        <v>1</v>
      </c>
      <c r="C2138" s="18" t="n">
        <v>2011</v>
      </c>
      <c r="D2138" s="18" t="n">
        <v>2011</v>
      </c>
      <c r="E2138" s="18" t="inlineStr">
        <is>
          <t>Bridesmaids</t>
        </is>
      </c>
      <c r="F2138" s="18" t="inlineStr">
        <is>
          <t>F0058</t>
        </is>
      </c>
    </row>
    <row r="2139" ht="15.75" customHeight="1" s="108">
      <c r="A2139" s="18" t="inlineStr">
        <is>
          <t>Lynne Marie Stewart</t>
        </is>
      </c>
      <c r="B2139" s="18" t="n">
        <v>1</v>
      </c>
      <c r="C2139" s="18" t="n">
        <v>2011</v>
      </c>
      <c r="D2139" s="18" t="n">
        <v>2011</v>
      </c>
      <c r="E2139" s="18" t="inlineStr">
        <is>
          <t>Bridesmaids</t>
        </is>
      </c>
      <c r="F2139" s="18" t="inlineStr">
        <is>
          <t>F0058</t>
        </is>
      </c>
    </row>
    <row r="2140" ht="15.75" customHeight="1" s="108">
      <c r="A2140" s="18" t="inlineStr">
        <is>
          <t>Andy Buckley</t>
        </is>
      </c>
      <c r="B2140" s="18" t="n">
        <v>3</v>
      </c>
      <c r="C2140" s="18" t="n">
        <v>2011</v>
      </c>
      <c r="D2140" s="18" t="n">
        <v>2015</v>
      </c>
      <c r="E2140" s="18" t="inlineStr">
        <is>
          <t>Bridesmaids, The Heat, Jurassic World</t>
        </is>
      </c>
      <c r="F2140" s="18" t="inlineStr">
        <is>
          <t>F0058, F0146, F0179</t>
        </is>
      </c>
    </row>
    <row r="2141" ht="15.75" customHeight="1" s="108">
      <c r="A2141" s="18" t="inlineStr">
        <is>
          <t>Molly Buffington</t>
        </is>
      </c>
      <c r="B2141" s="18" t="n">
        <v>1</v>
      </c>
      <c r="C2141" s="18" t="n">
        <v>2011</v>
      </c>
      <c r="D2141" s="18" t="n">
        <v>2011</v>
      </c>
      <c r="E2141" s="18" t="inlineStr">
        <is>
          <t>Bridesmaids</t>
        </is>
      </c>
      <c r="F2141" s="18" t="inlineStr">
        <is>
          <t>F0058</t>
        </is>
      </c>
    </row>
    <row r="2142" ht="15.75" customHeight="1" s="108">
      <c r="A2142" s="18" t="inlineStr">
        <is>
          <t>Matt Bennett</t>
        </is>
      </c>
      <c r="B2142" s="18" t="n">
        <v>1</v>
      </c>
      <c r="C2142" s="18" t="n">
        <v>2011</v>
      </c>
      <c r="D2142" s="18" t="n">
        <v>2011</v>
      </c>
      <c r="E2142" s="18" t="inlineStr">
        <is>
          <t>Bridesmaids</t>
        </is>
      </c>
      <c r="F2142" s="18" t="inlineStr">
        <is>
          <t>F0058</t>
        </is>
      </c>
    </row>
    <row r="2143" ht="15.75" customHeight="1" s="108">
      <c r="A2143" s="18" t="inlineStr">
        <is>
          <t>Nancy Carell</t>
        </is>
      </c>
      <c r="B2143" s="18" t="n">
        <v>1</v>
      </c>
      <c r="C2143" s="18" t="n">
        <v>2011</v>
      </c>
      <c r="D2143" s="18" t="n">
        <v>2011</v>
      </c>
      <c r="E2143" s="18" t="inlineStr">
        <is>
          <t>Bridesmaids</t>
        </is>
      </c>
      <c r="F2143" s="18" t="inlineStr">
        <is>
          <t>F0058</t>
        </is>
      </c>
    </row>
    <row r="2144" ht="15.75" customHeight="1" s="108">
      <c r="A2144" s="18" t="inlineStr">
        <is>
          <t>Melanie Hutsell</t>
        </is>
      </c>
      <c r="B2144" s="18" t="n">
        <v>1</v>
      </c>
      <c r="C2144" s="18" t="n">
        <v>2011</v>
      </c>
      <c r="D2144" s="18" t="n">
        <v>2011</v>
      </c>
      <c r="E2144" s="18" t="inlineStr">
        <is>
          <t>Bridesmaids</t>
        </is>
      </c>
      <c r="F2144" s="18" t="inlineStr">
        <is>
          <t>F0058</t>
        </is>
      </c>
    </row>
    <row r="2145" ht="15.75" customHeight="1" s="108">
      <c r="A2145" s="18" t="inlineStr">
        <is>
          <t>Eloy Casados</t>
        </is>
      </c>
      <c r="B2145" s="18" t="n">
        <v>1</v>
      </c>
      <c r="C2145" s="18" t="n">
        <v>2011</v>
      </c>
      <c r="D2145" s="18" t="n">
        <v>2011</v>
      </c>
      <c r="E2145" s="18" t="inlineStr">
        <is>
          <t>Bridesmaids</t>
        </is>
      </c>
      <c r="F2145" s="18" t="inlineStr">
        <is>
          <t>F0058</t>
        </is>
      </c>
    </row>
    <row r="2146" ht="15.75" customHeight="1" s="108">
      <c r="A2146" s="18" t="inlineStr">
        <is>
          <t>Jessica St. Clair</t>
        </is>
      </c>
      <c r="B2146" s="18" t="n">
        <v>2</v>
      </c>
      <c r="C2146" s="18" t="n">
        <v>2011</v>
      </c>
      <c r="D2146" s="18" t="n">
        <v>2012</v>
      </c>
      <c r="E2146" s="18" t="inlineStr">
        <is>
          <t>Bridesmaids, The Dictator</t>
        </is>
      </c>
      <c r="F2146" s="18" t="inlineStr">
        <is>
          <t>F0058, F0085</t>
        </is>
      </c>
    </row>
    <row r="2147" ht="15.75" customHeight="1" s="108">
      <c r="A2147" s="18" t="inlineStr">
        <is>
          <t>Dana Powell</t>
        </is>
      </c>
      <c r="B2147" s="18" t="n">
        <v>1</v>
      </c>
      <c r="C2147" s="18" t="n">
        <v>2011</v>
      </c>
      <c r="D2147" s="18" t="n">
        <v>2011</v>
      </c>
      <c r="E2147" s="18" t="inlineStr">
        <is>
          <t>Bridesmaids</t>
        </is>
      </c>
      <c r="F2147" s="18" t="inlineStr">
        <is>
          <t>F0058</t>
        </is>
      </c>
    </row>
    <row r="2148" ht="15.75" customHeight="1" s="108">
      <c r="A2148" s="18" t="inlineStr">
        <is>
          <t>Toby Holguin</t>
        </is>
      </c>
      <c r="B2148" s="18" t="n">
        <v>1</v>
      </c>
      <c r="C2148" s="18" t="n">
        <v>2009</v>
      </c>
      <c r="D2148" s="18" t="n">
        <v>2009</v>
      </c>
      <c r="E2148" s="18" t="inlineStr">
        <is>
          <t>Brüno</t>
        </is>
      </c>
      <c r="F2148" s="18" t="inlineStr">
        <is>
          <t>F0059</t>
        </is>
      </c>
    </row>
    <row r="2149" ht="15.75" customHeight="1" s="108">
      <c r="A2149" s="18" t="inlineStr">
        <is>
          <t>Gilbert Rosales</t>
        </is>
      </c>
      <c r="B2149" s="18" t="n">
        <v>1</v>
      </c>
      <c r="C2149" s="18" t="n">
        <v>2009</v>
      </c>
      <c r="D2149" s="18" t="n">
        <v>2009</v>
      </c>
      <c r="E2149" s="18" t="inlineStr">
        <is>
          <t>Brüno</t>
        </is>
      </c>
      <c r="F2149" s="18" t="inlineStr">
        <is>
          <t>F0059</t>
        </is>
      </c>
    </row>
    <row r="2150" ht="15.75" customHeight="1" s="108">
      <c r="A2150" s="18" t="inlineStr">
        <is>
          <t>Thomas Rosales Jr.</t>
        </is>
      </c>
      <c r="B2150" s="18" t="n">
        <v>3</v>
      </c>
      <c r="C2150" s="18" t="n">
        <v>1997</v>
      </c>
      <c r="D2150" s="18" t="n">
        <v>2014</v>
      </c>
      <c r="E2150" s="18" t="inlineStr">
        <is>
          <t>Brüno, The Lost World: Jurassic Park, Dawn of the Planet of the Apes</t>
        </is>
      </c>
      <c r="F2150" s="18" t="inlineStr">
        <is>
          <t>F0059, F0177, F0254</t>
        </is>
      </c>
    </row>
    <row r="2151" ht="15.75" customHeight="1" s="108">
      <c r="A2151" s="18" t="inlineStr">
        <is>
          <t>Marco Xavier</t>
        </is>
      </c>
      <c r="B2151" s="18" t="n">
        <v>1</v>
      </c>
      <c r="C2151" s="18" t="n">
        <v>2009</v>
      </c>
      <c r="D2151" s="18" t="n">
        <v>2009</v>
      </c>
      <c r="E2151" s="18" t="inlineStr">
        <is>
          <t>Brüno</t>
        </is>
      </c>
      <c r="F2151" s="18" t="inlineStr">
        <is>
          <t>F0059</t>
        </is>
      </c>
    </row>
    <row r="2152" ht="15.75" customHeight="1" s="108">
      <c r="A2152" s="18" t="inlineStr">
        <is>
          <t>Bono</t>
        </is>
      </c>
      <c r="B2152" s="18" t="n">
        <v>1</v>
      </c>
      <c r="C2152" s="18" t="n">
        <v>2009</v>
      </c>
      <c r="D2152" s="18" t="n">
        <v>2009</v>
      </c>
      <c r="E2152" s="18" t="inlineStr">
        <is>
          <t>Brüno</t>
        </is>
      </c>
      <c r="F2152" s="18" t="inlineStr">
        <is>
          <t>F0059</t>
        </is>
      </c>
    </row>
    <row r="2153" ht="15.75" customHeight="1" s="108">
      <c r="A2153" s="18" t="inlineStr">
        <is>
          <t>Chris Martin</t>
        </is>
      </c>
      <c r="B2153" s="18" t="n">
        <v>2</v>
      </c>
      <c r="C2153" s="18" t="n">
        <v>2004</v>
      </c>
      <c r="D2153" s="18" t="n">
        <v>2009</v>
      </c>
      <c r="E2153" s="18" t="inlineStr">
        <is>
          <t>Brüno, Shaun of the Dead</t>
        </is>
      </c>
      <c r="F2153" s="18" t="inlineStr">
        <is>
          <t>F0059, F0070</t>
        </is>
      </c>
    </row>
    <row r="2154" ht="15.75" customHeight="1" s="108">
      <c r="A2154" s="18" t="inlineStr">
        <is>
          <t>Elton John</t>
        </is>
      </c>
      <c r="B2154" s="18" t="n">
        <v>1</v>
      </c>
      <c r="C2154" s="18" t="n">
        <v>2009</v>
      </c>
      <c r="D2154" s="18" t="n">
        <v>2009</v>
      </c>
      <c r="E2154" s="18" t="inlineStr">
        <is>
          <t>Brüno</t>
        </is>
      </c>
      <c r="F2154" s="18" t="inlineStr">
        <is>
          <t>F0059</t>
        </is>
      </c>
    </row>
    <row r="2155" ht="15.75" customHeight="1" s="108">
      <c r="A2155" s="18" t="inlineStr">
        <is>
          <t>Slash</t>
        </is>
      </c>
      <c r="B2155" s="18" t="n">
        <v>1</v>
      </c>
      <c r="C2155" s="18" t="n">
        <v>2009</v>
      </c>
      <c r="D2155" s="18" t="n">
        <v>2009</v>
      </c>
      <c r="E2155" s="18" t="inlineStr">
        <is>
          <t>Brüno</t>
        </is>
      </c>
      <c r="F2155" s="18" t="inlineStr">
        <is>
          <t>F0059</t>
        </is>
      </c>
    </row>
    <row r="2156" ht="15.75" customHeight="1" s="108">
      <c r="A2156" s="18" t="inlineStr">
        <is>
          <t>Snoop Dogg</t>
        </is>
      </c>
      <c r="B2156" s="18" t="n">
        <v>2</v>
      </c>
      <c r="C2156" s="18" t="n">
        <v>2009</v>
      </c>
      <c r="D2156" s="18" t="n">
        <v>2015</v>
      </c>
      <c r="E2156" s="18" t="inlineStr">
        <is>
          <t>Brüno, Pitch Perfect 2</t>
        </is>
      </c>
      <c r="F2156" s="18" t="inlineStr">
        <is>
          <t>F0059, F0251</t>
        </is>
      </c>
    </row>
    <row r="2157" ht="15.75" customHeight="1" s="108">
      <c r="A2157" s="18" t="inlineStr">
        <is>
          <t>Sting</t>
        </is>
      </c>
      <c r="B2157" s="18" t="n">
        <v>1</v>
      </c>
      <c r="C2157" s="18" t="n">
        <v>2009</v>
      </c>
      <c r="D2157" s="18" t="n">
        <v>2009</v>
      </c>
      <c r="E2157" s="18" t="inlineStr">
        <is>
          <t>Brüno</t>
        </is>
      </c>
      <c r="F2157" s="18" t="inlineStr">
        <is>
          <t>F0059</t>
        </is>
      </c>
    </row>
    <row r="2158" ht="15.75" customHeight="1" s="108">
      <c r="A2158" s="18" t="inlineStr">
        <is>
          <t>Kunal Nayyar</t>
        </is>
      </c>
      <c r="B2158" s="18" t="n">
        <v>1</v>
      </c>
      <c r="C2158" s="18" t="n">
        <v>2009</v>
      </c>
      <c r="D2158" s="18" t="n">
        <v>2009</v>
      </c>
      <c r="E2158" s="18" t="inlineStr">
        <is>
          <t>Brüno</t>
        </is>
      </c>
      <c r="F2158" s="18" t="inlineStr">
        <is>
          <t>F0059</t>
        </is>
      </c>
    </row>
    <row r="2159" ht="15.75" customHeight="1" s="108">
      <c r="A2159" s="18" t="inlineStr">
        <is>
          <t>Heather Hahn</t>
        </is>
      </c>
      <c r="B2159" s="18" t="n">
        <v>1</v>
      </c>
      <c r="C2159" s="18" t="n">
        <v>2009</v>
      </c>
      <c r="D2159" s="18" t="n">
        <v>2009</v>
      </c>
      <c r="E2159" s="18" t="inlineStr">
        <is>
          <t>Brüno</t>
        </is>
      </c>
      <c r="F2159" s="18" t="inlineStr">
        <is>
          <t>F0059</t>
        </is>
      </c>
    </row>
    <row r="2160" ht="15.75" customHeight="1" s="108">
      <c r="A2160" s="18" t="inlineStr">
        <is>
          <t>Filipa Beck</t>
        </is>
      </c>
      <c r="B2160" s="18" t="n">
        <v>1</v>
      </c>
      <c r="C2160" s="18" t="n">
        <v>2009</v>
      </c>
      <c r="D2160" s="18" t="n">
        <v>2009</v>
      </c>
      <c r="E2160" s="18" t="inlineStr">
        <is>
          <t>Brüno</t>
        </is>
      </c>
      <c r="F2160" s="18" t="inlineStr">
        <is>
          <t>F0059</t>
        </is>
      </c>
    </row>
    <row r="2161" ht="15.75" customHeight="1" s="108">
      <c r="A2161" s="18" t="inlineStr">
        <is>
          <t>Lloyd Robinson</t>
        </is>
      </c>
      <c r="B2161" s="18" t="n">
        <v>1</v>
      </c>
      <c r="C2161" s="18" t="n">
        <v>2009</v>
      </c>
      <c r="D2161" s="18" t="n">
        <v>2009</v>
      </c>
      <c r="E2161" s="18" t="inlineStr">
        <is>
          <t>Brüno</t>
        </is>
      </c>
      <c r="F2161" s="18" t="inlineStr">
        <is>
          <t>F0059</t>
        </is>
      </c>
    </row>
    <row r="2162" ht="15.75" customHeight="1" s="108">
      <c r="A2162" s="18" t="inlineStr">
        <is>
          <t>Paula Abdul</t>
        </is>
      </c>
      <c r="B2162" s="18" t="n">
        <v>1</v>
      </c>
      <c r="C2162" s="18" t="n">
        <v>2009</v>
      </c>
      <c r="D2162" s="18" t="n">
        <v>2009</v>
      </c>
      <c r="E2162" s="18" t="inlineStr">
        <is>
          <t>Brüno</t>
        </is>
      </c>
      <c r="F2162" s="18" t="inlineStr">
        <is>
          <t>F0059</t>
        </is>
      </c>
    </row>
    <row r="2163" ht="15.75" customHeight="1" s="108">
      <c r="A2163" s="18" t="inlineStr">
        <is>
          <t>Denny Bond</t>
        </is>
      </c>
      <c r="B2163" s="18" t="n">
        <v>1</v>
      </c>
      <c r="C2163" s="18" t="n">
        <v>2009</v>
      </c>
      <c r="D2163" s="18" t="n">
        <v>2009</v>
      </c>
      <c r="E2163" s="18" t="inlineStr">
        <is>
          <t>Brüno</t>
        </is>
      </c>
      <c r="F2163" s="18" t="inlineStr">
        <is>
          <t>F0059</t>
        </is>
      </c>
    </row>
    <row r="2164" ht="15.75" customHeight="1" s="108">
      <c r="A2164" s="18" t="inlineStr">
        <is>
          <t>Brittny Gastineau</t>
        </is>
      </c>
      <c r="B2164" s="18" t="n">
        <v>1</v>
      </c>
      <c r="C2164" s="18" t="n">
        <v>2009</v>
      </c>
      <c r="D2164" s="18" t="n">
        <v>2009</v>
      </c>
      <c r="E2164" s="18" t="inlineStr">
        <is>
          <t>Brüno</t>
        </is>
      </c>
      <c r="F2164" s="18" t="inlineStr">
        <is>
          <t>F0059</t>
        </is>
      </c>
    </row>
    <row r="2165" ht="15.75" customHeight="1" s="108">
      <c r="A2165" s="18" t="inlineStr">
        <is>
          <t>Ron Paul</t>
        </is>
      </c>
      <c r="B2165" s="18" t="n">
        <v>1</v>
      </c>
      <c r="C2165" s="18" t="n">
        <v>2009</v>
      </c>
      <c r="D2165" s="18" t="n">
        <v>2009</v>
      </c>
      <c r="E2165" s="18" t="inlineStr">
        <is>
          <t>Brüno</t>
        </is>
      </c>
      <c r="F2165" s="18" t="inlineStr">
        <is>
          <t>F0059</t>
        </is>
      </c>
    </row>
    <row r="2166" ht="15.75" customHeight="1" s="108">
      <c r="A2166" s="18" t="inlineStr">
        <is>
          <t>Gary Williams</t>
        </is>
      </c>
      <c r="B2166" s="18" t="n">
        <v>1</v>
      </c>
      <c r="C2166" s="18" t="n">
        <v>2009</v>
      </c>
      <c r="D2166" s="18" t="n">
        <v>2009</v>
      </c>
      <c r="E2166" s="18" t="inlineStr">
        <is>
          <t>Brüno</t>
        </is>
      </c>
      <c r="F2166" s="18" t="inlineStr">
        <is>
          <t>F0059</t>
        </is>
      </c>
    </row>
    <row r="2167" ht="15.75" customHeight="1" s="108">
      <c r="A2167" s="18" t="inlineStr">
        <is>
          <t>Nicole DeFosset</t>
        </is>
      </c>
      <c r="B2167" s="18" t="n">
        <v>1</v>
      </c>
      <c r="C2167" s="18" t="n">
        <v>2009</v>
      </c>
      <c r="D2167" s="18" t="n">
        <v>2009</v>
      </c>
      <c r="E2167" s="18" t="inlineStr">
        <is>
          <t>Brüno</t>
        </is>
      </c>
      <c r="F2167" s="18" t="inlineStr">
        <is>
          <t>F0059</t>
        </is>
      </c>
    </row>
    <row r="2168" ht="15.75" customHeight="1" s="108">
      <c r="A2168" s="18" t="inlineStr">
        <is>
          <t>Suzanne DeFosset</t>
        </is>
      </c>
      <c r="B2168" s="18" t="n">
        <v>1</v>
      </c>
      <c r="C2168" s="18" t="n">
        <v>2009</v>
      </c>
      <c r="D2168" s="18" t="n">
        <v>2009</v>
      </c>
      <c r="E2168" s="18" t="inlineStr">
        <is>
          <t>Brüno</t>
        </is>
      </c>
      <c r="F2168" s="18" t="inlineStr">
        <is>
          <t>F0059</t>
        </is>
      </c>
    </row>
    <row r="2169" ht="15.75" customHeight="1" s="108">
      <c r="A2169" s="18" t="inlineStr">
        <is>
          <t>Yossi Alpher</t>
        </is>
      </c>
      <c r="B2169" s="18" t="n">
        <v>1</v>
      </c>
      <c r="C2169" s="18" t="n">
        <v>2009</v>
      </c>
      <c r="D2169" s="18" t="n">
        <v>2009</v>
      </c>
      <c r="E2169" s="18" t="inlineStr">
        <is>
          <t>Brüno</t>
        </is>
      </c>
      <c r="F2169" s="18" t="inlineStr">
        <is>
          <t>F0059</t>
        </is>
      </c>
    </row>
    <row r="2170" ht="15.75" customHeight="1" s="108">
      <c r="A2170" s="18" t="inlineStr">
        <is>
          <t>Ghassan Khatib</t>
        </is>
      </c>
      <c r="B2170" s="18" t="n">
        <v>1</v>
      </c>
      <c r="C2170" s="18" t="n">
        <v>2009</v>
      </c>
      <c r="D2170" s="18" t="n">
        <v>2009</v>
      </c>
      <c r="E2170" s="18" t="inlineStr">
        <is>
          <t>Brüno</t>
        </is>
      </c>
      <c r="F2170" s="18" t="inlineStr">
        <is>
          <t>F0059</t>
        </is>
      </c>
    </row>
    <row r="2171" ht="15.75" customHeight="1" s="108">
      <c r="A2171" s="18" t="inlineStr">
        <is>
          <t>Avraham Sela</t>
        </is>
      </c>
      <c r="B2171" s="18" t="n">
        <v>1</v>
      </c>
      <c r="C2171" s="18" t="n">
        <v>2009</v>
      </c>
      <c r="D2171" s="18" t="n">
        <v>2009</v>
      </c>
      <c r="E2171" s="18" t="inlineStr">
        <is>
          <t>Brüno</t>
        </is>
      </c>
      <c r="F2171" s="18" t="inlineStr">
        <is>
          <t>F0059</t>
        </is>
      </c>
    </row>
    <row r="2172" ht="15.75" customHeight="1" s="108">
      <c r="A2172" s="18" t="inlineStr">
        <is>
          <t>Adnan Al-Husseini</t>
        </is>
      </c>
      <c r="B2172" s="18" t="n">
        <v>1</v>
      </c>
      <c r="C2172" s="18" t="n">
        <v>2009</v>
      </c>
      <c r="D2172" s="18" t="n">
        <v>2009</v>
      </c>
      <c r="E2172" s="18" t="inlineStr">
        <is>
          <t>Brüno</t>
        </is>
      </c>
      <c r="F2172" s="18" t="inlineStr">
        <is>
          <t>F0059</t>
        </is>
      </c>
    </row>
    <row r="2173" ht="15.75" customHeight="1" s="108">
      <c r="A2173" s="18" t="inlineStr">
        <is>
          <t>Dawn Lewis</t>
        </is>
      </c>
      <c r="B2173" s="18" t="n">
        <v>1</v>
      </c>
      <c r="C2173" s="18" t="n">
        <v>2007</v>
      </c>
      <c r="D2173" s="18" t="n">
        <v>2007</v>
      </c>
      <c r="E2173" s="18" t="inlineStr">
        <is>
          <t>The Bucket List</t>
        </is>
      </c>
      <c r="F2173" s="18" t="inlineStr">
        <is>
          <t>F0060</t>
        </is>
      </c>
    </row>
    <row r="2174" ht="15.75" customHeight="1" s="108">
      <c r="A2174" s="18" t="inlineStr">
        <is>
          <t>Rob Morrow</t>
        </is>
      </c>
      <c r="B2174" s="18" t="n">
        <v>1</v>
      </c>
      <c r="C2174" s="18" t="n">
        <v>2007</v>
      </c>
      <c r="D2174" s="18" t="n">
        <v>2007</v>
      </c>
      <c r="E2174" s="18" t="inlineStr">
        <is>
          <t>The Bucket List</t>
        </is>
      </c>
      <c r="F2174" s="18" t="inlineStr">
        <is>
          <t>F0060</t>
        </is>
      </c>
    </row>
    <row r="2175" ht="15.75" customHeight="1" s="108">
      <c r="A2175" s="18" t="inlineStr">
        <is>
          <t>Brian Copeland</t>
        </is>
      </c>
      <c r="B2175" s="18" t="n">
        <v>1</v>
      </c>
      <c r="C2175" s="18" t="n">
        <v>2007</v>
      </c>
      <c r="D2175" s="18" t="n">
        <v>2007</v>
      </c>
      <c r="E2175" s="18" t="inlineStr">
        <is>
          <t>The Bucket List</t>
        </is>
      </c>
      <c r="F2175" s="18" t="inlineStr">
        <is>
          <t>F0060</t>
        </is>
      </c>
    </row>
    <row r="2176" ht="15.75" customHeight="1" s="108">
      <c r="A2176" s="18" t="inlineStr">
        <is>
          <t>Rowena King</t>
        </is>
      </c>
      <c r="B2176" s="18" t="n">
        <v>1</v>
      </c>
      <c r="C2176" s="18" t="n">
        <v>2007</v>
      </c>
      <c r="D2176" s="18" t="n">
        <v>2007</v>
      </c>
      <c r="E2176" s="18" t="inlineStr">
        <is>
          <t>The Bucket List</t>
        </is>
      </c>
      <c r="F2176" s="18" t="inlineStr">
        <is>
          <t>F0060</t>
        </is>
      </c>
    </row>
    <row r="2177" ht="15.75" customHeight="1" s="108">
      <c r="A2177" s="18" t="inlineStr">
        <is>
          <t>Annton Berry Jr.</t>
        </is>
      </c>
      <c r="B2177" s="18" t="n">
        <v>1</v>
      </c>
      <c r="C2177" s="18" t="n">
        <v>2007</v>
      </c>
      <c r="D2177" s="18" t="n">
        <v>2007</v>
      </c>
      <c r="E2177" s="18" t="inlineStr">
        <is>
          <t>The Bucket List</t>
        </is>
      </c>
      <c r="F2177" s="18" t="inlineStr">
        <is>
          <t>F0060</t>
        </is>
      </c>
    </row>
    <row r="2178" ht="15.75" customHeight="1" s="108">
      <c r="A2178" s="18" t="inlineStr">
        <is>
          <t>Destiny Brownridge</t>
        </is>
      </c>
      <c r="B2178" s="18" t="n">
        <v>1</v>
      </c>
      <c r="C2178" s="18" t="n">
        <v>2007</v>
      </c>
      <c r="D2178" s="18" t="n">
        <v>2007</v>
      </c>
      <c r="E2178" s="18" t="inlineStr">
        <is>
          <t>The Bucket List</t>
        </is>
      </c>
      <c r="F2178" s="18" t="inlineStr">
        <is>
          <t>F0060</t>
        </is>
      </c>
    </row>
    <row r="2179" ht="15.75" customHeight="1" s="108">
      <c r="A2179" s="18" t="inlineStr">
        <is>
          <t>Verda Bridges</t>
        </is>
      </c>
      <c r="B2179" s="18" t="n">
        <v>1</v>
      </c>
      <c r="C2179" s="18" t="n">
        <v>2007</v>
      </c>
      <c r="D2179" s="18" t="n">
        <v>2007</v>
      </c>
      <c r="E2179" s="18" t="inlineStr">
        <is>
          <t>The Bucket List</t>
        </is>
      </c>
      <c r="F2179" s="18" t="inlineStr">
        <is>
          <t>F0060</t>
        </is>
      </c>
    </row>
    <row r="2180" ht="15.75" customHeight="1" s="108">
      <c r="A2180" s="18" t="inlineStr">
        <is>
          <t>Ian Anthony Dale</t>
        </is>
      </c>
      <c r="B2180" s="18" t="n">
        <v>2</v>
      </c>
      <c r="C2180" s="18" t="n">
        <v>2007</v>
      </c>
      <c r="D2180" s="18" t="n">
        <v>2009</v>
      </c>
      <c r="E2180" s="18" t="inlineStr">
        <is>
          <t>The Bucket List, The Hangover</t>
        </is>
      </c>
      <c r="F2180" s="18" t="inlineStr">
        <is>
          <t>F0060, F0134</t>
        </is>
      </c>
    </row>
    <row r="2181" ht="15.75" customHeight="1" s="108">
      <c r="A2181" s="18" t="inlineStr">
        <is>
          <t>Jennifer Defrancisco</t>
        </is>
      </c>
      <c r="B2181" s="18" t="n">
        <v>1</v>
      </c>
      <c r="C2181" s="18" t="n">
        <v>2007</v>
      </c>
      <c r="D2181" s="18" t="n">
        <v>2007</v>
      </c>
      <c r="E2181" s="18" t="inlineStr">
        <is>
          <t>The Bucket List</t>
        </is>
      </c>
      <c r="F2181" s="18" t="inlineStr">
        <is>
          <t>F0060</t>
        </is>
      </c>
    </row>
    <row r="2182" ht="15.75" customHeight="1" s="108">
      <c r="A2182" s="18" t="inlineStr">
        <is>
          <t>Angela Gardner</t>
        </is>
      </c>
      <c r="B2182" s="18" t="n">
        <v>1</v>
      </c>
      <c r="C2182" s="18" t="n">
        <v>2007</v>
      </c>
      <c r="D2182" s="18" t="n">
        <v>2007</v>
      </c>
      <c r="E2182" s="18" t="inlineStr">
        <is>
          <t>The Bucket List</t>
        </is>
      </c>
      <c r="F2182" s="18" t="inlineStr">
        <is>
          <t>F0060</t>
        </is>
      </c>
    </row>
    <row r="2183" ht="15.75" customHeight="1" s="108">
      <c r="A2183" s="18" t="inlineStr">
        <is>
          <t>Noel Gugliemi</t>
        </is>
      </c>
      <c r="B2183" s="18" t="n">
        <v>3</v>
      </c>
      <c r="C2183" s="18" t="n">
        <v>2001</v>
      </c>
      <c r="D2183" s="18" t="n">
        <v>2015</v>
      </c>
      <c r="E2183" s="18" t="inlineStr">
        <is>
          <t>The Bucket List, The Fast and the Furious, Furious 7</t>
        </is>
      </c>
      <c r="F2183" s="18" t="inlineStr">
        <is>
          <t>F0060, F0101, F0107</t>
        </is>
      </c>
    </row>
    <row r="2184" ht="15.75" customHeight="1" s="108">
      <c r="A2184" s="18" t="inlineStr">
        <is>
          <t>Jonathan Hernandez</t>
        </is>
      </c>
      <c r="B2184" s="18" t="n">
        <v>1</v>
      </c>
      <c r="C2184" s="18" t="n">
        <v>2007</v>
      </c>
      <c r="D2184" s="18" t="n">
        <v>2007</v>
      </c>
      <c r="E2184" s="18" t="inlineStr">
        <is>
          <t>The Bucket List</t>
        </is>
      </c>
      <c r="F2184" s="18" t="inlineStr">
        <is>
          <t>F0060</t>
        </is>
      </c>
    </row>
    <row r="2185" ht="15.75" customHeight="1" s="108">
      <c r="A2185" s="18" t="inlineStr">
        <is>
          <t>Karen Maruyama</t>
        </is>
      </c>
      <c r="B2185" s="18" t="n">
        <v>1</v>
      </c>
      <c r="C2185" s="18" t="n">
        <v>2007</v>
      </c>
      <c r="D2185" s="18" t="n">
        <v>2007</v>
      </c>
      <c r="E2185" s="18" t="inlineStr">
        <is>
          <t>The Bucket List</t>
        </is>
      </c>
      <c r="F2185" s="18" t="inlineStr">
        <is>
          <t>F0060</t>
        </is>
      </c>
    </row>
    <row r="2186" ht="15.75" customHeight="1" s="108">
      <c r="A2186" s="18" t="inlineStr">
        <is>
          <t>Amber Mead</t>
        </is>
      </c>
      <c r="B2186" s="18" t="n">
        <v>1</v>
      </c>
      <c r="C2186" s="18" t="n">
        <v>2007</v>
      </c>
      <c r="D2186" s="18" t="n">
        <v>2007</v>
      </c>
      <c r="E2186" s="18" t="inlineStr">
        <is>
          <t>The Bucket List</t>
        </is>
      </c>
      <c r="F2186" s="18" t="inlineStr">
        <is>
          <t>F0060</t>
        </is>
      </c>
    </row>
    <row r="2187" ht="15.75" customHeight="1" s="108">
      <c r="A2187" s="18" t="inlineStr">
        <is>
          <t>Serena Reeder</t>
        </is>
      </c>
      <c r="B2187" s="18" t="n">
        <v>1</v>
      </c>
      <c r="C2187" s="18" t="n">
        <v>2007</v>
      </c>
      <c r="D2187" s="18" t="n">
        <v>2007</v>
      </c>
      <c r="E2187" s="18" t="inlineStr">
        <is>
          <t>The Bucket List</t>
        </is>
      </c>
      <c r="F2187" s="18" t="inlineStr">
        <is>
          <t>F0060</t>
        </is>
      </c>
    </row>
    <row r="2188" ht="15.75" customHeight="1" s="108">
      <c r="A2188" s="18" t="inlineStr">
        <is>
          <t>Christopher Stapleton</t>
        </is>
      </c>
      <c r="B2188" s="18" t="n">
        <v>1</v>
      </c>
      <c r="C2188" s="18" t="n">
        <v>2007</v>
      </c>
      <c r="D2188" s="18" t="n">
        <v>2007</v>
      </c>
      <c r="E2188" s="18" t="inlineStr">
        <is>
          <t>The Bucket List</t>
        </is>
      </c>
      <c r="F2188" s="18" t="inlineStr">
        <is>
          <t>F0060</t>
        </is>
      </c>
    </row>
    <row r="2189" ht="15.75" customHeight="1" s="108">
      <c r="A2189" s="18" t="inlineStr">
        <is>
          <t>Taylor Ann Thompson</t>
        </is>
      </c>
      <c r="B2189" s="18" t="n">
        <v>1</v>
      </c>
      <c r="C2189" s="18" t="n">
        <v>2007</v>
      </c>
      <c r="D2189" s="18" t="n">
        <v>2007</v>
      </c>
      <c r="E2189" s="18" t="inlineStr">
        <is>
          <t>The Bucket List</t>
        </is>
      </c>
      <c r="F2189" s="18" t="inlineStr">
        <is>
          <t>F0060</t>
        </is>
      </c>
    </row>
    <row r="2190" ht="15.75" customHeight="1" s="108">
      <c r="A2190" s="18" t="inlineStr">
        <is>
          <t>Stephen Schneider</t>
        </is>
      </c>
      <c r="B2190" s="18" t="n">
        <v>1</v>
      </c>
      <c r="C2190" s="18" t="n">
        <v>2018</v>
      </c>
      <c r="D2190" s="18" t="n">
        <v>2018</v>
      </c>
      <c r="E2190" s="18" t="inlineStr">
        <is>
          <t>Bumblebee</t>
        </is>
      </c>
      <c r="F2190" s="18" t="inlineStr">
        <is>
          <t>F0061</t>
        </is>
      </c>
    </row>
    <row r="2191" ht="15.75" customHeight="1" s="108">
      <c r="A2191" s="18" t="inlineStr">
        <is>
          <t>Pamela Adlon</t>
        </is>
      </c>
      <c r="B2191" s="18" t="n">
        <v>1</v>
      </c>
      <c r="C2191" s="18" t="n">
        <v>2018</v>
      </c>
      <c r="D2191" s="18" t="n">
        <v>2018</v>
      </c>
      <c r="E2191" s="18" t="inlineStr">
        <is>
          <t>Bumblebee</t>
        </is>
      </c>
      <c r="F2191" s="18" t="inlineStr">
        <is>
          <t>F0061</t>
        </is>
      </c>
    </row>
    <row r="2192" ht="15.75" customHeight="1" s="108">
      <c r="A2192" s="18" t="inlineStr">
        <is>
          <t>Len Cariou</t>
        </is>
      </c>
      <c r="B2192" s="18" t="n">
        <v>2</v>
      </c>
      <c r="C2192" s="18" t="n">
        <v>2013</v>
      </c>
      <c r="D2192" s="18" t="n">
        <v>2018</v>
      </c>
      <c r="E2192" s="18" t="inlineStr">
        <is>
          <t>Bumblebee, Prisoners</t>
        </is>
      </c>
      <c r="F2192" s="18" t="inlineStr">
        <is>
          <t>F0061, F0258</t>
        </is>
      </c>
    </row>
    <row r="2193" ht="15.75" customHeight="1" s="108">
      <c r="A2193" s="18" t="inlineStr">
        <is>
          <t>Glynn Turman</t>
        </is>
      </c>
      <c r="B2193" s="18" t="n">
        <v>2</v>
      </c>
      <c r="C2193" s="18" t="n">
        <v>2011</v>
      </c>
      <c r="D2193" s="18" t="n">
        <v>2018</v>
      </c>
      <c r="E2193" s="18" t="inlineStr">
        <is>
          <t>Bumblebee, Super 8</t>
        </is>
      </c>
      <c r="F2193" s="18" t="inlineStr">
        <is>
          <t>F0061, F0302</t>
        </is>
      </c>
    </row>
    <row r="2194" ht="15.75" customHeight="1" s="108">
      <c r="A2194" s="18" t="inlineStr">
        <is>
          <t>Angela Bassett</t>
        </is>
      </c>
      <c r="B2194" s="18" t="n">
        <v>5</v>
      </c>
      <c r="C2194" s="18" t="n">
        <v>2011</v>
      </c>
      <c r="D2194" s="18" t="n">
        <v>2025</v>
      </c>
      <c r="E2194" s="18" t="inlineStr">
        <is>
          <t>Bumblebee, Green Lantern, Mission: Impossible - Fallout, Mission: Impossible - The Final Reckoning, Olympus Has Fallen</t>
        </is>
      </c>
      <c r="F2194" s="18" t="inlineStr">
        <is>
          <t>F0061, F0128, F0226, F0228, F0240</t>
        </is>
      </c>
    </row>
    <row r="2195" ht="15.75" customHeight="1" s="108">
      <c r="A2195" s="18" t="inlineStr">
        <is>
          <t>Justin Theroux</t>
        </is>
      </c>
      <c r="B2195" s="18" t="n">
        <v>2</v>
      </c>
      <c r="C2195" s="18" t="n">
        <v>2017</v>
      </c>
      <c r="D2195" s="18" t="n">
        <v>2018</v>
      </c>
      <c r="E2195" s="18" t="inlineStr">
        <is>
          <t>Bumblebee, Star Wars: The Last Jedi</t>
        </is>
      </c>
      <c r="F2195" s="18" t="inlineStr">
        <is>
          <t>F0061, F0299</t>
        </is>
      </c>
    </row>
    <row r="2196" ht="15.75" customHeight="1" s="108">
      <c r="A2196" s="18" t="inlineStr">
        <is>
          <t>Gracie Dzienny</t>
        </is>
      </c>
      <c r="B2196" s="18" t="n">
        <v>1</v>
      </c>
      <c r="C2196" s="18" t="n">
        <v>2018</v>
      </c>
      <c r="D2196" s="18" t="n">
        <v>2018</v>
      </c>
      <c r="E2196" s="18" t="inlineStr">
        <is>
          <t>Bumblebee</t>
        </is>
      </c>
      <c r="F2196" s="18" t="inlineStr">
        <is>
          <t>F0061</t>
        </is>
      </c>
    </row>
    <row r="2197" ht="15.75" customHeight="1" s="108">
      <c r="A2197" s="18" t="inlineStr">
        <is>
          <t>Ricardo Hoyos</t>
        </is>
      </c>
      <c r="B2197" s="18" t="n">
        <v>1</v>
      </c>
      <c r="C2197" s="18" t="n">
        <v>2018</v>
      </c>
      <c r="D2197" s="18" t="n">
        <v>2018</v>
      </c>
      <c r="E2197" s="18" t="inlineStr">
        <is>
          <t>Bumblebee</t>
        </is>
      </c>
      <c r="F2197" s="18" t="inlineStr">
        <is>
          <t>F0061</t>
        </is>
      </c>
    </row>
    <row r="2198" ht="15.75" customHeight="1" s="108">
      <c r="A2198" s="18" t="inlineStr">
        <is>
          <t>Lenny Jacobson</t>
        </is>
      </c>
      <c r="B2198" s="18" t="n">
        <v>1</v>
      </c>
      <c r="C2198" s="18" t="n">
        <v>2018</v>
      </c>
      <c r="D2198" s="18" t="n">
        <v>2018</v>
      </c>
      <c r="E2198" s="18" t="inlineStr">
        <is>
          <t>Bumblebee</t>
        </is>
      </c>
      <c r="F2198" s="18" t="inlineStr">
        <is>
          <t>F0061</t>
        </is>
      </c>
    </row>
    <row r="2199" ht="15.75" customHeight="1" s="108">
      <c r="A2199" s="18" t="inlineStr">
        <is>
          <t>Megyn Price</t>
        </is>
      </c>
      <c r="B2199" s="18" t="n">
        <v>1</v>
      </c>
      <c r="C2199" s="18" t="n">
        <v>2018</v>
      </c>
      <c r="D2199" s="18" t="n">
        <v>2018</v>
      </c>
      <c r="E2199" s="18" t="inlineStr">
        <is>
          <t>Bumblebee</t>
        </is>
      </c>
      <c r="F2199" s="18" t="inlineStr">
        <is>
          <t>F0061</t>
        </is>
      </c>
    </row>
    <row r="2200" ht="15.75" customHeight="1" s="108">
      <c r="A2200" s="18" t="inlineStr">
        <is>
          <t>Kollin Holtz</t>
        </is>
      </c>
      <c r="B2200" s="18" t="n">
        <v>1</v>
      </c>
      <c r="C2200" s="18" t="n">
        <v>2018</v>
      </c>
      <c r="D2200" s="18" t="n">
        <v>2018</v>
      </c>
      <c r="E2200" s="18" t="inlineStr">
        <is>
          <t>Bumblebee</t>
        </is>
      </c>
      <c r="F2200" s="18" t="inlineStr">
        <is>
          <t>F0061</t>
        </is>
      </c>
    </row>
    <row r="2201" ht="15.75" customHeight="1" s="108">
      <c r="A2201" s="18" t="inlineStr">
        <is>
          <t>Fred Dryer</t>
        </is>
      </c>
      <c r="B2201" s="18" t="n">
        <v>1</v>
      </c>
      <c r="C2201" s="18" t="n">
        <v>2018</v>
      </c>
      <c r="D2201" s="18" t="n">
        <v>2018</v>
      </c>
      <c r="E2201" s="18" t="inlineStr">
        <is>
          <t>Bumblebee</t>
        </is>
      </c>
      <c r="F2201" s="18" t="inlineStr">
        <is>
          <t>F0061</t>
        </is>
      </c>
    </row>
    <row r="2202" ht="15.75" customHeight="1" s="108">
      <c r="A2202" s="18" t="inlineStr">
        <is>
          <t>Isabelle Ellingson</t>
        </is>
      </c>
      <c r="B2202" s="18" t="n">
        <v>1</v>
      </c>
      <c r="C2202" s="18" t="n">
        <v>2018</v>
      </c>
      <c r="D2202" s="18" t="n">
        <v>2018</v>
      </c>
      <c r="E2202" s="18" t="inlineStr">
        <is>
          <t>Bumblebee</t>
        </is>
      </c>
      <c r="F2202" s="18" t="inlineStr">
        <is>
          <t>F0061</t>
        </is>
      </c>
    </row>
    <row r="2203" ht="15.75" customHeight="1" s="108">
      <c r="A2203" s="18" t="inlineStr">
        <is>
          <t>Mika Kubo</t>
        </is>
      </c>
      <c r="B2203" s="18" t="n">
        <v>1</v>
      </c>
      <c r="C2203" s="18" t="n">
        <v>2018</v>
      </c>
      <c r="D2203" s="18" t="n">
        <v>2018</v>
      </c>
      <c r="E2203" s="18" t="inlineStr">
        <is>
          <t>Bumblebee</t>
        </is>
      </c>
      <c r="F2203" s="18" t="inlineStr">
        <is>
          <t>F0061</t>
        </is>
      </c>
    </row>
    <row r="2204" ht="15.75" customHeight="1" s="108">
      <c r="A2204" s="18" t="inlineStr">
        <is>
          <t>Felicia Stiles</t>
        </is>
      </c>
      <c r="B2204" s="18" t="n">
        <v>1</v>
      </c>
      <c r="C2204" s="18" t="n">
        <v>2018</v>
      </c>
      <c r="D2204" s="18" t="n">
        <v>2018</v>
      </c>
      <c r="E2204" s="18" t="inlineStr">
        <is>
          <t>Bumblebee</t>
        </is>
      </c>
      <c r="F2204" s="18" t="inlineStr">
        <is>
          <t>F0061</t>
        </is>
      </c>
    </row>
    <row r="2205" ht="15.75" customHeight="1" s="108">
      <c r="A2205" s="18" t="inlineStr">
        <is>
          <t>George Anagnostou</t>
        </is>
      </c>
      <c r="B2205" s="18" t="n">
        <v>1</v>
      </c>
      <c r="C2205" s="18" t="n">
        <v>2018</v>
      </c>
      <c r="D2205" s="18" t="n">
        <v>2018</v>
      </c>
      <c r="E2205" s="18" t="inlineStr">
        <is>
          <t>Bumblebee</t>
        </is>
      </c>
      <c r="F2205" s="18" t="inlineStr">
        <is>
          <t>F0061</t>
        </is>
      </c>
    </row>
    <row r="2206" ht="15.75" customHeight="1" s="108">
      <c r="A2206" s="18" t="inlineStr">
        <is>
          <t>Brandon Wardle</t>
        </is>
      </c>
      <c r="B2206" s="18" t="n">
        <v>1</v>
      </c>
      <c r="C2206" s="18" t="n">
        <v>2018</v>
      </c>
      <c r="D2206" s="18" t="n">
        <v>2018</v>
      </c>
      <c r="E2206" s="18" t="inlineStr">
        <is>
          <t>Bumblebee</t>
        </is>
      </c>
      <c r="F2206" s="18" t="inlineStr">
        <is>
          <t>F0061</t>
        </is>
      </c>
    </row>
    <row r="2207" ht="15.75" customHeight="1" s="108">
      <c r="A2207" s="18" t="inlineStr">
        <is>
          <t>Krystin Goodwin</t>
        </is>
      </c>
      <c r="B2207" s="18" t="n">
        <v>1</v>
      </c>
      <c r="C2207" s="18" t="n">
        <v>2018</v>
      </c>
      <c r="D2207" s="18" t="n">
        <v>2018</v>
      </c>
      <c r="E2207" s="18" t="inlineStr">
        <is>
          <t>Bumblebee</t>
        </is>
      </c>
      <c r="F2207" s="18" t="inlineStr">
        <is>
          <t>F0061</t>
        </is>
      </c>
    </row>
    <row r="2208" ht="15.75" customHeight="1" s="108">
      <c r="A2208" s="18" t="inlineStr">
        <is>
          <t>Nick Pilla</t>
        </is>
      </c>
      <c r="B2208" s="18" t="n">
        <v>1</v>
      </c>
      <c r="C2208" s="18" t="n">
        <v>2018</v>
      </c>
      <c r="D2208" s="18" t="n">
        <v>2018</v>
      </c>
      <c r="E2208" s="18" t="inlineStr">
        <is>
          <t>Bumblebee</t>
        </is>
      </c>
      <c r="F2208" s="18" t="inlineStr">
        <is>
          <t>F0061</t>
        </is>
      </c>
    </row>
    <row r="2209" ht="15.75" customHeight="1" s="108">
      <c r="A2209" s="18" t="inlineStr">
        <is>
          <t>Sachin Bhatt</t>
        </is>
      </c>
      <c r="B2209" s="18" t="n">
        <v>1</v>
      </c>
      <c r="C2209" s="18" t="n">
        <v>2018</v>
      </c>
      <c r="D2209" s="18" t="n">
        <v>2018</v>
      </c>
      <c r="E2209" s="18" t="inlineStr">
        <is>
          <t>Bumblebee</t>
        </is>
      </c>
      <c r="F2209" s="18" t="inlineStr">
        <is>
          <t>F0061</t>
        </is>
      </c>
    </row>
    <row r="2210" ht="15.75" customHeight="1" s="108">
      <c r="A2210" s="18" t="inlineStr">
        <is>
          <t>Tim Martin Gleason</t>
        </is>
      </c>
      <c r="B2210" s="18" t="n">
        <v>1</v>
      </c>
      <c r="C2210" s="18" t="n">
        <v>2018</v>
      </c>
      <c r="D2210" s="18" t="n">
        <v>2018</v>
      </c>
      <c r="E2210" s="18" t="inlineStr">
        <is>
          <t>Bumblebee</t>
        </is>
      </c>
      <c r="F2210" s="18" t="inlineStr">
        <is>
          <t>F0061</t>
        </is>
      </c>
    </row>
    <row r="2211" ht="15.75" customHeight="1" s="108">
      <c r="A2211" s="18" t="inlineStr">
        <is>
          <t>David Waters</t>
        </is>
      </c>
      <c r="B2211" s="18" t="n">
        <v>1</v>
      </c>
      <c r="C2211" s="18" t="n">
        <v>2018</v>
      </c>
      <c r="D2211" s="18" t="n">
        <v>2018</v>
      </c>
      <c r="E2211" s="18" t="inlineStr">
        <is>
          <t>Bumblebee</t>
        </is>
      </c>
      <c r="F2211" s="18" t="inlineStr">
        <is>
          <t>F0061</t>
        </is>
      </c>
    </row>
    <row r="2212" ht="15.75" customHeight="1" s="108">
      <c r="A2212" s="18" t="inlineStr">
        <is>
          <t>Antonio D. Charity</t>
        </is>
      </c>
      <c r="B2212" s="18" t="n">
        <v>1</v>
      </c>
      <c r="C2212" s="18" t="n">
        <v>2018</v>
      </c>
      <c r="D2212" s="18" t="n">
        <v>2018</v>
      </c>
      <c r="E2212" s="18" t="inlineStr">
        <is>
          <t>Bumblebee</t>
        </is>
      </c>
      <c r="F2212" s="18" t="inlineStr">
        <is>
          <t>F0061</t>
        </is>
      </c>
    </row>
    <row r="2213" ht="15.75" customHeight="1" s="108">
      <c r="A2213" s="18" t="inlineStr">
        <is>
          <t>David Warshofsky</t>
        </is>
      </c>
      <c r="B2213" s="18" t="n">
        <v>2</v>
      </c>
      <c r="C2213" s="18" t="n">
        <v>2008</v>
      </c>
      <c r="D2213" s="18" t="n">
        <v>2013</v>
      </c>
      <c r="E2213" s="18" t="inlineStr">
        <is>
          <t>Captain Phillips, Taken</t>
        </is>
      </c>
      <c r="F2213" s="18" t="inlineStr">
        <is>
          <t>F0062, F0306</t>
        </is>
      </c>
    </row>
    <row r="2214" ht="15.75" customHeight="1" s="108">
      <c r="A2214" s="18" t="inlineStr">
        <is>
          <t>Chris Mulkey</t>
        </is>
      </c>
      <c r="B2214" s="18" t="n">
        <v>1</v>
      </c>
      <c r="C2214" s="18" t="n">
        <v>2013</v>
      </c>
      <c r="D2214" s="18" t="n">
        <v>2013</v>
      </c>
      <c r="E2214" s="18" t="inlineStr">
        <is>
          <t>Captain Phillips</t>
        </is>
      </c>
      <c r="F2214" s="18" t="inlineStr">
        <is>
          <t>F0062</t>
        </is>
      </c>
    </row>
    <row r="2215" ht="15.75" customHeight="1" s="108">
      <c r="A2215" s="18" t="inlineStr">
        <is>
          <t>Omar Berdouni</t>
        </is>
      </c>
      <c r="B2215" s="18" t="n">
        <v>1</v>
      </c>
      <c r="C2215" s="18" t="n">
        <v>2013</v>
      </c>
      <c r="D2215" s="18" t="n">
        <v>2013</v>
      </c>
      <c r="E2215" s="18" t="inlineStr">
        <is>
          <t>Captain Phillips</t>
        </is>
      </c>
      <c r="F2215" s="18" t="inlineStr">
        <is>
          <t>F0062</t>
        </is>
      </c>
    </row>
    <row r="2216" ht="15.75" customHeight="1" s="108">
      <c r="A2216" s="18" t="inlineStr">
        <is>
          <t>Mohamed Ali</t>
        </is>
      </c>
      <c r="B2216" s="18" t="n">
        <v>1</v>
      </c>
      <c r="C2216" s="18" t="n">
        <v>2013</v>
      </c>
      <c r="D2216" s="18" t="n">
        <v>2013</v>
      </c>
      <c r="E2216" s="18" t="inlineStr">
        <is>
          <t>Captain Phillips</t>
        </is>
      </c>
      <c r="F2216" s="18" t="inlineStr">
        <is>
          <t>F0062</t>
        </is>
      </c>
    </row>
    <row r="2217" ht="15.75" customHeight="1" s="108">
      <c r="A2217" s="18" t="inlineStr">
        <is>
          <t>Issak Farah Samatar</t>
        </is>
      </c>
      <c r="B2217" s="18" t="n">
        <v>1</v>
      </c>
      <c r="C2217" s="18" t="n">
        <v>2013</v>
      </c>
      <c r="D2217" s="18" t="n">
        <v>2013</v>
      </c>
      <c r="E2217" s="18" t="inlineStr">
        <is>
          <t>Captain Phillips</t>
        </is>
      </c>
      <c r="F2217" s="18" t="inlineStr">
        <is>
          <t>F0062</t>
        </is>
      </c>
    </row>
    <row r="2218" ht="15.75" customHeight="1" s="108">
      <c r="A2218" s="18" t="inlineStr">
        <is>
          <t>Thomas Grube</t>
        </is>
      </c>
      <c r="B2218" s="18" t="n">
        <v>1</v>
      </c>
      <c r="C2218" s="18" t="n">
        <v>2013</v>
      </c>
      <c r="D2218" s="18" t="n">
        <v>2013</v>
      </c>
      <c r="E2218" s="18" t="inlineStr">
        <is>
          <t>Captain Phillips</t>
        </is>
      </c>
      <c r="F2218" s="18" t="inlineStr">
        <is>
          <t>F0062</t>
        </is>
      </c>
    </row>
    <row r="2219" ht="15.75" customHeight="1" s="108">
      <c r="A2219" s="18" t="inlineStr">
        <is>
          <t>Mark Holden</t>
        </is>
      </c>
      <c r="B2219" s="18" t="n">
        <v>1</v>
      </c>
      <c r="C2219" s="18" t="n">
        <v>2013</v>
      </c>
      <c r="D2219" s="18" t="n">
        <v>2013</v>
      </c>
      <c r="E2219" s="18" t="inlineStr">
        <is>
          <t>Captain Phillips</t>
        </is>
      </c>
      <c r="F2219" s="18" t="inlineStr">
        <is>
          <t>F0062</t>
        </is>
      </c>
    </row>
    <row r="2220" ht="15.75" customHeight="1" s="108">
      <c r="A2220" s="18" t="inlineStr">
        <is>
          <t>San Shella</t>
        </is>
      </c>
      <c r="B2220" s="18" t="n">
        <v>1</v>
      </c>
      <c r="C2220" s="18" t="n">
        <v>2013</v>
      </c>
      <c r="D2220" s="18" t="n">
        <v>2013</v>
      </c>
      <c r="E2220" s="18" t="inlineStr">
        <is>
          <t>Captain Phillips</t>
        </is>
      </c>
      <c r="F2220" s="18" t="inlineStr">
        <is>
          <t>F0062</t>
        </is>
      </c>
    </row>
    <row r="2221" ht="15.75" customHeight="1" s="108">
      <c r="A2221" s="18" t="inlineStr">
        <is>
          <t>Terence Anderson</t>
        </is>
      </c>
      <c r="B2221" s="18" t="n">
        <v>1</v>
      </c>
      <c r="C2221" s="18" t="n">
        <v>2013</v>
      </c>
      <c r="D2221" s="18" t="n">
        <v>2013</v>
      </c>
      <c r="E2221" s="18" t="inlineStr">
        <is>
          <t>Captain Phillips</t>
        </is>
      </c>
      <c r="F2221" s="18" t="inlineStr">
        <is>
          <t>F0062</t>
        </is>
      </c>
    </row>
    <row r="2222" ht="15.75" customHeight="1" s="108">
      <c r="A2222" s="18" t="inlineStr">
        <is>
          <t>Marc Anwar</t>
        </is>
      </c>
      <c r="B2222" s="18" t="n">
        <v>1</v>
      </c>
      <c r="C2222" s="18" t="n">
        <v>2013</v>
      </c>
      <c r="D2222" s="18" t="n">
        <v>2013</v>
      </c>
      <c r="E2222" s="18" t="inlineStr">
        <is>
          <t>Captain Phillips</t>
        </is>
      </c>
      <c r="F2222" s="18" t="inlineStr">
        <is>
          <t>F0062</t>
        </is>
      </c>
    </row>
    <row r="2223" ht="15.75" customHeight="1" s="108">
      <c r="A2223" s="18" t="inlineStr">
        <is>
          <t>David Webber</t>
        </is>
      </c>
      <c r="B2223" s="18" t="n">
        <v>1</v>
      </c>
      <c r="C2223" s="18" t="n">
        <v>2013</v>
      </c>
      <c r="D2223" s="18" t="n">
        <v>2013</v>
      </c>
      <c r="E2223" s="18" t="inlineStr">
        <is>
          <t>Captain Phillips</t>
        </is>
      </c>
      <c r="F2223" s="18" t="inlineStr">
        <is>
          <t>F0062</t>
        </is>
      </c>
    </row>
    <row r="2224" ht="15.75" customHeight="1" s="108">
      <c r="A2224" s="18" t="inlineStr">
        <is>
          <t>Amr El-Bayoumi</t>
        </is>
      </c>
      <c r="B2224" s="18" t="n">
        <v>1</v>
      </c>
      <c r="C2224" s="18" t="n">
        <v>2013</v>
      </c>
      <c r="D2224" s="18" t="n">
        <v>2013</v>
      </c>
      <c r="E2224" s="18" t="inlineStr">
        <is>
          <t>Captain Phillips</t>
        </is>
      </c>
      <c r="F2224" s="18" t="inlineStr">
        <is>
          <t>F0062</t>
        </is>
      </c>
    </row>
    <row r="2225" ht="15.75" customHeight="1" s="108">
      <c r="A2225" s="18" t="inlineStr">
        <is>
          <t>Kapil Arun</t>
        </is>
      </c>
      <c r="B2225" s="18" t="n">
        <v>1</v>
      </c>
      <c r="C2225" s="18" t="n">
        <v>2013</v>
      </c>
      <c r="D2225" s="18" t="n">
        <v>2013</v>
      </c>
      <c r="E2225" s="18" t="inlineStr">
        <is>
          <t>Captain Phillips</t>
        </is>
      </c>
      <c r="F2225" s="18" t="inlineStr">
        <is>
          <t>F0062</t>
        </is>
      </c>
    </row>
    <row r="2226" ht="15.75" customHeight="1" s="108">
      <c r="A2226" s="18" t="inlineStr">
        <is>
          <t>Louis Mahoney</t>
        </is>
      </c>
      <c r="B2226" s="18" t="n">
        <v>1</v>
      </c>
      <c r="C2226" s="18" t="n">
        <v>2013</v>
      </c>
      <c r="D2226" s="18" t="n">
        <v>2013</v>
      </c>
      <c r="E2226" s="18" t="inlineStr">
        <is>
          <t>Captain Phillips</t>
        </is>
      </c>
      <c r="F2226" s="18" t="inlineStr">
        <is>
          <t>F0062</t>
        </is>
      </c>
    </row>
    <row r="2227" ht="15.75" customHeight="1" s="108">
      <c r="A2227" s="18" t="inlineStr">
        <is>
          <t>Peter Landi</t>
        </is>
      </c>
      <c r="B2227" s="18" t="n">
        <v>1</v>
      </c>
      <c r="C2227" s="18" t="n">
        <v>2013</v>
      </c>
      <c r="D2227" s="18" t="n">
        <v>2013</v>
      </c>
      <c r="E2227" s="18" t="inlineStr">
        <is>
          <t>Captain Phillips</t>
        </is>
      </c>
      <c r="F2227" s="18" t="inlineStr">
        <is>
          <t>F0062</t>
        </is>
      </c>
    </row>
    <row r="2228" ht="15.75" customHeight="1" s="108">
      <c r="A2228" s="18" t="inlineStr">
        <is>
          <t>Angus MacInnes</t>
        </is>
      </c>
      <c r="B2228" s="18" t="n">
        <v>3</v>
      </c>
      <c r="C2228" s="18" t="n">
        <v>1977</v>
      </c>
      <c r="D2228" s="18" t="n">
        <v>2013</v>
      </c>
      <c r="E2228" s="18" t="inlineStr">
        <is>
          <t>Captain Phillips, Star Wars: Episode IV – A New Hope, hellboy</t>
        </is>
      </c>
      <c r="F2228" s="18" t="inlineStr">
        <is>
          <t>F0062, F0295, F0373</t>
        </is>
      </c>
    </row>
    <row r="2229" ht="15.75" customHeight="1" s="108">
      <c r="A2229" s="18" t="inlineStr">
        <is>
          <t>Ian Ralph</t>
        </is>
      </c>
      <c r="B2229" s="18" t="n">
        <v>1</v>
      </c>
      <c r="C2229" s="18" t="n">
        <v>2013</v>
      </c>
      <c r="D2229" s="18" t="n">
        <v>2013</v>
      </c>
      <c r="E2229" s="18" t="inlineStr">
        <is>
          <t>Captain Phillips</t>
        </is>
      </c>
      <c r="F2229" s="18" t="inlineStr">
        <is>
          <t>F0062</t>
        </is>
      </c>
    </row>
    <row r="2230" ht="15.75" customHeight="1" s="108">
      <c r="A2230" s="18" t="inlineStr">
        <is>
          <t>Kristian Hjordt Beck</t>
        </is>
      </c>
      <c r="B2230" s="18" t="n">
        <v>1</v>
      </c>
      <c r="C2230" s="18" t="n">
        <v>2013</v>
      </c>
      <c r="D2230" s="18" t="n">
        <v>2013</v>
      </c>
      <c r="E2230" s="18" t="inlineStr">
        <is>
          <t>Captain Phillips</t>
        </is>
      </c>
      <c r="F2230" s="18" t="inlineStr">
        <is>
          <t>F0062</t>
        </is>
      </c>
    </row>
    <row r="2231" ht="15.75" customHeight="1" s="108">
      <c r="A2231" s="18" t="inlineStr">
        <is>
          <t>Kurt Larsen</t>
        </is>
      </c>
      <c r="B2231" s="18" t="n">
        <v>1</v>
      </c>
      <c r="C2231" s="18" t="n">
        <v>2013</v>
      </c>
      <c r="D2231" s="18" t="n">
        <v>2013</v>
      </c>
      <c r="E2231" s="18" t="inlineStr">
        <is>
          <t>Captain Phillips</t>
        </is>
      </c>
      <c r="F2231" s="18" t="inlineStr">
        <is>
          <t>F0062</t>
        </is>
      </c>
    </row>
    <row r="2232" ht="15.75" customHeight="1" s="108">
      <c r="A2232" s="18" t="inlineStr">
        <is>
          <t>Malin Akerman</t>
        </is>
      </c>
      <c r="B2232" s="18" t="n">
        <v>1</v>
      </c>
      <c r="C2232" s="18" t="n">
        <v>2011</v>
      </c>
      <c r="D2232" s="18" t="n">
        <v>2011</v>
      </c>
      <c r="E2232" s="18" t="inlineStr">
        <is>
          <t>Catch.44</t>
        </is>
      </c>
      <c r="F2232" s="18" t="inlineStr">
        <is>
          <t>F0063</t>
        </is>
      </c>
    </row>
    <row r="2233" ht="15.75" customHeight="1" s="108">
      <c r="A2233" s="18" t="inlineStr">
        <is>
          <t>Michael Rosenbaum</t>
        </is>
      </c>
      <c r="B2233" s="18" t="n">
        <v>1</v>
      </c>
      <c r="C2233" s="18" t="n">
        <v>2011</v>
      </c>
      <c r="D2233" s="18" t="n">
        <v>2011</v>
      </c>
      <c r="E2233" s="18" t="inlineStr">
        <is>
          <t>Catch.44</t>
        </is>
      </c>
      <c r="F2233" s="18" t="inlineStr">
        <is>
          <t>F0063</t>
        </is>
      </c>
    </row>
    <row r="2234" ht="15.75" customHeight="1" s="108">
      <c r="A2234" s="18" t="inlineStr">
        <is>
          <t>Edrick Browne</t>
        </is>
      </c>
      <c r="B2234" s="18" t="n">
        <v>2</v>
      </c>
      <c r="C2234" s="18" t="n">
        <v>2011</v>
      </c>
      <c r="D2234" s="18" t="n">
        <v>2013</v>
      </c>
      <c r="E2234" s="18" t="inlineStr">
        <is>
          <t>Catch.44, Olympus Has Fallen</t>
        </is>
      </c>
      <c r="F2234" s="18" t="inlineStr">
        <is>
          <t>F0063, F0240</t>
        </is>
      </c>
    </row>
    <row r="2235" ht="15.75" customHeight="1" s="108">
      <c r="A2235" s="18" t="inlineStr">
        <is>
          <t>Jimmy Lee Jr.</t>
        </is>
      </c>
      <c r="B2235" s="18" t="n">
        <v>1</v>
      </c>
      <c r="C2235" s="18" t="n">
        <v>2011</v>
      </c>
      <c r="D2235" s="18" t="n">
        <v>2011</v>
      </c>
      <c r="E2235" s="18" t="inlineStr">
        <is>
          <t>Catch.44</t>
        </is>
      </c>
      <c r="F2235" s="18" t="inlineStr">
        <is>
          <t>F0063</t>
        </is>
      </c>
    </row>
    <row r="2236" ht="15.75" customHeight="1" s="108">
      <c r="A2236" s="18" t="inlineStr">
        <is>
          <t>PJ Marshall</t>
        </is>
      </c>
      <c r="B2236" s="18" t="n">
        <v>1</v>
      </c>
      <c r="C2236" s="18" t="n">
        <v>2011</v>
      </c>
      <c r="D2236" s="18" t="n">
        <v>2011</v>
      </c>
      <c r="E2236" s="18" t="inlineStr">
        <is>
          <t>Catch.44</t>
        </is>
      </c>
      <c r="F2236" s="18" t="inlineStr">
        <is>
          <t>F0063</t>
        </is>
      </c>
    </row>
    <row r="2237" ht="15.75" customHeight="1" s="108">
      <c r="A2237" s="18" t="inlineStr">
        <is>
          <t>Dan Silver</t>
        </is>
      </c>
      <c r="B2237" s="18" t="n">
        <v>1</v>
      </c>
      <c r="C2237" s="18" t="n">
        <v>2011</v>
      </c>
      <c r="D2237" s="18" t="n">
        <v>2011</v>
      </c>
      <c r="E2237" s="18" t="inlineStr">
        <is>
          <t>Catch.44</t>
        </is>
      </c>
      <c r="F2237" s="18" t="inlineStr">
        <is>
          <t>F0063</t>
        </is>
      </c>
    </row>
    <row r="2238" ht="15.75" customHeight="1" s="108">
      <c r="A2238" s="18" t="inlineStr">
        <is>
          <t>Jill Stokesberry</t>
        </is>
      </c>
      <c r="B2238" s="18" t="n">
        <v>1</v>
      </c>
      <c r="C2238" s="18" t="n">
        <v>2011</v>
      </c>
      <c r="D2238" s="18" t="n">
        <v>2011</v>
      </c>
      <c r="E2238" s="18" t="inlineStr">
        <is>
          <t>Catch.44</t>
        </is>
      </c>
      <c r="F2238" s="18" t="inlineStr">
        <is>
          <t>F0063</t>
        </is>
      </c>
    </row>
    <row r="2239" ht="15.75" customHeight="1" s="108">
      <c r="A2239" s="18" t="inlineStr">
        <is>
          <t>Amanda Bosley</t>
        </is>
      </c>
      <c r="B2239" s="18" t="n">
        <v>1</v>
      </c>
      <c r="C2239" s="18" t="n">
        <v>2011</v>
      </c>
      <c r="D2239" s="18" t="n">
        <v>2011</v>
      </c>
      <c r="E2239" s="18" t="inlineStr">
        <is>
          <t>Catch.44</t>
        </is>
      </c>
      <c r="F2239" s="18" t="inlineStr">
        <is>
          <t>F0063</t>
        </is>
      </c>
    </row>
    <row r="2240" ht="15.75" customHeight="1" s="108">
      <c r="A2240" s="18" t="inlineStr">
        <is>
          <t>Kevin Beard</t>
        </is>
      </c>
      <c r="B2240" s="18" t="n">
        <v>1</v>
      </c>
      <c r="C2240" s="18" t="n">
        <v>2011</v>
      </c>
      <c r="D2240" s="18" t="n">
        <v>2011</v>
      </c>
      <c r="E2240" s="18" t="inlineStr">
        <is>
          <t>Catch.44</t>
        </is>
      </c>
      <c r="F2240" s="18" t="inlineStr">
        <is>
          <t>F0063</t>
        </is>
      </c>
    </row>
    <row r="2241" ht="15.75" customHeight="1" s="108">
      <c r="A2241" s="18" t="inlineStr">
        <is>
          <t>James Brolin</t>
        </is>
      </c>
      <c r="B2241" s="18" t="n">
        <v>2</v>
      </c>
      <c r="C2241" s="18" t="n">
        <v>2002</v>
      </c>
      <c r="D2241" s="18" t="n">
        <v>2010</v>
      </c>
      <c r="E2241" s="18" t="inlineStr">
        <is>
          <t>Catch Me If You Can, True Grit</t>
        </is>
      </c>
      <c r="F2241" s="18" t="inlineStr">
        <is>
          <t>F0064, F0325</t>
        </is>
      </c>
    </row>
    <row r="2242" ht="15.75" customHeight="1" s="108">
      <c r="A2242" s="18" t="inlineStr">
        <is>
          <t>Steve Eastin</t>
        </is>
      </c>
      <c r="B2242" s="18" t="n">
        <v>2</v>
      </c>
      <c r="C2242" s="18" t="n">
        <v>1997</v>
      </c>
      <c r="D2242" s="18" t="n">
        <v>2002</v>
      </c>
      <c r="E2242" s="18" t="inlineStr">
        <is>
          <t>Catch Me If You Can, Con Air</t>
        </is>
      </c>
      <c r="F2242" s="18" t="inlineStr">
        <is>
          <t>F0064, F0068</t>
        </is>
      </c>
    </row>
    <row r="2243" ht="15.75" customHeight="1" s="108">
      <c r="A2243" s="18" t="inlineStr">
        <is>
          <t>John Finn</t>
        </is>
      </c>
      <c r="B2243" s="18" t="n">
        <v>1</v>
      </c>
      <c r="C2243" s="18" t="n">
        <v>2002</v>
      </c>
      <c r="D2243" s="18" t="n">
        <v>2002</v>
      </c>
      <c r="E2243" s="18" t="inlineStr">
        <is>
          <t>Catch Me If You Can</t>
        </is>
      </c>
      <c r="F2243" s="18" t="inlineStr">
        <is>
          <t>F0064</t>
        </is>
      </c>
    </row>
    <row r="2244" ht="15.75" customHeight="1" s="108">
      <c r="A2244" s="18" t="inlineStr">
        <is>
          <t>Jennifer Garner</t>
        </is>
      </c>
      <c r="B2244" s="18" t="n">
        <v>3</v>
      </c>
      <c r="C2244" s="18" t="n">
        <v>2001</v>
      </c>
      <c r="D2244" s="18" t="n">
        <v>2024</v>
      </c>
      <c r="E2244" s="18" t="inlineStr">
        <is>
          <t>Catch Me If You Can, Deadpool &amp; Wolverine, Pearl Harbor</t>
        </is>
      </c>
      <c r="F2244" s="18" t="inlineStr">
        <is>
          <t>F0064, F0078, F0246</t>
        </is>
      </c>
    </row>
    <row r="2245" ht="15.75" customHeight="1" s="108">
      <c r="A2245" s="18" t="inlineStr">
        <is>
          <t>Nancy Lenehan</t>
        </is>
      </c>
      <c r="B2245" s="18" t="n">
        <v>1</v>
      </c>
      <c r="C2245" s="18" t="n">
        <v>2002</v>
      </c>
      <c r="D2245" s="18" t="n">
        <v>2002</v>
      </c>
      <c r="E2245" s="18" t="inlineStr">
        <is>
          <t>Catch Me If You Can</t>
        </is>
      </c>
      <c r="F2245" s="18" t="inlineStr">
        <is>
          <t>F0064</t>
        </is>
      </c>
    </row>
    <row r="2246" ht="15.75" customHeight="1" s="108">
      <c r="A2246" s="18" t="inlineStr">
        <is>
          <t>Ellen Pompeo</t>
        </is>
      </c>
      <c r="B2246" s="18" t="n">
        <v>1</v>
      </c>
      <c r="C2246" s="18" t="n">
        <v>2002</v>
      </c>
      <c r="D2246" s="18" t="n">
        <v>2002</v>
      </c>
      <c r="E2246" s="18" t="inlineStr">
        <is>
          <t>Catch Me If You Can</t>
        </is>
      </c>
      <c r="F2246" s="18" t="inlineStr">
        <is>
          <t>F0064</t>
        </is>
      </c>
    </row>
    <row r="2247" ht="15.75" customHeight="1" s="108">
      <c r="A2247" s="18" t="inlineStr">
        <is>
          <t>Guy Thauvette</t>
        </is>
      </c>
      <c r="B2247" s="18" t="n">
        <v>1</v>
      </c>
      <c r="C2247" s="18" t="n">
        <v>2002</v>
      </c>
      <c r="D2247" s="18" t="n">
        <v>2002</v>
      </c>
      <c r="E2247" s="18" t="inlineStr">
        <is>
          <t>Catch Me If You Can</t>
        </is>
      </c>
      <c r="F2247" s="18" t="inlineStr">
        <is>
          <t>F0064</t>
        </is>
      </c>
    </row>
    <row r="2248" ht="15.75" customHeight="1" s="108">
      <c r="A2248" s="18" t="inlineStr">
        <is>
          <t>Candice Azzara</t>
        </is>
      </c>
      <c r="B2248" s="18" t="n">
        <v>1</v>
      </c>
      <c r="C2248" s="18" t="n">
        <v>2002</v>
      </c>
      <c r="D2248" s="18" t="n">
        <v>2002</v>
      </c>
      <c r="E2248" s="18" t="inlineStr">
        <is>
          <t>Catch Me If You Can</t>
        </is>
      </c>
      <c r="F2248" s="18" t="inlineStr">
        <is>
          <t>F0064</t>
        </is>
      </c>
    </row>
    <row r="2249" ht="15.75" customHeight="1" s="108">
      <c r="A2249" s="18" t="inlineStr">
        <is>
          <t>Matthew Kimbrough</t>
        </is>
      </c>
      <c r="B2249" s="18" t="n">
        <v>1</v>
      </c>
      <c r="C2249" s="18" t="n">
        <v>2002</v>
      </c>
      <c r="D2249" s="18" t="n">
        <v>2002</v>
      </c>
      <c r="E2249" s="18" t="inlineStr">
        <is>
          <t>Catch Me If You Can</t>
        </is>
      </c>
      <c r="F2249" s="18" t="inlineStr">
        <is>
          <t>F0064</t>
        </is>
      </c>
    </row>
    <row r="2250" ht="15.75" customHeight="1" s="108">
      <c r="A2250" s="18" t="inlineStr">
        <is>
          <t>Joshua Boyd</t>
        </is>
      </c>
      <c r="B2250" s="18" t="n">
        <v>1</v>
      </c>
      <c r="C2250" s="18" t="n">
        <v>2002</v>
      </c>
      <c r="D2250" s="18" t="n">
        <v>2002</v>
      </c>
      <c r="E2250" s="18" t="inlineStr">
        <is>
          <t>Catch Me If You Can</t>
        </is>
      </c>
      <c r="F2250" s="18" t="inlineStr">
        <is>
          <t>F0064</t>
        </is>
      </c>
    </row>
    <row r="2251" ht="15.75" customHeight="1" s="108">
      <c r="A2251" s="18" t="inlineStr">
        <is>
          <t>Kaitlin Doubleday</t>
        </is>
      </c>
      <c r="B2251" s="18" t="n">
        <v>1</v>
      </c>
      <c r="C2251" s="18" t="n">
        <v>2002</v>
      </c>
      <c r="D2251" s="18" t="n">
        <v>2002</v>
      </c>
      <c r="E2251" s="18" t="inlineStr">
        <is>
          <t>Catch Me If You Can</t>
        </is>
      </c>
      <c r="F2251" s="18" t="inlineStr">
        <is>
          <t>F0064</t>
        </is>
      </c>
    </row>
    <row r="2252" ht="15.75" customHeight="1" s="108">
      <c r="A2252" s="18" t="inlineStr">
        <is>
          <t>Kelly McNair</t>
        </is>
      </c>
      <c r="B2252" s="18" t="n">
        <v>1</v>
      </c>
      <c r="C2252" s="18" t="n">
        <v>2002</v>
      </c>
      <c r="D2252" s="18" t="n">
        <v>2002</v>
      </c>
      <c r="E2252" s="18" t="inlineStr">
        <is>
          <t>Catch Me If You Can</t>
        </is>
      </c>
      <c r="F2252" s="18" t="inlineStr">
        <is>
          <t>F0064</t>
        </is>
      </c>
    </row>
    <row r="2253" ht="15.75" customHeight="1" s="108">
      <c r="A2253" s="18" t="inlineStr">
        <is>
          <t>Jonathan Dankner</t>
        </is>
      </c>
      <c r="B2253" s="18" t="n">
        <v>1</v>
      </c>
      <c r="C2253" s="18" t="n">
        <v>2002</v>
      </c>
      <c r="D2253" s="18" t="n">
        <v>2002</v>
      </c>
      <c r="E2253" s="18" t="inlineStr">
        <is>
          <t>Catch Me If You Can</t>
        </is>
      </c>
      <c r="F2253" s="18" t="inlineStr">
        <is>
          <t>F0064</t>
        </is>
      </c>
    </row>
    <row r="2254" ht="15.75" customHeight="1" s="108">
      <c r="A2254" s="18" t="inlineStr">
        <is>
          <t>Maggie Mellin</t>
        </is>
      </c>
      <c r="B2254" s="18" t="n">
        <v>1</v>
      </c>
      <c r="C2254" s="18" t="n">
        <v>2002</v>
      </c>
      <c r="D2254" s="18" t="n">
        <v>2002</v>
      </c>
      <c r="E2254" s="18" t="inlineStr">
        <is>
          <t>Catch Me If You Can</t>
        </is>
      </c>
      <c r="F2254" s="18" t="inlineStr">
        <is>
          <t>F0064</t>
        </is>
      </c>
    </row>
    <row r="2255" ht="15.75" customHeight="1" s="108">
      <c r="A2255" s="18" t="inlineStr">
        <is>
          <t>Thomas Kopache</t>
        </is>
      </c>
      <c r="B2255" s="18" t="n">
        <v>1</v>
      </c>
      <c r="C2255" s="18" t="n">
        <v>2002</v>
      </c>
      <c r="D2255" s="18" t="n">
        <v>2002</v>
      </c>
      <c r="E2255" s="18" t="inlineStr">
        <is>
          <t>Catch Me If You Can</t>
        </is>
      </c>
      <c r="F2255" s="18" t="inlineStr">
        <is>
          <t>F0064</t>
        </is>
      </c>
    </row>
    <row r="2256" ht="15.75" customHeight="1" s="108">
      <c r="A2256" s="18" t="inlineStr">
        <is>
          <t>Margaret Travolta</t>
        </is>
      </c>
      <c r="B2256" s="18" t="n">
        <v>1</v>
      </c>
      <c r="C2256" s="18" t="n">
        <v>2002</v>
      </c>
      <c r="D2256" s="18" t="n">
        <v>2002</v>
      </c>
      <c r="E2256" s="18" t="inlineStr">
        <is>
          <t>Catch Me If You Can</t>
        </is>
      </c>
      <c r="F2256" s="18" t="inlineStr">
        <is>
          <t>F0064</t>
        </is>
      </c>
    </row>
    <row r="2257" ht="15.75" customHeight="1" s="108">
      <c r="A2257" s="18" t="inlineStr">
        <is>
          <t>Jimmie F. Skaggs</t>
        </is>
      </c>
      <c r="B2257" s="18" t="n">
        <v>1</v>
      </c>
      <c r="C2257" s="18" t="n">
        <v>2002</v>
      </c>
      <c r="D2257" s="18" t="n">
        <v>2002</v>
      </c>
      <c r="E2257" s="18" t="inlineStr">
        <is>
          <t>Catch Me If You Can</t>
        </is>
      </c>
      <c r="F2257" s="18" t="inlineStr">
        <is>
          <t>F0064</t>
        </is>
      </c>
    </row>
    <row r="2258" ht="15.75" customHeight="1" s="108">
      <c r="A2258" s="18" t="inlineStr">
        <is>
          <t>Alex Hyde-White</t>
        </is>
      </c>
      <c r="B2258" s="18" t="n">
        <v>1</v>
      </c>
      <c r="C2258" s="18" t="n">
        <v>2002</v>
      </c>
      <c r="D2258" s="18" t="n">
        <v>2002</v>
      </c>
      <c r="E2258" s="18" t="inlineStr">
        <is>
          <t>Catch Me If You Can</t>
        </is>
      </c>
      <c r="F2258" s="18" t="inlineStr">
        <is>
          <t>F0064</t>
        </is>
      </c>
    </row>
    <row r="2259" ht="15.75" customHeight="1" s="108">
      <c r="A2259" s="18" t="inlineStr">
        <is>
          <t>Lilyan Chauvin</t>
        </is>
      </c>
      <c r="B2259" s="18" t="n">
        <v>1</v>
      </c>
      <c r="C2259" s="18" t="n">
        <v>2002</v>
      </c>
      <c r="D2259" s="18" t="n">
        <v>2002</v>
      </c>
      <c r="E2259" s="18" t="inlineStr">
        <is>
          <t>Catch Me If You Can</t>
        </is>
      </c>
      <c r="F2259" s="18" t="inlineStr">
        <is>
          <t>F0064</t>
        </is>
      </c>
    </row>
    <row r="2260" ht="15.75" customHeight="1" s="108">
      <c r="A2260" s="18" t="inlineStr">
        <is>
          <t>Eugene Fleming</t>
        </is>
      </c>
      <c r="B2260" s="18" t="n">
        <v>1</v>
      </c>
      <c r="C2260" s="18" t="n">
        <v>2002</v>
      </c>
      <c r="D2260" s="18" t="n">
        <v>2002</v>
      </c>
      <c r="E2260" s="18" t="inlineStr">
        <is>
          <t>Catch Me If You Can</t>
        </is>
      </c>
      <c r="F2260" s="18" t="inlineStr">
        <is>
          <t>F0064</t>
        </is>
      </c>
    </row>
    <row r="2261" ht="15.75" customHeight="1" s="108">
      <c r="A2261" s="18" t="inlineStr">
        <is>
          <t>Dustin Hoffman</t>
        </is>
      </c>
      <c r="B2261" s="18" t="n">
        <v>1</v>
      </c>
      <c r="C2261" s="18" t="n">
        <v>2014</v>
      </c>
      <c r="D2261" s="18" t="n">
        <v>2014</v>
      </c>
      <c r="E2261" s="18" t="inlineStr">
        <is>
          <t>Chef</t>
        </is>
      </c>
      <c r="F2261" s="18" t="inlineStr">
        <is>
          <t>F0065</t>
        </is>
      </c>
    </row>
    <row r="2262" ht="15.75" customHeight="1" s="108">
      <c r="A2262" s="18" t="inlineStr">
        <is>
          <t>Sofía Vergara</t>
        </is>
      </c>
      <c r="B2262" s="18" t="n">
        <v>2</v>
      </c>
      <c r="C2262" s="18" t="n">
        <v>2011</v>
      </c>
      <c r="D2262" s="18" t="n">
        <v>2014</v>
      </c>
      <c r="E2262" s="18" t="inlineStr">
        <is>
          <t>Chef, Happy Feet Two</t>
        </is>
      </c>
      <c r="F2262" s="18" t="inlineStr">
        <is>
          <t>F0065, F0145</t>
        </is>
      </c>
    </row>
    <row r="2263" ht="15.75" customHeight="1" s="108">
      <c r="A2263" s="18" t="inlineStr">
        <is>
          <t>Amy Sedaris</t>
        </is>
      </c>
      <c r="B2263" s="18" t="n">
        <v>2</v>
      </c>
      <c r="C2263" s="18" t="n">
        <v>2003</v>
      </c>
      <c r="D2263" s="18" t="n">
        <v>2014</v>
      </c>
      <c r="E2263" s="18" t="inlineStr">
        <is>
          <t>Chef, Elf</t>
        </is>
      </c>
      <c r="F2263" s="18" t="inlineStr">
        <is>
          <t>F0065, F0092</t>
        </is>
      </c>
    </row>
    <row r="2264" ht="15.75" customHeight="1" s="108">
      <c r="A2264" s="18" t="inlineStr">
        <is>
          <t>Russell Peters</t>
        </is>
      </c>
      <c r="B2264" s="18" t="n">
        <v>2</v>
      </c>
      <c r="C2264" s="18" t="n">
        <v>2011</v>
      </c>
      <c r="D2264" s="18" t="n">
        <v>2014</v>
      </c>
      <c r="E2264" s="18" t="inlineStr">
        <is>
          <t>Chef, Source Code</t>
        </is>
      </c>
      <c r="F2264" s="18" t="inlineStr">
        <is>
          <t>F0065, F0285</t>
        </is>
      </c>
    </row>
    <row r="2265" ht="15.75" customHeight="1" s="108">
      <c r="A2265" s="18" t="inlineStr">
        <is>
          <t>Chase Grimm</t>
        </is>
      </c>
      <c r="B2265" s="18" t="n">
        <v>1</v>
      </c>
      <c r="C2265" s="18" t="n">
        <v>2014</v>
      </c>
      <c r="D2265" s="18" t="n">
        <v>2014</v>
      </c>
      <c r="E2265" s="18" t="inlineStr">
        <is>
          <t>Chef</t>
        </is>
      </c>
      <c r="F2265" s="18" t="inlineStr">
        <is>
          <t>F0065</t>
        </is>
      </c>
    </row>
    <row r="2266" ht="15.75" customHeight="1" s="108">
      <c r="A2266" s="18" t="inlineStr">
        <is>
          <t>Will Schutze</t>
        </is>
      </c>
      <c r="B2266" s="18" t="n">
        <v>1</v>
      </c>
      <c r="C2266" s="18" t="n">
        <v>2014</v>
      </c>
      <c r="D2266" s="18" t="n">
        <v>2014</v>
      </c>
      <c r="E2266" s="18" t="inlineStr">
        <is>
          <t>Chef</t>
        </is>
      </c>
      <c r="F2266" s="18" t="inlineStr">
        <is>
          <t>F0065</t>
        </is>
      </c>
    </row>
    <row r="2267" ht="15.75" customHeight="1" s="108">
      <c r="A2267" s="18" t="inlineStr">
        <is>
          <t>Gloria Sandoval</t>
        </is>
      </c>
      <c r="B2267" s="18" t="n">
        <v>1</v>
      </c>
      <c r="C2267" s="18" t="n">
        <v>2014</v>
      </c>
      <c r="D2267" s="18" t="n">
        <v>2014</v>
      </c>
      <c r="E2267" s="18" t="inlineStr">
        <is>
          <t>Chef</t>
        </is>
      </c>
      <c r="F2267" s="18" t="inlineStr">
        <is>
          <t>F0065</t>
        </is>
      </c>
    </row>
    <row r="2268" ht="15.75" customHeight="1" s="108">
      <c r="A2268" s="18" t="inlineStr">
        <is>
          <t>Jose C. Hernandez</t>
        </is>
      </c>
      <c r="B2268" s="18" t="n">
        <v>1</v>
      </c>
      <c r="C2268" s="18" t="n">
        <v>2014</v>
      </c>
      <c r="D2268" s="18" t="n">
        <v>2014</v>
      </c>
      <c r="E2268" s="18" t="inlineStr">
        <is>
          <t>Chef</t>
        </is>
      </c>
      <c r="F2268" s="18" t="inlineStr">
        <is>
          <t>F0065</t>
        </is>
      </c>
    </row>
    <row r="2269" ht="15.75" customHeight="1" s="108">
      <c r="A2269" s="18" t="inlineStr">
        <is>
          <t>Alberto Salas</t>
        </is>
      </c>
      <c r="B2269" s="18" t="n">
        <v>1</v>
      </c>
      <c r="C2269" s="18" t="n">
        <v>2014</v>
      </c>
      <c r="D2269" s="18" t="n">
        <v>2014</v>
      </c>
      <c r="E2269" s="18" t="inlineStr">
        <is>
          <t>Chef</t>
        </is>
      </c>
      <c r="F2269" s="18" t="inlineStr">
        <is>
          <t>F0065</t>
        </is>
      </c>
    </row>
    <row r="2270" ht="15.75" customHeight="1" s="108">
      <c r="A2270" s="18" t="inlineStr">
        <is>
          <t>Alfredo Ortiz</t>
        </is>
      </c>
      <c r="B2270" s="18" t="n">
        <v>1</v>
      </c>
      <c r="C2270" s="18" t="n">
        <v>2014</v>
      </c>
      <c r="D2270" s="18" t="n">
        <v>2014</v>
      </c>
      <c r="E2270" s="18" t="inlineStr">
        <is>
          <t>Chef</t>
        </is>
      </c>
      <c r="F2270" s="18" t="inlineStr">
        <is>
          <t>F0065</t>
        </is>
      </c>
    </row>
    <row r="2271" ht="15.75" customHeight="1" s="108">
      <c r="A2271" s="18" t="inlineStr">
        <is>
          <t>Daniel Palacio</t>
        </is>
      </c>
      <c r="B2271" s="18" t="n">
        <v>1</v>
      </c>
      <c r="C2271" s="18" t="n">
        <v>2014</v>
      </c>
      <c r="D2271" s="18" t="n">
        <v>2014</v>
      </c>
      <c r="E2271" s="18" t="inlineStr">
        <is>
          <t>Chef</t>
        </is>
      </c>
      <c r="F2271" s="18" t="inlineStr">
        <is>
          <t>F0065</t>
        </is>
      </c>
    </row>
    <row r="2272" ht="15.75" customHeight="1" s="108">
      <c r="A2272" s="18" t="inlineStr">
        <is>
          <t>Mauricio Del Monte</t>
        </is>
      </c>
      <c r="B2272" s="18" t="n">
        <v>1</v>
      </c>
      <c r="C2272" s="18" t="n">
        <v>2014</v>
      </c>
      <c r="D2272" s="18" t="n">
        <v>2014</v>
      </c>
      <c r="E2272" s="18" t="inlineStr">
        <is>
          <t>Chef</t>
        </is>
      </c>
      <c r="F2272" s="18" t="inlineStr">
        <is>
          <t>F0065</t>
        </is>
      </c>
    </row>
    <row r="2273" ht="15.75" customHeight="1" s="108">
      <c r="A2273" s="18" t="inlineStr">
        <is>
          <t>Leonardo Da Nilo</t>
        </is>
      </c>
      <c r="B2273" s="18" t="n">
        <v>1</v>
      </c>
      <c r="C2273" s="18" t="n">
        <v>2014</v>
      </c>
      <c r="D2273" s="18" t="n">
        <v>2014</v>
      </c>
      <c r="E2273" s="18" t="inlineStr">
        <is>
          <t>Chef</t>
        </is>
      </c>
      <c r="F2273" s="18" t="inlineStr">
        <is>
          <t>F0065</t>
        </is>
      </c>
    </row>
    <row r="2274" ht="15.75" customHeight="1" s="108">
      <c r="A2274" s="18" t="inlineStr">
        <is>
          <t>Nili Fuller</t>
        </is>
      </c>
      <c r="B2274" s="18" t="n">
        <v>1</v>
      </c>
      <c r="C2274" s="18" t="n">
        <v>2014</v>
      </c>
      <c r="D2274" s="18" t="n">
        <v>2014</v>
      </c>
      <c r="E2274" s="18" t="inlineStr">
        <is>
          <t>Chef</t>
        </is>
      </c>
      <c r="F2274" s="18" t="inlineStr">
        <is>
          <t>F0065</t>
        </is>
      </c>
    </row>
    <row r="2275" ht="15.75" customHeight="1" s="108">
      <c r="A2275" s="18" t="inlineStr">
        <is>
          <t>Charles Lao</t>
        </is>
      </c>
      <c r="B2275" s="18" t="n">
        <v>1</v>
      </c>
      <c r="C2275" s="18" t="n">
        <v>2014</v>
      </c>
      <c r="D2275" s="18" t="n">
        <v>2014</v>
      </c>
      <c r="E2275" s="18" t="inlineStr">
        <is>
          <t>Chef</t>
        </is>
      </c>
      <c r="F2275" s="18" t="inlineStr">
        <is>
          <t>F0065</t>
        </is>
      </c>
    </row>
    <row r="2276" ht="15.75" customHeight="1" s="108">
      <c r="A2276" s="18" t="inlineStr">
        <is>
          <t>Benjamin Jacob</t>
        </is>
      </c>
      <c r="B2276" s="18" t="n">
        <v>1</v>
      </c>
      <c r="C2276" s="18" t="n">
        <v>2014</v>
      </c>
      <c r="D2276" s="18" t="n">
        <v>2014</v>
      </c>
      <c r="E2276" s="18" t="inlineStr">
        <is>
          <t>Chef</t>
        </is>
      </c>
      <c r="F2276" s="18" t="inlineStr">
        <is>
          <t>F0065</t>
        </is>
      </c>
    </row>
    <row r="2277" ht="15.75" customHeight="1" s="108">
      <c r="A2277" s="18" t="inlineStr">
        <is>
          <t>Aaron Franklin</t>
        </is>
      </c>
      <c r="B2277" s="18" t="n">
        <v>1</v>
      </c>
      <c r="C2277" s="18" t="n">
        <v>2014</v>
      </c>
      <c r="D2277" s="18" t="n">
        <v>2014</v>
      </c>
      <c r="E2277" s="18" t="inlineStr">
        <is>
          <t>Chef</t>
        </is>
      </c>
      <c r="F2277" s="18" t="inlineStr">
        <is>
          <t>F0065</t>
        </is>
      </c>
    </row>
    <row r="2278" ht="15.75" customHeight="1" s="108">
      <c r="A2278" s="18" t="inlineStr">
        <is>
          <t>Gary Clark Jr.</t>
        </is>
      </c>
      <c r="B2278" s="18" t="n">
        <v>1</v>
      </c>
      <c r="C2278" s="18" t="n">
        <v>2014</v>
      </c>
      <c r="D2278" s="18" t="n">
        <v>2014</v>
      </c>
      <c r="E2278" s="18" t="inlineStr">
        <is>
          <t>Chef</t>
        </is>
      </c>
      <c r="F2278" s="18" t="inlineStr">
        <is>
          <t>F0065</t>
        </is>
      </c>
    </row>
    <row r="2279" ht="15.75" customHeight="1" s="108">
      <c r="A2279" s="18" t="inlineStr">
        <is>
          <t>Roy Choi</t>
        </is>
      </c>
      <c r="B2279" s="18" t="n">
        <v>1</v>
      </c>
      <c r="C2279" s="18" t="n">
        <v>2014</v>
      </c>
      <c r="D2279" s="18" t="n">
        <v>2014</v>
      </c>
      <c r="E2279" s="18" t="inlineStr">
        <is>
          <t>Chef</t>
        </is>
      </c>
      <c r="F2279" s="18" t="inlineStr">
        <is>
          <t>F0065</t>
        </is>
      </c>
    </row>
    <row r="2280" ht="15.75" customHeight="1" s="108">
      <c r="A2280" s="18" t="inlineStr">
        <is>
          <t>Americus Abesamis</t>
        </is>
      </c>
      <c r="B2280" s="18" t="n">
        <v>1</v>
      </c>
      <c r="C2280" s="18" t="n">
        <v>2014</v>
      </c>
      <c r="D2280" s="18" t="n">
        <v>2014</v>
      </c>
      <c r="E2280" s="18" t="inlineStr">
        <is>
          <t>Chef</t>
        </is>
      </c>
      <c r="F2280" s="18" t="inlineStr">
        <is>
          <t>F0065</t>
        </is>
      </c>
    </row>
    <row r="2281" ht="15.75" customHeight="1" s="108">
      <c r="A2281" s="18" t="inlineStr">
        <is>
          <t>Paul Aldanée</t>
        </is>
      </c>
      <c r="B2281" s="18" t="n">
        <v>1</v>
      </c>
      <c r="C2281" s="18" t="n">
        <v>2014</v>
      </c>
      <c r="D2281" s="18" t="n">
        <v>2014</v>
      </c>
      <c r="E2281" s="18" t="inlineStr">
        <is>
          <t>Chef</t>
        </is>
      </c>
      <c r="F2281" s="18" t="inlineStr">
        <is>
          <t>F0065</t>
        </is>
      </c>
    </row>
    <row r="2282" ht="15.75" customHeight="1" s="108">
      <c r="A2282" s="18" t="inlineStr">
        <is>
          <t>Andrew Anderson</t>
        </is>
      </c>
      <c r="B2282" s="18" t="n">
        <v>1</v>
      </c>
      <c r="C2282" s="18" t="n">
        <v>2014</v>
      </c>
      <c r="D2282" s="18" t="n">
        <v>2014</v>
      </c>
      <c r="E2282" s="18" t="inlineStr">
        <is>
          <t>Chef</t>
        </is>
      </c>
      <c r="F2282" s="18" t="inlineStr">
        <is>
          <t>F0065</t>
        </is>
      </c>
    </row>
    <row r="2283" ht="15.75" customHeight="1" s="108">
      <c r="A2283" s="18" t="inlineStr">
        <is>
          <t>Maria F. Blanco</t>
        </is>
      </c>
      <c r="B2283" s="18" t="n">
        <v>1</v>
      </c>
      <c r="C2283" s="18" t="n">
        <v>2014</v>
      </c>
      <c r="D2283" s="18" t="n">
        <v>2014</v>
      </c>
      <c r="E2283" s="18" t="inlineStr">
        <is>
          <t>Chef</t>
        </is>
      </c>
      <c r="F2283" s="18" t="inlineStr">
        <is>
          <t>F0065</t>
        </is>
      </c>
    </row>
    <row r="2284" ht="15.75" customHeight="1" s="108">
      <c r="A2284" s="18" t="inlineStr">
        <is>
          <t>Polly Walker</t>
        </is>
      </c>
      <c r="B2284" s="18" t="n">
        <v>1</v>
      </c>
      <c r="C2284" s="18" t="n">
        <v>2010</v>
      </c>
      <c r="D2284" s="18" t="n">
        <v>2010</v>
      </c>
      <c r="E2284" s="18" t="inlineStr">
        <is>
          <t>Clash of the Titans</t>
        </is>
      </c>
      <c r="F2284" s="18" t="inlineStr">
        <is>
          <t>F0066</t>
        </is>
      </c>
    </row>
    <row r="2285" ht="15.75" customHeight="1" s="108">
      <c r="A2285" s="18" t="inlineStr">
        <is>
          <t>Ashraf Barhom</t>
        </is>
      </c>
      <c r="B2285" s="18" t="n">
        <v>1</v>
      </c>
      <c r="C2285" s="18" t="n">
        <v>2010</v>
      </c>
      <c r="D2285" s="18" t="n">
        <v>2010</v>
      </c>
      <c r="E2285" s="18" t="inlineStr">
        <is>
          <t>Clash of the Titans</t>
        </is>
      </c>
      <c r="F2285" s="18" t="inlineStr">
        <is>
          <t>F0066</t>
        </is>
      </c>
    </row>
    <row r="2286" ht="15.75" customHeight="1" s="108">
      <c r="A2286" s="18" t="inlineStr">
        <is>
          <t>Elizabeth McGovern</t>
        </is>
      </c>
      <c r="B2286" s="18" t="n">
        <v>2</v>
      </c>
      <c r="C2286" s="18" t="n">
        <v>2010</v>
      </c>
      <c r="D2286" s="18" t="n">
        <v>2010</v>
      </c>
      <c r="E2286" s="18" t="inlineStr">
        <is>
          <t>Clash of the Titans, Kick-Ass</t>
        </is>
      </c>
      <c r="F2286" s="18" t="inlineStr">
        <is>
          <t>F0066, F0185</t>
        </is>
      </c>
    </row>
    <row r="2287" ht="15.75" customHeight="1" s="108">
      <c r="A2287" s="18" t="inlineStr">
        <is>
          <t>Liam Cunningham</t>
        </is>
      </c>
      <c r="B2287" s="18" t="n">
        <v>2</v>
      </c>
      <c r="C2287" s="18" t="n">
        <v>2010</v>
      </c>
      <c r="D2287" s="18" t="n">
        <v>2012</v>
      </c>
      <c r="E2287" s="18" t="inlineStr">
        <is>
          <t>Clash of the Titans, Safe House</t>
        </is>
      </c>
      <c r="F2287" s="18" t="inlineStr">
        <is>
          <t>F0066, F0272</t>
        </is>
      </c>
    </row>
    <row r="2288" ht="15.75" customHeight="1" s="108">
      <c r="A2288" s="18" t="inlineStr">
        <is>
          <t>Hans Matheson</t>
        </is>
      </c>
      <c r="B2288" s="18" t="n">
        <v>2</v>
      </c>
      <c r="C2288" s="18" t="n">
        <v>2009</v>
      </c>
      <c r="D2288" s="18" t="n">
        <v>2010</v>
      </c>
      <c r="E2288" s="18" t="inlineStr">
        <is>
          <t>Clash of the Titans, Sherlock Holmes</t>
        </is>
      </c>
      <c r="F2288" s="18" t="inlineStr">
        <is>
          <t>F0066, F0278</t>
        </is>
      </c>
    </row>
    <row r="2289" ht="15.75" customHeight="1" s="108">
      <c r="A2289" s="18" t="inlineStr">
        <is>
          <t>Vincent Regan</t>
        </is>
      </c>
      <c r="B2289" s="18" t="n">
        <v>2</v>
      </c>
      <c r="C2289" s="18" t="n">
        <v>2010</v>
      </c>
      <c r="D2289" s="18" t="n">
        <v>2012</v>
      </c>
      <c r="E2289" s="18" t="inlineStr">
        <is>
          <t>Clash of the Titans, Snow White and the Huntsman</t>
        </is>
      </c>
      <c r="F2289" s="18" t="inlineStr">
        <is>
          <t>F0066, F0284</t>
        </is>
      </c>
    </row>
    <row r="2290" ht="15.75" customHeight="1" s="108">
      <c r="A2290" s="18" t="inlineStr">
        <is>
          <t>Mouloud Achour</t>
        </is>
      </c>
      <c r="B2290" s="18" t="n">
        <v>1</v>
      </c>
      <c r="C2290" s="18" t="n">
        <v>2010</v>
      </c>
      <c r="D2290" s="18" t="n">
        <v>2010</v>
      </c>
      <c r="E2290" s="18" t="inlineStr">
        <is>
          <t>Clash of the Titans</t>
        </is>
      </c>
      <c r="F2290" s="18" t="inlineStr">
        <is>
          <t>F0066</t>
        </is>
      </c>
    </row>
    <row r="2291" ht="15.75" customHeight="1" s="108">
      <c r="A2291" s="18" t="inlineStr">
        <is>
          <t>Tine Stapelfeldt</t>
        </is>
      </c>
      <c r="B2291" s="18" t="n">
        <v>1</v>
      </c>
      <c r="C2291" s="18" t="n">
        <v>2010</v>
      </c>
      <c r="D2291" s="18" t="n">
        <v>2010</v>
      </c>
      <c r="E2291" s="18" t="inlineStr">
        <is>
          <t>Clash of the Titans</t>
        </is>
      </c>
      <c r="F2291" s="18" t="inlineStr">
        <is>
          <t>F0066</t>
        </is>
      </c>
    </row>
    <row r="2292" ht="15.75" customHeight="1" s="108">
      <c r="A2292" s="18" t="inlineStr">
        <is>
          <t>Luke Evans</t>
        </is>
      </c>
      <c r="B2292" s="18" t="n">
        <v>7</v>
      </c>
      <c r="C2292" s="18" t="n">
        <v>2010</v>
      </c>
      <c r="D2292" s="18" t="n">
        <v>2017</v>
      </c>
      <c r="E2292" s="18" t="inlineStr">
        <is>
          <t>Clash of the Titans, Fast &amp; Furious 6, Furious 7, The Fate of the Furious, The Hobbit: The Desolation of Smaug, The Hobbit: The Battle of the Five Armies, Sex &amp; Drugs &amp; Rock &amp; Roll</t>
        </is>
      </c>
      <c r="F2292" s="18" t="inlineStr">
        <is>
          <t>F0066, F0106, F0107, F0108, F0151, F0152, F0277</t>
        </is>
      </c>
    </row>
    <row r="2293" ht="15.75" customHeight="1" s="108">
      <c r="A2293" s="18" t="inlineStr">
        <is>
          <t>Izabella Miko</t>
        </is>
      </c>
      <c r="B2293" s="18" t="n">
        <v>1</v>
      </c>
      <c r="C2293" s="18" t="n">
        <v>2010</v>
      </c>
      <c r="D2293" s="18" t="n">
        <v>2010</v>
      </c>
      <c r="E2293" s="18" t="inlineStr">
        <is>
          <t>Clash of the Titans</t>
        </is>
      </c>
      <c r="F2293" s="18" t="inlineStr">
        <is>
          <t>F0066</t>
        </is>
      </c>
    </row>
    <row r="2294" ht="15.75" customHeight="1" s="108">
      <c r="A2294" s="18" t="inlineStr">
        <is>
          <t>Ian Whyte</t>
        </is>
      </c>
      <c r="B2294" s="18" t="n">
        <v>2</v>
      </c>
      <c r="C2294" s="18" t="n">
        <v>2010</v>
      </c>
      <c r="D2294" s="18" t="n">
        <v>2012</v>
      </c>
      <c r="E2294" s="18" t="inlineStr">
        <is>
          <t>Clash of the Titans, Prometheus</t>
        </is>
      </c>
      <c r="F2294" s="18" t="inlineStr">
        <is>
          <t>F0066, F0259</t>
        </is>
      </c>
    </row>
    <row r="2295" ht="15.75" customHeight="1" s="108">
      <c r="A2295" s="18" t="inlineStr">
        <is>
          <t>Katherine Loeppky</t>
        </is>
      </c>
      <c r="B2295" s="18" t="n">
        <v>1</v>
      </c>
      <c r="C2295" s="18" t="n">
        <v>2010</v>
      </c>
      <c r="D2295" s="18" t="n">
        <v>2010</v>
      </c>
      <c r="E2295" s="18" t="inlineStr">
        <is>
          <t>Clash of the Titans</t>
        </is>
      </c>
      <c r="F2295" s="18" t="inlineStr">
        <is>
          <t>F0066</t>
        </is>
      </c>
    </row>
    <row r="2296" ht="15.75" customHeight="1" s="108">
      <c r="A2296" s="18" t="inlineStr">
        <is>
          <t>Sinead Michael</t>
        </is>
      </c>
      <c r="B2296" s="18" t="n">
        <v>1</v>
      </c>
      <c r="C2296" s="18" t="n">
        <v>2010</v>
      </c>
      <c r="D2296" s="18" t="n">
        <v>2010</v>
      </c>
      <c r="E2296" s="18" t="inlineStr">
        <is>
          <t>Clash of the Titans</t>
        </is>
      </c>
      <c r="F2296" s="18" t="inlineStr">
        <is>
          <t>F0066</t>
        </is>
      </c>
    </row>
    <row r="2297" ht="15.75" customHeight="1" s="108">
      <c r="A2297" s="18" t="inlineStr">
        <is>
          <t>Ross Mullan</t>
        </is>
      </c>
      <c r="B2297" s="18" t="n">
        <v>1</v>
      </c>
      <c r="C2297" s="18" t="n">
        <v>2010</v>
      </c>
      <c r="D2297" s="18" t="n">
        <v>2010</v>
      </c>
      <c r="E2297" s="18" t="inlineStr">
        <is>
          <t>Clash of the Titans</t>
        </is>
      </c>
      <c r="F2297" s="18" t="inlineStr">
        <is>
          <t>F0066</t>
        </is>
      </c>
    </row>
    <row r="2298" ht="15.75" customHeight="1" s="108">
      <c r="A2298" s="18" t="inlineStr">
        <is>
          <t>Robin Berry</t>
        </is>
      </c>
      <c r="B2298" s="18" t="n">
        <v>1</v>
      </c>
      <c r="C2298" s="18" t="n">
        <v>2010</v>
      </c>
      <c r="D2298" s="18" t="n">
        <v>2010</v>
      </c>
      <c r="E2298" s="18" t="inlineStr">
        <is>
          <t>Clash of the Titans</t>
        </is>
      </c>
      <c r="F2298" s="18" t="inlineStr">
        <is>
          <t>F0066</t>
        </is>
      </c>
    </row>
    <row r="2299" ht="15.75" customHeight="1" s="108">
      <c r="A2299" s="18" t="inlineStr">
        <is>
          <t>Graham Hughes</t>
        </is>
      </c>
      <c r="B2299" s="18" t="n">
        <v>1</v>
      </c>
      <c r="C2299" s="18" t="n">
        <v>2010</v>
      </c>
      <c r="D2299" s="18" t="n">
        <v>2010</v>
      </c>
      <c r="E2299" s="18" t="inlineStr">
        <is>
          <t>Clash of the Titans</t>
        </is>
      </c>
      <c r="F2299" s="18" t="inlineStr">
        <is>
          <t>F0066</t>
        </is>
      </c>
    </row>
    <row r="2300" ht="15.75" customHeight="1" s="108">
      <c r="A2300" s="18" t="inlineStr">
        <is>
          <t>Martin McCann</t>
        </is>
      </c>
      <c r="B2300" s="18" t="n">
        <v>1</v>
      </c>
      <c r="C2300" s="18" t="n">
        <v>2010</v>
      </c>
      <c r="D2300" s="18" t="n">
        <v>2010</v>
      </c>
      <c r="E2300" s="18" t="inlineStr">
        <is>
          <t>Clash of the Titans</t>
        </is>
      </c>
      <c r="F2300" s="18" t="inlineStr">
        <is>
          <t>F0066</t>
        </is>
      </c>
    </row>
    <row r="2301" ht="15.75" customHeight="1" s="108">
      <c r="A2301" s="18" t="inlineStr">
        <is>
          <t>Rory McCann</t>
        </is>
      </c>
      <c r="B2301" s="18" t="n">
        <v>2</v>
      </c>
      <c r="C2301" s="18" t="n">
        <v>2007</v>
      </c>
      <c r="D2301" s="18" t="n">
        <v>2010</v>
      </c>
      <c r="E2301" s="18" t="inlineStr">
        <is>
          <t>Clash of the Titans, Hot Fuzz</t>
        </is>
      </c>
      <c r="F2301" s="18" t="inlineStr">
        <is>
          <t>F0066, F0071</t>
        </is>
      </c>
    </row>
    <row r="2302" ht="15.75" customHeight="1" s="108">
      <c r="A2302" s="18" t="inlineStr">
        <is>
          <t>Kristen Schaal</t>
        </is>
      </c>
      <c r="B2302" s="18" t="n">
        <v>4</v>
      </c>
      <c r="C2302" s="18" t="n">
        <v>2010</v>
      </c>
      <c r="D2302" s="18" t="n">
        <v>2019</v>
      </c>
      <c r="E2302" s="18" t="inlineStr">
        <is>
          <t>Cloudy with a Chance of Meatballs 2, Despicable Me 2, Toy Story 3, Toy Story 4</t>
        </is>
      </c>
      <c r="F2302" s="18" t="inlineStr">
        <is>
          <t>F0067, F0083, F0314, F0315</t>
        </is>
      </c>
    </row>
    <row r="2303" ht="15.75" customHeight="1" s="108">
      <c r="A2303" s="18" t="inlineStr">
        <is>
          <t>Cody Cameron</t>
        </is>
      </c>
      <c r="B2303" s="18" t="n">
        <v>1</v>
      </c>
      <c r="C2303" s="18" t="n">
        <v>2013</v>
      </c>
      <c r="D2303" s="18" t="n">
        <v>2013</v>
      </c>
      <c r="E2303" s="18" t="inlineStr">
        <is>
          <t>Cloudy with a Chance of Meatballs 2</t>
        </is>
      </c>
      <c r="F2303" s="18" t="inlineStr">
        <is>
          <t>F0067</t>
        </is>
      </c>
    </row>
    <row r="2304" ht="15.75" customHeight="1" s="108">
      <c r="A2304" s="18" t="inlineStr">
        <is>
          <t>Melissa Sturm</t>
        </is>
      </c>
      <c r="B2304" s="18" t="n">
        <v>1</v>
      </c>
      <c r="C2304" s="18" t="n">
        <v>2013</v>
      </c>
      <c r="D2304" s="18" t="n">
        <v>2013</v>
      </c>
      <c r="E2304" s="18" t="inlineStr">
        <is>
          <t>Cloudy with a Chance of Meatballs 2</t>
        </is>
      </c>
      <c r="F2304" s="18" t="inlineStr">
        <is>
          <t>F0067</t>
        </is>
      </c>
    </row>
    <row r="2305" ht="15.75" customHeight="1" s="108">
      <c r="A2305" s="18" t="inlineStr">
        <is>
          <t>Kris Pearn</t>
        </is>
      </c>
      <c r="B2305" s="18" t="n">
        <v>1</v>
      </c>
      <c r="C2305" s="18" t="n">
        <v>2013</v>
      </c>
      <c r="D2305" s="18" t="n">
        <v>2013</v>
      </c>
      <c r="E2305" s="18" t="inlineStr">
        <is>
          <t>Cloudy with a Chance of Meatballs 2</t>
        </is>
      </c>
      <c r="F2305" s="18" t="inlineStr">
        <is>
          <t>F0067</t>
        </is>
      </c>
    </row>
    <row r="2306" ht="15.75" customHeight="1" s="108">
      <c r="A2306" s="18" t="inlineStr">
        <is>
          <t>Craig Kellman</t>
        </is>
      </c>
      <c r="B2306" s="18" t="n">
        <v>1</v>
      </c>
      <c r="C2306" s="18" t="n">
        <v>2013</v>
      </c>
      <c r="D2306" s="18" t="n">
        <v>2013</v>
      </c>
      <c r="E2306" s="18" t="inlineStr">
        <is>
          <t>Cloudy with a Chance of Meatballs 2</t>
        </is>
      </c>
      <c r="F2306" s="18" t="inlineStr">
        <is>
          <t>F0067</t>
        </is>
      </c>
    </row>
    <row r="2307" ht="15.75" customHeight="1" s="108">
      <c r="A2307" s="18" t="inlineStr">
        <is>
          <t>Khamani Griffin</t>
        </is>
      </c>
      <c r="B2307" s="18" t="n">
        <v>1</v>
      </c>
      <c r="C2307" s="18" t="n">
        <v>2013</v>
      </c>
      <c r="D2307" s="18" t="n">
        <v>2013</v>
      </c>
      <c r="E2307" s="18" t="inlineStr">
        <is>
          <t>Cloudy with a Chance of Meatballs 2</t>
        </is>
      </c>
      <c r="F2307" s="18" t="inlineStr">
        <is>
          <t>F0067</t>
        </is>
      </c>
    </row>
    <row r="2308" ht="15.75" customHeight="1" s="108">
      <c r="A2308" s="18" t="inlineStr">
        <is>
          <t>Bridget Hoffman</t>
        </is>
      </c>
      <c r="B2308" s="18" t="n">
        <v>1</v>
      </c>
      <c r="C2308" s="18" t="n">
        <v>2013</v>
      </c>
      <c r="D2308" s="18" t="n">
        <v>2013</v>
      </c>
      <c r="E2308" s="18" t="inlineStr">
        <is>
          <t>Cloudy with a Chance of Meatballs 2</t>
        </is>
      </c>
      <c r="F2308" s="18" t="inlineStr">
        <is>
          <t>F0067</t>
        </is>
      </c>
    </row>
    <row r="2309" ht="15.75" customHeight="1" s="108">
      <c r="A2309" s="18" t="inlineStr">
        <is>
          <t>Al Roker</t>
        </is>
      </c>
      <c r="B2309" s="18" t="n">
        <v>1</v>
      </c>
      <c r="C2309" s="18" t="n">
        <v>2013</v>
      </c>
      <c r="D2309" s="18" t="n">
        <v>2013</v>
      </c>
      <c r="E2309" s="18" t="inlineStr">
        <is>
          <t>Cloudy with a Chance of Meatballs 2</t>
        </is>
      </c>
      <c r="F2309" s="18" t="inlineStr">
        <is>
          <t>F0067</t>
        </is>
      </c>
    </row>
    <row r="2310" ht="15.75" customHeight="1" s="108">
      <c r="A2310" s="18" t="inlineStr">
        <is>
          <t>Steve Alterman</t>
        </is>
      </c>
      <c r="B2310" s="18" t="n">
        <v>1</v>
      </c>
      <c r="C2310" s="18" t="n">
        <v>2013</v>
      </c>
      <c r="D2310" s="18" t="n">
        <v>2013</v>
      </c>
      <c r="E2310" s="18" t="inlineStr">
        <is>
          <t>Cloudy with a Chance of Meatballs 2</t>
        </is>
      </c>
      <c r="F2310" s="18" t="inlineStr">
        <is>
          <t>F0067</t>
        </is>
      </c>
    </row>
    <row r="2311" ht="15.75" customHeight="1" s="108">
      <c r="A2311" s="18" t="inlineStr">
        <is>
          <t>June Christopher</t>
        </is>
      </c>
      <c r="B2311" s="18" t="n">
        <v>1</v>
      </c>
      <c r="C2311" s="18" t="n">
        <v>2013</v>
      </c>
      <c r="D2311" s="18" t="n">
        <v>2013</v>
      </c>
      <c r="E2311" s="18" t="inlineStr">
        <is>
          <t>Cloudy with a Chance of Meatballs 2</t>
        </is>
      </c>
      <c r="F2311" s="18" t="inlineStr">
        <is>
          <t>F0067</t>
        </is>
      </c>
    </row>
    <row r="2312" ht="15.75" customHeight="1" s="108">
      <c r="A2312" s="18" t="inlineStr">
        <is>
          <t>Eddie Frierson</t>
        </is>
      </c>
      <c r="B2312" s="18" t="n">
        <v>1</v>
      </c>
      <c r="C2312" s="18" t="n">
        <v>2013</v>
      </c>
      <c r="D2312" s="18" t="n">
        <v>2013</v>
      </c>
      <c r="E2312" s="18" t="inlineStr">
        <is>
          <t>Cloudy with a Chance of Meatballs 2</t>
        </is>
      </c>
      <c r="F2312" s="18" t="inlineStr">
        <is>
          <t>F0067</t>
        </is>
      </c>
    </row>
    <row r="2313" ht="15.75" customHeight="1" s="108">
      <c r="A2313" s="18" t="inlineStr">
        <is>
          <t>Elisa Gabrielli</t>
        </is>
      </c>
      <c r="B2313" s="18" t="n">
        <v>1</v>
      </c>
      <c r="C2313" s="18" t="n">
        <v>2013</v>
      </c>
      <c r="D2313" s="18" t="n">
        <v>2013</v>
      </c>
      <c r="E2313" s="18" t="inlineStr">
        <is>
          <t>Cloudy with a Chance of Meatballs 2</t>
        </is>
      </c>
      <c r="F2313" s="18" t="inlineStr">
        <is>
          <t>F0067</t>
        </is>
      </c>
    </row>
    <row r="2314" ht="15.75" customHeight="1" s="108">
      <c r="A2314" s="18" t="inlineStr">
        <is>
          <t>Jackie Gonneau</t>
        </is>
      </c>
      <c r="B2314" s="18" t="n">
        <v>2</v>
      </c>
      <c r="C2314" s="18" t="n">
        <v>2010</v>
      </c>
      <c r="D2314" s="18" t="n">
        <v>2013</v>
      </c>
      <c r="E2314" s="18" t="inlineStr">
        <is>
          <t>Cloudy with a Chance of Meatballs 2, Despicable Me</t>
        </is>
      </c>
      <c r="F2314" s="18" t="inlineStr">
        <is>
          <t>F0067, F0082</t>
        </is>
      </c>
    </row>
    <row r="2315" ht="15.75" customHeight="1" s="108">
      <c r="A2315" s="18" t="inlineStr">
        <is>
          <t>Tania Gunadi</t>
        </is>
      </c>
      <c r="B2315" s="18" t="n">
        <v>1</v>
      </c>
      <c r="C2315" s="18" t="n">
        <v>2013</v>
      </c>
      <c r="D2315" s="18" t="n">
        <v>2013</v>
      </c>
      <c r="E2315" s="18" t="inlineStr">
        <is>
          <t>Cloudy with a Chance of Meatballs 2</t>
        </is>
      </c>
      <c r="F2315" s="18" t="inlineStr">
        <is>
          <t>F0067</t>
        </is>
      </c>
    </row>
    <row r="2316" ht="15.75" customHeight="1" s="108">
      <c r="A2316" s="18" t="inlineStr">
        <is>
          <t>Wendy Hoffmann</t>
        </is>
      </c>
      <c r="B2316" s="18" t="n">
        <v>2</v>
      </c>
      <c r="C2316" s="18" t="n">
        <v>2010</v>
      </c>
      <c r="D2316" s="18" t="n">
        <v>2013</v>
      </c>
      <c r="E2316" s="18" t="inlineStr">
        <is>
          <t>Cloudy with a Chance of Meatballs 2, Despicable Me</t>
        </is>
      </c>
      <c r="F2316" s="18" t="inlineStr">
        <is>
          <t>F0067, F0082</t>
        </is>
      </c>
    </row>
    <row r="2317" ht="15.75" customHeight="1" s="108">
      <c r="A2317" s="18" t="inlineStr">
        <is>
          <t>Walter Jones</t>
        </is>
      </c>
      <c r="B2317" s="18" t="n">
        <v>1</v>
      </c>
      <c r="C2317" s="18" t="n">
        <v>2013</v>
      </c>
      <c r="D2317" s="18" t="n">
        <v>2013</v>
      </c>
      <c r="E2317" s="18" t="inlineStr">
        <is>
          <t>Cloudy with a Chance of Meatballs 2</t>
        </is>
      </c>
      <c r="F2317" s="18" t="inlineStr">
        <is>
          <t>F0067</t>
        </is>
      </c>
    </row>
    <row r="2318" ht="15.75" customHeight="1" s="108">
      <c r="A2318" s="18" t="inlineStr">
        <is>
          <t>Ashley Lambert</t>
        </is>
      </c>
      <c r="B2318" s="18" t="n">
        <v>1</v>
      </c>
      <c r="C2318" s="18" t="n">
        <v>2013</v>
      </c>
      <c r="D2318" s="18" t="n">
        <v>2013</v>
      </c>
      <c r="E2318" s="18" t="inlineStr">
        <is>
          <t>Cloudy with a Chance of Meatballs 2</t>
        </is>
      </c>
      <c r="F2318" s="18" t="inlineStr">
        <is>
          <t>F0067</t>
        </is>
      </c>
    </row>
    <row r="2319" ht="15.75" customHeight="1" s="108">
      <c r="A2319" s="18" t="inlineStr">
        <is>
          <t>Scott Menville</t>
        </is>
      </c>
      <c r="B2319" s="18" t="n">
        <v>4</v>
      </c>
      <c r="C2319" s="18" t="n">
        <v>2010</v>
      </c>
      <c r="D2319" s="18" t="n">
        <v>2023</v>
      </c>
      <c r="E2319" s="18" t="inlineStr">
        <is>
          <t>Cloudy with a Chance of Meatballs 2, Despicable Me, The Super Mario Bros. Movie, Lego DC Comics Super Heroes: Justice League - Gotham City Breakout</t>
        </is>
      </c>
      <c r="F2319" s="18" t="inlineStr">
        <is>
          <t>F0067, F0082, F0212, F0198</t>
        </is>
      </c>
    </row>
    <row r="2320" ht="15.75" customHeight="1" s="108">
      <c r="A2320" s="18" t="inlineStr">
        <is>
          <t>David Sheinkopf</t>
        </is>
      </c>
      <c r="B2320" s="18" t="n">
        <v>1</v>
      </c>
      <c r="C2320" s="18" t="n">
        <v>2013</v>
      </c>
      <c r="D2320" s="18" t="n">
        <v>2013</v>
      </c>
      <c r="E2320" s="18" t="inlineStr">
        <is>
          <t>Cloudy with a Chance of Meatballs 2</t>
        </is>
      </c>
      <c r="F2320" s="18" t="inlineStr">
        <is>
          <t>F0067</t>
        </is>
      </c>
    </row>
    <row r="2321" ht="15.75" customHeight="1" s="108">
      <c r="A2321" s="18" t="inlineStr">
        <is>
          <t>Marina Squerciati</t>
        </is>
      </c>
      <c r="B2321" s="18" t="n">
        <v>1</v>
      </c>
      <c r="C2321" s="18" t="n">
        <v>2013</v>
      </c>
      <c r="D2321" s="18" t="n">
        <v>2013</v>
      </c>
      <c r="E2321" s="18" t="inlineStr">
        <is>
          <t>Cloudy with a Chance of Meatballs 2</t>
        </is>
      </c>
      <c r="F2321" s="18" t="inlineStr">
        <is>
          <t>F0067</t>
        </is>
      </c>
    </row>
    <row r="2322" ht="15.75" customHeight="1" s="108">
      <c r="A2322" s="18" t="inlineStr">
        <is>
          <t>Dave Chappelle</t>
        </is>
      </c>
      <c r="B2322" s="18" t="n">
        <v>1</v>
      </c>
      <c r="C2322" s="18" t="n">
        <v>1997</v>
      </c>
      <c r="D2322" s="18" t="n">
        <v>1997</v>
      </c>
      <c r="E2322" s="18" t="inlineStr">
        <is>
          <t>Con Air</t>
        </is>
      </c>
      <c r="F2322" s="18" t="inlineStr">
        <is>
          <t>F0068</t>
        </is>
      </c>
    </row>
    <row r="2323" ht="15.75" customHeight="1" s="108">
      <c r="A2323" s="18" t="inlineStr">
        <is>
          <t>Monica Potter</t>
        </is>
      </c>
      <c r="B2323" s="18" t="n">
        <v>1</v>
      </c>
      <c r="C2323" s="18" t="n">
        <v>1997</v>
      </c>
      <c r="D2323" s="18" t="n">
        <v>1997</v>
      </c>
      <c r="E2323" s="18" t="inlineStr">
        <is>
          <t>Con Air</t>
        </is>
      </c>
      <c r="F2323" s="18" t="inlineStr">
        <is>
          <t>F0068</t>
        </is>
      </c>
    </row>
    <row r="2324" ht="15.75" customHeight="1" s="108">
      <c r="A2324" s="18" t="inlineStr">
        <is>
          <t>Landry Allbright</t>
        </is>
      </c>
      <c r="B2324" s="18" t="n">
        <v>1</v>
      </c>
      <c r="C2324" s="18" t="n">
        <v>1997</v>
      </c>
      <c r="D2324" s="18" t="n">
        <v>1997</v>
      </c>
      <c r="E2324" s="18" t="inlineStr">
        <is>
          <t>Con Air</t>
        </is>
      </c>
      <c r="F2324" s="18" t="inlineStr">
        <is>
          <t>F0068</t>
        </is>
      </c>
    </row>
    <row r="2325" ht="15.75" customHeight="1" s="108">
      <c r="A2325" s="18" t="inlineStr">
        <is>
          <t>Rachel Ticotin</t>
        </is>
      </c>
      <c r="B2325" s="18" t="n">
        <v>1</v>
      </c>
      <c r="C2325" s="18" t="n">
        <v>1997</v>
      </c>
      <c r="D2325" s="18" t="n">
        <v>1997</v>
      </c>
      <c r="E2325" s="18" t="inlineStr">
        <is>
          <t>Con Air</t>
        </is>
      </c>
      <c r="F2325" s="18" t="inlineStr">
        <is>
          <t>F0068</t>
        </is>
      </c>
    </row>
    <row r="2326" ht="15.75" customHeight="1" s="108">
      <c r="A2326" s="18" t="inlineStr">
        <is>
          <t>Nick Chinlund</t>
        </is>
      </c>
      <c r="B2326" s="18" t="n">
        <v>2</v>
      </c>
      <c r="C2326" s="18" t="n">
        <v>1997</v>
      </c>
      <c r="D2326" s="18" t="n">
        <v>2014</v>
      </c>
      <c r="E2326" s="18" t="inlineStr">
        <is>
          <t>Con Air, Need for Speed</t>
        </is>
      </c>
      <c r="F2326" s="18" t="inlineStr">
        <is>
          <t>F0068, F0234</t>
        </is>
      </c>
    </row>
    <row r="2327" ht="15.75" customHeight="1" s="108">
      <c r="A2327" s="18" t="inlineStr">
        <is>
          <t>M.C. Gainey</t>
        </is>
      </c>
      <c r="B2327" s="18" t="n">
        <v>2</v>
      </c>
      <c r="C2327" s="18" t="n">
        <v>1997</v>
      </c>
      <c r="D2327" s="18" t="n">
        <v>2012</v>
      </c>
      <c r="E2327" s="18" t="inlineStr">
        <is>
          <t>Con Air, Django Unchained</t>
        </is>
      </c>
      <c r="F2327" s="18" t="inlineStr">
        <is>
          <t>F0068, F0090</t>
        </is>
      </c>
    </row>
    <row r="2328" ht="15.75" customHeight="1" s="108">
      <c r="A2328" s="18" t="inlineStr">
        <is>
          <t>Renoly Santiago</t>
        </is>
      </c>
      <c r="B2328" s="18" t="n">
        <v>1</v>
      </c>
      <c r="C2328" s="18" t="n">
        <v>1997</v>
      </c>
      <c r="D2328" s="18" t="n">
        <v>1997</v>
      </c>
      <c r="E2328" s="18" t="inlineStr">
        <is>
          <t>Con Air</t>
        </is>
      </c>
      <c r="F2328" s="18" t="inlineStr">
        <is>
          <t>F0068</t>
        </is>
      </c>
    </row>
    <row r="2329" ht="15.75" customHeight="1" s="108">
      <c r="A2329" s="18" t="inlineStr">
        <is>
          <t>Brendan Kelly</t>
        </is>
      </c>
      <c r="B2329" s="18" t="n">
        <v>1</v>
      </c>
      <c r="C2329" s="18" t="n">
        <v>1997</v>
      </c>
      <c r="D2329" s="18" t="n">
        <v>1997</v>
      </c>
      <c r="E2329" s="18" t="inlineStr">
        <is>
          <t>Con Air</t>
        </is>
      </c>
      <c r="F2329" s="18" t="inlineStr">
        <is>
          <t>F0068</t>
        </is>
      </c>
    </row>
    <row r="2330" ht="15.75" customHeight="1" s="108">
      <c r="A2330" s="18" t="inlineStr">
        <is>
          <t>Jesse Borrego</t>
        </is>
      </c>
      <c r="B2330" s="18" t="n">
        <v>1</v>
      </c>
      <c r="C2330" s="18" t="n">
        <v>1997</v>
      </c>
      <c r="D2330" s="18" t="n">
        <v>1997</v>
      </c>
      <c r="E2330" s="18" t="inlineStr">
        <is>
          <t>Con Air</t>
        </is>
      </c>
      <c r="F2330" s="18" t="inlineStr">
        <is>
          <t>F0068</t>
        </is>
      </c>
    </row>
    <row r="2331" ht="15.75" customHeight="1" s="108">
      <c r="A2331" s="18" t="inlineStr">
        <is>
          <t>Carl Ciarfalio</t>
        </is>
      </c>
      <c r="B2331" s="18" t="n">
        <v>1</v>
      </c>
      <c r="C2331" s="18" t="n">
        <v>1997</v>
      </c>
      <c r="D2331" s="18" t="n">
        <v>1997</v>
      </c>
      <c r="E2331" s="18" t="inlineStr">
        <is>
          <t>Con Air</t>
        </is>
      </c>
      <c r="F2331" s="18" t="inlineStr">
        <is>
          <t>F0068</t>
        </is>
      </c>
    </row>
    <row r="2332" ht="15.75" customHeight="1" s="108">
      <c r="A2332" s="18" t="inlineStr">
        <is>
          <t>Mongo Brownlee</t>
        </is>
      </c>
      <c r="B2332" s="18" t="n">
        <v>1</v>
      </c>
      <c r="C2332" s="18" t="n">
        <v>1997</v>
      </c>
      <c r="D2332" s="18" t="n">
        <v>1997</v>
      </c>
      <c r="E2332" s="18" t="inlineStr">
        <is>
          <t>Con Air</t>
        </is>
      </c>
      <c r="F2332" s="18" t="inlineStr">
        <is>
          <t>F0068</t>
        </is>
      </c>
    </row>
    <row r="2333" ht="15.75" customHeight="1" s="108">
      <c r="A2333" s="18" t="inlineStr">
        <is>
          <t>José Zúñiga</t>
        </is>
      </c>
      <c r="B2333" s="18" t="n">
        <v>1</v>
      </c>
      <c r="C2333" s="18" t="n">
        <v>1997</v>
      </c>
      <c r="D2333" s="18" t="n">
        <v>1997</v>
      </c>
      <c r="E2333" s="18" t="inlineStr">
        <is>
          <t>Con Air</t>
        </is>
      </c>
      <c r="F2333" s="18" t="inlineStr">
        <is>
          <t>F0068</t>
        </is>
      </c>
    </row>
    <row r="2334" ht="15.75" customHeight="1" s="108">
      <c r="A2334" s="18" t="inlineStr">
        <is>
          <t>Ned Bellamy</t>
        </is>
      </c>
      <c r="B2334" s="18" t="n">
        <v>1</v>
      </c>
      <c r="C2334" s="18" t="n">
        <v>1997</v>
      </c>
      <c r="D2334" s="18" t="n">
        <v>1997</v>
      </c>
      <c r="E2334" s="18" t="inlineStr">
        <is>
          <t>Con Air</t>
        </is>
      </c>
      <c r="F2334" s="18" t="inlineStr">
        <is>
          <t>F0068</t>
        </is>
      </c>
    </row>
    <row r="2335" ht="15.75" customHeight="1" s="108">
      <c r="A2335" s="18" t="inlineStr">
        <is>
          <t>John Marshall Jones</t>
        </is>
      </c>
      <c r="B2335" s="18" t="n">
        <v>1</v>
      </c>
      <c r="C2335" s="18" t="n">
        <v>1997</v>
      </c>
      <c r="D2335" s="18" t="n">
        <v>1997</v>
      </c>
      <c r="E2335" s="18" t="inlineStr">
        <is>
          <t>Con Air</t>
        </is>
      </c>
      <c r="F2335" s="18" t="inlineStr">
        <is>
          <t>F0068</t>
        </is>
      </c>
    </row>
    <row r="2336" ht="15.75" customHeight="1" s="108">
      <c r="A2336" s="18" t="inlineStr">
        <is>
          <t>John Roselius</t>
        </is>
      </c>
      <c r="B2336" s="18" t="n">
        <v>1</v>
      </c>
      <c r="C2336" s="18" t="n">
        <v>1997</v>
      </c>
      <c r="D2336" s="18" t="n">
        <v>1997</v>
      </c>
      <c r="E2336" s="18" t="inlineStr">
        <is>
          <t>Con Air</t>
        </is>
      </c>
      <c r="F2336" s="18" t="inlineStr">
        <is>
          <t>F0068</t>
        </is>
      </c>
    </row>
    <row r="2337" ht="15.75" customHeight="1" s="108">
      <c r="A2337" s="18" t="inlineStr">
        <is>
          <t>Fredric Lehne</t>
        </is>
      </c>
      <c r="B2337" s="18" t="n">
        <v>3</v>
      </c>
      <c r="C2337" s="18" t="n">
        <v>1997</v>
      </c>
      <c r="D2337" s="18" t="n">
        <v>2017</v>
      </c>
      <c r="E2337" s="18" t="inlineStr">
        <is>
          <t>Con Air, The Greatest Showman, Men in Black</t>
        </is>
      </c>
      <c r="F2337" s="18" t="inlineStr">
        <is>
          <t>F0068, F0127, F0218</t>
        </is>
      </c>
    </row>
    <row r="2338" ht="15.75" customHeight="1" s="108">
      <c r="A2338" s="18" t="inlineStr">
        <is>
          <t>Martin McSorley</t>
        </is>
      </c>
      <c r="B2338" s="18" t="n">
        <v>1</v>
      </c>
      <c r="C2338" s="18" t="n">
        <v>1997</v>
      </c>
      <c r="D2338" s="18" t="n">
        <v>1997</v>
      </c>
      <c r="E2338" s="18" t="inlineStr">
        <is>
          <t>Con Air</t>
        </is>
      </c>
      <c r="F2338" s="18" t="inlineStr">
        <is>
          <t>F0068</t>
        </is>
      </c>
    </row>
    <row r="2339" ht="15.75" customHeight="1" s="108">
      <c r="A2339" s="18" t="inlineStr">
        <is>
          <t>Dan Bell</t>
        </is>
      </c>
      <c r="B2339" s="18" t="n">
        <v>1</v>
      </c>
      <c r="C2339" s="18" t="n">
        <v>1997</v>
      </c>
      <c r="D2339" s="18" t="n">
        <v>1997</v>
      </c>
      <c r="E2339" s="18" t="inlineStr">
        <is>
          <t>Con Air</t>
        </is>
      </c>
      <c r="F2339" s="18" t="inlineStr">
        <is>
          <t>F0068</t>
        </is>
      </c>
    </row>
    <row r="2340" ht="15.75" customHeight="1" s="108">
      <c r="A2340" s="18" t="inlineStr">
        <is>
          <t>Bob Stephenson</t>
        </is>
      </c>
      <c r="B2340" s="18" t="n">
        <v>4</v>
      </c>
      <c r="C2340" s="18" t="n">
        <v>1995</v>
      </c>
      <c r="D2340" s="18" t="n">
        <v>2007</v>
      </c>
      <c r="E2340" s="18" t="inlineStr">
        <is>
          <t>Con Air, Fight Club, Se7en, Zodiac</t>
        </is>
      </c>
      <c r="F2340" s="18" t="inlineStr">
        <is>
          <t>F0068, F0112, F0276, F0350</t>
        </is>
      </c>
    </row>
    <row r="2341" ht="15.75" customHeight="1" s="108">
      <c r="A2341" s="18" t="inlineStr">
        <is>
          <t>Scott Ditty</t>
        </is>
      </c>
      <c r="B2341" s="18" t="n">
        <v>1</v>
      </c>
      <c r="C2341" s="18" t="n">
        <v>1997</v>
      </c>
      <c r="D2341" s="18" t="n">
        <v>1997</v>
      </c>
      <c r="E2341" s="18" t="inlineStr">
        <is>
          <t>Con Air</t>
        </is>
      </c>
      <c r="F2341" s="18" t="inlineStr">
        <is>
          <t>F0068</t>
        </is>
      </c>
    </row>
    <row r="2342" ht="15.75" customHeight="1" s="108">
      <c r="A2342" s="18" t="inlineStr">
        <is>
          <t>Tommy Bush</t>
        </is>
      </c>
      <c r="B2342" s="18" t="n">
        <v>1</v>
      </c>
      <c r="C2342" s="18" t="n">
        <v>1997</v>
      </c>
      <c r="D2342" s="18" t="n">
        <v>1997</v>
      </c>
      <c r="E2342" s="18" t="inlineStr">
        <is>
          <t>Con Air</t>
        </is>
      </c>
      <c r="F2342" s="18" t="inlineStr">
        <is>
          <t>F0068</t>
        </is>
      </c>
    </row>
    <row r="2343" ht="15.75" customHeight="1" s="108">
      <c r="A2343" s="18" t="inlineStr">
        <is>
          <t>Kevin Pollak</t>
        </is>
      </c>
      <c r="B2343" s="18" t="n">
        <v>1</v>
      </c>
      <c r="C2343" s="18" t="n">
        <v>2010</v>
      </c>
      <c r="D2343" s="18" t="n">
        <v>2010</v>
      </c>
      <c r="E2343" s="18" t="inlineStr">
        <is>
          <t>Cop Out</t>
        </is>
      </c>
      <c r="F2343" s="18" t="inlineStr">
        <is>
          <t>F0069</t>
        </is>
      </c>
    </row>
    <row r="2344" ht="15.75" customHeight="1" s="108">
      <c r="A2344" s="18" t="inlineStr">
        <is>
          <t>Guillermo Díaz</t>
        </is>
      </c>
      <c r="B2344" s="18" t="n">
        <v>1</v>
      </c>
      <c r="C2344" s="18" t="n">
        <v>2010</v>
      </c>
      <c r="D2344" s="18" t="n">
        <v>2010</v>
      </c>
      <c r="E2344" s="18" t="inlineStr">
        <is>
          <t>Cop Out</t>
        </is>
      </c>
      <c r="F2344" s="18" t="inlineStr">
        <is>
          <t>F0069</t>
        </is>
      </c>
    </row>
    <row r="2345" ht="15.75" customHeight="1" s="108">
      <c r="A2345" s="18" t="inlineStr">
        <is>
          <t>Rashida Jones</t>
        </is>
      </c>
      <c r="B2345" s="18" t="n">
        <v>2</v>
      </c>
      <c r="C2345" s="18" t="n">
        <v>2010</v>
      </c>
      <c r="D2345" s="18" t="n">
        <v>2015</v>
      </c>
      <c r="E2345" s="18" t="inlineStr">
        <is>
          <t>Cop Out, Inside Out</t>
        </is>
      </c>
      <c r="F2345" s="18" t="inlineStr">
        <is>
          <t>F0069, F0167</t>
        </is>
      </c>
    </row>
    <row r="2346" ht="15.75" customHeight="1" s="108">
      <c r="A2346" s="18" t="inlineStr">
        <is>
          <t>Susie Essman</t>
        </is>
      </c>
      <c r="B2346" s="18" t="n">
        <v>1</v>
      </c>
      <c r="C2346" s="18" t="n">
        <v>2010</v>
      </c>
      <c r="D2346" s="18" t="n">
        <v>2010</v>
      </c>
      <c r="E2346" s="18" t="inlineStr">
        <is>
          <t>Cop Out</t>
        </is>
      </c>
      <c r="F2346" s="18" t="inlineStr">
        <is>
          <t>F0069</t>
        </is>
      </c>
    </row>
    <row r="2347" ht="15.75" customHeight="1" s="108">
      <c r="A2347" s="18" t="inlineStr">
        <is>
          <t>Michelle Trachtenberg</t>
        </is>
      </c>
      <c r="B2347" s="18" t="n">
        <v>1</v>
      </c>
      <c r="C2347" s="18" t="n">
        <v>2010</v>
      </c>
      <c r="D2347" s="18" t="n">
        <v>2010</v>
      </c>
      <c r="E2347" s="18" t="inlineStr">
        <is>
          <t>Cop Out</t>
        </is>
      </c>
      <c r="F2347" s="18" t="inlineStr">
        <is>
          <t>F0069</t>
        </is>
      </c>
    </row>
    <row r="2348" ht="15.75" customHeight="1" s="108">
      <c r="A2348" s="18" t="inlineStr">
        <is>
          <t>Francie Swift</t>
        </is>
      </c>
      <c r="B2348" s="18" t="n">
        <v>1</v>
      </c>
      <c r="C2348" s="18" t="n">
        <v>2010</v>
      </c>
      <c r="D2348" s="18" t="n">
        <v>2010</v>
      </c>
      <c r="E2348" s="18" t="inlineStr">
        <is>
          <t>Cop Out</t>
        </is>
      </c>
      <c r="F2348" s="18" t="inlineStr">
        <is>
          <t>F0069</t>
        </is>
      </c>
    </row>
    <row r="2349" ht="15.75" customHeight="1" s="108">
      <c r="A2349" s="18" t="inlineStr">
        <is>
          <t>Sean Cullen</t>
        </is>
      </c>
      <c r="B2349" s="18" t="n">
        <v>1</v>
      </c>
      <c r="C2349" s="18" t="n">
        <v>2010</v>
      </c>
      <c r="D2349" s="18" t="n">
        <v>2010</v>
      </c>
      <c r="E2349" s="18" t="inlineStr">
        <is>
          <t>Cop Out</t>
        </is>
      </c>
      <c r="F2349" s="18" t="inlineStr">
        <is>
          <t>F0069</t>
        </is>
      </c>
    </row>
    <row r="2350" ht="15.75" customHeight="1" s="108">
      <c r="A2350" s="18" t="inlineStr">
        <is>
          <t>Cory Fernandez</t>
        </is>
      </c>
      <c r="B2350" s="18" t="n">
        <v>1</v>
      </c>
      <c r="C2350" s="18" t="n">
        <v>2010</v>
      </c>
      <c r="D2350" s="18" t="n">
        <v>2010</v>
      </c>
      <c r="E2350" s="18" t="inlineStr">
        <is>
          <t>Cop Out</t>
        </is>
      </c>
      <c r="F2350" s="18" t="inlineStr">
        <is>
          <t>F0069</t>
        </is>
      </c>
    </row>
    <row r="2351" ht="15.75" customHeight="1" s="108">
      <c r="A2351" s="18" t="inlineStr">
        <is>
          <t>Mark Consuelos</t>
        </is>
      </c>
      <c r="B2351" s="18" t="n">
        <v>1</v>
      </c>
      <c r="C2351" s="18" t="n">
        <v>2010</v>
      </c>
      <c r="D2351" s="18" t="n">
        <v>2010</v>
      </c>
      <c r="E2351" s="18" t="inlineStr">
        <is>
          <t>Cop Out</t>
        </is>
      </c>
      <c r="F2351" s="18" t="inlineStr">
        <is>
          <t>F0069</t>
        </is>
      </c>
    </row>
    <row r="2352" ht="15.75" customHeight="1" s="108">
      <c r="A2352" s="18" t="inlineStr">
        <is>
          <t>Marcus I. Morton</t>
        </is>
      </c>
      <c r="B2352" s="18" t="n">
        <v>1</v>
      </c>
      <c r="C2352" s="18" t="n">
        <v>2010</v>
      </c>
      <c r="D2352" s="18" t="n">
        <v>2010</v>
      </c>
      <c r="E2352" s="18" t="inlineStr">
        <is>
          <t>Cop Out</t>
        </is>
      </c>
      <c r="F2352" s="18" t="inlineStr">
        <is>
          <t>F0069</t>
        </is>
      </c>
    </row>
    <row r="2353" ht="15.75" customHeight="1" s="108">
      <c r="A2353" s="18" t="inlineStr">
        <is>
          <t>Jacinto Taras Riddick</t>
        </is>
      </c>
      <c r="B2353" s="18" t="n">
        <v>1</v>
      </c>
      <c r="C2353" s="18" t="n">
        <v>2010</v>
      </c>
      <c r="D2353" s="18" t="n">
        <v>2010</v>
      </c>
      <c r="E2353" s="18" t="inlineStr">
        <is>
          <t>Cop Out</t>
        </is>
      </c>
      <c r="F2353" s="18" t="inlineStr">
        <is>
          <t>F0069</t>
        </is>
      </c>
    </row>
    <row r="2354" ht="15.75" customHeight="1" s="108">
      <c r="A2354" s="18" t="inlineStr">
        <is>
          <t>Alberto Bonilla</t>
        </is>
      </c>
      <c r="B2354" s="18" t="n">
        <v>1</v>
      </c>
      <c r="C2354" s="18" t="n">
        <v>2010</v>
      </c>
      <c r="D2354" s="18" t="n">
        <v>2010</v>
      </c>
      <c r="E2354" s="18" t="inlineStr">
        <is>
          <t>Cop Out</t>
        </is>
      </c>
      <c r="F2354" s="18" t="inlineStr">
        <is>
          <t>F0069</t>
        </is>
      </c>
    </row>
    <row r="2355" ht="15.75" customHeight="1" s="108">
      <c r="A2355" s="18" t="inlineStr">
        <is>
          <t>Ernest O'Donnell</t>
        </is>
      </c>
      <c r="B2355" s="18" t="n">
        <v>1</v>
      </c>
      <c r="C2355" s="18" t="n">
        <v>2010</v>
      </c>
      <c r="D2355" s="18" t="n">
        <v>2010</v>
      </c>
      <c r="E2355" s="18" t="inlineStr">
        <is>
          <t>Cop Out</t>
        </is>
      </c>
      <c r="F2355" s="18" t="inlineStr">
        <is>
          <t>F0069</t>
        </is>
      </c>
    </row>
    <row r="2356" ht="15.75" customHeight="1" s="108">
      <c r="A2356" s="18" t="inlineStr">
        <is>
          <t>Juan Carlos Hernández</t>
        </is>
      </c>
      <c r="B2356" s="18" t="n">
        <v>1</v>
      </c>
      <c r="C2356" s="18" t="n">
        <v>2010</v>
      </c>
      <c r="D2356" s="18" t="n">
        <v>2010</v>
      </c>
      <c r="E2356" s="18" t="inlineStr">
        <is>
          <t>Cop Out</t>
        </is>
      </c>
      <c r="F2356" s="18" t="inlineStr">
        <is>
          <t>F0069</t>
        </is>
      </c>
    </row>
    <row r="2357" ht="15.75" customHeight="1" s="108">
      <c r="A2357" s="18" t="inlineStr">
        <is>
          <t>Jim Norton</t>
        </is>
      </c>
      <c r="B2357" s="18" t="n">
        <v>1</v>
      </c>
      <c r="C2357" s="18" t="n">
        <v>2010</v>
      </c>
      <c r="D2357" s="18" t="n">
        <v>2010</v>
      </c>
      <c r="E2357" s="18" t="inlineStr">
        <is>
          <t>Cop Out</t>
        </is>
      </c>
      <c r="F2357" s="18" t="inlineStr">
        <is>
          <t>F0069</t>
        </is>
      </c>
    </row>
    <row r="2358" ht="15.75" customHeight="1" s="108">
      <c r="A2358" s="18" t="inlineStr">
        <is>
          <t>Jayce Bartok</t>
        </is>
      </c>
      <c r="B2358" s="18" t="n">
        <v>1</v>
      </c>
      <c r="C2358" s="18" t="n">
        <v>2010</v>
      </c>
      <c r="D2358" s="18" t="n">
        <v>2010</v>
      </c>
      <c r="E2358" s="18" t="inlineStr">
        <is>
          <t>Cop Out</t>
        </is>
      </c>
      <c r="F2358" s="18" t="inlineStr">
        <is>
          <t>F0069</t>
        </is>
      </c>
    </row>
    <row r="2359" ht="15.75" customHeight="1" s="108">
      <c r="A2359" s="18" t="inlineStr">
        <is>
          <t>Ray Quinlan</t>
        </is>
      </c>
      <c r="B2359" s="18" t="n">
        <v>1</v>
      </c>
      <c r="C2359" s="18" t="n">
        <v>2010</v>
      </c>
      <c r="D2359" s="18" t="n">
        <v>2010</v>
      </c>
      <c r="E2359" s="18" t="inlineStr">
        <is>
          <t>Cop Out</t>
        </is>
      </c>
      <c r="F2359" s="18" t="inlineStr">
        <is>
          <t>F0069</t>
        </is>
      </c>
    </row>
    <row r="2360" ht="15.75" customHeight="1" s="108">
      <c r="A2360" s="18" t="inlineStr">
        <is>
          <t>Robb Cullen</t>
        </is>
      </c>
      <c r="B2360" s="18" t="n">
        <v>1</v>
      </c>
      <c r="C2360" s="18" t="n">
        <v>2010</v>
      </c>
      <c r="D2360" s="18" t="n">
        <v>2010</v>
      </c>
      <c r="E2360" s="18" t="inlineStr">
        <is>
          <t>Cop Out</t>
        </is>
      </c>
      <c r="F2360" s="18" t="inlineStr">
        <is>
          <t>F0069</t>
        </is>
      </c>
    </row>
    <row r="2361" ht="15.75" customHeight="1" s="108">
      <c r="A2361" s="18" t="inlineStr">
        <is>
          <t>Jordan Carlos</t>
        </is>
      </c>
      <c r="B2361" s="18" t="n">
        <v>1</v>
      </c>
      <c r="C2361" s="18" t="n">
        <v>2010</v>
      </c>
      <c r="D2361" s="18" t="n">
        <v>2010</v>
      </c>
      <c r="E2361" s="18" t="inlineStr">
        <is>
          <t>Cop Out</t>
        </is>
      </c>
      <c r="F2361" s="18" t="inlineStr">
        <is>
          <t>F0069</t>
        </is>
      </c>
    </row>
    <row r="2362" ht="15.75" customHeight="1" s="108">
      <c r="A2362" s="18" t="inlineStr">
        <is>
          <t>Keith Joe Dick</t>
        </is>
      </c>
      <c r="B2362" s="18" t="n">
        <v>1</v>
      </c>
      <c r="C2362" s="18" t="n">
        <v>2010</v>
      </c>
      <c r="D2362" s="18" t="n">
        <v>2010</v>
      </c>
      <c r="E2362" s="18" t="inlineStr">
        <is>
          <t>Cop Out</t>
        </is>
      </c>
      <c r="F2362" s="18" t="inlineStr">
        <is>
          <t>F0069</t>
        </is>
      </c>
    </row>
    <row r="2363" ht="15.75" customHeight="1" s="108">
      <c r="A2363" s="18" t="inlineStr">
        <is>
          <t>John D'Leo</t>
        </is>
      </c>
      <c r="B2363" s="18" t="n">
        <v>1</v>
      </c>
      <c r="C2363" s="18" t="n">
        <v>2010</v>
      </c>
      <c r="D2363" s="18" t="n">
        <v>2010</v>
      </c>
      <c r="E2363" s="18" t="inlineStr">
        <is>
          <t>Cop Out</t>
        </is>
      </c>
      <c r="F2363" s="18" t="inlineStr">
        <is>
          <t>F0069</t>
        </is>
      </c>
    </row>
    <row r="2364" ht="15.75" customHeight="1" s="108">
      <c r="A2364" s="18" t="inlineStr">
        <is>
          <t>Robinson Aponte</t>
        </is>
      </c>
      <c r="B2364" s="18" t="n">
        <v>1</v>
      </c>
      <c r="C2364" s="18" t="n">
        <v>2010</v>
      </c>
      <c r="D2364" s="18" t="n">
        <v>2010</v>
      </c>
      <c r="E2364" s="18" t="inlineStr">
        <is>
          <t>Cop Out</t>
        </is>
      </c>
      <c r="F2364" s="18" t="inlineStr">
        <is>
          <t>F0069</t>
        </is>
      </c>
    </row>
    <row r="2365" ht="15.75" customHeight="1" s="108">
      <c r="A2365" s="18" t="inlineStr">
        <is>
          <t>Jeremy Dash</t>
        </is>
      </c>
      <c r="B2365" s="18" t="n">
        <v>1</v>
      </c>
      <c r="C2365" s="18" t="n">
        <v>2010</v>
      </c>
      <c r="D2365" s="18" t="n">
        <v>2010</v>
      </c>
      <c r="E2365" s="18" t="inlineStr">
        <is>
          <t>Cop Out</t>
        </is>
      </c>
      <c r="F2365" s="18" t="inlineStr">
        <is>
          <t>F0069</t>
        </is>
      </c>
    </row>
    <row r="2366" ht="15.75" customHeight="1" s="108">
      <c r="A2366" s="18" t="inlineStr">
        <is>
          <t>Jessica Hynes</t>
        </is>
      </c>
      <c r="B2366" s="18" t="n">
        <v>1</v>
      </c>
      <c r="C2366" s="18" t="n">
        <v>2004</v>
      </c>
      <c r="D2366" s="18" t="n">
        <v>2004</v>
      </c>
      <c r="E2366" s="18" t="inlineStr">
        <is>
          <t>Shaun of the Dead</t>
        </is>
      </c>
      <c r="F2366" s="18" t="inlineStr">
        <is>
          <t>F0070</t>
        </is>
      </c>
    </row>
    <row r="2367" ht="15.75" customHeight="1" s="108">
      <c r="A2367" s="18" t="inlineStr">
        <is>
          <t>Peter Serafinowicz</t>
        </is>
      </c>
      <c r="B2367" s="18" t="n">
        <v>5</v>
      </c>
      <c r="C2367" s="18" t="n">
        <v>2004</v>
      </c>
      <c r="D2367" s="18" t="n">
        <v>2017</v>
      </c>
      <c r="E2367" s="18" t="inlineStr">
        <is>
          <t xml:space="preserve">Shaun of the Dead, Sing, Spy, john wick chapter 2, john wick chapter 2 </t>
        </is>
      </c>
      <c r="F2367" s="18" t="inlineStr">
        <is>
          <t>F0070, F0280, F0290, F0375</t>
        </is>
      </c>
    </row>
    <row r="2368" ht="15.75" customHeight="1" s="108">
      <c r="A2368" s="18" t="inlineStr">
        <is>
          <t>Reece Shearsmith</t>
        </is>
      </c>
      <c r="B2368" s="18" t="n">
        <v>2</v>
      </c>
      <c r="C2368" s="18" t="n">
        <v>2004</v>
      </c>
      <c r="D2368" s="18" t="n">
        <v>2013</v>
      </c>
      <c r="E2368" s="18" t="inlineStr">
        <is>
          <t>Shaun of the Dead, The World's End</t>
        </is>
      </c>
      <c r="F2368" s="18" t="inlineStr">
        <is>
          <t>F0070, F0072</t>
        </is>
      </c>
    </row>
    <row r="2369" ht="15.75" customHeight="1" s="108">
      <c r="A2369" s="18" t="inlineStr">
        <is>
          <t>Tamsin Greig</t>
        </is>
      </c>
      <c r="B2369" s="18" t="n">
        <v>1</v>
      </c>
      <c r="C2369" s="18" t="n">
        <v>2004</v>
      </c>
      <c r="D2369" s="18" t="n">
        <v>2004</v>
      </c>
      <c r="E2369" s="18" t="inlineStr">
        <is>
          <t>Shaun of the Dead</t>
        </is>
      </c>
      <c r="F2369" s="18" t="inlineStr">
        <is>
          <t>F0070</t>
        </is>
      </c>
    </row>
    <row r="2370" ht="15.75" customHeight="1" s="108">
      <c r="A2370" s="18" t="inlineStr">
        <is>
          <t>Julia Deakin</t>
        </is>
      </c>
      <c r="B2370" s="18" t="n">
        <v>2</v>
      </c>
      <c r="C2370" s="18" t="n">
        <v>2004</v>
      </c>
      <c r="D2370" s="18" t="n">
        <v>2007</v>
      </c>
      <c r="E2370" s="18" t="inlineStr">
        <is>
          <t>Shaun of the Dead, Hot Fuzz</t>
        </is>
      </c>
      <c r="F2370" s="18" t="inlineStr">
        <is>
          <t>F0070, F0071</t>
        </is>
      </c>
    </row>
    <row r="2371" ht="15.75" customHeight="1" s="108">
      <c r="A2371" s="18" t="inlineStr">
        <is>
          <t>Steve Emerson</t>
        </is>
      </c>
      <c r="B2371" s="18" t="n">
        <v>1</v>
      </c>
      <c r="C2371" s="18" t="n">
        <v>2004</v>
      </c>
      <c r="D2371" s="18" t="n">
        <v>2004</v>
      </c>
      <c r="E2371" s="18" t="inlineStr">
        <is>
          <t>Shaun of the Dead</t>
        </is>
      </c>
      <c r="F2371" s="18" t="inlineStr">
        <is>
          <t>F0070</t>
        </is>
      </c>
    </row>
    <row r="2372" ht="15.75" customHeight="1" s="108">
      <c r="A2372" s="18" t="inlineStr">
        <is>
          <t>Nicola Cunningham</t>
        </is>
      </c>
      <c r="B2372" s="18" t="n">
        <v>1</v>
      </c>
      <c r="C2372" s="18" t="n">
        <v>2004</v>
      </c>
      <c r="D2372" s="18" t="n">
        <v>2004</v>
      </c>
      <c r="E2372" s="18" t="inlineStr">
        <is>
          <t>Shaun of the Dead</t>
        </is>
      </c>
      <c r="F2372" s="18" t="inlineStr">
        <is>
          <t>F0070</t>
        </is>
      </c>
    </row>
    <row r="2373" ht="15.75" customHeight="1" s="108">
      <c r="A2373" s="18" t="inlineStr">
        <is>
          <t>Arvind Doshi</t>
        </is>
      </c>
      <c r="B2373" s="18" t="n">
        <v>1</v>
      </c>
      <c r="C2373" s="18" t="n">
        <v>2004</v>
      </c>
      <c r="D2373" s="18" t="n">
        <v>2004</v>
      </c>
      <c r="E2373" s="18" t="inlineStr">
        <is>
          <t>Shaun of the Dead</t>
        </is>
      </c>
      <c r="F2373" s="18" t="inlineStr">
        <is>
          <t>F0070</t>
        </is>
      </c>
    </row>
    <row r="2374" ht="15.75" customHeight="1" s="108">
      <c r="A2374" s="18" t="inlineStr">
        <is>
          <t>Stuart Powell</t>
        </is>
      </c>
      <c r="B2374" s="18" t="n">
        <v>1</v>
      </c>
      <c r="C2374" s="18" t="n">
        <v>2004</v>
      </c>
      <c r="D2374" s="18" t="n">
        <v>2004</v>
      </c>
      <c r="E2374" s="18" t="inlineStr">
        <is>
          <t>Shaun of the Dead</t>
        </is>
      </c>
      <c r="F2374" s="18" t="inlineStr">
        <is>
          <t>F0070</t>
        </is>
      </c>
    </row>
    <row r="2375" ht="15.75" customHeight="1" s="108">
      <c r="A2375" s="18" t="inlineStr">
        <is>
          <t>Phyllis MacMahon</t>
        </is>
      </c>
      <c r="B2375" s="18" t="n">
        <v>1</v>
      </c>
      <c r="C2375" s="18" t="n">
        <v>2004</v>
      </c>
      <c r="D2375" s="18" t="n">
        <v>2004</v>
      </c>
      <c r="E2375" s="18" t="inlineStr">
        <is>
          <t>Shaun of the Dead</t>
        </is>
      </c>
      <c r="F2375" s="18" t="inlineStr">
        <is>
          <t>F0070</t>
        </is>
      </c>
    </row>
    <row r="2376" ht="15.75" customHeight="1" s="108">
      <c r="A2376" s="18" t="inlineStr">
        <is>
          <t>Patricia Franklin</t>
        </is>
      </c>
      <c r="B2376" s="18" t="n">
        <v>2</v>
      </c>
      <c r="C2376" s="18" t="n">
        <v>2004</v>
      </c>
      <c r="D2376" s="18" t="n">
        <v>2007</v>
      </c>
      <c r="E2376" s="18" t="inlineStr">
        <is>
          <t>Shaun of the Dead, Hot Fuzz</t>
        </is>
      </c>
      <c r="F2376" s="18" t="inlineStr">
        <is>
          <t>F0070, F0071</t>
        </is>
      </c>
    </row>
    <row r="2377" ht="15.75" customHeight="1" s="108">
      <c r="A2377" s="18" t="inlineStr">
        <is>
          <t>Mark Donovan</t>
        </is>
      </c>
      <c r="B2377" s="18" t="n">
        <v>1</v>
      </c>
      <c r="C2377" s="18" t="n">
        <v>2004</v>
      </c>
      <c r="D2377" s="18" t="n">
        <v>2004</v>
      </c>
      <c r="E2377" s="18" t="inlineStr">
        <is>
          <t>Shaun of the Dead</t>
        </is>
      </c>
      <c r="F2377" s="18" t="inlineStr">
        <is>
          <t>F0070</t>
        </is>
      </c>
    </row>
    <row r="2378" ht="15.75" customHeight="1" s="108">
      <c r="A2378" s="18" t="inlineStr">
        <is>
          <t>Jon Buckland</t>
        </is>
      </c>
      <c r="B2378" s="18" t="n">
        <v>1</v>
      </c>
      <c r="C2378" s="18" t="n">
        <v>2004</v>
      </c>
      <c r="D2378" s="18" t="n">
        <v>2004</v>
      </c>
      <c r="E2378" s="18" t="inlineStr">
        <is>
          <t>Shaun of the Dead</t>
        </is>
      </c>
      <c r="F2378" s="18" t="inlineStr">
        <is>
          <t>F0070</t>
        </is>
      </c>
    </row>
    <row r="2379" ht="15.75" customHeight="1" s="108">
      <c r="A2379" s="18" t="inlineStr">
        <is>
          <t>Vernon Kay</t>
        </is>
      </c>
      <c r="B2379" s="18" t="n">
        <v>1</v>
      </c>
      <c r="C2379" s="18" t="n">
        <v>2004</v>
      </c>
      <c r="D2379" s="18" t="n">
        <v>2004</v>
      </c>
      <c r="E2379" s="18" t="inlineStr">
        <is>
          <t>Shaun of the Dead</t>
        </is>
      </c>
      <c r="F2379" s="18" t="inlineStr">
        <is>
          <t>F0070</t>
        </is>
      </c>
    </row>
    <row r="2380" ht="15.75" customHeight="1" s="108">
      <c r="A2380" s="18" t="inlineStr">
        <is>
          <t>Trisha Goddard</t>
        </is>
      </c>
      <c r="B2380" s="18" t="n">
        <v>1</v>
      </c>
      <c r="C2380" s="18" t="n">
        <v>2004</v>
      </c>
      <c r="D2380" s="18" t="n">
        <v>2004</v>
      </c>
      <c r="E2380" s="18" t="inlineStr">
        <is>
          <t>Shaun of the Dead</t>
        </is>
      </c>
      <c r="F2380" s="18" t="inlineStr">
        <is>
          <t>F0070</t>
        </is>
      </c>
    </row>
    <row r="2381" ht="15.75" customHeight="1" s="108">
      <c r="A2381" s="18" t="inlineStr">
        <is>
          <t>Jeremy Thompson</t>
        </is>
      </c>
      <c r="B2381" s="18" t="n">
        <v>1</v>
      </c>
      <c r="C2381" s="18" t="n">
        <v>2004</v>
      </c>
      <c r="D2381" s="18" t="n">
        <v>2004</v>
      </c>
      <c r="E2381" s="18" t="inlineStr">
        <is>
          <t>Shaun of the Dead</t>
        </is>
      </c>
      <c r="F2381" s="18" t="inlineStr">
        <is>
          <t>F0070</t>
        </is>
      </c>
    </row>
    <row r="2382" ht="15.75" customHeight="1" s="108">
      <c r="A2382" s="18" t="inlineStr">
        <is>
          <t>Carol Barnes</t>
        </is>
      </c>
      <c r="B2382" s="18" t="n">
        <v>1</v>
      </c>
      <c r="C2382" s="18" t="n">
        <v>2004</v>
      </c>
      <c r="D2382" s="18" t="n">
        <v>2004</v>
      </c>
      <c r="E2382" s="18" t="inlineStr">
        <is>
          <t>Shaun of the Dead</t>
        </is>
      </c>
      <c r="F2382" s="18" t="inlineStr">
        <is>
          <t>F0070</t>
        </is>
      </c>
    </row>
    <row r="2383" ht="15.75" customHeight="1" s="108">
      <c r="A2383" s="18" t="inlineStr">
        <is>
          <t>Krishnan Guru-Murthy</t>
        </is>
      </c>
      <c r="B2383" s="18" t="n">
        <v>1</v>
      </c>
      <c r="C2383" s="18" t="n">
        <v>2004</v>
      </c>
      <c r="D2383" s="18" t="n">
        <v>2004</v>
      </c>
      <c r="E2383" s="18" t="inlineStr">
        <is>
          <t>Shaun of the Dead</t>
        </is>
      </c>
      <c r="F2383" s="18" t="inlineStr">
        <is>
          <t>F0070</t>
        </is>
      </c>
    </row>
    <row r="2384" ht="15.75" customHeight="1" s="108">
      <c r="A2384" s="18" t="inlineStr">
        <is>
          <t>Rob Butler</t>
        </is>
      </c>
      <c r="B2384" s="18" t="n">
        <v>1</v>
      </c>
      <c r="C2384" s="18" t="n">
        <v>2004</v>
      </c>
      <c r="D2384" s="18" t="n">
        <v>2004</v>
      </c>
      <c r="E2384" s="18" t="inlineStr">
        <is>
          <t>Shaun of the Dead</t>
        </is>
      </c>
      <c r="F2384" s="18" t="inlineStr">
        <is>
          <t>F0070</t>
        </is>
      </c>
    </row>
    <row r="2385" ht="15.75" customHeight="1" s="108">
      <c r="A2385" s="18" t="inlineStr">
        <is>
          <t>Kevin Eldon</t>
        </is>
      </c>
      <c r="B2385" s="18" t="n">
        <v>1</v>
      </c>
      <c r="C2385" s="18" t="n">
        <v>2007</v>
      </c>
      <c r="D2385" s="18" t="n">
        <v>2007</v>
      </c>
      <c r="E2385" s="18" t="inlineStr">
        <is>
          <t>Hot Fuzz</t>
        </is>
      </c>
      <c r="F2385" s="18" t="inlineStr">
        <is>
          <t>F0071</t>
        </is>
      </c>
    </row>
    <row r="2386" ht="15.75" customHeight="1" s="108">
      <c r="A2386" s="18" t="inlineStr">
        <is>
          <t>Olivia Colman</t>
        </is>
      </c>
      <c r="B2386" s="18" t="n">
        <v>2</v>
      </c>
      <c r="C2386" s="18" t="n">
        <v>2007</v>
      </c>
      <c r="D2386" s="18" t="n">
        <v>2023</v>
      </c>
      <c r="E2386" s="18" t="inlineStr">
        <is>
          <t>Hot Fuzz, Wonka</t>
        </is>
      </c>
      <c r="F2386" s="18" t="inlineStr">
        <is>
          <t>F0071, F0338</t>
        </is>
      </c>
    </row>
    <row r="2387" ht="15.75" customHeight="1" s="108">
      <c r="A2387" s="18" t="inlineStr">
        <is>
          <t>Bill Bailey</t>
        </is>
      </c>
      <c r="B2387" s="18" t="n">
        <v>1</v>
      </c>
      <c r="C2387" s="18" t="n">
        <v>2007</v>
      </c>
      <c r="D2387" s="18" t="n">
        <v>2007</v>
      </c>
      <c r="E2387" s="18" t="inlineStr">
        <is>
          <t>Hot Fuzz</t>
        </is>
      </c>
      <c r="F2387" s="18" t="inlineStr">
        <is>
          <t>F0071</t>
        </is>
      </c>
    </row>
    <row r="2388" ht="15.75" customHeight="1" s="108">
      <c r="A2388" s="18" t="inlineStr">
        <is>
          <t>Karl Johnson</t>
        </is>
      </c>
      <c r="B2388" s="18" t="n">
        <v>1</v>
      </c>
      <c r="C2388" s="18" t="n">
        <v>2007</v>
      </c>
      <c r="D2388" s="18" t="n">
        <v>2007</v>
      </c>
      <c r="E2388" s="18" t="inlineStr">
        <is>
          <t>Hot Fuzz</t>
        </is>
      </c>
      <c r="F2388" s="18" t="inlineStr">
        <is>
          <t>F0071</t>
        </is>
      </c>
    </row>
    <row r="2389" ht="15.75" customHeight="1" s="108">
      <c r="A2389" s="18" t="inlineStr">
        <is>
          <t>Timothy Dalton</t>
        </is>
      </c>
      <c r="B2389" s="18" t="n">
        <v>2</v>
      </c>
      <c r="C2389" s="18" t="n">
        <v>2007</v>
      </c>
      <c r="D2389" s="18" t="n">
        <v>2010</v>
      </c>
      <c r="E2389" s="18" t="inlineStr">
        <is>
          <t>Hot Fuzz, Toy Story 3</t>
        </is>
      </c>
      <c r="F2389" s="18" t="inlineStr">
        <is>
          <t>F0071, F0314</t>
        </is>
      </c>
    </row>
    <row r="2390" ht="15.75" customHeight="1" s="108">
      <c r="A2390" s="18" t="inlineStr">
        <is>
          <t>Edward Woodward</t>
        </is>
      </c>
      <c r="B2390" s="18" t="n">
        <v>1</v>
      </c>
      <c r="C2390" s="18" t="n">
        <v>2007</v>
      </c>
      <c r="D2390" s="18" t="n">
        <v>2007</v>
      </c>
      <c r="E2390" s="18" t="inlineStr">
        <is>
          <t>Hot Fuzz</t>
        </is>
      </c>
      <c r="F2390" s="18" t="inlineStr">
        <is>
          <t>F0071</t>
        </is>
      </c>
    </row>
    <row r="2391" ht="15.75" customHeight="1" s="108">
      <c r="A2391" s="18" t="inlineStr">
        <is>
          <t>Billie Whitelaw</t>
        </is>
      </c>
      <c r="B2391" s="18" t="n">
        <v>1</v>
      </c>
      <c r="C2391" s="18" t="n">
        <v>2007</v>
      </c>
      <c r="D2391" s="18" t="n">
        <v>2007</v>
      </c>
      <c r="E2391" s="18" t="inlineStr">
        <is>
          <t>Hot Fuzz</t>
        </is>
      </c>
      <c r="F2391" s="18" t="inlineStr">
        <is>
          <t>F0071</t>
        </is>
      </c>
    </row>
    <row r="2392" ht="15.75" customHeight="1" s="108">
      <c r="A2392" s="18" t="inlineStr">
        <is>
          <t>Stuart Wilson</t>
        </is>
      </c>
      <c r="B2392" s="18" t="n">
        <v>2</v>
      </c>
      <c r="C2392" s="18" t="n">
        <v>1998</v>
      </c>
      <c r="D2392" s="18" t="n">
        <v>2007</v>
      </c>
      <c r="E2392" s="18" t="inlineStr">
        <is>
          <t>Hot Fuzz, Enemy of the State</t>
        </is>
      </c>
      <c r="F2392" s="18" t="inlineStr">
        <is>
          <t>F0071, F0094</t>
        </is>
      </c>
    </row>
    <row r="2393" ht="15.75" customHeight="1" s="108">
      <c r="A2393" s="18" t="inlineStr">
        <is>
          <t>Paul Freeman</t>
        </is>
      </c>
      <c r="B2393" s="18" t="n">
        <v>1</v>
      </c>
      <c r="C2393" s="18" t="n">
        <v>2007</v>
      </c>
      <c r="D2393" s="18" t="n">
        <v>2007</v>
      </c>
      <c r="E2393" s="18" t="inlineStr">
        <is>
          <t>Hot Fuzz</t>
        </is>
      </c>
      <c r="F2393" s="18" t="inlineStr">
        <is>
          <t>F0071</t>
        </is>
      </c>
    </row>
    <row r="2394" ht="15.75" customHeight="1" s="108">
      <c r="A2394" s="18" t="inlineStr">
        <is>
          <t>Kenneth Cranham</t>
        </is>
      </c>
      <c r="B2394" s="18" t="n">
        <v>3</v>
      </c>
      <c r="C2394" s="18" t="n">
        <v>2007</v>
      </c>
      <c r="D2394" s="18" t="n">
        <v>2014</v>
      </c>
      <c r="E2394" s="18" t="inlineStr">
        <is>
          <t>Hot Fuzz, The Legend of Hercules, Maleficent</t>
        </is>
      </c>
      <c r="F2394" s="18" t="inlineStr">
        <is>
          <t>F0071, F0148, F0208</t>
        </is>
      </c>
    </row>
    <row r="2395" ht="15.75" customHeight="1" s="108">
      <c r="A2395" s="18" t="inlineStr">
        <is>
          <t>Maria Charles</t>
        </is>
      </c>
      <c r="B2395" s="18" t="n">
        <v>1</v>
      </c>
      <c r="C2395" s="18" t="n">
        <v>2007</v>
      </c>
      <c r="D2395" s="18" t="n">
        <v>2007</v>
      </c>
      <c r="E2395" s="18" t="inlineStr">
        <is>
          <t>Hot Fuzz</t>
        </is>
      </c>
      <c r="F2395" s="18" t="inlineStr">
        <is>
          <t>F0071</t>
        </is>
      </c>
    </row>
    <row r="2396" ht="15.75" customHeight="1" s="108">
      <c r="A2396" s="18" t="inlineStr">
        <is>
          <t>Peter Wight</t>
        </is>
      </c>
      <c r="B2396" s="18" t="n">
        <v>1</v>
      </c>
      <c r="C2396" s="18" t="n">
        <v>2007</v>
      </c>
      <c r="D2396" s="18" t="n">
        <v>2007</v>
      </c>
      <c r="E2396" s="18" t="inlineStr">
        <is>
          <t>Hot Fuzz</t>
        </is>
      </c>
      <c r="F2396" s="18" t="inlineStr">
        <is>
          <t>F0071</t>
        </is>
      </c>
    </row>
    <row r="2397" ht="15.75" customHeight="1" s="108">
      <c r="A2397" s="18" t="inlineStr">
        <is>
          <t>Eric Mason</t>
        </is>
      </c>
      <c r="B2397" s="18" t="n">
        <v>1</v>
      </c>
      <c r="C2397" s="18" t="n">
        <v>2007</v>
      </c>
      <c r="D2397" s="18" t="n">
        <v>2007</v>
      </c>
      <c r="E2397" s="18" t="inlineStr">
        <is>
          <t>Hot Fuzz</t>
        </is>
      </c>
      <c r="F2397" s="18" t="inlineStr">
        <is>
          <t>F0071</t>
        </is>
      </c>
    </row>
    <row r="2398" ht="15.75" customHeight="1" s="108">
      <c r="A2398" s="18" t="inlineStr">
        <is>
          <t>Trevor Nichols</t>
        </is>
      </c>
      <c r="B2398" s="18" t="n">
        <v>1</v>
      </c>
      <c r="C2398" s="18" t="n">
        <v>2007</v>
      </c>
      <c r="D2398" s="18" t="n">
        <v>2007</v>
      </c>
      <c r="E2398" s="18" t="inlineStr">
        <is>
          <t>Hot Fuzz</t>
        </is>
      </c>
      <c r="F2398" s="18" t="inlineStr">
        <is>
          <t>F0071</t>
        </is>
      </c>
    </row>
    <row r="2399" ht="15.75" customHeight="1" s="108">
      <c r="A2399" s="18" t="inlineStr">
        <is>
          <t>Elizabeth Elvin</t>
        </is>
      </c>
      <c r="B2399" s="18" t="n">
        <v>1</v>
      </c>
      <c r="C2399" s="18" t="n">
        <v>2007</v>
      </c>
      <c r="D2399" s="18" t="n">
        <v>2007</v>
      </c>
      <c r="E2399" s="18" t="inlineStr">
        <is>
          <t>Hot Fuzz</t>
        </is>
      </c>
      <c r="F2399" s="18" t="inlineStr">
        <is>
          <t>F0071</t>
        </is>
      </c>
    </row>
    <row r="2400" ht="15.75" customHeight="1" s="108">
      <c r="A2400" s="18" t="inlineStr">
        <is>
          <t>Lorraine Hilton</t>
        </is>
      </c>
      <c r="B2400" s="18" t="n">
        <v>1</v>
      </c>
      <c r="C2400" s="18" t="n">
        <v>2007</v>
      </c>
      <c r="D2400" s="18" t="n">
        <v>2007</v>
      </c>
      <c r="E2400" s="18" t="inlineStr">
        <is>
          <t>Hot Fuzz</t>
        </is>
      </c>
      <c r="F2400" s="18" t="inlineStr">
        <is>
          <t>F0071</t>
        </is>
      </c>
    </row>
    <row r="2401" ht="15.75" customHeight="1" s="108">
      <c r="A2401" s="18" t="inlineStr">
        <is>
          <t>Tim Barlow</t>
        </is>
      </c>
      <c r="B2401" s="18" t="n">
        <v>1</v>
      </c>
      <c r="C2401" s="18" t="n">
        <v>2007</v>
      </c>
      <c r="D2401" s="18" t="n">
        <v>2007</v>
      </c>
      <c r="E2401" s="18" t="inlineStr">
        <is>
          <t>Hot Fuzz</t>
        </is>
      </c>
      <c r="F2401" s="18" t="inlineStr">
        <is>
          <t>F0071</t>
        </is>
      </c>
    </row>
    <row r="2402" ht="15.75" customHeight="1" s="108">
      <c r="A2402" s="18" t="inlineStr">
        <is>
          <t>Anne Reid</t>
        </is>
      </c>
      <c r="B2402" s="18" t="n">
        <v>1</v>
      </c>
      <c r="C2402" s="18" t="n">
        <v>2007</v>
      </c>
      <c r="D2402" s="18" t="n">
        <v>2007</v>
      </c>
      <c r="E2402" s="18" t="inlineStr">
        <is>
          <t>Hot Fuzz</t>
        </is>
      </c>
      <c r="F2402" s="18" t="inlineStr">
        <is>
          <t>F0071</t>
        </is>
      </c>
    </row>
    <row r="2403" ht="15.75" customHeight="1" s="108">
      <c r="A2403" s="18" t="inlineStr">
        <is>
          <t>David Threlfall</t>
        </is>
      </c>
      <c r="B2403" s="18" t="n">
        <v>1</v>
      </c>
      <c r="C2403" s="18" t="n">
        <v>2007</v>
      </c>
      <c r="D2403" s="18" t="n">
        <v>2007</v>
      </c>
      <c r="E2403" s="18" t="inlineStr">
        <is>
          <t>Hot Fuzz</t>
        </is>
      </c>
      <c r="F2403" s="18" t="inlineStr">
        <is>
          <t>F0071</t>
        </is>
      </c>
    </row>
    <row r="2404" ht="15.75" customHeight="1" s="108">
      <c r="A2404" s="18" t="inlineStr">
        <is>
          <t>David Bradley</t>
        </is>
      </c>
      <c r="B2404" s="18" t="n">
        <v>10</v>
      </c>
      <c r="C2404" s="18" t="n">
        <v>2001</v>
      </c>
      <c r="D2404" s="18" t="n">
        <v>2013</v>
      </c>
      <c r="E2404" s="18" t="inlineStr">
        <is>
          <t>Hot Fuzz, The World's End, Harry Potter and the Philosopher's Stone, Harry Potter and the Chamber of Secrets, Harry Potter and the Prisoner of Azkaban, Harry Potter and the Goblet of Fire, Harry Potter and the Order of the Phoenix, Harry Potter and the Half-Blood Prince, Harry Potter and the Deathly Hallows: Part 2, Hummingbird</t>
        </is>
      </c>
      <c r="F2404" s="18" t="inlineStr">
        <is>
          <t>F0071, F0072, F0137, F0138, F0139, F0140, F0141, F0142, F0144, F0156</t>
        </is>
      </c>
    </row>
    <row r="2405" ht="15.75" customHeight="1" s="108">
      <c r="A2405" s="18" t="inlineStr">
        <is>
          <t>Michael Smiley</t>
        </is>
      </c>
      <c r="B2405" s="18" t="n">
        <v>1</v>
      </c>
      <c r="C2405" s="18" t="n">
        <v>2013</v>
      </c>
      <c r="D2405" s="18" t="n">
        <v>2013</v>
      </c>
      <c r="E2405" s="18" t="inlineStr">
        <is>
          <t>The World's End</t>
        </is>
      </c>
      <c r="F2405" s="18" t="inlineStr">
        <is>
          <t>F0072</t>
        </is>
      </c>
    </row>
    <row r="2406" ht="15.75" customHeight="1" s="108">
      <c r="A2406" s="18" t="inlineStr">
        <is>
          <t>Steve Oram</t>
        </is>
      </c>
      <c r="B2406" s="18" t="n">
        <v>1</v>
      </c>
      <c r="C2406" s="18" t="n">
        <v>2013</v>
      </c>
      <c r="D2406" s="18" t="n">
        <v>2013</v>
      </c>
      <c r="E2406" s="18" t="inlineStr">
        <is>
          <t>The World's End</t>
        </is>
      </c>
      <c r="F2406" s="18" t="inlineStr">
        <is>
          <t>F0072</t>
        </is>
      </c>
    </row>
    <row r="2407" ht="15.75" customHeight="1" s="108">
      <c r="A2407" s="18" t="inlineStr">
        <is>
          <t>Nicholas Burns</t>
        </is>
      </c>
      <c r="B2407" s="18" t="n">
        <v>1</v>
      </c>
      <c r="C2407" s="18" t="n">
        <v>2013</v>
      </c>
      <c r="D2407" s="18" t="n">
        <v>2013</v>
      </c>
      <c r="E2407" s="18" t="inlineStr">
        <is>
          <t>The World's End</t>
        </is>
      </c>
      <c r="F2407" s="18" t="inlineStr">
        <is>
          <t>F0072</t>
        </is>
      </c>
    </row>
    <row r="2408" ht="15.75" customHeight="1" s="108">
      <c r="A2408" s="18" t="inlineStr">
        <is>
          <t>Thomas Law</t>
        </is>
      </c>
      <c r="B2408" s="18" t="n">
        <v>1</v>
      </c>
      <c r="C2408" s="18" t="n">
        <v>2013</v>
      </c>
      <c r="D2408" s="18" t="n">
        <v>2013</v>
      </c>
      <c r="E2408" s="18" t="inlineStr">
        <is>
          <t>The World's End</t>
        </is>
      </c>
      <c r="F2408" s="18" t="inlineStr">
        <is>
          <t>F0072</t>
        </is>
      </c>
    </row>
    <row r="2409" ht="15.75" customHeight="1" s="108">
      <c r="A2409" s="18" t="inlineStr">
        <is>
          <t>Zachary Bailess</t>
        </is>
      </c>
      <c r="B2409" s="18" t="n">
        <v>1</v>
      </c>
      <c r="C2409" s="18" t="n">
        <v>2013</v>
      </c>
      <c r="D2409" s="18" t="n">
        <v>2013</v>
      </c>
      <c r="E2409" s="18" t="inlineStr">
        <is>
          <t>The World's End</t>
        </is>
      </c>
      <c r="F2409" s="18" t="inlineStr">
        <is>
          <t>F0072</t>
        </is>
      </c>
    </row>
    <row r="2410" ht="15.75" customHeight="1" s="108">
      <c r="A2410" s="18" t="inlineStr">
        <is>
          <t>Jasper Levine</t>
        </is>
      </c>
      <c r="B2410" s="18" t="n">
        <v>1</v>
      </c>
      <c r="C2410" s="18" t="n">
        <v>2013</v>
      </c>
      <c r="D2410" s="18" t="n">
        <v>2013</v>
      </c>
      <c r="E2410" s="18" t="inlineStr">
        <is>
          <t>The World's End</t>
        </is>
      </c>
      <c r="F2410" s="18" t="inlineStr">
        <is>
          <t>F0072</t>
        </is>
      </c>
    </row>
    <row r="2411" ht="15.75" customHeight="1" s="108">
      <c r="A2411" s="18" t="inlineStr">
        <is>
          <t>James Tarpey</t>
        </is>
      </c>
      <c r="B2411" s="18" t="n">
        <v>1</v>
      </c>
      <c r="C2411" s="18" t="n">
        <v>2013</v>
      </c>
      <c r="D2411" s="18" t="n">
        <v>2013</v>
      </c>
      <c r="E2411" s="18" t="inlineStr">
        <is>
          <t>The World's End</t>
        </is>
      </c>
      <c r="F2411" s="18" t="inlineStr">
        <is>
          <t>F0072</t>
        </is>
      </c>
    </row>
    <row r="2412" ht="15.75" customHeight="1" s="108">
      <c r="A2412" s="18" t="inlineStr">
        <is>
          <t>Luke Bromley</t>
        </is>
      </c>
      <c r="B2412" s="18" t="n">
        <v>1</v>
      </c>
      <c r="C2412" s="18" t="n">
        <v>2013</v>
      </c>
      <c r="D2412" s="18" t="n">
        <v>2013</v>
      </c>
      <c r="E2412" s="18" t="inlineStr">
        <is>
          <t>The World's End</t>
        </is>
      </c>
      <c r="F2412" s="18" t="inlineStr">
        <is>
          <t>F0072</t>
        </is>
      </c>
    </row>
    <row r="2413" ht="15.75" customHeight="1" s="108">
      <c r="A2413" s="18" t="inlineStr">
        <is>
          <t>Sophie Evans</t>
        </is>
      </c>
      <c r="B2413" s="18" t="n">
        <v>1</v>
      </c>
      <c r="C2413" s="18" t="n">
        <v>2013</v>
      </c>
      <c r="D2413" s="18" t="n">
        <v>2013</v>
      </c>
      <c r="E2413" s="18" t="inlineStr">
        <is>
          <t>The World's End</t>
        </is>
      </c>
      <c r="F2413" s="18" t="inlineStr">
        <is>
          <t>F0072</t>
        </is>
      </c>
    </row>
    <row r="2414" ht="15.75" customHeight="1" s="108">
      <c r="A2414" s="18" t="inlineStr">
        <is>
          <t>Samantha White</t>
        </is>
      </c>
      <c r="B2414" s="18" t="n">
        <v>1</v>
      </c>
      <c r="C2414" s="18" t="n">
        <v>2013</v>
      </c>
      <c r="D2414" s="18" t="n">
        <v>2013</v>
      </c>
      <c r="E2414" s="18" t="inlineStr">
        <is>
          <t>The World's End</t>
        </is>
      </c>
      <c r="F2414" s="18" t="inlineStr">
        <is>
          <t>F0072</t>
        </is>
      </c>
    </row>
    <row r="2415" ht="15.75" customHeight="1" s="108">
      <c r="A2415" s="18" t="inlineStr">
        <is>
          <t>Rose Reynolds</t>
        </is>
      </c>
      <c r="B2415" s="18" t="n">
        <v>1</v>
      </c>
      <c r="C2415" s="18" t="n">
        <v>2013</v>
      </c>
      <c r="D2415" s="18" t="n">
        <v>2013</v>
      </c>
      <c r="E2415" s="18" t="inlineStr">
        <is>
          <t>The World's End</t>
        </is>
      </c>
      <c r="F2415" s="18" t="inlineStr">
        <is>
          <t>F0072</t>
        </is>
      </c>
    </row>
    <row r="2416" ht="15.75" customHeight="1" s="108">
      <c r="A2416" s="18" t="inlineStr">
        <is>
          <t>Richard Hadfield</t>
        </is>
      </c>
      <c r="B2416" s="18" t="n">
        <v>1</v>
      </c>
      <c r="C2416" s="18" t="n">
        <v>2013</v>
      </c>
      <c r="D2416" s="18" t="n">
        <v>2013</v>
      </c>
      <c r="E2416" s="18" t="inlineStr">
        <is>
          <t>The World's End</t>
        </is>
      </c>
      <c r="F2416" s="18" t="inlineStr">
        <is>
          <t>F0072</t>
        </is>
      </c>
    </row>
    <row r="2417" ht="15.75" customHeight="1" s="108">
      <c r="A2417" s="18" t="inlineStr">
        <is>
          <t>Flora Slorach</t>
        </is>
      </c>
      <c r="B2417" s="18" t="n">
        <v>1</v>
      </c>
      <c r="C2417" s="18" t="n">
        <v>2013</v>
      </c>
      <c r="D2417" s="18" t="n">
        <v>2013</v>
      </c>
      <c r="E2417" s="18" t="inlineStr">
        <is>
          <t>The World's End</t>
        </is>
      </c>
      <c r="F2417" s="18" t="inlineStr">
        <is>
          <t>F0072</t>
        </is>
      </c>
    </row>
    <row r="2418" ht="15.75" customHeight="1" s="108">
      <c r="A2418" s="18" t="inlineStr">
        <is>
          <t>Francesca Reidie</t>
        </is>
      </c>
      <c r="B2418" s="18" t="n">
        <v>1</v>
      </c>
      <c r="C2418" s="18" t="n">
        <v>2013</v>
      </c>
      <c r="D2418" s="18" t="n">
        <v>2013</v>
      </c>
      <c r="E2418" s="18" t="inlineStr">
        <is>
          <t>The World's End</t>
        </is>
      </c>
      <c r="F2418" s="18" t="inlineStr">
        <is>
          <t>F0072</t>
        </is>
      </c>
    </row>
    <row r="2419" ht="15.75" customHeight="1" s="108">
      <c r="A2419" s="18" t="inlineStr">
        <is>
          <t>Charlotte Reidie</t>
        </is>
      </c>
      <c r="B2419" s="18" t="n">
        <v>1</v>
      </c>
      <c r="C2419" s="18" t="n">
        <v>2013</v>
      </c>
      <c r="D2419" s="18" t="n">
        <v>2013</v>
      </c>
      <c r="E2419" s="18" t="inlineStr">
        <is>
          <t>The World's End</t>
        </is>
      </c>
      <c r="F2419" s="18" t="inlineStr">
        <is>
          <t>F0072</t>
        </is>
      </c>
    </row>
    <row r="2420" ht="15.75" customHeight="1" s="108">
      <c r="A2420" s="18" t="inlineStr">
        <is>
          <t>Alex Austin</t>
        </is>
      </c>
      <c r="B2420" s="18" t="n">
        <v>1</v>
      </c>
      <c r="C2420" s="18" t="n">
        <v>2013</v>
      </c>
      <c r="D2420" s="18" t="n">
        <v>2013</v>
      </c>
      <c r="E2420" s="18" t="inlineStr">
        <is>
          <t>The World's End</t>
        </is>
      </c>
      <c r="F2420" s="18" t="inlineStr">
        <is>
          <t>F0072</t>
        </is>
      </c>
    </row>
    <row r="2421" ht="15.75" customHeight="1" s="108">
      <c r="A2421" s="18" t="inlineStr">
        <is>
          <t>Jonathan Aris</t>
        </is>
      </c>
      <c r="B2421" s="18" t="n">
        <v>3</v>
      </c>
      <c r="C2421" s="18" t="n">
        <v>2013</v>
      </c>
      <c r="D2421" s="18" t="n">
        <v>2016</v>
      </c>
      <c r="E2421" s="18" t="inlineStr">
        <is>
          <t>The World's End, The Martian, Rogue one</t>
        </is>
      </c>
      <c r="F2421" s="18" t="inlineStr">
        <is>
          <t>F0072, F0213, F0385</t>
        </is>
      </c>
    </row>
    <row r="2422" ht="15.75" customHeight="1" s="108">
      <c r="A2422" s="18" t="inlineStr">
        <is>
          <t>Jenny Bede</t>
        </is>
      </c>
      <c r="B2422" s="18" t="n">
        <v>1</v>
      </c>
      <c r="C2422" s="18" t="n">
        <v>2013</v>
      </c>
      <c r="D2422" s="18" t="n">
        <v>2013</v>
      </c>
      <c r="E2422" s="18" t="inlineStr">
        <is>
          <t>The World's End</t>
        </is>
      </c>
      <c r="F2422" s="18" t="inlineStr">
        <is>
          <t>F0072</t>
        </is>
      </c>
    </row>
    <row r="2423" ht="15.75" customHeight="1" s="108">
      <c r="A2423" s="18" t="inlineStr">
        <is>
          <t>Angie Wallis</t>
        </is>
      </c>
      <c r="B2423" s="18" t="n">
        <v>1</v>
      </c>
      <c r="C2423" s="18" t="n">
        <v>2013</v>
      </c>
      <c r="D2423" s="18" t="n">
        <v>2013</v>
      </c>
      <c r="E2423" s="18" t="inlineStr">
        <is>
          <t>The World's End</t>
        </is>
      </c>
      <c r="F2423" s="18" t="inlineStr">
        <is>
          <t>F0072</t>
        </is>
      </c>
    </row>
    <row r="2424" ht="15.75" customHeight="1" s="108">
      <c r="A2424" s="18" t="inlineStr">
        <is>
          <t>Noah Ringer</t>
        </is>
      </c>
      <c r="B2424" s="18" t="n">
        <v>1</v>
      </c>
      <c r="C2424" s="18" t="n">
        <v>2011</v>
      </c>
      <c r="D2424" s="18" t="n">
        <v>2011</v>
      </c>
      <c r="E2424" s="18" t="inlineStr">
        <is>
          <t>Cowboys &amp; Aliens</t>
        </is>
      </c>
      <c r="F2424" s="18" t="inlineStr">
        <is>
          <t>F0073</t>
        </is>
      </c>
    </row>
    <row r="2425" ht="15.75" customHeight="1" s="108">
      <c r="A2425" s="18" t="inlineStr">
        <is>
          <t>Keith Carradine</t>
        </is>
      </c>
      <c r="B2425" s="18" t="n">
        <v>1</v>
      </c>
      <c r="C2425" s="18" t="n">
        <v>2011</v>
      </c>
      <c r="D2425" s="18" t="n">
        <v>2011</v>
      </c>
      <c r="E2425" s="18" t="inlineStr">
        <is>
          <t>Cowboys &amp; Aliens</t>
        </is>
      </c>
      <c r="F2425" s="18" t="inlineStr">
        <is>
          <t>F0073</t>
        </is>
      </c>
    </row>
    <row r="2426" ht="15.75" customHeight="1" s="108">
      <c r="A2426" s="18" t="inlineStr">
        <is>
          <t>Abigail Spencer</t>
        </is>
      </c>
      <c r="B2426" s="18" t="n">
        <v>1</v>
      </c>
      <c r="C2426" s="18" t="n">
        <v>2011</v>
      </c>
      <c r="D2426" s="18" t="n">
        <v>2011</v>
      </c>
      <c r="E2426" s="18" t="inlineStr">
        <is>
          <t>Cowboys &amp; Aliens</t>
        </is>
      </c>
      <c r="F2426" s="18" t="inlineStr">
        <is>
          <t>F0073</t>
        </is>
      </c>
    </row>
    <row r="2427" ht="15.75" customHeight="1" s="108">
      <c r="A2427" s="18" t="inlineStr">
        <is>
          <t>Raoul Max Trujillo</t>
        </is>
      </c>
      <c r="B2427" s="18" t="n">
        <v>2</v>
      </c>
      <c r="C2427" s="18" t="n">
        <v>2011</v>
      </c>
      <c r="D2427" s="18" t="n">
        <v>2013</v>
      </c>
      <c r="E2427" s="18" t="inlineStr">
        <is>
          <t>Cowboys &amp; Aliens, Riddick</t>
        </is>
      </c>
      <c r="F2427" s="18" t="inlineStr">
        <is>
          <t>F0073, F0264</t>
        </is>
      </c>
    </row>
    <row r="2428" ht="15.75" customHeight="1" s="108">
      <c r="A2428" s="18" t="inlineStr">
        <is>
          <t>David O'Hara</t>
        </is>
      </c>
      <c r="B2428" s="18" t="n">
        <v>2</v>
      </c>
      <c r="C2428" s="18" t="n">
        <v>2006</v>
      </c>
      <c r="D2428" s="18" t="n">
        <v>2011</v>
      </c>
      <c r="E2428" s="18" t="inlineStr">
        <is>
          <t>Cowboys &amp; Aliens, The Departed</t>
        </is>
      </c>
      <c r="F2428" s="18" t="inlineStr">
        <is>
          <t>F0073, F0081</t>
        </is>
      </c>
    </row>
    <row r="2429" ht="15.75" customHeight="1" s="108">
      <c r="A2429" s="18" t="inlineStr">
        <is>
          <t>Buck Taylor</t>
        </is>
      </c>
      <c r="B2429" s="18" t="n">
        <v>1</v>
      </c>
      <c r="C2429" s="18" t="n">
        <v>2011</v>
      </c>
      <c r="D2429" s="18" t="n">
        <v>2011</v>
      </c>
      <c r="E2429" s="18" t="inlineStr">
        <is>
          <t>Cowboys &amp; Aliens</t>
        </is>
      </c>
      <c r="F2429" s="18" t="inlineStr">
        <is>
          <t>F0073</t>
        </is>
      </c>
    </row>
    <row r="2430" ht="15.75" customHeight="1" s="108">
      <c r="A2430" s="18" t="inlineStr">
        <is>
          <t>Matthew Taylor</t>
        </is>
      </c>
      <c r="B2430" s="18" t="n">
        <v>1</v>
      </c>
      <c r="C2430" s="18" t="n">
        <v>2011</v>
      </c>
      <c r="D2430" s="18" t="n">
        <v>2011</v>
      </c>
      <c r="E2430" s="18" t="inlineStr">
        <is>
          <t>Cowboys &amp; Aliens</t>
        </is>
      </c>
      <c r="F2430" s="18" t="inlineStr">
        <is>
          <t>F0073</t>
        </is>
      </c>
    </row>
    <row r="2431" ht="15.75" customHeight="1" s="108">
      <c r="A2431" s="18" t="inlineStr">
        <is>
          <t>Cooper Taylor</t>
        </is>
      </c>
      <c r="B2431" s="18" t="n">
        <v>1</v>
      </c>
      <c r="C2431" s="18" t="n">
        <v>2011</v>
      </c>
      <c r="D2431" s="18" t="n">
        <v>2011</v>
      </c>
      <c r="E2431" s="18" t="inlineStr">
        <is>
          <t>Cowboys &amp; Aliens</t>
        </is>
      </c>
      <c r="F2431" s="18" t="inlineStr">
        <is>
          <t>F0073</t>
        </is>
      </c>
    </row>
    <row r="2432" ht="15.75" customHeight="1" s="108">
      <c r="A2432" s="18" t="inlineStr">
        <is>
          <t>Chris Browning</t>
        </is>
      </c>
      <c r="B2432" s="18" t="n">
        <v>2</v>
      </c>
      <c r="C2432" s="18" t="n">
        <v>2009</v>
      </c>
      <c r="D2432" s="18" t="n">
        <v>2011</v>
      </c>
      <c r="E2432" s="18" t="inlineStr">
        <is>
          <t>Cowboys &amp; Aliens, Terminator Salvation</t>
        </is>
      </c>
      <c r="F2432" s="18" t="inlineStr">
        <is>
          <t>F0073, F0310</t>
        </is>
      </c>
    </row>
    <row r="2433" ht="15.75" customHeight="1" s="108">
      <c r="A2433" s="18" t="inlineStr">
        <is>
          <t>Brian Duffy</t>
        </is>
      </c>
      <c r="B2433" s="18" t="n">
        <v>1</v>
      </c>
      <c r="C2433" s="18" t="n">
        <v>2011</v>
      </c>
      <c r="D2433" s="18" t="n">
        <v>2011</v>
      </c>
      <c r="E2433" s="18" t="inlineStr">
        <is>
          <t>Cowboys &amp; Aliens</t>
        </is>
      </c>
      <c r="F2433" s="18" t="inlineStr">
        <is>
          <t>F0073</t>
        </is>
      </c>
    </row>
    <row r="2434" ht="15.75" customHeight="1" s="108">
      <c r="A2434" s="18" t="inlineStr">
        <is>
          <t>Brendan Wayne</t>
        </is>
      </c>
      <c r="B2434" s="18" t="n">
        <v>1</v>
      </c>
      <c r="C2434" s="18" t="n">
        <v>2011</v>
      </c>
      <c r="D2434" s="18" t="n">
        <v>2011</v>
      </c>
      <c r="E2434" s="18" t="inlineStr">
        <is>
          <t>Cowboys &amp; Aliens</t>
        </is>
      </c>
      <c r="F2434" s="18" t="inlineStr">
        <is>
          <t>F0073</t>
        </is>
      </c>
    </row>
    <row r="2435" ht="15.75" customHeight="1" s="108">
      <c r="A2435" s="18" t="inlineStr">
        <is>
          <t>Gavin Grazer</t>
        </is>
      </c>
      <c r="B2435" s="18" t="n">
        <v>1</v>
      </c>
      <c r="C2435" s="18" t="n">
        <v>2011</v>
      </c>
      <c r="D2435" s="18" t="n">
        <v>2011</v>
      </c>
      <c r="E2435" s="18" t="inlineStr">
        <is>
          <t>Cowboys &amp; Aliens</t>
        </is>
      </c>
      <c r="F2435" s="18" t="inlineStr">
        <is>
          <t>F0073</t>
        </is>
      </c>
    </row>
    <row r="2436" ht="15.75" customHeight="1" s="108">
      <c r="A2436" s="18" t="inlineStr">
        <is>
          <t>Toby Huss</t>
        </is>
      </c>
      <c r="B2436" s="18" t="n">
        <v>1</v>
      </c>
      <c r="C2436" s="18" t="n">
        <v>2011</v>
      </c>
      <c r="D2436" s="18" t="n">
        <v>2011</v>
      </c>
      <c r="E2436" s="18" t="inlineStr">
        <is>
          <t>Cowboys &amp; Aliens</t>
        </is>
      </c>
      <c r="F2436" s="18" t="inlineStr">
        <is>
          <t>F0073</t>
        </is>
      </c>
    </row>
    <row r="2437" ht="15.75" customHeight="1" s="108">
      <c r="A2437" s="18" t="inlineStr">
        <is>
          <t>Jimmy Jatho</t>
        </is>
      </c>
      <c r="B2437" s="18" t="n">
        <v>1</v>
      </c>
      <c r="C2437" s="18" t="n">
        <v>2011</v>
      </c>
      <c r="D2437" s="18" t="n">
        <v>2011</v>
      </c>
      <c r="E2437" s="18" t="inlineStr">
        <is>
          <t>Cowboys &amp; Aliens</t>
        </is>
      </c>
      <c r="F2437" s="18" t="inlineStr">
        <is>
          <t>F0073</t>
        </is>
      </c>
    </row>
    <row r="2438" ht="15.75" customHeight="1" s="108">
      <c r="A2438" s="18" t="inlineStr">
        <is>
          <t>Kenny Call</t>
        </is>
      </c>
      <c r="B2438" s="18" t="n">
        <v>1</v>
      </c>
      <c r="C2438" s="18" t="n">
        <v>2011</v>
      </c>
      <c r="D2438" s="18" t="n">
        <v>2011</v>
      </c>
      <c r="E2438" s="18" t="inlineStr">
        <is>
          <t>Cowboys &amp; Aliens</t>
        </is>
      </c>
      <c r="F2438" s="18" t="inlineStr">
        <is>
          <t>F0073</t>
        </is>
      </c>
    </row>
    <row r="2439" ht="15.75" customHeight="1" s="108">
      <c r="A2439" s="18" t="inlineStr">
        <is>
          <t>Julio Cesar Cedillo</t>
        </is>
      </c>
      <c r="B2439" s="18" t="n">
        <v>1</v>
      </c>
      <c r="C2439" s="18" t="n">
        <v>2011</v>
      </c>
      <c r="D2439" s="18" t="n">
        <v>2011</v>
      </c>
      <c r="E2439" s="18" t="inlineStr">
        <is>
          <t>Cowboys &amp; Aliens</t>
        </is>
      </c>
      <c r="F2439" s="18" t="inlineStr">
        <is>
          <t>F0073</t>
        </is>
      </c>
    </row>
    <row r="2440" ht="15.75" customHeight="1" s="108">
      <c r="A2440" s="18" t="inlineStr">
        <is>
          <t>Garret Noël</t>
        </is>
      </c>
      <c r="B2440" s="18" t="n">
        <v>1</v>
      </c>
      <c r="C2440" s="18" t="n">
        <v>2011</v>
      </c>
      <c r="D2440" s="18" t="n">
        <v>2011</v>
      </c>
      <c r="E2440" s="18" t="inlineStr">
        <is>
          <t>Cowboys &amp; Aliens</t>
        </is>
      </c>
      <c r="F2440" s="18" t="inlineStr">
        <is>
          <t>F0073</t>
        </is>
      </c>
    </row>
    <row r="2441" ht="15.75" customHeight="1" s="108">
      <c r="A2441" s="18" t="inlineStr">
        <is>
          <t>Troy Gilbert</t>
        </is>
      </c>
      <c r="B2441" s="18" t="n">
        <v>1</v>
      </c>
      <c r="C2441" s="18" t="n">
        <v>2011</v>
      </c>
      <c r="D2441" s="18" t="n">
        <v>2011</v>
      </c>
      <c r="E2441" s="18" t="inlineStr">
        <is>
          <t>Cowboys &amp; Aliens</t>
        </is>
      </c>
      <c r="F2441" s="18" t="inlineStr">
        <is>
          <t>F0073</t>
        </is>
      </c>
    </row>
    <row r="2442" ht="15.75" customHeight="1" s="108">
      <c r="A2442" s="18" t="inlineStr">
        <is>
          <t>Chad Randall</t>
        </is>
      </c>
      <c r="B2442" s="18" t="n">
        <v>4</v>
      </c>
      <c r="C2442" s="18" t="n">
        <v>2011</v>
      </c>
      <c r="D2442" s="18" t="n">
        <v>2015</v>
      </c>
      <c r="E2442" s="18" t="inlineStr">
        <is>
          <t>Cowboys &amp; Aliens, Jurassic World, Lawless, Need for Speed</t>
        </is>
      </c>
      <c r="F2442" s="18" t="inlineStr">
        <is>
          <t>F0073, F0179, F0192, F0234</t>
        </is>
      </c>
    </row>
    <row r="2443" ht="15.75" customHeight="1" s="108">
      <c r="A2443" s="18" t="inlineStr">
        <is>
          <t>Scout Hendrickson</t>
        </is>
      </c>
      <c r="B2443" s="18" t="n">
        <v>1</v>
      </c>
      <c r="C2443" s="18" t="n">
        <v>2011</v>
      </c>
      <c r="D2443" s="18" t="n">
        <v>2011</v>
      </c>
      <c r="E2443" s="18" t="inlineStr">
        <is>
          <t>Cowboys &amp; Aliens</t>
        </is>
      </c>
      <c r="F2443" s="18" t="inlineStr">
        <is>
          <t>F0073</t>
        </is>
      </c>
    </row>
    <row r="2444" ht="15.75" customHeight="1" s="108">
      <c r="A2444" s="18" t="inlineStr">
        <is>
          <t>Tony Bellew</t>
        </is>
      </c>
      <c r="B2444" s="18" t="n">
        <v>1</v>
      </c>
      <c r="C2444" s="18" t="n">
        <v>2015</v>
      </c>
      <c r="D2444" s="18" t="n">
        <v>2015</v>
      </c>
      <c r="E2444" s="18" t="inlineStr">
        <is>
          <t>Creed</t>
        </is>
      </c>
      <c r="F2444" s="18" t="inlineStr">
        <is>
          <t>F0074</t>
        </is>
      </c>
    </row>
    <row r="2445" ht="15.75" customHeight="1" s="108">
      <c r="A2445" s="18" t="inlineStr">
        <is>
          <t>Jacob 'Stitch' Duran</t>
        </is>
      </c>
      <c r="B2445" s="18" t="n">
        <v>1</v>
      </c>
      <c r="C2445" s="18" t="n">
        <v>2015</v>
      </c>
      <c r="D2445" s="18" t="n">
        <v>2015</v>
      </c>
      <c r="E2445" s="18" t="inlineStr">
        <is>
          <t>Creed</t>
        </is>
      </c>
      <c r="F2445" s="18" t="inlineStr">
        <is>
          <t>F0074</t>
        </is>
      </c>
    </row>
    <row r="2446" ht="15.75" customHeight="1" s="108">
      <c r="A2446" s="18" t="inlineStr">
        <is>
          <t>Malik Bazille</t>
        </is>
      </c>
      <c r="B2446" s="18" t="n">
        <v>1</v>
      </c>
      <c r="C2446" s="18" t="n">
        <v>2015</v>
      </c>
      <c r="D2446" s="18" t="n">
        <v>2015</v>
      </c>
      <c r="E2446" s="18" t="inlineStr">
        <is>
          <t>Creed</t>
        </is>
      </c>
      <c r="F2446" s="18" t="inlineStr">
        <is>
          <t>F0074</t>
        </is>
      </c>
    </row>
    <row r="2447" ht="15.75" customHeight="1" s="108">
      <c r="A2447" s="18" t="inlineStr">
        <is>
          <t>Ricardo 'Padman' McGill</t>
        </is>
      </c>
      <c r="B2447" s="18" t="n">
        <v>1</v>
      </c>
      <c r="C2447" s="18" t="n">
        <v>2015</v>
      </c>
      <c r="D2447" s="18" t="n">
        <v>2015</v>
      </c>
      <c r="E2447" s="18" t="inlineStr">
        <is>
          <t>Creed</t>
        </is>
      </c>
      <c r="F2447" s="18" t="inlineStr">
        <is>
          <t>F0074</t>
        </is>
      </c>
    </row>
    <row r="2448" ht="15.75" customHeight="1" s="108">
      <c r="A2448" s="18" t="inlineStr">
        <is>
          <t>Gabriel Rosado</t>
        </is>
      </c>
      <c r="B2448" s="18" t="n">
        <v>1</v>
      </c>
      <c r="C2448" s="18" t="n">
        <v>2015</v>
      </c>
      <c r="D2448" s="18" t="n">
        <v>2015</v>
      </c>
      <c r="E2448" s="18" t="inlineStr">
        <is>
          <t>Creed</t>
        </is>
      </c>
      <c r="F2448" s="18" t="inlineStr">
        <is>
          <t>F0074</t>
        </is>
      </c>
    </row>
    <row r="2449" ht="15.75" customHeight="1" s="108">
      <c r="A2449" s="18" t="inlineStr">
        <is>
          <t>Wood Harris</t>
        </is>
      </c>
      <c r="B2449" s="18" t="n">
        <v>3</v>
      </c>
      <c r="C2449" s="18" t="n">
        <v>2015</v>
      </c>
      <c r="D2449" s="18" t="n">
        <v>2025</v>
      </c>
      <c r="E2449" s="18" t="inlineStr">
        <is>
          <t>Creed, One battle after another, blade runner 2049</t>
        </is>
      </c>
      <c r="F2449" s="18" t="inlineStr">
        <is>
          <t>F0074, F0353, F0366</t>
        </is>
      </c>
    </row>
    <row r="2450" ht="15.75" customHeight="1" s="108">
      <c r="A2450" s="18" t="inlineStr">
        <is>
          <t>Buddy Osborn</t>
        </is>
      </c>
      <c r="B2450" s="18" t="n">
        <v>1</v>
      </c>
      <c r="C2450" s="18" t="n">
        <v>2015</v>
      </c>
      <c r="D2450" s="18" t="n">
        <v>2015</v>
      </c>
      <c r="E2450" s="18" t="inlineStr">
        <is>
          <t>Creed</t>
        </is>
      </c>
      <c r="F2450" s="18" t="inlineStr">
        <is>
          <t>F0074</t>
        </is>
      </c>
    </row>
    <row r="2451" ht="15.75" customHeight="1" s="108">
      <c r="A2451" s="18" t="inlineStr">
        <is>
          <t>Rupal Pujara</t>
        </is>
      </c>
      <c r="B2451" s="18" t="n">
        <v>1</v>
      </c>
      <c r="C2451" s="18" t="n">
        <v>2015</v>
      </c>
      <c r="D2451" s="18" t="n">
        <v>2015</v>
      </c>
      <c r="E2451" s="18" t="inlineStr">
        <is>
          <t>Creed</t>
        </is>
      </c>
      <c r="F2451" s="18" t="inlineStr">
        <is>
          <t>F0074</t>
        </is>
      </c>
    </row>
    <row r="2452" ht="15.75" customHeight="1" s="108">
      <c r="A2452" s="18" t="inlineStr">
        <is>
          <t>Brian Anthony Wilson</t>
        </is>
      </c>
      <c r="B2452" s="18" t="n">
        <v>1</v>
      </c>
      <c r="C2452" s="18" t="n">
        <v>2015</v>
      </c>
      <c r="D2452" s="18" t="n">
        <v>2015</v>
      </c>
      <c r="E2452" s="18" t="inlineStr">
        <is>
          <t>Creed</t>
        </is>
      </c>
      <c r="F2452" s="18" t="inlineStr">
        <is>
          <t>F0074</t>
        </is>
      </c>
    </row>
    <row r="2453" ht="15.75" customHeight="1" s="108">
      <c r="A2453" s="18" t="inlineStr">
        <is>
          <t>Joey Eye</t>
        </is>
      </c>
      <c r="B2453" s="18" t="n">
        <v>1</v>
      </c>
      <c r="C2453" s="18" t="n">
        <v>2015</v>
      </c>
      <c r="D2453" s="18" t="n">
        <v>2015</v>
      </c>
      <c r="E2453" s="18" t="inlineStr">
        <is>
          <t>Creed</t>
        </is>
      </c>
      <c r="F2453" s="18" t="inlineStr">
        <is>
          <t>F0074</t>
        </is>
      </c>
    </row>
    <row r="2454" ht="15.75" customHeight="1" s="108">
      <c r="A2454" s="18" t="inlineStr">
        <is>
          <t>Johanna Tolentino</t>
        </is>
      </c>
      <c r="B2454" s="18" t="n">
        <v>1</v>
      </c>
      <c r="C2454" s="18" t="n">
        <v>2015</v>
      </c>
      <c r="D2454" s="18" t="n">
        <v>2015</v>
      </c>
      <c r="E2454" s="18" t="inlineStr">
        <is>
          <t>Creed</t>
        </is>
      </c>
      <c r="F2454" s="18" t="inlineStr">
        <is>
          <t>F0074</t>
        </is>
      </c>
    </row>
    <row r="2455" ht="15.75" customHeight="1" s="108">
      <c r="A2455" s="18" t="inlineStr">
        <is>
          <t>Tony Brice</t>
        </is>
      </c>
      <c r="B2455" s="18" t="n">
        <v>1</v>
      </c>
      <c r="C2455" s="18" t="n">
        <v>2015</v>
      </c>
      <c r="D2455" s="18" t="n">
        <v>2015</v>
      </c>
      <c r="E2455" s="18" t="inlineStr">
        <is>
          <t>Creed</t>
        </is>
      </c>
      <c r="F2455" s="18" t="inlineStr">
        <is>
          <t>F0074</t>
        </is>
      </c>
    </row>
    <row r="2456" ht="15.75" customHeight="1" s="108">
      <c r="A2456" s="18" t="inlineStr">
        <is>
          <t>Kash Goins</t>
        </is>
      </c>
      <c r="B2456" s="18" t="n">
        <v>1</v>
      </c>
      <c r="C2456" s="18" t="n">
        <v>2015</v>
      </c>
      <c r="D2456" s="18" t="n">
        <v>2015</v>
      </c>
      <c r="E2456" s="18" t="inlineStr">
        <is>
          <t>Creed</t>
        </is>
      </c>
      <c r="F2456" s="18" t="inlineStr">
        <is>
          <t>F0074</t>
        </is>
      </c>
    </row>
    <row r="2457" ht="15.75" customHeight="1" s="108">
      <c r="A2457" s="18" t="inlineStr">
        <is>
          <t>Michael Barker</t>
        </is>
      </c>
      <c r="B2457" s="18" t="n">
        <v>1</v>
      </c>
      <c r="C2457" s="18" t="n">
        <v>2015</v>
      </c>
      <c r="D2457" s="18" t="n">
        <v>2015</v>
      </c>
      <c r="E2457" s="18" t="inlineStr">
        <is>
          <t>Creed</t>
        </is>
      </c>
      <c r="F2457" s="18" t="inlineStr">
        <is>
          <t>F0074</t>
        </is>
      </c>
    </row>
    <row r="2458" ht="15.75" customHeight="1" s="108">
      <c r="A2458" s="18" t="inlineStr">
        <is>
          <t>Clare O'Malley</t>
        </is>
      </c>
      <c r="B2458" s="18" t="n">
        <v>1</v>
      </c>
      <c r="C2458" s="18" t="n">
        <v>2015</v>
      </c>
      <c r="D2458" s="18" t="n">
        <v>2015</v>
      </c>
      <c r="E2458" s="18" t="inlineStr">
        <is>
          <t>Creed</t>
        </is>
      </c>
      <c r="F2458" s="18" t="inlineStr">
        <is>
          <t>F0074</t>
        </is>
      </c>
    </row>
    <row r="2459" ht="15.75" customHeight="1" s="108">
      <c r="A2459" s="18" t="inlineStr">
        <is>
          <t>Kevin King Templeton</t>
        </is>
      </c>
      <c r="B2459" s="18" t="n">
        <v>1</v>
      </c>
      <c r="C2459" s="18" t="n">
        <v>2015</v>
      </c>
      <c r="D2459" s="18" t="n">
        <v>2015</v>
      </c>
      <c r="E2459" s="18" t="inlineStr">
        <is>
          <t>Creed</t>
        </is>
      </c>
      <c r="F2459" s="18" t="inlineStr">
        <is>
          <t>F0074</t>
        </is>
      </c>
    </row>
    <row r="2460" ht="15.75" customHeight="1" s="108">
      <c r="A2460" s="18" t="inlineStr">
        <is>
          <t>Roy James Wilson</t>
        </is>
      </c>
      <c r="B2460" s="18" t="n">
        <v>1</v>
      </c>
      <c r="C2460" s="18" t="n">
        <v>2015</v>
      </c>
      <c r="D2460" s="18" t="n">
        <v>2015</v>
      </c>
      <c r="E2460" s="18" t="inlineStr">
        <is>
          <t>Creed</t>
        </is>
      </c>
      <c r="F2460" s="18" t="inlineStr">
        <is>
          <t>F0074</t>
        </is>
      </c>
    </row>
    <row r="2461" ht="15.75" customHeight="1" s="108">
      <c r="A2461" s="18" t="inlineStr">
        <is>
          <t>Mauricio Ovalle</t>
        </is>
      </c>
      <c r="B2461" s="18" t="n">
        <v>1</v>
      </c>
      <c r="C2461" s="18" t="n">
        <v>2015</v>
      </c>
      <c r="D2461" s="18" t="n">
        <v>2015</v>
      </c>
      <c r="E2461" s="18" t="inlineStr">
        <is>
          <t>Creed</t>
        </is>
      </c>
      <c r="F2461" s="18" t="inlineStr">
        <is>
          <t>F0074</t>
        </is>
      </c>
    </row>
    <row r="2462" ht="15.75" customHeight="1" s="108">
      <c r="A2462" s="18" t="inlineStr">
        <is>
          <t>Mark Rhino Smith</t>
        </is>
      </c>
      <c r="B2462" s="18" t="n">
        <v>1</v>
      </c>
      <c r="C2462" s="18" t="n">
        <v>2015</v>
      </c>
      <c r="D2462" s="18" t="n">
        <v>2015</v>
      </c>
      <c r="E2462" s="18" t="inlineStr">
        <is>
          <t>Creed</t>
        </is>
      </c>
      <c r="F2462" s="18" t="inlineStr">
        <is>
          <t>F0074</t>
        </is>
      </c>
    </row>
    <row r="2463" ht="15.75" customHeight="1" s="108">
      <c r="A2463" s="18" t="inlineStr">
        <is>
          <t>Josue Rivera</t>
        </is>
      </c>
      <c r="B2463" s="18" t="n">
        <v>1</v>
      </c>
      <c r="C2463" s="18" t="n">
        <v>2015</v>
      </c>
      <c r="D2463" s="18" t="n">
        <v>2015</v>
      </c>
      <c r="E2463" s="18" t="inlineStr">
        <is>
          <t>Creed</t>
        </is>
      </c>
      <c r="F2463" s="18" t="inlineStr">
        <is>
          <t>F0074</t>
        </is>
      </c>
    </row>
    <row r="2464" ht="15.75" customHeight="1" s="108">
      <c r="A2464" s="18" t="inlineStr">
        <is>
          <t>Hans Marrero</t>
        </is>
      </c>
      <c r="B2464" s="18" t="n">
        <v>1</v>
      </c>
      <c r="C2464" s="18" t="n">
        <v>2015</v>
      </c>
      <c r="D2464" s="18" t="n">
        <v>2015</v>
      </c>
      <c r="E2464" s="18" t="inlineStr">
        <is>
          <t>Creed</t>
        </is>
      </c>
      <c r="F2464" s="18" t="inlineStr">
        <is>
          <t>F0074</t>
        </is>
      </c>
    </row>
    <row r="2465" ht="15.75" customHeight="1" s="108">
      <c r="A2465" s="18" t="inlineStr">
        <is>
          <t>Derrick Webster</t>
        </is>
      </c>
      <c r="B2465" s="18" t="n">
        <v>1</v>
      </c>
      <c r="C2465" s="18" t="n">
        <v>2015</v>
      </c>
      <c r="D2465" s="18" t="n">
        <v>2015</v>
      </c>
      <c r="E2465" s="18" t="inlineStr">
        <is>
          <t>Creed</t>
        </is>
      </c>
      <c r="F2465" s="18" t="inlineStr">
        <is>
          <t>F0074</t>
        </is>
      </c>
    </row>
    <row r="2466" ht="15.75" customHeight="1" s="108">
      <c r="A2466" s="18" t="inlineStr">
        <is>
          <t>Manny Ayala</t>
        </is>
      </c>
      <c r="B2466" s="18" t="n">
        <v>1</v>
      </c>
      <c r="C2466" s="18" t="n">
        <v>2015</v>
      </c>
      <c r="D2466" s="18" t="n">
        <v>2015</v>
      </c>
      <c r="E2466" s="18" t="inlineStr">
        <is>
          <t>Creed</t>
        </is>
      </c>
      <c r="F2466" s="18" t="inlineStr">
        <is>
          <t>F0074</t>
        </is>
      </c>
    </row>
    <row r="2467" ht="15.75" customHeight="1" s="108">
      <c r="A2467" s="18" t="inlineStr">
        <is>
          <t>Chris Sanders</t>
        </is>
      </c>
      <c r="B2467" s="18" t="n">
        <v>1</v>
      </c>
      <c r="C2467" s="18" t="n">
        <v>2013</v>
      </c>
      <c r="D2467" s="18" t="n">
        <v>2013</v>
      </c>
      <c r="E2467" s="18" t="inlineStr">
        <is>
          <t>The Croods</t>
        </is>
      </c>
      <c r="F2467" s="18" t="inlineStr">
        <is>
          <t>F0075</t>
        </is>
      </c>
    </row>
    <row r="2468" ht="15.75" customHeight="1" s="108">
      <c r="A2468" s="18" t="inlineStr">
        <is>
          <t>Randy Thom</t>
        </is>
      </c>
      <c r="B2468" s="18" t="n">
        <v>3</v>
      </c>
      <c r="C2468" s="18" t="n">
        <v>2010</v>
      </c>
      <c r="D2468" s="18" t="n">
        <v>2014</v>
      </c>
      <c r="E2468" s="18" t="inlineStr">
        <is>
          <t>The Croods, How to Train Your Dragon, How to Train Your Dragon 2</t>
        </is>
      </c>
      <c r="F2468" s="18" t="inlineStr">
        <is>
          <t>F0075, F0154, F0155</t>
        </is>
      </c>
    </row>
    <row r="2469" ht="15.75" customHeight="1" s="108">
      <c r="A2469" s="18" t="inlineStr">
        <is>
          <t>Leslie Uggams</t>
        </is>
      </c>
      <c r="B2469" s="18" t="n">
        <v>3</v>
      </c>
      <c r="C2469" s="18" t="n">
        <v>2016</v>
      </c>
      <c r="D2469" s="18" t="n">
        <v>2024</v>
      </c>
      <c r="E2469" s="18" t="inlineStr">
        <is>
          <t>Deadpool, Deadpool 2, Deadpool &amp; Wolverine</t>
        </is>
      </c>
      <c r="F2469" s="18" t="inlineStr">
        <is>
          <t>F0076, F0077, F0078</t>
        </is>
      </c>
    </row>
    <row r="2470" ht="15.75" customHeight="1" s="108">
      <c r="A2470" s="18" t="inlineStr">
        <is>
          <t>Brianna Hildebrand</t>
        </is>
      </c>
      <c r="B2470" s="18" t="n">
        <v>3</v>
      </c>
      <c r="C2470" s="18" t="n">
        <v>2016</v>
      </c>
      <c r="D2470" s="18" t="n">
        <v>2024</v>
      </c>
      <c r="E2470" s="18" t="inlineStr">
        <is>
          <t>Deadpool, Deadpool 2, Deadpool &amp; Wolverine</t>
        </is>
      </c>
      <c r="F2470" s="18" t="inlineStr">
        <is>
          <t>F0076, F0077, F0078</t>
        </is>
      </c>
    </row>
    <row r="2471" ht="15.75" customHeight="1" s="108">
      <c r="A2471" s="18" t="inlineStr">
        <is>
          <t>Stefan Kapičić</t>
        </is>
      </c>
      <c r="B2471" s="18" t="n">
        <v>3</v>
      </c>
      <c r="C2471" s="18" t="n">
        <v>2016</v>
      </c>
      <c r="D2471" s="18" t="n">
        <v>2024</v>
      </c>
      <c r="E2471" s="18" t="inlineStr">
        <is>
          <t>Deadpool, Deadpool 2, Deadpool &amp; Wolverine</t>
        </is>
      </c>
      <c r="F2471" s="18" t="inlineStr">
        <is>
          <t>F0076, F0077, F0078</t>
        </is>
      </c>
    </row>
    <row r="2472" ht="15.75" customHeight="1" s="108">
      <c r="A2472" s="18" t="inlineStr">
        <is>
          <t>Karan Soni</t>
        </is>
      </c>
      <c r="B2472" s="18" t="n">
        <v>3</v>
      </c>
      <c r="C2472" s="18" t="n">
        <v>2016</v>
      </c>
      <c r="D2472" s="18" t="n">
        <v>2024</v>
      </c>
      <c r="E2472" s="18" t="inlineStr">
        <is>
          <t>Deadpool, Deadpool 2, Deadpool &amp; Wolverine</t>
        </is>
      </c>
      <c r="F2472" s="18" t="inlineStr">
        <is>
          <t>F0076, F0077, F0078</t>
        </is>
      </c>
    </row>
    <row r="2473" ht="15.75" customHeight="1" s="108">
      <c r="A2473" s="18" t="inlineStr">
        <is>
          <t>Michael Benyaer</t>
        </is>
      </c>
      <c r="B2473" s="18" t="n">
        <v>3</v>
      </c>
      <c r="C2473" s="18" t="n">
        <v>2009</v>
      </c>
      <c r="D2473" s="18" t="n">
        <v>2016</v>
      </c>
      <c r="E2473" s="18" t="inlineStr">
        <is>
          <t>Deadpool, G.I. Joe: The Rise of Cobra, Transformers: Revenge of the Fallen</t>
        </is>
      </c>
      <c r="F2473" s="18" t="inlineStr">
        <is>
          <t>F0076, F0118, F0317</t>
        </is>
      </c>
    </row>
    <row r="2474" ht="15.75" customHeight="1" s="108">
      <c r="A2474" s="18" t="inlineStr">
        <is>
          <t>Style Dayne</t>
        </is>
      </c>
      <c r="B2474" s="18" t="n">
        <v>1</v>
      </c>
      <c r="C2474" s="18" t="n">
        <v>2016</v>
      </c>
      <c r="D2474" s="18" t="n">
        <v>2016</v>
      </c>
      <c r="E2474" s="18" t="inlineStr">
        <is>
          <t>Deadpool</t>
        </is>
      </c>
      <c r="F2474" s="18" t="inlineStr">
        <is>
          <t>F0076</t>
        </is>
      </c>
    </row>
    <row r="2475" ht="15.75" customHeight="1" s="108">
      <c r="A2475" s="18" t="inlineStr">
        <is>
          <t>Kyle Cassie</t>
        </is>
      </c>
      <c r="B2475" s="18" t="n">
        <v>1</v>
      </c>
      <c r="C2475" s="18" t="n">
        <v>2016</v>
      </c>
      <c r="D2475" s="18" t="n">
        <v>2016</v>
      </c>
      <c r="E2475" s="18" t="inlineStr">
        <is>
          <t>Deadpool</t>
        </is>
      </c>
      <c r="F2475" s="18" t="inlineStr">
        <is>
          <t>F0076</t>
        </is>
      </c>
    </row>
    <row r="2476" ht="15.75" customHeight="1" s="108">
      <c r="A2476" s="18" t="inlineStr">
        <is>
          <t>Taylor Hickson</t>
        </is>
      </c>
      <c r="B2476" s="18" t="n">
        <v>1</v>
      </c>
      <c r="C2476" s="18" t="n">
        <v>2016</v>
      </c>
      <c r="D2476" s="18" t="n">
        <v>2016</v>
      </c>
      <c r="E2476" s="18" t="inlineStr">
        <is>
          <t>Deadpool</t>
        </is>
      </c>
      <c r="F2476" s="18" t="inlineStr">
        <is>
          <t>F0076</t>
        </is>
      </c>
    </row>
    <row r="2477" ht="15.75" customHeight="1" s="108">
      <c r="A2477" s="18" t="inlineStr">
        <is>
          <t>Ayzee</t>
        </is>
      </c>
      <c r="B2477" s="18" t="n">
        <v>1</v>
      </c>
      <c r="C2477" s="18" t="n">
        <v>2016</v>
      </c>
      <c r="D2477" s="18" t="n">
        <v>2016</v>
      </c>
      <c r="E2477" s="18" t="inlineStr">
        <is>
          <t>Deadpool</t>
        </is>
      </c>
      <c r="F2477" s="18" t="inlineStr">
        <is>
          <t>F0076</t>
        </is>
      </c>
    </row>
    <row r="2478" ht="15.75" customHeight="1" s="108">
      <c r="A2478" s="18" t="inlineStr">
        <is>
          <t>Naika Toussaint</t>
        </is>
      </c>
      <c r="B2478" s="18" t="n">
        <v>1</v>
      </c>
      <c r="C2478" s="18" t="n">
        <v>2016</v>
      </c>
      <c r="D2478" s="18" t="n">
        <v>2016</v>
      </c>
      <c r="E2478" s="18" t="inlineStr">
        <is>
          <t>Deadpool</t>
        </is>
      </c>
      <c r="F2478" s="18" t="inlineStr">
        <is>
          <t>F0076</t>
        </is>
      </c>
    </row>
    <row r="2479" ht="15.75" customHeight="1" s="108">
      <c r="A2479" s="18" t="inlineStr">
        <is>
          <t>Isaac C. Singleton, Jr.</t>
        </is>
      </c>
      <c r="B2479" s="18" t="n">
        <v>1</v>
      </c>
      <c r="C2479" s="18" t="n">
        <v>2016</v>
      </c>
      <c r="D2479" s="18" t="n">
        <v>2016</v>
      </c>
      <c r="E2479" s="18" t="inlineStr">
        <is>
          <t>Deadpool</t>
        </is>
      </c>
      <c r="F2479" s="18" t="inlineStr">
        <is>
          <t>F0076</t>
        </is>
      </c>
    </row>
    <row r="2480" ht="15.75" customHeight="1" s="108">
      <c r="A2480" s="18" t="inlineStr">
        <is>
          <t>Justyn Shippelt</t>
        </is>
      </c>
      <c r="B2480" s="18" t="n">
        <v>1</v>
      </c>
      <c r="C2480" s="18" t="n">
        <v>2016</v>
      </c>
      <c r="D2480" s="18" t="n">
        <v>2016</v>
      </c>
      <c r="E2480" s="18" t="inlineStr">
        <is>
          <t>Deadpool</t>
        </is>
      </c>
      <c r="F2480" s="18" t="inlineStr">
        <is>
          <t>F0076</t>
        </is>
      </c>
    </row>
    <row r="2481" ht="15.75" customHeight="1" s="108">
      <c r="A2481" s="18" t="inlineStr">
        <is>
          <t>Jed Rees</t>
        </is>
      </c>
      <c r="B2481" s="18" t="n">
        <v>1</v>
      </c>
      <c r="C2481" s="18" t="n">
        <v>2016</v>
      </c>
      <c r="D2481" s="18" t="n">
        <v>2016</v>
      </c>
      <c r="E2481" s="18" t="inlineStr">
        <is>
          <t>Deadpool</t>
        </is>
      </c>
      <c r="F2481" s="18" t="inlineStr">
        <is>
          <t>F0076</t>
        </is>
      </c>
    </row>
    <row r="2482" ht="15.75" customHeight="1" s="108">
      <c r="A2482" s="18" t="inlineStr">
        <is>
          <t>Hugh Scott</t>
        </is>
      </c>
      <c r="B2482" s="18" t="n">
        <v>1</v>
      </c>
      <c r="C2482" s="18" t="n">
        <v>2016</v>
      </c>
      <c r="D2482" s="18" t="n">
        <v>2016</v>
      </c>
      <c r="E2482" s="18" t="inlineStr">
        <is>
          <t>Deadpool</t>
        </is>
      </c>
      <c r="F2482" s="18" t="inlineStr">
        <is>
          <t>F0076</t>
        </is>
      </c>
    </row>
    <row r="2483" ht="15.75" customHeight="1" s="108">
      <c r="A2483" s="18" t="inlineStr">
        <is>
          <t>Cindy Piper</t>
        </is>
      </c>
      <c r="B2483" s="18" t="n">
        <v>1</v>
      </c>
      <c r="C2483" s="18" t="n">
        <v>2016</v>
      </c>
      <c r="D2483" s="18" t="n">
        <v>2016</v>
      </c>
      <c r="E2483" s="18" t="inlineStr">
        <is>
          <t>Deadpool</t>
        </is>
      </c>
      <c r="F2483" s="18" t="inlineStr">
        <is>
          <t>F0076</t>
        </is>
      </c>
    </row>
    <row r="2484" ht="15.75" customHeight="1" s="108">
      <c r="A2484" s="18" t="inlineStr">
        <is>
          <t>Em Haine</t>
        </is>
      </c>
      <c r="B2484" s="18" t="n">
        <v>1</v>
      </c>
      <c r="C2484" s="18" t="n">
        <v>2016</v>
      </c>
      <c r="D2484" s="18" t="n">
        <v>2016</v>
      </c>
      <c r="E2484" s="18" t="inlineStr">
        <is>
          <t>Deadpool</t>
        </is>
      </c>
      <c r="F2484" s="18" t="inlineStr">
        <is>
          <t>F0076</t>
        </is>
      </c>
    </row>
    <row r="2485" ht="15.75" customHeight="1" s="108">
      <c r="A2485" s="18" t="inlineStr">
        <is>
          <t>Aatash Amir</t>
        </is>
      </c>
      <c r="B2485" s="18" t="n">
        <v>1</v>
      </c>
      <c r="C2485" s="18" t="n">
        <v>2016</v>
      </c>
      <c r="D2485" s="18" t="n">
        <v>2016</v>
      </c>
      <c r="E2485" s="18" t="inlineStr">
        <is>
          <t>Deadpool</t>
        </is>
      </c>
      <c r="F2485" s="18" t="inlineStr">
        <is>
          <t>F0076</t>
        </is>
      </c>
    </row>
    <row r="2486" ht="15.75" customHeight="1" s="108">
      <c r="A2486" s="18" t="inlineStr">
        <is>
          <t>Chad Riley</t>
        </is>
      </c>
      <c r="B2486" s="18" t="n">
        <v>1</v>
      </c>
      <c r="C2486" s="18" t="n">
        <v>2016</v>
      </c>
      <c r="D2486" s="18" t="n">
        <v>2016</v>
      </c>
      <c r="E2486" s="18" t="inlineStr">
        <is>
          <t>Deadpool</t>
        </is>
      </c>
      <c r="F2486" s="18" t="inlineStr">
        <is>
          <t>F0076</t>
        </is>
      </c>
    </row>
    <row r="2487" ht="15.75" customHeight="1" s="108">
      <c r="A2487" s="18" t="inlineStr">
        <is>
          <t>Paul Belsito</t>
        </is>
      </c>
      <c r="B2487" s="18" t="n">
        <v>1</v>
      </c>
      <c r="C2487" s="18" t="n">
        <v>2016</v>
      </c>
      <c r="D2487" s="18" t="n">
        <v>2016</v>
      </c>
      <c r="E2487" s="18" t="inlineStr">
        <is>
          <t>Deadpool</t>
        </is>
      </c>
      <c r="F2487" s="18" t="inlineStr">
        <is>
          <t>F0076</t>
        </is>
      </c>
    </row>
    <row r="2488" ht="15.75" customHeight="1" s="108">
      <c r="A2488" s="18" t="inlineStr">
        <is>
          <t>Darcey Johnson</t>
        </is>
      </c>
      <c r="B2488" s="18" t="n">
        <v>1</v>
      </c>
      <c r="C2488" s="18" t="n">
        <v>2016</v>
      </c>
      <c r="D2488" s="18" t="n">
        <v>2016</v>
      </c>
      <c r="E2488" s="18" t="inlineStr">
        <is>
          <t>Deadpool</t>
        </is>
      </c>
      <c r="F2488" s="18" t="inlineStr">
        <is>
          <t>F0076</t>
        </is>
      </c>
    </row>
    <row r="2489" ht="15.75" customHeight="1" s="108">
      <c r="A2489" s="18" t="inlineStr">
        <is>
          <t>Kyle Rideout</t>
        </is>
      </c>
      <c r="B2489" s="18" t="n">
        <v>1</v>
      </c>
      <c r="C2489" s="18" t="n">
        <v>2016</v>
      </c>
      <c r="D2489" s="18" t="n">
        <v>2016</v>
      </c>
      <c r="E2489" s="18" t="inlineStr">
        <is>
          <t>Deadpool</t>
        </is>
      </c>
      <c r="F2489" s="18" t="inlineStr">
        <is>
          <t>F0076</t>
        </is>
      </c>
    </row>
    <row r="2490" ht="15.75" customHeight="1" s="108">
      <c r="A2490" s="18" t="inlineStr">
        <is>
          <t>Jason William Day</t>
        </is>
      </c>
      <c r="B2490" s="18" t="n">
        <v>1</v>
      </c>
      <c r="C2490" s="18" t="n">
        <v>2016</v>
      </c>
      <c r="D2490" s="18" t="n">
        <v>2016</v>
      </c>
      <c r="E2490" s="18" t="inlineStr">
        <is>
          <t>Deadpool</t>
        </is>
      </c>
      <c r="F2490" s="18" t="inlineStr">
        <is>
          <t>F0076</t>
        </is>
      </c>
    </row>
    <row r="2491" ht="15.75" customHeight="1" s="108">
      <c r="A2491" s="18" t="inlineStr">
        <is>
          <t>Jack Kesy</t>
        </is>
      </c>
      <c r="B2491" s="18" t="n">
        <v>1</v>
      </c>
      <c r="C2491" s="18" t="n">
        <v>2018</v>
      </c>
      <c r="D2491" s="18" t="n">
        <v>2018</v>
      </c>
      <c r="E2491" s="18" t="inlineStr">
        <is>
          <t>Deadpool 2</t>
        </is>
      </c>
      <c r="F2491" s="18" t="inlineStr">
        <is>
          <t>F0077</t>
        </is>
      </c>
    </row>
    <row r="2492" ht="15.75" customHeight="1" s="108">
      <c r="A2492" s="18" t="inlineStr">
        <is>
          <t>Shioli Kutsuna</t>
        </is>
      </c>
      <c r="B2492" s="18" t="n">
        <v>2</v>
      </c>
      <c r="C2492" s="18" t="n">
        <v>2018</v>
      </c>
      <c r="D2492" s="18" t="n">
        <v>2024</v>
      </c>
      <c r="E2492" s="18" t="inlineStr">
        <is>
          <t>Deadpool 2, Deadpool &amp; Wolverine</t>
        </is>
      </c>
      <c r="F2492" s="18" t="inlineStr">
        <is>
          <t>F0077, F0078</t>
        </is>
      </c>
    </row>
    <row r="2493" ht="15.75" customHeight="1" s="108">
      <c r="A2493" s="18" t="inlineStr">
        <is>
          <t>Nikolai Witschl</t>
        </is>
      </c>
      <c r="B2493" s="18" t="n">
        <v>1</v>
      </c>
      <c r="C2493" s="18" t="n">
        <v>2018</v>
      </c>
      <c r="D2493" s="18" t="n">
        <v>2018</v>
      </c>
      <c r="E2493" s="18" t="inlineStr">
        <is>
          <t>Deadpool 2</t>
        </is>
      </c>
      <c r="F2493" s="18" t="inlineStr">
        <is>
          <t>F0077</t>
        </is>
      </c>
    </row>
    <row r="2494" ht="15.75" customHeight="1" s="108">
      <c r="A2494" s="18" t="inlineStr">
        <is>
          <t>Thayr Harris</t>
        </is>
      </c>
      <c r="B2494" s="18" t="n">
        <v>1</v>
      </c>
      <c r="C2494" s="18" t="n">
        <v>2018</v>
      </c>
      <c r="D2494" s="18" t="n">
        <v>2018</v>
      </c>
      <c r="E2494" s="18" t="inlineStr">
        <is>
          <t>Deadpool 2</t>
        </is>
      </c>
      <c r="F2494" s="18" t="inlineStr">
        <is>
          <t>F0077</t>
        </is>
      </c>
    </row>
    <row r="2495" ht="15.75" customHeight="1" s="108">
      <c r="A2495" s="18" t="inlineStr">
        <is>
          <t>Rob Delaney</t>
        </is>
      </c>
      <c r="B2495" s="18" t="n">
        <v>4</v>
      </c>
      <c r="C2495" s="18" t="n">
        <v>2018</v>
      </c>
      <c r="D2495" s="18" t="n">
        <v>2024</v>
      </c>
      <c r="E2495" s="18" t="inlineStr">
        <is>
          <t>Deadpool 2, Deadpool &amp; Wolverine, Fast &amp; Furious Presents: Hobbs &amp; Shaw, Mission: Impossible - Dead Reckoning Part One</t>
        </is>
      </c>
      <c r="F2495" s="18" t="inlineStr">
        <is>
          <t>F0077, F0078, F0111, F0227</t>
        </is>
      </c>
    </row>
    <row r="2496" ht="15.75" customHeight="1" s="108">
      <c r="A2496" s="18" t="inlineStr">
        <is>
          <t>Lewis Tan</t>
        </is>
      </c>
      <c r="B2496" s="18" t="n">
        <v>2</v>
      </c>
      <c r="C2496" s="18" t="n">
        <v>2018</v>
      </c>
      <c r="D2496" s="18" t="n">
        <v>2024</v>
      </c>
      <c r="E2496" s="18" t="inlineStr">
        <is>
          <t>Deadpool 2, Deadpool &amp; Wolverine</t>
        </is>
      </c>
      <c r="F2496" s="18" t="inlineStr">
        <is>
          <t>F0077, F0078</t>
        </is>
      </c>
    </row>
    <row r="2497" ht="15.75" customHeight="1" s="108">
      <c r="A2497" s="18" t="inlineStr">
        <is>
          <t>Bill Skarsgård</t>
        </is>
      </c>
      <c r="B2497" s="18" t="n">
        <v>2</v>
      </c>
      <c r="C2497" s="18" t="n">
        <v>2018</v>
      </c>
      <c r="D2497" s="18" t="n">
        <v>2023</v>
      </c>
      <c r="E2497" s="18" t="inlineStr">
        <is>
          <t>Deadpool 2, John wick chapter 4</t>
        </is>
      </c>
      <c r="F2497" s="18" t="inlineStr">
        <is>
          <t>F0077, F0392</t>
        </is>
      </c>
    </row>
    <row r="2498" ht="15.75" customHeight="1" s="108">
      <c r="A2498" s="18" t="inlineStr">
        <is>
          <t>Paul Wu</t>
        </is>
      </c>
      <c r="B2498" s="18" t="n">
        <v>1</v>
      </c>
      <c r="C2498" s="18" t="n">
        <v>2018</v>
      </c>
      <c r="D2498" s="18" t="n">
        <v>2018</v>
      </c>
      <c r="E2498" s="18" t="inlineStr">
        <is>
          <t>Deadpool 2</t>
        </is>
      </c>
      <c r="F2498" s="18" t="inlineStr">
        <is>
          <t>F0077</t>
        </is>
      </c>
    </row>
    <row r="2499" ht="15.75" customHeight="1" s="108">
      <c r="A2499" s="18" t="inlineStr">
        <is>
          <t>Robert Maillet</t>
        </is>
      </c>
      <c r="B2499" s="18" t="n">
        <v>3</v>
      </c>
      <c r="C2499" s="18" t="n">
        <v>2009</v>
      </c>
      <c r="D2499" s="18" t="n">
        <v>2018</v>
      </c>
      <c r="E2499" s="18" t="inlineStr">
        <is>
          <t>Deadpool 2, Pacific Rim, Sherlock Holmes</t>
        </is>
      </c>
      <c r="F2499" s="18" t="inlineStr">
        <is>
          <t>F0077, F0243, F0278</t>
        </is>
      </c>
    </row>
    <row r="2500" ht="15.75" customHeight="1" s="108">
      <c r="A2500" s="18" t="inlineStr">
        <is>
          <t>Michasha Armstrong</t>
        </is>
      </c>
      <c r="B2500" s="18" t="n">
        <v>2</v>
      </c>
      <c r="C2500" s="18" t="n">
        <v>2006</v>
      </c>
      <c r="D2500" s="18" t="n">
        <v>2018</v>
      </c>
      <c r="E2500" s="18" t="inlineStr">
        <is>
          <t>Deadpool 2, Underworld: Evolution</t>
        </is>
      </c>
      <c r="F2500" s="18" t="inlineStr">
        <is>
          <t>F0077, F0326</t>
        </is>
      </c>
    </row>
    <row r="2501" ht="15.75" customHeight="1" s="108">
      <c r="A2501" s="18" t="inlineStr">
        <is>
          <t>Joe Doserro</t>
        </is>
      </c>
      <c r="B2501" s="18" t="n">
        <v>1</v>
      </c>
      <c r="C2501" s="18" t="n">
        <v>2018</v>
      </c>
      <c r="D2501" s="18" t="n">
        <v>2018</v>
      </c>
      <c r="E2501" s="18" t="inlineStr">
        <is>
          <t>Deadpool 2</t>
        </is>
      </c>
      <c r="F2501" s="18" t="inlineStr">
        <is>
          <t>F0077</t>
        </is>
      </c>
    </row>
    <row r="2502" ht="15.75" customHeight="1" s="108">
      <c r="A2502" s="18" t="inlineStr">
        <is>
          <t>Hayley Sales</t>
        </is>
      </c>
      <c r="B2502" s="18" t="n">
        <v>1</v>
      </c>
      <c r="C2502" s="18" t="n">
        <v>2018</v>
      </c>
      <c r="D2502" s="18" t="n">
        <v>2018</v>
      </c>
      <c r="E2502" s="18" t="inlineStr">
        <is>
          <t>Deadpool 2</t>
        </is>
      </c>
      <c r="F2502" s="18" t="inlineStr">
        <is>
          <t>F0077</t>
        </is>
      </c>
    </row>
    <row r="2503" ht="15.75" customHeight="1" s="108">
      <c r="A2503" s="18" t="inlineStr">
        <is>
          <t>Islie Hirvonen</t>
        </is>
      </c>
      <c r="B2503" s="18" t="n">
        <v>1</v>
      </c>
      <c r="C2503" s="18" t="n">
        <v>2018</v>
      </c>
      <c r="D2503" s="18" t="n">
        <v>2018</v>
      </c>
      <c r="E2503" s="18" t="inlineStr">
        <is>
          <t>Deadpool 2</t>
        </is>
      </c>
      <c r="F2503" s="18" t="inlineStr">
        <is>
          <t>F0077</t>
        </is>
      </c>
    </row>
    <row r="2504" ht="15.75" customHeight="1" s="108">
      <c r="A2504" s="18" t="inlineStr">
        <is>
          <t>Jagua Arneja</t>
        </is>
      </c>
      <c r="B2504" s="18" t="n">
        <v>1</v>
      </c>
      <c r="C2504" s="18" t="n">
        <v>2018</v>
      </c>
      <c r="D2504" s="18" t="n">
        <v>2018</v>
      </c>
      <c r="E2504" s="18" t="inlineStr">
        <is>
          <t>Deadpool 2</t>
        </is>
      </c>
      <c r="F2504" s="18" t="inlineStr">
        <is>
          <t>F0077</t>
        </is>
      </c>
    </row>
    <row r="2505" ht="15.75" customHeight="1" s="108">
      <c r="A2505" s="18" t="inlineStr">
        <is>
          <t>Wesley Snipes</t>
        </is>
      </c>
      <c r="B2505" s="18" t="n">
        <v>2</v>
      </c>
      <c r="C2505" s="18" t="n">
        <v>2014</v>
      </c>
      <c r="D2505" s="18" t="n">
        <v>2024</v>
      </c>
      <c r="E2505" s="18" t="inlineStr">
        <is>
          <t>Deadpool &amp; Wolverine, The Expendables 3</t>
        </is>
      </c>
      <c r="F2505" s="18" t="inlineStr">
        <is>
          <t>F0078, F0097</t>
        </is>
      </c>
    </row>
    <row r="2506" ht="15.75" customHeight="1" s="108">
      <c r="A2506" s="18" t="inlineStr">
        <is>
          <t>Wunmi Mosaku</t>
        </is>
      </c>
      <c r="B2506" s="18" t="n">
        <v>1</v>
      </c>
      <c r="C2506" s="18" t="n">
        <v>2024</v>
      </c>
      <c r="D2506" s="18" t="n">
        <v>2024</v>
      </c>
      <c r="E2506" s="18" t="inlineStr">
        <is>
          <t>Deadpool &amp; Wolverine</t>
        </is>
      </c>
      <c r="F2506" s="18" t="inlineStr">
        <is>
          <t>F0078</t>
        </is>
      </c>
    </row>
    <row r="2507" ht="15.75" customHeight="1" s="108">
      <c r="A2507" s="18" t="inlineStr">
        <is>
          <t>Aaron Stanford</t>
        </is>
      </c>
      <c r="B2507" s="18" t="n">
        <v>3</v>
      </c>
      <c r="C2507" s="18" t="n">
        <v>2003</v>
      </c>
      <c r="D2507" s="18" t="n">
        <v>2024</v>
      </c>
      <c r="E2507" s="18" t="inlineStr">
        <is>
          <t>Deadpool &amp; Wolverine, X2: X-Men United, X-Men: The Last Stand</t>
        </is>
      </c>
      <c r="F2507" s="18" t="inlineStr">
        <is>
          <t>F0078, F0345, F0346</t>
        </is>
      </c>
    </row>
    <row r="2508" ht="15.75" customHeight="1" s="108">
      <c r="A2508" s="18" t="inlineStr">
        <is>
          <t>Tyler Mane</t>
        </is>
      </c>
      <c r="B2508" s="18" t="n">
        <v>2</v>
      </c>
      <c r="C2508" s="18" t="n">
        <v>2000</v>
      </c>
      <c r="D2508" s="18" t="n">
        <v>2024</v>
      </c>
      <c r="E2508" s="18" t="inlineStr">
        <is>
          <t>Deadpool &amp; Wolverine, X-Men</t>
        </is>
      </c>
      <c r="F2508" s="18" t="inlineStr">
        <is>
          <t>F0078, F0344</t>
        </is>
      </c>
    </row>
    <row r="2509" ht="15.75" customHeight="1" s="108">
      <c r="A2509" s="18" t="inlineStr">
        <is>
          <t>Nick Pauley</t>
        </is>
      </c>
      <c r="B2509" s="18" t="n">
        <v>1</v>
      </c>
      <c r="C2509" s="18" t="n">
        <v>2024</v>
      </c>
      <c r="D2509" s="18" t="n">
        <v>2024</v>
      </c>
      <c r="E2509" s="18" t="inlineStr">
        <is>
          <t>Deadpool &amp; Wolverine</t>
        </is>
      </c>
      <c r="F2509" s="18" t="inlineStr">
        <is>
          <t>F0078</t>
        </is>
      </c>
    </row>
    <row r="2510" ht="15.75" customHeight="1" s="108">
      <c r="A2510" s="18" t="inlineStr">
        <is>
          <t>Sonita Henry</t>
        </is>
      </c>
      <c r="B2510" s="18" t="n">
        <v>2</v>
      </c>
      <c r="C2510" s="18" t="n">
        <v>2009</v>
      </c>
      <c r="D2510" s="18" t="n">
        <v>2024</v>
      </c>
      <c r="E2510" s="18" t="inlineStr">
        <is>
          <t>Deadpool &amp; Wolverine, Star Trek</t>
        </is>
      </c>
      <c r="F2510" s="18" t="inlineStr">
        <is>
          <t>F0078, F0291</t>
        </is>
      </c>
    </row>
    <row r="2511" ht="15.75" customHeight="1" s="108">
      <c r="A2511" s="18" t="inlineStr">
        <is>
          <t>Ryan McKen</t>
        </is>
      </c>
      <c r="B2511" s="18" t="n">
        <v>1</v>
      </c>
      <c r="C2511" s="18" t="n">
        <v>2024</v>
      </c>
      <c r="D2511" s="18" t="n">
        <v>2024</v>
      </c>
      <c r="E2511" s="18" t="inlineStr">
        <is>
          <t>Deadpool &amp; Wolverine</t>
        </is>
      </c>
      <c r="F2511" s="18" t="inlineStr">
        <is>
          <t>F0078</t>
        </is>
      </c>
    </row>
    <row r="2512" ht="15.75" customHeight="1" s="108">
      <c r="A2512" s="18" t="inlineStr">
        <is>
          <t>Nanak Phlora</t>
        </is>
      </c>
      <c r="B2512" s="18" t="n">
        <v>1</v>
      </c>
      <c r="C2512" s="18" t="n">
        <v>2024</v>
      </c>
      <c r="D2512" s="18" t="n">
        <v>2024</v>
      </c>
      <c r="E2512" s="18" t="inlineStr">
        <is>
          <t>Deadpool &amp; Wolverine</t>
        </is>
      </c>
      <c r="F2512" s="18" t="inlineStr">
        <is>
          <t>F0078</t>
        </is>
      </c>
    </row>
    <row r="2513" ht="15.75" customHeight="1" s="108">
      <c r="A2513" s="18" t="inlineStr">
        <is>
          <t>Aydin Ahmed</t>
        </is>
      </c>
      <c r="B2513" s="18" t="n">
        <v>1</v>
      </c>
      <c r="C2513" s="18" t="n">
        <v>2024</v>
      </c>
      <c r="D2513" s="18" t="n">
        <v>2024</v>
      </c>
      <c r="E2513" s="18" t="inlineStr">
        <is>
          <t>Deadpool &amp; Wolverine</t>
        </is>
      </c>
      <c r="F2513" s="18" t="inlineStr">
        <is>
          <t>F0078</t>
        </is>
      </c>
    </row>
    <row r="2514" ht="15.75" customHeight="1" s="108">
      <c r="A2514" s="18" t="inlineStr">
        <is>
          <t>Leemore Marrett Jr.</t>
        </is>
      </c>
      <c r="B2514" s="18" t="n">
        <v>1</v>
      </c>
      <c r="C2514" s="18" t="n">
        <v>2024</v>
      </c>
      <c r="D2514" s="18" t="n">
        <v>2024</v>
      </c>
      <c r="E2514" s="18" t="inlineStr">
        <is>
          <t>Deadpool &amp; Wolverine</t>
        </is>
      </c>
      <c r="F2514" s="18" t="inlineStr">
        <is>
          <t>F0078</t>
        </is>
      </c>
    </row>
    <row r="2515" ht="15.75" customHeight="1" s="108">
      <c r="A2515" s="18" t="inlineStr">
        <is>
          <t>James Dryden</t>
        </is>
      </c>
      <c r="B2515" s="18" t="n">
        <v>1</v>
      </c>
      <c r="C2515" s="18" t="n">
        <v>2024</v>
      </c>
      <c r="D2515" s="18" t="n">
        <v>2024</v>
      </c>
      <c r="E2515" s="18" t="inlineStr">
        <is>
          <t>Deadpool &amp; Wolverine</t>
        </is>
      </c>
      <c r="F2515" s="18" t="inlineStr">
        <is>
          <t>F0078</t>
        </is>
      </c>
    </row>
    <row r="2516" ht="15.75" customHeight="1" s="108">
      <c r="A2516" s="18" t="inlineStr">
        <is>
          <t>Cullen Moss</t>
        </is>
      </c>
      <c r="B2516" s="18" t="n">
        <v>2</v>
      </c>
      <c r="C2516" s="18" t="n">
        <v>2004</v>
      </c>
      <c r="D2516" s="18" t="n">
        <v>2010</v>
      </c>
      <c r="E2516" s="18" t="inlineStr">
        <is>
          <t>Dear John, The Notebook</t>
        </is>
      </c>
      <c r="F2516" s="18" t="inlineStr">
        <is>
          <t>F0079, F0237</t>
        </is>
      </c>
    </row>
    <row r="2517" ht="15.75" customHeight="1" s="108">
      <c r="A2517" s="18" t="inlineStr">
        <is>
          <t>Gavin McCulley</t>
        </is>
      </c>
      <c r="B2517" s="18" t="n">
        <v>1</v>
      </c>
      <c r="C2517" s="18" t="n">
        <v>2010</v>
      </c>
      <c r="D2517" s="18" t="n">
        <v>2010</v>
      </c>
      <c r="E2517" s="18" t="inlineStr">
        <is>
          <t>Dear John</t>
        </is>
      </c>
      <c r="F2517" s="18" t="inlineStr">
        <is>
          <t>F0079</t>
        </is>
      </c>
    </row>
    <row r="2518" ht="15.75" customHeight="1" s="108">
      <c r="A2518" s="18" t="inlineStr">
        <is>
          <t>Jose Lucena Jr.</t>
        </is>
      </c>
      <c r="B2518" s="18" t="n">
        <v>1</v>
      </c>
      <c r="C2518" s="18" t="n">
        <v>2010</v>
      </c>
      <c r="D2518" s="18" t="n">
        <v>2010</v>
      </c>
      <c r="E2518" s="18" t="inlineStr">
        <is>
          <t>Dear John</t>
        </is>
      </c>
      <c r="F2518" s="18" t="inlineStr">
        <is>
          <t>F0079</t>
        </is>
      </c>
    </row>
    <row r="2519" ht="15.75" customHeight="1" s="108">
      <c r="A2519" s="18" t="inlineStr">
        <is>
          <t>Keith D. Robinson</t>
        </is>
      </c>
      <c r="B2519" s="18" t="n">
        <v>1</v>
      </c>
      <c r="C2519" s="18" t="n">
        <v>2010</v>
      </c>
      <c r="D2519" s="18" t="n">
        <v>2010</v>
      </c>
      <c r="E2519" s="18" t="inlineStr">
        <is>
          <t>Dear John</t>
        </is>
      </c>
      <c r="F2519" s="18" t="inlineStr">
        <is>
          <t>F0079</t>
        </is>
      </c>
    </row>
    <row r="2520" ht="15.75" customHeight="1" s="108">
      <c r="A2520" s="18" t="inlineStr">
        <is>
          <t>Scott Porter</t>
        </is>
      </c>
      <c r="B2520" s="18" t="n">
        <v>1</v>
      </c>
      <c r="C2520" s="18" t="n">
        <v>2010</v>
      </c>
      <c r="D2520" s="18" t="n">
        <v>2010</v>
      </c>
      <c r="E2520" s="18" t="inlineStr">
        <is>
          <t>Dear John</t>
        </is>
      </c>
      <c r="F2520" s="18" t="inlineStr">
        <is>
          <t>F0079</t>
        </is>
      </c>
    </row>
    <row r="2521" ht="15.75" customHeight="1" s="108">
      <c r="A2521" s="18" t="inlineStr">
        <is>
          <t>Leslea Fisher</t>
        </is>
      </c>
      <c r="B2521" s="18" t="n">
        <v>1</v>
      </c>
      <c r="C2521" s="18" t="n">
        <v>2010</v>
      </c>
      <c r="D2521" s="18" t="n">
        <v>2010</v>
      </c>
      <c r="E2521" s="18" t="inlineStr">
        <is>
          <t>Dear John</t>
        </is>
      </c>
      <c r="F2521" s="18" t="inlineStr">
        <is>
          <t>F0079</t>
        </is>
      </c>
    </row>
    <row r="2522" ht="15.75" customHeight="1" s="108">
      <c r="A2522" s="18" t="inlineStr">
        <is>
          <t>David Andrews</t>
        </is>
      </c>
      <c r="B2522" s="18" t="n">
        <v>2</v>
      </c>
      <c r="C2522" s="18" t="n">
        <v>1999</v>
      </c>
      <c r="D2522" s="18" t="n">
        <v>2010</v>
      </c>
      <c r="E2522" s="18" t="inlineStr">
        <is>
          <t>Dear John, Fight Club</t>
        </is>
      </c>
      <c r="F2522" s="18" t="inlineStr">
        <is>
          <t>F0079, F0112</t>
        </is>
      </c>
    </row>
    <row r="2523" ht="15.75" customHeight="1" s="108">
      <c r="A2523" s="18" t="inlineStr">
        <is>
          <t>Mary Rachel Quinn</t>
        </is>
      </c>
      <c r="B2523" s="18" t="n">
        <v>1</v>
      </c>
      <c r="C2523" s="18" t="n">
        <v>2010</v>
      </c>
      <c r="D2523" s="18" t="n">
        <v>2010</v>
      </c>
      <c r="E2523" s="18" t="inlineStr">
        <is>
          <t>Dear John</t>
        </is>
      </c>
      <c r="F2523" s="18" t="inlineStr">
        <is>
          <t>F0079</t>
        </is>
      </c>
    </row>
    <row r="2524" ht="15.75" customHeight="1" s="108">
      <c r="A2524" s="18" t="inlineStr">
        <is>
          <t>Bryce Hayes</t>
        </is>
      </c>
      <c r="B2524" s="18" t="n">
        <v>1</v>
      </c>
      <c r="C2524" s="18" t="n">
        <v>2010</v>
      </c>
      <c r="D2524" s="18" t="n">
        <v>2010</v>
      </c>
      <c r="E2524" s="18" t="inlineStr">
        <is>
          <t>Dear John</t>
        </is>
      </c>
      <c r="F2524" s="18" t="inlineStr">
        <is>
          <t>F0079</t>
        </is>
      </c>
    </row>
    <row r="2525" ht="15.75" customHeight="1" s="108">
      <c r="A2525" s="18" t="inlineStr">
        <is>
          <t>R. Braeden Reed</t>
        </is>
      </c>
      <c r="B2525" s="18" t="n">
        <v>1</v>
      </c>
      <c r="C2525" s="18" t="n">
        <v>2010</v>
      </c>
      <c r="D2525" s="18" t="n">
        <v>2010</v>
      </c>
      <c r="E2525" s="18" t="inlineStr">
        <is>
          <t>Dear John</t>
        </is>
      </c>
      <c r="F2525" s="18" t="inlineStr">
        <is>
          <t>F0079</t>
        </is>
      </c>
    </row>
    <row r="2526" ht="15.75" customHeight="1" s="108">
      <c r="A2526" s="18" t="inlineStr">
        <is>
          <t>Luke Benward</t>
        </is>
      </c>
      <c r="B2526" s="18" t="n">
        <v>1</v>
      </c>
      <c r="C2526" s="18" t="n">
        <v>2010</v>
      </c>
      <c r="D2526" s="18" t="n">
        <v>2010</v>
      </c>
      <c r="E2526" s="18" t="inlineStr">
        <is>
          <t>Dear John</t>
        </is>
      </c>
      <c r="F2526" s="18" t="inlineStr">
        <is>
          <t>F0079</t>
        </is>
      </c>
    </row>
    <row r="2527" ht="15.75" customHeight="1" s="108">
      <c r="A2527" s="18" t="inlineStr">
        <is>
          <t>Tom Stearns</t>
        </is>
      </c>
      <c r="B2527" s="18" t="n">
        <v>1</v>
      </c>
      <c r="C2527" s="18" t="n">
        <v>2010</v>
      </c>
      <c r="D2527" s="18" t="n">
        <v>2010</v>
      </c>
      <c r="E2527" s="18" t="inlineStr">
        <is>
          <t>Dear John</t>
        </is>
      </c>
      <c r="F2527" s="18" t="inlineStr">
        <is>
          <t>F0079</t>
        </is>
      </c>
    </row>
    <row r="2528" ht="15.75" customHeight="1" s="108">
      <c r="A2528" s="18" t="inlineStr">
        <is>
          <t>Michael Harding</t>
        </is>
      </c>
      <c r="B2528" s="18" t="n">
        <v>1</v>
      </c>
      <c r="C2528" s="18" t="n">
        <v>2010</v>
      </c>
      <c r="D2528" s="18" t="n">
        <v>2010</v>
      </c>
      <c r="E2528" s="18" t="inlineStr">
        <is>
          <t>Dear John</t>
        </is>
      </c>
      <c r="F2528" s="18" t="inlineStr">
        <is>
          <t>F0079</t>
        </is>
      </c>
    </row>
    <row r="2529" ht="15.75" customHeight="1" s="108">
      <c r="A2529" s="18" t="inlineStr">
        <is>
          <t>Brett Rice</t>
        </is>
      </c>
      <c r="B2529" s="18" t="n">
        <v>2</v>
      </c>
      <c r="C2529" s="18" t="n">
        <v>2010</v>
      </c>
      <c r="D2529" s="18" t="n">
        <v>2011</v>
      </c>
      <c r="E2529" s="18" t="inlineStr">
        <is>
          <t>Dear John, Super 8</t>
        </is>
      </c>
      <c r="F2529" s="18" t="inlineStr">
        <is>
          <t>F0079, F0302</t>
        </is>
      </c>
    </row>
    <row r="2530" ht="15.75" customHeight="1" s="108">
      <c r="A2530" s="18" t="inlineStr">
        <is>
          <t>David Dwyer</t>
        </is>
      </c>
      <c r="B2530" s="18" t="n">
        <v>1</v>
      </c>
      <c r="C2530" s="18" t="n">
        <v>2010</v>
      </c>
      <c r="D2530" s="18" t="n">
        <v>2010</v>
      </c>
      <c r="E2530" s="18" t="inlineStr">
        <is>
          <t>Dear John</t>
        </is>
      </c>
      <c r="F2530" s="18" t="inlineStr">
        <is>
          <t>F0079</t>
        </is>
      </c>
    </row>
    <row r="2531" ht="15.75" customHeight="1" s="108">
      <c r="A2531" s="18" t="inlineStr">
        <is>
          <t>Anthony Osment</t>
        </is>
      </c>
      <c r="B2531" s="18" t="n">
        <v>1</v>
      </c>
      <c r="C2531" s="18" t="n">
        <v>2010</v>
      </c>
      <c r="D2531" s="18" t="n">
        <v>2010</v>
      </c>
      <c r="E2531" s="18" t="inlineStr">
        <is>
          <t>Dear John</t>
        </is>
      </c>
      <c r="F2531" s="18" t="inlineStr">
        <is>
          <t>F0079</t>
        </is>
      </c>
    </row>
    <row r="2532" ht="15.75" customHeight="1" s="108">
      <c r="A2532" s="18" t="inlineStr">
        <is>
          <t>Jim Wenthe</t>
        </is>
      </c>
      <c r="B2532" s="18" t="n">
        <v>1</v>
      </c>
      <c r="C2532" s="18" t="n">
        <v>2010</v>
      </c>
      <c r="D2532" s="18" t="n">
        <v>2010</v>
      </c>
      <c r="E2532" s="18" t="inlineStr">
        <is>
          <t>Dear John</t>
        </is>
      </c>
      <c r="F2532" s="18" t="inlineStr">
        <is>
          <t>F0079</t>
        </is>
      </c>
    </row>
    <row r="2533" ht="15.75" customHeight="1" s="108">
      <c r="A2533" s="18" t="inlineStr">
        <is>
          <t>Matt Blue</t>
        </is>
      </c>
      <c r="B2533" s="18" t="n">
        <v>1</v>
      </c>
      <c r="C2533" s="18" t="n">
        <v>2010</v>
      </c>
      <c r="D2533" s="18" t="n">
        <v>2010</v>
      </c>
      <c r="E2533" s="18" t="inlineStr">
        <is>
          <t>Dear John</t>
        </is>
      </c>
      <c r="F2533" s="18" t="inlineStr">
        <is>
          <t>F0079</t>
        </is>
      </c>
    </row>
    <row r="2534" ht="15.75" customHeight="1" s="108">
      <c r="A2534" s="18" t="inlineStr">
        <is>
          <t>Lauree Bradway</t>
        </is>
      </c>
      <c r="B2534" s="18" t="n">
        <v>1</v>
      </c>
      <c r="C2534" s="18" t="n">
        <v>2010</v>
      </c>
      <c r="D2534" s="18" t="n">
        <v>2010</v>
      </c>
      <c r="E2534" s="18" t="inlineStr">
        <is>
          <t>Dear John</t>
        </is>
      </c>
      <c r="F2534" s="18" t="inlineStr">
        <is>
          <t>F0079</t>
        </is>
      </c>
    </row>
    <row r="2535" ht="15.75" customHeight="1" s="108">
      <c r="A2535" s="18" t="inlineStr">
        <is>
          <t>Glenn M. Tatum</t>
        </is>
      </c>
      <c r="B2535" s="18" t="n">
        <v>1</v>
      </c>
      <c r="C2535" s="18" t="n">
        <v>2010</v>
      </c>
      <c r="D2535" s="18" t="n">
        <v>2010</v>
      </c>
      <c r="E2535" s="18" t="inlineStr">
        <is>
          <t>Dear John</t>
        </is>
      </c>
      <c r="F2535" s="18" t="inlineStr">
        <is>
          <t>F0079</t>
        </is>
      </c>
    </row>
    <row r="2536" ht="15.75" customHeight="1" s="108">
      <c r="A2536" s="18" t="inlineStr">
        <is>
          <t>Martin Coleman Bowen</t>
        </is>
      </c>
      <c r="B2536" s="18" t="n">
        <v>1</v>
      </c>
      <c r="C2536" s="18" t="n">
        <v>2010</v>
      </c>
      <c r="D2536" s="18" t="n">
        <v>2010</v>
      </c>
      <c r="E2536" s="18" t="inlineStr">
        <is>
          <t>Dear John</t>
        </is>
      </c>
      <c r="F2536" s="18" t="inlineStr">
        <is>
          <t>F0079</t>
        </is>
      </c>
    </row>
    <row r="2537" ht="15.75" customHeight="1" s="108">
      <c r="A2537" s="18" t="inlineStr">
        <is>
          <t>Maxx Hennard</t>
        </is>
      </c>
      <c r="B2537" s="18" t="n">
        <v>1</v>
      </c>
      <c r="C2537" s="18" t="n">
        <v>2010</v>
      </c>
      <c r="D2537" s="18" t="n">
        <v>2010</v>
      </c>
      <c r="E2537" s="18" t="inlineStr">
        <is>
          <t>Dear John</t>
        </is>
      </c>
      <c r="F2537" s="18" t="inlineStr">
        <is>
          <t>F0079</t>
        </is>
      </c>
    </row>
    <row r="2538" ht="15.75" customHeight="1" s="108">
      <c r="A2538" s="18" t="inlineStr">
        <is>
          <t>Jay Phillips</t>
        </is>
      </c>
      <c r="B2538" s="18" t="n">
        <v>1</v>
      </c>
      <c r="C2538" s="18" t="n">
        <v>2010</v>
      </c>
      <c r="D2538" s="18" t="n">
        <v>2010</v>
      </c>
      <c r="E2538" s="18" t="inlineStr">
        <is>
          <t>Dear John</t>
        </is>
      </c>
      <c r="F2538" s="18" t="inlineStr">
        <is>
          <t>F0079</t>
        </is>
      </c>
    </row>
    <row r="2539" ht="15.75" customHeight="1" s="108">
      <c r="A2539" s="18" t="inlineStr">
        <is>
          <t>Steven Patrick O'Connor</t>
        </is>
      </c>
      <c r="B2539" s="18" t="n">
        <v>1</v>
      </c>
      <c r="C2539" s="18" t="n">
        <v>2010</v>
      </c>
      <c r="D2539" s="18" t="n">
        <v>2010</v>
      </c>
      <c r="E2539" s="18" t="inlineStr">
        <is>
          <t>Dear John</t>
        </is>
      </c>
      <c r="F2539" s="18" t="inlineStr">
        <is>
          <t>F0079</t>
        </is>
      </c>
    </row>
    <row r="2540" ht="15.75" customHeight="1" s="108">
      <c r="A2540" s="18" t="inlineStr">
        <is>
          <t>Jessica Lucas</t>
        </is>
      </c>
      <c r="B2540" s="18" t="n">
        <v>1</v>
      </c>
      <c r="C2540" s="18" t="n">
        <v>2010</v>
      </c>
      <c r="D2540" s="18" t="n">
        <v>2010</v>
      </c>
      <c r="E2540" s="18" t="inlineStr">
        <is>
          <t>Dear John</t>
        </is>
      </c>
      <c r="F2540" s="18" t="inlineStr">
        <is>
          <t>F0079</t>
        </is>
      </c>
    </row>
    <row r="2541" ht="15.75" customHeight="1" s="108">
      <c r="A2541" s="18" t="inlineStr">
        <is>
          <t>Bobby Moynihan</t>
        </is>
      </c>
      <c r="B2541" s="18" t="n">
        <v>4</v>
      </c>
      <c r="C2541" s="18" t="n">
        <v>2013</v>
      </c>
      <c r="D2541" s="18" t="n">
        <v>2016</v>
      </c>
      <c r="E2541" s="18" t="inlineStr">
        <is>
          <t>Delivery Man, Inside Out, Monsters University, The Secret Life of Pets</t>
        </is>
      </c>
      <c r="F2541" s="18" t="inlineStr">
        <is>
          <t>F0080, F0167, F0230, F0274</t>
        </is>
      </c>
    </row>
    <row r="2542" ht="15.75" customHeight="1" s="108">
      <c r="A2542" s="18" t="inlineStr">
        <is>
          <t>Andrzej Blumenfeld</t>
        </is>
      </c>
      <c r="B2542" s="18" t="n">
        <v>1</v>
      </c>
      <c r="C2542" s="18" t="n">
        <v>2013</v>
      </c>
      <c r="D2542" s="18" t="n">
        <v>2013</v>
      </c>
      <c r="E2542" s="18" t="inlineStr">
        <is>
          <t>Delivery Man</t>
        </is>
      </c>
      <c r="F2542" s="18" t="inlineStr">
        <is>
          <t>F0080</t>
        </is>
      </c>
    </row>
    <row r="2543" ht="15.75" customHeight="1" s="108">
      <c r="A2543" s="18" t="inlineStr">
        <is>
          <t>Dave Patten</t>
        </is>
      </c>
      <c r="B2543" s="18" t="n">
        <v>1</v>
      </c>
      <c r="C2543" s="18" t="n">
        <v>2013</v>
      </c>
      <c r="D2543" s="18" t="n">
        <v>2013</v>
      </c>
      <c r="E2543" s="18" t="inlineStr">
        <is>
          <t>Delivery Man</t>
        </is>
      </c>
      <c r="F2543" s="18" t="inlineStr">
        <is>
          <t>F0080</t>
        </is>
      </c>
    </row>
    <row r="2544" ht="15.75" customHeight="1" s="108">
      <c r="A2544" s="18" t="inlineStr">
        <is>
          <t>Adam Chanler-Berat</t>
        </is>
      </c>
      <c r="B2544" s="18" t="n">
        <v>1</v>
      </c>
      <c r="C2544" s="18" t="n">
        <v>2013</v>
      </c>
      <c r="D2544" s="18" t="n">
        <v>2013</v>
      </c>
      <c r="E2544" s="18" t="inlineStr">
        <is>
          <t>Delivery Man</t>
        </is>
      </c>
      <c r="F2544" s="18" t="inlineStr">
        <is>
          <t>F0080</t>
        </is>
      </c>
    </row>
    <row r="2545" ht="15.75" customHeight="1" s="108">
      <c r="A2545" s="18" t="inlineStr">
        <is>
          <t>Amos VanderPoel</t>
        </is>
      </c>
      <c r="B2545" s="18" t="n">
        <v>1</v>
      </c>
      <c r="C2545" s="18" t="n">
        <v>2013</v>
      </c>
      <c r="D2545" s="18" t="n">
        <v>2013</v>
      </c>
      <c r="E2545" s="18" t="inlineStr">
        <is>
          <t>Delivery Man</t>
        </is>
      </c>
      <c r="F2545" s="18" t="inlineStr">
        <is>
          <t>F0080</t>
        </is>
      </c>
    </row>
    <row r="2546" ht="15.75" customHeight="1" s="108">
      <c r="A2546" s="18" t="inlineStr">
        <is>
          <t>Matthew Daddario</t>
        </is>
      </c>
      <c r="B2546" s="18" t="n">
        <v>1</v>
      </c>
      <c r="C2546" s="18" t="n">
        <v>2013</v>
      </c>
      <c r="D2546" s="18" t="n">
        <v>2013</v>
      </c>
      <c r="E2546" s="18" t="inlineStr">
        <is>
          <t>Delivery Man</t>
        </is>
      </c>
      <c r="F2546" s="18" t="inlineStr">
        <is>
          <t>F0080</t>
        </is>
      </c>
    </row>
    <row r="2547" ht="15.75" customHeight="1" s="108">
      <c r="A2547" s="18" t="inlineStr">
        <is>
          <t>Jessica Williams</t>
        </is>
      </c>
      <c r="B2547" s="18" t="n">
        <v>2</v>
      </c>
      <c r="C2547" s="18" t="n">
        <v>2013</v>
      </c>
      <c r="D2547" s="18" t="n">
        <v>2018</v>
      </c>
      <c r="E2547" s="18" t="inlineStr">
        <is>
          <t>Delivery Man, Fantastic beasts: the crimes of grindelwald</t>
        </is>
      </c>
      <c r="F2547" s="18" t="inlineStr">
        <is>
          <t>F0080, F0360</t>
        </is>
      </c>
    </row>
    <row r="2548" ht="15.75" customHeight="1" s="108">
      <c r="A2548" s="18" t="inlineStr">
        <is>
          <t>Leslie Ann Glossner</t>
        </is>
      </c>
      <c r="B2548" s="18" t="n">
        <v>1</v>
      </c>
      <c r="C2548" s="18" t="n">
        <v>2013</v>
      </c>
      <c r="D2548" s="18" t="n">
        <v>2013</v>
      </c>
      <c r="E2548" s="18" t="inlineStr">
        <is>
          <t>Delivery Man</t>
        </is>
      </c>
      <c r="F2548" s="18" t="inlineStr">
        <is>
          <t>F0080</t>
        </is>
      </c>
    </row>
    <row r="2549" ht="15.75" customHeight="1" s="108">
      <c r="A2549" s="18" t="inlineStr">
        <is>
          <t>Derrick Arthur</t>
        </is>
      </c>
      <c r="B2549" s="18" t="n">
        <v>1</v>
      </c>
      <c r="C2549" s="18" t="n">
        <v>2013</v>
      </c>
      <c r="D2549" s="18" t="n">
        <v>2013</v>
      </c>
      <c r="E2549" s="18" t="inlineStr">
        <is>
          <t>Delivery Man</t>
        </is>
      </c>
      <c r="F2549" s="18" t="inlineStr">
        <is>
          <t>F0080</t>
        </is>
      </c>
    </row>
    <row r="2550" ht="15.75" customHeight="1" s="108">
      <c r="A2550" s="18" t="inlineStr">
        <is>
          <t>Michael Oberholtzer</t>
        </is>
      </c>
      <c r="B2550" s="18" t="n">
        <v>1</v>
      </c>
      <c r="C2550" s="18" t="n">
        <v>2013</v>
      </c>
      <c r="D2550" s="18" t="n">
        <v>2013</v>
      </c>
      <c r="E2550" s="18" t="inlineStr">
        <is>
          <t>Delivery Man</t>
        </is>
      </c>
      <c r="F2550" s="18" t="inlineStr">
        <is>
          <t>F0080</t>
        </is>
      </c>
    </row>
    <row r="2551" ht="15.75" customHeight="1" s="108">
      <c r="A2551" s="18" t="inlineStr">
        <is>
          <t>Sébastien René</t>
        </is>
      </c>
      <c r="B2551" s="18" t="n">
        <v>1</v>
      </c>
      <c r="C2551" s="18" t="n">
        <v>2013</v>
      </c>
      <c r="D2551" s="18" t="n">
        <v>2013</v>
      </c>
      <c r="E2551" s="18" t="inlineStr">
        <is>
          <t>Delivery Man</t>
        </is>
      </c>
      <c r="F2551" s="18" t="inlineStr">
        <is>
          <t>F0080</t>
        </is>
      </c>
    </row>
    <row r="2552" ht="15.75" customHeight="1" s="108">
      <c r="A2552" s="18" t="inlineStr">
        <is>
          <t>Kevin Hopkins</t>
        </is>
      </c>
      <c r="B2552" s="18" t="n">
        <v>1</v>
      </c>
      <c r="C2552" s="18" t="n">
        <v>2013</v>
      </c>
      <c r="D2552" s="18" t="n">
        <v>2013</v>
      </c>
      <c r="E2552" s="18" t="inlineStr">
        <is>
          <t>Delivery Man</t>
        </is>
      </c>
      <c r="F2552" s="18" t="inlineStr">
        <is>
          <t>F0080</t>
        </is>
      </c>
    </row>
    <row r="2553" ht="15.75" customHeight="1" s="108">
      <c r="A2553" s="18" t="inlineStr">
        <is>
          <t>Stephen Ellis</t>
        </is>
      </c>
      <c r="B2553" s="18" t="n">
        <v>1</v>
      </c>
      <c r="C2553" s="18" t="n">
        <v>2013</v>
      </c>
      <c r="D2553" s="18" t="n">
        <v>2013</v>
      </c>
      <c r="E2553" s="18" t="inlineStr">
        <is>
          <t>Delivery Man</t>
        </is>
      </c>
      <c r="F2553" s="18" t="inlineStr">
        <is>
          <t>F0080</t>
        </is>
      </c>
    </row>
    <row r="2554" ht="15.75" customHeight="1" s="108">
      <c r="A2554" s="18" t="inlineStr">
        <is>
          <t>Zachary Hernandez</t>
        </is>
      </c>
      <c r="B2554" s="18" t="n">
        <v>1</v>
      </c>
      <c r="C2554" s="18" t="n">
        <v>2013</v>
      </c>
      <c r="D2554" s="18" t="n">
        <v>2013</v>
      </c>
      <c r="E2554" s="18" t="inlineStr">
        <is>
          <t>Delivery Man</t>
        </is>
      </c>
      <c r="F2554" s="18" t="inlineStr">
        <is>
          <t>F0080</t>
        </is>
      </c>
    </row>
    <row r="2555" ht="15.75" customHeight="1" s="108">
      <c r="A2555" s="18" t="inlineStr">
        <is>
          <t>Erin Gerasimovich</t>
        </is>
      </c>
      <c r="B2555" s="18" t="n">
        <v>2</v>
      </c>
      <c r="C2555" s="18" t="n">
        <v>2013</v>
      </c>
      <c r="D2555" s="18" t="n">
        <v>2013</v>
      </c>
      <c r="E2555" s="18" t="inlineStr">
        <is>
          <t>Delivery Man, Prisoners</t>
        </is>
      </c>
      <c r="F2555" s="18" t="inlineStr">
        <is>
          <t>F0080, F0258</t>
        </is>
      </c>
    </row>
    <row r="2556" ht="15.75" customHeight="1" s="108">
      <c r="A2556" s="18" t="inlineStr">
        <is>
          <t>Kyle Sutton</t>
        </is>
      </c>
      <c r="B2556" s="18" t="n">
        <v>1</v>
      </c>
      <c r="C2556" s="18" t="n">
        <v>2013</v>
      </c>
      <c r="D2556" s="18" t="n">
        <v>2013</v>
      </c>
      <c r="E2556" s="18" t="inlineStr">
        <is>
          <t>Delivery Man</t>
        </is>
      </c>
      <c r="F2556" s="18" t="inlineStr">
        <is>
          <t>F0080</t>
        </is>
      </c>
    </row>
    <row r="2557" ht="15.75" customHeight="1" s="108">
      <c r="A2557" s="18" t="inlineStr">
        <is>
          <t>Lynda Gravatt</t>
        </is>
      </c>
      <c r="B2557" s="18" t="n">
        <v>1</v>
      </c>
      <c r="C2557" s="18" t="n">
        <v>2013</v>
      </c>
      <c r="D2557" s="18" t="n">
        <v>2013</v>
      </c>
      <c r="E2557" s="18" t="inlineStr">
        <is>
          <t>Delivery Man</t>
        </is>
      </c>
      <c r="F2557" s="18" t="inlineStr">
        <is>
          <t>F0080</t>
        </is>
      </c>
    </row>
    <row r="2558" ht="15.75" customHeight="1" s="108">
      <c r="A2558" s="18" t="inlineStr">
        <is>
          <t>Starla Benford</t>
        </is>
      </c>
      <c r="B2558" s="18" t="n">
        <v>1</v>
      </c>
      <c r="C2558" s="18" t="n">
        <v>2013</v>
      </c>
      <c r="D2558" s="18" t="n">
        <v>2013</v>
      </c>
      <c r="E2558" s="18" t="inlineStr">
        <is>
          <t>Delivery Man</t>
        </is>
      </c>
      <c r="F2558" s="18" t="inlineStr">
        <is>
          <t>F0080</t>
        </is>
      </c>
    </row>
    <row r="2559" ht="15.75" customHeight="1" s="108">
      <c r="A2559" s="18" t="inlineStr">
        <is>
          <t>Damian Young</t>
        </is>
      </c>
      <c r="B2559" s="18" t="n">
        <v>2</v>
      </c>
      <c r="C2559" s="18" t="n">
        <v>2013</v>
      </c>
      <c r="D2559" s="18" t="n">
        <v>2017</v>
      </c>
      <c r="E2559" s="18" t="inlineStr">
        <is>
          <t>Delivery Man, The Greatest Showman</t>
        </is>
      </c>
      <c r="F2559" s="18" t="inlineStr">
        <is>
          <t>F0080, F0127</t>
        </is>
      </c>
    </row>
    <row r="2560" ht="15.75" customHeight="1" s="108">
      <c r="A2560" s="18" t="inlineStr">
        <is>
          <t>Finnerty Steeves</t>
        </is>
      </c>
      <c r="B2560" s="18" t="n">
        <v>1</v>
      </c>
      <c r="C2560" s="18" t="n">
        <v>2013</v>
      </c>
      <c r="D2560" s="18" t="n">
        <v>2013</v>
      </c>
      <c r="E2560" s="18" t="inlineStr">
        <is>
          <t>Delivery Man</t>
        </is>
      </c>
      <c r="F2560" s="18" t="inlineStr">
        <is>
          <t>F0080</t>
        </is>
      </c>
    </row>
    <row r="2561" ht="15.75" customHeight="1" s="108">
      <c r="A2561" s="18" t="inlineStr">
        <is>
          <t>Don Guillory</t>
        </is>
      </c>
      <c r="B2561" s="18" t="n">
        <v>1</v>
      </c>
      <c r="C2561" s="18" t="n">
        <v>2013</v>
      </c>
      <c r="D2561" s="18" t="n">
        <v>2013</v>
      </c>
      <c r="E2561" s="18" t="inlineStr">
        <is>
          <t>Delivery Man</t>
        </is>
      </c>
      <c r="F2561" s="18" t="inlineStr">
        <is>
          <t>F0080</t>
        </is>
      </c>
    </row>
    <row r="2562" ht="15.75" customHeight="1" s="108">
      <c r="A2562" s="18" t="inlineStr">
        <is>
          <t>Richard Poe</t>
        </is>
      </c>
      <c r="B2562" s="18" t="n">
        <v>1</v>
      </c>
      <c r="C2562" s="18" t="n">
        <v>2013</v>
      </c>
      <c r="D2562" s="18" t="n">
        <v>2013</v>
      </c>
      <c r="E2562" s="18" t="inlineStr">
        <is>
          <t>Delivery Man</t>
        </is>
      </c>
      <c r="F2562" s="18" t="inlineStr">
        <is>
          <t>F0080</t>
        </is>
      </c>
    </row>
    <row r="2563" ht="15.75" customHeight="1" s="108">
      <c r="A2563" s="18" t="inlineStr">
        <is>
          <t>Jessica Abo</t>
        </is>
      </c>
      <c r="B2563" s="18" t="n">
        <v>1</v>
      </c>
      <c r="C2563" s="18" t="n">
        <v>2013</v>
      </c>
      <c r="D2563" s="18" t="n">
        <v>2013</v>
      </c>
      <c r="E2563" s="18" t="inlineStr">
        <is>
          <t>Delivery Man</t>
        </is>
      </c>
      <c r="F2563" s="18" t="inlineStr">
        <is>
          <t>F0080</t>
        </is>
      </c>
    </row>
    <row r="2564" ht="15.75" customHeight="1" s="108">
      <c r="A2564" s="18" t="inlineStr">
        <is>
          <t>Logan Crawford</t>
        </is>
      </c>
      <c r="B2564" s="18" t="n">
        <v>1</v>
      </c>
      <c r="C2564" s="18" t="n">
        <v>2013</v>
      </c>
      <c r="D2564" s="18" t="n">
        <v>2013</v>
      </c>
      <c r="E2564" s="18" t="inlineStr">
        <is>
          <t>Delivery Man</t>
        </is>
      </c>
      <c r="F2564" s="18" t="inlineStr">
        <is>
          <t>F0080</t>
        </is>
      </c>
    </row>
    <row r="2565" ht="15.75" customHeight="1" s="108">
      <c r="A2565" s="18" t="inlineStr">
        <is>
          <t>Anthony Anderson</t>
        </is>
      </c>
      <c r="B2565" s="18" t="n">
        <v>2</v>
      </c>
      <c r="C2565" s="18" t="n">
        <v>2006</v>
      </c>
      <c r="D2565" s="18" t="n">
        <v>2007</v>
      </c>
      <c r="E2565" s="18" t="inlineStr">
        <is>
          <t>The Departed, Transformers</t>
        </is>
      </c>
      <c r="F2565" s="18" t="inlineStr">
        <is>
          <t>F0081, F0316</t>
        </is>
      </c>
    </row>
    <row r="2566" ht="15.75" customHeight="1" s="108">
      <c r="A2566" s="18" t="inlineStr">
        <is>
          <t>Alec Baldwin</t>
        </is>
      </c>
      <c r="B2566" s="18" t="n">
        <v>4</v>
      </c>
      <c r="C2566" s="18" t="n">
        <v>2001</v>
      </c>
      <c r="D2566" s="18" t="n">
        <v>2018</v>
      </c>
      <c r="E2566" s="18" t="inlineStr">
        <is>
          <t>The Departed, Mission: Impossible - Rogue Nation, Mission: Impossible - Fallout, Pearl Harbor</t>
        </is>
      </c>
      <c r="F2566" s="18" t="inlineStr">
        <is>
          <t>F0081, F0225, F0226, F0246</t>
        </is>
      </c>
    </row>
    <row r="2567" ht="15.75" customHeight="1" s="108">
      <c r="A2567" s="18" t="inlineStr">
        <is>
          <t>James Badge Dale</t>
        </is>
      </c>
      <c r="B2567" s="18" t="n">
        <v>2</v>
      </c>
      <c r="C2567" s="18" t="n">
        <v>2006</v>
      </c>
      <c r="D2567" s="18" t="n">
        <v>2013</v>
      </c>
      <c r="E2567" s="18" t="inlineStr">
        <is>
          <t>The Departed, Iron Man 3</t>
        </is>
      </c>
      <c r="F2567" s="18" t="inlineStr">
        <is>
          <t>F0081, F0169</t>
        </is>
      </c>
    </row>
    <row r="2568" ht="15.75" customHeight="1" s="108">
      <c r="A2568" s="18" t="inlineStr">
        <is>
          <t>Robert Wahlberg</t>
        </is>
      </c>
      <c r="B2568" s="18" t="n">
        <v>1</v>
      </c>
      <c r="C2568" s="18" t="n">
        <v>2006</v>
      </c>
      <c r="D2568" s="18" t="n">
        <v>2006</v>
      </c>
      <c r="E2568" s="18" t="inlineStr">
        <is>
          <t>The Departed</t>
        </is>
      </c>
      <c r="F2568" s="18" t="inlineStr">
        <is>
          <t>F0081</t>
        </is>
      </c>
    </row>
    <row r="2569" ht="15.75" customHeight="1" s="108">
      <c r="A2569" s="18" t="inlineStr">
        <is>
          <t>Kristen Dalton</t>
        </is>
      </c>
      <c r="B2569" s="18" t="n">
        <v>1</v>
      </c>
      <c r="C2569" s="18" t="n">
        <v>2006</v>
      </c>
      <c r="D2569" s="18" t="n">
        <v>2006</v>
      </c>
      <c r="E2569" s="18" t="inlineStr">
        <is>
          <t>The Departed</t>
        </is>
      </c>
      <c r="F2569" s="18" t="inlineStr">
        <is>
          <t>F0081</t>
        </is>
      </c>
    </row>
    <row r="2570" ht="15.75" customHeight="1" s="108">
      <c r="A2570" s="18" t="inlineStr">
        <is>
          <t>Thomas B. Duffy</t>
        </is>
      </c>
      <c r="B2570" s="18" t="n">
        <v>1</v>
      </c>
      <c r="C2570" s="18" t="n">
        <v>2006</v>
      </c>
      <c r="D2570" s="18" t="n">
        <v>2006</v>
      </c>
      <c r="E2570" s="18" t="inlineStr">
        <is>
          <t>The Departed</t>
        </is>
      </c>
      <c r="F2570" s="18" t="inlineStr">
        <is>
          <t>F0081</t>
        </is>
      </c>
    </row>
    <row r="2571" ht="15.75" customHeight="1" s="108">
      <c r="A2571" s="18" t="inlineStr">
        <is>
          <t>Richard Hughes</t>
        </is>
      </c>
      <c r="B2571" s="18" t="n">
        <v>1</v>
      </c>
      <c r="C2571" s="18" t="n">
        <v>2006</v>
      </c>
      <c r="D2571" s="18" t="n">
        <v>2006</v>
      </c>
      <c r="E2571" s="18" t="inlineStr">
        <is>
          <t>The Departed</t>
        </is>
      </c>
      <c r="F2571" s="18" t="inlineStr">
        <is>
          <t>F0081</t>
        </is>
      </c>
    </row>
    <row r="2572" ht="15.75" customHeight="1" s="108">
      <c r="A2572" s="18" t="inlineStr">
        <is>
          <t>J.C. MacKenzie</t>
        </is>
      </c>
      <c r="B2572" s="18" t="n">
        <v>1</v>
      </c>
      <c r="C2572" s="18" t="n">
        <v>2006</v>
      </c>
      <c r="D2572" s="18" t="n">
        <v>2006</v>
      </c>
      <c r="E2572" s="18" t="inlineStr">
        <is>
          <t>The Departed</t>
        </is>
      </c>
      <c r="F2572" s="18" t="inlineStr">
        <is>
          <t>F0081</t>
        </is>
      </c>
    </row>
    <row r="2573" ht="15.75" customHeight="1" s="108">
      <c r="A2573" s="18" t="inlineStr">
        <is>
          <t>Mary Klug</t>
        </is>
      </c>
      <c r="B2573" s="18" t="n">
        <v>1</v>
      </c>
      <c r="C2573" s="18" t="n">
        <v>2006</v>
      </c>
      <c r="D2573" s="18" t="n">
        <v>2006</v>
      </c>
      <c r="E2573" s="18" t="inlineStr">
        <is>
          <t>The Departed</t>
        </is>
      </c>
      <c r="F2573" s="18" t="inlineStr">
        <is>
          <t>F0081</t>
        </is>
      </c>
    </row>
    <row r="2574" ht="15.75" customHeight="1" s="108">
      <c r="A2574" s="18" t="inlineStr">
        <is>
          <t>Peg Holzemer</t>
        </is>
      </c>
      <c r="B2574" s="18" t="n">
        <v>1</v>
      </c>
      <c r="C2574" s="18" t="n">
        <v>2006</v>
      </c>
      <c r="D2574" s="18" t="n">
        <v>2006</v>
      </c>
      <c r="E2574" s="18" t="inlineStr">
        <is>
          <t>The Departed</t>
        </is>
      </c>
      <c r="F2574" s="18" t="inlineStr">
        <is>
          <t>F0081</t>
        </is>
      </c>
    </row>
    <row r="2575" ht="15.75" customHeight="1" s="108">
      <c r="A2575" s="18" t="inlineStr">
        <is>
          <t>Robert 'Toshi' Kar Yuen Chan</t>
        </is>
      </c>
      <c r="B2575" s="18" t="n">
        <v>1</v>
      </c>
      <c r="C2575" s="18" t="n">
        <v>2006</v>
      </c>
      <c r="D2575" s="18" t="n">
        <v>2006</v>
      </c>
      <c r="E2575" s="18" t="inlineStr">
        <is>
          <t>The Departed</t>
        </is>
      </c>
      <c r="F2575" s="18" t="inlineStr">
        <is>
          <t>F0081</t>
        </is>
      </c>
    </row>
    <row r="2576" ht="15.75" customHeight="1" s="108">
      <c r="A2576" s="18" t="inlineStr">
        <is>
          <t>Gurdeep Singh</t>
        </is>
      </c>
      <c r="B2576" s="18" t="n">
        <v>1</v>
      </c>
      <c r="C2576" s="18" t="n">
        <v>2006</v>
      </c>
      <c r="D2576" s="18" t="n">
        <v>2006</v>
      </c>
      <c r="E2576" s="18" t="inlineStr">
        <is>
          <t>The Departed</t>
        </is>
      </c>
      <c r="F2576" s="18" t="inlineStr">
        <is>
          <t>F0081</t>
        </is>
      </c>
    </row>
    <row r="2577" ht="15.75" customHeight="1" s="108">
      <c r="A2577" s="18" t="inlineStr">
        <is>
          <t>Armen Garo</t>
        </is>
      </c>
      <c r="B2577" s="18" t="n">
        <v>1</v>
      </c>
      <c r="C2577" s="18" t="n">
        <v>2006</v>
      </c>
      <c r="D2577" s="18" t="n">
        <v>2006</v>
      </c>
      <c r="E2577" s="18" t="inlineStr">
        <is>
          <t>The Departed</t>
        </is>
      </c>
      <c r="F2577" s="18" t="inlineStr">
        <is>
          <t>F0081</t>
        </is>
      </c>
    </row>
    <row r="2578" ht="15.75" customHeight="1" s="108">
      <c r="A2578" s="18" t="inlineStr">
        <is>
          <t>John Cenatiempo</t>
        </is>
      </c>
      <c r="B2578" s="18" t="n">
        <v>3</v>
      </c>
      <c r="C2578" s="18" t="n">
        <v>2003</v>
      </c>
      <c r="D2578" s="18" t="n">
        <v>2009</v>
      </c>
      <c r="E2578" s="18" t="inlineStr">
        <is>
          <t>The Departed, 2 Fast 2 Furious, Fast &amp; Furious</t>
        </is>
      </c>
      <c r="F2578" s="18" t="inlineStr">
        <is>
          <t>F0081, F0102, F0104</t>
        </is>
      </c>
    </row>
    <row r="2579" ht="15.75" customHeight="1" s="108">
      <c r="A2579" s="18" t="inlineStr">
        <is>
          <t>Joseph Riccobene</t>
        </is>
      </c>
      <c r="B2579" s="18" t="n">
        <v>1</v>
      </c>
      <c r="C2579" s="18" t="n">
        <v>2006</v>
      </c>
      <c r="D2579" s="18" t="n">
        <v>2006</v>
      </c>
      <c r="E2579" s="18" t="inlineStr">
        <is>
          <t>The Departed</t>
        </is>
      </c>
      <c r="F2579" s="18" t="inlineStr">
        <is>
          <t>F0081</t>
        </is>
      </c>
    </row>
    <row r="2580" ht="15.75" customHeight="1" s="108">
      <c r="A2580" s="18" t="inlineStr">
        <is>
          <t>Billy Smith</t>
        </is>
      </c>
      <c r="B2580" s="18" t="n">
        <v>2</v>
      </c>
      <c r="C2580" s="18" t="n">
        <v>2006</v>
      </c>
      <c r="D2580" s="18" t="n">
        <v>2025</v>
      </c>
      <c r="E2580" s="18" t="inlineStr">
        <is>
          <t>The Departed, Jurassic World Rebirth</t>
        </is>
      </c>
      <c r="F2580" s="18" t="inlineStr">
        <is>
          <t>F0081, F0182</t>
        </is>
      </c>
    </row>
    <row r="2581" ht="15.75" customHeight="1" s="108">
      <c r="A2581" s="18" t="inlineStr">
        <is>
          <t>Lyman Chen</t>
        </is>
      </c>
      <c r="B2581" s="18" t="n">
        <v>1</v>
      </c>
      <c r="C2581" s="18" t="n">
        <v>2006</v>
      </c>
      <c r="D2581" s="18" t="n">
        <v>2006</v>
      </c>
      <c r="E2581" s="18" t="inlineStr">
        <is>
          <t>The Departed</t>
        </is>
      </c>
      <c r="F2581" s="18" t="inlineStr">
        <is>
          <t>F0081</t>
        </is>
      </c>
    </row>
    <row r="2582" ht="15.75" customHeight="1" s="108">
      <c r="A2582" s="18" t="inlineStr">
        <is>
          <t>Kevin P. McCarthy</t>
        </is>
      </c>
      <c r="B2582" s="18" t="n">
        <v>1</v>
      </c>
      <c r="C2582" s="18" t="n">
        <v>2006</v>
      </c>
      <c r="D2582" s="18" t="n">
        <v>2006</v>
      </c>
      <c r="E2582" s="18" t="inlineStr">
        <is>
          <t>The Departed</t>
        </is>
      </c>
      <c r="F2582" s="18" t="inlineStr">
        <is>
          <t>F0081</t>
        </is>
      </c>
    </row>
    <row r="2583" ht="15.75" customHeight="1" s="108">
      <c r="A2583" s="18" t="inlineStr">
        <is>
          <t>Chris Fischer</t>
        </is>
      </c>
      <c r="B2583" s="18" t="n">
        <v>1</v>
      </c>
      <c r="C2583" s="18" t="n">
        <v>2006</v>
      </c>
      <c r="D2583" s="18" t="n">
        <v>2006</v>
      </c>
      <c r="E2583" s="18" t="inlineStr">
        <is>
          <t>The Departed</t>
        </is>
      </c>
      <c r="F2583" s="18" t="inlineStr">
        <is>
          <t>F0081</t>
        </is>
      </c>
    </row>
    <row r="2584" ht="15.75" customHeight="1" s="108">
      <c r="A2584" s="18" t="inlineStr">
        <is>
          <t>Brian Smyj</t>
        </is>
      </c>
      <c r="B2584" s="18" t="n">
        <v>1</v>
      </c>
      <c r="C2584" s="18" t="n">
        <v>2006</v>
      </c>
      <c r="D2584" s="18" t="n">
        <v>2006</v>
      </c>
      <c r="E2584" s="18" t="inlineStr">
        <is>
          <t>The Departed</t>
        </is>
      </c>
      <c r="F2584" s="18" t="inlineStr">
        <is>
          <t>F0081</t>
        </is>
      </c>
    </row>
    <row r="2585" ht="15.75" customHeight="1" s="108">
      <c r="A2585" s="18" t="inlineStr">
        <is>
          <t>Julie Andrews</t>
        </is>
      </c>
      <c r="B2585" s="18" t="n">
        <v>2</v>
      </c>
      <c r="C2585" s="18" t="n">
        <v>2010</v>
      </c>
      <c r="D2585" s="18" t="n">
        <v>2017</v>
      </c>
      <c r="E2585" s="18" t="inlineStr">
        <is>
          <t>Despicable Me, Despicable Me 3</t>
        </is>
      </c>
      <c r="F2585" s="18" t="inlineStr">
        <is>
          <t>F0082, F0084</t>
        </is>
      </c>
    </row>
    <row r="2586" ht="15.75" customHeight="1" s="108">
      <c r="A2586" s="18" t="inlineStr">
        <is>
          <t>Dana Gaier Ellis</t>
        </is>
      </c>
      <c r="B2586" s="18" t="n">
        <v>3</v>
      </c>
      <c r="C2586" s="18" t="n">
        <v>2010</v>
      </c>
      <c r="D2586" s="18" t="n">
        <v>2017</v>
      </c>
      <c r="E2586" s="18" t="inlineStr">
        <is>
          <t>Despicable Me, Despicable Me 2, Despicable Me 3</t>
        </is>
      </c>
      <c r="F2586" s="18" t="inlineStr">
        <is>
          <t>F0082, F0083, F0084</t>
        </is>
      </c>
    </row>
    <row r="2587" ht="15.75" customHeight="1" s="108">
      <c r="A2587" s="18" t="inlineStr">
        <is>
          <t>Pierre Coffin</t>
        </is>
      </c>
      <c r="B2587" s="18" t="n">
        <v>4</v>
      </c>
      <c r="C2587" s="18" t="n">
        <v>2010</v>
      </c>
      <c r="D2587" s="18" t="n">
        <v>2017</v>
      </c>
      <c r="E2587" s="18" t="inlineStr">
        <is>
          <t>Despicable Me, Despicable Me 2, Despicable Me 3, Minions</t>
        </is>
      </c>
      <c r="F2587" s="18" t="inlineStr">
        <is>
          <t>F0082, F0083, F0084, F0220</t>
        </is>
      </c>
    </row>
    <row r="2588" ht="15.75" customHeight="1" s="108">
      <c r="A2588" s="18" t="inlineStr">
        <is>
          <t>Chris Renaud</t>
        </is>
      </c>
      <c r="B2588" s="18" t="n">
        <v>3</v>
      </c>
      <c r="C2588" s="18" t="n">
        <v>2010</v>
      </c>
      <c r="D2588" s="18" t="n">
        <v>2016</v>
      </c>
      <c r="E2588" s="18" t="inlineStr">
        <is>
          <t>Despicable Me, Despicable Me 2, The Secret Life of Pets</t>
        </is>
      </c>
      <c r="F2588" s="18" t="inlineStr">
        <is>
          <t>F0082, F0083, F0274</t>
        </is>
      </c>
    </row>
    <row r="2589" ht="15.75" customHeight="1" s="108">
      <c r="A2589" s="18" t="inlineStr">
        <is>
          <t>Mindy Kaling</t>
        </is>
      </c>
      <c r="B2589" s="18" t="n">
        <v>4</v>
      </c>
      <c r="C2589" s="18" t="n">
        <v>2009</v>
      </c>
      <c r="D2589" s="18" t="n">
        <v>2015</v>
      </c>
      <c r="E2589" s="18" t="inlineStr">
        <is>
          <t>Despicable Me, Inside Out, Night at the Museum: Battle of the Smithsonian, Wreck-It Ralph</t>
        </is>
      </c>
      <c r="F2589" s="18" t="inlineStr">
        <is>
          <t>F0082, F0167, F0236, F0336</t>
        </is>
      </c>
    </row>
    <row r="2590" ht="15.75" customHeight="1" s="108">
      <c r="A2590" s="18" t="inlineStr">
        <is>
          <t>Rob Huebel</t>
        </is>
      </c>
      <c r="B2590" s="18" t="n">
        <v>1</v>
      </c>
      <c r="C2590" s="18" t="n">
        <v>2010</v>
      </c>
      <c r="D2590" s="18" t="n">
        <v>2010</v>
      </c>
      <c r="E2590" s="18" t="inlineStr">
        <is>
          <t>Despicable Me</t>
        </is>
      </c>
      <c r="F2590" s="18" t="inlineStr">
        <is>
          <t>F0082</t>
        </is>
      </c>
    </row>
    <row r="2591" ht="15.75" customHeight="1" s="108">
      <c r="A2591" s="18" t="inlineStr">
        <is>
          <t>Ken Daurio</t>
        </is>
      </c>
      <c r="B2591" s="18" t="n">
        <v>2</v>
      </c>
      <c r="C2591" s="18" t="n">
        <v>2010</v>
      </c>
      <c r="D2591" s="18" t="n">
        <v>2017</v>
      </c>
      <c r="E2591" s="18" t="inlineStr">
        <is>
          <t>Despicable Me, Despicable Me 3</t>
        </is>
      </c>
      <c r="F2591" s="18" t="inlineStr">
        <is>
          <t>F0082, F0084</t>
        </is>
      </c>
    </row>
    <row r="2592" ht="15.75" customHeight="1" s="108">
      <c r="A2592" s="18" t="inlineStr">
        <is>
          <t>Charles Bright</t>
        </is>
      </c>
      <c r="B2592" s="18" t="n">
        <v>1</v>
      </c>
      <c r="C2592" s="18" t="n">
        <v>2010</v>
      </c>
      <c r="D2592" s="18" t="n">
        <v>2010</v>
      </c>
      <c r="E2592" s="18" t="inlineStr">
        <is>
          <t>Despicable Me</t>
        </is>
      </c>
      <c r="F2592" s="18" t="inlineStr">
        <is>
          <t>F0082</t>
        </is>
      </c>
    </row>
    <row r="2593" ht="15.75" customHeight="1" s="108">
      <c r="A2593" s="18" t="inlineStr">
        <is>
          <t>Katie Leigh</t>
        </is>
      </c>
      <c r="B2593" s="18" t="n">
        <v>1</v>
      </c>
      <c r="C2593" s="18" t="n">
        <v>2010</v>
      </c>
      <c r="D2593" s="18" t="n">
        <v>2010</v>
      </c>
      <c r="E2593" s="18" t="inlineStr">
        <is>
          <t>Despicable Me</t>
        </is>
      </c>
      <c r="F2593" s="18" t="inlineStr">
        <is>
          <t>F0082</t>
        </is>
      </c>
    </row>
    <row r="2594" ht="15.75" customHeight="1" s="108">
      <c r="A2594" s="18" t="inlineStr">
        <is>
          <t>Ranjani Brow</t>
        </is>
      </c>
      <c r="B2594" s="18" t="n">
        <v>1</v>
      </c>
      <c r="C2594" s="18" t="n">
        <v>2010</v>
      </c>
      <c r="D2594" s="18" t="n">
        <v>2010</v>
      </c>
      <c r="E2594" s="18" t="inlineStr">
        <is>
          <t>Despicable Me</t>
        </is>
      </c>
      <c r="F2594" s="18" t="inlineStr">
        <is>
          <t>F0082</t>
        </is>
      </c>
    </row>
    <row r="2595" ht="15.75" customHeight="1" s="108">
      <c r="A2595" s="18" t="inlineStr">
        <is>
          <t>Holly Dorff</t>
        </is>
      </c>
      <c r="B2595" s="18" t="n">
        <v>1</v>
      </c>
      <c r="C2595" s="18" t="n">
        <v>2010</v>
      </c>
      <c r="D2595" s="18" t="n">
        <v>2010</v>
      </c>
      <c r="E2595" s="18" t="inlineStr">
        <is>
          <t>Despicable Me</t>
        </is>
      </c>
      <c r="F2595" s="18" t="inlineStr">
        <is>
          <t>F0082</t>
        </is>
      </c>
    </row>
    <row r="2596" ht="15.75" customHeight="1" s="108">
      <c r="A2596" s="18" t="inlineStr">
        <is>
          <t>Edie Mirman</t>
        </is>
      </c>
      <c r="B2596" s="18" t="n">
        <v>1</v>
      </c>
      <c r="C2596" s="18" t="n">
        <v>2010</v>
      </c>
      <c r="D2596" s="18" t="n">
        <v>2010</v>
      </c>
      <c r="E2596" s="18" t="inlineStr">
        <is>
          <t>Despicable Me</t>
        </is>
      </c>
      <c r="F2596" s="18" t="inlineStr">
        <is>
          <t>F0082</t>
        </is>
      </c>
    </row>
    <row r="2597" ht="15.75" customHeight="1" s="108">
      <c r="A2597" s="18" t="inlineStr">
        <is>
          <t>Al Rodrigo</t>
        </is>
      </c>
      <c r="B2597" s="18" t="n">
        <v>1</v>
      </c>
      <c r="C2597" s="18" t="n">
        <v>2010</v>
      </c>
      <c r="D2597" s="18" t="n">
        <v>2010</v>
      </c>
      <c r="E2597" s="18" t="inlineStr">
        <is>
          <t>Despicable Me</t>
        </is>
      </c>
      <c r="F2597" s="18" t="inlineStr">
        <is>
          <t>F0082</t>
        </is>
      </c>
    </row>
    <row r="2598" ht="15.75" customHeight="1" s="108">
      <c r="A2598" s="18" t="inlineStr">
        <is>
          <t>Jakob Roston</t>
        </is>
      </c>
      <c r="B2598" s="18" t="n">
        <v>1</v>
      </c>
      <c r="C2598" s="18" t="n">
        <v>2010</v>
      </c>
      <c r="D2598" s="18" t="n">
        <v>2010</v>
      </c>
      <c r="E2598" s="18" t="inlineStr">
        <is>
          <t>Despicable Me</t>
        </is>
      </c>
      <c r="F2598" s="18" t="inlineStr">
        <is>
          <t>F0082</t>
        </is>
      </c>
    </row>
    <row r="2599" ht="15.75" customHeight="1" s="108">
      <c r="A2599" s="18" t="inlineStr">
        <is>
          <t>James Kyson</t>
        </is>
      </c>
      <c r="B2599" s="18" t="n">
        <v>1</v>
      </c>
      <c r="C2599" s="18" t="n">
        <v>2010</v>
      </c>
      <c r="D2599" s="18" t="n">
        <v>2010</v>
      </c>
      <c r="E2599" s="18" t="inlineStr">
        <is>
          <t>Despicable Me</t>
        </is>
      </c>
      <c r="F2599" s="18" t="inlineStr">
        <is>
          <t>F0082</t>
        </is>
      </c>
    </row>
    <row r="2600" ht="15.75" customHeight="1" s="108">
      <c r="A2600" s="18" t="inlineStr">
        <is>
          <t>John Hans Tester</t>
        </is>
      </c>
      <c r="B2600" s="18" t="n">
        <v>1</v>
      </c>
      <c r="C2600" s="18" t="n">
        <v>2010</v>
      </c>
      <c r="D2600" s="18" t="n">
        <v>2010</v>
      </c>
      <c r="E2600" s="18" t="inlineStr">
        <is>
          <t>Despicable Me</t>
        </is>
      </c>
      <c r="F2600" s="18" t="inlineStr">
        <is>
          <t>F0082</t>
        </is>
      </c>
    </row>
    <row r="2601" ht="15.75" customHeight="1" s="108">
      <c r="A2601" s="18" t="inlineStr">
        <is>
          <t>Moisés Arias</t>
        </is>
      </c>
      <c r="B2601" s="18" t="n">
        <v>2</v>
      </c>
      <c r="C2601" s="18" t="n">
        <v>2013</v>
      </c>
      <c r="D2601" s="18" t="n">
        <v>2017</v>
      </c>
      <c r="E2601" s="18" t="inlineStr">
        <is>
          <t>Despicable Me 2, Pitch Perfect 3</t>
        </is>
      </c>
      <c r="F2601" s="18" t="inlineStr">
        <is>
          <t>F0083, F0252</t>
        </is>
      </c>
    </row>
    <row r="2602" ht="15.75" customHeight="1" s="108">
      <c r="A2602" s="18" t="inlineStr">
        <is>
          <t>Nasim Pedrad</t>
        </is>
      </c>
      <c r="B2602" s="18" t="n">
        <v>1</v>
      </c>
      <c r="C2602" s="18" t="n">
        <v>2013</v>
      </c>
      <c r="D2602" s="18" t="n">
        <v>2013</v>
      </c>
      <c r="E2602" s="18" t="inlineStr">
        <is>
          <t>Despicable Me 2</t>
        </is>
      </c>
      <c r="F2602" s="18" t="inlineStr">
        <is>
          <t>F0083</t>
        </is>
      </c>
    </row>
    <row r="2603" ht="15.75" customHeight="1" s="108">
      <c r="A2603" s="18" t="inlineStr">
        <is>
          <t>Nickolai Stoilov</t>
        </is>
      </c>
      <c r="B2603" s="18" t="n">
        <v>1</v>
      </c>
      <c r="C2603" s="18" t="n">
        <v>2013</v>
      </c>
      <c r="D2603" s="18" t="n">
        <v>2013</v>
      </c>
      <c r="E2603" s="18" t="inlineStr">
        <is>
          <t>Despicable Me 2</t>
        </is>
      </c>
      <c r="F2603" s="18" t="inlineStr">
        <is>
          <t>F0083</t>
        </is>
      </c>
    </row>
    <row r="2604" ht="15.75" customHeight="1" s="108">
      <c r="A2604" s="18" t="inlineStr">
        <is>
          <t>Vanessa Bayer</t>
        </is>
      </c>
      <c r="B2604" s="18" t="n">
        <v>1</v>
      </c>
      <c r="C2604" s="18" t="n">
        <v>2013</v>
      </c>
      <c r="D2604" s="18" t="n">
        <v>2013</v>
      </c>
      <c r="E2604" s="18" t="inlineStr">
        <is>
          <t>Despicable Me 2</t>
        </is>
      </c>
      <c r="F2604" s="18" t="inlineStr">
        <is>
          <t>F0083</t>
        </is>
      </c>
    </row>
    <row r="2605" ht="15.75" customHeight="1" s="108">
      <c r="A2605" s="18" t="inlineStr">
        <is>
          <t>Ava Acres</t>
        </is>
      </c>
      <c r="B2605" s="18" t="n">
        <v>4</v>
      </c>
      <c r="C2605" s="18" t="n">
        <v>2011</v>
      </c>
      <c r="D2605" s="18" t="n">
        <v>2015</v>
      </c>
      <c r="E2605" s="18" t="inlineStr">
        <is>
          <t>Despicable Me 2, Frozen, Happy Feet Two, Minions</t>
        </is>
      </c>
      <c r="F2605" s="18" t="inlineStr">
        <is>
          <t>F0083, F0116, F0145, F0220</t>
        </is>
      </c>
    </row>
    <row r="2606" ht="15.75" customHeight="1" s="108">
      <c r="A2606" s="18" t="inlineStr">
        <is>
          <t>Lori Alan</t>
        </is>
      </c>
      <c r="B2606" s="18" t="n">
        <v>8</v>
      </c>
      <c r="C2606" s="18" t="n">
        <v>2008</v>
      </c>
      <c r="D2606" s="18" t="n">
        <v>2019</v>
      </c>
      <c r="E2606" s="18" t="inlineStr">
        <is>
          <t>Despicable Me 2, Despicable Me 3, Inside Out, Minions, Monsters University, Toy Story 3, Toy Story 4, WALL·E</t>
        </is>
      </c>
      <c r="F2606" s="18" t="inlineStr">
        <is>
          <t>F0083, F0084, F0167, F0220, F0230, F0314, F0315, F0331</t>
        </is>
      </c>
    </row>
    <row r="2607" ht="15.75" customHeight="1" s="108">
      <c r="A2607" s="18" t="inlineStr">
        <is>
          <t>Eva Bella</t>
        </is>
      </c>
      <c r="B2607" s="18" t="n">
        <v>2</v>
      </c>
      <c r="C2607" s="18" t="n">
        <v>2013</v>
      </c>
      <c r="D2607" s="18" t="n">
        <v>2013</v>
      </c>
      <c r="E2607" s="18" t="inlineStr">
        <is>
          <t>Despicable Me 2, Frozen</t>
        </is>
      </c>
      <c r="F2607" s="18" t="inlineStr">
        <is>
          <t>F0083, F0116</t>
        </is>
      </c>
    </row>
    <row r="2608" ht="15.75" customHeight="1" s="108">
      <c r="A2608" s="18" t="inlineStr">
        <is>
          <t>Georgia Cook</t>
        </is>
      </c>
      <c r="B2608" s="18" t="n">
        <v>1</v>
      </c>
      <c r="C2608" s="18" t="n">
        <v>2013</v>
      </c>
      <c r="D2608" s="18" t="n">
        <v>2013</v>
      </c>
      <c r="E2608" s="18" t="inlineStr">
        <is>
          <t>Despicable Me 2</t>
        </is>
      </c>
      <c r="F2608" s="18" t="inlineStr">
        <is>
          <t>F0083</t>
        </is>
      </c>
    </row>
    <row r="2609" ht="15.75" customHeight="1" s="108">
      <c r="A2609" s="18" t="inlineStr">
        <is>
          <t>John Cygan</t>
        </is>
      </c>
      <c r="B2609" s="18" t="n">
        <v>7</v>
      </c>
      <c r="C2609" s="18" t="n">
        <v>2008</v>
      </c>
      <c r="D2609" s="18" t="n">
        <v>2017</v>
      </c>
      <c r="E2609" s="18" t="inlineStr">
        <is>
          <t>Despicable Me 2, Despicable Me 3, Inside Out, Minions, Toy Story 3, Up, WALL·E</t>
        </is>
      </c>
      <c r="F2609" s="18" t="inlineStr">
        <is>
          <t>F0083, F0084, F0167, F0220, F0314, F0330, F0331</t>
        </is>
      </c>
    </row>
    <row r="2610" ht="15.75" customHeight="1" s="108">
      <c r="A2610" s="18" t="inlineStr">
        <is>
          <t>Jess Harnell</t>
        </is>
      </c>
      <c r="B2610" s="18" t="n">
        <v>7</v>
      </c>
      <c r="C2610" s="18" t="n">
        <v>2008</v>
      </c>
      <c r="D2610" s="18" t="n">
        <v>2017</v>
      </c>
      <c r="E2610" s="18" t="inlineStr">
        <is>
          <t>Despicable Me 2, Despicable Me 3, Minions, The Secret Life of Pets, Up, WALL·E, Wreck-It Ralph</t>
        </is>
      </c>
      <c r="F2610" s="18" t="inlineStr">
        <is>
          <t>F0083, F0084, F0220, F0274, F0330, F0331, F0336</t>
        </is>
      </c>
    </row>
    <row r="2611" ht="15.75" customHeight="1" s="108">
      <c r="A2611" s="18" t="inlineStr">
        <is>
          <t>Danny Mann</t>
        </is>
      </c>
      <c r="B2611" s="18" t="n">
        <v>5</v>
      </c>
      <c r="C2611" s="18" t="n">
        <v>2009</v>
      </c>
      <c r="D2611" s="18" t="n">
        <v>2017</v>
      </c>
      <c r="E2611" s="18" t="inlineStr">
        <is>
          <t>Despicable Me 2, Despicable Me 3, Happy Feet Two, The Secret Life of Pets, Up</t>
        </is>
      </c>
      <c r="F2611" s="18" t="inlineStr">
        <is>
          <t>F0083, F0084, F0145, F0274, F0330</t>
        </is>
      </c>
    </row>
    <row r="2612" ht="15.75" customHeight="1" s="108">
      <c r="A2612" s="18" t="inlineStr">
        <is>
          <t>Mona Marshall</t>
        </is>
      </c>
      <c r="B2612" s="18" t="n">
        <v>2</v>
      </c>
      <c r="C2612" s="18" t="n">
        <v>2013</v>
      </c>
      <c r="D2612" s="18" t="n">
        <v>2016</v>
      </c>
      <c r="E2612" s="18" t="inlineStr">
        <is>
          <t>Despicable Me 2, The Secret Life of Pets</t>
        </is>
      </c>
      <c r="F2612" s="18" t="inlineStr">
        <is>
          <t>F0083, F0274</t>
        </is>
      </c>
    </row>
    <row r="2613" ht="15.75" customHeight="1" s="108">
      <c r="A2613" s="18" t="inlineStr">
        <is>
          <t>Mickie McGowan</t>
        </is>
      </c>
      <c r="B2613" s="18" t="n">
        <v>6</v>
      </c>
      <c r="C2613" s="18" t="n">
        <v>1995</v>
      </c>
      <c r="D2613" s="18" t="n">
        <v>2015</v>
      </c>
      <c r="E2613" s="18" t="inlineStr">
        <is>
          <t>Despicable Me 2, Hercules, Minions, Toy Story, Up, WALL·E</t>
        </is>
      </c>
      <c r="F2613" s="18" t="inlineStr">
        <is>
          <t>F0083, F0147, F0220, F0312, F0330, F0331</t>
        </is>
      </c>
    </row>
    <row r="2614" ht="15.75" customHeight="1" s="108">
      <c r="A2614" s="18" t="inlineStr">
        <is>
          <t>Mason McNulty</t>
        </is>
      </c>
      <c r="B2614" s="18" t="n">
        <v>1</v>
      </c>
      <c r="C2614" s="18" t="n">
        <v>2013</v>
      </c>
      <c r="D2614" s="18" t="n">
        <v>2013</v>
      </c>
      <c r="E2614" s="18" t="inlineStr">
        <is>
          <t>Despicable Me 2</t>
        </is>
      </c>
      <c r="F2614" s="18" t="inlineStr">
        <is>
          <t>F0083</t>
        </is>
      </c>
    </row>
    <row r="2615" ht="15.75" customHeight="1" s="108">
      <c r="A2615" s="18" t="inlineStr">
        <is>
          <t>Alec Medlock</t>
        </is>
      </c>
      <c r="B2615" s="18" t="n">
        <v>3</v>
      </c>
      <c r="C2615" s="18" t="n">
        <v>2003</v>
      </c>
      <c r="D2615" s="18" t="n">
        <v>2013</v>
      </c>
      <c r="E2615" s="18" t="inlineStr">
        <is>
          <t>Despicable Me 2, finding nemo,  finding nemo</t>
        </is>
      </c>
      <c r="F2615" s="18" t="inlineStr">
        <is>
          <t>F0083, F0369</t>
        </is>
      </c>
    </row>
    <row r="2616" ht="15.75" customHeight="1" s="108">
      <c r="A2616" s="18" t="inlineStr">
        <is>
          <t>Laraine Newman</t>
        </is>
      </c>
      <c r="B2616" s="18" t="n">
        <v>4</v>
      </c>
      <c r="C2616" s="18" t="n">
        <v>2008</v>
      </c>
      <c r="D2616" s="18" t="n">
        <v>2016</v>
      </c>
      <c r="E2616" s="18" t="inlineStr">
        <is>
          <t>Despicable Me 2, Sing, Up, WALL·E</t>
        </is>
      </c>
      <c r="F2616" s="18" t="inlineStr">
        <is>
          <t>F0083, F0280, F0330, F0331</t>
        </is>
      </c>
    </row>
    <row r="2617" ht="15.75" customHeight="1" s="108">
      <c r="A2617" s="18" t="inlineStr">
        <is>
          <t>Trey Parker</t>
        </is>
      </c>
      <c r="B2617" s="18" t="n">
        <v>1</v>
      </c>
      <c r="C2617" s="18" t="n">
        <v>2017</v>
      </c>
      <c r="D2617" s="18" t="n">
        <v>2017</v>
      </c>
      <c r="E2617" s="18" t="inlineStr">
        <is>
          <t>Despicable Me 3</t>
        </is>
      </c>
      <c r="F2617" s="18" t="inlineStr">
        <is>
          <t>F0084</t>
        </is>
      </c>
    </row>
    <row r="2618" ht="15.75" customHeight="1" s="108">
      <c r="A2618" s="18" t="inlineStr">
        <is>
          <t>Nhev Scharrel</t>
        </is>
      </c>
      <c r="B2618" s="18" t="n">
        <v>1</v>
      </c>
      <c r="C2618" s="18" t="n">
        <v>2017</v>
      </c>
      <c r="D2618" s="18" t="n">
        <v>2017</v>
      </c>
      <c r="E2618" s="18" t="inlineStr">
        <is>
          <t>Despicable Me 3</t>
        </is>
      </c>
      <c r="F2618" s="18" t="inlineStr">
        <is>
          <t>F0084</t>
        </is>
      </c>
    </row>
    <row r="2619" ht="15.75" customHeight="1" s="108">
      <c r="A2619" s="18" t="inlineStr">
        <is>
          <t>Michael Beattie</t>
        </is>
      </c>
      <c r="B2619" s="18" t="n">
        <v>3</v>
      </c>
      <c r="C2619" s="18" t="n">
        <v>2015</v>
      </c>
      <c r="D2619" s="18" t="n">
        <v>2017</v>
      </c>
      <c r="E2619" s="18" t="inlineStr">
        <is>
          <t>Despicable Me 3, Minions, The Secret Life of Pets</t>
        </is>
      </c>
      <c r="F2619" s="18" t="inlineStr">
        <is>
          <t>F0084, F0220, F0274</t>
        </is>
      </c>
    </row>
    <row r="2620" ht="15.75" customHeight="1" s="108">
      <c r="A2620" s="18" t="inlineStr">
        <is>
          <t>Andy Nyman</t>
        </is>
      </c>
      <c r="B2620" s="18" t="n">
        <v>2</v>
      </c>
      <c r="C2620" s="18" t="n">
        <v>2013</v>
      </c>
      <c r="D2620" s="18" t="n">
        <v>2017</v>
      </c>
      <c r="E2620" s="18" t="inlineStr">
        <is>
          <t>Despicable Me 3, Kick-Ass 2</t>
        </is>
      </c>
      <c r="F2620" s="18" t="inlineStr">
        <is>
          <t>F0084, F0186</t>
        </is>
      </c>
    </row>
    <row r="2621" ht="15.75" customHeight="1" s="108">
      <c r="A2621" s="18" t="inlineStr">
        <is>
          <t>Adrian Ciscato</t>
        </is>
      </c>
      <c r="B2621" s="18" t="n">
        <v>1</v>
      </c>
      <c r="C2621" s="18" t="n">
        <v>2017</v>
      </c>
      <c r="D2621" s="18" t="n">
        <v>2017</v>
      </c>
      <c r="E2621" s="18" t="inlineStr">
        <is>
          <t>Despicable Me 3</t>
        </is>
      </c>
      <c r="F2621" s="18" t="inlineStr">
        <is>
          <t>F0084</t>
        </is>
      </c>
    </row>
    <row r="2622" ht="15.75" customHeight="1" s="108">
      <c r="A2622" s="18" t="inlineStr">
        <is>
          <t>Brian T. Delaney</t>
        </is>
      </c>
      <c r="B2622" s="18" t="n">
        <v>3</v>
      </c>
      <c r="C2622" s="18" t="n">
        <v>2015</v>
      </c>
      <c r="D2622" s="18" t="n">
        <v>2017</v>
      </c>
      <c r="E2622" s="18" t="inlineStr">
        <is>
          <t>Despicable Me 3, Minions, The Secret Life of Pets</t>
        </is>
      </c>
      <c r="F2622" s="18" t="inlineStr">
        <is>
          <t>F0084, F0220, F0274</t>
        </is>
      </c>
    </row>
    <row r="2623" ht="15.75" customHeight="1" s="108">
      <c r="A2623" s="18" t="inlineStr">
        <is>
          <t>Katia Saponenko</t>
        </is>
      </c>
      <c r="B2623" s="18" t="n">
        <v>1</v>
      </c>
      <c r="C2623" s="18" t="n">
        <v>2017</v>
      </c>
      <c r="D2623" s="18" t="n">
        <v>2017</v>
      </c>
      <c r="E2623" s="18" t="inlineStr">
        <is>
          <t>Despicable Me 3</t>
        </is>
      </c>
      <c r="F2623" s="18" t="inlineStr">
        <is>
          <t>F0084</t>
        </is>
      </c>
    </row>
    <row r="2624" ht="15.75" customHeight="1" s="108">
      <c r="A2624" s="18" t="inlineStr">
        <is>
          <t>Jude Alpers</t>
        </is>
      </c>
      <c r="B2624" s="18" t="n">
        <v>1</v>
      </c>
      <c r="C2624" s="18" t="n">
        <v>2017</v>
      </c>
      <c r="D2624" s="18" t="n">
        <v>2017</v>
      </c>
      <c r="E2624" s="18" t="inlineStr">
        <is>
          <t>Despicable Me 3</t>
        </is>
      </c>
      <c r="F2624" s="18" t="inlineStr">
        <is>
          <t>F0084</t>
        </is>
      </c>
    </row>
    <row r="2625" ht="15.75" customHeight="1" s="108">
      <c r="A2625" s="18" t="inlineStr">
        <is>
          <t>Cory Walls</t>
        </is>
      </c>
      <c r="B2625" s="18" t="n">
        <v>1</v>
      </c>
      <c r="C2625" s="18" t="n">
        <v>2017</v>
      </c>
      <c r="D2625" s="18" t="n">
        <v>2017</v>
      </c>
      <c r="E2625" s="18" t="inlineStr">
        <is>
          <t>Despicable Me 3</t>
        </is>
      </c>
      <c r="F2625" s="18" t="inlineStr">
        <is>
          <t>F0084</t>
        </is>
      </c>
    </row>
    <row r="2626" ht="15.75" customHeight="1" s="108">
      <c r="A2626" s="18" t="inlineStr">
        <is>
          <t>Sophie M. Siadatpour</t>
        </is>
      </c>
      <c r="B2626" s="18" t="n">
        <v>1</v>
      </c>
      <c r="C2626" s="18" t="n">
        <v>2017</v>
      </c>
      <c r="D2626" s="18" t="n">
        <v>2017</v>
      </c>
      <c r="E2626" s="18" t="inlineStr">
        <is>
          <t>Despicable Me 3</t>
        </is>
      </c>
      <c r="F2626" s="18" t="inlineStr">
        <is>
          <t>F0084</t>
        </is>
      </c>
    </row>
    <row r="2627" ht="15.75" customHeight="1" s="108">
      <c r="A2627" s="18" t="inlineStr">
        <is>
          <t>Kyle Balda</t>
        </is>
      </c>
      <c r="B2627" s="18" t="n">
        <v>2</v>
      </c>
      <c r="C2627" s="18" t="n">
        <v>2015</v>
      </c>
      <c r="D2627" s="18" t="n">
        <v>2017</v>
      </c>
      <c r="E2627" s="18" t="inlineStr">
        <is>
          <t>Despicable Me 3, Minions</t>
        </is>
      </c>
      <c r="F2627" s="18" t="inlineStr">
        <is>
          <t>F0084, F0220</t>
        </is>
      </c>
    </row>
    <row r="2628" ht="15.75" customHeight="1" s="108">
      <c r="A2628" s="18" t="inlineStr">
        <is>
          <t>Bill Farmer</t>
        </is>
      </c>
      <c r="B2628" s="18" t="n">
        <v>10</v>
      </c>
      <c r="C2628" s="18" t="n">
        <v>1995</v>
      </c>
      <c r="D2628" s="18" t="n">
        <v>2017</v>
      </c>
      <c r="E2628" s="18" t="inlineStr">
        <is>
          <t>Despicable Me 3, Minions, Monsters, Inc., The Secret Life of Pets, Sing, Toy Story, Toy Story 2, Monsters, Inc., Monsters, Inc., Monsters, Inc.</t>
        </is>
      </c>
      <c r="F2628" s="18" t="inlineStr">
        <is>
          <t>F0084, F0220, F0229, F0274, F0280, F0312, F0313</t>
        </is>
      </c>
    </row>
    <row r="2629" ht="15.75" customHeight="1" s="108">
      <c r="A2629" s="18" t="inlineStr">
        <is>
          <t>Stephanie De Meautis</t>
        </is>
      </c>
      <c r="B2629" s="18" t="n">
        <v>1</v>
      </c>
      <c r="C2629" s="18" t="n">
        <v>2017</v>
      </c>
      <c r="D2629" s="18" t="n">
        <v>2017</v>
      </c>
      <c r="E2629" s="18" t="inlineStr">
        <is>
          <t>Despicable Me 3</t>
        </is>
      </c>
      <c r="F2629" s="18" t="inlineStr">
        <is>
          <t>F0084</t>
        </is>
      </c>
    </row>
    <row r="2630" ht="15.75" customHeight="1" s="108">
      <c r="A2630" s="18" t="inlineStr">
        <is>
          <t>Bruno Dequier</t>
        </is>
      </c>
      <c r="B2630" s="18" t="n">
        <v>1</v>
      </c>
      <c r="C2630" s="18" t="n">
        <v>2017</v>
      </c>
      <c r="D2630" s="18" t="n">
        <v>2017</v>
      </c>
      <c r="E2630" s="18" t="inlineStr">
        <is>
          <t>Despicable Me 3</t>
        </is>
      </c>
      <c r="F2630" s="18" t="inlineStr">
        <is>
          <t>F0084</t>
        </is>
      </c>
    </row>
    <row r="2631" ht="15.75" customHeight="1" s="108">
      <c r="A2631" s="18" t="inlineStr">
        <is>
          <t>Teresa Ganzel</t>
        </is>
      </c>
      <c r="B2631" s="18" t="n">
        <v>7</v>
      </c>
      <c r="C2631" s="18" t="n">
        <v>2001</v>
      </c>
      <c r="D2631" s="18" t="n">
        <v>2017</v>
      </c>
      <c r="E2631" s="18" t="inlineStr">
        <is>
          <t>Despicable Me 3, Monsters, Inc., Up, WALL·E, Monsters, Inc., Monsters, Inc., Monsters, Inc.</t>
        </is>
      </c>
      <c r="F2631" s="18" t="inlineStr">
        <is>
          <t>F0084, F0229, F0330, F0331</t>
        </is>
      </c>
    </row>
    <row r="2632" ht="15.75" customHeight="1" s="108">
      <c r="A2632" s="18" t="inlineStr">
        <is>
          <t>Adeel Akhtar</t>
        </is>
      </c>
      <c r="B2632" s="18" t="n">
        <v>1</v>
      </c>
      <c r="C2632" s="18" t="n">
        <v>2012</v>
      </c>
      <c r="D2632" s="18" t="n">
        <v>2012</v>
      </c>
      <c r="E2632" s="18" t="inlineStr">
        <is>
          <t>The Dictator</t>
        </is>
      </c>
      <c r="F2632" s="18" t="inlineStr">
        <is>
          <t>F0085</t>
        </is>
      </c>
    </row>
    <row r="2633" ht="15.75" customHeight="1" s="108">
      <c r="A2633" s="18" t="inlineStr">
        <is>
          <t>Aasif Mandvi</t>
        </is>
      </c>
      <c r="B2633" s="18" t="n">
        <v>2</v>
      </c>
      <c r="C2633" s="18" t="n">
        <v>2004</v>
      </c>
      <c r="D2633" s="18" t="n">
        <v>2012</v>
      </c>
      <c r="E2633" s="18" t="inlineStr">
        <is>
          <t>The Dictator, Spider-Man 2</t>
        </is>
      </c>
      <c r="F2633" s="18" t="inlineStr">
        <is>
          <t>F0085, F0288</t>
        </is>
      </c>
    </row>
    <row r="2634" ht="15.75" customHeight="1" s="108">
      <c r="A2634" s="18" t="inlineStr">
        <is>
          <t>Rizwan Manji</t>
        </is>
      </c>
      <c r="B2634" s="18" t="n">
        <v>2</v>
      </c>
      <c r="C2634" s="18" t="n">
        <v>2007</v>
      </c>
      <c r="D2634" s="18" t="n">
        <v>2012</v>
      </c>
      <c r="E2634" s="18" t="inlineStr">
        <is>
          <t>The Dictator, Transformers</t>
        </is>
      </c>
      <c r="F2634" s="18" t="inlineStr">
        <is>
          <t>F0085, F0316</t>
        </is>
      </c>
    </row>
    <row r="2635" ht="15.75" customHeight="1" s="108">
      <c r="A2635" s="18" t="inlineStr">
        <is>
          <t>Rocky Citron</t>
        </is>
      </c>
      <c r="B2635" s="18" t="n">
        <v>1</v>
      </c>
      <c r="C2635" s="18" t="n">
        <v>2012</v>
      </c>
      <c r="D2635" s="18" t="n">
        <v>2012</v>
      </c>
      <c r="E2635" s="18" t="inlineStr">
        <is>
          <t>The Dictator</t>
        </is>
      </c>
      <c r="F2635" s="18" t="inlineStr">
        <is>
          <t>F0085</t>
        </is>
      </c>
    </row>
    <row r="2636" ht="15.75" customHeight="1" s="108">
      <c r="A2636" s="18" t="inlineStr">
        <is>
          <t>Liam Campora</t>
        </is>
      </c>
      <c r="B2636" s="18" t="n">
        <v>1</v>
      </c>
      <c r="C2636" s="18" t="n">
        <v>2012</v>
      </c>
      <c r="D2636" s="18" t="n">
        <v>2012</v>
      </c>
      <c r="E2636" s="18" t="inlineStr">
        <is>
          <t>The Dictator</t>
        </is>
      </c>
      <c r="F2636" s="18" t="inlineStr">
        <is>
          <t>F0085</t>
        </is>
      </c>
    </row>
    <row r="2637" ht="15.75" customHeight="1" s="108">
      <c r="A2637" s="18" t="inlineStr">
        <is>
          <t>Rick Chambers</t>
        </is>
      </c>
      <c r="B2637" s="18" t="n">
        <v>2</v>
      </c>
      <c r="C2637" s="18" t="n">
        <v>2012</v>
      </c>
      <c r="D2637" s="18" t="n">
        <v>2014</v>
      </c>
      <c r="E2637" s="18" t="inlineStr">
        <is>
          <t>The Dictator, Teenage Mutant Ninja Turtles</t>
        </is>
      </c>
      <c r="F2637" s="18" t="inlineStr">
        <is>
          <t>F0085, F0309</t>
        </is>
      </c>
    </row>
    <row r="2638" ht="15.75" customHeight="1" s="108">
      <c r="A2638" s="18" t="inlineStr">
        <is>
          <t>Elsayed Mohamed</t>
        </is>
      </c>
      <c r="B2638" s="18" t="n">
        <v>1</v>
      </c>
      <c r="C2638" s="18" t="n">
        <v>2012</v>
      </c>
      <c r="D2638" s="18" t="n">
        <v>2012</v>
      </c>
      <c r="E2638" s="18" t="inlineStr">
        <is>
          <t>The Dictator</t>
        </is>
      </c>
      <c r="F2638" s="18" t="inlineStr">
        <is>
          <t>F0085</t>
        </is>
      </c>
    </row>
    <row r="2639" ht="15.75" customHeight="1" s="108">
      <c r="A2639" s="18" t="inlineStr">
        <is>
          <t>Horatio Sanz</t>
        </is>
      </c>
      <c r="B2639" s="18" t="n">
        <v>2</v>
      </c>
      <c r="C2639" s="18" t="n">
        <v>2012</v>
      </c>
      <c r="D2639" s="18" t="n">
        <v>2012</v>
      </c>
      <c r="E2639" s="18" t="inlineStr">
        <is>
          <t>The Dictator, Wreck-It Ralph</t>
        </is>
      </c>
      <c r="F2639" s="18" t="inlineStr">
        <is>
          <t>F0085, F0336</t>
        </is>
      </c>
    </row>
    <row r="2640" ht="15.75" customHeight="1" s="108">
      <c r="A2640" s="18" t="inlineStr">
        <is>
          <t>Elena Goode</t>
        </is>
      </c>
      <c r="B2640" s="18" t="n">
        <v>2</v>
      </c>
      <c r="C2640" s="18" t="n">
        <v>2012</v>
      </c>
      <c r="D2640" s="18" t="n">
        <v>2015</v>
      </c>
      <c r="E2640" s="18" t="inlineStr">
        <is>
          <t>The Dictator, Straight Outta Compton</t>
        </is>
      </c>
      <c r="F2640" s="18" t="inlineStr">
        <is>
          <t>F0085, F0301</t>
        </is>
      </c>
    </row>
    <row r="2641" ht="15.75" customHeight="1" s="108">
      <c r="A2641" s="18" t="inlineStr">
        <is>
          <t>Nazanin Homa</t>
        </is>
      </c>
      <c r="B2641" s="18" t="n">
        <v>1</v>
      </c>
      <c r="C2641" s="18" t="n">
        <v>2012</v>
      </c>
      <c r="D2641" s="18" t="n">
        <v>2012</v>
      </c>
      <c r="E2641" s="18" t="inlineStr">
        <is>
          <t>The Dictator</t>
        </is>
      </c>
      <c r="F2641" s="18" t="inlineStr">
        <is>
          <t>F0085</t>
        </is>
      </c>
    </row>
    <row r="2642" ht="15.75" customHeight="1" s="108">
      <c r="A2642" s="18" t="inlineStr">
        <is>
          <t>Dawn Jackson</t>
        </is>
      </c>
      <c r="B2642" s="18" t="n">
        <v>1</v>
      </c>
      <c r="C2642" s="18" t="n">
        <v>2012</v>
      </c>
      <c r="D2642" s="18" t="n">
        <v>2012</v>
      </c>
      <c r="E2642" s="18" t="inlineStr">
        <is>
          <t>The Dictator</t>
        </is>
      </c>
      <c r="F2642" s="18" t="inlineStr">
        <is>
          <t>F0085</t>
        </is>
      </c>
    </row>
    <row r="2643" ht="15.75" customHeight="1" s="108">
      <c r="A2643" s="18" t="inlineStr">
        <is>
          <t>Victoria Beltran</t>
        </is>
      </c>
      <c r="B2643" s="18" t="n">
        <v>1</v>
      </c>
      <c r="C2643" s="18" t="n">
        <v>2012</v>
      </c>
      <c r="D2643" s="18" t="n">
        <v>2012</v>
      </c>
      <c r="E2643" s="18" t="inlineStr">
        <is>
          <t>The Dictator</t>
        </is>
      </c>
      <c r="F2643" s="18" t="inlineStr">
        <is>
          <t>F0085</t>
        </is>
      </c>
    </row>
    <row r="2644" ht="15.75" customHeight="1" s="108">
      <c r="A2644" s="18" t="inlineStr">
        <is>
          <t>Dominique DiCaprio</t>
        </is>
      </c>
      <c r="B2644" s="18" t="n">
        <v>1</v>
      </c>
      <c r="C2644" s="18" t="n">
        <v>2012</v>
      </c>
      <c r="D2644" s="18" t="n">
        <v>2012</v>
      </c>
      <c r="E2644" s="18" t="inlineStr">
        <is>
          <t>The Dictator</t>
        </is>
      </c>
      <c r="F2644" s="18" t="inlineStr">
        <is>
          <t>F0085</t>
        </is>
      </c>
    </row>
    <row r="2645" ht="15.75" customHeight="1" s="108">
      <c r="A2645" s="18" t="inlineStr">
        <is>
          <t>Aja Frary</t>
        </is>
      </c>
      <c r="B2645" s="18" t="n">
        <v>1</v>
      </c>
      <c r="C2645" s="18" t="n">
        <v>2012</v>
      </c>
      <c r="D2645" s="18" t="n">
        <v>2012</v>
      </c>
      <c r="E2645" s="18" t="inlineStr">
        <is>
          <t>The Dictator</t>
        </is>
      </c>
      <c r="F2645" s="18" t="inlineStr">
        <is>
          <t>F0085</t>
        </is>
      </c>
    </row>
    <row r="2646" ht="15.75" customHeight="1" s="108">
      <c r="A2646" s="18" t="inlineStr">
        <is>
          <t>Fred Melamed</t>
        </is>
      </c>
      <c r="B2646" s="18" t="n">
        <v>1</v>
      </c>
      <c r="C2646" s="18" t="n">
        <v>2012</v>
      </c>
      <c r="D2646" s="18" t="n">
        <v>2012</v>
      </c>
      <c r="E2646" s="18" t="inlineStr">
        <is>
          <t>The Dictator</t>
        </is>
      </c>
      <c r="F2646" s="18" t="inlineStr">
        <is>
          <t>F0085</t>
        </is>
      </c>
    </row>
    <row r="2647" ht="15.75" customHeight="1" s="108">
      <c r="A2647" s="18" t="inlineStr">
        <is>
          <t>Cuco Usín</t>
        </is>
      </c>
      <c r="B2647" s="18" t="n">
        <v>1</v>
      </c>
      <c r="C2647" s="18" t="n">
        <v>2012</v>
      </c>
      <c r="D2647" s="18" t="n">
        <v>2012</v>
      </c>
      <c r="E2647" s="18" t="inlineStr">
        <is>
          <t>The Dictator</t>
        </is>
      </c>
      <c r="F2647" s="18" t="inlineStr">
        <is>
          <t>F0085</t>
        </is>
      </c>
    </row>
    <row r="2648" ht="15.75" customHeight="1" s="108">
      <c r="A2648" s="18" t="inlineStr">
        <is>
          <t>Joey Slotnick</t>
        </is>
      </c>
      <c r="B2648" s="18" t="n">
        <v>1</v>
      </c>
      <c r="C2648" s="18" t="n">
        <v>2012</v>
      </c>
      <c r="D2648" s="18" t="n">
        <v>2012</v>
      </c>
      <c r="E2648" s="18" t="inlineStr">
        <is>
          <t>The Dictator</t>
        </is>
      </c>
      <c r="F2648" s="18" t="inlineStr">
        <is>
          <t>F0085</t>
        </is>
      </c>
    </row>
    <row r="2649" ht="15.75" customHeight="1" s="108">
      <c r="A2649" s="18" t="inlineStr">
        <is>
          <t>David Fonteno</t>
        </is>
      </c>
      <c r="B2649" s="18" t="n">
        <v>1</v>
      </c>
      <c r="C2649" s="18" t="n">
        <v>2012</v>
      </c>
      <c r="D2649" s="18" t="n">
        <v>2012</v>
      </c>
      <c r="E2649" s="18" t="inlineStr">
        <is>
          <t>The Dictator</t>
        </is>
      </c>
      <c r="F2649" s="18" t="inlineStr">
        <is>
          <t>F0085</t>
        </is>
      </c>
    </row>
    <row r="2650" ht="15.75" customHeight="1" s="108">
      <c r="A2650" s="18" t="inlineStr">
        <is>
          <t>Anna Katarina</t>
        </is>
      </c>
      <c r="B2650" s="18" t="n">
        <v>1</v>
      </c>
      <c r="C2650" s="18" t="n">
        <v>2012</v>
      </c>
      <c r="D2650" s="18" t="n">
        <v>2012</v>
      </c>
      <c r="E2650" s="18" t="inlineStr">
        <is>
          <t>The Dictator</t>
        </is>
      </c>
      <c r="F2650" s="18" t="inlineStr">
        <is>
          <t>F0085</t>
        </is>
      </c>
    </row>
    <row r="2651" ht="15.75" customHeight="1" s="108">
      <c r="A2651" s="18" t="inlineStr">
        <is>
          <t>Michael Delaney</t>
        </is>
      </c>
      <c r="B2651" s="18" t="n">
        <v>1</v>
      </c>
      <c r="C2651" s="18" t="n">
        <v>2012</v>
      </c>
      <c r="D2651" s="18" t="n">
        <v>2012</v>
      </c>
      <c r="E2651" s="18" t="inlineStr">
        <is>
          <t>The Dictator</t>
        </is>
      </c>
      <c r="F2651" s="18" t="inlineStr">
        <is>
          <t>F0085</t>
        </is>
      </c>
    </row>
    <row r="2652" ht="15.75" customHeight="1" s="108">
      <c r="A2652" s="18" t="inlineStr">
        <is>
          <t>Mary Elizabeth Winstead</t>
        </is>
      </c>
      <c r="B2652" s="18" t="n">
        <v>1</v>
      </c>
      <c r="C2652" s="18" t="n">
        <v>2007</v>
      </c>
      <c r="D2652" s="18" t="n">
        <v>2007</v>
      </c>
      <c r="E2652" s="18" t="inlineStr">
        <is>
          <t>Live Free or Die Hard</t>
        </is>
      </c>
      <c r="F2652" s="18" t="inlineStr">
        <is>
          <t>F0086</t>
        </is>
      </c>
    </row>
    <row r="2653" ht="15.75" customHeight="1" s="108">
      <c r="A2653" s="18" t="inlineStr">
        <is>
          <t>Jonathan Sadowski</t>
        </is>
      </c>
      <c r="B2653" s="18" t="n">
        <v>1</v>
      </c>
      <c r="C2653" s="18" t="n">
        <v>2007</v>
      </c>
      <c r="D2653" s="18" t="n">
        <v>2007</v>
      </c>
      <c r="E2653" s="18" t="inlineStr">
        <is>
          <t>Live Free or Die Hard</t>
        </is>
      </c>
      <c r="F2653" s="18" t="inlineStr">
        <is>
          <t>F0086</t>
        </is>
      </c>
    </row>
    <row r="2654" ht="15.75" customHeight="1" s="108">
      <c r="A2654" s="18" t="inlineStr">
        <is>
          <t>Andrew Friedman</t>
        </is>
      </c>
      <c r="B2654" s="18" t="n">
        <v>1</v>
      </c>
      <c r="C2654" s="18" t="n">
        <v>2007</v>
      </c>
      <c r="D2654" s="18" t="n">
        <v>2007</v>
      </c>
      <c r="E2654" s="18" t="inlineStr">
        <is>
          <t>Live Free or Die Hard</t>
        </is>
      </c>
      <c r="F2654" s="18" t="inlineStr">
        <is>
          <t>F0086</t>
        </is>
      </c>
    </row>
    <row r="2655" ht="15.75" customHeight="1" s="108">
      <c r="A2655" s="18" t="inlineStr">
        <is>
          <t>Kevin Smith</t>
        </is>
      </c>
      <c r="B2655" s="18" t="n">
        <v>3</v>
      </c>
      <c r="C2655" s="18" t="n">
        <v>1999</v>
      </c>
      <c r="D2655" s="18" t="n">
        <v>2007</v>
      </c>
      <c r="E2655" s="18" t="inlineStr">
        <is>
          <t>Live Free or Die Hard, The Fast and the Furious, Dogma</t>
        </is>
      </c>
      <c r="F2655" s="18" t="inlineStr">
        <is>
          <t>F0086, F0101, F0351</t>
        </is>
      </c>
    </row>
    <row r="2656" ht="15.75" customHeight="1" s="108">
      <c r="A2656" s="18" t="inlineStr">
        <is>
          <t>Yorgo Constantine</t>
        </is>
      </c>
      <c r="B2656" s="18" t="n">
        <v>2</v>
      </c>
      <c r="C2656" s="18" t="n">
        <v>2007</v>
      </c>
      <c r="D2656" s="18" t="n">
        <v>2011</v>
      </c>
      <c r="E2656" s="18" t="inlineStr">
        <is>
          <t>Live Free or Die Hard, Fast Five</t>
        </is>
      </c>
      <c r="F2656" s="18" t="inlineStr">
        <is>
          <t>F0086, F0105</t>
        </is>
      </c>
    </row>
    <row r="2657" ht="15.75" customHeight="1" s="108">
      <c r="A2657" s="18" t="inlineStr">
        <is>
          <t>Cyril Raffaelli</t>
        </is>
      </c>
      <c r="B2657" s="18" t="n">
        <v>1</v>
      </c>
      <c r="C2657" s="18" t="n">
        <v>2007</v>
      </c>
      <c r="D2657" s="18" t="n">
        <v>2007</v>
      </c>
      <c r="E2657" s="18" t="inlineStr">
        <is>
          <t>Live Free or Die Hard</t>
        </is>
      </c>
      <c r="F2657" s="18" t="inlineStr">
        <is>
          <t>F0086</t>
        </is>
      </c>
    </row>
    <row r="2658" ht="15.75" customHeight="1" s="108">
      <c r="A2658" s="18" t="inlineStr">
        <is>
          <t>Chris Palermo</t>
        </is>
      </c>
      <c r="B2658" s="18" t="n">
        <v>2</v>
      </c>
      <c r="C2658" s="18" t="n">
        <v>2007</v>
      </c>
      <c r="D2658" s="18" t="n">
        <v>2017</v>
      </c>
      <c r="E2658" s="18" t="inlineStr">
        <is>
          <t>Live Free or Die Hard, Logan</t>
        </is>
      </c>
      <c r="F2658" s="18" t="inlineStr">
        <is>
          <t>F0086, F0201</t>
        </is>
      </c>
    </row>
    <row r="2659" ht="15.75" customHeight="1" s="108">
      <c r="A2659" s="18" t="inlineStr">
        <is>
          <t>Christina Chang</t>
        </is>
      </c>
      <c r="B2659" s="18" t="n">
        <v>1</v>
      </c>
      <c r="C2659" s="18" t="n">
        <v>2007</v>
      </c>
      <c r="D2659" s="18" t="n">
        <v>2007</v>
      </c>
      <c r="E2659" s="18" t="inlineStr">
        <is>
          <t>Live Free or Die Hard</t>
        </is>
      </c>
      <c r="F2659" s="18" t="inlineStr">
        <is>
          <t>F0086</t>
        </is>
      </c>
    </row>
    <row r="2660" ht="15.75" customHeight="1" s="108">
      <c r="A2660" s="18" t="inlineStr">
        <is>
          <t>Jake McDorman</t>
        </is>
      </c>
      <c r="B2660" s="18" t="n">
        <v>1</v>
      </c>
      <c r="C2660" s="18" t="n">
        <v>2007</v>
      </c>
      <c r="D2660" s="18" t="n">
        <v>2007</v>
      </c>
      <c r="E2660" s="18" t="inlineStr">
        <is>
          <t>Live Free or Die Hard</t>
        </is>
      </c>
      <c r="F2660" s="18" t="inlineStr">
        <is>
          <t>F0086</t>
        </is>
      </c>
    </row>
    <row r="2661" ht="15.75" customHeight="1" s="108">
      <c r="A2661" s="18" t="inlineStr">
        <is>
          <t>Rosemary Knower</t>
        </is>
      </c>
      <c r="B2661" s="18" t="n">
        <v>1</v>
      </c>
      <c r="C2661" s="18" t="n">
        <v>2007</v>
      </c>
      <c r="D2661" s="18" t="n">
        <v>2007</v>
      </c>
      <c r="E2661" s="18" t="inlineStr">
        <is>
          <t>Live Free or Die Hard</t>
        </is>
      </c>
      <c r="F2661" s="18" t="inlineStr">
        <is>
          <t>F0086</t>
        </is>
      </c>
    </row>
    <row r="2662" ht="15.75" customHeight="1" s="108">
      <c r="A2662" s="18" t="inlineStr">
        <is>
          <t>Gerald Downey</t>
        </is>
      </c>
      <c r="B2662" s="18" t="n">
        <v>1</v>
      </c>
      <c r="C2662" s="18" t="n">
        <v>2007</v>
      </c>
      <c r="D2662" s="18" t="n">
        <v>2007</v>
      </c>
      <c r="E2662" s="18" t="inlineStr">
        <is>
          <t>Live Free or Die Hard</t>
        </is>
      </c>
      <c r="F2662" s="18" t="inlineStr">
        <is>
          <t>F0086</t>
        </is>
      </c>
    </row>
    <row r="2663" ht="15.75" customHeight="1" s="108">
      <c r="A2663" s="18" t="inlineStr">
        <is>
          <t>Allen Maldonado</t>
        </is>
      </c>
      <c r="B2663" s="18" t="n">
        <v>1</v>
      </c>
      <c r="C2663" s="18" t="n">
        <v>2007</v>
      </c>
      <c r="D2663" s="18" t="n">
        <v>2007</v>
      </c>
      <c r="E2663" s="18" t="inlineStr">
        <is>
          <t>Live Free or Die Hard</t>
        </is>
      </c>
      <c r="F2663" s="18" t="inlineStr">
        <is>
          <t>F0086</t>
        </is>
      </c>
    </row>
    <row r="2664" ht="15.75" customHeight="1" s="108">
      <c r="A2664" s="18" t="inlineStr">
        <is>
          <t>Jim Cantafio</t>
        </is>
      </c>
      <c r="B2664" s="18" t="n">
        <v>1</v>
      </c>
      <c r="C2664" s="18" t="n">
        <v>2007</v>
      </c>
      <c r="D2664" s="18" t="n">
        <v>2007</v>
      </c>
      <c r="E2664" s="18" t="inlineStr">
        <is>
          <t>Live Free or Die Hard</t>
        </is>
      </c>
      <c r="F2664" s="18" t="inlineStr">
        <is>
          <t>F0086</t>
        </is>
      </c>
    </row>
    <row r="2665" ht="15.75" customHeight="1" s="108">
      <c r="A2665" s="18" t="inlineStr">
        <is>
          <t>Regina McKee Redwing</t>
        </is>
      </c>
      <c r="B2665" s="18" t="n">
        <v>1</v>
      </c>
      <c r="C2665" s="18" t="n">
        <v>2007</v>
      </c>
      <c r="D2665" s="18" t="n">
        <v>2007</v>
      </c>
      <c r="E2665" s="18" t="inlineStr">
        <is>
          <t>Live Free or Die Hard</t>
        </is>
      </c>
      <c r="F2665" s="18" t="inlineStr">
        <is>
          <t>F0086</t>
        </is>
      </c>
    </row>
    <row r="2666" ht="15.75" customHeight="1" s="108">
      <c r="A2666" s="18" t="inlineStr">
        <is>
          <t>Tony Colitti</t>
        </is>
      </c>
      <c r="B2666" s="18" t="n">
        <v>1</v>
      </c>
      <c r="C2666" s="18" t="n">
        <v>2007</v>
      </c>
      <c r="D2666" s="18" t="n">
        <v>2007</v>
      </c>
      <c r="E2666" s="18" t="inlineStr">
        <is>
          <t>Live Free or Die Hard</t>
        </is>
      </c>
      <c r="F2666" s="18" t="inlineStr">
        <is>
          <t>F0086</t>
        </is>
      </c>
    </row>
    <row r="2667" ht="15.75" customHeight="1" s="108">
      <c r="A2667" s="18" t="inlineStr">
        <is>
          <t>Tim DeZarn</t>
        </is>
      </c>
      <c r="B2667" s="18" t="n">
        <v>3</v>
      </c>
      <c r="C2667" s="18" t="n">
        <v>1999</v>
      </c>
      <c r="D2667" s="18" t="n">
        <v>2007</v>
      </c>
      <c r="E2667" s="18" t="inlineStr">
        <is>
          <t>Live Free or Die Hard, Fight Club, Spider-Man</t>
        </is>
      </c>
      <c r="F2667" s="18" t="inlineStr">
        <is>
          <t>F0086, F0112, F0287</t>
        </is>
      </c>
    </row>
    <row r="2668" ht="15.75" customHeight="1" s="108">
      <c r="A2668" s="18" t="inlineStr">
        <is>
          <t>Kurt David Anderson</t>
        </is>
      </c>
      <c r="B2668" s="18" t="n">
        <v>1</v>
      </c>
      <c r="C2668" s="18" t="n">
        <v>2007</v>
      </c>
      <c r="D2668" s="18" t="n">
        <v>2007</v>
      </c>
      <c r="E2668" s="18" t="inlineStr">
        <is>
          <t>Live Free or Die Hard</t>
        </is>
      </c>
      <c r="F2668" s="18" t="inlineStr">
        <is>
          <t>F0086</t>
        </is>
      </c>
    </row>
    <row r="2669" ht="15.75" customHeight="1" s="108">
      <c r="A2669" s="18" t="inlineStr">
        <is>
          <t>Matt O'Leary</t>
        </is>
      </c>
      <c r="B2669" s="18" t="n">
        <v>1</v>
      </c>
      <c r="C2669" s="18" t="n">
        <v>2007</v>
      </c>
      <c r="D2669" s="18" t="n">
        <v>2007</v>
      </c>
      <c r="E2669" s="18" t="inlineStr">
        <is>
          <t>Live Free or Die Hard</t>
        </is>
      </c>
      <c r="F2669" s="18" t="inlineStr">
        <is>
          <t>F0086</t>
        </is>
      </c>
    </row>
    <row r="2670" ht="15.75" customHeight="1" s="108">
      <c r="A2670" s="18" t="inlineStr">
        <is>
          <t>Nadine Ellis</t>
        </is>
      </c>
      <c r="B2670" s="18" t="n">
        <v>1</v>
      </c>
      <c r="C2670" s="18" t="n">
        <v>2007</v>
      </c>
      <c r="D2670" s="18" t="n">
        <v>2007</v>
      </c>
      <c r="E2670" s="18" t="inlineStr">
        <is>
          <t>Live Free or Die Hard</t>
        </is>
      </c>
      <c r="F2670" s="18" t="inlineStr">
        <is>
          <t>F0086</t>
        </is>
      </c>
    </row>
    <row r="2671" ht="15.75" customHeight="1" s="108">
      <c r="A2671" s="18" t="inlineStr">
        <is>
          <t>Ethan Flower</t>
        </is>
      </c>
      <c r="B2671" s="18" t="n">
        <v>1</v>
      </c>
      <c r="C2671" s="18" t="n">
        <v>2007</v>
      </c>
      <c r="D2671" s="18" t="n">
        <v>2007</v>
      </c>
      <c r="E2671" s="18" t="inlineStr">
        <is>
          <t>Live Free or Die Hard</t>
        </is>
      </c>
      <c r="F2671" s="18" t="inlineStr">
        <is>
          <t>F0086</t>
        </is>
      </c>
    </row>
    <row r="2672" ht="15.75" customHeight="1" s="108">
      <c r="A2672" s="18" t="inlineStr">
        <is>
          <t>Nick Jaine</t>
        </is>
      </c>
      <c r="B2672" s="18" t="n">
        <v>1</v>
      </c>
      <c r="C2672" s="18" t="n">
        <v>2007</v>
      </c>
      <c r="D2672" s="18" t="n">
        <v>2007</v>
      </c>
      <c r="E2672" s="18" t="inlineStr">
        <is>
          <t>Live Free or Die Hard</t>
        </is>
      </c>
      <c r="F2672" s="18" t="inlineStr">
        <is>
          <t>F0086</t>
        </is>
      </c>
    </row>
    <row r="2673" ht="15.75" customHeight="1" s="108">
      <c r="A2673" s="18" t="inlineStr">
        <is>
          <t>Tim Russ</t>
        </is>
      </c>
      <c r="B2673" s="18" t="n">
        <v>1</v>
      </c>
      <c r="C2673" s="18" t="n">
        <v>2007</v>
      </c>
      <c r="D2673" s="18" t="n">
        <v>2007</v>
      </c>
      <c r="E2673" s="18" t="inlineStr">
        <is>
          <t>Live Free or Die Hard</t>
        </is>
      </c>
      <c r="F2673" s="18" t="inlineStr">
        <is>
          <t>F0086</t>
        </is>
      </c>
    </row>
    <row r="2674" ht="15.75" customHeight="1" s="108">
      <c r="A2674" s="18" t="inlineStr">
        <is>
          <t>Dermot Mulroney</t>
        </is>
      </c>
      <c r="B2674" s="18" t="n">
        <v>2</v>
      </c>
      <c r="C2674" s="18" t="n">
        <v>2007</v>
      </c>
      <c r="D2674" s="18" t="n">
        <v>2016</v>
      </c>
      <c r="E2674" s="18" t="inlineStr">
        <is>
          <t>Dirty Grandpa, Zodiac</t>
        </is>
      </c>
      <c r="F2674" s="18" t="inlineStr">
        <is>
          <t>F0087, F0350</t>
        </is>
      </c>
    </row>
    <row r="2675" ht="15.75" customHeight="1" s="108">
      <c r="A2675" s="18" t="inlineStr">
        <is>
          <t>Adam Pally</t>
        </is>
      </c>
      <c r="B2675" s="18" t="n">
        <v>3</v>
      </c>
      <c r="C2675" s="18" t="n">
        <v>2016</v>
      </c>
      <c r="D2675" s="18" t="n">
        <v>2025</v>
      </c>
      <c r="E2675" s="18" t="inlineStr">
        <is>
          <t>Dirty Grandpa, sonic the hedgehog, sonic the hedgehog 3</t>
        </is>
      </c>
      <c r="F2675" s="18" t="inlineStr">
        <is>
          <t>F0087, F0378, F0379</t>
        </is>
      </c>
    </row>
    <row r="2676" ht="15.75" customHeight="1" s="108">
      <c r="A2676" s="18" t="inlineStr">
        <is>
          <t>Brandon Mychal Smith</t>
        </is>
      </c>
      <c r="B2676" s="18" t="n">
        <v>1</v>
      </c>
      <c r="C2676" s="18" t="n">
        <v>2016</v>
      </c>
      <c r="D2676" s="18" t="n">
        <v>2016</v>
      </c>
      <c r="E2676" s="18" t="inlineStr">
        <is>
          <t>Dirty Grandpa</t>
        </is>
      </c>
      <c r="F2676" s="18" t="inlineStr">
        <is>
          <t>F0087</t>
        </is>
      </c>
    </row>
    <row r="2677" ht="15.75" customHeight="1" s="108">
      <c r="A2677" s="18" t="inlineStr">
        <is>
          <t>Mo Collins</t>
        </is>
      </c>
      <c r="B2677" s="18" t="n">
        <v>1</v>
      </c>
      <c r="C2677" s="18" t="n">
        <v>2016</v>
      </c>
      <c r="D2677" s="18" t="n">
        <v>2016</v>
      </c>
      <c r="E2677" s="18" t="inlineStr">
        <is>
          <t>Dirty Grandpa</t>
        </is>
      </c>
      <c r="F2677" s="18" t="inlineStr">
        <is>
          <t>F0087</t>
        </is>
      </c>
    </row>
    <row r="2678" ht="15.75" customHeight="1" s="108">
      <c r="A2678" s="18" t="inlineStr">
        <is>
          <t>Henry Zebrowski</t>
        </is>
      </c>
      <c r="B2678" s="18" t="n">
        <v>1</v>
      </c>
      <c r="C2678" s="18" t="n">
        <v>2016</v>
      </c>
      <c r="D2678" s="18" t="n">
        <v>2016</v>
      </c>
      <c r="E2678" s="18" t="inlineStr">
        <is>
          <t>Dirty Grandpa</t>
        </is>
      </c>
      <c r="F2678" s="18" t="inlineStr">
        <is>
          <t>F0087</t>
        </is>
      </c>
    </row>
    <row r="2679" ht="15.75" customHeight="1" s="108">
      <c r="A2679" s="18" t="inlineStr">
        <is>
          <t>Michael Hudson</t>
        </is>
      </c>
      <c r="B2679" s="18" t="n">
        <v>1</v>
      </c>
      <c r="C2679" s="18" t="n">
        <v>2016</v>
      </c>
      <c r="D2679" s="18" t="n">
        <v>2016</v>
      </c>
      <c r="E2679" s="18" t="inlineStr">
        <is>
          <t>Dirty Grandpa</t>
        </is>
      </c>
      <c r="F2679" s="18" t="inlineStr">
        <is>
          <t>F0087</t>
        </is>
      </c>
    </row>
    <row r="2680" ht="15.75" customHeight="1" s="108">
      <c r="A2680" s="18" t="inlineStr">
        <is>
          <t>Jake Picking</t>
        </is>
      </c>
      <c r="B2680" s="18" t="n">
        <v>1</v>
      </c>
      <c r="C2680" s="18" t="n">
        <v>2016</v>
      </c>
      <c r="D2680" s="18" t="n">
        <v>2016</v>
      </c>
      <c r="E2680" s="18" t="inlineStr">
        <is>
          <t>Dirty Grandpa</t>
        </is>
      </c>
      <c r="F2680" s="18" t="inlineStr">
        <is>
          <t>F0087</t>
        </is>
      </c>
    </row>
    <row r="2681" ht="15.75" customHeight="1" s="108">
      <c r="A2681" s="18" t="inlineStr">
        <is>
          <t>Deena Dill</t>
        </is>
      </c>
      <c r="B2681" s="18" t="n">
        <v>1</v>
      </c>
      <c r="C2681" s="18" t="n">
        <v>2016</v>
      </c>
      <c r="D2681" s="18" t="n">
        <v>2016</v>
      </c>
      <c r="E2681" s="18" t="inlineStr">
        <is>
          <t>Dirty Grandpa</t>
        </is>
      </c>
      <c r="F2681" s="18" t="inlineStr">
        <is>
          <t>F0087</t>
        </is>
      </c>
    </row>
    <row r="2682" ht="15.75" customHeight="1" s="108">
      <c r="A2682" s="18" t="inlineStr">
        <is>
          <t>Lane Carlock</t>
        </is>
      </c>
      <c r="B2682" s="18" t="n">
        <v>1</v>
      </c>
      <c r="C2682" s="18" t="n">
        <v>2016</v>
      </c>
      <c r="D2682" s="18" t="n">
        <v>2016</v>
      </c>
      <c r="E2682" s="18" t="inlineStr">
        <is>
          <t>Dirty Grandpa</t>
        </is>
      </c>
      <c r="F2682" s="18" t="inlineStr">
        <is>
          <t>F0087</t>
        </is>
      </c>
    </row>
    <row r="2683" ht="15.75" customHeight="1" s="108">
      <c r="A2683" s="18" t="inlineStr">
        <is>
          <t>Eugenia Kuzmina</t>
        </is>
      </c>
      <c r="B2683" s="18" t="n">
        <v>2</v>
      </c>
      <c r="C2683" s="18" t="n">
        <v>2016</v>
      </c>
      <c r="D2683" s="18" t="n">
        <v>2020</v>
      </c>
      <c r="E2683" s="18" t="inlineStr">
        <is>
          <t>Dirty Grandpa, The Gentlemen</t>
        </is>
      </c>
      <c r="F2683" s="18" t="inlineStr">
        <is>
          <t>F0087, F0119</t>
        </is>
      </c>
    </row>
    <row r="2684" ht="15.75" customHeight="1" s="108">
      <c r="A2684" s="18" t="inlineStr">
        <is>
          <t>Joshua Mikel</t>
        </is>
      </c>
      <c r="B2684" s="18" t="n">
        <v>1</v>
      </c>
      <c r="C2684" s="18" t="n">
        <v>2016</v>
      </c>
      <c r="D2684" s="18" t="n">
        <v>2016</v>
      </c>
      <c r="E2684" s="18" t="inlineStr">
        <is>
          <t>Dirty Grandpa</t>
        </is>
      </c>
      <c r="F2684" s="18" t="inlineStr">
        <is>
          <t>F0087</t>
        </is>
      </c>
    </row>
    <row r="2685" ht="15.75" customHeight="1" s="108">
      <c r="A2685" s="18" t="inlineStr">
        <is>
          <t>Warren Steele</t>
        </is>
      </c>
      <c r="B2685" s="18" t="n">
        <v>1</v>
      </c>
      <c r="C2685" s="18" t="n">
        <v>2016</v>
      </c>
      <c r="D2685" s="18" t="n">
        <v>2016</v>
      </c>
      <c r="E2685" s="18" t="inlineStr">
        <is>
          <t>Dirty Grandpa</t>
        </is>
      </c>
      <c r="F2685" s="18" t="inlineStr">
        <is>
          <t>F0087</t>
        </is>
      </c>
    </row>
    <row r="2686" ht="15.75" customHeight="1" s="108">
      <c r="A2686" s="18" t="inlineStr">
        <is>
          <t>Catherine Dyer</t>
        </is>
      </c>
      <c r="B2686" s="18" t="n">
        <v>1</v>
      </c>
      <c r="C2686" s="18" t="n">
        <v>2016</v>
      </c>
      <c r="D2686" s="18" t="n">
        <v>2016</v>
      </c>
      <c r="E2686" s="18" t="inlineStr">
        <is>
          <t>Dirty Grandpa</t>
        </is>
      </c>
      <c r="F2686" s="18" t="inlineStr">
        <is>
          <t>F0087</t>
        </is>
      </c>
    </row>
    <row r="2687" ht="15.75" customHeight="1" s="108">
      <c r="A2687" s="18" t="inlineStr">
        <is>
          <t>Jeffrey Bowyer-Chapman</t>
        </is>
      </c>
      <c r="B2687" s="18" t="n">
        <v>1</v>
      </c>
      <c r="C2687" s="18" t="n">
        <v>2016</v>
      </c>
      <c r="D2687" s="18" t="n">
        <v>2016</v>
      </c>
      <c r="E2687" s="18" t="inlineStr">
        <is>
          <t>Dirty Grandpa</t>
        </is>
      </c>
      <c r="F2687" s="18" t="inlineStr">
        <is>
          <t>F0087</t>
        </is>
      </c>
    </row>
    <row r="2688" ht="15.75" customHeight="1" s="108">
      <c r="A2688" s="18" t="inlineStr">
        <is>
          <t>Amy Parrish</t>
        </is>
      </c>
      <c r="B2688" s="18" t="n">
        <v>1</v>
      </c>
      <c r="C2688" s="18" t="n">
        <v>2016</v>
      </c>
      <c r="D2688" s="18" t="n">
        <v>2016</v>
      </c>
      <c r="E2688" s="18" t="inlineStr">
        <is>
          <t>Dirty Grandpa</t>
        </is>
      </c>
      <c r="F2688" s="18" t="inlineStr">
        <is>
          <t>F0087</t>
        </is>
      </c>
    </row>
    <row r="2689" ht="15.75" customHeight="1" s="108">
      <c r="A2689" s="18" t="inlineStr">
        <is>
          <t>Chandler Darby</t>
        </is>
      </c>
      <c r="B2689" s="18" t="n">
        <v>1</v>
      </c>
      <c r="C2689" s="18" t="n">
        <v>2016</v>
      </c>
      <c r="D2689" s="18" t="n">
        <v>2016</v>
      </c>
      <c r="E2689" s="18" t="inlineStr">
        <is>
          <t>Dirty Grandpa</t>
        </is>
      </c>
      <c r="F2689" s="18" t="inlineStr">
        <is>
          <t>F0087</t>
        </is>
      </c>
    </row>
    <row r="2690" ht="15.75" customHeight="1" s="108">
      <c r="A2690" s="18" t="inlineStr">
        <is>
          <t>Nelson Bonilla</t>
        </is>
      </c>
      <c r="B2690" s="18" t="n">
        <v>1</v>
      </c>
      <c r="C2690" s="18" t="n">
        <v>2016</v>
      </c>
      <c r="D2690" s="18" t="n">
        <v>2016</v>
      </c>
      <c r="E2690" s="18" t="inlineStr">
        <is>
          <t>Dirty Grandpa</t>
        </is>
      </c>
      <c r="F2690" s="18" t="inlineStr">
        <is>
          <t>F0087</t>
        </is>
      </c>
    </row>
    <row r="2691" ht="15.75" customHeight="1" s="108">
      <c r="A2691" s="18" t="inlineStr">
        <is>
          <t>Eric Goins</t>
        </is>
      </c>
      <c r="B2691" s="18" t="n">
        <v>1</v>
      </c>
      <c r="C2691" s="18" t="n">
        <v>2016</v>
      </c>
      <c r="D2691" s="18" t="n">
        <v>2016</v>
      </c>
      <c r="E2691" s="18" t="inlineStr">
        <is>
          <t>Dirty Grandpa</t>
        </is>
      </c>
      <c r="F2691" s="18" t="inlineStr">
        <is>
          <t>F0087</t>
        </is>
      </c>
    </row>
    <row r="2692" ht="15.75" customHeight="1" s="108">
      <c r="A2692" s="18" t="inlineStr">
        <is>
          <t>Gavin Munn</t>
        </is>
      </c>
      <c r="B2692" s="18" t="n">
        <v>1</v>
      </c>
      <c r="C2692" s="18" t="n">
        <v>2016</v>
      </c>
      <c r="D2692" s="18" t="n">
        <v>2016</v>
      </c>
      <c r="E2692" s="18" t="inlineStr">
        <is>
          <t>Dirty Grandpa</t>
        </is>
      </c>
      <c r="F2692" s="18" t="inlineStr">
        <is>
          <t>F0087</t>
        </is>
      </c>
    </row>
    <row r="2693" ht="15.75" customHeight="1" s="108">
      <c r="A2693" s="18" t="inlineStr">
        <is>
          <t>Michael H. Cole</t>
        </is>
      </c>
      <c r="B2693" s="18" t="n">
        <v>1</v>
      </c>
      <c r="C2693" s="18" t="n">
        <v>2016</v>
      </c>
      <c r="D2693" s="18" t="n">
        <v>2016</v>
      </c>
      <c r="E2693" s="18" t="inlineStr">
        <is>
          <t>Dirty Grandpa</t>
        </is>
      </c>
      <c r="F2693" s="18" t="inlineStr">
        <is>
          <t>F0087</t>
        </is>
      </c>
    </row>
    <row r="2694" ht="15.75" customHeight="1" s="108">
      <c r="A2694" s="18" t="inlineStr">
        <is>
          <t>Blaque Fowler</t>
        </is>
      </c>
      <c r="B2694" s="18" t="n">
        <v>1</v>
      </c>
      <c r="C2694" s="18" t="n">
        <v>2016</v>
      </c>
      <c r="D2694" s="18" t="n">
        <v>2016</v>
      </c>
      <c r="E2694" s="18" t="inlineStr">
        <is>
          <t>Dirty Grandpa</t>
        </is>
      </c>
      <c r="F2694" s="18" t="inlineStr">
        <is>
          <t>F0087</t>
        </is>
      </c>
    </row>
    <row r="2695" ht="15.75" customHeight="1" s="108">
      <c r="A2695" s="18" t="inlineStr">
        <is>
          <t>Matthew Cornwell</t>
        </is>
      </c>
      <c r="B2695" s="18" t="n">
        <v>1</v>
      </c>
      <c r="C2695" s="18" t="n">
        <v>2016</v>
      </c>
      <c r="D2695" s="18" t="n">
        <v>2016</v>
      </c>
      <c r="E2695" s="18" t="inlineStr">
        <is>
          <t>Dirty Grandpa</t>
        </is>
      </c>
      <c r="F2695" s="18" t="inlineStr">
        <is>
          <t>F0087</t>
        </is>
      </c>
    </row>
    <row r="2696" ht="15.75" customHeight="1" s="108">
      <c r="A2696" s="18" t="inlineStr">
        <is>
          <t>Christopher Setticase</t>
        </is>
      </c>
      <c r="B2696" s="18" t="n">
        <v>1</v>
      </c>
      <c r="C2696" s="18" t="n">
        <v>2016</v>
      </c>
      <c r="D2696" s="18" t="n">
        <v>2016</v>
      </c>
      <c r="E2696" s="18" t="inlineStr">
        <is>
          <t>Dirty Grandpa</t>
        </is>
      </c>
      <c r="F2696" s="18" t="inlineStr">
        <is>
          <t>F0087</t>
        </is>
      </c>
    </row>
    <row r="2697" ht="15.75" customHeight="1" s="108">
      <c r="A2697" s="18" t="inlineStr">
        <is>
          <t>John Sumner</t>
        </is>
      </c>
      <c r="B2697" s="18" t="n">
        <v>2</v>
      </c>
      <c r="C2697" s="18" t="n">
        <v>2005</v>
      </c>
      <c r="D2697" s="18" t="n">
        <v>2009</v>
      </c>
      <c r="E2697" s="18" t="inlineStr">
        <is>
          <t>District 9, King Kong</t>
        </is>
      </c>
      <c r="F2697" s="18" t="inlineStr">
        <is>
          <t>F0088, F0188</t>
        </is>
      </c>
    </row>
    <row r="2698" ht="15.75" customHeight="1" s="108">
      <c r="A2698" s="18" t="inlineStr">
        <is>
          <t>William Allen Young</t>
        </is>
      </c>
      <c r="B2698" s="18" t="n">
        <v>1</v>
      </c>
      <c r="C2698" s="18" t="n">
        <v>2009</v>
      </c>
      <c r="D2698" s="18" t="n">
        <v>2009</v>
      </c>
      <c r="E2698" s="18" t="inlineStr">
        <is>
          <t>District 9</t>
        </is>
      </c>
      <c r="F2698" s="18" t="inlineStr">
        <is>
          <t>F0088</t>
        </is>
      </c>
    </row>
    <row r="2699" ht="15.75" customHeight="1" s="108">
      <c r="A2699" s="18" t="inlineStr">
        <is>
          <t>Nick Blake</t>
        </is>
      </c>
      <c r="B2699" s="18" t="n">
        <v>1</v>
      </c>
      <c r="C2699" s="18" t="n">
        <v>2009</v>
      </c>
      <c r="D2699" s="18" t="n">
        <v>2009</v>
      </c>
      <c r="E2699" s="18" t="inlineStr">
        <is>
          <t>District 9</t>
        </is>
      </c>
      <c r="F2699" s="18" t="inlineStr">
        <is>
          <t>F0088</t>
        </is>
      </c>
    </row>
    <row r="2700" ht="15.75" customHeight="1" s="108">
      <c r="A2700" s="18" t="inlineStr">
        <is>
          <t>Greg Melvill-Smith</t>
        </is>
      </c>
      <c r="B2700" s="18" t="n">
        <v>1</v>
      </c>
      <c r="C2700" s="18" t="n">
        <v>2009</v>
      </c>
      <c r="D2700" s="18" t="n">
        <v>2009</v>
      </c>
      <c r="E2700" s="18" t="inlineStr">
        <is>
          <t>District 9</t>
        </is>
      </c>
      <c r="F2700" s="18" t="inlineStr">
        <is>
          <t>F0088</t>
        </is>
      </c>
    </row>
    <row r="2701" ht="15.75" customHeight="1" s="108">
      <c r="A2701" s="18" t="inlineStr">
        <is>
          <t>Robert Hobbs</t>
        </is>
      </c>
      <c r="B2701" s="18" t="n">
        <v>1</v>
      </c>
      <c r="C2701" s="18" t="n">
        <v>2009</v>
      </c>
      <c r="D2701" s="18" t="n">
        <v>2009</v>
      </c>
      <c r="E2701" s="18" t="inlineStr">
        <is>
          <t>District 9</t>
        </is>
      </c>
      <c r="F2701" s="18" t="inlineStr">
        <is>
          <t>F0088</t>
        </is>
      </c>
    </row>
    <row r="2702" ht="15.75" customHeight="1" s="108">
      <c r="A2702" s="18" t="inlineStr">
        <is>
          <t>Vanessa Haywood</t>
        </is>
      </c>
      <c r="B2702" s="18" t="n">
        <v>1</v>
      </c>
      <c r="C2702" s="18" t="n">
        <v>2009</v>
      </c>
      <c r="D2702" s="18" t="n">
        <v>2009</v>
      </c>
      <c r="E2702" s="18" t="inlineStr">
        <is>
          <t>District 9</t>
        </is>
      </c>
      <c r="F2702" s="18" t="inlineStr">
        <is>
          <t>F0088</t>
        </is>
      </c>
    </row>
    <row r="2703" ht="15.75" customHeight="1" s="108">
      <c r="A2703" s="18" t="inlineStr">
        <is>
          <t>Morena Busa Sesatsa</t>
        </is>
      </c>
      <c r="B2703" s="18" t="n">
        <v>1</v>
      </c>
      <c r="C2703" s="18" t="n">
        <v>2009</v>
      </c>
      <c r="D2703" s="18" t="n">
        <v>2009</v>
      </c>
      <c r="E2703" s="18" t="inlineStr">
        <is>
          <t>District 9</t>
        </is>
      </c>
      <c r="F2703" s="18" t="inlineStr">
        <is>
          <t>F0088</t>
        </is>
      </c>
    </row>
    <row r="2704" ht="15.75" customHeight="1" s="108">
      <c r="A2704" s="18" t="inlineStr">
        <is>
          <t>Themba Nkosi</t>
        </is>
      </c>
      <c r="B2704" s="18" t="n">
        <v>1</v>
      </c>
      <c r="C2704" s="18" t="n">
        <v>2009</v>
      </c>
      <c r="D2704" s="18" t="n">
        <v>2009</v>
      </c>
      <c r="E2704" s="18" t="inlineStr">
        <is>
          <t>District 9</t>
        </is>
      </c>
      <c r="F2704" s="18" t="inlineStr">
        <is>
          <t>F0088</t>
        </is>
      </c>
    </row>
    <row r="2705" ht="15.75" customHeight="1" s="108">
      <c r="A2705" s="18" t="inlineStr">
        <is>
          <t>Mzwandile Nqoba</t>
        </is>
      </c>
      <c r="B2705" s="18" t="n">
        <v>1</v>
      </c>
      <c r="C2705" s="18" t="n">
        <v>2009</v>
      </c>
      <c r="D2705" s="18" t="n">
        <v>2009</v>
      </c>
      <c r="E2705" s="18" t="inlineStr">
        <is>
          <t>District 9</t>
        </is>
      </c>
      <c r="F2705" s="18" t="inlineStr">
        <is>
          <t>F0088</t>
        </is>
      </c>
    </row>
    <row r="2706" ht="15.75" customHeight="1" s="108">
      <c r="A2706" s="18" t="inlineStr">
        <is>
          <t>Barry Strydom</t>
        </is>
      </c>
      <c r="B2706" s="18" t="n">
        <v>1</v>
      </c>
      <c r="C2706" s="18" t="n">
        <v>2009</v>
      </c>
      <c r="D2706" s="18" t="n">
        <v>2009</v>
      </c>
      <c r="E2706" s="18" t="inlineStr">
        <is>
          <t>District 9</t>
        </is>
      </c>
      <c r="F2706" s="18" t="inlineStr">
        <is>
          <t>F0088</t>
        </is>
      </c>
    </row>
    <row r="2707" ht="15.75" customHeight="1" s="108">
      <c r="A2707" s="18" t="inlineStr">
        <is>
          <t>Jed Brophy</t>
        </is>
      </c>
      <c r="B2707" s="18" t="n">
        <v>6</v>
      </c>
      <c r="C2707" s="18" t="n">
        <v>2002</v>
      </c>
      <c r="D2707" s="18" t="n">
        <v>2014</v>
      </c>
      <c r="E2707" s="18" t="inlineStr">
        <is>
          <t>District 9, The Hobbit: An Unexpected Journey, The Hobbit: The Desolation of Smaug, The Hobbit: The Battle of the Five Armies, King Kong, The Lord of the Rings: The Two Towers</t>
        </is>
      </c>
      <c r="F2707" s="18" t="inlineStr">
        <is>
          <t>F0088, F0150, F0151, F0152, F0188, F0204</t>
        </is>
      </c>
    </row>
    <row r="2708" ht="15.75" customHeight="1" s="108">
      <c r="A2708" s="18" t="inlineStr">
        <is>
          <t>Louis Minnaar</t>
        </is>
      </c>
      <c r="B2708" s="18" t="n">
        <v>1</v>
      </c>
      <c r="C2708" s="18" t="n">
        <v>2009</v>
      </c>
      <c r="D2708" s="18" t="n">
        <v>2009</v>
      </c>
      <c r="E2708" s="18" t="inlineStr">
        <is>
          <t>District 9</t>
        </is>
      </c>
      <c r="F2708" s="18" t="inlineStr">
        <is>
          <t>F0088</t>
        </is>
      </c>
    </row>
    <row r="2709" ht="15.75" customHeight="1" s="108">
      <c r="A2709" s="18" t="inlineStr">
        <is>
          <t>Marian Hooman</t>
        </is>
      </c>
      <c r="B2709" s="18" t="n">
        <v>1</v>
      </c>
      <c r="C2709" s="18" t="n">
        <v>2009</v>
      </c>
      <c r="D2709" s="18" t="n">
        <v>2009</v>
      </c>
      <c r="E2709" s="18" t="inlineStr">
        <is>
          <t>District 9</t>
        </is>
      </c>
      <c r="F2709" s="18" t="inlineStr">
        <is>
          <t>F0088</t>
        </is>
      </c>
    </row>
    <row r="2710" ht="15.75" customHeight="1" s="108">
      <c r="A2710" s="18" t="inlineStr">
        <is>
          <t>Vittorio Leonardi</t>
        </is>
      </c>
      <c r="B2710" s="18" t="n">
        <v>1</v>
      </c>
      <c r="C2710" s="18" t="n">
        <v>2009</v>
      </c>
      <c r="D2710" s="18" t="n">
        <v>2009</v>
      </c>
      <c r="E2710" s="18" t="inlineStr">
        <is>
          <t>District 9</t>
        </is>
      </c>
      <c r="F2710" s="18" t="inlineStr">
        <is>
          <t>F0088</t>
        </is>
      </c>
    </row>
    <row r="2711" ht="15.75" customHeight="1" s="108">
      <c r="A2711" s="18" t="inlineStr">
        <is>
          <t>David Clatworthy</t>
        </is>
      </c>
      <c r="B2711" s="18" t="n">
        <v>1</v>
      </c>
      <c r="C2711" s="18" t="n">
        <v>2009</v>
      </c>
      <c r="D2711" s="18" t="n">
        <v>2009</v>
      </c>
      <c r="E2711" s="18" t="inlineStr">
        <is>
          <t>District 9</t>
        </is>
      </c>
      <c r="F2711" s="18" t="inlineStr">
        <is>
          <t>F0088</t>
        </is>
      </c>
    </row>
    <row r="2712" ht="15.75" customHeight="1" s="108">
      <c r="A2712" s="18" t="inlineStr">
        <is>
          <t>Michael Huff</t>
        </is>
      </c>
      <c r="B2712" s="18" t="n">
        <v>1</v>
      </c>
      <c r="C2712" s="18" t="n">
        <v>2009</v>
      </c>
      <c r="D2712" s="18" t="n">
        <v>2009</v>
      </c>
      <c r="E2712" s="18" t="inlineStr">
        <is>
          <t>District 9</t>
        </is>
      </c>
      <c r="F2712" s="18" t="inlineStr">
        <is>
          <t>F0088</t>
        </is>
      </c>
    </row>
    <row r="2713" ht="15.75" customHeight="1" s="108">
      <c r="A2713" s="18" t="inlineStr">
        <is>
          <t>David James</t>
        </is>
      </c>
      <c r="B2713" s="18" t="n">
        <v>1</v>
      </c>
      <c r="C2713" s="18" t="n">
        <v>2009</v>
      </c>
      <c r="D2713" s="18" t="n">
        <v>2009</v>
      </c>
      <c r="E2713" s="18" t="inlineStr">
        <is>
          <t>District 9</t>
        </is>
      </c>
      <c r="F2713" s="18" t="inlineStr">
        <is>
          <t>F0088</t>
        </is>
      </c>
    </row>
    <row r="2714" ht="15.75" customHeight="1" s="108">
      <c r="A2714" s="18" t="inlineStr">
        <is>
          <t>Tim Gordon</t>
        </is>
      </c>
      <c r="B2714" s="18" t="n">
        <v>1</v>
      </c>
      <c r="C2714" s="18" t="n">
        <v>2009</v>
      </c>
      <c r="D2714" s="18" t="n">
        <v>2009</v>
      </c>
      <c r="E2714" s="18" t="inlineStr">
        <is>
          <t>District 9</t>
        </is>
      </c>
      <c r="F2714" s="18" t="inlineStr">
        <is>
          <t>F0088</t>
        </is>
      </c>
    </row>
    <row r="2715" ht="15.75" customHeight="1" s="108">
      <c r="A2715" s="18" t="inlineStr">
        <is>
          <t>Anthony Bishop</t>
        </is>
      </c>
      <c r="B2715" s="18" t="n">
        <v>1</v>
      </c>
      <c r="C2715" s="18" t="n">
        <v>2009</v>
      </c>
      <c r="D2715" s="18" t="n">
        <v>2009</v>
      </c>
      <c r="E2715" s="18" t="inlineStr">
        <is>
          <t>District 9</t>
        </is>
      </c>
      <c r="F2715" s="18" t="inlineStr">
        <is>
          <t>F0088</t>
        </is>
      </c>
    </row>
    <row r="2716" ht="15.75" customHeight="1" s="108">
      <c r="A2716" s="18" t="inlineStr">
        <is>
          <t>Anthony Fridjhon</t>
        </is>
      </c>
      <c r="B2716" s="18" t="n">
        <v>1</v>
      </c>
      <c r="C2716" s="18" t="n">
        <v>2009</v>
      </c>
      <c r="D2716" s="18" t="n">
        <v>2009</v>
      </c>
      <c r="E2716" s="18" t="inlineStr">
        <is>
          <t>District 9</t>
        </is>
      </c>
      <c r="F2716" s="18" t="inlineStr">
        <is>
          <t>F0088</t>
        </is>
      </c>
    </row>
    <row r="2717" ht="15.75" customHeight="1" s="108">
      <c r="A2717" s="18" t="inlineStr">
        <is>
          <t>Eugene Khumbanyiwa</t>
        </is>
      </c>
      <c r="B2717" s="18" t="n">
        <v>1</v>
      </c>
      <c r="C2717" s="18" t="n">
        <v>2009</v>
      </c>
      <c r="D2717" s="18" t="n">
        <v>2009</v>
      </c>
      <c r="E2717" s="18" t="inlineStr">
        <is>
          <t>District 9</t>
        </is>
      </c>
      <c r="F2717" s="18" t="inlineStr">
        <is>
          <t>F0088</t>
        </is>
      </c>
    </row>
    <row r="2718" ht="15.75" customHeight="1" s="108">
      <c r="A2718" s="18" t="inlineStr">
        <is>
          <t>Melt Sieberhagen</t>
        </is>
      </c>
      <c r="B2718" s="18" t="n">
        <v>1</v>
      </c>
      <c r="C2718" s="18" t="n">
        <v>2009</v>
      </c>
      <c r="D2718" s="18" t="n">
        <v>2009</v>
      </c>
      <c r="E2718" s="18" t="inlineStr">
        <is>
          <t>District 9</t>
        </is>
      </c>
      <c r="F2718" s="18" t="inlineStr">
        <is>
          <t>F0088</t>
        </is>
      </c>
    </row>
    <row r="2719" ht="15.75" customHeight="1" s="108">
      <c r="A2719" s="18" t="inlineStr">
        <is>
          <t>Andre Odendaal</t>
        </is>
      </c>
      <c r="B2719" s="18" t="n">
        <v>1</v>
      </c>
      <c r="C2719" s="18" t="n">
        <v>2009</v>
      </c>
      <c r="D2719" s="18" t="n">
        <v>2009</v>
      </c>
      <c r="E2719" s="18" t="inlineStr">
        <is>
          <t>District 9</t>
        </is>
      </c>
      <c r="F2719" s="18" t="inlineStr">
        <is>
          <t>F0088</t>
        </is>
      </c>
    </row>
    <row r="2720" ht="15.75" customHeight="1" s="108">
      <c r="A2720" s="18" t="inlineStr">
        <is>
          <t>Louise Saint-Claire</t>
        </is>
      </c>
      <c r="B2720" s="18" t="n">
        <v>1</v>
      </c>
      <c r="C2720" s="18" t="n">
        <v>2009</v>
      </c>
      <c r="D2720" s="18" t="n">
        <v>2009</v>
      </c>
      <c r="E2720" s="18" t="inlineStr">
        <is>
          <t>District 9</t>
        </is>
      </c>
      <c r="F2720" s="18" t="inlineStr">
        <is>
          <t>F0088</t>
        </is>
      </c>
    </row>
    <row r="2721" ht="15.75" customHeight="1" s="108">
      <c r="A2721" s="18" t="inlineStr">
        <is>
          <t>Norman Anstey</t>
        </is>
      </c>
      <c r="B2721" s="18" t="n">
        <v>1</v>
      </c>
      <c r="C2721" s="18" t="n">
        <v>2009</v>
      </c>
      <c r="D2721" s="18" t="n">
        <v>2009</v>
      </c>
      <c r="E2721" s="18" t="inlineStr">
        <is>
          <t>District 9</t>
        </is>
      </c>
      <c r="F2721" s="18" t="inlineStr">
        <is>
          <t>F0088</t>
        </is>
      </c>
    </row>
    <row r="2722" ht="15.75" customHeight="1" s="108">
      <c r="A2722" s="18" t="inlineStr">
        <is>
          <t>Ashley Judd</t>
        </is>
      </c>
      <c r="B2722" s="18" t="n">
        <v>2</v>
      </c>
      <c r="C2722" s="18" t="n">
        <v>2013</v>
      </c>
      <c r="D2722" s="18" t="n">
        <v>2014</v>
      </c>
      <c r="E2722" s="18" t="inlineStr">
        <is>
          <t>Divergent, Olympus Has Fallen</t>
        </is>
      </c>
      <c r="F2722" s="18" t="inlineStr">
        <is>
          <t>F0089, F0240</t>
        </is>
      </c>
    </row>
    <row r="2723" ht="15.75" customHeight="1" s="108">
      <c r="A2723" s="18" t="inlineStr">
        <is>
          <t>Tony Goldwyn</t>
        </is>
      </c>
      <c r="B2723" s="18" t="n">
        <v>3</v>
      </c>
      <c r="C2723" s="18" t="n">
        <v>2014</v>
      </c>
      <c r="D2723" s="18" t="n">
        <v>2025</v>
      </c>
      <c r="E2723" s="18" t="inlineStr">
        <is>
          <t>Divergent, Oppenheimer, One battle after another</t>
        </is>
      </c>
      <c r="F2723" s="18" t="inlineStr">
        <is>
          <t>F0089, F0242, F0353</t>
        </is>
      </c>
    </row>
    <row r="2724" ht="15.75" customHeight="1" s="108">
      <c r="A2724" s="18" t="inlineStr">
        <is>
          <t>Mekhi Phifer</t>
        </is>
      </c>
      <c r="B2724" s="18" t="n">
        <v>1</v>
      </c>
      <c r="C2724" s="18" t="n">
        <v>2014</v>
      </c>
      <c r="D2724" s="18" t="n">
        <v>2014</v>
      </c>
      <c r="E2724" s="18" t="inlineStr">
        <is>
          <t>Divergent</t>
        </is>
      </c>
      <c r="F2724" s="18" t="inlineStr">
        <is>
          <t>F0089</t>
        </is>
      </c>
    </row>
    <row r="2725" ht="15.75" customHeight="1" s="108">
      <c r="A2725" s="18" t="inlineStr">
        <is>
          <t>Kate Winslet</t>
        </is>
      </c>
      <c r="B2725" s="18" t="n">
        <v>2</v>
      </c>
      <c r="C2725" s="18" t="n">
        <v>2014</v>
      </c>
      <c r="D2725" s="18" t="n">
        <v>2022</v>
      </c>
      <c r="E2725" s="18" t="inlineStr">
        <is>
          <t>Divergent, avatar way of water</t>
        </is>
      </c>
      <c r="F2725" s="18" t="inlineStr">
        <is>
          <t>F0089, F0364</t>
        </is>
      </c>
    </row>
    <row r="2726" ht="15.75" customHeight="1" s="108">
      <c r="A2726" s="18" t="inlineStr">
        <is>
          <t>Ben Lloyd-Hughes</t>
        </is>
      </c>
      <c r="B2726" s="18" t="n">
        <v>1</v>
      </c>
      <c r="C2726" s="18" t="n">
        <v>2014</v>
      </c>
      <c r="D2726" s="18" t="n">
        <v>2014</v>
      </c>
      <c r="E2726" s="18" t="inlineStr">
        <is>
          <t>Divergent</t>
        </is>
      </c>
      <c r="F2726" s="18" t="inlineStr">
        <is>
          <t>F0089</t>
        </is>
      </c>
    </row>
    <row r="2727" ht="15.75" customHeight="1" s="108">
      <c r="A2727" s="18" t="inlineStr">
        <is>
          <t>Christian Madsen</t>
        </is>
      </c>
      <c r="B2727" s="18" t="n">
        <v>1</v>
      </c>
      <c r="C2727" s="18" t="n">
        <v>2014</v>
      </c>
      <c r="D2727" s="18" t="n">
        <v>2014</v>
      </c>
      <c r="E2727" s="18" t="inlineStr">
        <is>
          <t>Divergent</t>
        </is>
      </c>
      <c r="F2727" s="18" t="inlineStr">
        <is>
          <t>F0089</t>
        </is>
      </c>
    </row>
    <row r="2728" ht="15.75" customHeight="1" s="108">
      <c r="A2728" s="18" t="inlineStr">
        <is>
          <t>Amy Newbold</t>
        </is>
      </c>
      <c r="B2728" s="18" t="n">
        <v>1</v>
      </c>
      <c r="C2728" s="18" t="n">
        <v>2014</v>
      </c>
      <c r="D2728" s="18" t="n">
        <v>2014</v>
      </c>
      <c r="E2728" s="18" t="inlineStr">
        <is>
          <t>Divergent</t>
        </is>
      </c>
      <c r="F2728" s="18" t="inlineStr">
        <is>
          <t>F0089</t>
        </is>
      </c>
    </row>
    <row r="2729" ht="15.75" customHeight="1" s="108">
      <c r="A2729" s="18" t="inlineStr">
        <is>
          <t>Ben Lamb</t>
        </is>
      </c>
      <c r="B2729" s="18" t="n">
        <v>1</v>
      </c>
      <c r="C2729" s="18" t="n">
        <v>2014</v>
      </c>
      <c r="D2729" s="18" t="n">
        <v>2014</v>
      </c>
      <c r="E2729" s="18" t="inlineStr">
        <is>
          <t>Divergent</t>
        </is>
      </c>
      <c r="F2729" s="18" t="inlineStr">
        <is>
          <t>F0089</t>
        </is>
      </c>
    </row>
    <row r="2730" ht="15.75" customHeight="1" s="108">
      <c r="A2730" s="18" t="inlineStr">
        <is>
          <t>Janet Ulrich Brooks</t>
        </is>
      </c>
      <c r="B2730" s="18" t="n">
        <v>1</v>
      </c>
      <c r="C2730" s="18" t="n">
        <v>2014</v>
      </c>
      <c r="D2730" s="18" t="n">
        <v>2014</v>
      </c>
      <c r="E2730" s="18" t="inlineStr">
        <is>
          <t>Divergent</t>
        </is>
      </c>
      <c r="F2730" s="18" t="inlineStr">
        <is>
          <t>F0089</t>
        </is>
      </c>
    </row>
    <row r="2731" ht="15.75" customHeight="1" s="108">
      <c r="A2731" s="18" t="inlineStr">
        <is>
          <t>Clara Burger</t>
        </is>
      </c>
      <c r="B2731" s="18" t="n">
        <v>1</v>
      </c>
      <c r="C2731" s="18" t="n">
        <v>2014</v>
      </c>
      <c r="D2731" s="18" t="n">
        <v>2014</v>
      </c>
      <c r="E2731" s="18" t="inlineStr">
        <is>
          <t>Divergent</t>
        </is>
      </c>
      <c r="F2731" s="18" t="inlineStr">
        <is>
          <t>F0089</t>
        </is>
      </c>
    </row>
    <row r="2732" ht="15.75" customHeight="1" s="108">
      <c r="A2732" s="18" t="inlineStr">
        <is>
          <t>Anthony Fleming III</t>
        </is>
      </c>
      <c r="B2732" s="18" t="n">
        <v>1</v>
      </c>
      <c r="C2732" s="18" t="n">
        <v>2014</v>
      </c>
      <c r="D2732" s="18" t="n">
        <v>2014</v>
      </c>
      <c r="E2732" s="18" t="inlineStr">
        <is>
          <t>Divergent</t>
        </is>
      </c>
      <c r="F2732" s="18" t="inlineStr">
        <is>
          <t>F0089</t>
        </is>
      </c>
    </row>
    <row r="2733" ht="15.75" customHeight="1" s="108">
      <c r="A2733" s="18" t="inlineStr">
        <is>
          <t>Ryan Carr</t>
        </is>
      </c>
      <c r="B2733" s="18" t="n">
        <v>1</v>
      </c>
      <c r="C2733" s="18" t="n">
        <v>2014</v>
      </c>
      <c r="D2733" s="18" t="n">
        <v>2014</v>
      </c>
      <c r="E2733" s="18" t="inlineStr">
        <is>
          <t>Divergent</t>
        </is>
      </c>
      <c r="F2733" s="18" t="inlineStr">
        <is>
          <t>F0089</t>
        </is>
      </c>
    </row>
    <row r="2734" ht="15.75" customHeight="1" s="108">
      <c r="A2734" s="18" t="inlineStr">
        <is>
          <t>Alexander Hashioka Oatfield</t>
        </is>
      </c>
      <c r="B2734" s="18" t="n">
        <v>1</v>
      </c>
      <c r="C2734" s="18" t="n">
        <v>2014</v>
      </c>
      <c r="D2734" s="18" t="n">
        <v>2014</v>
      </c>
      <c r="E2734" s="18" t="inlineStr">
        <is>
          <t>Divergent</t>
        </is>
      </c>
      <c r="F2734" s="18" t="inlineStr">
        <is>
          <t>F0089</t>
        </is>
      </c>
    </row>
    <row r="2735" ht="15.75" customHeight="1" s="108">
      <c r="A2735" s="18" t="inlineStr">
        <is>
          <t>Will Blagrove</t>
        </is>
      </c>
      <c r="B2735" s="18" t="n">
        <v>1</v>
      </c>
      <c r="C2735" s="18" t="n">
        <v>2014</v>
      </c>
      <c r="D2735" s="18" t="n">
        <v>2014</v>
      </c>
      <c r="E2735" s="18" t="inlineStr">
        <is>
          <t>Divergent</t>
        </is>
      </c>
      <c r="F2735" s="18" t="inlineStr">
        <is>
          <t>F0089</t>
        </is>
      </c>
    </row>
    <row r="2736" ht="15.75" customHeight="1" s="108">
      <c r="A2736" s="18" t="inlineStr">
        <is>
          <t>Rotimi</t>
        </is>
      </c>
      <c r="B2736" s="18" t="n">
        <v>1</v>
      </c>
      <c r="C2736" s="18" t="n">
        <v>2014</v>
      </c>
      <c r="D2736" s="18" t="n">
        <v>2014</v>
      </c>
      <c r="E2736" s="18" t="inlineStr">
        <is>
          <t>Divergent</t>
        </is>
      </c>
      <c r="F2736" s="18" t="inlineStr">
        <is>
          <t>F0089</t>
        </is>
      </c>
    </row>
    <row r="2737" ht="15.75" customHeight="1" s="108">
      <c r="A2737" s="18" t="inlineStr">
        <is>
          <t>Justine Wachsberger</t>
        </is>
      </c>
      <c r="B2737" s="18" t="n">
        <v>2</v>
      </c>
      <c r="C2737" s="18" t="n">
        <v>2010</v>
      </c>
      <c r="D2737" s="18" t="n">
        <v>2014</v>
      </c>
      <c r="E2737" s="18" t="inlineStr">
        <is>
          <t>Divergent, RED</t>
        </is>
      </c>
      <c r="F2737" s="18" t="inlineStr">
        <is>
          <t>F0089, F0262</t>
        </is>
      </c>
    </row>
    <row r="2738" ht="15.75" customHeight="1" s="108">
      <c r="A2738" s="18" t="inlineStr">
        <is>
          <t>Michael Gideon Sherry</t>
        </is>
      </c>
      <c r="B2738" s="18" t="n">
        <v>1</v>
      </c>
      <c r="C2738" s="18" t="n">
        <v>2014</v>
      </c>
      <c r="D2738" s="18" t="n">
        <v>2014</v>
      </c>
      <c r="E2738" s="18" t="inlineStr">
        <is>
          <t>Divergent</t>
        </is>
      </c>
      <c r="F2738" s="18" t="inlineStr">
        <is>
          <t>F0089</t>
        </is>
      </c>
    </row>
    <row r="2739" ht="15.75" customHeight="1" s="108">
      <c r="A2739" s="18" t="inlineStr">
        <is>
          <t>Lukas Burger</t>
        </is>
      </c>
      <c r="B2739" s="18" t="n">
        <v>1</v>
      </c>
      <c r="C2739" s="18" t="n">
        <v>2014</v>
      </c>
      <c r="D2739" s="18" t="n">
        <v>2014</v>
      </c>
      <c r="E2739" s="18" t="inlineStr">
        <is>
          <t>Divergent</t>
        </is>
      </c>
      <c r="F2739" s="18" t="inlineStr">
        <is>
          <t>F0089</t>
        </is>
      </c>
    </row>
    <row r="2740" ht="15.75" customHeight="1" s="108">
      <c r="A2740" s="18" t="inlineStr">
        <is>
          <t>Austin Lyon</t>
        </is>
      </c>
      <c r="B2740" s="18" t="n">
        <v>1</v>
      </c>
      <c r="C2740" s="18" t="n">
        <v>2014</v>
      </c>
      <c r="D2740" s="18" t="n">
        <v>2014</v>
      </c>
      <c r="E2740" s="18" t="inlineStr">
        <is>
          <t>Divergent</t>
        </is>
      </c>
      <c r="F2740" s="18" t="inlineStr">
        <is>
          <t>F0089</t>
        </is>
      </c>
    </row>
    <row r="2741" ht="15.75" customHeight="1" s="108">
      <c r="A2741" s="18" t="inlineStr">
        <is>
          <t>Renee Morrison</t>
        </is>
      </c>
      <c r="B2741" s="18" t="n">
        <v>1</v>
      </c>
      <c r="C2741" s="18" t="n">
        <v>2014</v>
      </c>
      <c r="D2741" s="18" t="n">
        <v>2014</v>
      </c>
      <c r="E2741" s="18" t="inlineStr">
        <is>
          <t>Divergent</t>
        </is>
      </c>
      <c r="F2741" s="18" t="inlineStr">
        <is>
          <t>F0089</t>
        </is>
      </c>
    </row>
    <row r="2742" ht="15.75" customHeight="1" s="108">
      <c r="A2742" s="18" t="inlineStr">
        <is>
          <t>Lucas Ross</t>
        </is>
      </c>
      <c r="B2742" s="18" t="n">
        <v>1</v>
      </c>
      <c r="C2742" s="18" t="n">
        <v>2014</v>
      </c>
      <c r="D2742" s="18" t="n">
        <v>2014</v>
      </c>
      <c r="E2742" s="18" t="inlineStr">
        <is>
          <t>Divergent</t>
        </is>
      </c>
      <c r="F2742" s="18" t="inlineStr">
        <is>
          <t>F0089</t>
        </is>
      </c>
    </row>
    <row r="2743" ht="15.75" customHeight="1" s="108">
      <c r="A2743" s="18" t="inlineStr">
        <is>
          <t>Chris Hayes</t>
        </is>
      </c>
      <c r="B2743" s="18" t="n">
        <v>1</v>
      </c>
      <c r="C2743" s="18" t="n">
        <v>2014</v>
      </c>
      <c r="D2743" s="18" t="n">
        <v>2014</v>
      </c>
      <c r="E2743" s="18" t="inlineStr">
        <is>
          <t>Divergent</t>
        </is>
      </c>
      <c r="F2743" s="18" t="inlineStr">
        <is>
          <t>F0089</t>
        </is>
      </c>
    </row>
    <row r="2744" ht="15.75" customHeight="1" s="108">
      <c r="A2744" s="18" t="inlineStr">
        <is>
          <t>Dennis Christopher</t>
        </is>
      </c>
      <c r="B2744" s="18" t="n">
        <v>1</v>
      </c>
      <c r="C2744" s="18" t="n">
        <v>2012</v>
      </c>
      <c r="D2744" s="18" t="n">
        <v>2012</v>
      </c>
      <c r="E2744" s="18" t="inlineStr">
        <is>
          <t>Django Unchained</t>
        </is>
      </c>
      <c r="F2744" s="18" t="inlineStr">
        <is>
          <t>F0090</t>
        </is>
      </c>
    </row>
    <row r="2745" ht="15.75" customHeight="1" s="108">
      <c r="A2745" s="18" t="inlineStr">
        <is>
          <t>David Steen</t>
        </is>
      </c>
      <c r="B2745" s="18" t="n">
        <v>1</v>
      </c>
      <c r="C2745" s="18" t="n">
        <v>2012</v>
      </c>
      <c r="D2745" s="18" t="n">
        <v>2012</v>
      </c>
      <c r="E2745" s="18" t="inlineStr">
        <is>
          <t>Django Unchained</t>
        </is>
      </c>
      <c r="F2745" s="18" t="inlineStr">
        <is>
          <t>F0090</t>
        </is>
      </c>
    </row>
    <row r="2746" ht="15.75" customHeight="1" s="108">
      <c r="A2746" s="18" t="inlineStr">
        <is>
          <t>Dana Gourrier</t>
        </is>
      </c>
      <c r="B2746" s="18" t="n">
        <v>1</v>
      </c>
      <c r="C2746" s="18" t="n">
        <v>2012</v>
      </c>
      <c r="D2746" s="18" t="n">
        <v>2012</v>
      </c>
      <c r="E2746" s="18" t="inlineStr">
        <is>
          <t>Django Unchained</t>
        </is>
      </c>
      <c r="F2746" s="18" t="inlineStr">
        <is>
          <t>F0090</t>
        </is>
      </c>
    </row>
    <row r="2747" ht="15.75" customHeight="1" s="108">
      <c r="A2747" s="18" t="inlineStr">
        <is>
          <t>Nichole Galicia</t>
        </is>
      </c>
      <c r="B2747" s="18" t="n">
        <v>1</v>
      </c>
      <c r="C2747" s="18" t="n">
        <v>2012</v>
      </c>
      <c r="D2747" s="18" t="n">
        <v>2012</v>
      </c>
      <c r="E2747" s="18" t="inlineStr">
        <is>
          <t>Django Unchained</t>
        </is>
      </c>
      <c r="F2747" s="18" t="inlineStr">
        <is>
          <t>F0090</t>
        </is>
      </c>
    </row>
    <row r="2748" ht="15.75" customHeight="1" s="108">
      <c r="A2748" s="18" t="inlineStr">
        <is>
          <t>Laura Cayouette</t>
        </is>
      </c>
      <c r="B2748" s="18" t="n">
        <v>3</v>
      </c>
      <c r="C2748" s="18" t="n">
        <v>1998</v>
      </c>
      <c r="D2748" s="18" t="n">
        <v>2012</v>
      </c>
      <c r="E2748" s="18" t="inlineStr">
        <is>
          <t>Django Unchained, Enemy of the State, Green Lantern</t>
        </is>
      </c>
      <c r="F2748" s="18" t="inlineStr">
        <is>
          <t>F0090, F0094, F0128</t>
        </is>
      </c>
    </row>
    <row r="2749" ht="15.75" customHeight="1" s="108">
      <c r="A2749" s="18" t="inlineStr">
        <is>
          <t>Ato Essandoh</t>
        </is>
      </c>
      <c r="B2749" s="18" t="n">
        <v>3</v>
      </c>
      <c r="C2749" s="18" t="n">
        <v>2012</v>
      </c>
      <c r="D2749" s="18" t="n">
        <v>2022</v>
      </c>
      <c r="E2749" s="18" t="inlineStr">
        <is>
          <t>Django Unchained, Jason bourne, X-men dark phoenix</t>
        </is>
      </c>
      <c r="F2749" s="18" t="inlineStr">
        <is>
          <t>F0090, F0358, F0380</t>
        </is>
      </c>
    </row>
    <row r="2750" ht="15.75" customHeight="1" s="108">
      <c r="A2750" s="18" t="inlineStr">
        <is>
          <t>Sammi Rotibi</t>
        </is>
      </c>
      <c r="B2750" s="18" t="n">
        <v>1</v>
      </c>
      <c r="C2750" s="18" t="n">
        <v>2012</v>
      </c>
      <c r="D2750" s="18" t="n">
        <v>2012</v>
      </c>
      <c r="E2750" s="18" t="inlineStr">
        <is>
          <t>Django Unchained</t>
        </is>
      </c>
      <c r="F2750" s="18" t="inlineStr">
        <is>
          <t>F0090</t>
        </is>
      </c>
    </row>
    <row r="2751" ht="15.75" customHeight="1" s="108">
      <c r="A2751" s="18" t="inlineStr">
        <is>
          <t>Escalante Lundy</t>
        </is>
      </c>
      <c r="B2751" s="18" t="n">
        <v>1</v>
      </c>
      <c r="C2751" s="18" t="n">
        <v>2012</v>
      </c>
      <c r="D2751" s="18" t="n">
        <v>2012</v>
      </c>
      <c r="E2751" s="18" t="inlineStr">
        <is>
          <t>Django Unchained</t>
        </is>
      </c>
      <c r="F2751" s="18" t="inlineStr">
        <is>
          <t>F0090</t>
        </is>
      </c>
    </row>
    <row r="2752" ht="15.75" customHeight="1" s="108">
      <c r="A2752" s="18" t="inlineStr">
        <is>
          <t>Miriam F. Glover</t>
        </is>
      </c>
      <c r="B2752" s="18" t="n">
        <v>1</v>
      </c>
      <c r="C2752" s="18" t="n">
        <v>2012</v>
      </c>
      <c r="D2752" s="18" t="n">
        <v>2012</v>
      </c>
      <c r="E2752" s="18" t="inlineStr">
        <is>
          <t>Django Unchained</t>
        </is>
      </c>
      <c r="F2752" s="18" t="inlineStr">
        <is>
          <t>F0090</t>
        </is>
      </c>
    </row>
    <row r="2753" ht="15.75" customHeight="1" s="108">
      <c r="A2753" s="18" t="inlineStr">
        <is>
          <t>Don Johnson</t>
        </is>
      </c>
      <c r="B2753" s="18" t="n">
        <v>1</v>
      </c>
      <c r="C2753" s="18" t="n">
        <v>2012</v>
      </c>
      <c r="D2753" s="18" t="n">
        <v>2012</v>
      </c>
      <c r="E2753" s="18" t="inlineStr">
        <is>
          <t>Django Unchained</t>
        </is>
      </c>
      <c r="F2753" s="18" t="inlineStr">
        <is>
          <t>F0090</t>
        </is>
      </c>
    </row>
    <row r="2754" ht="15.75" customHeight="1" s="108">
      <c r="A2754" s="18" t="inlineStr">
        <is>
          <t>Franco Nero</t>
        </is>
      </c>
      <c r="B2754" s="18" t="n">
        <v>3</v>
      </c>
      <c r="C2754" s="18" t="n">
        <v>2012</v>
      </c>
      <c r="D2754" s="18" t="n">
        <v>2017</v>
      </c>
      <c r="E2754" s="18" t="inlineStr">
        <is>
          <t xml:space="preserve">Django Unchained, john wick chapter 2, john wick chapter 2 </t>
        </is>
      </c>
      <c r="F2754" s="18" t="inlineStr">
        <is>
          <t>F0090, F0375</t>
        </is>
      </c>
    </row>
    <row r="2755" ht="15.75" customHeight="1" s="108">
      <c r="A2755" s="18" t="inlineStr">
        <is>
          <t>James Russo</t>
        </is>
      </c>
      <c r="B2755" s="18" t="n">
        <v>1</v>
      </c>
      <c r="C2755" s="18" t="n">
        <v>2012</v>
      </c>
      <c r="D2755" s="18" t="n">
        <v>2012</v>
      </c>
      <c r="E2755" s="18" t="inlineStr">
        <is>
          <t>Django Unchained</t>
        </is>
      </c>
      <c r="F2755" s="18" t="inlineStr">
        <is>
          <t>F0090</t>
        </is>
      </c>
    </row>
    <row r="2756" ht="15.75" customHeight="1" s="108">
      <c r="A2756" s="18" t="inlineStr">
        <is>
          <t>Tom Wopat</t>
        </is>
      </c>
      <c r="B2756" s="18" t="n">
        <v>2</v>
      </c>
      <c r="C2756" s="18" t="n">
        <v>2010</v>
      </c>
      <c r="D2756" s="18" t="n">
        <v>2012</v>
      </c>
      <c r="E2756" s="18" t="inlineStr">
        <is>
          <t>Django Unchained, Jonah Hex</t>
        </is>
      </c>
      <c r="F2756" s="18" t="inlineStr">
        <is>
          <t>F0090, F0173</t>
        </is>
      </c>
    </row>
    <row r="2757" ht="15.75" customHeight="1" s="108">
      <c r="A2757" s="18" t="inlineStr">
        <is>
          <t>Don Stroud</t>
        </is>
      </c>
      <c r="B2757" s="18" t="n">
        <v>1</v>
      </c>
      <c r="C2757" s="18" t="n">
        <v>2012</v>
      </c>
      <c r="D2757" s="18" t="n">
        <v>2012</v>
      </c>
      <c r="E2757" s="18" t="inlineStr">
        <is>
          <t>Django Unchained</t>
        </is>
      </c>
      <c r="F2757" s="18" t="inlineStr">
        <is>
          <t>F0090</t>
        </is>
      </c>
    </row>
    <row r="2758" ht="15.75" customHeight="1" s="108">
      <c r="A2758" s="18" t="inlineStr">
        <is>
          <t>Russ Tamblyn</t>
        </is>
      </c>
      <c r="B2758" s="18" t="n">
        <v>1</v>
      </c>
      <c r="C2758" s="18" t="n">
        <v>2012</v>
      </c>
      <c r="D2758" s="18" t="n">
        <v>2012</v>
      </c>
      <c r="E2758" s="18" t="inlineStr">
        <is>
          <t>Django Unchained</t>
        </is>
      </c>
      <c r="F2758" s="18" t="inlineStr">
        <is>
          <t>F0090</t>
        </is>
      </c>
    </row>
    <row r="2759" ht="15.75" customHeight="1" s="108">
      <c r="A2759" s="18" t="inlineStr">
        <is>
          <t>Amber Tamblyn</t>
        </is>
      </c>
      <c r="B2759" s="18" t="n">
        <v>1</v>
      </c>
      <c r="C2759" s="18" t="n">
        <v>2012</v>
      </c>
      <c r="D2759" s="18" t="n">
        <v>2012</v>
      </c>
      <c r="E2759" s="18" t="inlineStr">
        <is>
          <t>Django Unchained</t>
        </is>
      </c>
      <c r="F2759" s="18" t="inlineStr">
        <is>
          <t>F0090</t>
        </is>
      </c>
    </row>
    <row r="2760" ht="15.75" customHeight="1" s="108">
      <c r="A2760" s="18" t="inlineStr">
        <is>
          <t>Bruce Dern</t>
        </is>
      </c>
      <c r="B2760" s="18" t="n">
        <v>2</v>
      </c>
      <c r="C2760" s="18" t="n">
        <v>2012</v>
      </c>
      <c r="D2760" s="18" t="n">
        <v>2019</v>
      </c>
      <c r="E2760" s="18" t="inlineStr">
        <is>
          <t>Django Unchained, Once Upon a Time… in Hollywood</t>
        </is>
      </c>
      <c r="F2760" s="18" t="inlineStr">
        <is>
          <t>F0090, F0241</t>
        </is>
      </c>
    </row>
    <row r="2761" ht="15.75" customHeight="1" s="108">
      <c r="A2761" s="18" t="inlineStr">
        <is>
          <t>Cooper Huckabee</t>
        </is>
      </c>
      <c r="B2761" s="18" t="n">
        <v>1</v>
      </c>
      <c r="C2761" s="18" t="n">
        <v>2012</v>
      </c>
      <c r="D2761" s="18" t="n">
        <v>2012</v>
      </c>
      <c r="E2761" s="18" t="inlineStr">
        <is>
          <t>Django Unchained</t>
        </is>
      </c>
      <c r="F2761" s="18" t="inlineStr">
        <is>
          <t>F0090</t>
        </is>
      </c>
    </row>
    <row r="2762" ht="15.75" customHeight="1" s="108">
      <c r="A2762" s="18" t="inlineStr">
        <is>
          <t>Doc Duhame</t>
        </is>
      </c>
      <c r="B2762" s="18" t="n">
        <v>1</v>
      </c>
      <c r="C2762" s="18" t="n">
        <v>2012</v>
      </c>
      <c r="D2762" s="18" t="n">
        <v>2012</v>
      </c>
      <c r="E2762" s="18" t="inlineStr">
        <is>
          <t>Django Unchained</t>
        </is>
      </c>
      <c r="F2762" s="18" t="inlineStr">
        <is>
          <t>F0090</t>
        </is>
      </c>
    </row>
    <row r="2763" ht="15.75" customHeight="1" s="108">
      <c r="A2763" s="18" t="inlineStr">
        <is>
          <t>Lee Horsley</t>
        </is>
      </c>
      <c r="B2763" s="18" t="n">
        <v>1</v>
      </c>
      <c r="C2763" s="18" t="n">
        <v>2012</v>
      </c>
      <c r="D2763" s="18" t="n">
        <v>2012</v>
      </c>
      <c r="E2763" s="18" t="inlineStr">
        <is>
          <t>Django Unchained</t>
        </is>
      </c>
      <c r="F2763" s="18" t="inlineStr">
        <is>
          <t>F0090</t>
        </is>
      </c>
    </row>
    <row r="2764" ht="15.75" customHeight="1" s="108">
      <c r="A2764" s="18" t="inlineStr">
        <is>
          <t>RZA</t>
        </is>
      </c>
      <c r="B2764" s="18" t="n">
        <v>1</v>
      </c>
      <c r="C2764" s="18" t="n">
        <v>2010</v>
      </c>
      <c r="D2764" s="18" t="n">
        <v>2010</v>
      </c>
      <c r="E2764" s="18" t="inlineStr">
        <is>
          <t>Due Date</t>
        </is>
      </c>
      <c r="F2764" s="18" t="inlineStr">
        <is>
          <t>F0091</t>
        </is>
      </c>
    </row>
    <row r="2765" ht="15.75" customHeight="1" s="108">
      <c r="A2765" s="18" t="inlineStr">
        <is>
          <t>Matt Walsh</t>
        </is>
      </c>
      <c r="B2765" s="18" t="n">
        <v>3</v>
      </c>
      <c r="C2765" s="18" t="n">
        <v>2009</v>
      </c>
      <c r="D2765" s="18" t="n">
        <v>2012</v>
      </c>
      <c r="E2765" s="18" t="inlineStr">
        <is>
          <t>Due Date, The Hangover, Ted</t>
        </is>
      </c>
      <c r="F2765" s="18" t="inlineStr">
        <is>
          <t>F0091, F0134, F0308</t>
        </is>
      </c>
    </row>
    <row r="2766" ht="15.75" customHeight="1" s="108">
      <c r="A2766" s="18" t="inlineStr">
        <is>
          <t>Brody Stevens</t>
        </is>
      </c>
      <c r="B2766" s="18" t="n">
        <v>3</v>
      </c>
      <c r="C2766" s="18" t="n">
        <v>2009</v>
      </c>
      <c r="D2766" s="18" t="n">
        <v>2011</v>
      </c>
      <c r="E2766" s="18" t="inlineStr">
        <is>
          <t>Due Date, The Hangover, The Hangover Part II</t>
        </is>
      </c>
      <c r="F2766" s="18" t="inlineStr">
        <is>
          <t>F0091, F0134, F0135</t>
        </is>
      </c>
    </row>
    <row r="2767" ht="15.75" customHeight="1" s="108">
      <c r="A2767" s="18" t="inlineStr">
        <is>
          <t>Jakob Ulrich</t>
        </is>
      </c>
      <c r="B2767" s="18" t="n">
        <v>1</v>
      </c>
      <c r="C2767" s="18" t="n">
        <v>2010</v>
      </c>
      <c r="D2767" s="18" t="n">
        <v>2010</v>
      </c>
      <c r="E2767" s="18" t="inlineStr">
        <is>
          <t>Due Date</t>
        </is>
      </c>
      <c r="F2767" s="18" t="inlineStr">
        <is>
          <t>F0091</t>
        </is>
      </c>
    </row>
    <row r="2768" ht="15.75" customHeight="1" s="108">
      <c r="A2768" s="18" t="inlineStr">
        <is>
          <t>Naiia Ulrich</t>
        </is>
      </c>
      <c r="B2768" s="18" t="n">
        <v>1</v>
      </c>
      <c r="C2768" s="18" t="n">
        <v>2010</v>
      </c>
      <c r="D2768" s="18" t="n">
        <v>2010</v>
      </c>
      <c r="E2768" s="18" t="inlineStr">
        <is>
          <t>Due Date</t>
        </is>
      </c>
      <c r="F2768" s="18" t="inlineStr">
        <is>
          <t>F0091</t>
        </is>
      </c>
    </row>
    <row r="2769" ht="15.75" customHeight="1" s="108">
      <c r="A2769" s="18" t="inlineStr">
        <is>
          <t>Todd Phillips</t>
        </is>
      </c>
      <c r="B2769" s="18" t="n">
        <v>2</v>
      </c>
      <c r="C2769" s="18" t="n">
        <v>2009</v>
      </c>
      <c r="D2769" s="18" t="n">
        <v>2010</v>
      </c>
      <c r="E2769" s="18" t="inlineStr">
        <is>
          <t>Due Date, The Hangover</t>
        </is>
      </c>
      <c r="F2769" s="18" t="inlineStr">
        <is>
          <t>F0091, F0134</t>
        </is>
      </c>
    </row>
    <row r="2770" ht="15.75" customHeight="1" s="108">
      <c r="A2770" s="18" t="inlineStr">
        <is>
          <t>Bobby Tisdale</t>
        </is>
      </c>
      <c r="B2770" s="18" t="n">
        <v>1</v>
      </c>
      <c r="C2770" s="18" t="n">
        <v>2010</v>
      </c>
      <c r="D2770" s="18" t="n">
        <v>2010</v>
      </c>
      <c r="E2770" s="18" t="inlineStr">
        <is>
          <t>Due Date</t>
        </is>
      </c>
      <c r="F2770" s="18" t="inlineStr">
        <is>
          <t>F0091</t>
        </is>
      </c>
    </row>
    <row r="2771" ht="15.75" customHeight="1" s="108">
      <c r="A2771" s="18" t="inlineStr">
        <is>
          <t>Sharon Conley</t>
        </is>
      </c>
      <c r="B2771" s="18" t="n">
        <v>1</v>
      </c>
      <c r="C2771" s="18" t="n">
        <v>2010</v>
      </c>
      <c r="D2771" s="18" t="n">
        <v>2010</v>
      </c>
      <c r="E2771" s="18" t="inlineStr">
        <is>
          <t>Due Date</t>
        </is>
      </c>
      <c r="F2771" s="18" t="inlineStr">
        <is>
          <t>F0091</t>
        </is>
      </c>
    </row>
    <row r="2772" ht="15.75" customHeight="1" s="108">
      <c r="A2772" s="18" t="inlineStr">
        <is>
          <t>Nathalie Fay</t>
        </is>
      </c>
      <c r="B2772" s="18" t="n">
        <v>2</v>
      </c>
      <c r="C2772" s="18" t="n">
        <v>2009</v>
      </c>
      <c r="D2772" s="18" t="n">
        <v>2010</v>
      </c>
      <c r="E2772" s="18" t="inlineStr">
        <is>
          <t>Due Date, The Hangover</t>
        </is>
      </c>
      <c r="F2772" s="18" t="inlineStr">
        <is>
          <t>F0091, F0134</t>
        </is>
      </c>
    </row>
    <row r="2773" ht="15.75" customHeight="1" s="108">
      <c r="A2773" s="18" t="inlineStr">
        <is>
          <t>Emily Wagner</t>
        </is>
      </c>
      <c r="B2773" s="18" t="n">
        <v>1</v>
      </c>
      <c r="C2773" s="18" t="n">
        <v>2010</v>
      </c>
      <c r="D2773" s="18" t="n">
        <v>2010</v>
      </c>
      <c r="E2773" s="18" t="inlineStr">
        <is>
          <t>Due Date</t>
        </is>
      </c>
      <c r="F2773" s="18" t="inlineStr">
        <is>
          <t>F0091</t>
        </is>
      </c>
    </row>
    <row r="2774" ht="15.75" customHeight="1" s="108">
      <c r="A2774" s="18" t="inlineStr">
        <is>
          <t>Steven M. Gagnon</t>
        </is>
      </c>
      <c r="B2774" s="18" t="n">
        <v>1</v>
      </c>
      <c r="C2774" s="18" t="n">
        <v>2010</v>
      </c>
      <c r="D2774" s="18" t="n">
        <v>2010</v>
      </c>
      <c r="E2774" s="18" t="inlineStr">
        <is>
          <t>Due Date</t>
        </is>
      </c>
      <c r="F2774" s="18" t="inlineStr">
        <is>
          <t>F0091</t>
        </is>
      </c>
    </row>
    <row r="2775" ht="15.75" customHeight="1" s="108">
      <c r="A2775" s="18" t="inlineStr">
        <is>
          <t>Paul Renteria</t>
        </is>
      </c>
      <c r="B2775" s="18" t="n">
        <v>1</v>
      </c>
      <c r="C2775" s="18" t="n">
        <v>2010</v>
      </c>
      <c r="D2775" s="18" t="n">
        <v>2010</v>
      </c>
      <c r="E2775" s="18" t="inlineStr">
        <is>
          <t>Due Date</t>
        </is>
      </c>
      <c r="F2775" s="18" t="inlineStr">
        <is>
          <t>F0091</t>
        </is>
      </c>
    </row>
    <row r="2776" ht="15.75" customHeight="1" s="108">
      <c r="A2776" s="18" t="inlineStr">
        <is>
          <t>Marco Rodríguez</t>
        </is>
      </c>
      <c r="B2776" s="18" t="n">
        <v>1</v>
      </c>
      <c r="C2776" s="18" t="n">
        <v>2010</v>
      </c>
      <c r="D2776" s="18" t="n">
        <v>2010</v>
      </c>
      <c r="E2776" s="18" t="inlineStr">
        <is>
          <t>Due Date</t>
        </is>
      </c>
      <c r="F2776" s="18" t="inlineStr">
        <is>
          <t>F0091</t>
        </is>
      </c>
    </row>
    <row r="2777" ht="15.75" customHeight="1" s="108">
      <c r="A2777" s="18" t="inlineStr">
        <is>
          <t>Mimi Kennedy</t>
        </is>
      </c>
      <c r="B2777" s="18" t="n">
        <v>1</v>
      </c>
      <c r="C2777" s="18" t="n">
        <v>2010</v>
      </c>
      <c r="D2777" s="18" t="n">
        <v>2010</v>
      </c>
      <c r="E2777" s="18" t="inlineStr">
        <is>
          <t>Due Date</t>
        </is>
      </c>
      <c r="F2777" s="18" t="inlineStr">
        <is>
          <t>F0091</t>
        </is>
      </c>
    </row>
    <row r="2778" ht="15.75" customHeight="1" s="108">
      <c r="A2778" s="18" t="inlineStr">
        <is>
          <t>Tymberlee Hill</t>
        </is>
      </c>
      <c r="B2778" s="18" t="n">
        <v>1</v>
      </c>
      <c r="C2778" s="18" t="n">
        <v>2010</v>
      </c>
      <c r="D2778" s="18" t="n">
        <v>2010</v>
      </c>
      <c r="E2778" s="18" t="inlineStr">
        <is>
          <t>Due Date</t>
        </is>
      </c>
      <c r="F2778" s="18" t="inlineStr">
        <is>
          <t>F0091</t>
        </is>
      </c>
    </row>
    <row r="2779" ht="15.75" customHeight="1" s="108">
      <c r="A2779" s="18" t="inlineStr">
        <is>
          <t>Aaron Lustig</t>
        </is>
      </c>
      <c r="B2779" s="18" t="n">
        <v>1</v>
      </c>
      <c r="C2779" s="18" t="n">
        <v>2010</v>
      </c>
      <c r="D2779" s="18" t="n">
        <v>2010</v>
      </c>
      <c r="E2779" s="18" t="inlineStr">
        <is>
          <t>Due Date</t>
        </is>
      </c>
      <c r="F2779" s="18" t="inlineStr">
        <is>
          <t>F0091</t>
        </is>
      </c>
    </row>
    <row r="2780" ht="15.75" customHeight="1" s="108">
      <c r="A2780" s="18" t="inlineStr">
        <is>
          <t>Charlie Sheen</t>
        </is>
      </c>
      <c r="B2780" s="18" t="n">
        <v>1</v>
      </c>
      <c r="C2780" s="18" t="n">
        <v>2010</v>
      </c>
      <c r="D2780" s="18" t="n">
        <v>2010</v>
      </c>
      <c r="E2780" s="18" t="inlineStr">
        <is>
          <t>Due Date</t>
        </is>
      </c>
      <c r="F2780" s="18" t="inlineStr">
        <is>
          <t>F0091</t>
        </is>
      </c>
    </row>
    <row r="2781" ht="15.75" customHeight="1" s="108">
      <c r="A2781" s="18" t="inlineStr">
        <is>
          <t>Jon Cryer</t>
        </is>
      </c>
      <c r="B2781" s="18" t="n">
        <v>1</v>
      </c>
      <c r="C2781" s="18" t="n">
        <v>2010</v>
      </c>
      <c r="D2781" s="18" t="n">
        <v>2010</v>
      </c>
      <c r="E2781" s="18" t="inlineStr">
        <is>
          <t>Due Date</t>
        </is>
      </c>
      <c r="F2781" s="18" t="inlineStr">
        <is>
          <t>F0091</t>
        </is>
      </c>
    </row>
    <row r="2782" ht="15.75" customHeight="1" s="108">
      <c r="A2782" s="18" t="inlineStr">
        <is>
          <t>Haji Abdullah</t>
        </is>
      </c>
      <c r="B2782" s="18" t="n">
        <v>1</v>
      </c>
      <c r="C2782" s="18" t="n">
        <v>2010</v>
      </c>
      <c r="D2782" s="18" t="n">
        <v>2010</v>
      </c>
      <c r="E2782" s="18" t="inlineStr">
        <is>
          <t>Due Date</t>
        </is>
      </c>
      <c r="F2782" s="18" t="inlineStr">
        <is>
          <t>F0091</t>
        </is>
      </c>
    </row>
    <row r="2783" ht="15.75" customHeight="1" s="108">
      <c r="A2783" s="18" t="inlineStr">
        <is>
          <t>Jeremy Ambler</t>
        </is>
      </c>
      <c r="B2783" s="18" t="n">
        <v>1</v>
      </c>
      <c r="C2783" s="18" t="n">
        <v>2010</v>
      </c>
      <c r="D2783" s="18" t="n">
        <v>2010</v>
      </c>
      <c r="E2783" s="18" t="inlineStr">
        <is>
          <t>Due Date</t>
        </is>
      </c>
      <c r="F2783" s="18" t="inlineStr">
        <is>
          <t>F0091</t>
        </is>
      </c>
    </row>
    <row r="2784" ht="15.75" customHeight="1" s="108">
      <c r="A2784" s="18" t="inlineStr">
        <is>
          <t>Madeline Brumby</t>
        </is>
      </c>
      <c r="B2784" s="18" t="n">
        <v>1</v>
      </c>
      <c r="C2784" s="18" t="n">
        <v>2010</v>
      </c>
      <c r="D2784" s="18" t="n">
        <v>2010</v>
      </c>
      <c r="E2784" s="18" t="inlineStr">
        <is>
          <t>Due Date</t>
        </is>
      </c>
      <c r="F2784" s="18" t="inlineStr">
        <is>
          <t>F0091</t>
        </is>
      </c>
    </row>
    <row r="2785" ht="15.75" customHeight="1" s="108">
      <c r="A2785" s="18" t="inlineStr">
        <is>
          <t>Joseph Harold</t>
        </is>
      </c>
      <c r="B2785" s="18" t="n">
        <v>1</v>
      </c>
      <c r="C2785" s="18" t="n">
        <v>2010</v>
      </c>
      <c r="D2785" s="18" t="n">
        <v>2010</v>
      </c>
      <c r="E2785" s="18" t="inlineStr">
        <is>
          <t>Due Date</t>
        </is>
      </c>
      <c r="F2785" s="18" t="inlineStr">
        <is>
          <t>F0091</t>
        </is>
      </c>
    </row>
    <row r="2786" ht="15.75" customHeight="1" s="108">
      <c r="A2786" s="18" t="inlineStr">
        <is>
          <t>Sarah Reagin Clemmensen</t>
        </is>
      </c>
      <c r="B2786" s="18" t="n">
        <v>1</v>
      </c>
      <c r="C2786" s="18" t="n">
        <v>2010</v>
      </c>
      <c r="D2786" s="18" t="n">
        <v>2010</v>
      </c>
      <c r="E2786" s="18" t="inlineStr">
        <is>
          <t>Due Date</t>
        </is>
      </c>
      <c r="F2786" s="18" t="inlineStr">
        <is>
          <t>F0091</t>
        </is>
      </c>
    </row>
    <row r="2787" ht="15.75" customHeight="1" s="108">
      <c r="A2787" s="18" t="inlineStr">
        <is>
          <t>Zooey Deschanel</t>
        </is>
      </c>
      <c r="B2787" s="18" t="n">
        <v>1</v>
      </c>
      <c r="C2787" s="18" t="n">
        <v>2003</v>
      </c>
      <c r="D2787" s="18" t="n">
        <v>2003</v>
      </c>
      <c r="E2787" s="18" t="inlineStr">
        <is>
          <t>Elf</t>
        </is>
      </c>
      <c r="F2787" s="18" t="inlineStr">
        <is>
          <t>F0092</t>
        </is>
      </c>
    </row>
    <row r="2788" ht="15.75" customHeight="1" s="108">
      <c r="A2788" s="18" t="inlineStr">
        <is>
          <t>Daniel Tay</t>
        </is>
      </c>
      <c r="B2788" s="18" t="n">
        <v>1</v>
      </c>
      <c r="C2788" s="18" t="n">
        <v>2003</v>
      </c>
      <c r="D2788" s="18" t="n">
        <v>2003</v>
      </c>
      <c r="E2788" s="18" t="inlineStr">
        <is>
          <t>Elf</t>
        </is>
      </c>
      <c r="F2788" s="18" t="inlineStr">
        <is>
          <t>F0092</t>
        </is>
      </c>
    </row>
    <row r="2789" ht="15.75" customHeight="1" s="108">
      <c r="A2789" s="18" t="inlineStr">
        <is>
          <t>Faizon Love</t>
        </is>
      </c>
      <c r="B2789" s="18" t="n">
        <v>1</v>
      </c>
      <c r="C2789" s="18" t="n">
        <v>2003</v>
      </c>
      <c r="D2789" s="18" t="n">
        <v>2003</v>
      </c>
      <c r="E2789" s="18" t="inlineStr">
        <is>
          <t>Elf</t>
        </is>
      </c>
      <c r="F2789" s="18" t="inlineStr">
        <is>
          <t>F0092</t>
        </is>
      </c>
    </row>
    <row r="2790" ht="15.75" customHeight="1" s="108">
      <c r="A2790" s="18" t="inlineStr">
        <is>
          <t>Michael Lerner</t>
        </is>
      </c>
      <c r="B2790" s="18" t="n">
        <v>1</v>
      </c>
      <c r="C2790" s="18" t="n">
        <v>2003</v>
      </c>
      <c r="D2790" s="18" t="n">
        <v>2003</v>
      </c>
      <c r="E2790" s="18" t="inlineStr">
        <is>
          <t>Elf</t>
        </is>
      </c>
      <c r="F2790" s="18" t="inlineStr">
        <is>
          <t>F0092</t>
        </is>
      </c>
    </row>
    <row r="2791" ht="15.75" customHeight="1" s="108">
      <c r="A2791" s="18" t="inlineStr">
        <is>
          <t>Andy Richter</t>
        </is>
      </c>
      <c r="B2791" s="18" t="n">
        <v>1</v>
      </c>
      <c r="C2791" s="18" t="n">
        <v>2003</v>
      </c>
      <c r="D2791" s="18" t="n">
        <v>2003</v>
      </c>
      <c r="E2791" s="18" t="inlineStr">
        <is>
          <t>Elf</t>
        </is>
      </c>
      <c r="F2791" s="18" t="inlineStr">
        <is>
          <t>F0092</t>
        </is>
      </c>
    </row>
    <row r="2792" ht="15.75" customHeight="1" s="108">
      <c r="A2792" s="18" t="inlineStr">
        <is>
          <t>Kyle Gass</t>
        </is>
      </c>
      <c r="B2792" s="18" t="n">
        <v>2</v>
      </c>
      <c r="C2792" s="18" t="n">
        <v>2001</v>
      </c>
      <c r="D2792" s="18" t="n">
        <v>2003</v>
      </c>
      <c r="E2792" s="18" t="inlineStr">
        <is>
          <t>Elf, Evolution</t>
        </is>
      </c>
      <c r="F2792" s="18" t="inlineStr">
        <is>
          <t>F0092, F0381</t>
        </is>
      </c>
    </row>
    <row r="2793" ht="15.75" customHeight="1" s="108">
      <c r="A2793" s="18" t="inlineStr">
        <is>
          <t>Artie Lange</t>
        </is>
      </c>
      <c r="B2793" s="18" t="n">
        <v>1</v>
      </c>
      <c r="C2793" s="18" t="n">
        <v>2003</v>
      </c>
      <c r="D2793" s="18" t="n">
        <v>2003</v>
      </c>
      <c r="E2793" s="18" t="inlineStr">
        <is>
          <t>Elf</t>
        </is>
      </c>
      <c r="F2793" s="18" t="inlineStr">
        <is>
          <t>F0092</t>
        </is>
      </c>
    </row>
    <row r="2794" ht="15.75" customHeight="1" s="108">
      <c r="A2794" s="18" t="inlineStr">
        <is>
          <t>Leon Redbone</t>
        </is>
      </c>
      <c r="B2794" s="18" t="n">
        <v>1</v>
      </c>
      <c r="C2794" s="18" t="n">
        <v>2003</v>
      </c>
      <c r="D2794" s="18" t="n">
        <v>2003</v>
      </c>
      <c r="E2794" s="18" t="inlineStr">
        <is>
          <t>Elf</t>
        </is>
      </c>
      <c r="F2794" s="18" t="inlineStr">
        <is>
          <t>F0092</t>
        </is>
      </c>
    </row>
    <row r="2795" ht="15.75" customHeight="1" s="108">
      <c r="A2795" s="18" t="inlineStr">
        <is>
          <t>Ray Harryhausen</t>
        </is>
      </c>
      <c r="B2795" s="18" t="n">
        <v>1</v>
      </c>
      <c r="C2795" s="18" t="n">
        <v>2003</v>
      </c>
      <c r="D2795" s="18" t="n">
        <v>2003</v>
      </c>
      <c r="E2795" s="18" t="inlineStr">
        <is>
          <t>Elf</t>
        </is>
      </c>
      <c r="F2795" s="18" t="inlineStr">
        <is>
          <t>F0092</t>
        </is>
      </c>
    </row>
    <row r="2796" ht="15.75" customHeight="1" s="108">
      <c r="A2796" s="18" t="inlineStr">
        <is>
          <t>Claire Lautier</t>
        </is>
      </c>
      <c r="B2796" s="18" t="n">
        <v>1</v>
      </c>
      <c r="C2796" s="18" t="n">
        <v>2003</v>
      </c>
      <c r="D2796" s="18" t="n">
        <v>2003</v>
      </c>
      <c r="E2796" s="18" t="inlineStr">
        <is>
          <t>Elf</t>
        </is>
      </c>
      <c r="F2796" s="18" t="inlineStr">
        <is>
          <t>F0092</t>
        </is>
      </c>
    </row>
    <row r="2797" ht="15.75" customHeight="1" s="108">
      <c r="A2797" s="18" t="inlineStr">
        <is>
          <t>Ted Friend</t>
        </is>
      </c>
      <c r="B2797" s="18" t="n">
        <v>1</v>
      </c>
      <c r="C2797" s="18" t="n">
        <v>2003</v>
      </c>
      <c r="D2797" s="18" t="n">
        <v>2003</v>
      </c>
      <c r="E2797" s="18" t="inlineStr">
        <is>
          <t>Elf</t>
        </is>
      </c>
      <c r="F2797" s="18" t="inlineStr">
        <is>
          <t>F0092</t>
        </is>
      </c>
    </row>
    <row r="2798" ht="15.75" customHeight="1" s="108">
      <c r="A2798" s="18" t="inlineStr">
        <is>
          <t>Patrick Ferrell</t>
        </is>
      </c>
      <c r="B2798" s="18" t="n">
        <v>1</v>
      </c>
      <c r="C2798" s="18" t="n">
        <v>2003</v>
      </c>
      <c r="D2798" s="18" t="n">
        <v>2003</v>
      </c>
      <c r="E2798" s="18" t="inlineStr">
        <is>
          <t>Elf</t>
        </is>
      </c>
      <c r="F2798" s="18" t="inlineStr">
        <is>
          <t>F0092</t>
        </is>
      </c>
    </row>
    <row r="2799" ht="15.75" customHeight="1" s="108">
      <c r="A2799" s="18" t="inlineStr">
        <is>
          <t>Patrick McCartney</t>
        </is>
      </c>
      <c r="B2799" s="18" t="n">
        <v>1</v>
      </c>
      <c r="C2799" s="18" t="n">
        <v>2003</v>
      </c>
      <c r="D2799" s="18" t="n">
        <v>2003</v>
      </c>
      <c r="E2799" s="18" t="inlineStr">
        <is>
          <t>Elf</t>
        </is>
      </c>
      <c r="F2799" s="18" t="inlineStr">
        <is>
          <t>F0092</t>
        </is>
      </c>
    </row>
    <row r="2800" ht="15.75" customHeight="1" s="108">
      <c r="A2800" s="18" t="inlineStr">
        <is>
          <t>Lydia Lawson-Baird</t>
        </is>
      </c>
      <c r="B2800" s="18" t="n">
        <v>1</v>
      </c>
      <c r="C2800" s="18" t="n">
        <v>2003</v>
      </c>
      <c r="D2800" s="18" t="n">
        <v>2003</v>
      </c>
      <c r="E2800" s="18" t="inlineStr">
        <is>
          <t>Elf</t>
        </is>
      </c>
      <c r="F2800" s="18" t="inlineStr">
        <is>
          <t>F0092</t>
        </is>
      </c>
    </row>
    <row r="2801" ht="15.75" customHeight="1" s="108">
      <c r="A2801" s="18" t="inlineStr">
        <is>
          <t>Brenda McDonald</t>
        </is>
      </c>
      <c r="B2801" s="18" t="n">
        <v>1</v>
      </c>
      <c r="C2801" s="18" t="n">
        <v>2003</v>
      </c>
      <c r="D2801" s="18" t="n">
        <v>2003</v>
      </c>
      <c r="E2801" s="18" t="inlineStr">
        <is>
          <t>Elf</t>
        </is>
      </c>
      <c r="F2801" s="18" t="inlineStr">
        <is>
          <t>F0092</t>
        </is>
      </c>
    </row>
    <row r="2802" ht="15.75" customHeight="1" s="108">
      <c r="A2802" s="18" t="inlineStr">
        <is>
          <t>Annie Brebner</t>
        </is>
      </c>
      <c r="B2802" s="18" t="n">
        <v>1</v>
      </c>
      <c r="C2802" s="18" t="n">
        <v>2003</v>
      </c>
      <c r="D2802" s="18" t="n">
        <v>2003</v>
      </c>
      <c r="E2802" s="18" t="inlineStr">
        <is>
          <t>Elf</t>
        </is>
      </c>
      <c r="F2802" s="18" t="inlineStr">
        <is>
          <t>F0092</t>
        </is>
      </c>
    </row>
    <row r="2803" ht="15.75" customHeight="1" s="108">
      <c r="A2803" s="18" t="inlineStr">
        <is>
          <t>Luke Pohl</t>
        </is>
      </c>
      <c r="B2803" s="18" t="n">
        <v>1</v>
      </c>
      <c r="C2803" s="18" t="n">
        <v>2003</v>
      </c>
      <c r="D2803" s="18" t="n">
        <v>2003</v>
      </c>
      <c r="E2803" s="18" t="inlineStr">
        <is>
          <t>Elf</t>
        </is>
      </c>
      <c r="F2803" s="18" t="inlineStr">
        <is>
          <t>F0092</t>
        </is>
      </c>
    </row>
    <row r="2804" ht="15.75" customHeight="1" s="108">
      <c r="A2804" s="18" t="inlineStr">
        <is>
          <t>Meghan Black</t>
        </is>
      </c>
      <c r="B2804" s="18" t="n">
        <v>1</v>
      </c>
      <c r="C2804" s="18" t="n">
        <v>2003</v>
      </c>
      <c r="D2804" s="18" t="n">
        <v>2003</v>
      </c>
      <c r="E2804" s="18" t="inlineStr">
        <is>
          <t>Elf</t>
        </is>
      </c>
      <c r="F2804" s="18" t="inlineStr">
        <is>
          <t>F0092</t>
        </is>
      </c>
    </row>
    <row r="2805" ht="15.75" customHeight="1" s="108">
      <c r="A2805" s="18" t="inlineStr">
        <is>
          <t>Patrick Baynham</t>
        </is>
      </c>
      <c r="B2805" s="18" t="n">
        <v>1</v>
      </c>
      <c r="C2805" s="18" t="n">
        <v>2003</v>
      </c>
      <c r="D2805" s="18" t="n">
        <v>2003</v>
      </c>
      <c r="E2805" s="18" t="inlineStr">
        <is>
          <t>Elf</t>
        </is>
      </c>
      <c r="F2805" s="18" t="inlineStr">
        <is>
          <t>F0092</t>
        </is>
      </c>
    </row>
    <row r="2806" ht="15.75" customHeight="1" s="108">
      <c r="A2806" s="18" t="inlineStr">
        <is>
          <t>Michael Roberds</t>
        </is>
      </c>
      <c r="B2806" s="18" t="n">
        <v>1</v>
      </c>
      <c r="C2806" s="18" t="n">
        <v>2003</v>
      </c>
      <c r="D2806" s="18" t="n">
        <v>2003</v>
      </c>
      <c r="E2806" s="18" t="inlineStr">
        <is>
          <t>Elf</t>
        </is>
      </c>
      <c r="F2806" s="18" t="inlineStr">
        <is>
          <t>F0092</t>
        </is>
      </c>
    </row>
    <row r="2807" ht="15.75" customHeight="1" s="108">
      <c r="A2807" s="18" t="inlineStr">
        <is>
          <t>Patrick Hulne</t>
        </is>
      </c>
      <c r="B2807" s="18" t="n">
        <v>1</v>
      </c>
      <c r="C2807" s="18" t="n">
        <v>2003</v>
      </c>
      <c r="D2807" s="18" t="n">
        <v>2003</v>
      </c>
      <c r="E2807" s="18" t="inlineStr">
        <is>
          <t>Elf</t>
        </is>
      </c>
      <c r="F2807" s="18" t="inlineStr">
        <is>
          <t>F0092</t>
        </is>
      </c>
    </row>
    <row r="2808" ht="15.75" customHeight="1" s="108">
      <c r="A2808" s="18" t="inlineStr">
        <is>
          <t>Alice Braga</t>
        </is>
      </c>
      <c r="B2808" s="18" t="n">
        <v>1</v>
      </c>
      <c r="C2808" s="18" t="n">
        <v>2013</v>
      </c>
      <c r="D2808" s="18" t="n">
        <v>2013</v>
      </c>
      <c r="E2808" s="18" t="inlineStr">
        <is>
          <t>Elysium</t>
        </is>
      </c>
      <c r="F2808" s="18" t="inlineStr">
        <is>
          <t>F0093</t>
        </is>
      </c>
    </row>
    <row r="2809" ht="15.75" customHeight="1" s="108">
      <c r="A2809" s="18" t="inlineStr">
        <is>
          <t>Jose Pablo Cantillo</t>
        </is>
      </c>
      <c r="B2809" s="18" t="n">
        <v>1</v>
      </c>
      <c r="C2809" s="18" t="n">
        <v>2013</v>
      </c>
      <c r="D2809" s="18" t="n">
        <v>2013</v>
      </c>
      <c r="E2809" s="18" t="inlineStr">
        <is>
          <t>Elysium</t>
        </is>
      </c>
      <c r="F2809" s="18" t="inlineStr">
        <is>
          <t>F0093</t>
        </is>
      </c>
    </row>
    <row r="2810" ht="15.75" customHeight="1" s="108">
      <c r="A2810" s="18" t="inlineStr">
        <is>
          <t>Faran Tahir</t>
        </is>
      </c>
      <c r="B2810" s="18" t="n">
        <v>2</v>
      </c>
      <c r="C2810" s="18" t="n">
        <v>2009</v>
      </c>
      <c r="D2810" s="18" t="n">
        <v>2013</v>
      </c>
      <c r="E2810" s="18" t="inlineStr">
        <is>
          <t>Elysium, Star Trek</t>
        </is>
      </c>
      <c r="F2810" s="18" t="inlineStr">
        <is>
          <t>F0093, F0291</t>
        </is>
      </c>
    </row>
    <row r="2811" ht="15.75" customHeight="1" s="108">
      <c r="A2811" s="18" t="inlineStr">
        <is>
          <t>Maxwell Perry Cotton</t>
        </is>
      </c>
      <c r="B2811" s="18" t="n">
        <v>1</v>
      </c>
      <c r="C2811" s="18" t="n">
        <v>2013</v>
      </c>
      <c r="D2811" s="18" t="n">
        <v>2013</v>
      </c>
      <c r="E2811" s="18" t="inlineStr">
        <is>
          <t>Elysium</t>
        </is>
      </c>
      <c r="F2811" s="18" t="inlineStr">
        <is>
          <t>F0093</t>
        </is>
      </c>
    </row>
    <row r="2812" ht="15.75" customHeight="1" s="108">
      <c r="A2812" s="18" t="inlineStr">
        <is>
          <t>Brandon Auret</t>
        </is>
      </c>
      <c r="B2812" s="18" t="n">
        <v>1</v>
      </c>
      <c r="C2812" s="18" t="n">
        <v>2013</v>
      </c>
      <c r="D2812" s="18" t="n">
        <v>2013</v>
      </c>
      <c r="E2812" s="18" t="inlineStr">
        <is>
          <t>Elysium</t>
        </is>
      </c>
      <c r="F2812" s="18" t="inlineStr">
        <is>
          <t>F0093</t>
        </is>
      </c>
    </row>
    <row r="2813" ht="15.75" customHeight="1" s="108">
      <c r="A2813" s="18" t="inlineStr">
        <is>
          <t>Josh Blacker</t>
        </is>
      </c>
      <c r="B2813" s="18" t="n">
        <v>1</v>
      </c>
      <c r="C2813" s="18" t="n">
        <v>2013</v>
      </c>
      <c r="D2813" s="18" t="n">
        <v>2013</v>
      </c>
      <c r="E2813" s="18" t="inlineStr">
        <is>
          <t>Elysium</t>
        </is>
      </c>
      <c r="F2813" s="18" t="inlineStr">
        <is>
          <t>F0093</t>
        </is>
      </c>
    </row>
    <row r="2814" ht="15.75" customHeight="1" s="108">
      <c r="A2814" s="18" t="inlineStr">
        <is>
          <t>Emma Tremblay</t>
        </is>
      </c>
      <c r="B2814" s="18" t="n">
        <v>1</v>
      </c>
      <c r="C2814" s="18" t="n">
        <v>2013</v>
      </c>
      <c r="D2814" s="18" t="n">
        <v>2013</v>
      </c>
      <c r="E2814" s="18" t="inlineStr">
        <is>
          <t>Elysium</t>
        </is>
      </c>
      <c r="F2814" s="18" t="inlineStr">
        <is>
          <t>F0093</t>
        </is>
      </c>
    </row>
    <row r="2815" ht="15.75" customHeight="1" s="108">
      <c r="A2815" s="18" t="inlineStr">
        <is>
          <t>Adrian Holmes</t>
        </is>
      </c>
      <c r="B2815" s="18" t="n">
        <v>1</v>
      </c>
      <c r="C2815" s="18" t="n">
        <v>2013</v>
      </c>
      <c r="D2815" s="18" t="n">
        <v>2013</v>
      </c>
      <c r="E2815" s="18" t="inlineStr">
        <is>
          <t>Elysium</t>
        </is>
      </c>
      <c r="F2815" s="18" t="inlineStr">
        <is>
          <t>F0093</t>
        </is>
      </c>
    </row>
    <row r="2816" ht="15.75" customHeight="1" s="108">
      <c r="A2816" s="18" t="inlineStr">
        <is>
          <t>Jared Keeso</t>
        </is>
      </c>
      <c r="B2816" s="18" t="n">
        <v>2</v>
      </c>
      <c r="C2816" s="18" t="n">
        <v>2013</v>
      </c>
      <c r="D2816" s="18" t="n">
        <v>2014</v>
      </c>
      <c r="E2816" s="18" t="inlineStr">
        <is>
          <t>Elysium, Godzilla</t>
        </is>
      </c>
      <c r="F2816" s="18" t="inlineStr">
        <is>
          <t>F0093, F0121</t>
        </is>
      </c>
    </row>
    <row r="2817" ht="15.75" customHeight="1" s="108">
      <c r="A2817" s="18" t="inlineStr">
        <is>
          <t>Michael Shanks</t>
        </is>
      </c>
      <c r="B2817" s="18" t="n">
        <v>1</v>
      </c>
      <c r="C2817" s="18" t="n">
        <v>2013</v>
      </c>
      <c r="D2817" s="18" t="n">
        <v>2013</v>
      </c>
      <c r="E2817" s="18" t="inlineStr">
        <is>
          <t>Elysium</t>
        </is>
      </c>
      <c r="F2817" s="18" t="inlineStr">
        <is>
          <t>F0093</t>
        </is>
      </c>
    </row>
    <row r="2818" ht="15.75" customHeight="1" s="108">
      <c r="A2818" s="18" t="inlineStr">
        <is>
          <t>Carly Pope</t>
        </is>
      </c>
      <c r="B2818" s="18" t="n">
        <v>1</v>
      </c>
      <c r="C2818" s="18" t="n">
        <v>2013</v>
      </c>
      <c r="D2818" s="18" t="n">
        <v>2013</v>
      </c>
      <c r="E2818" s="18" t="inlineStr">
        <is>
          <t>Elysium</t>
        </is>
      </c>
      <c r="F2818" s="18" t="inlineStr">
        <is>
          <t>F0093</t>
        </is>
      </c>
    </row>
    <row r="2819" ht="15.75" customHeight="1" s="108">
      <c r="A2819" s="18" t="inlineStr">
        <is>
          <t>Ona Grauer</t>
        </is>
      </c>
      <c r="B2819" s="18" t="n">
        <v>2</v>
      </c>
      <c r="C2819" s="18" t="n">
        <v>2006</v>
      </c>
      <c r="D2819" s="18" t="n">
        <v>2013</v>
      </c>
      <c r="E2819" s="18" t="inlineStr">
        <is>
          <t>Elysium, Firewall</t>
        </is>
      </c>
      <c r="F2819" s="18" t="inlineStr">
        <is>
          <t>F0093, F0114</t>
        </is>
      </c>
    </row>
    <row r="2820" ht="15.75" customHeight="1" s="108">
      <c r="A2820" s="18" t="inlineStr">
        <is>
          <t>Christina Cox</t>
        </is>
      </c>
      <c r="B2820" s="18" t="n">
        <v>1</v>
      </c>
      <c r="C2820" s="18" t="n">
        <v>2013</v>
      </c>
      <c r="D2820" s="18" t="n">
        <v>2013</v>
      </c>
      <c r="E2820" s="18" t="inlineStr">
        <is>
          <t>Elysium</t>
        </is>
      </c>
      <c r="F2820" s="18" t="inlineStr">
        <is>
          <t>F0093</t>
        </is>
      </c>
    </row>
    <row r="2821" ht="15.75" customHeight="1" s="108">
      <c r="A2821" s="18" t="inlineStr">
        <is>
          <t>Derek Gilroy</t>
        </is>
      </c>
      <c r="B2821" s="18" t="n">
        <v>1</v>
      </c>
      <c r="C2821" s="18" t="n">
        <v>2013</v>
      </c>
      <c r="D2821" s="18" t="n">
        <v>2013</v>
      </c>
      <c r="E2821" s="18" t="inlineStr">
        <is>
          <t>Elysium</t>
        </is>
      </c>
      <c r="F2821" s="18" t="inlineStr">
        <is>
          <t>F0093</t>
        </is>
      </c>
    </row>
    <row r="2822" ht="15.75" customHeight="1" s="108">
      <c r="A2822" s="18" t="inlineStr">
        <is>
          <t>Yolanda Abbud L.</t>
        </is>
      </c>
      <c r="B2822" s="18" t="n">
        <v>1</v>
      </c>
      <c r="C2822" s="18" t="n">
        <v>2013</v>
      </c>
      <c r="D2822" s="18" t="n">
        <v>2013</v>
      </c>
      <c r="E2822" s="18" t="inlineStr">
        <is>
          <t>Elysium</t>
        </is>
      </c>
      <c r="F2822" s="18" t="inlineStr">
        <is>
          <t>F0093</t>
        </is>
      </c>
    </row>
    <row r="2823" ht="15.75" customHeight="1" s="108">
      <c r="A2823" s="18" t="inlineStr">
        <is>
          <t>Claire Smithies</t>
        </is>
      </c>
      <c r="B2823" s="18" t="n">
        <v>1</v>
      </c>
      <c r="C2823" s="18" t="n">
        <v>2013</v>
      </c>
      <c r="D2823" s="18" t="n">
        <v>2013</v>
      </c>
      <c r="E2823" s="18" t="inlineStr">
        <is>
          <t>Elysium</t>
        </is>
      </c>
      <c r="F2823" s="18" t="inlineStr">
        <is>
          <t>F0093</t>
        </is>
      </c>
    </row>
    <row r="2824" ht="15.75" customHeight="1" s="108">
      <c r="A2824" s="18" t="inlineStr">
        <is>
          <t>Tiffani Timms</t>
        </is>
      </c>
      <c r="B2824" s="18" t="n">
        <v>1</v>
      </c>
      <c r="C2824" s="18" t="n">
        <v>2013</v>
      </c>
      <c r="D2824" s="18" t="n">
        <v>2013</v>
      </c>
      <c r="E2824" s="18" t="inlineStr">
        <is>
          <t>Elysium</t>
        </is>
      </c>
      <c r="F2824" s="18" t="inlineStr">
        <is>
          <t>F0093</t>
        </is>
      </c>
    </row>
    <row r="2825" ht="15.75" customHeight="1" s="108">
      <c r="A2825" s="18" t="inlineStr">
        <is>
          <t>Stephen Chang</t>
        </is>
      </c>
      <c r="B2825" s="18" t="n">
        <v>1</v>
      </c>
      <c r="C2825" s="18" t="n">
        <v>2013</v>
      </c>
      <c r="D2825" s="18" t="n">
        <v>2013</v>
      </c>
      <c r="E2825" s="18" t="inlineStr">
        <is>
          <t>Elysium</t>
        </is>
      </c>
      <c r="F2825" s="18" t="inlineStr">
        <is>
          <t>F0093</t>
        </is>
      </c>
    </row>
    <row r="2826" ht="15.75" customHeight="1" s="108">
      <c r="A2826" s="18" t="inlineStr">
        <is>
          <t>Fraser Aitcheson</t>
        </is>
      </c>
      <c r="B2826" s="18" t="n">
        <v>2</v>
      </c>
      <c r="C2826" s="18" t="n">
        <v>2013</v>
      </c>
      <c r="D2826" s="18" t="n">
        <v>2016</v>
      </c>
      <c r="E2826" s="18" t="inlineStr">
        <is>
          <t>Elysium, X-Men: Apocalypse</t>
        </is>
      </c>
      <c r="F2826" s="18" t="inlineStr">
        <is>
          <t>F0093, F0342</t>
        </is>
      </c>
    </row>
    <row r="2827" ht="15.75" customHeight="1" s="108">
      <c r="A2827" s="18" t="inlineStr">
        <is>
          <t>Angelina Pratap</t>
        </is>
      </c>
      <c r="B2827" s="18" t="n">
        <v>1</v>
      </c>
      <c r="C2827" s="18" t="n">
        <v>2013</v>
      </c>
      <c r="D2827" s="18" t="n">
        <v>2013</v>
      </c>
      <c r="E2827" s="18" t="inlineStr">
        <is>
          <t>Elysium</t>
        </is>
      </c>
      <c r="F2827" s="18" t="inlineStr">
        <is>
          <t>F0093</t>
        </is>
      </c>
    </row>
    <row r="2828" ht="15.75" customHeight="1" s="108">
      <c r="A2828" s="18" t="inlineStr">
        <is>
          <t>Valentina Girón</t>
        </is>
      </c>
      <c r="B2828" s="18" t="n">
        <v>1</v>
      </c>
      <c r="C2828" s="18" t="n">
        <v>2013</v>
      </c>
      <c r="D2828" s="18" t="n">
        <v>2013</v>
      </c>
      <c r="E2828" s="18" t="inlineStr">
        <is>
          <t>Elysium</t>
        </is>
      </c>
      <c r="F2828" s="18" t="inlineStr">
        <is>
          <t>F0093</t>
        </is>
      </c>
    </row>
    <row r="2829" ht="15.75" customHeight="1" s="108">
      <c r="A2829" s="18" t="inlineStr">
        <is>
          <t>Tracy Waterhouse</t>
        </is>
      </c>
      <c r="B2829" s="18" t="n">
        <v>1</v>
      </c>
      <c r="C2829" s="18" t="n">
        <v>2013</v>
      </c>
      <c r="D2829" s="18" t="n">
        <v>2013</v>
      </c>
      <c r="E2829" s="18" t="inlineStr">
        <is>
          <t>Elysium</t>
        </is>
      </c>
      <c r="F2829" s="18" t="inlineStr">
        <is>
          <t>F0093</t>
        </is>
      </c>
    </row>
    <row r="2830" ht="15.75" customHeight="1" s="108">
      <c r="A2830" s="18" t="inlineStr">
        <is>
          <t>Jake Busey</t>
        </is>
      </c>
      <c r="B2830" s="18" t="n">
        <v>1</v>
      </c>
      <c r="C2830" s="18" t="n">
        <v>1998</v>
      </c>
      <c r="D2830" s="18" t="n">
        <v>1998</v>
      </c>
      <c r="E2830" s="18" t="inlineStr">
        <is>
          <t>Enemy of the State</t>
        </is>
      </c>
      <c r="F2830" s="18" t="inlineStr">
        <is>
          <t>F0094</t>
        </is>
      </c>
    </row>
    <row r="2831" ht="15.75" customHeight="1" s="108">
      <c r="A2831" s="18" t="inlineStr">
        <is>
          <t>Gabriel Byrne</t>
        </is>
      </c>
      <c r="B2831" s="18" t="n">
        <v>1</v>
      </c>
      <c r="C2831" s="18" t="n">
        <v>1998</v>
      </c>
      <c r="D2831" s="18" t="n">
        <v>1998</v>
      </c>
      <c r="E2831" s="18" t="inlineStr">
        <is>
          <t>Enemy of the State</t>
        </is>
      </c>
      <c r="F2831" s="18" t="inlineStr">
        <is>
          <t>F0094</t>
        </is>
      </c>
    </row>
    <row r="2832" ht="15.75" customHeight="1" s="108">
      <c r="A2832" s="18" t="inlineStr">
        <is>
          <t>Lisa Bonet</t>
        </is>
      </c>
      <c r="B2832" s="18" t="n">
        <v>1</v>
      </c>
      <c r="C2832" s="18" t="n">
        <v>1998</v>
      </c>
      <c r="D2832" s="18" t="n">
        <v>1998</v>
      </c>
      <c r="E2832" s="18" t="inlineStr">
        <is>
          <t>Enemy of the State</t>
        </is>
      </c>
      <c r="F2832" s="18" t="inlineStr">
        <is>
          <t>F0094</t>
        </is>
      </c>
    </row>
    <row r="2833" ht="15.75" customHeight="1" s="108">
      <c r="A2833" s="18" t="inlineStr">
        <is>
          <t>Ian Hart</t>
        </is>
      </c>
      <c r="B2833" s="18" t="n">
        <v>2</v>
      </c>
      <c r="C2833" s="18" t="n">
        <v>1998</v>
      </c>
      <c r="D2833" s="18" t="n">
        <v>2001</v>
      </c>
      <c r="E2833" s="18" t="inlineStr">
        <is>
          <t>Enemy of the State, Harry Potter and the Philosopher's Stone</t>
        </is>
      </c>
      <c r="F2833" s="18" t="inlineStr">
        <is>
          <t>F0094, F0137</t>
        </is>
      </c>
    </row>
    <row r="2834" ht="15.75" customHeight="1" s="108">
      <c r="A2834" s="18" t="inlineStr">
        <is>
          <t>Scott Caan</t>
        </is>
      </c>
      <c r="B2834" s="18" t="n">
        <v>1</v>
      </c>
      <c r="C2834" s="18" t="n">
        <v>1998</v>
      </c>
      <c r="D2834" s="18" t="n">
        <v>1998</v>
      </c>
      <c r="E2834" s="18" t="inlineStr">
        <is>
          <t>Enemy of the State</t>
        </is>
      </c>
      <c r="F2834" s="18" t="inlineStr">
        <is>
          <t>F0094</t>
        </is>
      </c>
    </row>
    <row r="2835" ht="15.75" customHeight="1" s="108">
      <c r="A2835" s="18" t="inlineStr">
        <is>
          <t>James Le Gros</t>
        </is>
      </c>
      <c r="B2835" s="18" t="n">
        <v>2</v>
      </c>
      <c r="C2835" s="18" t="n">
        <v>1998</v>
      </c>
      <c r="D2835" s="18" t="n">
        <v>2007</v>
      </c>
      <c r="E2835" s="18" t="inlineStr">
        <is>
          <t>Enemy of the State, Zodiac</t>
        </is>
      </c>
      <c r="F2835" s="18" t="inlineStr">
        <is>
          <t>F0094, F0350</t>
        </is>
      </c>
    </row>
    <row r="2836" ht="15.75" customHeight="1" s="108">
      <c r="A2836" s="18" t="inlineStr">
        <is>
          <t>Dan Butler</t>
        </is>
      </c>
      <c r="B2836" s="18" t="n">
        <v>1</v>
      </c>
      <c r="C2836" s="18" t="n">
        <v>1998</v>
      </c>
      <c r="D2836" s="18" t="n">
        <v>1998</v>
      </c>
      <c r="E2836" s="18" t="inlineStr">
        <is>
          <t>Enemy of the State</t>
        </is>
      </c>
      <c r="F2836" s="18" t="inlineStr">
        <is>
          <t>F0094</t>
        </is>
      </c>
    </row>
    <row r="2837" ht="15.75" customHeight="1" s="108">
      <c r="A2837" s="18" t="inlineStr">
        <is>
          <t>Jamie Kennedy</t>
        </is>
      </c>
      <c r="B2837" s="18" t="n">
        <v>1</v>
      </c>
      <c r="C2837" s="18" t="n">
        <v>1998</v>
      </c>
      <c r="D2837" s="18" t="n">
        <v>1998</v>
      </c>
      <c r="E2837" s="18" t="inlineStr">
        <is>
          <t>Enemy of the State</t>
        </is>
      </c>
      <c r="F2837" s="18" t="inlineStr">
        <is>
          <t>F0094</t>
        </is>
      </c>
    </row>
    <row r="2838" ht="15.75" customHeight="1" s="108">
      <c r="A2838" s="18" t="inlineStr">
        <is>
          <t>Bodhi Elfman</t>
        </is>
      </c>
      <c r="B2838" s="18" t="n">
        <v>1</v>
      </c>
      <c r="C2838" s="18" t="n">
        <v>1998</v>
      </c>
      <c r="D2838" s="18" t="n">
        <v>1998</v>
      </c>
      <c r="E2838" s="18" t="inlineStr">
        <is>
          <t>Enemy of the State</t>
        </is>
      </c>
      <c r="F2838" s="18" t="inlineStr">
        <is>
          <t>F0094</t>
        </is>
      </c>
    </row>
    <row r="2839" ht="15.75" customHeight="1" s="108">
      <c r="A2839" s="18" t="inlineStr">
        <is>
          <t>Jacob Chambers</t>
        </is>
      </c>
      <c r="B2839" s="18" t="n">
        <v>1</v>
      </c>
      <c r="C2839" s="18" t="n">
        <v>1998</v>
      </c>
      <c r="D2839" s="18" t="n">
        <v>1998</v>
      </c>
      <c r="E2839" s="18" t="inlineStr">
        <is>
          <t>Enemy of the State</t>
        </is>
      </c>
      <c r="F2839" s="18" t="inlineStr">
        <is>
          <t>F0094</t>
        </is>
      </c>
    </row>
    <row r="2840" ht="15.75" customHeight="1" s="108">
      <c r="A2840" s="18" t="inlineStr">
        <is>
          <t>Alexandra Balahoutis</t>
        </is>
      </c>
      <c r="B2840" s="18" t="n">
        <v>1</v>
      </c>
      <c r="C2840" s="18" t="n">
        <v>1998</v>
      </c>
      <c r="D2840" s="18" t="n">
        <v>1998</v>
      </c>
      <c r="E2840" s="18" t="inlineStr">
        <is>
          <t>Enemy of the State</t>
        </is>
      </c>
      <c r="F2840" s="18" t="inlineStr">
        <is>
          <t>F0094</t>
        </is>
      </c>
    </row>
    <row r="2841" ht="15.75" customHeight="1" s="108">
      <c r="A2841" s="18" t="inlineStr">
        <is>
          <t>Anna Gunn</t>
        </is>
      </c>
      <c r="B2841" s="18" t="n">
        <v>1</v>
      </c>
      <c r="C2841" s="18" t="n">
        <v>1998</v>
      </c>
      <c r="D2841" s="18" t="n">
        <v>1998</v>
      </c>
      <c r="E2841" s="18" t="inlineStr">
        <is>
          <t>Enemy of the State</t>
        </is>
      </c>
      <c r="F2841" s="18" t="inlineStr">
        <is>
          <t>F0094</t>
        </is>
      </c>
    </row>
    <row r="2842" ht="15.75" customHeight="1" s="108">
      <c r="A2842" s="18" t="inlineStr">
        <is>
          <t>Jascha Washington</t>
        </is>
      </c>
      <c r="B2842" s="18" t="n">
        <v>1</v>
      </c>
      <c r="C2842" s="18" t="n">
        <v>1998</v>
      </c>
      <c r="D2842" s="18" t="n">
        <v>1998</v>
      </c>
      <c r="E2842" s="18" t="inlineStr">
        <is>
          <t>Enemy of the State</t>
        </is>
      </c>
      <c r="F2842" s="18" t="inlineStr">
        <is>
          <t>F0094</t>
        </is>
      </c>
    </row>
    <row r="2843" ht="15.75" customHeight="1" s="108">
      <c r="A2843" s="18" t="inlineStr">
        <is>
          <t>Rebeca Silva</t>
        </is>
      </c>
      <c r="B2843" s="18" t="n">
        <v>1</v>
      </c>
      <c r="C2843" s="18" t="n">
        <v>1998</v>
      </c>
      <c r="D2843" s="18" t="n">
        <v>1998</v>
      </c>
      <c r="E2843" s="18" t="inlineStr">
        <is>
          <t>Enemy of the State</t>
        </is>
      </c>
      <c r="F2843" s="18" t="inlineStr">
        <is>
          <t>F0094</t>
        </is>
      </c>
    </row>
    <row r="2844" ht="15.75" customHeight="1" s="108">
      <c r="A2844" s="18" t="inlineStr">
        <is>
          <t>Bobby Boriello</t>
        </is>
      </c>
      <c r="B2844" s="18" t="n">
        <v>1</v>
      </c>
      <c r="C2844" s="18" t="n">
        <v>1998</v>
      </c>
      <c r="D2844" s="18" t="n">
        <v>1998</v>
      </c>
      <c r="E2844" s="18" t="inlineStr">
        <is>
          <t>Enemy of the State</t>
        </is>
      </c>
      <c r="F2844" s="18" t="inlineStr">
        <is>
          <t>F0094</t>
        </is>
      </c>
    </row>
    <row r="2845" ht="15.75" customHeight="1" s="108">
      <c r="A2845" s="18" t="inlineStr">
        <is>
          <t>Carl Mergenthaler</t>
        </is>
      </c>
      <c r="B2845" s="18" t="n">
        <v>1</v>
      </c>
      <c r="C2845" s="18" t="n">
        <v>1998</v>
      </c>
      <c r="D2845" s="18" t="n">
        <v>1998</v>
      </c>
      <c r="E2845" s="18" t="inlineStr">
        <is>
          <t>Enemy of the State</t>
        </is>
      </c>
      <c r="F2845" s="18" t="inlineStr">
        <is>
          <t>F0094</t>
        </is>
      </c>
    </row>
    <row r="2846" ht="15.75" customHeight="1" s="108">
      <c r="A2846" s="18" t="inlineStr">
        <is>
          <t>Mattias Kraemer</t>
        </is>
      </c>
      <c r="B2846" s="18" t="n">
        <v>1</v>
      </c>
      <c r="C2846" s="18" t="n">
        <v>1998</v>
      </c>
      <c r="D2846" s="18" t="n">
        <v>1998</v>
      </c>
      <c r="E2846" s="18" t="inlineStr">
        <is>
          <t>Enemy of the State</t>
        </is>
      </c>
      <c r="F2846" s="18" t="inlineStr">
        <is>
          <t>F0094</t>
        </is>
      </c>
    </row>
    <row r="2847" ht="15.75" customHeight="1" s="108">
      <c r="A2847" s="18" t="inlineStr">
        <is>
          <t>Lillo Brancato</t>
        </is>
      </c>
      <c r="B2847" s="18" t="n">
        <v>1</v>
      </c>
      <c r="C2847" s="18" t="n">
        <v>1998</v>
      </c>
      <c r="D2847" s="18" t="n">
        <v>1998</v>
      </c>
      <c r="E2847" s="18" t="inlineStr">
        <is>
          <t>Enemy of the State</t>
        </is>
      </c>
      <c r="F2847" s="18" t="inlineStr">
        <is>
          <t>F0094</t>
        </is>
      </c>
    </row>
    <row r="2848" ht="15.75" customHeight="1" s="108">
      <c r="A2848" s="18" t="inlineStr">
        <is>
          <t>John Capodice</t>
        </is>
      </c>
      <c r="B2848" s="18" t="n">
        <v>1</v>
      </c>
      <c r="C2848" s="18" t="n">
        <v>1998</v>
      </c>
      <c r="D2848" s="18" t="n">
        <v>1998</v>
      </c>
      <c r="E2848" s="18" t="inlineStr">
        <is>
          <t>Enemy of the State</t>
        </is>
      </c>
      <c r="F2848" s="18" t="inlineStr">
        <is>
          <t>F0094</t>
        </is>
      </c>
    </row>
    <row r="2849" ht="15.75" customHeight="1" s="108">
      <c r="A2849" s="18" t="inlineStr">
        <is>
          <t>Randy Couture</t>
        </is>
      </c>
      <c r="B2849" s="18" t="n">
        <v>3</v>
      </c>
      <c r="C2849" s="18" t="n">
        <v>2010</v>
      </c>
      <c r="D2849" s="18" t="n">
        <v>2014</v>
      </c>
      <c r="E2849" s="18" t="inlineStr">
        <is>
          <t>The Expendables, The Expendables 2, The Expendables 3</t>
        </is>
      </c>
      <c r="F2849" s="18" t="inlineStr">
        <is>
          <t>F0095, F0096, F0097</t>
        </is>
      </c>
    </row>
    <row r="2850" ht="15.75" customHeight="1" s="108">
      <c r="A2850" s="18" t="inlineStr">
        <is>
          <t>Steve Austin</t>
        </is>
      </c>
      <c r="B2850" s="18" t="n">
        <v>2</v>
      </c>
      <c r="C2850" s="18" t="n">
        <v>2010</v>
      </c>
      <c r="D2850" s="18" t="n">
        <v>2013</v>
      </c>
      <c r="E2850" s="18" t="inlineStr">
        <is>
          <t>The Expendables, Grown Ups 2</t>
        </is>
      </c>
      <c r="F2850" s="18" t="inlineStr">
        <is>
          <t>F0095, F0132</t>
        </is>
      </c>
    </row>
    <row r="2851" ht="15.75" customHeight="1" s="108">
      <c r="A2851" s="18" t="inlineStr">
        <is>
          <t>David Zayas</t>
        </is>
      </c>
      <c r="B2851" s="18" t="n">
        <v>1</v>
      </c>
      <c r="C2851" s="18" t="n">
        <v>2010</v>
      </c>
      <c r="D2851" s="18" t="n">
        <v>2010</v>
      </c>
      <c r="E2851" s="18" t="inlineStr">
        <is>
          <t>The Expendables</t>
        </is>
      </c>
      <c r="F2851" s="18" t="inlineStr">
        <is>
          <t>F0095</t>
        </is>
      </c>
    </row>
    <row r="2852" ht="15.75" customHeight="1" s="108">
      <c r="A2852" s="18" t="inlineStr">
        <is>
          <t>Giselle Itié</t>
        </is>
      </c>
      <c r="B2852" s="18" t="n">
        <v>1</v>
      </c>
      <c r="C2852" s="18" t="n">
        <v>2010</v>
      </c>
      <c r="D2852" s="18" t="n">
        <v>2010</v>
      </c>
      <c r="E2852" s="18" t="inlineStr">
        <is>
          <t>The Expendables</t>
        </is>
      </c>
      <c r="F2852" s="18" t="inlineStr">
        <is>
          <t>F0095</t>
        </is>
      </c>
    </row>
    <row r="2853" ht="15.75" customHeight="1" s="108">
      <c r="A2853" s="18" t="inlineStr">
        <is>
          <t>Charisma Carpenter</t>
        </is>
      </c>
      <c r="B2853" s="18" t="n">
        <v>2</v>
      </c>
      <c r="C2853" s="18" t="n">
        <v>2010</v>
      </c>
      <c r="D2853" s="18" t="n">
        <v>2012</v>
      </c>
      <c r="E2853" s="18" t="inlineStr">
        <is>
          <t>The Expendables, The Expendables 2</t>
        </is>
      </c>
      <c r="F2853" s="18" t="inlineStr">
        <is>
          <t>F0095, F0096</t>
        </is>
      </c>
    </row>
    <row r="2854" ht="15.75" customHeight="1" s="108">
      <c r="A2854" s="18" t="inlineStr">
        <is>
          <t>Gary Daniels</t>
        </is>
      </c>
      <c r="B2854" s="18" t="n">
        <v>1</v>
      </c>
      <c r="C2854" s="18" t="n">
        <v>2010</v>
      </c>
      <c r="D2854" s="18" t="n">
        <v>2010</v>
      </c>
      <c r="E2854" s="18" t="inlineStr">
        <is>
          <t>The Expendables</t>
        </is>
      </c>
      <c r="F2854" s="18" t="inlineStr">
        <is>
          <t>F0095</t>
        </is>
      </c>
    </row>
    <row r="2855" ht="15.75" customHeight="1" s="108">
      <c r="A2855" s="18" t="inlineStr">
        <is>
          <t>Mickey Rourke</t>
        </is>
      </c>
      <c r="B2855" s="18" t="n">
        <v>1</v>
      </c>
      <c r="C2855" s="18" t="n">
        <v>2010</v>
      </c>
      <c r="D2855" s="18" t="n">
        <v>2010</v>
      </c>
      <c r="E2855" s="18" t="inlineStr">
        <is>
          <t>The Expendables</t>
        </is>
      </c>
      <c r="F2855" s="18" t="inlineStr">
        <is>
          <t>F0095</t>
        </is>
      </c>
    </row>
    <row r="2856" ht="15.75" customHeight="1" s="108">
      <c r="A2856" s="18" t="inlineStr">
        <is>
          <t>Hank Amos</t>
        </is>
      </c>
      <c r="B2856" s="18" t="n">
        <v>3</v>
      </c>
      <c r="C2856" s="18" t="n">
        <v>2003</v>
      </c>
      <c r="D2856" s="18" t="n">
        <v>2010</v>
      </c>
      <c r="E2856" s="18" t="inlineStr">
        <is>
          <t xml:space="preserve">The Expendables, Underworld, Underworld </t>
        </is>
      </c>
      <c r="F2856" s="18" t="inlineStr">
        <is>
          <t>F0095, F0389</t>
        </is>
      </c>
    </row>
    <row r="2857" ht="15.75" customHeight="1" s="108">
      <c r="A2857" s="18" t="inlineStr">
        <is>
          <t>Amin Joseph</t>
        </is>
      </c>
      <c r="B2857" s="18" t="n">
        <v>1</v>
      </c>
      <c r="C2857" s="18" t="n">
        <v>2010</v>
      </c>
      <c r="D2857" s="18" t="n">
        <v>2010</v>
      </c>
      <c r="E2857" s="18" t="inlineStr">
        <is>
          <t>The Expendables</t>
        </is>
      </c>
      <c r="F2857" s="18" t="inlineStr">
        <is>
          <t>F0095</t>
        </is>
      </c>
    </row>
    <row r="2858" ht="15.75" customHeight="1" s="108">
      <c r="A2858" s="18" t="inlineStr">
        <is>
          <t>Grifon Aldren</t>
        </is>
      </c>
      <c r="B2858" s="18" t="n">
        <v>1</v>
      </c>
      <c r="C2858" s="18" t="n">
        <v>2010</v>
      </c>
      <c r="D2858" s="18" t="n">
        <v>2010</v>
      </c>
      <c r="E2858" s="18" t="inlineStr">
        <is>
          <t>The Expendables</t>
        </is>
      </c>
      <c r="F2858" s="18" t="inlineStr">
        <is>
          <t>F0095</t>
        </is>
      </c>
    </row>
    <row r="2859" ht="15.75" customHeight="1" s="108">
      <c r="A2859" s="18" t="inlineStr">
        <is>
          <t>Antonio Rodrigo Nogueira</t>
        </is>
      </c>
      <c r="B2859" s="18" t="n">
        <v>1</v>
      </c>
      <c r="C2859" s="18" t="n">
        <v>2010</v>
      </c>
      <c r="D2859" s="18" t="n">
        <v>2010</v>
      </c>
      <c r="E2859" s="18" t="inlineStr">
        <is>
          <t>The Expendables</t>
        </is>
      </c>
      <c r="F2859" s="18" t="inlineStr">
        <is>
          <t>F0095</t>
        </is>
      </c>
    </row>
    <row r="2860" ht="15.75" customHeight="1" s="108">
      <c r="A2860" s="18" t="inlineStr">
        <is>
          <t>Antônio Rogério Nogueira</t>
        </is>
      </c>
      <c r="B2860" s="18" t="n">
        <v>1</v>
      </c>
      <c r="C2860" s="18" t="n">
        <v>2010</v>
      </c>
      <c r="D2860" s="18" t="n">
        <v>2010</v>
      </c>
      <c r="E2860" s="18" t="inlineStr">
        <is>
          <t>The Expendables</t>
        </is>
      </c>
      <c r="F2860" s="18" t="inlineStr">
        <is>
          <t>F0095</t>
        </is>
      </c>
    </row>
    <row r="2861" ht="15.75" customHeight="1" s="108">
      <c r="A2861" s="18" t="inlineStr">
        <is>
          <t>Sassa Nacimento</t>
        </is>
      </c>
      <c r="B2861" s="18" t="n">
        <v>1</v>
      </c>
      <c r="C2861" s="18" t="n">
        <v>2010</v>
      </c>
      <c r="D2861" s="18" t="n">
        <v>2010</v>
      </c>
      <c r="E2861" s="18" t="inlineStr">
        <is>
          <t>The Expendables</t>
        </is>
      </c>
      <c r="F2861" s="18" t="inlineStr">
        <is>
          <t>F0095</t>
        </is>
      </c>
    </row>
    <row r="2862" ht="15.75" customHeight="1" s="108">
      <c r="A2862" s="18" t="inlineStr">
        <is>
          <t>R.A. Rondell</t>
        </is>
      </c>
      <c r="B2862" s="18" t="n">
        <v>1</v>
      </c>
      <c r="C2862" s="18" t="n">
        <v>2010</v>
      </c>
      <c r="D2862" s="18" t="n">
        <v>2010</v>
      </c>
      <c r="E2862" s="18" t="inlineStr">
        <is>
          <t>The Expendables</t>
        </is>
      </c>
      <c r="F2862" s="18" t="inlineStr">
        <is>
          <t>F0095</t>
        </is>
      </c>
    </row>
    <row r="2863" ht="15.75" customHeight="1" s="108">
      <c r="A2863" s="18" t="inlineStr">
        <is>
          <t>Tze Yep</t>
        </is>
      </c>
      <c r="B2863" s="18" t="n">
        <v>1</v>
      </c>
      <c r="C2863" s="18" t="n">
        <v>2010</v>
      </c>
      <c r="D2863" s="18" t="n">
        <v>2010</v>
      </c>
      <c r="E2863" s="18" t="inlineStr">
        <is>
          <t>The Expendables</t>
        </is>
      </c>
      <c r="F2863" s="18" t="inlineStr">
        <is>
          <t>F0095</t>
        </is>
      </c>
    </row>
    <row r="2864" ht="15.75" customHeight="1" s="108">
      <c r="A2864" s="18" t="inlineStr">
        <is>
          <t>Precious Jenkins</t>
        </is>
      </c>
      <c r="B2864" s="18" t="n">
        <v>1</v>
      </c>
      <c r="C2864" s="18" t="n">
        <v>2010</v>
      </c>
      <c r="D2864" s="18" t="n">
        <v>2010</v>
      </c>
      <c r="E2864" s="18" t="inlineStr">
        <is>
          <t>The Expendables</t>
        </is>
      </c>
      <c r="F2864" s="18" t="inlineStr">
        <is>
          <t>F0095</t>
        </is>
      </c>
    </row>
    <row r="2865" ht="15.75" customHeight="1" s="108">
      <c r="A2865" s="18" t="inlineStr">
        <is>
          <t>Ronn Surels</t>
        </is>
      </c>
      <c r="B2865" s="18" t="n">
        <v>1</v>
      </c>
      <c r="C2865" s="18" t="n">
        <v>2010</v>
      </c>
      <c r="D2865" s="18" t="n">
        <v>2010</v>
      </c>
      <c r="E2865" s="18" t="inlineStr">
        <is>
          <t>The Expendables</t>
        </is>
      </c>
      <c r="F2865" s="18" t="inlineStr">
        <is>
          <t>F0095</t>
        </is>
      </c>
    </row>
    <row r="2866" ht="15.75" customHeight="1" s="108">
      <c r="A2866" s="18" t="inlineStr">
        <is>
          <t>Lauren Jones</t>
        </is>
      </c>
      <c r="B2866" s="18" t="n">
        <v>1</v>
      </c>
      <c r="C2866" s="18" t="n">
        <v>2010</v>
      </c>
      <c r="D2866" s="18" t="n">
        <v>2010</v>
      </c>
      <c r="E2866" s="18" t="inlineStr">
        <is>
          <t>The Expendables</t>
        </is>
      </c>
      <c r="F2866" s="18" t="inlineStr">
        <is>
          <t>F0095</t>
        </is>
      </c>
    </row>
    <row r="2867" ht="15.75" customHeight="1" s="108">
      <c r="A2867" s="18" t="inlineStr">
        <is>
          <t>Prazeres Barbosa</t>
        </is>
      </c>
      <c r="B2867" s="18" t="n">
        <v>1</v>
      </c>
      <c r="C2867" s="18" t="n">
        <v>2010</v>
      </c>
      <c r="D2867" s="18" t="n">
        <v>2010</v>
      </c>
      <c r="E2867" s="18" t="inlineStr">
        <is>
          <t>The Expendables</t>
        </is>
      </c>
      <c r="F2867" s="18" t="inlineStr">
        <is>
          <t>F0095</t>
        </is>
      </c>
    </row>
    <row r="2868" ht="15.75" customHeight="1" s="108">
      <c r="A2868" s="18" t="inlineStr">
        <is>
          <t>Jose Vasquez</t>
        </is>
      </c>
      <c r="B2868" s="18" t="n">
        <v>1</v>
      </c>
      <c r="C2868" s="18" t="n">
        <v>2010</v>
      </c>
      <c r="D2868" s="18" t="n">
        <v>2010</v>
      </c>
      <c r="E2868" s="18" t="inlineStr">
        <is>
          <t>The Expendables</t>
        </is>
      </c>
      <c r="F2868" s="18" t="inlineStr">
        <is>
          <t>F0095</t>
        </is>
      </c>
    </row>
    <row r="2869" ht="15.75" customHeight="1" s="108">
      <c r="A2869" s="18" t="inlineStr">
        <is>
          <t>Daniel Arrias</t>
        </is>
      </c>
      <c r="B2869" s="18" t="n">
        <v>1</v>
      </c>
      <c r="C2869" s="18" t="n">
        <v>2010</v>
      </c>
      <c r="D2869" s="18" t="n">
        <v>2010</v>
      </c>
      <c r="E2869" s="18" t="inlineStr">
        <is>
          <t>The Expendables</t>
        </is>
      </c>
      <c r="F2869" s="18" t="inlineStr">
        <is>
          <t>F0095</t>
        </is>
      </c>
    </row>
    <row r="2870" ht="15.75" customHeight="1" s="108">
      <c r="A2870" s="18" t="inlineStr">
        <is>
          <t>Antonio Gullo</t>
        </is>
      </c>
      <c r="B2870" s="18" t="n">
        <v>1</v>
      </c>
      <c r="C2870" s="18" t="n">
        <v>2010</v>
      </c>
      <c r="D2870" s="18" t="n">
        <v>2010</v>
      </c>
      <c r="E2870" s="18" t="inlineStr">
        <is>
          <t>The Expendables</t>
        </is>
      </c>
      <c r="F2870" s="18" t="inlineStr">
        <is>
          <t>F0095</t>
        </is>
      </c>
    </row>
    <row r="2871" ht="15.75" customHeight="1" s="108">
      <c r="A2871" s="18" t="inlineStr">
        <is>
          <t>Javier Lambert</t>
        </is>
      </c>
      <c r="B2871" s="18" t="n">
        <v>1</v>
      </c>
      <c r="C2871" s="18" t="n">
        <v>2010</v>
      </c>
      <c r="D2871" s="18" t="n">
        <v>2010</v>
      </c>
      <c r="E2871" s="18" t="inlineStr">
        <is>
          <t>The Expendables</t>
        </is>
      </c>
      <c r="F2871" s="18" t="inlineStr">
        <is>
          <t>F0095</t>
        </is>
      </c>
    </row>
    <row r="2872" ht="15.75" customHeight="1" s="108">
      <c r="A2872" s="18" t="inlineStr">
        <is>
          <t>Tatsu Carvalho</t>
        </is>
      </c>
      <c r="B2872" s="18" t="n">
        <v>1</v>
      </c>
      <c r="C2872" s="18" t="n">
        <v>2010</v>
      </c>
      <c r="D2872" s="18" t="n">
        <v>2010</v>
      </c>
      <c r="E2872" s="18" t="inlineStr">
        <is>
          <t>The Expendables</t>
        </is>
      </c>
      <c r="F2872" s="18" t="inlineStr">
        <is>
          <t>F0095</t>
        </is>
      </c>
    </row>
    <row r="2873" ht="15.75" customHeight="1" s="108">
      <c r="A2873" s="18" t="inlineStr">
        <is>
          <t>Jean-Claude Van Damme</t>
        </is>
      </c>
      <c r="B2873" s="18" t="n">
        <v>1</v>
      </c>
      <c r="C2873" s="18" t="n">
        <v>2012</v>
      </c>
      <c r="D2873" s="18" t="n">
        <v>2012</v>
      </c>
      <c r="E2873" s="18" t="inlineStr">
        <is>
          <t>The Expendables 2</t>
        </is>
      </c>
      <c r="F2873" s="18" t="inlineStr">
        <is>
          <t>F0096</t>
        </is>
      </c>
    </row>
    <row r="2874" ht="15.75" customHeight="1" s="108">
      <c r="A2874" s="18" t="inlineStr">
        <is>
          <t>Yu Nan</t>
        </is>
      </c>
      <c r="B2874" s="18" t="n">
        <v>1</v>
      </c>
      <c r="C2874" s="18" t="n">
        <v>2012</v>
      </c>
      <c r="D2874" s="18" t="n">
        <v>2012</v>
      </c>
      <c r="E2874" s="18" t="inlineStr">
        <is>
          <t>The Expendables 2</t>
        </is>
      </c>
      <c r="F2874" s="18" t="inlineStr">
        <is>
          <t>F0096</t>
        </is>
      </c>
    </row>
    <row r="2875" ht="15.75" customHeight="1" s="108">
      <c r="A2875" s="18" t="inlineStr">
        <is>
          <t>Amanda Ooms</t>
        </is>
      </c>
      <c r="B2875" s="18" t="n">
        <v>1</v>
      </c>
      <c r="C2875" s="18" t="n">
        <v>2012</v>
      </c>
      <c r="D2875" s="18" t="n">
        <v>2012</v>
      </c>
      <c r="E2875" s="18" t="inlineStr">
        <is>
          <t>The Expendables 2</t>
        </is>
      </c>
      <c r="F2875" s="18" t="inlineStr">
        <is>
          <t>F0096</t>
        </is>
      </c>
    </row>
    <row r="2876" ht="15.75" customHeight="1" s="108">
      <c r="A2876" s="18" t="inlineStr">
        <is>
          <t>Nikolette Noel</t>
        </is>
      </c>
      <c r="B2876" s="18" t="n">
        <v>1</v>
      </c>
      <c r="C2876" s="18" t="n">
        <v>2012</v>
      </c>
      <c r="D2876" s="18" t="n">
        <v>2012</v>
      </c>
      <c r="E2876" s="18" t="inlineStr">
        <is>
          <t>The Expendables 2</t>
        </is>
      </c>
      <c r="F2876" s="18" t="inlineStr">
        <is>
          <t>F0096</t>
        </is>
      </c>
    </row>
    <row r="2877" ht="15.75" customHeight="1" s="108">
      <c r="A2877" s="18" t="inlineStr">
        <is>
          <t>George Zlatarev</t>
        </is>
      </c>
      <c r="B2877" s="18" t="n">
        <v>1</v>
      </c>
      <c r="C2877" s="18" t="n">
        <v>2012</v>
      </c>
      <c r="D2877" s="18" t="n">
        <v>2012</v>
      </c>
      <c r="E2877" s="18" t="inlineStr">
        <is>
          <t>The Expendables 2</t>
        </is>
      </c>
      <c r="F2877" s="18" t="inlineStr">
        <is>
          <t>F0096</t>
        </is>
      </c>
    </row>
    <row r="2878" ht="15.75" customHeight="1" s="108">
      <c r="A2878" s="18" t="inlineStr">
        <is>
          <t>Alexander Moskov</t>
        </is>
      </c>
      <c r="B2878" s="18" t="n">
        <v>1</v>
      </c>
      <c r="C2878" s="18" t="n">
        <v>2012</v>
      </c>
      <c r="D2878" s="18" t="n">
        <v>2012</v>
      </c>
      <c r="E2878" s="18" t="inlineStr">
        <is>
          <t>The Expendables 2</t>
        </is>
      </c>
      <c r="F2878" s="18" t="inlineStr">
        <is>
          <t>F0096</t>
        </is>
      </c>
    </row>
    <row r="2879" ht="15.75" customHeight="1" s="108">
      <c r="A2879" s="18" t="inlineStr">
        <is>
          <t>Nikola Dodov</t>
        </is>
      </c>
      <c r="B2879" s="18" t="n">
        <v>1</v>
      </c>
      <c r="C2879" s="18" t="n">
        <v>2012</v>
      </c>
      <c r="D2879" s="18" t="n">
        <v>2012</v>
      </c>
      <c r="E2879" s="18" t="inlineStr">
        <is>
          <t>The Expendables 2</t>
        </is>
      </c>
      <c r="F2879" s="18" t="inlineStr">
        <is>
          <t>F0096</t>
        </is>
      </c>
    </row>
    <row r="2880" ht="15.75" customHeight="1" s="108">
      <c r="A2880" s="18" t="inlineStr">
        <is>
          <t>Wenbo Li</t>
        </is>
      </c>
      <c r="B2880" s="18" t="n">
        <v>1</v>
      </c>
      <c r="C2880" s="18" t="n">
        <v>2012</v>
      </c>
      <c r="D2880" s="18" t="n">
        <v>2012</v>
      </c>
      <c r="E2880" s="18" t="inlineStr">
        <is>
          <t>The Expendables 2</t>
        </is>
      </c>
      <c r="F2880" s="18" t="inlineStr">
        <is>
          <t>F0096</t>
        </is>
      </c>
    </row>
    <row r="2881" ht="15.75" customHeight="1" s="108">
      <c r="A2881" s="18" t="inlineStr">
        <is>
          <t>Borislav Zahariev</t>
        </is>
      </c>
      <c r="B2881" s="18" t="n">
        <v>1</v>
      </c>
      <c r="C2881" s="18" t="n">
        <v>2012</v>
      </c>
      <c r="D2881" s="18" t="n">
        <v>2012</v>
      </c>
      <c r="E2881" s="18" t="inlineStr">
        <is>
          <t>The Expendables 2</t>
        </is>
      </c>
      <c r="F2881" s="18" t="inlineStr">
        <is>
          <t>F0096</t>
        </is>
      </c>
    </row>
    <row r="2882" ht="15.75" customHeight="1" s="108">
      <c r="A2882" s="18" t="inlineStr">
        <is>
          <t>Penka Kodova</t>
        </is>
      </c>
      <c r="B2882" s="18" t="n">
        <v>1</v>
      </c>
      <c r="C2882" s="18" t="n">
        <v>2012</v>
      </c>
      <c r="D2882" s="18" t="n">
        <v>2012</v>
      </c>
      <c r="E2882" s="18" t="inlineStr">
        <is>
          <t>The Expendables 2</t>
        </is>
      </c>
      <c r="F2882" s="18" t="inlineStr">
        <is>
          <t>F0096</t>
        </is>
      </c>
    </row>
    <row r="2883" ht="15.75" customHeight="1" s="108">
      <c r="A2883" s="18" t="inlineStr">
        <is>
          <t>Arkanay Boonsong</t>
        </is>
      </c>
      <c r="B2883" s="18" t="n">
        <v>1</v>
      </c>
      <c r="C2883" s="18" t="n">
        <v>2012</v>
      </c>
      <c r="D2883" s="18" t="n">
        <v>2012</v>
      </c>
      <c r="E2883" s="18" t="inlineStr">
        <is>
          <t>The Expendables 2</t>
        </is>
      </c>
      <c r="F2883" s="18" t="inlineStr">
        <is>
          <t>F0096</t>
        </is>
      </c>
    </row>
    <row r="2884" ht="15.75" customHeight="1" s="108">
      <c r="A2884" s="18" t="inlineStr">
        <is>
          <t>Dimo Alexiev</t>
        </is>
      </c>
      <c r="B2884" s="18" t="n">
        <v>2</v>
      </c>
      <c r="C2884" s="18" t="n">
        <v>2012</v>
      </c>
      <c r="D2884" s="18" t="n">
        <v>2014</v>
      </c>
      <c r="E2884" s="18" t="inlineStr">
        <is>
          <t>The Expendables 2, The Legend of Hercules</t>
        </is>
      </c>
      <c r="F2884" s="18" t="inlineStr">
        <is>
          <t>F0096, F0148</t>
        </is>
      </c>
    </row>
    <row r="2885" ht="15.75" customHeight="1" s="108">
      <c r="A2885" s="18" t="inlineStr">
        <is>
          <t>Velislav Pavlov</t>
        </is>
      </c>
      <c r="B2885" s="18" t="n">
        <v>1</v>
      </c>
      <c r="C2885" s="18" t="n">
        <v>2012</v>
      </c>
      <c r="D2885" s="18" t="n">
        <v>2012</v>
      </c>
      <c r="E2885" s="18" t="inlineStr">
        <is>
          <t>The Expendables 2</t>
        </is>
      </c>
      <c r="F2885" s="18" t="inlineStr">
        <is>
          <t>F0096</t>
        </is>
      </c>
    </row>
    <row r="2886" ht="15.75" customHeight="1" s="108">
      <c r="A2886" s="18" t="inlineStr">
        <is>
          <t>Liubomir Simeonov</t>
        </is>
      </c>
      <c r="B2886" s="18" t="n">
        <v>3</v>
      </c>
      <c r="C2886" s="18" t="n">
        <v>2012</v>
      </c>
      <c r="D2886" s="18" t="n">
        <v>2014</v>
      </c>
      <c r="E2886" s="18" t="inlineStr">
        <is>
          <t>The Expendables 2, The Expendables 3, The Legend of Hercules</t>
        </is>
      </c>
      <c r="F2886" s="18" t="inlineStr">
        <is>
          <t>F0096, F0097, F0148</t>
        </is>
      </c>
    </row>
    <row r="2887" ht="15.75" customHeight="1" s="108">
      <c r="A2887" s="18" t="inlineStr">
        <is>
          <t>Anton Trendafilov</t>
        </is>
      </c>
      <c r="B2887" s="18" t="n">
        <v>1</v>
      </c>
      <c r="C2887" s="18" t="n">
        <v>2012</v>
      </c>
      <c r="D2887" s="18" t="n">
        <v>2012</v>
      </c>
      <c r="E2887" s="18" t="inlineStr">
        <is>
          <t>The Expendables 2</t>
        </is>
      </c>
      <c r="F2887" s="18" t="inlineStr">
        <is>
          <t>F0096</t>
        </is>
      </c>
    </row>
    <row r="2888" ht="15.75" customHeight="1" s="108">
      <c r="A2888" s="18" t="inlineStr">
        <is>
          <t>Mariy Rosen</t>
        </is>
      </c>
      <c r="B2888" s="18" t="n">
        <v>1</v>
      </c>
      <c r="C2888" s="18" t="n">
        <v>2012</v>
      </c>
      <c r="D2888" s="18" t="n">
        <v>2012</v>
      </c>
      <c r="E2888" s="18" t="inlineStr">
        <is>
          <t>The Expendables 2</t>
        </is>
      </c>
      <c r="F2888" s="18" t="inlineStr">
        <is>
          <t>F0096</t>
        </is>
      </c>
    </row>
    <row r="2889" ht="15.75" customHeight="1" s="108">
      <c r="A2889" s="18" t="inlineStr">
        <is>
          <t>Julian Stanishkov</t>
        </is>
      </c>
      <c r="B2889" s="18" t="n">
        <v>1</v>
      </c>
      <c r="C2889" s="18" t="n">
        <v>2012</v>
      </c>
      <c r="D2889" s="18" t="n">
        <v>2012</v>
      </c>
      <c r="E2889" s="18" t="inlineStr">
        <is>
          <t>The Expendables 2</t>
        </is>
      </c>
      <c r="F2889" s="18" t="inlineStr">
        <is>
          <t>F0096</t>
        </is>
      </c>
    </row>
    <row r="2890" ht="15.75" customHeight="1" s="108">
      <c r="A2890" s="18" t="inlineStr">
        <is>
          <t>Velimir Velev</t>
        </is>
      </c>
      <c r="B2890" s="18" t="n">
        <v>1</v>
      </c>
      <c r="C2890" s="18" t="n">
        <v>2012</v>
      </c>
      <c r="D2890" s="18" t="n">
        <v>2012</v>
      </c>
      <c r="E2890" s="18" t="inlineStr">
        <is>
          <t>The Expendables 2</t>
        </is>
      </c>
      <c r="F2890" s="18" t="inlineStr">
        <is>
          <t>F0096</t>
        </is>
      </c>
    </row>
    <row r="2891" ht="15.75" customHeight="1" s="108">
      <c r="A2891" s="18" t="inlineStr">
        <is>
          <t>Glen Powell</t>
        </is>
      </c>
      <c r="B2891" s="18" t="n">
        <v>1</v>
      </c>
      <c r="C2891" s="18" t="n">
        <v>2014</v>
      </c>
      <c r="D2891" s="18" t="n">
        <v>2014</v>
      </c>
      <c r="E2891" s="18" t="inlineStr">
        <is>
          <t>The Expendables 3</t>
        </is>
      </c>
      <c r="F2891" s="18" t="inlineStr">
        <is>
          <t>F0097</t>
        </is>
      </c>
    </row>
    <row r="2892" ht="15.75" customHeight="1" s="108">
      <c r="A2892" s="18" t="inlineStr">
        <is>
          <t>Antonio Banderas</t>
        </is>
      </c>
      <c r="B2892" s="18" t="n">
        <v>1</v>
      </c>
      <c r="C2892" s="18" t="n">
        <v>2014</v>
      </c>
      <c r="D2892" s="18" t="n">
        <v>2014</v>
      </c>
      <c r="E2892" s="18" t="inlineStr">
        <is>
          <t>The Expendables 3</t>
        </is>
      </c>
      <c r="F2892" s="18" t="inlineStr">
        <is>
          <t>F0097</t>
        </is>
      </c>
    </row>
    <row r="2893" ht="15.75" customHeight="1" s="108">
      <c r="A2893" s="18" t="inlineStr">
        <is>
          <t>Victor Ortiz</t>
        </is>
      </c>
      <c r="B2893" s="18" t="n">
        <v>2</v>
      </c>
      <c r="C2893" s="18" t="n">
        <v>2014</v>
      </c>
      <c r="D2893" s="18" t="n">
        <v>2015</v>
      </c>
      <c r="E2893" s="18" t="inlineStr">
        <is>
          <t>The Expendables 3, Southpaw</t>
        </is>
      </c>
      <c r="F2893" s="18" t="inlineStr">
        <is>
          <t>F0097, F0286</t>
        </is>
      </c>
    </row>
    <row r="2894" ht="15.75" customHeight="1" s="108">
      <c r="A2894" s="18" t="inlineStr">
        <is>
          <t>Ronda Rousey</t>
        </is>
      </c>
      <c r="B2894" s="18" t="n">
        <v>2</v>
      </c>
      <c r="C2894" s="18" t="n">
        <v>2014</v>
      </c>
      <c r="D2894" s="18" t="n">
        <v>2015</v>
      </c>
      <c r="E2894" s="18" t="inlineStr">
        <is>
          <t>The Expendables 3, Furious 7</t>
        </is>
      </c>
      <c r="F2894" s="18" t="inlineStr">
        <is>
          <t>F0097, F0107</t>
        </is>
      </c>
    </row>
    <row r="2895" ht="15.75" customHeight="1" s="108">
      <c r="A2895" s="18" t="inlineStr">
        <is>
          <t>Ivan Kostadinov</t>
        </is>
      </c>
      <c r="B2895" s="18" t="n">
        <v>1</v>
      </c>
      <c r="C2895" s="18" t="n">
        <v>2014</v>
      </c>
      <c r="D2895" s="18" t="n">
        <v>2014</v>
      </c>
      <c r="E2895" s="18" t="inlineStr">
        <is>
          <t>The Expendables 3</t>
        </is>
      </c>
      <c r="F2895" s="18" t="inlineStr">
        <is>
          <t>F0097</t>
        </is>
      </c>
    </row>
    <row r="2896" ht="15.75" customHeight="1" s="108">
      <c r="A2896" s="18" t="inlineStr">
        <is>
          <t>Robert Davi</t>
        </is>
      </c>
      <c r="B2896" s="18" t="n">
        <v>1</v>
      </c>
      <c r="C2896" s="18" t="n">
        <v>2014</v>
      </c>
      <c r="D2896" s="18" t="n">
        <v>2014</v>
      </c>
      <c r="E2896" s="18" t="inlineStr">
        <is>
          <t>The Expendables 3</t>
        </is>
      </c>
      <c r="F2896" s="18" t="inlineStr">
        <is>
          <t>F0097</t>
        </is>
      </c>
    </row>
    <row r="2897" ht="15.75" customHeight="1" s="108">
      <c r="A2897" s="18" t="inlineStr">
        <is>
          <t>Nikolay Stoyanov Ilchev</t>
        </is>
      </c>
      <c r="B2897" s="18" t="n">
        <v>1</v>
      </c>
      <c r="C2897" s="18" t="n">
        <v>2014</v>
      </c>
      <c r="D2897" s="18" t="n">
        <v>2014</v>
      </c>
      <c r="E2897" s="18" t="inlineStr">
        <is>
          <t>The Expendables 3</t>
        </is>
      </c>
      <c r="F2897" s="18" t="inlineStr">
        <is>
          <t>F0097</t>
        </is>
      </c>
    </row>
    <row r="2898" ht="15.75" customHeight="1" s="108">
      <c r="A2898" s="18" t="inlineStr">
        <is>
          <t>Daniel Angelov</t>
        </is>
      </c>
      <c r="B2898" s="18" t="n">
        <v>1</v>
      </c>
      <c r="C2898" s="18" t="n">
        <v>2014</v>
      </c>
      <c r="D2898" s="18" t="n">
        <v>2014</v>
      </c>
      <c r="E2898" s="18" t="inlineStr">
        <is>
          <t>The Expendables 3</t>
        </is>
      </c>
      <c r="F2898" s="18" t="inlineStr">
        <is>
          <t>F0097</t>
        </is>
      </c>
    </row>
    <row r="2899" ht="15.75" customHeight="1" s="108">
      <c r="A2899" s="18" t="inlineStr">
        <is>
          <t>Slavi Slavov</t>
        </is>
      </c>
      <c r="B2899" s="18" t="n">
        <v>1</v>
      </c>
      <c r="C2899" s="18" t="n">
        <v>2014</v>
      </c>
      <c r="D2899" s="18" t="n">
        <v>2014</v>
      </c>
      <c r="E2899" s="18" t="inlineStr">
        <is>
          <t>The Expendables 3</t>
        </is>
      </c>
      <c r="F2899" s="18" t="inlineStr">
        <is>
          <t>F0097</t>
        </is>
      </c>
    </row>
    <row r="2900" ht="15.75" customHeight="1" s="108">
      <c r="A2900" s="18" t="inlineStr">
        <is>
          <t>Dimiter Doichinov</t>
        </is>
      </c>
      <c r="B2900" s="18" t="n">
        <v>2</v>
      </c>
      <c r="C2900" s="18" t="n">
        <v>2014</v>
      </c>
      <c r="D2900" s="18" t="n">
        <v>2014</v>
      </c>
      <c r="E2900" s="18" t="inlineStr">
        <is>
          <t>The Expendables 3, The Legend of Hercules</t>
        </is>
      </c>
      <c r="F2900" s="18" t="inlineStr">
        <is>
          <t>F0097, F0148</t>
        </is>
      </c>
    </row>
    <row r="2901" ht="15.75" customHeight="1" s="108">
      <c r="A2901" s="18" t="inlineStr">
        <is>
          <t>Nikolay Stanoev</t>
        </is>
      </c>
      <c r="B2901" s="18" t="n">
        <v>2</v>
      </c>
      <c r="C2901" s="18" t="n">
        <v>2014</v>
      </c>
      <c r="D2901" s="18" t="n">
        <v>2017</v>
      </c>
      <c r="E2901" s="18" t="inlineStr">
        <is>
          <t>The Expendables 3, The Hitman's Bodyguard</t>
        </is>
      </c>
      <c r="F2901" s="18" t="inlineStr">
        <is>
          <t>F0097, F0149</t>
        </is>
      </c>
    </row>
    <row r="2902" ht="15.75" customHeight="1" s="108">
      <c r="A2902" s="18" t="inlineStr">
        <is>
          <t>Harry Anichkin</t>
        </is>
      </c>
      <c r="B2902" s="18" t="n">
        <v>1</v>
      </c>
      <c r="C2902" s="18" t="n">
        <v>2014</v>
      </c>
      <c r="D2902" s="18" t="n">
        <v>2014</v>
      </c>
      <c r="E2902" s="18" t="inlineStr">
        <is>
          <t>The Expendables 3</t>
        </is>
      </c>
      <c r="F2902" s="18" t="inlineStr">
        <is>
          <t>F0097</t>
        </is>
      </c>
    </row>
    <row r="2903" ht="15.75" customHeight="1" s="108">
      <c r="A2903" s="18" t="inlineStr">
        <is>
          <t>Boswell Maloka</t>
        </is>
      </c>
      <c r="B2903" s="18" t="n">
        <v>1</v>
      </c>
      <c r="C2903" s="18" t="n">
        <v>2014</v>
      </c>
      <c r="D2903" s="18" t="n">
        <v>2014</v>
      </c>
      <c r="E2903" s="18" t="inlineStr">
        <is>
          <t>The Expendables 3</t>
        </is>
      </c>
      <c r="F2903" s="18" t="inlineStr">
        <is>
          <t>F0097</t>
        </is>
      </c>
    </row>
    <row r="2904" ht="15.75" customHeight="1" s="108">
      <c r="A2904" s="18" t="inlineStr">
        <is>
          <t>Natalie Burn</t>
        </is>
      </c>
      <c r="B2904" s="18" t="n">
        <v>1</v>
      </c>
      <c r="C2904" s="18" t="n">
        <v>2014</v>
      </c>
      <c r="D2904" s="18" t="n">
        <v>2014</v>
      </c>
      <c r="E2904" s="18" t="inlineStr">
        <is>
          <t>The Expendables 3</t>
        </is>
      </c>
      <c r="F2904" s="18" t="inlineStr">
        <is>
          <t>F0097</t>
        </is>
      </c>
    </row>
    <row r="2905" ht="15.75" customHeight="1" s="108">
      <c r="A2905" s="18" t="inlineStr">
        <is>
          <t>Velizar Binev</t>
        </is>
      </c>
      <c r="B2905" s="18" t="n">
        <v>1</v>
      </c>
      <c r="C2905" s="18" t="n">
        <v>2014</v>
      </c>
      <c r="D2905" s="18" t="n">
        <v>2014</v>
      </c>
      <c r="E2905" s="18" t="inlineStr">
        <is>
          <t>The Expendables 3</t>
        </is>
      </c>
      <c r="F2905" s="18" t="inlineStr">
        <is>
          <t>F0097</t>
        </is>
      </c>
    </row>
    <row r="2906" ht="15.75" customHeight="1" s="108">
      <c r="A2906" s="18" t="inlineStr">
        <is>
          <t>Sarai Givaty</t>
        </is>
      </c>
      <c r="B2906" s="18" t="n">
        <v>2</v>
      </c>
      <c r="C2906" s="18" t="n">
        <v>2014</v>
      </c>
      <c r="D2906" s="18" t="n">
        <v>2014</v>
      </c>
      <c r="E2906" s="18" t="inlineStr">
        <is>
          <t>The Expendables 3, The Legend of Hercules</t>
        </is>
      </c>
      <c r="F2906" s="18" t="inlineStr">
        <is>
          <t>F0097, F0148</t>
        </is>
      </c>
    </row>
    <row r="2907" ht="15.75" customHeight="1" s="108">
      <c r="A2907" s="18" t="inlineStr">
        <is>
          <t>Frank Pesce</t>
        </is>
      </c>
      <c r="B2907" s="18" t="n">
        <v>1</v>
      </c>
      <c r="C2907" s="18" t="n">
        <v>2014</v>
      </c>
      <c r="D2907" s="18" t="n">
        <v>2014</v>
      </c>
      <c r="E2907" s="18" t="inlineStr">
        <is>
          <t>The Expendables 3</t>
        </is>
      </c>
      <c r="F2907" s="18" t="inlineStr">
        <is>
          <t>F0097</t>
        </is>
      </c>
    </row>
    <row r="2908" ht="15.75" customHeight="1" s="108">
      <c r="A2908" s="18" t="inlineStr">
        <is>
          <t>Kim Bodnia</t>
        </is>
      </c>
      <c r="B2908" s="18" t="n">
        <v>1</v>
      </c>
      <c r="C2908" s="18" t="n">
        <v>2025</v>
      </c>
      <c r="D2908" s="18" t="n">
        <v>2025</v>
      </c>
      <c r="E2908" s="18" t="inlineStr">
        <is>
          <t>F1</t>
        </is>
      </c>
      <c r="F2908" s="18" t="inlineStr">
        <is>
          <t>F0098</t>
        </is>
      </c>
    </row>
    <row r="2909" ht="15.75" customHeight="1" s="108">
      <c r="A2909" s="18" t="inlineStr">
        <is>
          <t>Sarah Niles</t>
        </is>
      </c>
      <c r="B2909" s="18" t="n">
        <v>1</v>
      </c>
      <c r="C2909" s="18" t="n">
        <v>2025</v>
      </c>
      <c r="D2909" s="18" t="n">
        <v>2025</v>
      </c>
      <c r="E2909" s="18" t="inlineStr">
        <is>
          <t>F1</t>
        </is>
      </c>
      <c r="F2909" s="18" t="inlineStr">
        <is>
          <t>F0098</t>
        </is>
      </c>
    </row>
    <row r="2910" ht="15.75" customHeight="1" s="108">
      <c r="A2910" s="18" t="inlineStr">
        <is>
          <t>Abdul Salis</t>
        </is>
      </c>
      <c r="B2910" s="18" t="n">
        <v>1</v>
      </c>
      <c r="C2910" s="18" t="n">
        <v>2025</v>
      </c>
      <c r="D2910" s="18" t="n">
        <v>2025</v>
      </c>
      <c r="E2910" s="18" t="inlineStr">
        <is>
          <t>F1</t>
        </is>
      </c>
      <c r="F2910" s="18" t="inlineStr">
        <is>
          <t>F0098</t>
        </is>
      </c>
    </row>
    <row r="2911" ht="15.75" customHeight="1" s="108">
      <c r="A2911" s="18" t="inlineStr">
        <is>
          <t>Callie Cooke</t>
        </is>
      </c>
      <c r="B2911" s="18" t="n">
        <v>1</v>
      </c>
      <c r="C2911" s="18" t="n">
        <v>2025</v>
      </c>
      <c r="D2911" s="18" t="n">
        <v>2025</v>
      </c>
      <c r="E2911" s="18" t="inlineStr">
        <is>
          <t>F1</t>
        </is>
      </c>
      <c r="F2911" s="18" t="inlineStr">
        <is>
          <t>F0098</t>
        </is>
      </c>
    </row>
    <row r="2912" ht="15.75" customHeight="1" s="108">
      <c r="A2912" s="18" t="inlineStr">
        <is>
          <t>Samson Kayo</t>
        </is>
      </c>
      <c r="B2912" s="18" t="n">
        <v>1</v>
      </c>
      <c r="C2912" s="18" t="n">
        <v>2025</v>
      </c>
      <c r="D2912" s="18" t="n">
        <v>2025</v>
      </c>
      <c r="E2912" s="18" t="inlineStr">
        <is>
          <t>F1</t>
        </is>
      </c>
      <c r="F2912" s="18" t="inlineStr">
        <is>
          <t>F0098</t>
        </is>
      </c>
    </row>
    <row r="2913" ht="15.75" customHeight="1" s="108">
      <c r="A2913" s="18" t="inlineStr">
        <is>
          <t>Liz Kingsman</t>
        </is>
      </c>
      <c r="B2913" s="18" t="n">
        <v>1</v>
      </c>
      <c r="C2913" s="18" t="n">
        <v>2025</v>
      </c>
      <c r="D2913" s="18" t="n">
        <v>2025</v>
      </c>
      <c r="E2913" s="18" t="inlineStr">
        <is>
          <t>F1</t>
        </is>
      </c>
      <c r="F2913" s="18" t="inlineStr">
        <is>
          <t>F0098</t>
        </is>
      </c>
    </row>
    <row r="2914" ht="15.75" customHeight="1" s="108">
      <c r="A2914" s="18" t="inlineStr">
        <is>
          <t>Simone Ashley</t>
        </is>
      </c>
      <c r="B2914" s="18" t="n">
        <v>1</v>
      </c>
      <c r="C2914" s="18" t="n">
        <v>2025</v>
      </c>
      <c r="D2914" s="18" t="n">
        <v>2025</v>
      </c>
      <c r="E2914" s="18" t="inlineStr">
        <is>
          <t>F1</t>
        </is>
      </c>
      <c r="F2914" s="18" t="inlineStr">
        <is>
          <t>F0098</t>
        </is>
      </c>
    </row>
    <row r="2915" ht="15.75" customHeight="1" s="108">
      <c r="A2915" s="18" t="inlineStr">
        <is>
          <t>Ramona Von Pusch</t>
        </is>
      </c>
      <c r="B2915" s="18" t="n">
        <v>1</v>
      </c>
      <c r="C2915" s="18" t="n">
        <v>2025</v>
      </c>
      <c r="D2915" s="18" t="n">
        <v>2025</v>
      </c>
      <c r="E2915" s="18" t="inlineStr">
        <is>
          <t>F1</t>
        </is>
      </c>
      <c r="F2915" s="18" t="inlineStr">
        <is>
          <t>F0098</t>
        </is>
      </c>
    </row>
    <row r="2916" ht="15.75" customHeight="1" s="108">
      <c r="A2916" s="18" t="inlineStr">
        <is>
          <t>Barney Smith</t>
        </is>
      </c>
      <c r="B2916" s="18" t="n">
        <v>1</v>
      </c>
      <c r="C2916" s="18" t="n">
        <v>2025</v>
      </c>
      <c r="D2916" s="18" t="n">
        <v>2025</v>
      </c>
      <c r="E2916" s="18" t="inlineStr">
        <is>
          <t>F1</t>
        </is>
      </c>
      <c r="F2916" s="18" t="inlineStr">
        <is>
          <t>F0098</t>
        </is>
      </c>
    </row>
    <row r="2917" ht="15.75" customHeight="1" s="108">
      <c r="A2917" s="18" t="inlineStr">
        <is>
          <t>Poppy Smith</t>
        </is>
      </c>
      <c r="B2917" s="18" t="n">
        <v>1</v>
      </c>
      <c r="C2917" s="18" t="n">
        <v>2025</v>
      </c>
      <c r="D2917" s="18" t="n">
        <v>2025</v>
      </c>
      <c r="E2917" s="18" t="inlineStr">
        <is>
          <t>F1</t>
        </is>
      </c>
      <c r="F2917" s="18" t="inlineStr">
        <is>
          <t>F0098</t>
        </is>
      </c>
    </row>
    <row r="2918" ht="15.75" customHeight="1" s="108">
      <c r="A2918" s="18" t="inlineStr">
        <is>
          <t>Luciano Bacheta</t>
        </is>
      </c>
      <c r="B2918" s="18" t="n">
        <v>1</v>
      </c>
      <c r="C2918" s="18" t="n">
        <v>2025</v>
      </c>
      <c r="D2918" s="18" t="n">
        <v>2025</v>
      </c>
      <c r="E2918" s="18" t="inlineStr">
        <is>
          <t>F1</t>
        </is>
      </c>
      <c r="F2918" s="18" t="inlineStr">
        <is>
          <t>F0098</t>
        </is>
      </c>
    </row>
    <row r="2919" ht="15.75" customHeight="1" s="108">
      <c r="A2919" s="18" t="inlineStr">
        <is>
          <t>Rosie Dwyer</t>
        </is>
      </c>
      <c r="B2919" s="18" t="n">
        <v>1</v>
      </c>
      <c r="C2919" s="18" t="n">
        <v>2025</v>
      </c>
      <c r="D2919" s="18" t="n">
        <v>2025</v>
      </c>
      <c r="E2919" s="18" t="inlineStr">
        <is>
          <t>F1</t>
        </is>
      </c>
      <c r="F2919" s="18" t="inlineStr">
        <is>
          <t>F0098</t>
        </is>
      </c>
    </row>
    <row r="2920" ht="15.75" customHeight="1" s="108">
      <c r="A2920" s="18" t="inlineStr">
        <is>
          <t>Martin Brundle</t>
        </is>
      </c>
      <c r="B2920" s="18" t="n">
        <v>1</v>
      </c>
      <c r="C2920" s="18" t="n">
        <v>2025</v>
      </c>
      <c r="D2920" s="18" t="n">
        <v>2025</v>
      </c>
      <c r="E2920" s="18" t="inlineStr">
        <is>
          <t>F1</t>
        </is>
      </c>
      <c r="F2920" s="18" t="inlineStr">
        <is>
          <t>F0098</t>
        </is>
      </c>
    </row>
    <row r="2921" ht="15.75" customHeight="1" s="108">
      <c r="A2921" s="18" t="inlineStr">
        <is>
          <t>David Croft</t>
        </is>
      </c>
      <c r="B2921" s="18" t="n">
        <v>1</v>
      </c>
      <c r="C2921" s="18" t="n">
        <v>2025</v>
      </c>
      <c r="D2921" s="18" t="n">
        <v>2025</v>
      </c>
      <c r="E2921" s="18" t="inlineStr">
        <is>
          <t>F1</t>
        </is>
      </c>
      <c r="F2921" s="18" t="inlineStr">
        <is>
          <t>F0098</t>
        </is>
      </c>
    </row>
    <row r="2922" ht="15.75" customHeight="1" s="108">
      <c r="A2922" s="18" t="inlineStr">
        <is>
          <t>Leigh Diffey</t>
        </is>
      </c>
      <c r="B2922" s="18" t="n">
        <v>1</v>
      </c>
      <c r="C2922" s="18" t="n">
        <v>2025</v>
      </c>
      <c r="D2922" s="18" t="n">
        <v>2025</v>
      </c>
      <c r="E2922" s="18" t="inlineStr">
        <is>
          <t>F1</t>
        </is>
      </c>
      <c r="F2922" s="18" t="inlineStr">
        <is>
          <t>F0098</t>
        </is>
      </c>
    </row>
    <row r="2923" ht="15.75" customHeight="1" s="108">
      <c r="A2923" s="18" t="inlineStr">
        <is>
          <t>Patrick Long</t>
        </is>
      </c>
      <c r="B2923" s="18" t="n">
        <v>1</v>
      </c>
      <c r="C2923" s="18" t="n">
        <v>2025</v>
      </c>
      <c r="D2923" s="18" t="n">
        <v>2025</v>
      </c>
      <c r="E2923" s="18" t="inlineStr">
        <is>
          <t>F1</t>
        </is>
      </c>
      <c r="F2923" s="18" t="inlineStr">
        <is>
          <t>F0098</t>
        </is>
      </c>
    </row>
    <row r="2924" ht="15.75" customHeight="1" s="108">
      <c r="A2924" s="18" t="inlineStr">
        <is>
          <t>Will Redmond</t>
        </is>
      </c>
      <c r="B2924" s="18" t="n">
        <v>1</v>
      </c>
      <c r="C2924" s="18" t="n">
        <v>2025</v>
      </c>
      <c r="D2924" s="18" t="n">
        <v>2025</v>
      </c>
      <c r="E2924" s="18" t="inlineStr">
        <is>
          <t>F1</t>
        </is>
      </c>
      <c r="F2924" s="18" t="inlineStr">
        <is>
          <t>F0098</t>
        </is>
      </c>
    </row>
    <row r="2925" ht="15.75" customHeight="1" s="108">
      <c r="A2925" s="18" t="inlineStr">
        <is>
          <t>Michael Aaron Milligan</t>
        </is>
      </c>
      <c r="B2925" s="18" t="n">
        <v>1</v>
      </c>
      <c r="C2925" s="18" t="n">
        <v>2025</v>
      </c>
      <c r="D2925" s="18" t="n">
        <v>2025</v>
      </c>
      <c r="E2925" s="18" t="inlineStr">
        <is>
          <t>F1</t>
        </is>
      </c>
      <c r="F2925" s="18" t="inlineStr">
        <is>
          <t>F0098</t>
        </is>
      </c>
    </row>
    <row r="2926" ht="15.75" customHeight="1" s="108">
      <c r="A2926" s="18" t="inlineStr">
        <is>
          <t>Kyle Rankin</t>
        </is>
      </c>
      <c r="B2926" s="18" t="n">
        <v>1</v>
      </c>
      <c r="C2926" s="18" t="n">
        <v>2025</v>
      </c>
      <c r="D2926" s="18" t="n">
        <v>2025</v>
      </c>
      <c r="E2926" s="18" t="inlineStr">
        <is>
          <t>F1</t>
        </is>
      </c>
      <c r="F2926" s="18" t="inlineStr">
        <is>
          <t>F0098</t>
        </is>
      </c>
    </row>
    <row r="2927" ht="15.75" customHeight="1" s="108">
      <c r="A2927" s="18" t="inlineStr">
        <is>
          <t>Rachel Walters</t>
        </is>
      </c>
      <c r="B2927" s="18" t="n">
        <v>1</v>
      </c>
      <c r="C2927" s="18" t="n">
        <v>2025</v>
      </c>
      <c r="D2927" s="18" t="n">
        <v>2025</v>
      </c>
      <c r="E2927" s="18" t="inlineStr">
        <is>
          <t>F1</t>
        </is>
      </c>
      <c r="F2927" s="18" t="inlineStr">
        <is>
          <t>F0098</t>
        </is>
      </c>
    </row>
    <row r="2928" ht="15.75" customHeight="1" s="108">
      <c r="A2928" s="18" t="inlineStr">
        <is>
          <t>Steven Sean Garland</t>
        </is>
      </c>
      <c r="B2928" s="18" t="n">
        <v>1</v>
      </c>
      <c r="C2928" s="18" t="n">
        <v>2025</v>
      </c>
      <c r="D2928" s="18" t="n">
        <v>2025</v>
      </c>
      <c r="E2928" s="18" t="inlineStr">
        <is>
          <t>F1</t>
        </is>
      </c>
      <c r="F2928" s="18" t="inlineStr">
        <is>
          <t>F0098</t>
        </is>
      </c>
    </row>
    <row r="2929" ht="15.75" customHeight="1" s="108">
      <c r="A2929" s="18" t="inlineStr">
        <is>
          <t>Stephanie Hsu</t>
        </is>
      </c>
      <c r="B2929" s="18" t="n">
        <v>1</v>
      </c>
      <c r="C2929" s="18" t="n">
        <v>2024</v>
      </c>
      <c r="D2929" s="18" t="n">
        <v>2024</v>
      </c>
      <c r="E2929" s="18" t="inlineStr">
        <is>
          <t>The Fall Guy</t>
        </is>
      </c>
      <c r="F2929" s="18" t="inlineStr">
        <is>
          <t>F0099</t>
        </is>
      </c>
    </row>
    <row r="2930" ht="15.75" customHeight="1" s="108">
      <c r="A2930" s="18" t="inlineStr">
        <is>
          <t>Winston Duke</t>
        </is>
      </c>
      <c r="B2930" s="18" t="n">
        <v>1</v>
      </c>
      <c r="C2930" s="18" t="n">
        <v>2024</v>
      </c>
      <c r="D2930" s="18" t="n">
        <v>2024</v>
      </c>
      <c r="E2930" s="18" t="inlineStr">
        <is>
          <t>The Fall Guy</t>
        </is>
      </c>
      <c r="F2930" s="18" t="inlineStr">
        <is>
          <t>F0099</t>
        </is>
      </c>
    </row>
    <row r="2931" ht="15.75" customHeight="1" s="108">
      <c r="A2931" s="18" t="inlineStr">
        <is>
          <t>Ben Knight</t>
        </is>
      </c>
      <c r="B2931" s="18" t="n">
        <v>1</v>
      </c>
      <c r="C2931" s="18" t="n">
        <v>2024</v>
      </c>
      <c r="D2931" s="18" t="n">
        <v>2024</v>
      </c>
      <c r="E2931" s="18" t="inlineStr">
        <is>
          <t>The Fall Guy</t>
        </is>
      </c>
      <c r="F2931" s="18" t="inlineStr">
        <is>
          <t>F0099</t>
        </is>
      </c>
    </row>
    <row r="2932" ht="15.75" customHeight="1" s="108">
      <c r="A2932" s="18" t="inlineStr">
        <is>
          <t>Matuse</t>
        </is>
      </c>
      <c r="B2932" s="18" t="n">
        <v>3</v>
      </c>
      <c r="C2932" s="18" t="n">
        <v>2024</v>
      </c>
      <c r="D2932" s="18" t="n">
        <v>2025</v>
      </c>
      <c r="E2932" s="18" t="inlineStr">
        <is>
          <t xml:space="preserve">The Fall Guy, furiosa, furiosa </t>
        </is>
      </c>
      <c r="F2932" s="18" t="inlineStr">
        <is>
          <t>F0099, F0370</t>
        </is>
      </c>
    </row>
    <row r="2933" ht="15.75" customHeight="1" s="108">
      <c r="A2933" s="18" t="inlineStr">
        <is>
          <t>Adam Dunn</t>
        </is>
      </c>
      <c r="B2933" s="18" t="n">
        <v>1</v>
      </c>
      <c r="C2933" s="18" t="n">
        <v>2024</v>
      </c>
      <c r="D2933" s="18" t="n">
        <v>2024</v>
      </c>
      <c r="E2933" s="18" t="inlineStr">
        <is>
          <t>The Fall Guy</t>
        </is>
      </c>
      <c r="F2933" s="18" t="inlineStr">
        <is>
          <t>F0099</t>
        </is>
      </c>
    </row>
    <row r="2934" ht="15.75" customHeight="1" s="108">
      <c r="A2934" s="18" t="inlineStr">
        <is>
          <t>Zara Michales</t>
        </is>
      </c>
      <c r="B2934" s="18" t="n">
        <v>1</v>
      </c>
      <c r="C2934" s="18" t="n">
        <v>2024</v>
      </c>
      <c r="D2934" s="18" t="n">
        <v>2024</v>
      </c>
      <c r="E2934" s="18" t="inlineStr">
        <is>
          <t>The Fall Guy</t>
        </is>
      </c>
      <c r="F2934" s="18" t="inlineStr">
        <is>
          <t>F0099</t>
        </is>
      </c>
    </row>
    <row r="2935" ht="15.75" customHeight="1" s="108">
      <c r="A2935" s="18" t="inlineStr">
        <is>
          <t>Ioane Sa'ula</t>
        </is>
      </c>
      <c r="B2935" s="18" t="n">
        <v>1</v>
      </c>
      <c r="C2935" s="18" t="n">
        <v>2024</v>
      </c>
      <c r="D2935" s="18" t="n">
        <v>2024</v>
      </c>
      <c r="E2935" s="18" t="inlineStr">
        <is>
          <t>The Fall Guy</t>
        </is>
      </c>
      <c r="F2935" s="18" t="inlineStr">
        <is>
          <t>F0099</t>
        </is>
      </c>
    </row>
    <row r="2936" ht="15.75" customHeight="1" s="108">
      <c r="A2936" s="18" t="inlineStr">
        <is>
          <t>Gregory J. Fryer</t>
        </is>
      </c>
      <c r="B2936" s="18" t="n">
        <v>1</v>
      </c>
      <c r="C2936" s="18" t="n">
        <v>2024</v>
      </c>
      <c r="D2936" s="18" t="n">
        <v>2024</v>
      </c>
      <c r="E2936" s="18" t="inlineStr">
        <is>
          <t>The Fall Guy</t>
        </is>
      </c>
      <c r="F2936" s="18" t="inlineStr">
        <is>
          <t>F0099</t>
        </is>
      </c>
    </row>
    <row r="2937" ht="15.75" customHeight="1" s="108">
      <c r="A2937" s="18" t="inlineStr">
        <is>
          <t>Madeleine Wilson</t>
        </is>
      </c>
      <c r="B2937" s="18" t="n">
        <v>1</v>
      </c>
      <c r="C2937" s="18" t="n">
        <v>2024</v>
      </c>
      <c r="D2937" s="18" t="n">
        <v>2024</v>
      </c>
      <c r="E2937" s="18" t="inlineStr">
        <is>
          <t>The Fall Guy</t>
        </is>
      </c>
      <c r="F2937" s="18" t="inlineStr">
        <is>
          <t>F0099</t>
        </is>
      </c>
    </row>
    <row r="2938" ht="15.75" customHeight="1" s="108">
      <c r="A2938" s="18" t="inlineStr">
        <is>
          <t>Kalkidan China</t>
        </is>
      </c>
      <c r="B2938" s="18" t="n">
        <v>1</v>
      </c>
      <c r="C2938" s="18" t="n">
        <v>2024</v>
      </c>
      <c r="D2938" s="18" t="n">
        <v>2024</v>
      </c>
      <c r="E2938" s="18" t="inlineStr">
        <is>
          <t>The Fall Guy</t>
        </is>
      </c>
      <c r="F2938" s="18" t="inlineStr">
        <is>
          <t>F0099</t>
        </is>
      </c>
    </row>
    <row r="2939" ht="15.75" customHeight="1" s="108">
      <c r="A2939" s="18" t="inlineStr">
        <is>
          <t>Angela Nica Sullen</t>
        </is>
      </c>
      <c r="B2939" s="18" t="n">
        <v>1</v>
      </c>
      <c r="C2939" s="18" t="n">
        <v>2024</v>
      </c>
      <c r="D2939" s="18" t="n">
        <v>2024</v>
      </c>
      <c r="E2939" s="18" t="inlineStr">
        <is>
          <t>The Fall Guy</t>
        </is>
      </c>
      <c r="F2939" s="18" t="inlineStr">
        <is>
          <t>F0099</t>
        </is>
      </c>
    </row>
    <row r="2940" ht="15.75" customHeight="1" s="108">
      <c r="A2940" s="18" t="inlineStr">
        <is>
          <t>Di Smith</t>
        </is>
      </c>
      <c r="B2940" s="18" t="n">
        <v>1</v>
      </c>
      <c r="C2940" s="18" t="n">
        <v>2024</v>
      </c>
      <c r="D2940" s="18" t="n">
        <v>2024</v>
      </c>
      <c r="E2940" s="18" t="inlineStr">
        <is>
          <t>The Fall Guy</t>
        </is>
      </c>
      <c r="F2940" s="18" t="inlineStr">
        <is>
          <t>F0099</t>
        </is>
      </c>
    </row>
    <row r="2941" ht="15.75" customHeight="1" s="108">
      <c r="A2941" s="18" t="inlineStr">
        <is>
          <t>Megan O'Connell</t>
        </is>
      </c>
      <c r="B2941" s="18" t="n">
        <v>1</v>
      </c>
      <c r="C2941" s="18" t="n">
        <v>2024</v>
      </c>
      <c r="D2941" s="18" t="n">
        <v>2024</v>
      </c>
      <c r="E2941" s="18" t="inlineStr">
        <is>
          <t>The Fall Guy</t>
        </is>
      </c>
      <c r="F2941" s="18" t="inlineStr">
        <is>
          <t>F0099</t>
        </is>
      </c>
    </row>
    <row r="2942" ht="15.75" customHeight="1" s="108">
      <c r="A2942" s="18" t="inlineStr">
        <is>
          <t>Jack Doherty</t>
        </is>
      </c>
      <c r="B2942" s="18" t="n">
        <v>1</v>
      </c>
      <c r="C2942" s="18" t="n">
        <v>2024</v>
      </c>
      <c r="D2942" s="18" t="n">
        <v>2024</v>
      </c>
      <c r="E2942" s="18" t="inlineStr">
        <is>
          <t>The Fall Guy</t>
        </is>
      </c>
      <c r="F2942" s="18" t="inlineStr">
        <is>
          <t>F0099</t>
        </is>
      </c>
    </row>
    <row r="2943" ht="15.75" customHeight="1" s="108">
      <c r="A2943" s="18" t="inlineStr">
        <is>
          <t>Tony Lynch</t>
        </is>
      </c>
      <c r="B2943" s="18" t="n">
        <v>1</v>
      </c>
      <c r="C2943" s="18" t="n">
        <v>2024</v>
      </c>
      <c r="D2943" s="18" t="n">
        <v>2024</v>
      </c>
      <c r="E2943" s="18" t="inlineStr">
        <is>
          <t>The Fall Guy</t>
        </is>
      </c>
      <c r="F2943" s="18" t="inlineStr">
        <is>
          <t>F0099</t>
        </is>
      </c>
    </row>
    <row r="2944" ht="15.75" customHeight="1" s="108">
      <c r="A2944" s="18" t="inlineStr">
        <is>
          <t>Georgia Nottage</t>
        </is>
      </c>
      <c r="B2944" s="18" t="n">
        <v>1</v>
      </c>
      <c r="C2944" s="18" t="n">
        <v>2024</v>
      </c>
      <c r="D2944" s="18" t="n">
        <v>2024</v>
      </c>
      <c r="E2944" s="18" t="inlineStr">
        <is>
          <t>The Fall Guy</t>
        </is>
      </c>
      <c r="F2944" s="18" t="inlineStr">
        <is>
          <t>F0099</t>
        </is>
      </c>
    </row>
    <row r="2945" ht="15.75" customHeight="1" s="108">
      <c r="A2945" s="18" t="inlineStr">
        <is>
          <t>David Collins</t>
        </is>
      </c>
      <c r="B2945" s="18" t="n">
        <v>3</v>
      </c>
      <c r="C2945" s="18" t="n">
        <v>2024</v>
      </c>
      <c r="D2945" s="18" t="n">
        <v>2025</v>
      </c>
      <c r="E2945" s="18" t="inlineStr">
        <is>
          <t xml:space="preserve">The Fall Guy, furiosa, furiosa </t>
        </is>
      </c>
      <c r="F2945" s="18" t="inlineStr">
        <is>
          <t>F0099, F0370</t>
        </is>
      </c>
    </row>
    <row r="2946" ht="15.75" customHeight="1" s="108">
      <c r="A2946" s="18" t="inlineStr">
        <is>
          <t>Semu Filipo</t>
        </is>
      </c>
      <c r="B2946" s="18" t="n">
        <v>1</v>
      </c>
      <c r="C2946" s="18" t="n">
        <v>2024</v>
      </c>
      <c r="D2946" s="18" t="n">
        <v>2024</v>
      </c>
      <c r="E2946" s="18" t="inlineStr">
        <is>
          <t>The Fall Guy</t>
        </is>
      </c>
      <c r="F2946" s="18" t="inlineStr">
        <is>
          <t>F0099</t>
        </is>
      </c>
    </row>
    <row r="2947" ht="15.75" customHeight="1" s="108">
      <c r="A2947" s="18" t="inlineStr">
        <is>
          <t>Andrew Owen</t>
        </is>
      </c>
      <c r="B2947" s="18" t="n">
        <v>1</v>
      </c>
      <c r="C2947" s="18" t="n">
        <v>2024</v>
      </c>
      <c r="D2947" s="18" t="n">
        <v>2024</v>
      </c>
      <c r="E2947" s="18" t="inlineStr">
        <is>
          <t>The Fall Guy</t>
        </is>
      </c>
      <c r="F2947" s="18" t="inlineStr">
        <is>
          <t>F0099</t>
        </is>
      </c>
    </row>
    <row r="2948" ht="15.75" customHeight="1" s="108">
      <c r="A2948" s="18" t="inlineStr">
        <is>
          <t>Dan Reardon</t>
        </is>
      </c>
      <c r="B2948" s="18" t="n">
        <v>1</v>
      </c>
      <c r="C2948" s="18" t="n">
        <v>2024</v>
      </c>
      <c r="D2948" s="18" t="n">
        <v>2024</v>
      </c>
      <c r="E2948" s="18" t="inlineStr">
        <is>
          <t>The Fall Guy</t>
        </is>
      </c>
      <c r="F2948" s="18" t="inlineStr">
        <is>
          <t>F0099</t>
        </is>
      </c>
    </row>
    <row r="2949" ht="15.75" customHeight="1" s="108">
      <c r="A2949" s="18" t="inlineStr">
        <is>
          <t>Marky Lee Campbell</t>
        </is>
      </c>
      <c r="B2949" s="18" t="n">
        <v>1</v>
      </c>
      <c r="C2949" s="18" t="n">
        <v>2024</v>
      </c>
      <c r="D2949" s="18" t="n">
        <v>2024</v>
      </c>
      <c r="E2949" s="18" t="inlineStr">
        <is>
          <t>The Fall Guy</t>
        </is>
      </c>
      <c r="F2949" s="18" t="inlineStr">
        <is>
          <t>F0099</t>
        </is>
      </c>
    </row>
    <row r="2950" ht="15.75" customHeight="1" s="108">
      <c r="A2950" s="18" t="inlineStr">
        <is>
          <t>Chris Matheson</t>
        </is>
      </c>
      <c r="B2950" s="18" t="n">
        <v>1</v>
      </c>
      <c r="C2950" s="18" t="n">
        <v>2024</v>
      </c>
      <c r="D2950" s="18" t="n">
        <v>2024</v>
      </c>
      <c r="E2950" s="18" t="inlineStr">
        <is>
          <t>The Fall Guy</t>
        </is>
      </c>
      <c r="F2950" s="18" t="inlineStr">
        <is>
          <t>F0099</t>
        </is>
      </c>
    </row>
    <row r="2951" ht="15.75" customHeight="1" s="108">
      <c r="A2951" s="18" t="inlineStr">
        <is>
          <t>Nathan Langworthy</t>
        </is>
      </c>
      <c r="B2951" s="18" t="n">
        <v>1</v>
      </c>
      <c r="C2951" s="18" t="n">
        <v>2024</v>
      </c>
      <c r="D2951" s="18" t="n">
        <v>2024</v>
      </c>
      <c r="E2951" s="18" t="inlineStr">
        <is>
          <t>The Fall Guy</t>
        </is>
      </c>
      <c r="F2951" s="18" t="inlineStr">
        <is>
          <t>F0099</t>
        </is>
      </c>
    </row>
    <row r="2952" ht="15.75" customHeight="1" s="108">
      <c r="A2952" s="18" t="inlineStr">
        <is>
          <t>Tim Franklin</t>
        </is>
      </c>
      <c r="B2952" s="18" t="n">
        <v>1</v>
      </c>
      <c r="C2952" s="18" t="n">
        <v>2024</v>
      </c>
      <c r="D2952" s="18" t="n">
        <v>2024</v>
      </c>
      <c r="E2952" s="18" t="inlineStr">
        <is>
          <t>The Fall Guy</t>
        </is>
      </c>
      <c r="F2952" s="18" t="inlineStr">
        <is>
          <t>F0099</t>
        </is>
      </c>
    </row>
    <row r="2953" ht="15.75" customHeight="1" s="108">
      <c r="A2953" s="18" t="inlineStr">
        <is>
          <t>Scott Johnson</t>
        </is>
      </c>
      <c r="B2953" s="18" t="n">
        <v>1</v>
      </c>
      <c r="C2953" s="18" t="n">
        <v>2024</v>
      </c>
      <c r="D2953" s="18" t="n">
        <v>2024</v>
      </c>
      <c r="E2953" s="18" t="inlineStr">
        <is>
          <t>The Fall Guy</t>
        </is>
      </c>
      <c r="F2953" s="18" t="inlineStr">
        <is>
          <t>F0099</t>
        </is>
      </c>
    </row>
    <row r="2954" ht="15.75" customHeight="1" s="108">
      <c r="A2954" s="18" t="inlineStr">
        <is>
          <t>Ezra Miller</t>
        </is>
      </c>
      <c r="B2954" s="18" t="n">
        <v>2</v>
      </c>
      <c r="C2954" s="18" t="n">
        <v>2016</v>
      </c>
      <c r="D2954" s="18" t="n">
        <v>2018</v>
      </c>
      <c r="E2954" s="18" t="inlineStr">
        <is>
          <t>Fantastic Beasts and Where to Find Them, Fantastic beasts: the crimes of grindelwald</t>
        </is>
      </c>
      <c r="F2954" s="18" t="inlineStr">
        <is>
          <t>F0100, F0360</t>
        </is>
      </c>
    </row>
    <row r="2955" ht="15.75" customHeight="1" s="108">
      <c r="A2955" s="18" t="inlineStr">
        <is>
          <t>Samantha Morton</t>
        </is>
      </c>
      <c r="B2955" s="18" t="n">
        <v>1</v>
      </c>
      <c r="C2955" s="18" t="n">
        <v>2016</v>
      </c>
      <c r="D2955" s="18" t="n">
        <v>2016</v>
      </c>
      <c r="E2955" s="18" t="inlineStr">
        <is>
          <t>Fantastic Beasts and Where to Find Them</t>
        </is>
      </c>
      <c r="F2955" s="18" t="inlineStr">
        <is>
          <t>F0100</t>
        </is>
      </c>
    </row>
    <row r="2956" ht="15.75" customHeight="1" s="108">
      <c r="A2956" s="18" t="inlineStr">
        <is>
          <t>Carmen Ejogo</t>
        </is>
      </c>
      <c r="B2956" s="18" t="n">
        <v>3</v>
      </c>
      <c r="C2956" s="18" t="n">
        <v>2016</v>
      </c>
      <c r="D2956" s="18" t="n">
        <v>2018</v>
      </c>
      <c r="E2956" s="18" t="inlineStr">
        <is>
          <t>Fantastic Beasts and Where to Find Them, Fantastic beasts: the crimes of grindelwald, alien covenant</t>
        </is>
      </c>
      <c r="F2956" s="18" t="inlineStr">
        <is>
          <t>F0100, F0360, F0361</t>
        </is>
      </c>
    </row>
    <row r="2957" ht="15.75" customHeight="1" s="108">
      <c r="A2957" s="18" t="inlineStr">
        <is>
          <t>Josh Cowdery</t>
        </is>
      </c>
      <c r="B2957" s="18" t="n">
        <v>1</v>
      </c>
      <c r="C2957" s="18" t="n">
        <v>2016</v>
      </c>
      <c r="D2957" s="18" t="n">
        <v>2016</v>
      </c>
      <c r="E2957" s="18" t="inlineStr">
        <is>
          <t>Fantastic Beasts and Where to Find Them</t>
        </is>
      </c>
      <c r="F2957" s="18" t="inlineStr">
        <is>
          <t>F0100</t>
        </is>
      </c>
    </row>
    <row r="2958" ht="15.75" customHeight="1" s="108">
      <c r="A2958" s="18" t="inlineStr">
        <is>
          <t>Ronan Raftery</t>
        </is>
      </c>
      <c r="B2958" s="18" t="n">
        <v>1</v>
      </c>
      <c r="C2958" s="18" t="n">
        <v>2016</v>
      </c>
      <c r="D2958" s="18" t="n">
        <v>2016</v>
      </c>
      <c r="E2958" s="18" t="inlineStr">
        <is>
          <t>Fantastic Beasts and Where to Find Them</t>
        </is>
      </c>
      <c r="F2958" s="18" t="inlineStr">
        <is>
          <t>F0100</t>
        </is>
      </c>
    </row>
    <row r="2959" ht="15.75" customHeight="1" s="108">
      <c r="A2959" s="18" t="inlineStr">
        <is>
          <t>Faith Wood-Blagrove</t>
        </is>
      </c>
      <c r="B2959" s="18" t="n">
        <v>1</v>
      </c>
      <c r="C2959" s="18" t="n">
        <v>2016</v>
      </c>
      <c r="D2959" s="18" t="n">
        <v>2016</v>
      </c>
      <c r="E2959" s="18" t="inlineStr">
        <is>
          <t>Fantastic Beasts and Where to Find Them</t>
        </is>
      </c>
      <c r="F2959" s="18" t="inlineStr">
        <is>
          <t>F0100</t>
        </is>
      </c>
    </row>
    <row r="2960" ht="15.75" customHeight="1" s="108">
      <c r="A2960" s="18" t="inlineStr">
        <is>
          <t>Jenn Murray</t>
        </is>
      </c>
      <c r="B2960" s="18" t="n">
        <v>1</v>
      </c>
      <c r="C2960" s="18" t="n">
        <v>2016</v>
      </c>
      <c r="D2960" s="18" t="n">
        <v>2016</v>
      </c>
      <c r="E2960" s="18" t="inlineStr">
        <is>
          <t>Fantastic Beasts and Where to Find Them</t>
        </is>
      </c>
      <c r="F2960" s="18" t="inlineStr">
        <is>
          <t>F0100</t>
        </is>
      </c>
    </row>
    <row r="2961" ht="15.75" customHeight="1" s="108">
      <c r="A2961" s="18" t="inlineStr">
        <is>
          <t>Gemma Chan</t>
        </is>
      </c>
      <c r="B2961" s="18" t="n">
        <v>2</v>
      </c>
      <c r="C2961" s="18" t="n">
        <v>2016</v>
      </c>
      <c r="D2961" s="18" t="n">
        <v>2017</v>
      </c>
      <c r="E2961" s="18" t="inlineStr">
        <is>
          <t>Fantastic Beasts and Where to Find Them, Transformers: The Last Knight</t>
        </is>
      </c>
      <c r="F2961" s="18" t="inlineStr">
        <is>
          <t>F0100, F0320</t>
        </is>
      </c>
    </row>
    <row r="2962" ht="15.75" customHeight="1" s="108">
      <c r="A2962" s="18" t="inlineStr">
        <is>
          <t>Peter Breitmayer</t>
        </is>
      </c>
      <c r="B2962" s="18" t="n">
        <v>2</v>
      </c>
      <c r="C2962" s="18" t="n">
        <v>2009</v>
      </c>
      <c r="D2962" s="18" t="n">
        <v>2016</v>
      </c>
      <c r="E2962" s="18" t="inlineStr">
        <is>
          <t>Fantastic Beasts and Where to Find Them, G.I. Joe: The Rise of Cobra</t>
        </is>
      </c>
      <c r="F2962" s="18" t="inlineStr">
        <is>
          <t>F0100, F0118</t>
        </is>
      </c>
    </row>
    <row r="2963" ht="15.75" customHeight="1" s="108">
      <c r="A2963" s="18" t="inlineStr">
        <is>
          <t>Kevin Guthrie</t>
        </is>
      </c>
      <c r="B2963" s="18" t="n">
        <v>2</v>
      </c>
      <c r="C2963" s="18" t="n">
        <v>2016</v>
      </c>
      <c r="D2963" s="18" t="n">
        <v>2018</v>
      </c>
      <c r="E2963" s="18" t="inlineStr">
        <is>
          <t>Fantastic Beasts and Where to Find Them, Fantastic beasts: the crimes of grindelwald</t>
        </is>
      </c>
      <c r="F2963" s="18" t="inlineStr">
        <is>
          <t>F0100, F0360</t>
        </is>
      </c>
    </row>
    <row r="2964" ht="15.75" customHeight="1" s="108">
      <c r="A2964" s="18" t="inlineStr">
        <is>
          <t>Sean Cronin</t>
        </is>
      </c>
      <c r="B2964" s="18" t="n">
        <v>1</v>
      </c>
      <c r="C2964" s="18" t="n">
        <v>2016</v>
      </c>
      <c r="D2964" s="18" t="n">
        <v>2016</v>
      </c>
      <c r="E2964" s="18" t="inlineStr">
        <is>
          <t>Fantastic Beasts and Where to Find Them</t>
        </is>
      </c>
      <c r="F2964" s="18" t="inlineStr">
        <is>
          <t>F0100</t>
        </is>
      </c>
    </row>
    <row r="2965" ht="15.75" customHeight="1" s="108">
      <c r="A2965" s="18" t="inlineStr">
        <is>
          <t>Sam Redford</t>
        </is>
      </c>
      <c r="B2965" s="18" t="n">
        <v>3</v>
      </c>
      <c r="C2965" s="18" t="n">
        <v>2016</v>
      </c>
      <c r="D2965" s="18" t="n">
        <v>2018</v>
      </c>
      <c r="E2965" s="18" t="inlineStr">
        <is>
          <t>Fantastic Beasts and Where to Find Them, Grimsby, Jurassic World: Fallen Kingdom</t>
        </is>
      </c>
      <c r="F2965" s="18" t="inlineStr">
        <is>
          <t>F0100, F0130, F0180</t>
        </is>
      </c>
    </row>
    <row r="2966" ht="15.75" customHeight="1" s="108">
      <c r="A2966" s="18" t="inlineStr">
        <is>
          <t>Akin Gazi</t>
        </is>
      </c>
      <c r="B2966" s="18" t="n">
        <v>1</v>
      </c>
      <c r="C2966" s="18" t="n">
        <v>2016</v>
      </c>
      <c r="D2966" s="18" t="n">
        <v>2016</v>
      </c>
      <c r="E2966" s="18" t="inlineStr">
        <is>
          <t>Fantastic Beasts and Where to Find Them</t>
        </is>
      </c>
      <c r="F2966" s="18" t="inlineStr">
        <is>
          <t>F0100</t>
        </is>
      </c>
    </row>
    <row r="2967" ht="15.75" customHeight="1" s="108">
      <c r="A2967" s="18" t="inlineStr">
        <is>
          <t>Todd Boyce</t>
        </is>
      </c>
      <c r="B2967" s="18" t="n">
        <v>1</v>
      </c>
      <c r="C2967" s="18" t="n">
        <v>2016</v>
      </c>
      <c r="D2967" s="18" t="n">
        <v>2016</v>
      </c>
      <c r="E2967" s="18" t="inlineStr">
        <is>
          <t>Fantastic Beasts and Where to Find Them</t>
        </is>
      </c>
      <c r="F2967" s="18" t="inlineStr">
        <is>
          <t>F0100</t>
        </is>
      </c>
    </row>
    <row r="2968" ht="15.75" customHeight="1" s="108">
      <c r="A2968" s="18" t="inlineStr">
        <is>
          <t>Anne Wittman</t>
        </is>
      </c>
      <c r="B2968" s="18" t="n">
        <v>1</v>
      </c>
      <c r="C2968" s="18" t="n">
        <v>2016</v>
      </c>
      <c r="D2968" s="18" t="n">
        <v>2016</v>
      </c>
      <c r="E2968" s="18" t="inlineStr">
        <is>
          <t>Fantastic Beasts and Where to Find Them</t>
        </is>
      </c>
      <c r="F2968" s="18" t="inlineStr">
        <is>
          <t>F0100</t>
        </is>
      </c>
    </row>
    <row r="2969" ht="15.75" customHeight="1" s="108">
      <c r="A2969" s="18" t="inlineStr">
        <is>
          <t>Andreea Păduraru</t>
        </is>
      </c>
      <c r="B2969" s="18" t="n">
        <v>1</v>
      </c>
      <c r="C2969" s="18" t="n">
        <v>2016</v>
      </c>
      <c r="D2969" s="18" t="n">
        <v>2016</v>
      </c>
      <c r="E2969" s="18" t="inlineStr">
        <is>
          <t>Fantastic Beasts and Where to Find Them</t>
        </is>
      </c>
      <c r="F2969" s="18" t="inlineStr">
        <is>
          <t>F0100</t>
        </is>
      </c>
    </row>
    <row r="2970" ht="15.75" customHeight="1" s="108">
      <c r="A2970" s="18" t="inlineStr">
        <is>
          <t>Matthew Sim</t>
        </is>
      </c>
      <c r="B2970" s="18" t="n">
        <v>1</v>
      </c>
      <c r="C2970" s="18" t="n">
        <v>2016</v>
      </c>
      <c r="D2970" s="18" t="n">
        <v>2016</v>
      </c>
      <c r="E2970" s="18" t="inlineStr">
        <is>
          <t>Fantastic Beasts and Where to Find Them</t>
        </is>
      </c>
      <c r="F2970" s="18" t="inlineStr">
        <is>
          <t>F0100</t>
        </is>
      </c>
    </row>
    <row r="2971" ht="15.75" customHeight="1" s="108">
      <c r="A2971" s="18" t="inlineStr">
        <is>
          <t>Elizabeth Moynihan</t>
        </is>
      </c>
      <c r="B2971" s="18" t="n">
        <v>1</v>
      </c>
      <c r="C2971" s="18" t="n">
        <v>2016</v>
      </c>
      <c r="D2971" s="18" t="n">
        <v>2016</v>
      </c>
      <c r="E2971" s="18" t="inlineStr">
        <is>
          <t>Fantastic Beasts and Where to Find Them</t>
        </is>
      </c>
      <c r="F2971" s="18" t="inlineStr">
        <is>
          <t>F0100</t>
        </is>
      </c>
    </row>
    <row r="2972" ht="15.75" customHeight="1" s="108">
      <c r="A2972" s="18" t="inlineStr">
        <is>
          <t>Adam Lazarus</t>
        </is>
      </c>
      <c r="B2972" s="18" t="n">
        <v>1</v>
      </c>
      <c r="C2972" s="18" t="n">
        <v>2016</v>
      </c>
      <c r="D2972" s="18" t="n">
        <v>2016</v>
      </c>
      <c r="E2972" s="18" t="inlineStr">
        <is>
          <t>Fantastic Beasts and Where to Find Them</t>
        </is>
      </c>
      <c r="F2972" s="18" t="inlineStr">
        <is>
          <t>F0100</t>
        </is>
      </c>
    </row>
    <row r="2973" ht="15.75" customHeight="1" s="108">
      <c r="A2973" s="18" t="inlineStr">
        <is>
          <t>Lucie Pohl</t>
        </is>
      </c>
      <c r="B2973" s="18" t="n">
        <v>1</v>
      </c>
      <c r="C2973" s="18" t="n">
        <v>2016</v>
      </c>
      <c r="D2973" s="18" t="n">
        <v>2016</v>
      </c>
      <c r="E2973" s="18" t="inlineStr">
        <is>
          <t>Fantastic Beasts and Where to Find Them</t>
        </is>
      </c>
      <c r="F2973" s="18" t="inlineStr">
        <is>
          <t>F0100</t>
        </is>
      </c>
    </row>
    <row r="2974" ht="15.75" customHeight="1" s="108">
      <c r="A2974" s="18" t="inlineStr">
        <is>
          <t>Tim Bentinck</t>
        </is>
      </c>
      <c r="B2974" s="18" t="n">
        <v>1</v>
      </c>
      <c r="C2974" s="18" t="n">
        <v>2016</v>
      </c>
      <c r="D2974" s="18" t="n">
        <v>2016</v>
      </c>
      <c r="E2974" s="18" t="inlineStr">
        <is>
          <t>Fantastic Beasts and Where to Find Them</t>
        </is>
      </c>
      <c r="F2974" s="18" t="inlineStr">
        <is>
          <t>F0100</t>
        </is>
      </c>
    </row>
    <row r="2975" ht="15.75" customHeight="1" s="108">
      <c r="A2975" s="18" t="inlineStr">
        <is>
          <t>Chad Lindberg</t>
        </is>
      </c>
      <c r="B2975" s="18" t="n">
        <v>1</v>
      </c>
      <c r="C2975" s="18" t="n">
        <v>2001</v>
      </c>
      <c r="D2975" s="18" t="n">
        <v>2001</v>
      </c>
      <c r="E2975" s="18" t="inlineStr">
        <is>
          <t>The Fast and the Furious</t>
        </is>
      </c>
      <c r="F2975" s="18" t="inlineStr">
        <is>
          <t>F0101</t>
        </is>
      </c>
    </row>
    <row r="2976" ht="15.75" customHeight="1" s="108">
      <c r="A2976" s="18" t="inlineStr">
        <is>
          <t>Matt Schulze</t>
        </is>
      </c>
      <c r="B2976" s="18" t="n">
        <v>2</v>
      </c>
      <c r="C2976" s="18" t="n">
        <v>2001</v>
      </c>
      <c r="D2976" s="18" t="n">
        <v>2011</v>
      </c>
      <c r="E2976" s="18" t="inlineStr">
        <is>
          <t>The Fast and the Furious, Fast Five</t>
        </is>
      </c>
      <c r="F2976" s="18" t="inlineStr">
        <is>
          <t>F0101, F0105</t>
        </is>
      </c>
    </row>
    <row r="2977" ht="15.75" customHeight="1" s="108">
      <c r="A2977" s="18" t="inlineStr">
        <is>
          <t>Ja Rule</t>
        </is>
      </c>
      <c r="B2977" s="18" t="n">
        <v>1</v>
      </c>
      <c r="C2977" s="18" t="n">
        <v>2001</v>
      </c>
      <c r="D2977" s="18" t="n">
        <v>2001</v>
      </c>
      <c r="E2977" s="18" t="inlineStr">
        <is>
          <t>The Fast and the Furious</t>
        </is>
      </c>
      <c r="F2977" s="18" t="inlineStr">
        <is>
          <t>F0101</t>
        </is>
      </c>
    </row>
    <row r="2978" ht="15.75" customHeight="1" s="108">
      <c r="A2978" s="18" t="inlineStr">
        <is>
          <t>Ted Levine</t>
        </is>
      </c>
      <c r="B2978" s="18" t="n">
        <v>3</v>
      </c>
      <c r="C2978" s="18" t="n">
        <v>2001</v>
      </c>
      <c r="D2978" s="18" t="n">
        <v>2018</v>
      </c>
      <c r="E2978" s="18" t="inlineStr">
        <is>
          <t>The Fast and the Furious, Jurassic World: Fallen Kingdom, Evolution</t>
        </is>
      </c>
      <c r="F2978" s="18" t="inlineStr">
        <is>
          <t>F0101, F0180, F0381</t>
        </is>
      </c>
    </row>
    <row r="2979" ht="15.75" customHeight="1" s="108">
      <c r="A2979" s="18" t="inlineStr">
        <is>
          <t>Thom Barry</t>
        </is>
      </c>
      <c r="B2979" s="18" t="n">
        <v>3</v>
      </c>
      <c r="C2979" s="18" t="n">
        <v>2001</v>
      </c>
      <c r="D2979" s="18" t="n">
        <v>2009</v>
      </c>
      <c r="E2979" s="18" t="inlineStr">
        <is>
          <t>The Fast and the Furious, 2 Fast 2 Furious, Fast &amp; Furious</t>
        </is>
      </c>
      <c r="F2979" s="18" t="inlineStr">
        <is>
          <t>F0101, F0102, F0104</t>
        </is>
      </c>
    </row>
    <row r="2980" ht="15.75" customHeight="1" s="108">
      <c r="A2980" s="18" t="inlineStr">
        <is>
          <t>Vyto Ruginis</t>
        </is>
      </c>
      <c r="B2980" s="18" t="n">
        <v>1</v>
      </c>
      <c r="C2980" s="18" t="n">
        <v>2001</v>
      </c>
      <c r="D2980" s="18" t="n">
        <v>2001</v>
      </c>
      <c r="E2980" s="18" t="inlineStr">
        <is>
          <t>The Fast and the Furious</t>
        </is>
      </c>
      <c r="F2980" s="18" t="inlineStr">
        <is>
          <t>F0101</t>
        </is>
      </c>
    </row>
    <row r="2981" ht="15.75" customHeight="1" s="108">
      <c r="A2981" s="18" t="inlineStr">
        <is>
          <t>Stanton Rutledge</t>
        </is>
      </c>
      <c r="B2981" s="18" t="n">
        <v>1</v>
      </c>
      <c r="C2981" s="18" t="n">
        <v>2001</v>
      </c>
      <c r="D2981" s="18" t="n">
        <v>2001</v>
      </c>
      <c r="E2981" s="18" t="inlineStr">
        <is>
          <t>The Fast and the Furious</t>
        </is>
      </c>
      <c r="F2981" s="18" t="inlineStr">
        <is>
          <t>F0101</t>
        </is>
      </c>
    </row>
    <row r="2982" ht="15.75" customHeight="1" s="108">
      <c r="A2982" s="18" t="inlineStr">
        <is>
          <t>R.J. de Vera</t>
        </is>
      </c>
      <c r="B2982" s="18" t="n">
        <v>1</v>
      </c>
      <c r="C2982" s="18" t="n">
        <v>2001</v>
      </c>
      <c r="D2982" s="18" t="n">
        <v>2001</v>
      </c>
      <c r="E2982" s="18" t="inlineStr">
        <is>
          <t>The Fast and the Furious</t>
        </is>
      </c>
      <c r="F2982" s="18" t="inlineStr">
        <is>
          <t>F0101</t>
        </is>
      </c>
    </row>
    <row r="2983" ht="15.75" customHeight="1" s="108">
      <c r="A2983" s="18" t="inlineStr">
        <is>
          <t>Beau Holden</t>
        </is>
      </c>
      <c r="B2983" s="18" t="n">
        <v>1</v>
      </c>
      <c r="C2983" s="18" t="n">
        <v>2001</v>
      </c>
      <c r="D2983" s="18" t="n">
        <v>2001</v>
      </c>
      <c r="E2983" s="18" t="inlineStr">
        <is>
          <t>The Fast and the Furious</t>
        </is>
      </c>
      <c r="F2983" s="18" t="inlineStr">
        <is>
          <t>F0101</t>
        </is>
      </c>
    </row>
    <row r="2984" ht="15.75" customHeight="1" s="108">
      <c r="A2984" s="18" t="inlineStr">
        <is>
          <t>David Douglas</t>
        </is>
      </c>
      <c r="B2984" s="18" t="n">
        <v>1</v>
      </c>
      <c r="C2984" s="18" t="n">
        <v>2001</v>
      </c>
      <c r="D2984" s="18" t="n">
        <v>2001</v>
      </c>
      <c r="E2984" s="18" t="inlineStr">
        <is>
          <t>The Fast and the Furious</t>
        </is>
      </c>
      <c r="F2984" s="18" t="inlineStr">
        <is>
          <t>F0101</t>
        </is>
      </c>
    </row>
    <row r="2985" ht="15.75" customHeight="1" s="108">
      <c r="A2985" s="18" t="inlineStr">
        <is>
          <t>Peter Navy Tuiasosopo</t>
        </is>
      </c>
      <c r="B2985" s="18" t="n">
        <v>1</v>
      </c>
      <c r="C2985" s="18" t="n">
        <v>2001</v>
      </c>
      <c r="D2985" s="18" t="n">
        <v>2001</v>
      </c>
      <c r="E2985" s="18" t="inlineStr">
        <is>
          <t>The Fast and the Furious</t>
        </is>
      </c>
      <c r="F2985" s="18" t="inlineStr">
        <is>
          <t>F0101</t>
        </is>
      </c>
    </row>
    <row r="2986" ht="15.75" customHeight="1" s="108">
      <c r="A2986" s="18" t="inlineStr">
        <is>
          <t>Neal H. Moritz</t>
        </is>
      </c>
      <c r="B2986" s="18" t="n">
        <v>3</v>
      </c>
      <c r="C2986" s="18" t="n">
        <v>2001</v>
      </c>
      <c r="D2986" s="18" t="n">
        <v>2009</v>
      </c>
      <c r="E2986" s="18" t="inlineStr">
        <is>
          <t>The Fast and the Furious, 2 Fast 2 Furious, Fast &amp; Furious</t>
        </is>
      </c>
      <c r="F2986" s="18" t="inlineStr">
        <is>
          <t>F0101, F0102, F0104</t>
        </is>
      </c>
    </row>
    <row r="2987" ht="15.75" customHeight="1" s="108">
      <c r="A2987" s="18" t="inlineStr">
        <is>
          <t>Doria Anselmo</t>
        </is>
      </c>
      <c r="B2987" s="18" t="n">
        <v>1</v>
      </c>
      <c r="C2987" s="18" t="n">
        <v>2001</v>
      </c>
      <c r="D2987" s="18" t="n">
        <v>2001</v>
      </c>
      <c r="E2987" s="18" t="inlineStr">
        <is>
          <t>The Fast and the Furious</t>
        </is>
      </c>
      <c r="F2987" s="18" t="inlineStr">
        <is>
          <t>F0101</t>
        </is>
      </c>
    </row>
    <row r="2988" ht="15.75" customHeight="1" s="108">
      <c r="A2988" s="18" t="inlineStr">
        <is>
          <t>Glenn K. Ota</t>
        </is>
      </c>
      <c r="B2988" s="18" t="n">
        <v>1</v>
      </c>
      <c r="C2988" s="18" t="n">
        <v>2001</v>
      </c>
      <c r="D2988" s="18" t="n">
        <v>2001</v>
      </c>
      <c r="E2988" s="18" t="inlineStr">
        <is>
          <t>The Fast and the Furious</t>
        </is>
      </c>
      <c r="F2988" s="18" t="inlineStr">
        <is>
          <t>F0101</t>
        </is>
      </c>
    </row>
    <row r="2989" ht="15.75" customHeight="1" s="108">
      <c r="A2989" s="18" t="inlineStr">
        <is>
          <t>F. Valentino Morales</t>
        </is>
      </c>
      <c r="B2989" s="18" t="n">
        <v>1</v>
      </c>
      <c r="C2989" s="18" t="n">
        <v>2001</v>
      </c>
      <c r="D2989" s="18" t="n">
        <v>2001</v>
      </c>
      <c r="E2989" s="18" t="inlineStr">
        <is>
          <t>The Fast and the Furious</t>
        </is>
      </c>
      <c r="F2989" s="18" t="inlineStr">
        <is>
          <t>F0101</t>
        </is>
      </c>
    </row>
    <row r="2990" ht="15.75" customHeight="1" s="108">
      <c r="A2990" s="18" t="inlineStr">
        <is>
          <t>Mike White</t>
        </is>
      </c>
      <c r="B2990" s="18" t="n">
        <v>1</v>
      </c>
      <c r="C2990" s="18" t="n">
        <v>2001</v>
      </c>
      <c r="D2990" s="18" t="n">
        <v>2001</v>
      </c>
      <c r="E2990" s="18" t="inlineStr">
        <is>
          <t>The Fast and the Furious</t>
        </is>
      </c>
      <c r="F2990" s="18" t="inlineStr">
        <is>
          <t>F0101</t>
        </is>
      </c>
    </row>
    <row r="2991" ht="15.75" customHeight="1" s="108">
      <c r="A2991" s="18" t="inlineStr">
        <is>
          <t>Delphine Pacific</t>
        </is>
      </c>
      <c r="B2991" s="18" t="n">
        <v>1</v>
      </c>
      <c r="C2991" s="18" t="n">
        <v>2001</v>
      </c>
      <c r="D2991" s="18" t="n">
        <v>2001</v>
      </c>
      <c r="E2991" s="18" t="inlineStr">
        <is>
          <t>The Fast and the Furious</t>
        </is>
      </c>
      <c r="F2991" s="18" t="inlineStr">
        <is>
          <t>F0101</t>
        </is>
      </c>
    </row>
    <row r="2992" ht="15.75" customHeight="1" s="108">
      <c r="A2992" s="18" t="inlineStr">
        <is>
          <t>Monica Tamayo</t>
        </is>
      </c>
      <c r="B2992" s="18" t="n">
        <v>1</v>
      </c>
      <c r="C2992" s="18" t="n">
        <v>2001</v>
      </c>
      <c r="D2992" s="18" t="n">
        <v>2001</v>
      </c>
      <c r="E2992" s="18" t="inlineStr">
        <is>
          <t>The Fast and the Furious</t>
        </is>
      </c>
      <c r="F2992" s="18" t="inlineStr">
        <is>
          <t>F0101</t>
        </is>
      </c>
    </row>
    <row r="2993" ht="15.75" customHeight="1" s="108">
      <c r="A2993" s="18" t="inlineStr">
        <is>
          <t>Megan Baker</t>
        </is>
      </c>
      <c r="B2993" s="18" t="n">
        <v>1</v>
      </c>
      <c r="C2993" s="18" t="n">
        <v>2001</v>
      </c>
      <c r="D2993" s="18" t="n">
        <v>2001</v>
      </c>
      <c r="E2993" s="18" t="inlineStr">
        <is>
          <t>The Fast and the Furious</t>
        </is>
      </c>
      <c r="F2993" s="18" t="inlineStr">
        <is>
          <t>F0101</t>
        </is>
      </c>
    </row>
    <row r="2994" ht="15.75" customHeight="1" s="108">
      <c r="A2994" s="18" t="inlineStr">
        <is>
          <t>Tammy Monica Gegamian</t>
        </is>
      </c>
      <c r="B2994" s="18" t="n">
        <v>1</v>
      </c>
      <c r="C2994" s="18" t="n">
        <v>2001</v>
      </c>
      <c r="D2994" s="18" t="n">
        <v>2001</v>
      </c>
      <c r="E2994" s="18" t="inlineStr">
        <is>
          <t>The Fast and the Furious</t>
        </is>
      </c>
      <c r="F2994" s="18" t="inlineStr">
        <is>
          <t>F0101</t>
        </is>
      </c>
    </row>
    <row r="2995" ht="15.75" customHeight="1" s="108">
      <c r="A2995" s="18" t="inlineStr">
        <is>
          <t>Rob Cohen</t>
        </is>
      </c>
      <c r="B2995" s="18" t="n">
        <v>1</v>
      </c>
      <c r="C2995" s="18" t="n">
        <v>2001</v>
      </c>
      <c r="D2995" s="18" t="n">
        <v>2001</v>
      </c>
      <c r="E2995" s="18" t="inlineStr">
        <is>
          <t>The Fast and the Furious</t>
        </is>
      </c>
      <c r="F2995" s="18" t="inlineStr">
        <is>
          <t>F0101</t>
        </is>
      </c>
    </row>
    <row r="2996" ht="15.75" customHeight="1" s="108">
      <c r="A2996" s="18" t="inlineStr">
        <is>
          <t>Devon Aoki</t>
        </is>
      </c>
      <c r="B2996" s="18" t="n">
        <v>2</v>
      </c>
      <c r="C2996" s="18" t="n">
        <v>2003</v>
      </c>
      <c r="D2996" s="18" t="n">
        <v>2009</v>
      </c>
      <c r="E2996" s="18" t="inlineStr">
        <is>
          <t>2 Fast 2 Furious, Fast &amp; Furious</t>
        </is>
      </c>
      <c r="F2996" s="18" t="inlineStr">
        <is>
          <t>F0102, F0104</t>
        </is>
      </c>
    </row>
    <row r="2997" ht="15.75" customHeight="1" s="108">
      <c r="A2997" s="18" t="inlineStr">
        <is>
          <t>Roberto Sanchez</t>
        </is>
      </c>
      <c r="B2997" s="18" t="n">
        <v>2</v>
      </c>
      <c r="C2997" s="18" t="n">
        <v>2003</v>
      </c>
      <c r="D2997" s="18" t="n">
        <v>2009</v>
      </c>
      <c r="E2997" s="18" t="inlineStr">
        <is>
          <t>2 Fast 2 Furious, Fast &amp; Furious</t>
        </is>
      </c>
      <c r="F2997" s="18" t="inlineStr">
        <is>
          <t>F0102, F0104</t>
        </is>
      </c>
    </row>
    <row r="2998" ht="15.75" customHeight="1" s="108">
      <c r="A2998" s="18" t="inlineStr">
        <is>
          <t>Mo Gallini</t>
        </is>
      </c>
      <c r="B2998" s="18" t="n">
        <v>2</v>
      </c>
      <c r="C2998" s="18" t="n">
        <v>2003</v>
      </c>
      <c r="D2998" s="18" t="n">
        <v>2009</v>
      </c>
      <c r="E2998" s="18" t="inlineStr">
        <is>
          <t>2 Fast 2 Furious, Fast &amp; Furious</t>
        </is>
      </c>
      <c r="F2998" s="18" t="inlineStr">
        <is>
          <t>F0102, F0104</t>
        </is>
      </c>
    </row>
    <row r="2999" ht="15.75" customHeight="1" s="108">
      <c r="A2999" s="18" t="inlineStr">
        <is>
          <t>Edward Finlay</t>
        </is>
      </c>
      <c r="B2999" s="18" t="n">
        <v>2</v>
      </c>
      <c r="C2999" s="18" t="n">
        <v>2003</v>
      </c>
      <c r="D2999" s="18" t="n">
        <v>2009</v>
      </c>
      <c r="E2999" s="18" t="inlineStr">
        <is>
          <t>2 Fast 2 Furious, Fast &amp; Furious</t>
        </is>
      </c>
      <c r="F2999" s="18" t="inlineStr">
        <is>
          <t>F0102, F0104</t>
        </is>
      </c>
    </row>
    <row r="3000" ht="15.75" customHeight="1" s="108">
      <c r="A3000" s="18" t="inlineStr">
        <is>
          <t>Jin Au-Yeung</t>
        </is>
      </c>
      <c r="B3000" s="18" t="n">
        <v>2</v>
      </c>
      <c r="C3000" s="18" t="n">
        <v>2003</v>
      </c>
      <c r="D3000" s="18" t="n">
        <v>2009</v>
      </c>
      <c r="E3000" s="18" t="inlineStr">
        <is>
          <t>2 Fast 2 Furious, Fast &amp; Furious</t>
        </is>
      </c>
      <c r="F3000" s="18" t="inlineStr">
        <is>
          <t>F0102, F0104</t>
        </is>
      </c>
    </row>
    <row r="3001" ht="15.75" customHeight="1" s="108">
      <c r="A3001" s="18" t="inlineStr">
        <is>
          <t>Amaury Nolasco</t>
        </is>
      </c>
      <c r="B3001" s="18" t="n">
        <v>3</v>
      </c>
      <c r="C3001" s="18" t="n">
        <v>2003</v>
      </c>
      <c r="D3001" s="18" t="n">
        <v>2009</v>
      </c>
      <c r="E3001" s="18" t="inlineStr">
        <is>
          <t>2 Fast 2 Furious, Fast &amp; Furious, Transformers</t>
        </is>
      </c>
      <c r="F3001" s="18" t="inlineStr">
        <is>
          <t>F0102, F0104, F0316</t>
        </is>
      </c>
    </row>
    <row r="3002" ht="15.75" customHeight="1" s="108">
      <c r="A3002" s="18" t="inlineStr">
        <is>
          <t>Eric Etebari</t>
        </is>
      </c>
      <c r="B3002" s="18" t="n">
        <v>2</v>
      </c>
      <c r="C3002" s="18" t="n">
        <v>2003</v>
      </c>
      <c r="D3002" s="18" t="n">
        <v>2009</v>
      </c>
      <c r="E3002" s="18" t="inlineStr">
        <is>
          <t>2 Fast 2 Furious, Fast &amp; Furious</t>
        </is>
      </c>
      <c r="F3002" s="18" t="inlineStr">
        <is>
          <t>F0102, F0104</t>
        </is>
      </c>
    </row>
    <row r="3003" ht="15.75" customHeight="1" s="108">
      <c r="A3003" s="18" t="inlineStr">
        <is>
          <t>Troy Brown</t>
        </is>
      </c>
      <c r="B3003" s="18" t="n">
        <v>2</v>
      </c>
      <c r="C3003" s="18" t="n">
        <v>2003</v>
      </c>
      <c r="D3003" s="18" t="n">
        <v>2009</v>
      </c>
      <c r="E3003" s="18" t="inlineStr">
        <is>
          <t>2 Fast 2 Furious, Fast &amp; Furious</t>
        </is>
      </c>
      <c r="F3003" s="18" t="inlineStr">
        <is>
          <t>F0102, F0104</t>
        </is>
      </c>
    </row>
    <row r="3004" ht="15.75" customHeight="1" s="108">
      <c r="A3004" s="18" t="inlineStr">
        <is>
          <t>Corey Michael Eubanks</t>
        </is>
      </c>
      <c r="B3004" s="18" t="n">
        <v>3</v>
      </c>
      <c r="C3004" s="18" t="n">
        <v>2003</v>
      </c>
      <c r="D3004" s="18" t="n">
        <v>2011</v>
      </c>
      <c r="E3004" s="18" t="inlineStr">
        <is>
          <t>2 Fast 2 Furious, Fast &amp; Furious, Fast Five</t>
        </is>
      </c>
      <c r="F3004" s="18" t="inlineStr">
        <is>
          <t>F0102, F0104, F0105</t>
        </is>
      </c>
    </row>
    <row r="3005" ht="15.75" customHeight="1" s="108">
      <c r="A3005" s="18" t="inlineStr">
        <is>
          <t>Sammy Maloof</t>
        </is>
      </c>
      <c r="B3005" s="18" t="n">
        <v>2</v>
      </c>
      <c r="C3005" s="18" t="n">
        <v>2003</v>
      </c>
      <c r="D3005" s="18" t="n">
        <v>2009</v>
      </c>
      <c r="E3005" s="18" t="inlineStr">
        <is>
          <t>2 Fast 2 Furious, Fast &amp; Furious</t>
        </is>
      </c>
      <c r="F3005" s="18" t="inlineStr">
        <is>
          <t>F0102, F0104</t>
        </is>
      </c>
    </row>
    <row r="3006" ht="15.75" customHeight="1" s="108">
      <c r="A3006" s="18" t="inlineStr">
        <is>
          <t>Troy Robinson</t>
        </is>
      </c>
      <c r="B3006" s="18" t="n">
        <v>2</v>
      </c>
      <c r="C3006" s="18" t="n">
        <v>2003</v>
      </c>
      <c r="D3006" s="18" t="n">
        <v>2009</v>
      </c>
      <c r="E3006" s="18" t="inlineStr">
        <is>
          <t>2 Fast 2 Furious, Fast &amp; Furious</t>
        </is>
      </c>
      <c r="F3006" s="18" t="inlineStr">
        <is>
          <t>F0102, F0104</t>
        </is>
      </c>
    </row>
    <row r="3007" ht="15.75" customHeight="1" s="108">
      <c r="A3007" s="18" t="inlineStr">
        <is>
          <t>Sincerely A. Ward</t>
        </is>
      </c>
      <c r="B3007" s="18" t="n">
        <v>2</v>
      </c>
      <c r="C3007" s="18" t="n">
        <v>2003</v>
      </c>
      <c r="D3007" s="18" t="n">
        <v>2009</v>
      </c>
      <c r="E3007" s="18" t="inlineStr">
        <is>
          <t>2 Fast 2 Furious, Fast &amp; Furious</t>
        </is>
      </c>
      <c r="F3007" s="18" t="inlineStr">
        <is>
          <t>F0102, F0104</t>
        </is>
      </c>
    </row>
    <row r="3008" ht="15.75" customHeight="1" s="108">
      <c r="A3008" s="18" t="inlineStr">
        <is>
          <t>Nievecita Dubuque</t>
        </is>
      </c>
      <c r="B3008" s="18" t="n">
        <v>2</v>
      </c>
      <c r="C3008" s="18" t="n">
        <v>2003</v>
      </c>
      <c r="D3008" s="18" t="n">
        <v>2009</v>
      </c>
      <c r="E3008" s="18" t="inlineStr">
        <is>
          <t>2 Fast 2 Furious, Fast &amp; Furious</t>
        </is>
      </c>
      <c r="F3008" s="18" t="inlineStr">
        <is>
          <t>F0102, F0104</t>
        </is>
      </c>
    </row>
    <row r="3009" ht="15.75" customHeight="1" s="108">
      <c r="A3009" s="18" t="inlineStr">
        <is>
          <t>Mateo Herreros</t>
        </is>
      </c>
      <c r="B3009" s="18" t="n">
        <v>2</v>
      </c>
      <c r="C3009" s="18" t="n">
        <v>2003</v>
      </c>
      <c r="D3009" s="18" t="n">
        <v>2009</v>
      </c>
      <c r="E3009" s="18" t="inlineStr">
        <is>
          <t>2 Fast 2 Furious, Fast &amp; Furious</t>
        </is>
      </c>
      <c r="F3009" s="18" t="inlineStr">
        <is>
          <t>F0102, F0104</t>
        </is>
      </c>
    </row>
    <row r="3010" ht="15.75" customHeight="1" s="108">
      <c r="A3010" s="18" t="inlineStr">
        <is>
          <t>Kerry Rossall</t>
        </is>
      </c>
      <c r="B3010" s="18" t="n">
        <v>2</v>
      </c>
      <c r="C3010" s="18" t="n">
        <v>2003</v>
      </c>
      <c r="D3010" s="18" t="n">
        <v>2009</v>
      </c>
      <c r="E3010" s="18" t="inlineStr">
        <is>
          <t>2 Fast 2 Furious, Fast &amp; Furious</t>
        </is>
      </c>
      <c r="F3010" s="18" t="inlineStr">
        <is>
          <t>F0102, F0104</t>
        </is>
      </c>
    </row>
    <row r="3011" ht="15.75" customHeight="1" s="108">
      <c r="A3011" s="18" t="inlineStr">
        <is>
          <t>Tony Bolano</t>
        </is>
      </c>
      <c r="B3011" s="18" t="n">
        <v>2</v>
      </c>
      <c r="C3011" s="18" t="n">
        <v>2003</v>
      </c>
      <c r="D3011" s="18" t="n">
        <v>2009</v>
      </c>
      <c r="E3011" s="18" t="inlineStr">
        <is>
          <t>2 Fast 2 Furious, Fast &amp; Furious</t>
        </is>
      </c>
      <c r="F3011" s="18" t="inlineStr">
        <is>
          <t>F0102, F0104</t>
        </is>
      </c>
    </row>
    <row r="3012" ht="15.75" customHeight="1" s="108">
      <c r="A3012" s="18" t="inlineStr">
        <is>
          <t>Marianne M. Arreaga</t>
        </is>
      </c>
      <c r="B3012" s="18" t="n">
        <v>2</v>
      </c>
      <c r="C3012" s="18" t="n">
        <v>2003</v>
      </c>
      <c r="D3012" s="18" t="n">
        <v>2009</v>
      </c>
      <c r="E3012" s="18" t="inlineStr">
        <is>
          <t>2 Fast 2 Furious, Fast &amp; Furious</t>
        </is>
      </c>
      <c r="F3012" s="18" t="inlineStr">
        <is>
          <t>F0102, F0104</t>
        </is>
      </c>
    </row>
    <row r="3013" ht="15.75" customHeight="1" s="108">
      <c r="A3013" s="18" t="inlineStr">
        <is>
          <t>Tara Carroll</t>
        </is>
      </c>
      <c r="B3013" s="18" t="n">
        <v>2</v>
      </c>
      <c r="C3013" s="18" t="n">
        <v>2003</v>
      </c>
      <c r="D3013" s="18" t="n">
        <v>2009</v>
      </c>
      <c r="E3013" s="18" t="inlineStr">
        <is>
          <t>2 Fast 2 Furious, Fast &amp; Furious</t>
        </is>
      </c>
      <c r="F3013" s="18" t="inlineStr">
        <is>
          <t>F0102, F0104</t>
        </is>
      </c>
    </row>
    <row r="3014" ht="15.75" customHeight="1" s="108">
      <c r="A3014" s="18" t="inlineStr">
        <is>
          <t>Leonardo Nam</t>
        </is>
      </c>
      <c r="B3014" s="18" t="n">
        <v>1</v>
      </c>
      <c r="C3014" s="18" t="n">
        <v>2006</v>
      </c>
      <c r="D3014" s="18" t="n">
        <v>2006</v>
      </c>
      <c r="E3014" s="18" t="inlineStr">
        <is>
          <t>The Fast and the Furious: Tokyo Drift</t>
        </is>
      </c>
      <c r="F3014" s="18" t="inlineStr">
        <is>
          <t>F0103</t>
        </is>
      </c>
    </row>
    <row r="3015" ht="15.75" customHeight="1" s="108">
      <c r="A3015" s="18" t="inlineStr">
        <is>
          <t>Brian Goodman</t>
        </is>
      </c>
      <c r="B3015" s="18" t="n">
        <v>1</v>
      </c>
      <c r="C3015" s="18" t="n">
        <v>2006</v>
      </c>
      <c r="D3015" s="18" t="n">
        <v>2006</v>
      </c>
      <c r="E3015" s="18" t="inlineStr">
        <is>
          <t>The Fast and the Furious: Tokyo Drift</t>
        </is>
      </c>
      <c r="F3015" s="18" t="inlineStr">
        <is>
          <t>F0103</t>
        </is>
      </c>
    </row>
    <row r="3016" ht="15.75" customHeight="1" s="108">
      <c r="A3016" s="18" t="inlineStr">
        <is>
          <t>Zachery Ty Bryan</t>
        </is>
      </c>
      <c r="B3016" s="18" t="n">
        <v>1</v>
      </c>
      <c r="C3016" s="18" t="n">
        <v>2006</v>
      </c>
      <c r="D3016" s="18" t="n">
        <v>2006</v>
      </c>
      <c r="E3016" s="18" t="inlineStr">
        <is>
          <t>The Fast and the Furious: Tokyo Drift</t>
        </is>
      </c>
      <c r="F3016" s="18" t="inlineStr">
        <is>
          <t>F0103</t>
        </is>
      </c>
    </row>
    <row r="3017" ht="15.75" customHeight="1" s="108">
      <c r="A3017" s="18" t="inlineStr">
        <is>
          <t>Nikki Griffin</t>
        </is>
      </c>
      <c r="B3017" s="18" t="n">
        <v>1</v>
      </c>
      <c r="C3017" s="18" t="n">
        <v>2006</v>
      </c>
      <c r="D3017" s="18" t="n">
        <v>2006</v>
      </c>
      <c r="E3017" s="18" t="inlineStr">
        <is>
          <t>The Fast and the Furious: Tokyo Drift</t>
        </is>
      </c>
      <c r="F3017" s="18" t="inlineStr">
        <is>
          <t>F0103</t>
        </is>
      </c>
    </row>
    <row r="3018" ht="15.75" customHeight="1" s="108">
      <c r="A3018" s="18" t="inlineStr">
        <is>
          <t>Jason Tobin</t>
        </is>
      </c>
      <c r="B3018" s="18" t="n">
        <v>1</v>
      </c>
      <c r="C3018" s="18" t="n">
        <v>2006</v>
      </c>
      <c r="D3018" s="18" t="n">
        <v>2006</v>
      </c>
      <c r="E3018" s="18" t="inlineStr">
        <is>
          <t>The Fast and the Furious: Tokyo Drift</t>
        </is>
      </c>
      <c r="F3018" s="18" t="inlineStr">
        <is>
          <t>F0103</t>
        </is>
      </c>
    </row>
    <row r="3019" ht="15.75" customHeight="1" s="108">
      <c r="A3019" s="18" t="inlineStr">
        <is>
          <t>Keiko Kitagawa</t>
        </is>
      </c>
      <c r="B3019" s="18" t="n">
        <v>1</v>
      </c>
      <c r="C3019" s="18" t="n">
        <v>2006</v>
      </c>
      <c r="D3019" s="18" t="n">
        <v>2006</v>
      </c>
      <c r="E3019" s="18" t="inlineStr">
        <is>
          <t>The Fast and the Furious: Tokyo Drift</t>
        </is>
      </c>
      <c r="F3019" s="18" t="inlineStr">
        <is>
          <t>F0103</t>
        </is>
      </c>
    </row>
    <row r="3020" ht="15.75" customHeight="1" s="108">
      <c r="A3020" s="18" t="inlineStr">
        <is>
          <t>Lynda Boyd</t>
        </is>
      </c>
      <c r="B3020" s="18" t="n">
        <v>1</v>
      </c>
      <c r="C3020" s="18" t="n">
        <v>2006</v>
      </c>
      <c r="D3020" s="18" t="n">
        <v>2006</v>
      </c>
      <c r="E3020" s="18" t="inlineStr">
        <is>
          <t>The Fast and the Furious: Tokyo Drift</t>
        </is>
      </c>
      <c r="F3020" s="18" t="inlineStr">
        <is>
          <t>F0103</t>
        </is>
      </c>
    </row>
    <row r="3021" ht="15.75" customHeight="1" s="108">
      <c r="A3021" s="18" t="inlineStr">
        <is>
          <t>Sonny Chiba</t>
        </is>
      </c>
      <c r="B3021" s="18" t="n">
        <v>1</v>
      </c>
      <c r="C3021" s="18" t="n">
        <v>2006</v>
      </c>
      <c r="D3021" s="18" t="n">
        <v>2006</v>
      </c>
      <c r="E3021" s="18" t="inlineStr">
        <is>
          <t>The Fast and the Furious: Tokyo Drift</t>
        </is>
      </c>
      <c r="F3021" s="18" t="inlineStr">
        <is>
          <t>F0103</t>
        </is>
      </c>
    </row>
    <row r="3022" ht="15.75" customHeight="1" s="108">
      <c r="A3022" s="18" t="inlineStr">
        <is>
          <t>Damien Marzette</t>
        </is>
      </c>
      <c r="B3022" s="18" t="n">
        <v>1</v>
      </c>
      <c r="C3022" s="18" t="n">
        <v>2006</v>
      </c>
      <c r="D3022" s="18" t="n">
        <v>2006</v>
      </c>
      <c r="E3022" s="18" t="inlineStr">
        <is>
          <t>The Fast and the Furious: Tokyo Drift</t>
        </is>
      </c>
      <c r="F3022" s="18" t="inlineStr">
        <is>
          <t>F0103</t>
        </is>
      </c>
    </row>
    <row r="3023" ht="15.75" customHeight="1" s="108">
      <c r="A3023" s="18" t="inlineStr">
        <is>
          <t>Trula M. Marcus</t>
        </is>
      </c>
      <c r="B3023" s="18" t="n">
        <v>2</v>
      </c>
      <c r="C3023" s="18" t="n">
        <v>2006</v>
      </c>
      <c r="D3023" s="18" t="n">
        <v>2008</v>
      </c>
      <c r="E3023" s="18" t="inlineStr">
        <is>
          <t>The Fast and the Furious: Tokyo Drift, Forgetting Sarah Marshall</t>
        </is>
      </c>
      <c r="F3023" s="18" t="inlineStr">
        <is>
          <t>F0103, F0115</t>
        </is>
      </c>
    </row>
    <row r="3024" ht="15.75" customHeight="1" s="108">
      <c r="A3024" s="18" t="inlineStr">
        <is>
          <t>Brandon Brendel</t>
        </is>
      </c>
      <c r="B3024" s="18" t="n">
        <v>1</v>
      </c>
      <c r="C3024" s="18" t="n">
        <v>2006</v>
      </c>
      <c r="D3024" s="18" t="n">
        <v>2006</v>
      </c>
      <c r="E3024" s="18" t="inlineStr">
        <is>
          <t>The Fast and the Furious: Tokyo Drift</t>
        </is>
      </c>
      <c r="F3024" s="18" t="inlineStr">
        <is>
          <t>F0103</t>
        </is>
      </c>
    </row>
    <row r="3025" ht="15.75" customHeight="1" s="108">
      <c r="A3025" s="18" t="inlineStr">
        <is>
          <t>Daniel Booko</t>
        </is>
      </c>
      <c r="B3025" s="18" t="n">
        <v>1</v>
      </c>
      <c r="C3025" s="18" t="n">
        <v>2006</v>
      </c>
      <c r="D3025" s="18" t="n">
        <v>2006</v>
      </c>
      <c r="E3025" s="18" t="inlineStr">
        <is>
          <t>The Fast and the Furious: Tokyo Drift</t>
        </is>
      </c>
      <c r="F3025" s="18" t="inlineStr">
        <is>
          <t>F0103</t>
        </is>
      </c>
    </row>
    <row r="3026" ht="15.75" customHeight="1" s="108">
      <c r="A3026" s="18" t="inlineStr">
        <is>
          <t>David V. Thomas</t>
        </is>
      </c>
      <c r="B3026" s="18" t="n">
        <v>1</v>
      </c>
      <c r="C3026" s="18" t="n">
        <v>2006</v>
      </c>
      <c r="D3026" s="18" t="n">
        <v>2006</v>
      </c>
      <c r="E3026" s="18" t="inlineStr">
        <is>
          <t>The Fast and the Furious: Tokyo Drift</t>
        </is>
      </c>
      <c r="F3026" s="18" t="inlineStr">
        <is>
          <t>F0103</t>
        </is>
      </c>
    </row>
    <row r="3027" ht="15.75" customHeight="1" s="108">
      <c r="A3027" s="18" t="inlineStr">
        <is>
          <t>Ashika Gogna</t>
        </is>
      </c>
      <c r="B3027" s="18" t="n">
        <v>1</v>
      </c>
      <c r="C3027" s="18" t="n">
        <v>2006</v>
      </c>
      <c r="D3027" s="18" t="n">
        <v>2006</v>
      </c>
      <c r="E3027" s="18" t="inlineStr">
        <is>
          <t>The Fast and the Furious: Tokyo Drift</t>
        </is>
      </c>
      <c r="F3027" s="18" t="inlineStr">
        <is>
          <t>F0103</t>
        </is>
      </c>
    </row>
    <row r="3028" ht="15.75" customHeight="1" s="108">
      <c r="A3028" s="18" t="inlineStr">
        <is>
          <t>Vincent Laresca</t>
        </is>
      </c>
      <c r="B3028" s="18" t="n">
        <v>1</v>
      </c>
      <c r="C3028" s="18" t="n">
        <v>2006</v>
      </c>
      <c r="D3028" s="18" t="n">
        <v>2006</v>
      </c>
      <c r="E3028" s="18" t="inlineStr">
        <is>
          <t>The Fast and the Furious: Tokyo Drift</t>
        </is>
      </c>
      <c r="F3028" s="18" t="inlineStr">
        <is>
          <t>F0103</t>
        </is>
      </c>
    </row>
    <row r="3029" ht="15.75" customHeight="1" s="108">
      <c r="A3029" s="18" t="inlineStr">
        <is>
          <t>Yoko Maki</t>
        </is>
      </c>
      <c r="B3029" s="18" t="n">
        <v>1</v>
      </c>
      <c r="C3029" s="18" t="n">
        <v>2006</v>
      </c>
      <c r="D3029" s="18" t="n">
        <v>2006</v>
      </c>
      <c r="E3029" s="18" t="inlineStr">
        <is>
          <t>The Fast and the Furious: Tokyo Drift</t>
        </is>
      </c>
      <c r="F3029" s="18" t="inlineStr">
        <is>
          <t>F0103</t>
        </is>
      </c>
    </row>
    <row r="3030" ht="15.75" customHeight="1" s="108">
      <c r="A3030" s="18" t="inlineStr">
        <is>
          <t>Toshi Hayama</t>
        </is>
      </c>
      <c r="B3030" s="18" t="n">
        <v>1</v>
      </c>
      <c r="C3030" s="18" t="n">
        <v>2006</v>
      </c>
      <c r="D3030" s="18" t="n">
        <v>2006</v>
      </c>
      <c r="E3030" s="18" t="inlineStr">
        <is>
          <t>The Fast and the Furious: Tokyo Drift</t>
        </is>
      </c>
      <c r="F3030" s="18" t="inlineStr">
        <is>
          <t>F0103</t>
        </is>
      </c>
    </row>
    <row r="3031" ht="15.75" customHeight="1" s="108">
      <c r="A3031" s="18" t="inlineStr">
        <is>
          <t>Atley Siauw</t>
        </is>
      </c>
      <c r="B3031" s="18" t="n">
        <v>1</v>
      </c>
      <c r="C3031" s="18" t="n">
        <v>2006</v>
      </c>
      <c r="D3031" s="18" t="n">
        <v>2006</v>
      </c>
      <c r="E3031" s="18" t="inlineStr">
        <is>
          <t>The Fast and the Furious: Tokyo Drift</t>
        </is>
      </c>
      <c r="F3031" s="18" t="inlineStr">
        <is>
          <t>F0103</t>
        </is>
      </c>
    </row>
    <row r="3032" ht="15.75" customHeight="1" s="108">
      <c r="A3032" s="18" t="inlineStr">
        <is>
          <t>Kaila Yu</t>
        </is>
      </c>
      <c r="B3032" s="18" t="n">
        <v>1</v>
      </c>
      <c r="C3032" s="18" t="n">
        <v>2006</v>
      </c>
      <c r="D3032" s="18" t="n">
        <v>2006</v>
      </c>
      <c r="E3032" s="18" t="inlineStr">
        <is>
          <t>The Fast and the Furious: Tokyo Drift</t>
        </is>
      </c>
      <c r="F3032" s="18" t="inlineStr">
        <is>
          <t>F0103</t>
        </is>
      </c>
    </row>
    <row r="3033" ht="15.75" customHeight="1" s="108">
      <c r="A3033" s="18" t="inlineStr">
        <is>
          <t>Aiko Tanaka</t>
        </is>
      </c>
      <c r="B3033" s="18" t="n">
        <v>1</v>
      </c>
      <c r="C3033" s="18" t="n">
        <v>2006</v>
      </c>
      <c r="D3033" s="18" t="n">
        <v>2006</v>
      </c>
      <c r="E3033" s="18" t="inlineStr">
        <is>
          <t>The Fast and the Furious: Tokyo Drift</t>
        </is>
      </c>
      <c r="F3033" s="18" t="inlineStr">
        <is>
          <t>F0103</t>
        </is>
      </c>
    </row>
    <row r="3034" ht="15.75" customHeight="1" s="108">
      <c r="A3034" s="18" t="inlineStr">
        <is>
          <t>Satoshi Tsumabuki</t>
        </is>
      </c>
      <c r="B3034" s="18" t="n">
        <v>1</v>
      </c>
      <c r="C3034" s="18" t="n">
        <v>2006</v>
      </c>
      <c r="D3034" s="18" t="n">
        <v>2006</v>
      </c>
      <c r="E3034" s="18" t="inlineStr">
        <is>
          <t>The Fast and the Furious: Tokyo Drift</t>
        </is>
      </c>
      <c r="F3034" s="18" t="inlineStr">
        <is>
          <t>F0103</t>
        </is>
      </c>
    </row>
    <row r="3035" ht="15.75" customHeight="1" s="108">
      <c r="A3035" s="18" t="inlineStr">
        <is>
          <t>Alden Ray</t>
        </is>
      </c>
      <c r="B3035" s="18" t="n">
        <v>1</v>
      </c>
      <c r="C3035" s="18" t="n">
        <v>2006</v>
      </c>
      <c r="D3035" s="18" t="n">
        <v>2006</v>
      </c>
      <c r="E3035" s="18" t="inlineStr">
        <is>
          <t>The Fast and the Furious: Tokyo Drift</t>
        </is>
      </c>
      <c r="F3035" s="18" t="inlineStr">
        <is>
          <t>F0103</t>
        </is>
      </c>
    </row>
    <row r="3036" ht="15.75" customHeight="1" s="108">
      <c r="A3036" s="18" t="inlineStr">
        <is>
          <t>Konishiki</t>
        </is>
      </c>
      <c r="B3036" s="18" t="n">
        <v>1</v>
      </c>
      <c r="C3036" s="18" t="n">
        <v>2006</v>
      </c>
      <c r="D3036" s="18" t="n">
        <v>2006</v>
      </c>
      <c r="E3036" s="18" t="inlineStr">
        <is>
          <t>The Fast and the Furious: Tokyo Drift</t>
        </is>
      </c>
      <c r="F3036" s="18" t="inlineStr">
        <is>
          <t>F0103</t>
        </is>
      </c>
    </row>
    <row r="3037" ht="15.75" customHeight="1" s="108">
      <c r="A3037" s="18" t="inlineStr">
        <is>
          <t>Caroline de Souza Correa</t>
        </is>
      </c>
      <c r="B3037" s="18" t="n">
        <v>1</v>
      </c>
      <c r="C3037" s="18" t="n">
        <v>2006</v>
      </c>
      <c r="D3037" s="18" t="n">
        <v>2006</v>
      </c>
      <c r="E3037" s="18" t="inlineStr">
        <is>
          <t>The Fast and the Furious: Tokyo Drift</t>
        </is>
      </c>
      <c r="F3037" s="18" t="inlineStr">
        <is>
          <t>F0103</t>
        </is>
      </c>
    </row>
    <row r="3038" ht="15.75" customHeight="1" s="108">
      <c r="A3038" s="18" t="inlineStr">
        <is>
          <t>Tego Calderon</t>
        </is>
      </c>
      <c r="B3038" s="18" t="n">
        <v>3</v>
      </c>
      <c r="C3038" s="18" t="n">
        <v>2009</v>
      </c>
      <c r="D3038" s="18" t="n">
        <v>2017</v>
      </c>
      <c r="E3038" s="18" t="inlineStr">
        <is>
          <t>Fast Five, The Fate of the Furious, Fast &amp; Furious</t>
        </is>
      </c>
      <c r="F3038" s="18" t="inlineStr">
        <is>
          <t>F0105, F0108, F0104</t>
        </is>
      </c>
    </row>
    <row r="3039" ht="15.75" customHeight="1" s="108">
      <c r="A3039" s="18" t="inlineStr">
        <is>
          <t>Don Omar</t>
        </is>
      </c>
      <c r="B3039" s="18" t="n">
        <v>4</v>
      </c>
      <c r="C3039" s="18" t="n">
        <v>2009</v>
      </c>
      <c r="D3039" s="18" t="n">
        <v>2021</v>
      </c>
      <c r="E3039" s="18" t="inlineStr">
        <is>
          <t>Fast Five, The Fate of the Furious, F9: The Fast Saga, Fast &amp; Furious</t>
        </is>
      </c>
      <c r="F3039" s="18" t="inlineStr">
        <is>
          <t>F0105, F0108, F0109, F0104</t>
        </is>
      </c>
    </row>
    <row r="3040" ht="15.75" customHeight="1" s="108">
      <c r="A3040" s="18" t="inlineStr">
        <is>
          <t>Joaquim de Almeida</t>
        </is>
      </c>
      <c r="B3040" s="18" t="n">
        <v>3</v>
      </c>
      <c r="C3040" s="18" t="n">
        <v>2011</v>
      </c>
      <c r="D3040" s="18" t="n">
        <v>2023</v>
      </c>
      <c r="E3040" s="18" t="inlineStr">
        <is>
          <t>Fast Five, Fast X, The Hitman's Bodyguard</t>
        </is>
      </c>
      <c r="F3040" s="18" t="inlineStr">
        <is>
          <t>F0105, F0110, F0149</t>
        </is>
      </c>
    </row>
    <row r="3041" ht="15.75" customHeight="1" s="108">
      <c r="A3041" s="18" t="inlineStr">
        <is>
          <t>Elsa Pataky</t>
        </is>
      </c>
      <c r="B3041" s="18" t="n">
        <v>6</v>
      </c>
      <c r="C3041" s="18" t="n">
        <v>2011</v>
      </c>
      <c r="D3041" s="18" t="n">
        <v>2025</v>
      </c>
      <c r="E3041" s="18" t="inlineStr">
        <is>
          <t xml:space="preserve">Fast Five, Fast &amp; Furious 6, Furious 7, The Fate of the Furious, furiosa, furiosa </t>
        </is>
      </c>
      <c r="F3041" s="18" t="inlineStr">
        <is>
          <t>F0105, F0106, F0107, F0108, F0370</t>
        </is>
      </c>
    </row>
    <row r="3042" ht="15.75" customHeight="1" s="108">
      <c r="A3042" s="18" t="inlineStr">
        <is>
          <t>Michael Irby</t>
        </is>
      </c>
      <c r="B3042" s="18" t="n">
        <v>3</v>
      </c>
      <c r="C3042" s="18" t="n">
        <v>2009</v>
      </c>
      <c r="D3042" s="18" t="n">
        <v>2023</v>
      </c>
      <c r="E3042" s="18" t="inlineStr">
        <is>
          <t>Fast Five, Fast X, Law Abiding Citizen</t>
        </is>
      </c>
      <c r="F3042" s="18" t="inlineStr">
        <is>
          <t>F0105, F0110, F0191</t>
        </is>
      </c>
    </row>
    <row r="3043" ht="15.75" customHeight="1" s="108">
      <c r="A3043" s="18" t="inlineStr">
        <is>
          <t>Alimi Ballard</t>
        </is>
      </c>
      <c r="B3043" s="18" t="n">
        <v>1</v>
      </c>
      <c r="C3043" s="18" t="n">
        <v>2011</v>
      </c>
      <c r="D3043" s="18" t="n">
        <v>2011</v>
      </c>
      <c r="E3043" s="18" t="inlineStr">
        <is>
          <t>Fast Five</t>
        </is>
      </c>
      <c r="F3043" s="18" t="inlineStr">
        <is>
          <t>F0105</t>
        </is>
      </c>
    </row>
    <row r="3044" ht="15.75" customHeight="1" s="108">
      <c r="A3044" s="18" t="inlineStr">
        <is>
          <t>Geoff Meed</t>
        </is>
      </c>
      <c r="B3044" s="18" t="n">
        <v>1</v>
      </c>
      <c r="C3044" s="18" t="n">
        <v>2011</v>
      </c>
      <c r="D3044" s="18" t="n">
        <v>2011</v>
      </c>
      <c r="E3044" s="18" t="inlineStr">
        <is>
          <t>Fast Five</t>
        </is>
      </c>
      <c r="F3044" s="18" t="inlineStr">
        <is>
          <t>F0105</t>
        </is>
      </c>
    </row>
    <row r="3045" ht="15.75" customHeight="1" s="108">
      <c r="A3045" s="18" t="inlineStr">
        <is>
          <t>Joseph Melendez</t>
        </is>
      </c>
      <c r="B3045" s="18" t="n">
        <v>1</v>
      </c>
      <c r="C3045" s="18" t="n">
        <v>2011</v>
      </c>
      <c r="D3045" s="18" t="n">
        <v>2011</v>
      </c>
      <c r="E3045" s="18" t="inlineStr">
        <is>
          <t>Fast Five</t>
        </is>
      </c>
      <c r="F3045" s="18" t="inlineStr">
        <is>
          <t>F0105</t>
        </is>
      </c>
    </row>
    <row r="3046" ht="15.75" customHeight="1" s="108">
      <c r="A3046" s="18" t="inlineStr">
        <is>
          <t>Jeirmarie Osorio</t>
        </is>
      </c>
      <c r="B3046" s="18" t="n">
        <v>1</v>
      </c>
      <c r="C3046" s="18" t="n">
        <v>2011</v>
      </c>
      <c r="D3046" s="18" t="n">
        <v>2011</v>
      </c>
      <c r="E3046" s="18" t="inlineStr">
        <is>
          <t>Fast Five</t>
        </is>
      </c>
      <c r="F3046" s="18" t="inlineStr">
        <is>
          <t>F0105</t>
        </is>
      </c>
    </row>
    <row r="3047" ht="15.75" customHeight="1" s="108">
      <c r="A3047" s="18" t="inlineStr">
        <is>
          <t>Mark Hicks</t>
        </is>
      </c>
      <c r="B3047" s="18" t="n">
        <v>1</v>
      </c>
      <c r="C3047" s="18" t="n">
        <v>2011</v>
      </c>
      <c r="D3047" s="18" t="n">
        <v>2011</v>
      </c>
      <c r="E3047" s="18" t="inlineStr">
        <is>
          <t>Fast Five</t>
        </is>
      </c>
      <c r="F3047" s="18" t="inlineStr">
        <is>
          <t>F0105</t>
        </is>
      </c>
    </row>
    <row r="3048" ht="15.75" customHeight="1" s="108">
      <c r="A3048" s="18" t="inlineStr">
        <is>
          <t>Esteban Cueto</t>
        </is>
      </c>
      <c r="B3048" s="18" t="n">
        <v>1</v>
      </c>
      <c r="C3048" s="18" t="n">
        <v>2011</v>
      </c>
      <c r="D3048" s="18" t="n">
        <v>2011</v>
      </c>
      <c r="E3048" s="18" t="inlineStr">
        <is>
          <t>Fast Five</t>
        </is>
      </c>
      <c r="F3048" s="18" t="inlineStr">
        <is>
          <t>F0105</t>
        </is>
      </c>
    </row>
    <row r="3049" ht="15.75" customHeight="1" s="108">
      <c r="A3049" s="18" t="inlineStr">
        <is>
          <t>Luis Da Silva, Jr.</t>
        </is>
      </c>
      <c r="B3049" s="18" t="n">
        <v>2</v>
      </c>
      <c r="C3049" s="18" t="n">
        <v>2011</v>
      </c>
      <c r="D3049" s="18" t="n">
        <v>2023</v>
      </c>
      <c r="E3049" s="18" t="inlineStr">
        <is>
          <t>Fast Five, Fast X</t>
        </is>
      </c>
      <c r="F3049" s="18" t="inlineStr">
        <is>
          <t>F0105, F0110</t>
        </is>
      </c>
    </row>
    <row r="3050" ht="15.75" customHeight="1" s="108">
      <c r="A3050" s="18" t="inlineStr">
        <is>
          <t>Luis Gonzaga</t>
        </is>
      </c>
      <c r="B3050" s="18" t="n">
        <v>1</v>
      </c>
      <c r="C3050" s="18" t="n">
        <v>2011</v>
      </c>
      <c r="D3050" s="18" t="n">
        <v>2011</v>
      </c>
      <c r="E3050" s="18" t="inlineStr">
        <is>
          <t>Fast Five</t>
        </is>
      </c>
      <c r="F3050" s="18" t="inlineStr">
        <is>
          <t>F0105</t>
        </is>
      </c>
    </row>
    <row r="3051" ht="15.75" customHeight="1" s="108">
      <c r="A3051" s="18" t="inlineStr">
        <is>
          <t>Carlos Sanchez</t>
        </is>
      </c>
      <c r="B3051" s="18" t="n">
        <v>1</v>
      </c>
      <c r="C3051" s="18" t="n">
        <v>2011</v>
      </c>
      <c r="D3051" s="18" t="n">
        <v>2011</v>
      </c>
      <c r="E3051" s="18" t="inlineStr">
        <is>
          <t>Fast Five</t>
        </is>
      </c>
      <c r="F3051" s="18" t="inlineStr">
        <is>
          <t>F0105</t>
        </is>
      </c>
    </row>
    <row r="3052" ht="15.75" customHeight="1" s="108">
      <c r="A3052" s="18" t="inlineStr">
        <is>
          <t>Benjamin Blankenship</t>
        </is>
      </c>
      <c r="B3052" s="18" t="n">
        <v>1</v>
      </c>
      <c r="C3052" s="18" t="n">
        <v>2011</v>
      </c>
      <c r="D3052" s="18" t="n">
        <v>2011</v>
      </c>
      <c r="E3052" s="18" t="inlineStr">
        <is>
          <t>Fast Five</t>
        </is>
      </c>
      <c r="F3052" s="18" t="inlineStr">
        <is>
          <t>F0105</t>
        </is>
      </c>
    </row>
    <row r="3053" ht="15.75" customHeight="1" s="108">
      <c r="A3053" s="18" t="inlineStr">
        <is>
          <t>Pedro García</t>
        </is>
      </c>
      <c r="B3053" s="18" t="n">
        <v>1</v>
      </c>
      <c r="C3053" s="18" t="n">
        <v>2011</v>
      </c>
      <c r="D3053" s="18" t="n">
        <v>2011</v>
      </c>
      <c r="E3053" s="18" t="inlineStr">
        <is>
          <t>Fast Five</t>
        </is>
      </c>
      <c r="F3053" s="18" t="inlineStr">
        <is>
          <t>F0105</t>
        </is>
      </c>
    </row>
    <row r="3054" ht="15.75" customHeight="1" s="108">
      <c r="A3054" s="18" t="inlineStr">
        <is>
          <t>Jay Jackson</t>
        </is>
      </c>
      <c r="B3054" s="18" t="n">
        <v>1</v>
      </c>
      <c r="C3054" s="18" t="n">
        <v>2011</v>
      </c>
      <c r="D3054" s="18" t="n">
        <v>2011</v>
      </c>
      <c r="E3054" s="18" t="inlineStr">
        <is>
          <t>Fast Five</t>
        </is>
      </c>
      <c r="F3054" s="18" t="inlineStr">
        <is>
          <t>F0105</t>
        </is>
      </c>
    </row>
    <row r="3055" ht="15.75" customHeight="1" s="108">
      <c r="A3055" s="18" t="inlineStr">
        <is>
          <t>Arlene Santana</t>
        </is>
      </c>
      <c r="B3055" s="18" t="n">
        <v>1</v>
      </c>
      <c r="C3055" s="18" t="n">
        <v>2011</v>
      </c>
      <c r="D3055" s="18" t="n">
        <v>2011</v>
      </c>
      <c r="E3055" s="18" t="inlineStr">
        <is>
          <t>Fast Five</t>
        </is>
      </c>
      <c r="F3055" s="18" t="inlineStr">
        <is>
          <t>F0105</t>
        </is>
      </c>
    </row>
    <row r="3056" ht="15.75" customHeight="1" s="108">
      <c r="A3056" s="18" t="inlineStr">
        <is>
          <t>Clara Paget</t>
        </is>
      </c>
      <c r="B3056" s="18" t="n">
        <v>1</v>
      </c>
      <c r="C3056" s="18" t="n">
        <v>2013</v>
      </c>
      <c r="D3056" s="18" t="n">
        <v>2013</v>
      </c>
      <c r="E3056" s="18" t="inlineStr">
        <is>
          <t>Fast &amp; Furious 6</t>
        </is>
      </c>
      <c r="F3056" s="18" t="inlineStr">
        <is>
          <t>F0106</t>
        </is>
      </c>
    </row>
    <row r="3057" ht="15.75" customHeight="1" s="108">
      <c r="A3057" s="18" t="inlineStr">
        <is>
          <t>Kim Kold</t>
        </is>
      </c>
      <c r="B3057" s="18" t="n">
        <v>1</v>
      </c>
      <c r="C3057" s="18" t="n">
        <v>2013</v>
      </c>
      <c r="D3057" s="18" t="n">
        <v>2013</v>
      </c>
      <c r="E3057" s="18" t="inlineStr">
        <is>
          <t>Fast &amp; Furious 6</t>
        </is>
      </c>
      <c r="F3057" s="18" t="inlineStr">
        <is>
          <t>F0106</t>
        </is>
      </c>
    </row>
    <row r="3058" ht="15.75" customHeight="1" s="108">
      <c r="A3058" s="18" t="inlineStr">
        <is>
          <t>Joe Taslim</t>
        </is>
      </c>
      <c r="B3058" s="18" t="n">
        <v>1</v>
      </c>
      <c r="C3058" s="18" t="n">
        <v>2013</v>
      </c>
      <c r="D3058" s="18" t="n">
        <v>2013</v>
      </c>
      <c r="E3058" s="18" t="inlineStr">
        <is>
          <t>Fast &amp; Furious 6</t>
        </is>
      </c>
      <c r="F3058" s="18" t="inlineStr">
        <is>
          <t>F0106</t>
        </is>
      </c>
    </row>
    <row r="3059" ht="15.75" customHeight="1" s="108">
      <c r="A3059" s="18" t="inlineStr">
        <is>
          <t>Samuel M. Stewart</t>
        </is>
      </c>
      <c r="B3059" s="18" t="n">
        <v>1</v>
      </c>
      <c r="C3059" s="18" t="n">
        <v>2013</v>
      </c>
      <c r="D3059" s="18" t="n">
        <v>2013</v>
      </c>
      <c r="E3059" s="18" t="inlineStr">
        <is>
          <t>Fast &amp; Furious 6</t>
        </is>
      </c>
      <c r="F3059" s="18" t="inlineStr">
        <is>
          <t>F0106</t>
        </is>
      </c>
    </row>
    <row r="3060" ht="15.75" customHeight="1" s="108">
      <c r="A3060" s="18" t="inlineStr">
        <is>
          <t>Benjamin Davies</t>
        </is>
      </c>
      <c r="B3060" s="18" t="n">
        <v>1</v>
      </c>
      <c r="C3060" s="18" t="n">
        <v>2013</v>
      </c>
      <c r="D3060" s="18" t="n">
        <v>2013</v>
      </c>
      <c r="E3060" s="18" t="inlineStr">
        <is>
          <t>Fast &amp; Furious 6</t>
        </is>
      </c>
      <c r="F3060" s="18" t="inlineStr">
        <is>
          <t>F0106</t>
        </is>
      </c>
    </row>
    <row r="3061" ht="15.75" customHeight="1" s="108">
      <c r="A3061" s="18" t="inlineStr">
        <is>
          <t>Matthew Stirling</t>
        </is>
      </c>
      <c r="B3061" s="18" t="n">
        <v>1</v>
      </c>
      <c r="C3061" s="18" t="n">
        <v>2013</v>
      </c>
      <c r="D3061" s="18" t="n">
        <v>2013</v>
      </c>
      <c r="E3061" s="18" t="inlineStr">
        <is>
          <t>Fast &amp; Furious 6</t>
        </is>
      </c>
      <c r="F3061" s="18" t="inlineStr">
        <is>
          <t>F0106</t>
        </is>
      </c>
    </row>
    <row r="3062" ht="15.75" customHeight="1" s="108">
      <c r="A3062" s="18" t="inlineStr">
        <is>
          <t>David Ajala</t>
        </is>
      </c>
      <c r="B3062" s="18" t="n">
        <v>1</v>
      </c>
      <c r="C3062" s="18" t="n">
        <v>2013</v>
      </c>
      <c r="D3062" s="18" t="n">
        <v>2013</v>
      </c>
      <c r="E3062" s="18" t="inlineStr">
        <is>
          <t>Fast &amp; Furious 6</t>
        </is>
      </c>
      <c r="F3062" s="18" t="inlineStr">
        <is>
          <t>F0106</t>
        </is>
      </c>
    </row>
    <row r="3063" ht="15.75" customHeight="1" s="108">
      <c r="A3063" s="18" t="inlineStr">
        <is>
          <t>Andrei Zayats</t>
        </is>
      </c>
      <c r="B3063" s="18" t="n">
        <v>2</v>
      </c>
      <c r="C3063" s="18" t="n">
        <v>2011</v>
      </c>
      <c r="D3063" s="18" t="n">
        <v>2013</v>
      </c>
      <c r="E3063" s="18" t="inlineStr">
        <is>
          <t>Fast &amp; Furious 6, X-Men: First Class</t>
        </is>
      </c>
      <c r="F3063" s="18" t="inlineStr">
        <is>
          <t>F0106, F0340</t>
        </is>
      </c>
    </row>
    <row r="3064" ht="15.75" customHeight="1" s="108">
      <c r="A3064" s="18" t="inlineStr">
        <is>
          <t>Jason Thorpe</t>
        </is>
      </c>
      <c r="B3064" s="18" t="n">
        <v>1</v>
      </c>
      <c r="C3064" s="18" t="n">
        <v>2013</v>
      </c>
      <c r="D3064" s="18" t="n">
        <v>2013</v>
      </c>
      <c r="E3064" s="18" t="inlineStr">
        <is>
          <t>Fast &amp; Furious 6</t>
        </is>
      </c>
      <c r="F3064" s="18" t="inlineStr">
        <is>
          <t>F0106</t>
        </is>
      </c>
    </row>
    <row r="3065" ht="15.75" customHeight="1" s="108">
      <c r="A3065" s="18" t="inlineStr">
        <is>
          <t>Alexander Vegh</t>
        </is>
      </c>
      <c r="B3065" s="18" t="n">
        <v>1</v>
      </c>
      <c r="C3065" s="18" t="n">
        <v>2013</v>
      </c>
      <c r="D3065" s="18" t="n">
        <v>2013</v>
      </c>
      <c r="E3065" s="18" t="inlineStr">
        <is>
          <t>Fast &amp; Furious 6</t>
        </is>
      </c>
      <c r="F3065" s="18" t="inlineStr">
        <is>
          <t>F0106</t>
        </is>
      </c>
    </row>
    <row r="3066" ht="15.75" customHeight="1" s="108">
      <c r="A3066" s="18" t="inlineStr">
        <is>
          <t>Stephen Marcus</t>
        </is>
      </c>
      <c r="B3066" s="18" t="n">
        <v>1</v>
      </c>
      <c r="C3066" s="18" t="n">
        <v>2013</v>
      </c>
      <c r="D3066" s="18" t="n">
        <v>2013</v>
      </c>
      <c r="E3066" s="18" t="inlineStr">
        <is>
          <t>Fast &amp; Furious 6</t>
        </is>
      </c>
      <c r="F3066" s="18" t="inlineStr">
        <is>
          <t>F0106</t>
        </is>
      </c>
    </row>
    <row r="3067" ht="15.75" customHeight="1" s="108">
      <c r="A3067" s="18" t="inlineStr">
        <is>
          <t>Magda Rodriguez</t>
        </is>
      </c>
      <c r="B3067" s="18" t="n">
        <v>1</v>
      </c>
      <c r="C3067" s="18" t="n">
        <v>2013</v>
      </c>
      <c r="D3067" s="18" t="n">
        <v>2013</v>
      </c>
      <c r="E3067" s="18" t="inlineStr">
        <is>
          <t>Fast &amp; Furious 6</t>
        </is>
      </c>
      <c r="F3067" s="18" t="inlineStr">
        <is>
          <t>F0106</t>
        </is>
      </c>
    </row>
    <row r="3068" ht="15.75" customHeight="1" s="108">
      <c r="A3068" s="18" t="inlineStr">
        <is>
          <t>Andy Pointon</t>
        </is>
      </c>
      <c r="B3068" s="18" t="n">
        <v>1</v>
      </c>
      <c r="C3068" s="18" t="n">
        <v>2013</v>
      </c>
      <c r="D3068" s="18" t="n">
        <v>2013</v>
      </c>
      <c r="E3068" s="18" t="inlineStr">
        <is>
          <t>Fast &amp; Furious 6</t>
        </is>
      </c>
      <c r="F3068" s="18" t="inlineStr">
        <is>
          <t>F0106</t>
        </is>
      </c>
    </row>
    <row r="3069" ht="15.75" customHeight="1" s="108">
      <c r="A3069" s="18" t="inlineStr">
        <is>
          <t>Victor Gardener</t>
        </is>
      </c>
      <c r="B3069" s="18" t="n">
        <v>2</v>
      </c>
      <c r="C3069" s="18" t="n">
        <v>2013</v>
      </c>
      <c r="D3069" s="18" t="n">
        <v>2018</v>
      </c>
      <c r="E3069" s="18" t="inlineStr">
        <is>
          <t>Fast &amp; Furious 6, Jurassic World: Fallen Kingdom</t>
        </is>
      </c>
      <c r="F3069" s="18" t="inlineStr">
        <is>
          <t>F0106, F0180</t>
        </is>
      </c>
    </row>
    <row r="3070" ht="15.75" customHeight="1" s="108">
      <c r="A3070" s="18" t="inlineStr">
        <is>
          <t>Sol de la Barreda</t>
        </is>
      </c>
      <c r="B3070" s="18" t="n">
        <v>1</v>
      </c>
      <c r="C3070" s="18" t="n">
        <v>2013</v>
      </c>
      <c r="D3070" s="18" t="n">
        <v>2013</v>
      </c>
      <c r="E3070" s="18" t="inlineStr">
        <is>
          <t>Fast &amp; Furious 6</t>
        </is>
      </c>
      <c r="F3070" s="18" t="inlineStr">
        <is>
          <t>F0106</t>
        </is>
      </c>
    </row>
    <row r="3071" ht="15.75" customHeight="1" s="108">
      <c r="A3071" s="18" t="inlineStr">
        <is>
          <t>Kurt Russell</t>
        </is>
      </c>
      <c r="B3071" s="18" t="n">
        <v>3</v>
      </c>
      <c r="C3071" s="18" t="n">
        <v>2015</v>
      </c>
      <c r="D3071" s="18" t="n">
        <v>2021</v>
      </c>
      <c r="E3071" s="18" t="inlineStr">
        <is>
          <t>Furious 7, The Fate of the Furious, F9: The Fast Saga</t>
        </is>
      </c>
      <c r="F3071" s="18" t="inlineStr">
        <is>
          <t>F0107, F0108, F0109</t>
        </is>
      </c>
    </row>
    <row r="3072" ht="15.75" customHeight="1" s="108">
      <c r="A3072" s="18" t="inlineStr">
        <is>
          <t>Nathalie Emmanuel</t>
        </is>
      </c>
      <c r="B3072" s="18" t="n">
        <v>4</v>
      </c>
      <c r="C3072" s="18" t="n">
        <v>2015</v>
      </c>
      <c r="D3072" s="18" t="n">
        <v>2023</v>
      </c>
      <c r="E3072" s="18" t="inlineStr">
        <is>
          <t>Furious 7, The Fate of the Furious, F9: The Fast Saga, Fast X</t>
        </is>
      </c>
      <c r="F3072" s="18" t="inlineStr">
        <is>
          <t>F0107, F0108, F0109, F0110</t>
        </is>
      </c>
    </row>
    <row r="3073" ht="15.75" customHeight="1" s="108">
      <c r="A3073" s="18" t="inlineStr">
        <is>
          <t>Djimon Hounsou</t>
        </is>
      </c>
      <c r="B3073" s="18" t="n">
        <v>2</v>
      </c>
      <c r="C3073" s="18" t="n">
        <v>2014</v>
      </c>
      <c r="D3073" s="18" t="n">
        <v>2015</v>
      </c>
      <c r="E3073" s="18" t="inlineStr">
        <is>
          <t>Furious 7, How to Train Your Dragon 2</t>
        </is>
      </c>
      <c r="F3073" s="18" t="inlineStr">
        <is>
          <t>F0107, F0155</t>
        </is>
      </c>
    </row>
    <row r="3074" ht="15.75" customHeight="1" s="108">
      <c r="A3074" s="18" t="inlineStr">
        <is>
          <t>Tony Jaa</t>
        </is>
      </c>
      <c r="B3074" s="18" t="n">
        <v>1</v>
      </c>
      <c r="C3074" s="18" t="n">
        <v>2015</v>
      </c>
      <c r="D3074" s="18" t="n">
        <v>2015</v>
      </c>
      <c r="E3074" s="18" t="inlineStr">
        <is>
          <t>Furious 7</t>
        </is>
      </c>
      <c r="F3074" s="18" t="inlineStr">
        <is>
          <t>F0107</t>
        </is>
      </c>
    </row>
    <row r="3075" ht="15.75" customHeight="1" s="108">
      <c r="A3075" s="18" t="inlineStr">
        <is>
          <t>Iggy Azalea</t>
        </is>
      </c>
      <c r="B3075" s="18" t="n">
        <v>1</v>
      </c>
      <c r="C3075" s="18" t="n">
        <v>2015</v>
      </c>
      <c r="D3075" s="18" t="n">
        <v>2015</v>
      </c>
      <c r="E3075" s="18" t="inlineStr">
        <is>
          <t>Furious 7</t>
        </is>
      </c>
      <c r="F3075" s="18" t="inlineStr">
        <is>
          <t>F0107</t>
        </is>
      </c>
    </row>
    <row r="3076" ht="15.75" customHeight="1" s="108">
      <c r="A3076" s="18" t="inlineStr">
        <is>
          <t>John Brotherton</t>
        </is>
      </c>
      <c r="B3076" s="18" t="n">
        <v>1</v>
      </c>
      <c r="C3076" s="18" t="n">
        <v>2015</v>
      </c>
      <c r="D3076" s="18" t="n">
        <v>2015</v>
      </c>
      <c r="E3076" s="18" t="inlineStr">
        <is>
          <t>Furious 7</t>
        </is>
      </c>
      <c r="F3076" s="18" t="inlineStr">
        <is>
          <t>F0107</t>
        </is>
      </c>
    </row>
    <row r="3077" ht="15.75" customHeight="1" s="108">
      <c r="A3077" s="18" t="inlineStr">
        <is>
          <t>Ali Fazal</t>
        </is>
      </c>
      <c r="B3077" s="18" t="n">
        <v>1</v>
      </c>
      <c r="C3077" s="18" t="n">
        <v>2015</v>
      </c>
      <c r="D3077" s="18" t="n">
        <v>2015</v>
      </c>
      <c r="E3077" s="18" t="inlineStr">
        <is>
          <t>Furious 7</t>
        </is>
      </c>
      <c r="F3077" s="18" t="inlineStr">
        <is>
          <t>F0107</t>
        </is>
      </c>
    </row>
    <row r="3078" ht="15.75" customHeight="1" s="108">
      <c r="A3078" s="18" t="inlineStr">
        <is>
          <t>Miller Kimsey</t>
        </is>
      </c>
      <c r="B3078" s="18" t="n">
        <v>1</v>
      </c>
      <c r="C3078" s="18" t="n">
        <v>2015</v>
      </c>
      <c r="D3078" s="18" t="n">
        <v>2015</v>
      </c>
      <c r="E3078" s="18" t="inlineStr">
        <is>
          <t>Furious 7</t>
        </is>
      </c>
      <c r="F3078" s="18" t="inlineStr">
        <is>
          <t>F0107</t>
        </is>
      </c>
    </row>
    <row r="3079" ht="15.75" customHeight="1" s="108">
      <c r="A3079" s="18" t="inlineStr">
        <is>
          <t>Charlie Kimsey</t>
        </is>
      </c>
      <c r="B3079" s="18" t="n">
        <v>1</v>
      </c>
      <c r="C3079" s="18" t="n">
        <v>2015</v>
      </c>
      <c r="D3079" s="18" t="n">
        <v>2015</v>
      </c>
      <c r="E3079" s="18" t="inlineStr">
        <is>
          <t>Furious 7</t>
        </is>
      </c>
      <c r="F3079" s="18" t="inlineStr">
        <is>
          <t>F0107</t>
        </is>
      </c>
    </row>
    <row r="3080" ht="15.75" customHeight="1" s="108">
      <c r="A3080" s="18" t="inlineStr">
        <is>
          <t>Eden Estrella</t>
        </is>
      </c>
      <c r="B3080" s="18" t="n">
        <v>2</v>
      </c>
      <c r="C3080" s="18" t="n">
        <v>2015</v>
      </c>
      <c r="D3080" s="18" t="n">
        <v>2017</v>
      </c>
      <c r="E3080" s="18" t="inlineStr">
        <is>
          <t>Furious 7, The Fate of the Furious</t>
        </is>
      </c>
      <c r="F3080" s="18" t="inlineStr">
        <is>
          <t>F0107, F0108</t>
        </is>
      </c>
    </row>
    <row r="3081" ht="15.75" customHeight="1" s="108">
      <c r="A3081" s="18" t="inlineStr">
        <is>
          <t>Gentry White</t>
        </is>
      </c>
      <c r="B3081" s="18" t="n">
        <v>1</v>
      </c>
      <c r="C3081" s="18" t="n">
        <v>2015</v>
      </c>
      <c r="D3081" s="18" t="n">
        <v>2015</v>
      </c>
      <c r="E3081" s="18" t="inlineStr">
        <is>
          <t>Furious 7</t>
        </is>
      </c>
      <c r="F3081" s="18" t="inlineStr">
        <is>
          <t>F0107</t>
        </is>
      </c>
    </row>
    <row r="3082" ht="15.75" customHeight="1" s="108">
      <c r="A3082" s="18" t="inlineStr">
        <is>
          <t>Jon Lee Brody</t>
        </is>
      </c>
      <c r="B3082" s="18" t="n">
        <v>1</v>
      </c>
      <c r="C3082" s="18" t="n">
        <v>2015</v>
      </c>
      <c r="D3082" s="18" t="n">
        <v>2015</v>
      </c>
      <c r="E3082" s="18" t="inlineStr">
        <is>
          <t>Furious 7</t>
        </is>
      </c>
      <c r="F3082" s="18" t="inlineStr">
        <is>
          <t>F0107</t>
        </is>
      </c>
    </row>
    <row r="3083" ht="15.75" customHeight="1" s="108">
      <c r="A3083" s="18" t="inlineStr">
        <is>
          <t>Levy Tran</t>
        </is>
      </c>
      <c r="B3083" s="18" t="n">
        <v>1</v>
      </c>
      <c r="C3083" s="18" t="n">
        <v>2015</v>
      </c>
      <c r="D3083" s="18" t="n">
        <v>2015</v>
      </c>
      <c r="E3083" s="18" t="inlineStr">
        <is>
          <t>Furious 7</t>
        </is>
      </c>
      <c r="F3083" s="18" t="inlineStr">
        <is>
          <t>F0107</t>
        </is>
      </c>
    </row>
    <row r="3084" ht="15.75" customHeight="1" s="108">
      <c r="A3084" s="18" t="inlineStr">
        <is>
          <t>Anna Colwell</t>
        </is>
      </c>
      <c r="B3084" s="18" t="n">
        <v>1</v>
      </c>
      <c r="C3084" s="18" t="n">
        <v>2015</v>
      </c>
      <c r="D3084" s="18" t="n">
        <v>2015</v>
      </c>
      <c r="E3084" s="18" t="inlineStr">
        <is>
          <t>Furious 7</t>
        </is>
      </c>
      <c r="F3084" s="18" t="inlineStr">
        <is>
          <t>F0107</t>
        </is>
      </c>
    </row>
    <row r="3085" ht="15.75" customHeight="1" s="108">
      <c r="A3085" s="18" t="inlineStr">
        <is>
          <t>Viktor Hernandez</t>
        </is>
      </c>
      <c r="B3085" s="18" t="n">
        <v>1</v>
      </c>
      <c r="C3085" s="18" t="n">
        <v>2015</v>
      </c>
      <c r="D3085" s="18" t="n">
        <v>2015</v>
      </c>
      <c r="E3085" s="18" t="inlineStr">
        <is>
          <t>Furious 7</t>
        </is>
      </c>
      <c r="F3085" s="18" t="inlineStr">
        <is>
          <t>F0107</t>
        </is>
      </c>
    </row>
    <row r="3086" ht="15.75" customHeight="1" s="108">
      <c r="A3086" s="18" t="inlineStr">
        <is>
          <t>Steve Coulter</t>
        </is>
      </c>
      <c r="B3086" s="18" t="n">
        <v>1</v>
      </c>
      <c r="C3086" s="18" t="n">
        <v>2015</v>
      </c>
      <c r="D3086" s="18" t="n">
        <v>2015</v>
      </c>
      <c r="E3086" s="18" t="inlineStr">
        <is>
          <t>Furious 7</t>
        </is>
      </c>
      <c r="F3086" s="18" t="inlineStr">
        <is>
          <t>F0107</t>
        </is>
      </c>
    </row>
    <row r="3087" ht="15.75" customHeight="1" s="108">
      <c r="A3087" s="18" t="inlineStr">
        <is>
          <t>Kristofer Hivju</t>
        </is>
      </c>
      <c r="B3087" s="18" t="n">
        <v>1</v>
      </c>
      <c r="C3087" s="18" t="n">
        <v>2017</v>
      </c>
      <c r="D3087" s="18" t="n">
        <v>2017</v>
      </c>
      <c r="E3087" s="18" t="inlineStr">
        <is>
          <t>The Fate of the Furious</t>
        </is>
      </c>
      <c r="F3087" s="18" t="inlineStr">
        <is>
          <t>F0108</t>
        </is>
      </c>
    </row>
    <row r="3088" ht="15.75" customHeight="1" s="108">
      <c r="A3088" s="18" t="inlineStr">
        <is>
          <t>Scott Eastwood</t>
        </is>
      </c>
      <c r="B3088" s="18" t="n">
        <v>4</v>
      </c>
      <c r="C3088" s="18" t="n">
        <v>2008</v>
      </c>
      <c r="D3088" s="18" t="n">
        <v>2023</v>
      </c>
      <c r="E3088" s="18" t="inlineStr">
        <is>
          <t>The Fate of the Furious, Fast X, Fury, Gran Torino</t>
        </is>
      </c>
      <c r="F3088" s="18" t="inlineStr">
        <is>
          <t>F0108, F0110, F0117, F0125</t>
        </is>
      </c>
    </row>
    <row r="3089" ht="15.75" customHeight="1" s="108">
      <c r="A3089" s="18" t="inlineStr">
        <is>
          <t>Corey Maher</t>
        </is>
      </c>
      <c r="B3089" s="18" t="n">
        <v>1</v>
      </c>
      <c r="C3089" s="18" t="n">
        <v>2017</v>
      </c>
      <c r="D3089" s="18" t="n">
        <v>2017</v>
      </c>
      <c r="E3089" s="18" t="inlineStr">
        <is>
          <t>The Fate of the Furious</t>
        </is>
      </c>
      <c r="F3089" s="18" t="inlineStr">
        <is>
          <t>F0108</t>
        </is>
      </c>
    </row>
    <row r="3090" ht="15.75" customHeight="1" s="108">
      <c r="A3090" s="18" t="inlineStr">
        <is>
          <t>Patrick St. Esprit</t>
        </is>
      </c>
      <c r="B3090" s="18" t="n">
        <v>2</v>
      </c>
      <c r="C3090" s="18" t="n">
        <v>2011</v>
      </c>
      <c r="D3090" s="18" t="n">
        <v>2017</v>
      </c>
      <c r="E3090" s="18" t="inlineStr">
        <is>
          <t>The Fate of the Furious, Super 8</t>
        </is>
      </c>
      <c r="F3090" s="18" t="inlineStr">
        <is>
          <t>F0108, F0302</t>
        </is>
      </c>
    </row>
    <row r="3091" ht="15.75" customHeight="1" s="108">
      <c r="A3091" s="18" t="inlineStr">
        <is>
          <t>Janmarco Santiago</t>
        </is>
      </c>
      <c r="B3091" s="18" t="n">
        <v>1</v>
      </c>
      <c r="C3091" s="18" t="n">
        <v>2017</v>
      </c>
      <c r="D3091" s="18" t="n">
        <v>2017</v>
      </c>
      <c r="E3091" s="18" t="inlineStr">
        <is>
          <t>The Fate of the Furious</t>
        </is>
      </c>
      <c r="F3091" s="18" t="inlineStr">
        <is>
          <t>F0108</t>
        </is>
      </c>
    </row>
    <row r="3092" ht="15.75" customHeight="1" s="108">
      <c r="A3092" s="18" t="inlineStr">
        <is>
          <t>Oren Hawxhurst</t>
        </is>
      </c>
      <c r="B3092" s="18" t="n">
        <v>2</v>
      </c>
      <c r="C3092" s="18" t="n">
        <v>2017</v>
      </c>
      <c r="D3092" s="18" t="n">
        <v>2017</v>
      </c>
      <c r="E3092" s="18" t="inlineStr">
        <is>
          <t>The Fate of the Furious, Logan</t>
        </is>
      </c>
      <c r="F3092" s="18" t="inlineStr">
        <is>
          <t>F0108, F0201</t>
        </is>
      </c>
    </row>
    <row r="3093" ht="15.75" customHeight="1" s="108">
      <c r="A3093" s="18" t="inlineStr">
        <is>
          <t>Celestino Cornielle</t>
        </is>
      </c>
      <c r="B3093" s="18" t="n">
        <v>1</v>
      </c>
      <c r="C3093" s="18" t="n">
        <v>2017</v>
      </c>
      <c r="D3093" s="18" t="n">
        <v>2017</v>
      </c>
      <c r="E3093" s="18" t="inlineStr">
        <is>
          <t>The Fate of the Furious</t>
        </is>
      </c>
      <c r="F3093" s="18" t="inlineStr">
        <is>
          <t>F0108</t>
        </is>
      </c>
    </row>
    <row r="3094" ht="15.75" customHeight="1" s="108">
      <c r="A3094" s="18" t="inlineStr">
        <is>
          <t>Olek Krupa</t>
        </is>
      </c>
      <c r="B3094" s="18" t="n">
        <v>2</v>
      </c>
      <c r="C3094" s="18" t="n">
        <v>2010</v>
      </c>
      <c r="D3094" s="18" t="n">
        <v>2017</v>
      </c>
      <c r="E3094" s="18" t="inlineStr">
        <is>
          <t>The Fate of the Furious, Salt</t>
        </is>
      </c>
      <c r="F3094" s="18" t="inlineStr">
        <is>
          <t>F0108, F0273</t>
        </is>
      </c>
    </row>
    <row r="3095" ht="15.75" customHeight="1" s="108">
      <c r="A3095" s="18" t="inlineStr">
        <is>
          <t>Alexander Babara</t>
        </is>
      </c>
      <c r="B3095" s="18" t="n">
        <v>1</v>
      </c>
      <c r="C3095" s="18" t="n">
        <v>2017</v>
      </c>
      <c r="D3095" s="18" t="n">
        <v>2017</v>
      </c>
      <c r="E3095" s="18" t="inlineStr">
        <is>
          <t>The Fate of the Furious</t>
        </is>
      </c>
      <c r="F3095" s="18" t="inlineStr">
        <is>
          <t>F0108</t>
        </is>
      </c>
    </row>
    <row r="3096" ht="15.75" customHeight="1" s="108">
      <c r="A3096" s="18" t="inlineStr">
        <is>
          <t>Andre Pushkin</t>
        </is>
      </c>
      <c r="B3096" s="18" t="n">
        <v>1</v>
      </c>
      <c r="C3096" s="18" t="n">
        <v>2017</v>
      </c>
      <c r="D3096" s="18" t="n">
        <v>2017</v>
      </c>
      <c r="E3096" s="18" t="inlineStr">
        <is>
          <t>The Fate of the Furious</t>
        </is>
      </c>
      <c r="F3096" s="18" t="inlineStr">
        <is>
          <t>F0108</t>
        </is>
      </c>
    </row>
    <row r="3097" ht="15.75" customHeight="1" s="108">
      <c r="A3097" s="18" t="inlineStr">
        <is>
          <t>Roberts Jekabsons</t>
        </is>
      </c>
      <c r="B3097" s="18" t="n">
        <v>1</v>
      </c>
      <c r="C3097" s="18" t="n">
        <v>2017</v>
      </c>
      <c r="D3097" s="18" t="n">
        <v>2017</v>
      </c>
      <c r="E3097" s="18" t="inlineStr">
        <is>
          <t>The Fate of the Furious</t>
        </is>
      </c>
      <c r="F3097" s="18" t="inlineStr">
        <is>
          <t>F0108</t>
        </is>
      </c>
    </row>
    <row r="3098" ht="15.75" customHeight="1" s="108">
      <c r="A3098" s="18" t="inlineStr">
        <is>
          <t>Nick Gracer</t>
        </is>
      </c>
      <c r="B3098" s="18" t="n">
        <v>1</v>
      </c>
      <c r="C3098" s="18" t="n">
        <v>2017</v>
      </c>
      <c r="D3098" s="18" t="n">
        <v>2017</v>
      </c>
      <c r="E3098" s="18" t="inlineStr">
        <is>
          <t>The Fate of the Furious</t>
        </is>
      </c>
      <c r="F3098" s="18" t="inlineStr">
        <is>
          <t>F0108</t>
        </is>
      </c>
    </row>
    <row r="3099" ht="15.75" customHeight="1" s="108">
      <c r="A3099" s="18" t="inlineStr">
        <is>
          <t>Gary Weeks</t>
        </is>
      </c>
      <c r="B3099" s="18" t="n">
        <v>2</v>
      </c>
      <c r="C3099" s="18" t="n">
        <v>2015</v>
      </c>
      <c r="D3099" s="18" t="n">
        <v>2017</v>
      </c>
      <c r="E3099" s="18" t="inlineStr">
        <is>
          <t>The Fate of the Furious, Jurassic World</t>
        </is>
      </c>
      <c r="F3099" s="18" t="inlineStr">
        <is>
          <t>F0108, F0179</t>
        </is>
      </c>
    </row>
    <row r="3100" ht="15.75" customHeight="1" s="108">
      <c r="A3100" s="18" t="inlineStr">
        <is>
          <t>Friday Chamberlain</t>
        </is>
      </c>
      <c r="B3100" s="18" t="n">
        <v>1</v>
      </c>
      <c r="C3100" s="18" t="n">
        <v>2017</v>
      </c>
      <c r="D3100" s="18" t="n">
        <v>2017</v>
      </c>
      <c r="E3100" s="18" t="inlineStr">
        <is>
          <t>The Fate of the Furious</t>
        </is>
      </c>
      <c r="F3100" s="18" t="inlineStr">
        <is>
          <t>F0108</t>
        </is>
      </c>
    </row>
    <row r="3101" ht="15.75" customHeight="1" s="108">
      <c r="A3101" s="18" t="inlineStr">
        <is>
          <t>Joe Fishel</t>
        </is>
      </c>
      <c r="B3101" s="18" t="n">
        <v>2</v>
      </c>
      <c r="C3101" s="18" t="n">
        <v>2015</v>
      </c>
      <c r="D3101" s="18" t="n">
        <v>2017</v>
      </c>
      <c r="E3101" s="18" t="inlineStr">
        <is>
          <t>The Fate of the Furious, Southpaw</t>
        </is>
      </c>
      <c r="F3101" s="18" t="inlineStr">
        <is>
          <t>F0108, F0286</t>
        </is>
      </c>
    </row>
    <row r="3102" ht="15.75" customHeight="1" s="108">
      <c r="A3102" s="18" t="inlineStr">
        <is>
          <t>Michael W. Broomer</t>
        </is>
      </c>
      <c r="B3102" s="18" t="n">
        <v>1</v>
      </c>
      <c r="C3102" s="18" t="n">
        <v>2017</v>
      </c>
      <c r="D3102" s="18" t="n">
        <v>2017</v>
      </c>
      <c r="E3102" s="18" t="inlineStr">
        <is>
          <t>The Fate of the Furious</t>
        </is>
      </c>
      <c r="F3102" s="18" t="inlineStr">
        <is>
          <t>F0108</t>
        </is>
      </c>
    </row>
    <row r="3103" ht="15.75" customHeight="1" s="108">
      <c r="A3103" s="18" t="inlineStr">
        <is>
          <t>Finn Cole</t>
        </is>
      </c>
      <c r="B3103" s="18" t="n">
        <v>1</v>
      </c>
      <c r="C3103" s="18" t="n">
        <v>2021</v>
      </c>
      <c r="D3103" s="18" t="n">
        <v>2021</v>
      </c>
      <c r="E3103" s="18" t="inlineStr">
        <is>
          <t>F9: The Fast Saga</t>
        </is>
      </c>
      <c r="F3103" s="18" t="inlineStr">
        <is>
          <t>F0109</t>
        </is>
      </c>
    </row>
    <row r="3104" ht="15.75" customHeight="1" s="108">
      <c r="A3104" s="18" t="inlineStr">
        <is>
          <t>Thue Ersted Rasmussen</t>
        </is>
      </c>
      <c r="B3104" s="18" t="n">
        <v>1</v>
      </c>
      <c r="C3104" s="18" t="n">
        <v>2021</v>
      </c>
      <c r="D3104" s="18" t="n">
        <v>2021</v>
      </c>
      <c r="E3104" s="18" t="inlineStr">
        <is>
          <t>F9: The Fast Saga</t>
        </is>
      </c>
      <c r="F3104" s="18" t="inlineStr">
        <is>
          <t>F0109</t>
        </is>
      </c>
    </row>
    <row r="3105" ht="15.75" customHeight="1" s="108">
      <c r="A3105" s="18" t="inlineStr">
        <is>
          <t>Anna Sawai</t>
        </is>
      </c>
      <c r="B3105" s="18" t="n">
        <v>1</v>
      </c>
      <c r="C3105" s="18" t="n">
        <v>2021</v>
      </c>
      <c r="D3105" s="18" t="n">
        <v>2021</v>
      </c>
      <c r="E3105" s="18" t="inlineStr">
        <is>
          <t>F9: The Fast Saga</t>
        </is>
      </c>
      <c r="F3105" s="18" t="inlineStr">
        <is>
          <t>F0109</t>
        </is>
      </c>
    </row>
    <row r="3106" ht="15.75" customHeight="1" s="108">
      <c r="A3106" s="18" t="inlineStr">
        <is>
          <t>Vinnie Bennett</t>
        </is>
      </c>
      <c r="B3106" s="18" t="n">
        <v>1</v>
      </c>
      <c r="C3106" s="18" t="n">
        <v>2021</v>
      </c>
      <c r="D3106" s="18" t="n">
        <v>2021</v>
      </c>
      <c r="E3106" s="18" t="inlineStr">
        <is>
          <t>F9: The Fast Saga</t>
        </is>
      </c>
      <c r="F3106" s="18" t="inlineStr">
        <is>
          <t>F0109</t>
        </is>
      </c>
    </row>
    <row r="3107" ht="15.75" customHeight="1" s="108">
      <c r="A3107" s="18" t="inlineStr">
        <is>
          <t>J. D. Pardo</t>
        </is>
      </c>
      <c r="B3107" s="18" t="n">
        <v>1</v>
      </c>
      <c r="C3107" s="18" t="n">
        <v>2021</v>
      </c>
      <c r="D3107" s="18" t="n">
        <v>2021</v>
      </c>
      <c r="E3107" s="18" t="inlineStr">
        <is>
          <t>F9: The Fast Saga</t>
        </is>
      </c>
      <c r="F3107" s="18" t="inlineStr">
        <is>
          <t>F0109</t>
        </is>
      </c>
    </row>
    <row r="3108" ht="15.75" customHeight="1" s="108">
      <c r="A3108" s="18" t="inlineStr">
        <is>
          <t>Siena Agudong</t>
        </is>
      </c>
      <c r="B3108" s="18" t="n">
        <v>1</v>
      </c>
      <c r="C3108" s="18" t="n">
        <v>2021</v>
      </c>
      <c r="D3108" s="18" t="n">
        <v>2021</v>
      </c>
      <c r="E3108" s="18" t="inlineStr">
        <is>
          <t>F9: The Fast Saga</t>
        </is>
      </c>
      <c r="F3108" s="18" t="inlineStr">
        <is>
          <t>F0109</t>
        </is>
      </c>
    </row>
    <row r="3109" ht="15.75" customHeight="1" s="108">
      <c r="A3109" s="18" t="inlineStr">
        <is>
          <t>Isaac Holtane</t>
        </is>
      </c>
      <c r="B3109" s="18" t="n">
        <v>1</v>
      </c>
      <c r="C3109" s="18" t="n">
        <v>2021</v>
      </c>
      <c r="D3109" s="18" t="n">
        <v>2021</v>
      </c>
      <c r="E3109" s="18" t="inlineStr">
        <is>
          <t>F9: The Fast Saga</t>
        </is>
      </c>
      <c r="F3109" s="18" t="inlineStr">
        <is>
          <t>F0109</t>
        </is>
      </c>
    </row>
    <row r="3110" ht="15.75" customHeight="1" s="108">
      <c r="A3110" s="18" t="inlineStr">
        <is>
          <t>Immanuel Holtane</t>
        </is>
      </c>
      <c r="B3110" s="18" t="n">
        <v>1</v>
      </c>
      <c r="C3110" s="18" t="n">
        <v>2021</v>
      </c>
      <c r="D3110" s="18" t="n">
        <v>2021</v>
      </c>
      <c r="E3110" s="18" t="inlineStr">
        <is>
          <t>F9: The Fast Saga</t>
        </is>
      </c>
      <c r="F3110" s="18" t="inlineStr">
        <is>
          <t>F0109</t>
        </is>
      </c>
    </row>
    <row r="3111" ht="15.75" customHeight="1" s="108">
      <c r="A3111" s="18" t="inlineStr">
        <is>
          <t>Azia Dinea Hale</t>
        </is>
      </c>
      <c r="B3111" s="18" t="n">
        <v>1</v>
      </c>
      <c r="C3111" s="18" t="n">
        <v>2021</v>
      </c>
      <c r="D3111" s="18" t="n">
        <v>2021</v>
      </c>
      <c r="E3111" s="18" t="inlineStr">
        <is>
          <t>F9: The Fast Saga</t>
        </is>
      </c>
      <c r="F3111" s="18" t="inlineStr">
        <is>
          <t>F0109</t>
        </is>
      </c>
    </row>
    <row r="3112" ht="15.75" customHeight="1" s="108">
      <c r="A3112" s="18" t="inlineStr">
        <is>
          <t>Zhang Juju</t>
        </is>
      </c>
      <c r="B3112" s="18" t="n">
        <v>1</v>
      </c>
      <c r="C3112" s="18" t="n">
        <v>2021</v>
      </c>
      <c r="D3112" s="18" t="n">
        <v>2021</v>
      </c>
      <c r="E3112" s="18" t="inlineStr">
        <is>
          <t>F9: The Fast Saga</t>
        </is>
      </c>
      <c r="F3112" s="18" t="inlineStr">
        <is>
          <t>F0109</t>
        </is>
      </c>
    </row>
    <row r="3113" ht="15.75" customHeight="1" s="108">
      <c r="A3113" s="18" t="inlineStr">
        <is>
          <t>Karson Kern</t>
        </is>
      </c>
      <c r="B3113" s="18" t="n">
        <v>1</v>
      </c>
      <c r="C3113" s="18" t="n">
        <v>2021</v>
      </c>
      <c r="D3113" s="18" t="n">
        <v>2021</v>
      </c>
      <c r="E3113" s="18" t="inlineStr">
        <is>
          <t>F9: The Fast Saga</t>
        </is>
      </c>
      <c r="F3113" s="18" t="inlineStr">
        <is>
          <t>F0109</t>
        </is>
      </c>
    </row>
    <row r="3114" ht="15.75" customHeight="1" s="108">
      <c r="A3114" s="18" t="inlineStr">
        <is>
          <t>Igby Rigney</t>
        </is>
      </c>
      <c r="B3114" s="18" t="n">
        <v>1</v>
      </c>
      <c r="C3114" s="18" t="n">
        <v>2021</v>
      </c>
      <c r="D3114" s="18" t="n">
        <v>2021</v>
      </c>
      <c r="E3114" s="18" t="inlineStr">
        <is>
          <t>F9: The Fast Saga</t>
        </is>
      </c>
      <c r="F3114" s="18" t="inlineStr">
        <is>
          <t>F0109</t>
        </is>
      </c>
    </row>
    <row r="3115" ht="15.75" customHeight="1" s="108">
      <c r="A3115" s="18" t="inlineStr">
        <is>
          <t>Sophia Tatum</t>
        </is>
      </c>
      <c r="B3115" s="18" t="n">
        <v>1</v>
      </c>
      <c r="C3115" s="18" t="n">
        <v>2021</v>
      </c>
      <c r="D3115" s="18" t="n">
        <v>2021</v>
      </c>
      <c r="E3115" s="18" t="inlineStr">
        <is>
          <t>F9: The Fast Saga</t>
        </is>
      </c>
      <c r="F3115" s="18" t="inlineStr">
        <is>
          <t>F0109</t>
        </is>
      </c>
    </row>
    <row r="3116" ht="15.75" customHeight="1" s="108">
      <c r="A3116" s="18" t="inlineStr">
        <is>
          <t>Jason Momoa</t>
        </is>
      </c>
      <c r="B3116" s="18" t="n">
        <v>4</v>
      </c>
      <c r="C3116" s="18" t="n">
        <v>2019</v>
      </c>
      <c r="D3116" s="18" t="n">
        <v>2023</v>
      </c>
      <c r="E3116" s="18" t="inlineStr">
        <is>
          <t xml:space="preserve">Fast X, The Lego Movie 2: The Second Part, dune, dune </t>
        </is>
      </c>
      <c r="F3116" s="18" t="inlineStr">
        <is>
          <t>F0110, F0196, F0367</t>
        </is>
      </c>
    </row>
    <row r="3117" ht="15.75" customHeight="1" s="108">
      <c r="A3117" s="18" t="inlineStr">
        <is>
          <t>Daniela Melchior</t>
        </is>
      </c>
      <c r="B3117" s="18" t="n">
        <v>1</v>
      </c>
      <c r="C3117" s="18" t="n">
        <v>2023</v>
      </c>
      <c r="D3117" s="18" t="n">
        <v>2023</v>
      </c>
      <c r="E3117" s="18" t="inlineStr">
        <is>
          <t>Fast X</t>
        </is>
      </c>
      <c r="F3117" s="18" t="inlineStr">
        <is>
          <t>F0110</t>
        </is>
      </c>
    </row>
    <row r="3118" ht="15.75" customHeight="1" s="108">
      <c r="A3118" s="18" t="inlineStr">
        <is>
          <t>Rita Moreno</t>
        </is>
      </c>
      <c r="B3118" s="18" t="n">
        <v>2</v>
      </c>
      <c r="C3118" s="18" t="n">
        <v>2014</v>
      </c>
      <c r="D3118" s="18" t="n">
        <v>2023</v>
      </c>
      <c r="E3118" s="18" t="inlineStr">
        <is>
          <t>Fast X, Rio 2</t>
        </is>
      </c>
      <c r="F3118" s="18" t="inlineStr">
        <is>
          <t>F0110, F0266</t>
        </is>
      </c>
    </row>
    <row r="3119" ht="15.75" customHeight="1" s="108">
      <c r="A3119" s="18" t="inlineStr">
        <is>
          <t>Leo Abelo Perry</t>
        </is>
      </c>
      <c r="B3119" s="18" t="n">
        <v>1</v>
      </c>
      <c r="C3119" s="18" t="n">
        <v>2023</v>
      </c>
      <c r="D3119" s="18" t="n">
        <v>2023</v>
      </c>
      <c r="E3119" s="18" t="inlineStr">
        <is>
          <t>Fast X</t>
        </is>
      </c>
      <c r="F3119" s="18" t="inlineStr">
        <is>
          <t>F0110</t>
        </is>
      </c>
    </row>
    <row r="3120" ht="15.75" customHeight="1" s="108">
      <c r="A3120" s="18" t="inlineStr">
        <is>
          <t>Jaz Hutchins</t>
        </is>
      </c>
      <c r="B3120" s="18" t="n">
        <v>1</v>
      </c>
      <c r="C3120" s="18" t="n">
        <v>2023</v>
      </c>
      <c r="D3120" s="18" t="n">
        <v>2023</v>
      </c>
      <c r="E3120" s="18" t="inlineStr">
        <is>
          <t>Fast X</t>
        </is>
      </c>
      <c r="F3120" s="18" t="inlineStr">
        <is>
          <t>F0110</t>
        </is>
      </c>
    </row>
    <row r="3121" ht="15.75" customHeight="1" s="108">
      <c r="A3121" s="18" t="inlineStr">
        <is>
          <t>Luka Hays</t>
        </is>
      </c>
      <c r="B3121" s="18" t="n">
        <v>1</v>
      </c>
      <c r="C3121" s="18" t="n">
        <v>2023</v>
      </c>
      <c r="D3121" s="18" t="n">
        <v>2023</v>
      </c>
      <c r="E3121" s="18" t="inlineStr">
        <is>
          <t>Fast X</t>
        </is>
      </c>
      <c r="F3121" s="18" t="inlineStr">
        <is>
          <t>F0110</t>
        </is>
      </c>
    </row>
    <row r="3122" ht="15.75" customHeight="1" s="108">
      <c r="A3122" s="18" t="inlineStr">
        <is>
          <t>Alexander Capon</t>
        </is>
      </c>
      <c r="B3122" s="18" t="n">
        <v>1</v>
      </c>
      <c r="C3122" s="18" t="n">
        <v>2023</v>
      </c>
      <c r="D3122" s="18" t="n">
        <v>2023</v>
      </c>
      <c r="E3122" s="18" t="inlineStr">
        <is>
          <t>Fast X</t>
        </is>
      </c>
      <c r="F3122" s="18" t="inlineStr">
        <is>
          <t>F0110</t>
        </is>
      </c>
    </row>
    <row r="3123" ht="15.75" customHeight="1" s="108">
      <c r="A3123" s="18" t="inlineStr">
        <is>
          <t>Pete Davidson</t>
        </is>
      </c>
      <c r="B3123" s="18" t="n">
        <v>2</v>
      </c>
      <c r="C3123" s="18" t="n">
        <v>2023</v>
      </c>
      <c r="D3123" s="18" t="n">
        <v>2023</v>
      </c>
      <c r="E3123" s="18" t="inlineStr">
        <is>
          <t>Fast X, Transformers: Rise of the Beasts</t>
        </is>
      </c>
      <c r="F3123" s="18" t="inlineStr">
        <is>
          <t>F0110, F0321</t>
        </is>
      </c>
    </row>
    <row r="3124" ht="15.75" customHeight="1" s="108">
      <c r="A3124" s="18" t="inlineStr">
        <is>
          <t>Shadrach Agozino</t>
        </is>
      </c>
      <c r="B3124" s="18" t="n">
        <v>1</v>
      </c>
      <c r="C3124" s="18" t="n">
        <v>2023</v>
      </c>
      <c r="D3124" s="18" t="n">
        <v>2023</v>
      </c>
      <c r="E3124" s="18" t="inlineStr">
        <is>
          <t>Fast X</t>
        </is>
      </c>
      <c r="F3124" s="18" t="inlineStr">
        <is>
          <t>F0110</t>
        </is>
      </c>
    </row>
    <row r="3125" ht="15.75" customHeight="1" s="108">
      <c r="A3125" s="18" t="inlineStr">
        <is>
          <t>Ludmilla</t>
        </is>
      </c>
      <c r="B3125" s="18" t="n">
        <v>1</v>
      </c>
      <c r="C3125" s="18" t="n">
        <v>2023</v>
      </c>
      <c r="D3125" s="18" t="n">
        <v>2023</v>
      </c>
      <c r="E3125" s="18" t="inlineStr">
        <is>
          <t>Fast X</t>
        </is>
      </c>
      <c r="F3125" s="18" t="inlineStr">
        <is>
          <t>F0110</t>
        </is>
      </c>
    </row>
    <row r="3126" ht="15.75" customHeight="1" s="108">
      <c r="A3126" s="18" t="inlineStr">
        <is>
          <t>Miraj Grbić</t>
        </is>
      </c>
      <c r="B3126" s="18" t="n">
        <v>2</v>
      </c>
      <c r="C3126" s="18" t="n">
        <v>2011</v>
      </c>
      <c r="D3126" s="18" t="n">
        <v>2023</v>
      </c>
      <c r="E3126" s="18" t="inlineStr">
        <is>
          <t>Fast X, Mission: Impossible - Ghost Protocol</t>
        </is>
      </c>
      <c r="F3126" s="18" t="inlineStr">
        <is>
          <t>F0110, F0224</t>
        </is>
      </c>
    </row>
    <row r="3127" ht="15.75" customHeight="1" s="108">
      <c r="A3127" s="18" t="inlineStr">
        <is>
          <t>Meadow Walker</t>
        </is>
      </c>
      <c r="B3127" s="18" t="n">
        <v>1</v>
      </c>
      <c r="C3127" s="18" t="n">
        <v>2023</v>
      </c>
      <c r="D3127" s="18" t="n">
        <v>2023</v>
      </c>
      <c r="E3127" s="18" t="inlineStr">
        <is>
          <t>Fast X</t>
        </is>
      </c>
      <c r="F3127" s="18" t="inlineStr">
        <is>
          <t>F0110</t>
        </is>
      </c>
    </row>
    <row r="3128" ht="15.75" customHeight="1" s="108">
      <c r="A3128" s="18" t="inlineStr">
        <is>
          <t>Shahir Figueira</t>
        </is>
      </c>
      <c r="B3128" s="18" t="n">
        <v>1</v>
      </c>
      <c r="C3128" s="18" t="n">
        <v>2023</v>
      </c>
      <c r="D3128" s="18" t="n">
        <v>2023</v>
      </c>
      <c r="E3128" s="18" t="inlineStr">
        <is>
          <t>Fast X</t>
        </is>
      </c>
      <c r="F3128" s="18" t="inlineStr">
        <is>
          <t>F0110</t>
        </is>
      </c>
    </row>
    <row r="3129" ht="15.75" customHeight="1" s="108">
      <c r="A3129" s="18" t="inlineStr">
        <is>
          <t>Eliana Su'a</t>
        </is>
      </c>
      <c r="B3129" s="18" t="n">
        <v>1</v>
      </c>
      <c r="C3129" s="18" t="n">
        <v>2019</v>
      </c>
      <c r="D3129" s="18" t="n">
        <v>2019</v>
      </c>
      <c r="E3129" s="18" t="inlineStr">
        <is>
          <t>Fast &amp; Furious Presents: Hobbs &amp; Shaw</t>
        </is>
      </c>
      <c r="F3129" s="18" t="inlineStr">
        <is>
          <t>F0111</t>
        </is>
      </c>
    </row>
    <row r="3130" ht="15.75" customHeight="1" s="108">
      <c r="A3130" s="18" t="inlineStr">
        <is>
          <t>Lori Pelenise Tuisano</t>
        </is>
      </c>
      <c r="B3130" s="18" t="n">
        <v>1</v>
      </c>
      <c r="C3130" s="18" t="n">
        <v>2019</v>
      </c>
      <c r="D3130" s="18" t="n">
        <v>2019</v>
      </c>
      <c r="E3130" s="18" t="inlineStr">
        <is>
          <t>Fast &amp; Furious Presents: Hobbs &amp; Shaw</t>
        </is>
      </c>
      <c r="F3130" s="18" t="inlineStr">
        <is>
          <t>F0111</t>
        </is>
      </c>
    </row>
    <row r="3131" ht="15.75" customHeight="1" s="108">
      <c r="A3131" s="18" t="inlineStr">
        <is>
          <t>John Tui</t>
        </is>
      </c>
      <c r="B3131" s="18" t="n">
        <v>2</v>
      </c>
      <c r="C3131" s="18" t="n">
        <v>2018</v>
      </c>
      <c r="D3131" s="18" t="n">
        <v>2019</v>
      </c>
      <c r="E3131" s="18" t="inlineStr">
        <is>
          <t>Fast &amp; Furious Presents: Hobbs &amp; Shaw, Solo a star wars story</t>
        </is>
      </c>
      <c r="F3131" s="18" t="inlineStr">
        <is>
          <t>F0111, F0386</t>
        </is>
      </c>
    </row>
    <row r="3132" ht="15.75" customHeight="1" s="108">
      <c r="A3132" s="18" t="inlineStr">
        <is>
          <t>Joshua Mauga</t>
        </is>
      </c>
      <c r="B3132" s="18" t="n">
        <v>1</v>
      </c>
      <c r="C3132" s="18" t="n">
        <v>2019</v>
      </c>
      <c r="D3132" s="18" t="n">
        <v>2019</v>
      </c>
      <c r="E3132" s="18" t="inlineStr">
        <is>
          <t>Fast &amp; Furious Presents: Hobbs &amp; Shaw</t>
        </is>
      </c>
      <c r="F3132" s="18" t="inlineStr">
        <is>
          <t>F0111</t>
        </is>
      </c>
    </row>
    <row r="3133" ht="15.75" customHeight="1" s="108">
      <c r="A3133" s="18" t="inlineStr">
        <is>
          <t>Joe Anoa'i</t>
        </is>
      </c>
      <c r="B3133" s="18" t="n">
        <v>1</v>
      </c>
      <c r="C3133" s="18" t="n">
        <v>2019</v>
      </c>
      <c r="D3133" s="18" t="n">
        <v>2019</v>
      </c>
      <c r="E3133" s="18" t="inlineStr">
        <is>
          <t>Fast &amp; Furious Presents: Hobbs &amp; Shaw</t>
        </is>
      </c>
      <c r="F3133" s="18" t="inlineStr">
        <is>
          <t>F0111</t>
        </is>
      </c>
    </row>
    <row r="3134" ht="15.75" customHeight="1" s="108">
      <c r="A3134" s="18" t="inlineStr">
        <is>
          <t>Alex King</t>
        </is>
      </c>
      <c r="B3134" s="18" t="n">
        <v>1</v>
      </c>
      <c r="C3134" s="18" t="n">
        <v>2019</v>
      </c>
      <c r="D3134" s="18" t="n">
        <v>2019</v>
      </c>
      <c r="E3134" s="18" t="inlineStr">
        <is>
          <t>Fast &amp; Furious Presents: Hobbs &amp; Shaw</t>
        </is>
      </c>
      <c r="F3134" s="18" t="inlineStr">
        <is>
          <t>F0111</t>
        </is>
      </c>
    </row>
    <row r="3135" ht="15.75" customHeight="1" s="108">
      <c r="A3135" s="18" t="inlineStr">
        <is>
          <t>John Macdonald</t>
        </is>
      </c>
      <c r="B3135" s="18" t="n">
        <v>1</v>
      </c>
      <c r="C3135" s="18" t="n">
        <v>2019</v>
      </c>
      <c r="D3135" s="18" t="n">
        <v>2019</v>
      </c>
      <c r="E3135" s="18" t="inlineStr">
        <is>
          <t>Fast &amp; Furious Presents: Hobbs &amp; Shaw</t>
        </is>
      </c>
      <c r="F3135" s="18" t="inlineStr">
        <is>
          <t>F0111</t>
        </is>
      </c>
    </row>
    <row r="3136" ht="15.75" customHeight="1" s="108">
      <c r="A3136" s="18" t="inlineStr">
        <is>
          <t>Georgia Meacham</t>
        </is>
      </c>
      <c r="B3136" s="18" t="n">
        <v>1</v>
      </c>
      <c r="C3136" s="18" t="n">
        <v>2019</v>
      </c>
      <c r="D3136" s="18" t="n">
        <v>2019</v>
      </c>
      <c r="E3136" s="18" t="inlineStr">
        <is>
          <t>Fast &amp; Furious Presents: Hobbs &amp; Shaw</t>
        </is>
      </c>
      <c r="F3136" s="18" t="inlineStr">
        <is>
          <t>F0111</t>
        </is>
      </c>
    </row>
    <row r="3137" ht="15.75" customHeight="1" s="108">
      <c r="A3137" s="18" t="inlineStr">
        <is>
          <t>Laura Porta</t>
        </is>
      </c>
      <c r="B3137" s="18" t="n">
        <v>1</v>
      </c>
      <c r="C3137" s="18" t="n">
        <v>2019</v>
      </c>
      <c r="D3137" s="18" t="n">
        <v>2019</v>
      </c>
      <c r="E3137" s="18" t="inlineStr">
        <is>
          <t>Fast &amp; Furious Presents: Hobbs &amp; Shaw</t>
        </is>
      </c>
      <c r="F3137" s="18" t="inlineStr">
        <is>
          <t>F0111</t>
        </is>
      </c>
    </row>
    <row r="3138" ht="15.75" customHeight="1" s="108">
      <c r="A3138" s="18" t="inlineStr">
        <is>
          <t>Ima Caryl</t>
        </is>
      </c>
      <c r="B3138" s="18" t="n">
        <v>1</v>
      </c>
      <c r="C3138" s="18" t="n">
        <v>2019</v>
      </c>
      <c r="D3138" s="18" t="n">
        <v>2019</v>
      </c>
      <c r="E3138" s="18" t="inlineStr">
        <is>
          <t>Fast &amp; Furious Presents: Hobbs &amp; Shaw</t>
        </is>
      </c>
      <c r="F3138" s="18" t="inlineStr">
        <is>
          <t>F0111</t>
        </is>
      </c>
    </row>
    <row r="3139" ht="15.75" customHeight="1" s="108">
      <c r="A3139" s="18" t="inlineStr">
        <is>
          <t>Shiloh Coke</t>
        </is>
      </c>
      <c r="B3139" s="18" t="n">
        <v>1</v>
      </c>
      <c r="C3139" s="18" t="n">
        <v>2019</v>
      </c>
      <c r="D3139" s="18" t="n">
        <v>2019</v>
      </c>
      <c r="E3139" s="18" t="inlineStr">
        <is>
          <t>Fast &amp; Furious Presents: Hobbs &amp; Shaw</t>
        </is>
      </c>
      <c r="F3139" s="18" t="inlineStr">
        <is>
          <t>F0111</t>
        </is>
      </c>
    </row>
    <row r="3140" ht="15.75" customHeight="1" s="108">
      <c r="A3140" s="18" t="inlineStr">
        <is>
          <t>Joshua Coombes</t>
        </is>
      </c>
      <c r="B3140" s="18" t="n">
        <v>1</v>
      </c>
      <c r="C3140" s="18" t="n">
        <v>2019</v>
      </c>
      <c r="D3140" s="18" t="n">
        <v>2019</v>
      </c>
      <c r="E3140" s="18" t="inlineStr">
        <is>
          <t>Fast &amp; Furious Presents: Hobbs &amp; Shaw</t>
        </is>
      </c>
      <c r="F3140" s="18" t="inlineStr">
        <is>
          <t>F0111</t>
        </is>
      </c>
    </row>
    <row r="3141" ht="15.75" customHeight="1" s="108">
      <c r="A3141" s="18" t="inlineStr">
        <is>
          <t>Meesha Garbett</t>
        </is>
      </c>
      <c r="B3141" s="18" t="n">
        <v>1</v>
      </c>
      <c r="C3141" s="18" t="n">
        <v>2019</v>
      </c>
      <c r="D3141" s="18" t="n">
        <v>2019</v>
      </c>
      <c r="E3141" s="18" t="inlineStr">
        <is>
          <t>Fast &amp; Furious Presents: Hobbs &amp; Shaw</t>
        </is>
      </c>
      <c r="F3141" s="18" t="inlineStr">
        <is>
          <t>F0111</t>
        </is>
      </c>
    </row>
    <row r="3142" ht="15.75" customHeight="1" s="108">
      <c r="A3142" s="18" t="inlineStr">
        <is>
          <t>Harry Hickles</t>
        </is>
      </c>
      <c r="B3142" s="18" t="n">
        <v>1</v>
      </c>
      <c r="C3142" s="18" t="n">
        <v>2019</v>
      </c>
      <c r="D3142" s="18" t="n">
        <v>2019</v>
      </c>
      <c r="E3142" s="18" t="inlineStr">
        <is>
          <t>Fast &amp; Furious Presents: Hobbs &amp; Shaw</t>
        </is>
      </c>
      <c r="F3142" s="18" t="inlineStr">
        <is>
          <t>F0111</t>
        </is>
      </c>
    </row>
    <row r="3143" ht="15.75" customHeight="1" s="108">
      <c r="A3143" s="18" t="inlineStr">
        <is>
          <t>Lucy McCormick</t>
        </is>
      </c>
      <c r="B3143" s="18" t="n">
        <v>1</v>
      </c>
      <c r="C3143" s="18" t="n">
        <v>2019</v>
      </c>
      <c r="D3143" s="18" t="n">
        <v>2019</v>
      </c>
      <c r="E3143" s="18" t="inlineStr">
        <is>
          <t>Fast &amp; Furious Presents: Hobbs &amp; Shaw</t>
        </is>
      </c>
      <c r="F3143" s="18" t="inlineStr">
        <is>
          <t>F0111</t>
        </is>
      </c>
    </row>
    <row r="3144" ht="15.75" customHeight="1" s="108">
      <c r="A3144" s="18" t="inlineStr">
        <is>
          <t>Stephen Mitchell</t>
        </is>
      </c>
      <c r="B3144" s="18" t="n">
        <v>1</v>
      </c>
      <c r="C3144" s="18" t="n">
        <v>2019</v>
      </c>
      <c r="D3144" s="18" t="n">
        <v>2019</v>
      </c>
      <c r="E3144" s="18" t="inlineStr">
        <is>
          <t>Fast &amp; Furious Presents: Hobbs &amp; Shaw</t>
        </is>
      </c>
      <c r="F3144" s="18" t="inlineStr">
        <is>
          <t>F0111</t>
        </is>
      </c>
    </row>
    <row r="3145" ht="15.75" customHeight="1" s="108">
      <c r="A3145" s="18" t="inlineStr">
        <is>
          <t>Akie Kotabe</t>
        </is>
      </c>
      <c r="B3145" s="18" t="n">
        <v>2</v>
      </c>
      <c r="C3145" s="18" t="n">
        <v>2016</v>
      </c>
      <c r="D3145" s="18" t="n">
        <v>2019</v>
      </c>
      <c r="E3145" s="18" t="inlineStr">
        <is>
          <t>Fast &amp; Furious Presents: Hobbs &amp; Shaw, Jason bourne</t>
        </is>
      </c>
      <c r="F3145" s="18" t="inlineStr">
        <is>
          <t>F0111, F0358</t>
        </is>
      </c>
    </row>
    <row r="3146" ht="15.75" customHeight="1" s="108">
      <c r="A3146" s="18" t="inlineStr">
        <is>
          <t>Felicity Dean</t>
        </is>
      </c>
      <c r="B3146" s="18" t="n">
        <v>1</v>
      </c>
      <c r="C3146" s="18" t="n">
        <v>2019</v>
      </c>
      <c r="D3146" s="18" t="n">
        <v>2019</v>
      </c>
      <c r="E3146" s="18" t="inlineStr">
        <is>
          <t>Fast &amp; Furious Presents: Hobbs &amp; Shaw</t>
        </is>
      </c>
      <c r="F3146" s="18" t="inlineStr">
        <is>
          <t>F0111</t>
        </is>
      </c>
    </row>
    <row r="3147" ht="15.75" customHeight="1" s="108">
      <c r="A3147" s="18" t="inlineStr">
        <is>
          <t>Pete White</t>
        </is>
      </c>
      <c r="B3147" s="18" t="n">
        <v>1</v>
      </c>
      <c r="C3147" s="18" t="n">
        <v>2019</v>
      </c>
      <c r="D3147" s="18" t="n">
        <v>2019</v>
      </c>
      <c r="E3147" s="18" t="inlineStr">
        <is>
          <t>Fast &amp; Furious Presents: Hobbs &amp; Shaw</t>
        </is>
      </c>
      <c r="F3147" s="18" t="inlineStr">
        <is>
          <t>F0111</t>
        </is>
      </c>
    </row>
    <row r="3148" ht="15.75" customHeight="1" s="108">
      <c r="A3148" s="18" t="inlineStr">
        <is>
          <t>Zach Grenier</t>
        </is>
      </c>
      <c r="B3148" s="18" t="n">
        <v>3</v>
      </c>
      <c r="C3148" s="18" t="n">
        <v>1999</v>
      </c>
      <c r="D3148" s="18" t="n">
        <v>2007</v>
      </c>
      <c r="E3148" s="18" t="inlineStr">
        <is>
          <t>Fight Club, RoboCop, Zodiac</t>
        </is>
      </c>
      <c r="F3148" s="18" t="inlineStr">
        <is>
          <t>F0112, F0268, F0350</t>
        </is>
      </c>
    </row>
    <row r="3149" ht="15.75" customHeight="1" s="108">
      <c r="A3149" s="18" t="inlineStr">
        <is>
          <t>Eion Bailey</t>
        </is>
      </c>
      <c r="B3149" s="18" t="n">
        <v>1</v>
      </c>
      <c r="C3149" s="18" t="n">
        <v>1999</v>
      </c>
      <c r="D3149" s="18" t="n">
        <v>1999</v>
      </c>
      <c r="E3149" s="18" t="inlineStr">
        <is>
          <t>Fight Club</t>
        </is>
      </c>
      <c r="F3149" s="18" t="inlineStr">
        <is>
          <t>F0112</t>
        </is>
      </c>
    </row>
    <row r="3150" ht="15.75" customHeight="1" s="108">
      <c r="A3150" s="18" t="inlineStr">
        <is>
          <t>Richmond Arquette</t>
        </is>
      </c>
      <c r="B3150" s="18" t="n">
        <v>2</v>
      </c>
      <c r="C3150" s="18" t="n">
        <v>1999</v>
      </c>
      <c r="D3150" s="18" t="n">
        <v>2007</v>
      </c>
      <c r="E3150" s="18" t="inlineStr">
        <is>
          <t>Fight Club, Zodiac</t>
        </is>
      </c>
      <c r="F3150" s="18" t="inlineStr">
        <is>
          <t>F0112, F0350</t>
        </is>
      </c>
    </row>
    <row r="3151" ht="15.75" customHeight="1" s="108">
      <c r="A3151" s="18" t="inlineStr">
        <is>
          <t>George Maguire</t>
        </is>
      </c>
      <c r="B3151" s="18" t="n">
        <v>2</v>
      </c>
      <c r="C3151" s="18" t="n">
        <v>1999</v>
      </c>
      <c r="D3151" s="18" t="n">
        <v>2006</v>
      </c>
      <c r="E3151" s="18" t="inlineStr">
        <is>
          <t>Fight Club, The Pursuit of Happyness</t>
        </is>
      </c>
      <c r="F3151" s="18" t="inlineStr">
        <is>
          <t>F0112, F0260</t>
        </is>
      </c>
    </row>
    <row r="3152" ht="15.75" customHeight="1" s="108">
      <c r="A3152" s="18" t="inlineStr">
        <is>
          <t>Eugenie Bondurant</t>
        </is>
      </c>
      <c r="B3152" s="18" t="n">
        <v>2</v>
      </c>
      <c r="C3152" s="18" t="n">
        <v>1999</v>
      </c>
      <c r="D3152" s="18" t="n">
        <v>2015</v>
      </c>
      <c r="E3152" s="18" t="inlineStr">
        <is>
          <t>Fight Club, Mockingjay part 2</t>
        </is>
      </c>
      <c r="F3152" s="18" t="inlineStr">
        <is>
          <t>F0112, F0383</t>
        </is>
      </c>
    </row>
    <row r="3153" ht="15.75" customHeight="1" s="108">
      <c r="A3153" s="18" t="inlineStr">
        <is>
          <t>Christina Cabot</t>
        </is>
      </c>
      <c r="B3153" s="18" t="n">
        <v>1</v>
      </c>
      <c r="C3153" s="18" t="n">
        <v>1999</v>
      </c>
      <c r="D3153" s="18" t="n">
        <v>1999</v>
      </c>
      <c r="E3153" s="18" t="inlineStr">
        <is>
          <t>Fight Club</t>
        </is>
      </c>
      <c r="F3153" s="18" t="inlineStr">
        <is>
          <t>F0112</t>
        </is>
      </c>
    </row>
    <row r="3154" ht="15.75" customHeight="1" s="108">
      <c r="A3154" s="18" t="inlineStr">
        <is>
          <t>Sydney 'Big Dawg' Colston</t>
        </is>
      </c>
      <c r="B3154" s="18" t="n">
        <v>1</v>
      </c>
      <c r="C3154" s="18" t="n">
        <v>1999</v>
      </c>
      <c r="D3154" s="18" t="n">
        <v>1999</v>
      </c>
      <c r="E3154" s="18" t="inlineStr">
        <is>
          <t>Fight Club</t>
        </is>
      </c>
      <c r="F3154" s="18" t="inlineStr">
        <is>
          <t>F0112</t>
        </is>
      </c>
    </row>
    <row r="3155" ht="15.75" customHeight="1" s="108">
      <c r="A3155" s="18" t="inlineStr">
        <is>
          <t>Rachel Singer</t>
        </is>
      </c>
      <c r="B3155" s="18" t="n">
        <v>1</v>
      </c>
      <c r="C3155" s="18" t="n">
        <v>1999</v>
      </c>
      <c r="D3155" s="18" t="n">
        <v>1999</v>
      </c>
      <c r="E3155" s="18" t="inlineStr">
        <is>
          <t>Fight Club</t>
        </is>
      </c>
      <c r="F3155" s="18" t="inlineStr">
        <is>
          <t>F0112</t>
        </is>
      </c>
    </row>
    <row r="3156" ht="15.75" customHeight="1" s="108">
      <c r="A3156" s="18" t="inlineStr">
        <is>
          <t>Christie Cronenweth</t>
        </is>
      </c>
      <c r="B3156" s="18" t="n">
        <v>1</v>
      </c>
      <c r="C3156" s="18" t="n">
        <v>1999</v>
      </c>
      <c r="D3156" s="18" t="n">
        <v>1999</v>
      </c>
      <c r="E3156" s="18" t="inlineStr">
        <is>
          <t>Fight Club</t>
        </is>
      </c>
      <c r="F3156" s="18" t="inlineStr">
        <is>
          <t>F0112</t>
        </is>
      </c>
    </row>
    <row r="3157" ht="15.75" customHeight="1" s="108">
      <c r="A3157" s="18" t="inlineStr">
        <is>
          <t>Ezra Buzzington</t>
        </is>
      </c>
      <c r="B3157" s="18" t="n">
        <v>2</v>
      </c>
      <c r="C3157" s="18" t="n">
        <v>1999</v>
      </c>
      <c r="D3157" s="18" t="n">
        <v>2006</v>
      </c>
      <c r="E3157" s="18" t="inlineStr">
        <is>
          <t>Fight Club, The Prestige</t>
        </is>
      </c>
      <c r="F3157" s="18" t="inlineStr">
        <is>
          <t>F0112, F0257</t>
        </is>
      </c>
    </row>
    <row r="3158" ht="15.75" customHeight="1" s="108">
      <c r="A3158" s="18" t="inlineStr">
        <is>
          <t>Dierdre Downing-Jackson</t>
        </is>
      </c>
      <c r="B3158" s="18" t="n">
        <v>1</v>
      </c>
      <c r="C3158" s="18" t="n">
        <v>1999</v>
      </c>
      <c r="D3158" s="18" t="n">
        <v>1999</v>
      </c>
      <c r="E3158" s="18" t="inlineStr">
        <is>
          <t>Fight Club</t>
        </is>
      </c>
      <c r="F3158" s="18" t="inlineStr">
        <is>
          <t>F0112</t>
        </is>
      </c>
    </row>
    <row r="3159" ht="15.75" customHeight="1" s="108">
      <c r="A3159" s="18" t="inlineStr">
        <is>
          <t>Charlie Dell</t>
        </is>
      </c>
      <c r="B3159" s="18" t="n">
        <v>1</v>
      </c>
      <c r="C3159" s="18" t="n">
        <v>1999</v>
      </c>
      <c r="D3159" s="18" t="n">
        <v>1999</v>
      </c>
      <c r="E3159" s="18" t="inlineStr">
        <is>
          <t>Fight Club</t>
        </is>
      </c>
      <c r="F3159" s="18" t="inlineStr">
        <is>
          <t>F0112</t>
        </is>
      </c>
    </row>
    <row r="3160" ht="15.75" customHeight="1" s="108">
      <c r="A3160" s="18" t="inlineStr">
        <is>
          <t>Rob Lanza</t>
        </is>
      </c>
      <c r="B3160" s="18" t="n">
        <v>1</v>
      </c>
      <c r="C3160" s="18" t="n">
        <v>1999</v>
      </c>
      <c r="D3160" s="18" t="n">
        <v>1999</v>
      </c>
      <c r="E3160" s="18" t="inlineStr">
        <is>
          <t>Fight Club</t>
        </is>
      </c>
      <c r="F3160" s="18" t="inlineStr">
        <is>
          <t>F0112</t>
        </is>
      </c>
    </row>
    <row r="3161" ht="15.75" customHeight="1" s="108">
      <c r="A3161" s="18" t="inlineStr">
        <is>
          <t>David Lee Smith</t>
        </is>
      </c>
      <c r="B3161" s="18" t="n">
        <v>2</v>
      </c>
      <c r="C3161" s="18" t="n">
        <v>1999</v>
      </c>
      <c r="D3161" s="18" t="n">
        <v>2007</v>
      </c>
      <c r="E3161" s="18" t="inlineStr">
        <is>
          <t>Fight Club, Zodiac</t>
        </is>
      </c>
      <c r="F3161" s="18" t="inlineStr">
        <is>
          <t>F0112, F0350</t>
        </is>
      </c>
    </row>
    <row r="3162" ht="15.75" customHeight="1" s="108">
      <c r="A3162" s="18" t="inlineStr">
        <is>
          <t>Joel Bissonnette</t>
        </is>
      </c>
      <c r="B3162" s="18" t="n">
        <v>1</v>
      </c>
      <c r="C3162" s="18" t="n">
        <v>1999</v>
      </c>
      <c r="D3162" s="18" t="n">
        <v>1999</v>
      </c>
      <c r="E3162" s="18" t="inlineStr">
        <is>
          <t>Fight Club</t>
        </is>
      </c>
      <c r="F3162" s="18" t="inlineStr">
        <is>
          <t>F0112</t>
        </is>
      </c>
    </row>
    <row r="3163" ht="15.75" customHeight="1" s="108">
      <c r="A3163" s="18" t="inlineStr">
        <is>
          <t>Evan Mirand</t>
        </is>
      </c>
      <c r="B3163" s="18" t="n">
        <v>1</v>
      </c>
      <c r="C3163" s="18" t="n">
        <v>1999</v>
      </c>
      <c r="D3163" s="18" t="n">
        <v>1999</v>
      </c>
      <c r="E3163" s="18" t="inlineStr">
        <is>
          <t>Fight Club</t>
        </is>
      </c>
      <c r="F3163" s="18" t="inlineStr">
        <is>
          <t>F0112</t>
        </is>
      </c>
    </row>
    <row r="3164" ht="15.75" customHeight="1" s="108">
      <c r="A3164" s="18" t="inlineStr">
        <is>
          <t>Robby Robinson</t>
        </is>
      </c>
      <c r="B3164" s="18" t="n">
        <v>1</v>
      </c>
      <c r="C3164" s="18" t="n">
        <v>1999</v>
      </c>
      <c r="D3164" s="18" t="n">
        <v>1999</v>
      </c>
      <c r="E3164" s="18" t="inlineStr">
        <is>
          <t>Fight Club</t>
        </is>
      </c>
      <c r="F3164" s="18" t="inlineStr">
        <is>
          <t>F0112</t>
        </is>
      </c>
    </row>
    <row r="3165" ht="15.75" customHeight="1" s="108">
      <c r="A3165" s="18" t="inlineStr">
        <is>
          <t>Lou Beatty Jr.</t>
        </is>
      </c>
      <c r="B3165" s="18" t="n">
        <v>1</v>
      </c>
      <c r="C3165" s="18" t="n">
        <v>1999</v>
      </c>
      <c r="D3165" s="18" t="n">
        <v>1999</v>
      </c>
      <c r="E3165" s="18" t="inlineStr">
        <is>
          <t>Fight Club</t>
        </is>
      </c>
      <c r="F3165" s="18" t="inlineStr">
        <is>
          <t>F0112</t>
        </is>
      </c>
    </row>
    <row r="3166" ht="15.75" customHeight="1" s="108">
      <c r="A3166" s="18" t="inlineStr">
        <is>
          <t>Thom Gossom Jr.</t>
        </is>
      </c>
      <c r="B3166" s="18" t="n">
        <v>1</v>
      </c>
      <c r="C3166" s="18" t="n">
        <v>1999</v>
      </c>
      <c r="D3166" s="18" t="n">
        <v>1999</v>
      </c>
      <c r="E3166" s="18" t="inlineStr">
        <is>
          <t>Fight Club</t>
        </is>
      </c>
      <c r="F3166" s="18" t="inlineStr">
        <is>
          <t>F0112</t>
        </is>
      </c>
    </row>
    <row r="3167" ht="15.75" customHeight="1" s="108">
      <c r="A3167" s="18" t="inlineStr">
        <is>
          <t>Valerie Bickford</t>
        </is>
      </c>
      <c r="B3167" s="18" t="n">
        <v>1</v>
      </c>
      <c r="C3167" s="18" t="n">
        <v>1999</v>
      </c>
      <c r="D3167" s="18" t="n">
        <v>1999</v>
      </c>
      <c r="E3167" s="18" t="inlineStr">
        <is>
          <t>Fight Club</t>
        </is>
      </c>
      <c r="F3167" s="18" t="inlineStr">
        <is>
          <t>F0112</t>
        </is>
      </c>
    </row>
    <row r="3168" ht="15.75" customHeight="1" s="108">
      <c r="A3168" s="18" t="inlineStr">
        <is>
          <t>Peter Iacangelo</t>
        </is>
      </c>
      <c r="B3168" s="18" t="n">
        <v>1</v>
      </c>
      <c r="C3168" s="18" t="n">
        <v>1999</v>
      </c>
      <c r="D3168" s="18" t="n">
        <v>1999</v>
      </c>
      <c r="E3168" s="18" t="inlineStr">
        <is>
          <t>Fight Club</t>
        </is>
      </c>
      <c r="F3168" s="18" t="inlineStr">
        <is>
          <t>F0112</t>
        </is>
      </c>
    </row>
    <row r="3169" ht="15.75" customHeight="1" s="108">
      <c r="A3169" s="18" t="inlineStr">
        <is>
          <t>Eugene Levy</t>
        </is>
      </c>
      <c r="B3169" s="18" t="n">
        <v>1</v>
      </c>
      <c r="C3169" s="18" t="n">
        <v>2016</v>
      </c>
      <c r="D3169" s="18" t="n">
        <v>2016</v>
      </c>
      <c r="E3169" s="18" t="inlineStr">
        <is>
          <t>Finding Dory</t>
        </is>
      </c>
      <c r="F3169" s="18" t="inlineStr">
        <is>
          <t>F0113</t>
        </is>
      </c>
    </row>
    <row r="3170" ht="15.75" customHeight="1" s="108">
      <c r="A3170" s="18" t="inlineStr">
        <is>
          <t>Kaitlin Olson</t>
        </is>
      </c>
      <c r="B3170" s="18" t="n">
        <v>2</v>
      </c>
      <c r="C3170" s="18" t="n">
        <v>2013</v>
      </c>
      <c r="D3170" s="18" t="n">
        <v>2016</v>
      </c>
      <c r="E3170" s="18" t="inlineStr">
        <is>
          <t>Finding Dory, The Heat</t>
        </is>
      </c>
      <c r="F3170" s="18" t="inlineStr">
        <is>
          <t>F0113, F0146</t>
        </is>
      </c>
    </row>
    <row r="3171" ht="15.75" customHeight="1" s="108">
      <c r="A3171" s="18" t="inlineStr">
        <is>
          <t>Dominic West</t>
        </is>
      </c>
      <c r="B3171" s="18" t="n">
        <v>2</v>
      </c>
      <c r="C3171" s="18" t="n">
        <v>1999</v>
      </c>
      <c r="D3171" s="18" t="n">
        <v>2016</v>
      </c>
      <c r="E3171" s="18" t="inlineStr">
        <is>
          <t>Finding Dory, Star Wars: Episode I – The Phantom Menace</t>
        </is>
      </c>
      <c r="F3171" s="18" t="inlineStr">
        <is>
          <t>F0113, F0292</t>
        </is>
      </c>
    </row>
    <row r="3172" ht="15.75" customHeight="1" s="108">
      <c r="A3172" s="18" t="inlineStr">
        <is>
          <t>Andrew Stanton</t>
        </is>
      </c>
      <c r="B3172" s="18" t="n">
        <v>5</v>
      </c>
      <c r="C3172" s="18" t="n">
        <v>1999</v>
      </c>
      <c r="D3172" s="18" t="n">
        <v>2016</v>
      </c>
      <c r="E3172" s="18" t="inlineStr">
        <is>
          <t>Finding Dory, Toy Story 2, WALL·E, finding nemo,  finding nemo</t>
        </is>
      </c>
      <c r="F3172" s="18" t="inlineStr">
        <is>
          <t>F0113, F0313, F0331, F0369</t>
        </is>
      </c>
    </row>
    <row r="3173" ht="15.75" customHeight="1" s="108">
      <c r="A3173" s="18" t="inlineStr">
        <is>
          <t>Torbin Xan Bullock</t>
        </is>
      </c>
      <c r="B3173" s="18" t="n">
        <v>1</v>
      </c>
      <c r="C3173" s="18" t="n">
        <v>2016</v>
      </c>
      <c r="D3173" s="18" t="n">
        <v>2016</v>
      </c>
      <c r="E3173" s="18" t="inlineStr">
        <is>
          <t>Finding Dory</t>
        </is>
      </c>
      <c r="F3173" s="18" t="inlineStr">
        <is>
          <t>F0113</t>
        </is>
      </c>
    </row>
    <row r="3174" ht="15.75" customHeight="1" s="108">
      <c r="A3174" s="18" t="inlineStr">
        <is>
          <t>Bennett Dammann</t>
        </is>
      </c>
      <c r="B3174" s="18" t="n">
        <v>1</v>
      </c>
      <c r="C3174" s="18" t="n">
        <v>2016</v>
      </c>
      <c r="D3174" s="18" t="n">
        <v>2016</v>
      </c>
      <c r="E3174" s="18" t="inlineStr">
        <is>
          <t>Finding Dory</t>
        </is>
      </c>
      <c r="F3174" s="18" t="inlineStr">
        <is>
          <t>F0113</t>
        </is>
      </c>
    </row>
    <row r="3175" ht="15.75" customHeight="1" s="108">
      <c r="A3175" s="18" t="inlineStr">
        <is>
          <t>Alexander Gould</t>
        </is>
      </c>
      <c r="B3175" s="18" t="n">
        <v>3</v>
      </c>
      <c r="C3175" s="18" t="n">
        <v>2003</v>
      </c>
      <c r="D3175" s="18" t="n">
        <v>2016</v>
      </c>
      <c r="E3175" s="18" t="inlineStr">
        <is>
          <t>Finding Dory, finding nemo,  finding nemo</t>
        </is>
      </c>
      <c r="F3175" s="18" t="inlineStr">
        <is>
          <t>F0113, F0369</t>
        </is>
      </c>
    </row>
    <row r="3176" ht="15.75" customHeight="1" s="108">
      <c r="A3176" s="18" t="inlineStr">
        <is>
          <t>Katherine Ringgold</t>
        </is>
      </c>
      <c r="B3176" s="18" t="n">
        <v>1</v>
      </c>
      <c r="C3176" s="18" t="n">
        <v>2016</v>
      </c>
      <c r="D3176" s="18" t="n">
        <v>2016</v>
      </c>
      <c r="E3176" s="18" t="inlineStr">
        <is>
          <t>Finding Dory</t>
        </is>
      </c>
      <c r="F3176" s="18" t="inlineStr">
        <is>
          <t>F0113</t>
        </is>
      </c>
    </row>
    <row r="3177" ht="15.75" customHeight="1" s="108">
      <c r="A3177" s="18" t="inlineStr">
        <is>
          <t>Angus MacLane</t>
        </is>
      </c>
      <c r="B3177" s="18" t="n">
        <v>2</v>
      </c>
      <c r="C3177" s="18" t="n">
        <v>2008</v>
      </c>
      <c r="D3177" s="18" t="n">
        <v>2016</v>
      </c>
      <c r="E3177" s="18" t="inlineStr">
        <is>
          <t>Finding Dory, WALL·E</t>
        </is>
      </c>
      <c r="F3177" s="18" t="inlineStr">
        <is>
          <t>F0113, F0331</t>
        </is>
      </c>
    </row>
    <row r="3178" ht="15.75" customHeight="1" s="108">
      <c r="A3178" s="18" t="inlineStr">
        <is>
          <t>Austin Pendleton</t>
        </is>
      </c>
      <c r="B3178" s="18" t="n">
        <v>3</v>
      </c>
      <c r="C3178" s="18" t="n">
        <v>2003</v>
      </c>
      <c r="D3178" s="18" t="n">
        <v>2016</v>
      </c>
      <c r="E3178" s="18" t="inlineStr">
        <is>
          <t>Finding Dory, finding nemo,  finding nemo</t>
        </is>
      </c>
      <c r="F3178" s="18" t="inlineStr">
        <is>
          <t>F0113, F0369</t>
        </is>
      </c>
    </row>
    <row r="3179" ht="15.75" customHeight="1" s="108">
      <c r="A3179" s="18" t="inlineStr">
        <is>
          <t>Stephen Root</t>
        </is>
      </c>
      <c r="B3179" s="18" t="n">
        <v>4</v>
      </c>
      <c r="C3179" s="18" t="n">
        <v>2003</v>
      </c>
      <c r="D3179" s="18" t="n">
        <v>2016</v>
      </c>
      <c r="E3179" s="18" t="inlineStr">
        <is>
          <t>Finding Dory, Ice Age: The Meltdown, finding nemo,  finding nemo</t>
        </is>
      </c>
      <c r="F3179" s="18" t="inlineStr">
        <is>
          <t>F0113, F0160, F0369</t>
        </is>
      </c>
    </row>
    <row r="3180" ht="15.75" customHeight="1" s="108">
      <c r="A3180" s="18" t="inlineStr">
        <is>
          <t>Vicki Lewis</t>
        </is>
      </c>
      <c r="B3180" s="18" t="n">
        <v>3</v>
      </c>
      <c r="C3180" s="18" t="n">
        <v>2003</v>
      </c>
      <c r="D3180" s="18" t="n">
        <v>2016</v>
      </c>
      <c r="E3180" s="18" t="inlineStr">
        <is>
          <t>Finding Dory, finding nemo,  finding nemo</t>
        </is>
      </c>
      <c r="F3180" s="18" t="inlineStr">
        <is>
          <t>F0113, F0369</t>
        </is>
      </c>
    </row>
    <row r="3181" ht="15.75" customHeight="1" s="108">
      <c r="A3181" s="18" t="inlineStr">
        <is>
          <t>Jerome Ranft</t>
        </is>
      </c>
      <c r="B3181" s="18" t="n">
        <v>2</v>
      </c>
      <c r="C3181" s="18" t="n">
        <v>2009</v>
      </c>
      <c r="D3181" s="18" t="n">
        <v>2016</v>
      </c>
      <c r="E3181" s="18" t="inlineStr">
        <is>
          <t>Finding Dory, Up</t>
        </is>
      </c>
      <c r="F3181" s="18" t="inlineStr">
        <is>
          <t>F0113, F0330</t>
        </is>
      </c>
    </row>
    <row r="3182" ht="15.75" customHeight="1" s="108">
      <c r="A3182" s="18" t="inlineStr">
        <is>
          <t>Sloane Murray</t>
        </is>
      </c>
      <c r="B3182" s="18" t="n">
        <v>1</v>
      </c>
      <c r="C3182" s="18" t="n">
        <v>2016</v>
      </c>
      <c r="D3182" s="18" t="n">
        <v>2016</v>
      </c>
      <c r="E3182" s="18" t="inlineStr">
        <is>
          <t>Finding Dory</t>
        </is>
      </c>
      <c r="F3182" s="18" t="inlineStr">
        <is>
          <t>F0113</t>
        </is>
      </c>
    </row>
    <row r="3183" ht="15.75" customHeight="1" s="108">
      <c r="A3183" s="18" t="inlineStr">
        <is>
          <t>Lucia Geddes</t>
        </is>
      </c>
      <c r="B3183" s="18" t="n">
        <v>1</v>
      </c>
      <c r="C3183" s="18" t="n">
        <v>2016</v>
      </c>
      <c r="D3183" s="18" t="n">
        <v>2016</v>
      </c>
      <c r="E3183" s="18" t="inlineStr">
        <is>
          <t>Finding Dory</t>
        </is>
      </c>
      <c r="F3183" s="18" t="inlineStr">
        <is>
          <t>F0113</t>
        </is>
      </c>
    </row>
    <row r="3184" ht="15.75" customHeight="1" s="108">
      <c r="A3184" s="18" t="inlineStr">
        <is>
          <t>Gabriel C. Brown</t>
        </is>
      </c>
      <c r="B3184" s="18" t="n">
        <v>1</v>
      </c>
      <c r="C3184" s="18" t="n">
        <v>2016</v>
      </c>
      <c r="D3184" s="18" t="n">
        <v>2016</v>
      </c>
      <c r="E3184" s="18" t="inlineStr">
        <is>
          <t>Finding Dory</t>
        </is>
      </c>
      <c r="F3184" s="18" t="inlineStr">
        <is>
          <t>F0113</t>
        </is>
      </c>
    </row>
    <row r="3185" ht="15.75" customHeight="1" s="108">
      <c r="A3185" s="18" t="inlineStr">
        <is>
          <t>Mary Lynn Rajskub</t>
        </is>
      </c>
      <c r="B3185" s="18" t="n">
        <v>1</v>
      </c>
      <c r="C3185" s="18" t="n">
        <v>2006</v>
      </c>
      <c r="D3185" s="18" t="n">
        <v>2006</v>
      </c>
      <c r="E3185" s="18" t="inlineStr">
        <is>
          <t>Firewall</t>
        </is>
      </c>
      <c r="F3185" s="18" t="inlineStr">
        <is>
          <t>F0114</t>
        </is>
      </c>
    </row>
    <row r="3186" ht="15.75" customHeight="1" s="108">
      <c r="A3186" s="18" t="inlineStr">
        <is>
          <t>Robert Patrick</t>
        </is>
      </c>
      <c r="B3186" s="18" t="n">
        <v>2</v>
      </c>
      <c r="C3186" s="18" t="n">
        <v>2006</v>
      </c>
      <c r="D3186" s="18" t="n">
        <v>2012</v>
      </c>
      <c r="E3186" s="18" t="inlineStr">
        <is>
          <t>Firewall, Safe House</t>
        </is>
      </c>
      <c r="F3186" s="18" t="inlineStr">
        <is>
          <t>F0114, F0272</t>
        </is>
      </c>
    </row>
    <row r="3187" ht="15.75" customHeight="1" s="108">
      <c r="A3187" s="18" t="inlineStr">
        <is>
          <t>Robert Forster</t>
        </is>
      </c>
      <c r="B3187" s="18" t="n">
        <v>2</v>
      </c>
      <c r="C3187" s="18" t="n">
        <v>2006</v>
      </c>
      <c r="D3187" s="18" t="n">
        <v>2013</v>
      </c>
      <c r="E3187" s="18" t="inlineStr">
        <is>
          <t>Firewall, Olympus Has Fallen</t>
        </is>
      </c>
      <c r="F3187" s="18" t="inlineStr">
        <is>
          <t>F0114, F0240</t>
        </is>
      </c>
    </row>
    <row r="3188" ht="15.75" customHeight="1" s="108">
      <c r="A3188" s="18" t="inlineStr">
        <is>
          <t>Birkett Turton</t>
        </is>
      </c>
      <c r="B3188" s="18" t="n">
        <v>1</v>
      </c>
      <c r="C3188" s="18" t="n">
        <v>2006</v>
      </c>
      <c r="D3188" s="18" t="n">
        <v>2006</v>
      </c>
      <c r="E3188" s="18" t="inlineStr">
        <is>
          <t>Firewall</t>
        </is>
      </c>
      <c r="F3188" s="18" t="inlineStr">
        <is>
          <t>F0114</t>
        </is>
      </c>
    </row>
    <row r="3189" ht="15.75" customHeight="1" s="108">
      <c r="A3189" s="18" t="inlineStr">
        <is>
          <t>Vince Vieluf</t>
        </is>
      </c>
      <c r="B3189" s="18" t="n">
        <v>1</v>
      </c>
      <c r="C3189" s="18" t="n">
        <v>2006</v>
      </c>
      <c r="D3189" s="18" t="n">
        <v>2006</v>
      </c>
      <c r="E3189" s="18" t="inlineStr">
        <is>
          <t>Firewall</t>
        </is>
      </c>
      <c r="F3189" s="18" t="inlineStr">
        <is>
          <t>F0114</t>
        </is>
      </c>
    </row>
    <row r="3190" ht="15.75" customHeight="1" s="108">
      <c r="A3190" s="18" t="inlineStr">
        <is>
          <t>Vincent Gale</t>
        </is>
      </c>
      <c r="B3190" s="18" t="n">
        <v>1</v>
      </c>
      <c r="C3190" s="18" t="n">
        <v>2006</v>
      </c>
      <c r="D3190" s="18" t="n">
        <v>2006</v>
      </c>
      <c r="E3190" s="18" t="inlineStr">
        <is>
          <t>Firewall</t>
        </is>
      </c>
      <c r="F3190" s="18" t="inlineStr">
        <is>
          <t>F0114</t>
        </is>
      </c>
    </row>
    <row r="3191" ht="15.75" customHeight="1" s="108">
      <c r="A3191" s="18" t="inlineStr">
        <is>
          <t>Matthew Currie Holmes</t>
        </is>
      </c>
      <c r="B3191" s="18" t="n">
        <v>1</v>
      </c>
      <c r="C3191" s="18" t="n">
        <v>2006</v>
      </c>
      <c r="D3191" s="18" t="n">
        <v>2006</v>
      </c>
      <c r="E3191" s="18" t="inlineStr">
        <is>
          <t>Firewall</t>
        </is>
      </c>
      <c r="F3191" s="18" t="inlineStr">
        <is>
          <t>F0114</t>
        </is>
      </c>
    </row>
    <row r="3192" ht="15.75" customHeight="1" s="108">
      <c r="A3192" s="18" t="inlineStr">
        <is>
          <t>Candus Churchill</t>
        </is>
      </c>
      <c r="B3192" s="18" t="n">
        <v>1</v>
      </c>
      <c r="C3192" s="18" t="n">
        <v>2006</v>
      </c>
      <c r="D3192" s="18" t="n">
        <v>2006</v>
      </c>
      <c r="E3192" s="18" t="inlineStr">
        <is>
          <t>Firewall</t>
        </is>
      </c>
      <c r="F3192" s="18" t="inlineStr">
        <is>
          <t>F0114</t>
        </is>
      </c>
    </row>
    <row r="3193" ht="15.75" customHeight="1" s="108">
      <c r="A3193" s="18" t="inlineStr">
        <is>
          <t>David James Lewis</t>
        </is>
      </c>
      <c r="B3193" s="18" t="n">
        <v>2</v>
      </c>
      <c r="C3193" s="18" t="n">
        <v>2006</v>
      </c>
      <c r="D3193" s="18" t="n">
        <v>2013</v>
      </c>
      <c r="E3193" s="18" t="inlineStr">
        <is>
          <t>Firewall, Man of Steel</t>
        </is>
      </c>
      <c r="F3193" s="18" t="inlineStr">
        <is>
          <t>F0114, F0211</t>
        </is>
      </c>
    </row>
    <row r="3194" ht="15.75" customHeight="1" s="108">
      <c r="A3194" s="18" t="inlineStr">
        <is>
          <t>Zahf Paroo</t>
        </is>
      </c>
      <c r="B3194" s="18" t="n">
        <v>1</v>
      </c>
      <c r="C3194" s="18" t="n">
        <v>2006</v>
      </c>
      <c r="D3194" s="18" t="n">
        <v>2006</v>
      </c>
      <c r="E3194" s="18" t="inlineStr">
        <is>
          <t>Firewall</t>
        </is>
      </c>
      <c r="F3194" s="18" t="inlineStr">
        <is>
          <t>F0114</t>
        </is>
      </c>
    </row>
    <row r="3195" ht="15.75" customHeight="1" s="108">
      <c r="A3195" s="18" t="inlineStr">
        <is>
          <t>Pat Jenkinson</t>
        </is>
      </c>
      <c r="B3195" s="18" t="n">
        <v>1</v>
      </c>
      <c r="C3195" s="18" t="n">
        <v>2006</v>
      </c>
      <c r="D3195" s="18" t="n">
        <v>2006</v>
      </c>
      <c r="E3195" s="18" t="inlineStr">
        <is>
          <t>Firewall</t>
        </is>
      </c>
      <c r="F3195" s="18" t="inlineStr">
        <is>
          <t>F0114</t>
        </is>
      </c>
    </row>
    <row r="3196" ht="15.75" customHeight="1" s="108">
      <c r="A3196" s="18" t="inlineStr">
        <is>
          <t>Gail Ann Lewis</t>
        </is>
      </c>
      <c r="B3196" s="18" t="n">
        <v>1</v>
      </c>
      <c r="C3196" s="18" t="n">
        <v>2006</v>
      </c>
      <c r="D3196" s="18" t="n">
        <v>2006</v>
      </c>
      <c r="E3196" s="18" t="inlineStr">
        <is>
          <t>Firewall</t>
        </is>
      </c>
      <c r="F3196" s="18" t="inlineStr">
        <is>
          <t>F0114</t>
        </is>
      </c>
    </row>
    <row r="3197" ht="15.75" customHeight="1" s="108">
      <c r="A3197" s="18" t="inlineStr">
        <is>
          <t>Finn Michael</t>
        </is>
      </c>
      <c r="B3197" s="18" t="n">
        <v>1</v>
      </c>
      <c r="C3197" s="18" t="n">
        <v>2006</v>
      </c>
      <c r="D3197" s="18" t="n">
        <v>2006</v>
      </c>
      <c r="E3197" s="18" t="inlineStr">
        <is>
          <t>Firewall</t>
        </is>
      </c>
      <c r="F3197" s="18" t="inlineStr">
        <is>
          <t>F0114</t>
        </is>
      </c>
    </row>
    <row r="3198" ht="15.75" customHeight="1" s="108">
      <c r="A3198" s="18" t="inlineStr">
        <is>
          <t>Andrew McNee</t>
        </is>
      </c>
      <c r="B3198" s="18" t="n">
        <v>1</v>
      </c>
      <c r="C3198" s="18" t="n">
        <v>2006</v>
      </c>
      <c r="D3198" s="18" t="n">
        <v>2006</v>
      </c>
      <c r="E3198" s="18" t="inlineStr">
        <is>
          <t>Firewall</t>
        </is>
      </c>
      <c r="F3198" s="18" t="inlineStr">
        <is>
          <t>F0114</t>
        </is>
      </c>
    </row>
    <row r="3199" ht="15.75" customHeight="1" s="108">
      <c r="A3199" s="18" t="inlineStr">
        <is>
          <t>Eric Keenleyside</t>
        </is>
      </c>
      <c r="B3199" s="18" t="n">
        <v>2</v>
      </c>
      <c r="C3199" s="18" t="n">
        <v>2006</v>
      </c>
      <c r="D3199" s="18" t="n">
        <v>2014</v>
      </c>
      <c r="E3199" s="18" t="inlineStr">
        <is>
          <t>Firewall, Godzilla</t>
        </is>
      </c>
      <c r="F3199" s="18" t="inlineStr">
        <is>
          <t>F0114, F0121</t>
        </is>
      </c>
    </row>
    <row r="3200" ht="15.75" customHeight="1" s="108">
      <c r="A3200" s="18" t="inlineStr">
        <is>
          <t>Beverley Breuer</t>
        </is>
      </c>
      <c r="B3200" s="18" t="n">
        <v>1</v>
      </c>
      <c r="C3200" s="18" t="n">
        <v>2006</v>
      </c>
      <c r="D3200" s="18" t="n">
        <v>2006</v>
      </c>
      <c r="E3200" s="18" t="inlineStr">
        <is>
          <t>Firewall</t>
        </is>
      </c>
      <c r="F3200" s="18" t="inlineStr">
        <is>
          <t>F0114</t>
        </is>
      </c>
    </row>
    <row r="3201" ht="15.75" customHeight="1" s="108">
      <c r="A3201" s="18" t="inlineStr">
        <is>
          <t>Jennifer Kitchen</t>
        </is>
      </c>
      <c r="B3201" s="18" t="n">
        <v>1</v>
      </c>
      <c r="C3201" s="18" t="n">
        <v>2006</v>
      </c>
      <c r="D3201" s="18" t="n">
        <v>2006</v>
      </c>
      <c r="E3201" s="18" t="inlineStr">
        <is>
          <t>Firewall</t>
        </is>
      </c>
      <c r="F3201" s="18" t="inlineStr">
        <is>
          <t>F0114</t>
        </is>
      </c>
    </row>
    <row r="3202" ht="15.75" customHeight="1" s="108">
      <c r="A3202" s="18" t="inlineStr">
        <is>
          <t>Rebecca Reichert</t>
        </is>
      </c>
      <c r="B3202" s="18" t="n">
        <v>1</v>
      </c>
      <c r="C3202" s="18" t="n">
        <v>2006</v>
      </c>
      <c r="D3202" s="18" t="n">
        <v>2006</v>
      </c>
      <c r="E3202" s="18" t="inlineStr">
        <is>
          <t>Firewall</t>
        </is>
      </c>
      <c r="F3202" s="18" t="inlineStr">
        <is>
          <t>F0114</t>
        </is>
      </c>
    </row>
    <row r="3203" ht="15.75" customHeight="1" s="108">
      <c r="A3203" s="18" t="inlineStr">
        <is>
          <t>Elizabeth Thai</t>
        </is>
      </c>
      <c r="B3203" s="18" t="n">
        <v>2</v>
      </c>
      <c r="C3203" s="18" t="n">
        <v>2006</v>
      </c>
      <c r="D3203" s="18" t="n">
        <v>2013</v>
      </c>
      <c r="E3203" s="18" t="inlineStr">
        <is>
          <t>Firewall, Man of Steel</t>
        </is>
      </c>
      <c r="F3203" s="18" t="inlineStr">
        <is>
          <t>F0114, F0211</t>
        </is>
      </c>
    </row>
    <row r="3204" ht="15.75" customHeight="1" s="108">
      <c r="A3204" s="18" t="inlineStr">
        <is>
          <t>Brenda Crichlow</t>
        </is>
      </c>
      <c r="B3204" s="18" t="n">
        <v>1</v>
      </c>
      <c r="C3204" s="18" t="n">
        <v>2006</v>
      </c>
      <c r="D3204" s="18" t="n">
        <v>2006</v>
      </c>
      <c r="E3204" s="18" t="inlineStr">
        <is>
          <t>Firewall</t>
        </is>
      </c>
      <c r="F3204" s="18" t="inlineStr">
        <is>
          <t>F0114</t>
        </is>
      </c>
    </row>
    <row r="3205" ht="15.75" customHeight="1" s="108">
      <c r="A3205" s="18" t="inlineStr">
        <is>
          <t>Ty Olsson</t>
        </is>
      </c>
      <c r="B3205" s="18" t="n">
        <v>4</v>
      </c>
      <c r="C3205" s="18" t="n">
        <v>2003</v>
      </c>
      <c r="D3205" s="18" t="n">
        <v>2017</v>
      </c>
      <c r="E3205" s="18" t="inlineStr">
        <is>
          <t>Firewall, Rise of the Planet of the Apes, War for the Planet of the Apes, X2: X-Men United</t>
        </is>
      </c>
      <c r="F3205" s="18" t="inlineStr">
        <is>
          <t>F0114, F0253, F0255, F0345</t>
        </is>
      </c>
    </row>
    <row r="3206" ht="15.75" customHeight="1" s="108">
      <c r="A3206" s="18" t="inlineStr">
        <is>
          <t>Liz Cackowski</t>
        </is>
      </c>
      <c r="B3206" s="18" t="n">
        <v>1</v>
      </c>
      <c r="C3206" s="18" t="n">
        <v>2008</v>
      </c>
      <c r="D3206" s="18" t="n">
        <v>2008</v>
      </c>
      <c r="E3206" s="18" t="inlineStr">
        <is>
          <t>Forgetting Sarah Marshall</t>
        </is>
      </c>
      <c r="F3206" s="18" t="inlineStr">
        <is>
          <t>F0115</t>
        </is>
      </c>
    </row>
    <row r="3207" ht="15.75" customHeight="1" s="108">
      <c r="A3207" s="18" t="inlineStr">
        <is>
          <t>Maria Thayer</t>
        </is>
      </c>
      <c r="B3207" s="18" t="n">
        <v>1</v>
      </c>
      <c r="C3207" s="18" t="n">
        <v>2008</v>
      </c>
      <c r="D3207" s="18" t="n">
        <v>2008</v>
      </c>
      <c r="E3207" s="18" t="inlineStr">
        <is>
          <t>Forgetting Sarah Marshall</t>
        </is>
      </c>
      <c r="F3207" s="18" t="inlineStr">
        <is>
          <t>F0115</t>
        </is>
      </c>
    </row>
    <row r="3208" ht="15.75" customHeight="1" s="108">
      <c r="A3208" s="18" t="inlineStr">
        <is>
          <t>William Baldwin</t>
        </is>
      </c>
      <c r="B3208" s="18" t="n">
        <v>1</v>
      </c>
      <c r="C3208" s="18" t="n">
        <v>2008</v>
      </c>
      <c r="D3208" s="18" t="n">
        <v>2008</v>
      </c>
      <c r="E3208" s="18" t="inlineStr">
        <is>
          <t>Forgetting Sarah Marshall</t>
        </is>
      </c>
      <c r="F3208" s="18" t="inlineStr">
        <is>
          <t>F0115</t>
        </is>
      </c>
    </row>
    <row r="3209" ht="15.75" customHeight="1" s="108">
      <c r="A3209" s="18" t="inlineStr">
        <is>
          <t>Da'Vone McDonald</t>
        </is>
      </c>
      <c r="B3209" s="18" t="n">
        <v>1</v>
      </c>
      <c r="C3209" s="18" t="n">
        <v>2008</v>
      </c>
      <c r="D3209" s="18" t="n">
        <v>2008</v>
      </c>
      <c r="E3209" s="18" t="inlineStr">
        <is>
          <t>Forgetting Sarah Marshall</t>
        </is>
      </c>
      <c r="F3209" s="18" t="inlineStr">
        <is>
          <t>F0115</t>
        </is>
      </c>
    </row>
    <row r="3210" ht="15.75" customHeight="1" s="108">
      <c r="A3210" s="18" t="inlineStr">
        <is>
          <t>Steve Landesberg</t>
        </is>
      </c>
      <c r="B3210" s="18" t="n">
        <v>1</v>
      </c>
      <c r="C3210" s="18" t="n">
        <v>2008</v>
      </c>
      <c r="D3210" s="18" t="n">
        <v>2008</v>
      </c>
      <c r="E3210" s="18" t="inlineStr">
        <is>
          <t>Forgetting Sarah Marshall</t>
        </is>
      </c>
      <c r="F3210" s="18" t="inlineStr">
        <is>
          <t>F0115</t>
        </is>
      </c>
    </row>
    <row r="3211" ht="15.75" customHeight="1" s="108">
      <c r="A3211" s="18" t="inlineStr">
        <is>
          <t>Kalani Robb</t>
        </is>
      </c>
      <c r="B3211" s="18" t="n">
        <v>1</v>
      </c>
      <c r="C3211" s="18" t="n">
        <v>2008</v>
      </c>
      <c r="D3211" s="18" t="n">
        <v>2008</v>
      </c>
      <c r="E3211" s="18" t="inlineStr">
        <is>
          <t>Forgetting Sarah Marshall</t>
        </is>
      </c>
      <c r="F3211" s="18" t="inlineStr">
        <is>
          <t>F0115</t>
        </is>
      </c>
    </row>
    <row r="3212" ht="15.75" customHeight="1" s="108">
      <c r="A3212" s="18" t="inlineStr">
        <is>
          <t>Murray Miller</t>
        </is>
      </c>
      <c r="B3212" s="18" t="n">
        <v>1</v>
      </c>
      <c r="C3212" s="18" t="n">
        <v>2008</v>
      </c>
      <c r="D3212" s="18" t="n">
        <v>2008</v>
      </c>
      <c r="E3212" s="18" t="inlineStr">
        <is>
          <t>Forgetting Sarah Marshall</t>
        </is>
      </c>
      <c r="F3212" s="18" t="inlineStr">
        <is>
          <t>F0115</t>
        </is>
      </c>
    </row>
    <row r="3213" ht="15.75" customHeight="1" s="108">
      <c r="A3213" s="18" t="inlineStr">
        <is>
          <t>Taylor Wily</t>
        </is>
      </c>
      <c r="B3213" s="18" t="n">
        <v>1</v>
      </c>
      <c r="C3213" s="18" t="n">
        <v>2008</v>
      </c>
      <c r="D3213" s="18" t="n">
        <v>2008</v>
      </c>
      <c r="E3213" s="18" t="inlineStr">
        <is>
          <t>Forgetting Sarah Marshall</t>
        </is>
      </c>
      <c r="F3213" s="18" t="inlineStr">
        <is>
          <t>F0115</t>
        </is>
      </c>
    </row>
    <row r="3214" ht="15.75" customHeight="1" s="108">
      <c r="A3214" s="18" t="inlineStr">
        <is>
          <t>Kala Alexander</t>
        </is>
      </c>
      <c r="B3214" s="18" t="n">
        <v>1</v>
      </c>
      <c r="C3214" s="18" t="n">
        <v>2008</v>
      </c>
      <c r="D3214" s="18" t="n">
        <v>2008</v>
      </c>
      <c r="E3214" s="18" t="inlineStr">
        <is>
          <t>Forgetting Sarah Marshall</t>
        </is>
      </c>
      <c r="F3214" s="18" t="inlineStr">
        <is>
          <t>F0115</t>
        </is>
      </c>
    </row>
    <row r="3215" ht="15.75" customHeight="1" s="108">
      <c r="A3215" s="18" t="inlineStr">
        <is>
          <t>Francesca Delbanco</t>
        </is>
      </c>
      <c r="B3215" s="18" t="n">
        <v>1</v>
      </c>
      <c r="C3215" s="18" t="n">
        <v>2008</v>
      </c>
      <c r="D3215" s="18" t="n">
        <v>2008</v>
      </c>
      <c r="E3215" s="18" t="inlineStr">
        <is>
          <t>Forgetting Sarah Marshall</t>
        </is>
      </c>
      <c r="F3215" s="18" t="inlineStr">
        <is>
          <t>F0115</t>
        </is>
      </c>
    </row>
    <row r="3216" ht="15.75" customHeight="1" s="108">
      <c r="A3216" s="18" t="inlineStr">
        <is>
          <t>Branscombe Richmond</t>
        </is>
      </c>
      <c r="B3216" s="18" t="n">
        <v>1</v>
      </c>
      <c r="C3216" s="18" t="n">
        <v>2008</v>
      </c>
      <c r="D3216" s="18" t="n">
        <v>2008</v>
      </c>
      <c r="E3216" s="18" t="inlineStr">
        <is>
          <t>Forgetting Sarah Marshall</t>
        </is>
      </c>
      <c r="F3216" s="18" t="inlineStr">
        <is>
          <t>F0115</t>
        </is>
      </c>
    </row>
    <row r="3217" ht="15.75" customHeight="1" s="108">
      <c r="A3217" s="18" t="inlineStr">
        <is>
          <t>Peter Gray Lewis</t>
        </is>
      </c>
      <c r="B3217" s="18" t="n">
        <v>1</v>
      </c>
      <c r="C3217" s="18" t="n">
        <v>2008</v>
      </c>
      <c r="D3217" s="18" t="n">
        <v>2008</v>
      </c>
      <c r="E3217" s="18" t="inlineStr">
        <is>
          <t>Forgetting Sarah Marshall</t>
        </is>
      </c>
      <c r="F3217" s="18" t="inlineStr">
        <is>
          <t>F0115</t>
        </is>
      </c>
    </row>
    <row r="3218" ht="15.75" customHeight="1" s="108">
      <c r="A3218" s="18" t="inlineStr">
        <is>
          <t>Kirk Fox</t>
        </is>
      </c>
      <c r="B3218" s="18" t="n">
        <v>1</v>
      </c>
      <c r="C3218" s="18" t="n">
        <v>2008</v>
      </c>
      <c r="D3218" s="18" t="n">
        <v>2008</v>
      </c>
      <c r="E3218" s="18" t="inlineStr">
        <is>
          <t>Forgetting Sarah Marshall</t>
        </is>
      </c>
      <c r="F3218" s="18" t="inlineStr">
        <is>
          <t>F0115</t>
        </is>
      </c>
    </row>
    <row r="3219" ht="15.75" customHeight="1" s="108">
      <c r="A3219" s="18" t="inlineStr">
        <is>
          <t>June Diane Raphael</t>
        </is>
      </c>
      <c r="B3219" s="18" t="n">
        <v>3</v>
      </c>
      <c r="C3219" s="18" t="n">
        <v>2007</v>
      </c>
      <c r="D3219" s="18" t="n">
        <v>2013</v>
      </c>
      <c r="E3219" s="18" t="inlineStr">
        <is>
          <t>Forgetting Sarah Marshall, Zodiac, Anchorman 2</t>
        </is>
      </c>
      <c r="F3219" s="18" t="inlineStr">
        <is>
          <t>F0115, F0350, F0357</t>
        </is>
      </c>
    </row>
    <row r="3220" ht="15.75" customHeight="1" s="108">
      <c r="A3220" s="18" t="inlineStr">
        <is>
          <t>Ahna O'Reilly</t>
        </is>
      </c>
      <c r="B3220" s="18" t="n">
        <v>1</v>
      </c>
      <c r="C3220" s="18" t="n">
        <v>2008</v>
      </c>
      <c r="D3220" s="18" t="n">
        <v>2008</v>
      </c>
      <c r="E3220" s="18" t="inlineStr">
        <is>
          <t>Forgetting Sarah Marshall</t>
        </is>
      </c>
      <c r="F3220" s="18" t="inlineStr">
        <is>
          <t>F0115</t>
        </is>
      </c>
    </row>
    <row r="3221" ht="15.75" customHeight="1" s="108">
      <c r="A3221" s="18" t="inlineStr">
        <is>
          <t>Tanisha Harper</t>
        </is>
      </c>
      <c r="B3221" s="18" t="n">
        <v>1</v>
      </c>
      <c r="C3221" s="18" t="n">
        <v>2008</v>
      </c>
      <c r="D3221" s="18" t="n">
        <v>2008</v>
      </c>
      <c r="E3221" s="18" t="inlineStr">
        <is>
          <t>Forgetting Sarah Marshall</t>
        </is>
      </c>
      <c r="F3221" s="18" t="inlineStr">
        <is>
          <t>F0115</t>
        </is>
      </c>
    </row>
    <row r="3222" ht="15.75" customHeight="1" s="108">
      <c r="A3222" s="18" t="inlineStr">
        <is>
          <t>Carla Gallo</t>
        </is>
      </c>
      <c r="B3222" s="18" t="n">
        <v>3</v>
      </c>
      <c r="C3222" s="18" t="n">
        <v>2006</v>
      </c>
      <c r="D3222" s="18" t="n">
        <v>2008</v>
      </c>
      <c r="E3222" s="18" t="inlineStr">
        <is>
          <t>Forgetting Sarah Marshall, Mission: Impossible III, Superbad</t>
        </is>
      </c>
      <c r="F3222" s="18" t="inlineStr">
        <is>
          <t>F0115, F0223, F0303</t>
        </is>
      </c>
    </row>
    <row r="3223" ht="15.75" customHeight="1" s="108">
      <c r="A3223" s="18" t="inlineStr">
        <is>
          <t>Cynthia Lamontagne</t>
        </is>
      </c>
      <c r="B3223" s="18" t="n">
        <v>1</v>
      </c>
      <c r="C3223" s="18" t="n">
        <v>2008</v>
      </c>
      <c r="D3223" s="18" t="n">
        <v>2008</v>
      </c>
      <c r="E3223" s="18" t="inlineStr">
        <is>
          <t>Forgetting Sarah Marshall</t>
        </is>
      </c>
      <c r="F3223" s="18" t="inlineStr">
        <is>
          <t>F0115</t>
        </is>
      </c>
    </row>
    <row r="3224" ht="15.75" customHeight="1" s="108">
      <c r="A3224" s="18" t="inlineStr">
        <is>
          <t>Santino Fontana</t>
        </is>
      </c>
      <c r="B3224" s="18" t="n">
        <v>1</v>
      </c>
      <c r="C3224" s="18" t="n">
        <v>2013</v>
      </c>
      <c r="D3224" s="18" t="n">
        <v>2013</v>
      </c>
      <c r="E3224" s="18" t="inlineStr">
        <is>
          <t>Frozen</t>
        </is>
      </c>
      <c r="F3224" s="18" t="inlineStr">
        <is>
          <t>F0116</t>
        </is>
      </c>
    </row>
    <row r="3225" ht="15.75" customHeight="1" s="108">
      <c r="A3225" s="18" t="inlineStr">
        <is>
          <t>Ciarán Hinds</t>
        </is>
      </c>
      <c r="B3225" s="18" t="n">
        <v>2</v>
      </c>
      <c r="C3225" s="18" t="n">
        <v>2011</v>
      </c>
      <c r="D3225" s="18" t="n">
        <v>2013</v>
      </c>
      <c r="E3225" s="18" t="inlineStr">
        <is>
          <t>Frozen, Harry Potter and the Deathly Hallows: Part 2</t>
        </is>
      </c>
      <c r="F3225" s="18" t="inlineStr">
        <is>
          <t>F0116, F0144</t>
        </is>
      </c>
    </row>
    <row r="3226" ht="15.75" customHeight="1" s="108">
      <c r="A3226" s="18" t="inlineStr">
        <is>
          <t>Chris Williams</t>
        </is>
      </c>
      <c r="B3226" s="18" t="n">
        <v>1</v>
      </c>
      <c r="C3226" s="18" t="n">
        <v>2013</v>
      </c>
      <c r="D3226" s="18" t="n">
        <v>2013</v>
      </c>
      <c r="E3226" s="18" t="inlineStr">
        <is>
          <t>Frozen</t>
        </is>
      </c>
      <c r="F3226" s="18" t="inlineStr">
        <is>
          <t>F0116</t>
        </is>
      </c>
    </row>
    <row r="3227" ht="15.75" customHeight="1" s="108">
      <c r="A3227" s="18" t="inlineStr">
        <is>
          <t>Stephen J. Anderson</t>
        </is>
      </c>
      <c r="B3227" s="18" t="n">
        <v>1</v>
      </c>
      <c r="C3227" s="18" t="n">
        <v>2013</v>
      </c>
      <c r="D3227" s="18" t="n">
        <v>2013</v>
      </c>
      <c r="E3227" s="18" t="inlineStr">
        <is>
          <t>Frozen</t>
        </is>
      </c>
      <c r="F3227" s="18" t="inlineStr">
        <is>
          <t>F0116</t>
        </is>
      </c>
    </row>
    <row r="3228" ht="15.75" customHeight="1" s="108">
      <c r="A3228" s="18" t="inlineStr">
        <is>
          <t>Maia Wilson</t>
        </is>
      </c>
      <c r="B3228" s="18" t="n">
        <v>1</v>
      </c>
      <c r="C3228" s="18" t="n">
        <v>2013</v>
      </c>
      <c r="D3228" s="18" t="n">
        <v>2013</v>
      </c>
      <c r="E3228" s="18" t="inlineStr">
        <is>
          <t>Frozen</t>
        </is>
      </c>
      <c r="F3228" s="18" t="inlineStr">
        <is>
          <t>F0116</t>
        </is>
      </c>
    </row>
    <row r="3229" ht="15.75" customHeight="1" s="108">
      <c r="A3229" s="18" t="inlineStr">
        <is>
          <t>Robert Pine</t>
        </is>
      </c>
      <c r="B3229" s="18" t="n">
        <v>1</v>
      </c>
      <c r="C3229" s="18" t="n">
        <v>2013</v>
      </c>
      <c r="D3229" s="18" t="n">
        <v>2013</v>
      </c>
      <c r="E3229" s="18" t="inlineStr">
        <is>
          <t>Frozen</t>
        </is>
      </c>
      <c r="F3229" s="18" t="inlineStr">
        <is>
          <t>F0116</t>
        </is>
      </c>
    </row>
    <row r="3230" ht="15.75" customHeight="1" s="108">
      <c r="A3230" s="18" t="inlineStr">
        <is>
          <t>Maurice LaMarche</t>
        </is>
      </c>
      <c r="B3230" s="18" t="n">
        <v>2</v>
      </c>
      <c r="C3230" s="18" t="n">
        <v>2012</v>
      </c>
      <c r="D3230" s="18" t="n">
        <v>2013</v>
      </c>
      <c r="E3230" s="18" t="inlineStr">
        <is>
          <t>Frozen, Wreck-It Ralph</t>
        </is>
      </c>
      <c r="F3230" s="18" t="inlineStr">
        <is>
          <t>F0116, F0336</t>
        </is>
      </c>
    </row>
    <row r="3231" ht="15.75" customHeight="1" s="108">
      <c r="A3231" s="18" t="inlineStr">
        <is>
          <t>Spencer Lacey Ganus</t>
        </is>
      </c>
      <c r="B3231" s="18" t="n">
        <v>1</v>
      </c>
      <c r="C3231" s="18" t="n">
        <v>2013</v>
      </c>
      <c r="D3231" s="18" t="n">
        <v>2013</v>
      </c>
      <c r="E3231" s="18" t="inlineStr">
        <is>
          <t>Frozen</t>
        </is>
      </c>
      <c r="F3231" s="18" t="inlineStr">
        <is>
          <t>F0116</t>
        </is>
      </c>
    </row>
    <row r="3232" ht="15.75" customHeight="1" s="108">
      <c r="A3232" s="18" t="inlineStr">
        <is>
          <t>Annie Lopez</t>
        </is>
      </c>
      <c r="B3232" s="18" t="n">
        <v>1</v>
      </c>
      <c r="C3232" s="18" t="n">
        <v>2013</v>
      </c>
      <c r="D3232" s="18" t="n">
        <v>2013</v>
      </c>
      <c r="E3232" s="18" t="inlineStr">
        <is>
          <t>Frozen</t>
        </is>
      </c>
      <c r="F3232" s="18" t="inlineStr">
        <is>
          <t>F0116</t>
        </is>
      </c>
    </row>
    <row r="3233" ht="15.75" customHeight="1" s="108">
      <c r="A3233" s="18" t="inlineStr">
        <is>
          <t>Jesse Corti</t>
        </is>
      </c>
      <c r="B3233" s="18" t="n">
        <v>1</v>
      </c>
      <c r="C3233" s="18" t="n">
        <v>2013</v>
      </c>
      <c r="D3233" s="18" t="n">
        <v>2013</v>
      </c>
      <c r="E3233" s="18" t="inlineStr">
        <is>
          <t>Frozen</t>
        </is>
      </c>
      <c r="F3233" s="18" t="inlineStr">
        <is>
          <t>F0116</t>
        </is>
      </c>
    </row>
    <row r="3234" ht="15.75" customHeight="1" s="108">
      <c r="A3234" s="18" t="inlineStr">
        <is>
          <t>Jeffrey Marcus</t>
        </is>
      </c>
      <c r="B3234" s="18" t="n">
        <v>1</v>
      </c>
      <c r="C3234" s="18" t="n">
        <v>2013</v>
      </c>
      <c r="D3234" s="18" t="n">
        <v>2013</v>
      </c>
      <c r="E3234" s="18" t="inlineStr">
        <is>
          <t>Frozen</t>
        </is>
      </c>
      <c r="F3234" s="18" t="inlineStr">
        <is>
          <t>F0116</t>
        </is>
      </c>
    </row>
    <row r="3235" ht="15.75" customHeight="1" s="108">
      <c r="A3235" s="18" t="inlineStr">
        <is>
          <t>Tucker Gilmore</t>
        </is>
      </c>
      <c r="B3235" s="18" t="n">
        <v>2</v>
      </c>
      <c r="C3235" s="18" t="n">
        <v>2012</v>
      </c>
      <c r="D3235" s="18" t="n">
        <v>2013</v>
      </c>
      <c r="E3235" s="18" t="inlineStr">
        <is>
          <t>Frozen, Wreck-It Ralph</t>
        </is>
      </c>
      <c r="F3235" s="18" t="inlineStr">
        <is>
          <t>F0116, F0336</t>
        </is>
      </c>
    </row>
    <row r="3236" ht="15.75" customHeight="1" s="108">
      <c r="A3236" s="18" t="inlineStr">
        <is>
          <t>Annaleigh Ashford</t>
        </is>
      </c>
      <c r="B3236" s="18" t="n">
        <v>1</v>
      </c>
      <c r="C3236" s="18" t="n">
        <v>2013</v>
      </c>
      <c r="D3236" s="18" t="n">
        <v>2013</v>
      </c>
      <c r="E3236" s="18" t="inlineStr">
        <is>
          <t>Frozen</t>
        </is>
      </c>
      <c r="F3236" s="18" t="inlineStr">
        <is>
          <t>F0116</t>
        </is>
      </c>
    </row>
    <row r="3237" ht="15.75" customHeight="1" s="108">
      <c r="A3237" s="18" t="inlineStr">
        <is>
          <t>Jennifer Lee</t>
        </is>
      </c>
      <c r="B3237" s="18" t="n">
        <v>1</v>
      </c>
      <c r="C3237" s="18" t="n">
        <v>2013</v>
      </c>
      <c r="D3237" s="18" t="n">
        <v>2013</v>
      </c>
      <c r="E3237" s="18" t="inlineStr">
        <is>
          <t>Frozen</t>
        </is>
      </c>
      <c r="F3237" s="18" t="inlineStr">
        <is>
          <t>F0116</t>
        </is>
      </c>
    </row>
    <row r="3238" ht="15.75" customHeight="1" s="108">
      <c r="A3238" s="18" t="inlineStr">
        <is>
          <t>Stephen Apostolina</t>
        </is>
      </c>
      <c r="B3238" s="18" t="n">
        <v>1</v>
      </c>
      <c r="C3238" s="18" t="n">
        <v>2013</v>
      </c>
      <c r="D3238" s="18" t="n">
        <v>2013</v>
      </c>
      <c r="E3238" s="18" t="inlineStr">
        <is>
          <t>Frozen</t>
        </is>
      </c>
      <c r="F3238" s="18" t="inlineStr">
        <is>
          <t>F0116</t>
        </is>
      </c>
    </row>
    <row r="3239" ht="15.75" customHeight="1" s="108">
      <c r="A3239" s="18" t="inlineStr">
        <is>
          <t>Jenica Bergere</t>
        </is>
      </c>
      <c r="B3239" s="18" t="n">
        <v>1</v>
      </c>
      <c r="C3239" s="18" t="n">
        <v>2013</v>
      </c>
      <c r="D3239" s="18" t="n">
        <v>2013</v>
      </c>
      <c r="E3239" s="18" t="inlineStr">
        <is>
          <t>Frozen</t>
        </is>
      </c>
      <c r="F3239" s="18" t="inlineStr">
        <is>
          <t>F0116</t>
        </is>
      </c>
    </row>
    <row r="3240" ht="15.75" customHeight="1" s="108">
      <c r="A3240" s="18" t="inlineStr">
        <is>
          <t>David Boat</t>
        </is>
      </c>
      <c r="B3240" s="18" t="n">
        <v>1</v>
      </c>
      <c r="C3240" s="18" t="n">
        <v>2013</v>
      </c>
      <c r="D3240" s="18" t="n">
        <v>2013</v>
      </c>
      <c r="E3240" s="18" t="inlineStr">
        <is>
          <t>Frozen</t>
        </is>
      </c>
      <c r="F3240" s="18" t="inlineStr">
        <is>
          <t>F0116</t>
        </is>
      </c>
    </row>
    <row r="3241" ht="15.75" customHeight="1" s="108">
      <c r="A3241" s="18" t="inlineStr">
        <is>
          <t>Tyree Brown</t>
        </is>
      </c>
      <c r="B3241" s="18" t="n">
        <v>1</v>
      </c>
      <c r="C3241" s="18" t="n">
        <v>2013</v>
      </c>
      <c r="D3241" s="18" t="n">
        <v>2013</v>
      </c>
      <c r="E3241" s="18" t="inlineStr">
        <is>
          <t>Frozen</t>
        </is>
      </c>
      <c r="F3241" s="18" t="inlineStr">
        <is>
          <t>F0116</t>
        </is>
      </c>
    </row>
    <row r="3242" ht="15.75" customHeight="1" s="108">
      <c r="A3242" s="18" t="inlineStr">
        <is>
          <t>Woody Buck</t>
        </is>
      </c>
      <c r="B3242" s="18" t="n">
        <v>1</v>
      </c>
      <c r="C3242" s="18" t="n">
        <v>2013</v>
      </c>
      <c r="D3242" s="18" t="n">
        <v>2013</v>
      </c>
      <c r="E3242" s="18" t="inlineStr">
        <is>
          <t>Frozen</t>
        </is>
      </c>
      <c r="F3242" s="18" t="inlineStr">
        <is>
          <t>F0116</t>
        </is>
      </c>
    </row>
    <row r="3243" ht="15.75" customHeight="1" s="108">
      <c r="A3243" s="18" t="inlineStr">
        <is>
          <t>Brad William Henke</t>
        </is>
      </c>
      <c r="B3243" s="18" t="n">
        <v>2</v>
      </c>
      <c r="C3243" s="18" t="n">
        <v>2013</v>
      </c>
      <c r="D3243" s="18" t="n">
        <v>2014</v>
      </c>
      <c r="E3243" s="18" t="inlineStr">
        <is>
          <t>Fury, Pacific Rim</t>
        </is>
      </c>
      <c r="F3243" s="18" t="inlineStr">
        <is>
          <t>F0117, F0243</t>
        </is>
      </c>
    </row>
    <row r="3244" ht="15.75" customHeight="1" s="108">
      <c r="A3244" s="18" t="inlineStr">
        <is>
          <t>Kevin Vance</t>
        </is>
      </c>
      <c r="B3244" s="18" t="n">
        <v>1</v>
      </c>
      <c r="C3244" s="18" t="n">
        <v>2014</v>
      </c>
      <c r="D3244" s="18" t="n">
        <v>2014</v>
      </c>
      <c r="E3244" s="18" t="inlineStr">
        <is>
          <t>Fury</t>
        </is>
      </c>
      <c r="F3244" s="18" t="inlineStr">
        <is>
          <t>F0117</t>
        </is>
      </c>
    </row>
    <row r="3245" ht="15.75" customHeight="1" s="108">
      <c r="A3245" s="18" t="inlineStr">
        <is>
          <t>Xavier Samuel</t>
        </is>
      </c>
      <c r="B3245" s="18" t="n">
        <v>1</v>
      </c>
      <c r="C3245" s="18" t="n">
        <v>2014</v>
      </c>
      <c r="D3245" s="18" t="n">
        <v>2014</v>
      </c>
      <c r="E3245" s="18" t="inlineStr">
        <is>
          <t>Fury</t>
        </is>
      </c>
      <c r="F3245" s="18" t="inlineStr">
        <is>
          <t>F0117</t>
        </is>
      </c>
    </row>
    <row r="3246" ht="15.75" customHeight="1" s="108">
      <c r="A3246" s="18" t="inlineStr">
        <is>
          <t>Anamaria Marinca</t>
        </is>
      </c>
      <c r="B3246" s="18" t="n">
        <v>1</v>
      </c>
      <c r="C3246" s="18" t="n">
        <v>2014</v>
      </c>
      <c r="D3246" s="18" t="n">
        <v>2014</v>
      </c>
      <c r="E3246" s="18" t="inlineStr">
        <is>
          <t>Fury</t>
        </is>
      </c>
      <c r="F3246" s="18" t="inlineStr">
        <is>
          <t>F0117</t>
        </is>
      </c>
    </row>
    <row r="3247" ht="15.75" customHeight="1" s="108">
      <c r="A3247" s="18" t="inlineStr">
        <is>
          <t>Alicia von Rittberg</t>
        </is>
      </c>
      <c r="B3247" s="18" t="n">
        <v>1</v>
      </c>
      <c r="C3247" s="18" t="n">
        <v>2014</v>
      </c>
      <c r="D3247" s="18" t="n">
        <v>2014</v>
      </c>
      <c r="E3247" s="18" t="inlineStr">
        <is>
          <t>Fury</t>
        </is>
      </c>
      <c r="F3247" s="18" t="inlineStr">
        <is>
          <t>F0117</t>
        </is>
      </c>
    </row>
    <row r="3248" ht="15.75" customHeight="1" s="108">
      <c r="A3248" s="18" t="inlineStr">
        <is>
          <t>Laurence Spellman</t>
        </is>
      </c>
      <c r="B3248" s="18" t="n">
        <v>2</v>
      </c>
      <c r="C3248" s="18" t="n">
        <v>2014</v>
      </c>
      <c r="D3248" s="18" t="n">
        <v>2018</v>
      </c>
      <c r="E3248" s="18" t="inlineStr">
        <is>
          <t>Fury, Ready player one</t>
        </is>
      </c>
      <c r="F3248" s="18" t="inlineStr">
        <is>
          <t>F0117, F0352</t>
        </is>
      </c>
    </row>
    <row r="3249" ht="15.75" customHeight="1" s="108">
      <c r="A3249" s="18" t="inlineStr">
        <is>
          <t>Daniel Betts</t>
        </is>
      </c>
      <c r="B3249" s="18" t="n">
        <v>2</v>
      </c>
      <c r="C3249" s="18" t="n">
        <v>2014</v>
      </c>
      <c r="D3249" s="18" t="n">
        <v>2025</v>
      </c>
      <c r="E3249" s="18" t="inlineStr">
        <is>
          <t>Fury, alien romulus</t>
        </is>
      </c>
      <c r="F3249" s="18" t="inlineStr">
        <is>
          <t>F0117, F0362</t>
        </is>
      </c>
    </row>
    <row r="3250" ht="15.75" customHeight="1" s="108">
      <c r="A3250" s="18" t="inlineStr">
        <is>
          <t>Adam Ganne</t>
        </is>
      </c>
      <c r="B3250" s="18" t="n">
        <v>2</v>
      </c>
      <c r="C3250" s="18" t="n">
        <v>2014</v>
      </c>
      <c r="D3250" s="18" t="n">
        <v>2015</v>
      </c>
      <c r="E3250" s="18" t="inlineStr">
        <is>
          <t>Fury, Mission: Impossible - Rogue Nation</t>
        </is>
      </c>
      <c r="F3250" s="18" t="inlineStr">
        <is>
          <t>F0117, F0225</t>
        </is>
      </c>
    </row>
    <row r="3251" ht="15.75" customHeight="1" s="108">
      <c r="A3251" s="18" t="inlineStr">
        <is>
          <t>Eric Kofi Abrefa</t>
        </is>
      </c>
      <c r="B3251" s="18" t="n">
        <v>2</v>
      </c>
      <c r="C3251" s="18" t="n">
        <v>2014</v>
      </c>
      <c r="D3251" s="18" t="n">
        <v>2018</v>
      </c>
      <c r="E3251" s="18" t="inlineStr">
        <is>
          <t>Fury, Jurassic World: Fallen Kingdom</t>
        </is>
      </c>
      <c r="F3251" s="18" t="inlineStr">
        <is>
          <t>F0117, F0180</t>
        </is>
      </c>
    </row>
    <row r="3252" ht="15.75" customHeight="1" s="108">
      <c r="A3252" s="18" t="inlineStr">
        <is>
          <t>Osi Okerafor</t>
        </is>
      </c>
      <c r="B3252" s="18" t="n">
        <v>1</v>
      </c>
      <c r="C3252" s="18" t="n">
        <v>2014</v>
      </c>
      <c r="D3252" s="18" t="n">
        <v>2014</v>
      </c>
      <c r="E3252" s="18" t="inlineStr">
        <is>
          <t>Fury</t>
        </is>
      </c>
      <c r="F3252" s="18" t="inlineStr">
        <is>
          <t>F0117</t>
        </is>
      </c>
    </row>
    <row r="3253" ht="15.75" customHeight="1" s="108">
      <c r="A3253" s="18" t="inlineStr">
        <is>
          <t>John Macmillan</t>
        </is>
      </c>
      <c r="B3253" s="18" t="n">
        <v>2</v>
      </c>
      <c r="C3253" s="18" t="n">
        <v>2014</v>
      </c>
      <c r="D3253" s="18" t="n">
        <v>2014</v>
      </c>
      <c r="E3253" s="18" t="inlineStr">
        <is>
          <t>Fury, Maleficent</t>
        </is>
      </c>
      <c r="F3253" s="18" t="inlineStr">
        <is>
          <t>F0117, F0208</t>
        </is>
      </c>
    </row>
    <row r="3254" ht="15.75" customHeight="1" s="108">
      <c r="A3254" s="18" t="inlineStr">
        <is>
          <t>Saul Barrett</t>
        </is>
      </c>
      <c r="B3254" s="18" t="n">
        <v>1</v>
      </c>
      <c r="C3254" s="18" t="n">
        <v>2014</v>
      </c>
      <c r="D3254" s="18" t="n">
        <v>2014</v>
      </c>
      <c r="E3254" s="18" t="inlineStr">
        <is>
          <t>Fury</t>
        </is>
      </c>
      <c r="F3254" s="18" t="inlineStr">
        <is>
          <t>F0117</t>
        </is>
      </c>
    </row>
    <row r="3255" ht="15.75" customHeight="1" s="108">
      <c r="A3255" s="18" t="inlineStr">
        <is>
          <t>Marek Oravec</t>
        </is>
      </c>
      <c r="B3255" s="18" t="n">
        <v>1</v>
      </c>
      <c r="C3255" s="18" t="n">
        <v>2014</v>
      </c>
      <c r="D3255" s="18" t="n">
        <v>2014</v>
      </c>
      <c r="E3255" s="18" t="inlineStr">
        <is>
          <t>Fury</t>
        </is>
      </c>
      <c r="F3255" s="18" t="inlineStr">
        <is>
          <t>F0117</t>
        </is>
      </c>
    </row>
    <row r="3256" ht="15.75" customHeight="1" s="108">
      <c r="A3256" s="18" t="inlineStr">
        <is>
          <t>Kyle Soller</t>
        </is>
      </c>
      <c r="B3256" s="18" t="n">
        <v>1</v>
      </c>
      <c r="C3256" s="18" t="n">
        <v>2014</v>
      </c>
      <c r="D3256" s="18" t="n">
        <v>2014</v>
      </c>
      <c r="E3256" s="18" t="inlineStr">
        <is>
          <t>Fury</t>
        </is>
      </c>
      <c r="F3256" s="18" t="inlineStr">
        <is>
          <t>F0117</t>
        </is>
      </c>
    </row>
    <row r="3257" ht="15.75" customHeight="1" s="108">
      <c r="A3257" s="18" t="inlineStr">
        <is>
          <t>Jake Curran</t>
        </is>
      </c>
      <c r="B3257" s="18" t="n">
        <v>1</v>
      </c>
      <c r="C3257" s="18" t="n">
        <v>2014</v>
      </c>
      <c r="D3257" s="18" t="n">
        <v>2014</v>
      </c>
      <c r="E3257" s="18" t="inlineStr">
        <is>
          <t>Fury</t>
        </is>
      </c>
      <c r="F3257" s="18" t="inlineStr">
        <is>
          <t>F0117</t>
        </is>
      </c>
    </row>
    <row r="3258" ht="15.75" customHeight="1" s="108">
      <c r="A3258" s="18" t="inlineStr">
        <is>
          <t>Jack Bannon</t>
        </is>
      </c>
      <c r="B3258" s="18" t="n">
        <v>2</v>
      </c>
      <c r="C3258" s="18" t="n">
        <v>2014</v>
      </c>
      <c r="D3258" s="18" t="n">
        <v>2014</v>
      </c>
      <c r="E3258" s="18" t="inlineStr">
        <is>
          <t>Fury, The Imitation Game</t>
        </is>
      </c>
      <c r="F3258" s="18" t="inlineStr">
        <is>
          <t>F0117, F0162</t>
        </is>
      </c>
    </row>
    <row r="3259" ht="15.75" customHeight="1" s="108">
      <c r="A3259" s="18" t="inlineStr">
        <is>
          <t>Vivien Bridson</t>
        </is>
      </c>
      <c r="B3259" s="18" t="n">
        <v>1</v>
      </c>
      <c r="C3259" s="18" t="n">
        <v>2014</v>
      </c>
      <c r="D3259" s="18" t="n">
        <v>2014</v>
      </c>
      <c r="E3259" s="18" t="inlineStr">
        <is>
          <t>Fury</t>
        </is>
      </c>
      <c r="F3259" s="18" t="inlineStr">
        <is>
          <t>F0117</t>
        </is>
      </c>
    </row>
    <row r="3260" ht="15.75" customHeight="1" s="108">
      <c r="A3260" s="18" t="inlineStr">
        <is>
          <t>Christian Contreras</t>
        </is>
      </c>
      <c r="B3260" s="18" t="n">
        <v>1</v>
      </c>
      <c r="C3260" s="18" t="n">
        <v>2014</v>
      </c>
      <c r="D3260" s="18" t="n">
        <v>2014</v>
      </c>
      <c r="E3260" s="18" t="inlineStr">
        <is>
          <t>Fury</t>
        </is>
      </c>
      <c r="F3260" s="18" t="inlineStr">
        <is>
          <t>F0117</t>
        </is>
      </c>
    </row>
    <row r="3261" ht="15.75" customHeight="1" s="108">
      <c r="A3261" s="18" t="inlineStr">
        <is>
          <t>Jacob Vonhendial</t>
        </is>
      </c>
      <c r="B3261" s="18" t="n">
        <v>1</v>
      </c>
      <c r="C3261" s="18" t="n">
        <v>2014</v>
      </c>
      <c r="D3261" s="18" t="n">
        <v>2014</v>
      </c>
      <c r="E3261" s="18" t="inlineStr">
        <is>
          <t>Fury</t>
        </is>
      </c>
      <c r="F3261" s="18" t="inlineStr">
        <is>
          <t>F0117</t>
        </is>
      </c>
    </row>
    <row r="3262" ht="15.75" customHeight="1" s="108">
      <c r="A3262" s="18" t="inlineStr">
        <is>
          <t>Rachel Nichols</t>
        </is>
      </c>
      <c r="B3262" s="18" t="n">
        <v>2</v>
      </c>
      <c r="C3262" s="18" t="n">
        <v>2009</v>
      </c>
      <c r="D3262" s="18" t="n">
        <v>2009</v>
      </c>
      <c r="E3262" s="18" t="inlineStr">
        <is>
          <t>G.I. Joe: The Rise of Cobra, Star Trek</t>
        </is>
      </c>
      <c r="F3262" s="18" t="inlineStr">
        <is>
          <t>F0118, F0291</t>
        </is>
      </c>
    </row>
    <row r="3263" ht="15.75" customHeight="1" s="108">
      <c r="A3263" s="18" t="inlineStr">
        <is>
          <t>Ray Park</t>
        </is>
      </c>
      <c r="B3263" s="18" t="n">
        <v>3</v>
      </c>
      <c r="C3263" s="18" t="n">
        <v>1999</v>
      </c>
      <c r="D3263" s="18" t="n">
        <v>2009</v>
      </c>
      <c r="E3263" s="18" t="inlineStr">
        <is>
          <t>G.I. Joe: The Rise of Cobra, Star Wars: Episode I – The Phantom Menace, X-Men</t>
        </is>
      </c>
      <c r="F3263" s="18" t="inlineStr">
        <is>
          <t>F0118, F0292, F0344</t>
        </is>
      </c>
    </row>
    <row r="3264" ht="15.75" customHeight="1" s="108">
      <c r="A3264" s="18" t="inlineStr">
        <is>
          <t>Jonathan Pryce</t>
        </is>
      </c>
      <c r="B3264" s="18" t="n">
        <v>1</v>
      </c>
      <c r="C3264" s="18" t="n">
        <v>2009</v>
      </c>
      <c r="D3264" s="18" t="n">
        <v>2009</v>
      </c>
      <c r="E3264" s="18" t="inlineStr">
        <is>
          <t>G.I. Joe: The Rise of Cobra</t>
        </is>
      </c>
      <c r="F3264" s="18" t="inlineStr">
        <is>
          <t>F0118</t>
        </is>
      </c>
    </row>
    <row r="3265" ht="15.75" customHeight="1" s="108">
      <c r="A3265" s="18" t="inlineStr">
        <is>
          <t>Arnold Vosloo</t>
        </is>
      </c>
      <c r="B3265" s="18" t="n">
        <v>1</v>
      </c>
      <c r="C3265" s="18" t="n">
        <v>2009</v>
      </c>
      <c r="D3265" s="18" t="n">
        <v>2009</v>
      </c>
      <c r="E3265" s="18" t="inlineStr">
        <is>
          <t>G.I. Joe: The Rise of Cobra</t>
        </is>
      </c>
      <c r="F3265" s="18" t="inlineStr">
        <is>
          <t>F0118</t>
        </is>
      </c>
    </row>
    <row r="3266" ht="15.75" customHeight="1" s="108">
      <c r="A3266" s="18" t="inlineStr">
        <is>
          <t>Dennis Quaid</t>
        </is>
      </c>
      <c r="B3266" s="18" t="n">
        <v>1</v>
      </c>
      <c r="C3266" s="18" t="n">
        <v>2009</v>
      </c>
      <c r="D3266" s="18" t="n">
        <v>2009</v>
      </c>
      <c r="E3266" s="18" t="inlineStr">
        <is>
          <t>G.I. Joe: The Rise of Cobra</t>
        </is>
      </c>
      <c r="F3266" s="18" t="inlineStr">
        <is>
          <t>F0118</t>
        </is>
      </c>
    </row>
    <row r="3267" ht="15.75" customHeight="1" s="108">
      <c r="A3267" s="18" t="inlineStr">
        <is>
          <t>Grégory Fitoussi</t>
        </is>
      </c>
      <c r="B3267" s="18" t="n">
        <v>1</v>
      </c>
      <c r="C3267" s="18" t="n">
        <v>2009</v>
      </c>
      <c r="D3267" s="18" t="n">
        <v>2009</v>
      </c>
      <c r="E3267" s="18" t="inlineStr">
        <is>
          <t>G.I. Joe: The Rise of Cobra</t>
        </is>
      </c>
      <c r="F3267" s="18" t="inlineStr">
        <is>
          <t>F0118</t>
        </is>
      </c>
    </row>
    <row r="3268" ht="15.75" customHeight="1" s="108">
      <c r="A3268" s="18" t="inlineStr">
        <is>
          <t>Leo Howard</t>
        </is>
      </c>
      <c r="B3268" s="18" t="n">
        <v>1</v>
      </c>
      <c r="C3268" s="18" t="n">
        <v>2009</v>
      </c>
      <c r="D3268" s="18" t="n">
        <v>2009</v>
      </c>
      <c r="E3268" s="18" t="inlineStr">
        <is>
          <t>G.I. Joe: The Rise of Cobra</t>
        </is>
      </c>
      <c r="F3268" s="18" t="inlineStr">
        <is>
          <t>F0118</t>
        </is>
      </c>
    </row>
    <row r="3269" ht="15.75" customHeight="1" s="108">
      <c r="A3269" s="18" t="inlineStr">
        <is>
          <t>Karolína Kurková</t>
        </is>
      </c>
      <c r="B3269" s="18" t="n">
        <v>1</v>
      </c>
      <c r="C3269" s="18" t="n">
        <v>2009</v>
      </c>
      <c r="D3269" s="18" t="n">
        <v>2009</v>
      </c>
      <c r="E3269" s="18" t="inlineStr">
        <is>
          <t>G.I. Joe: The Rise of Cobra</t>
        </is>
      </c>
      <c r="F3269" s="18" t="inlineStr">
        <is>
          <t>F0118</t>
        </is>
      </c>
    </row>
    <row r="3270" ht="15.75" customHeight="1" s="108">
      <c r="A3270" s="18" t="inlineStr">
        <is>
          <t>David Murray</t>
        </is>
      </c>
      <c r="B3270" s="18" t="n">
        <v>1</v>
      </c>
      <c r="C3270" s="18" t="n">
        <v>2009</v>
      </c>
      <c r="D3270" s="18" t="n">
        <v>2009</v>
      </c>
      <c r="E3270" s="18" t="inlineStr">
        <is>
          <t>G.I. Joe: The Rise of Cobra</t>
        </is>
      </c>
      <c r="F3270" s="18" t="inlineStr">
        <is>
          <t>F0118</t>
        </is>
      </c>
    </row>
    <row r="3271" ht="15.75" customHeight="1" s="108">
      <c r="A3271" s="18" t="inlineStr">
        <is>
          <t>Kevin J. O'Connor</t>
        </is>
      </c>
      <c r="B3271" s="18" t="n">
        <v>1</v>
      </c>
      <c r="C3271" s="18" t="n">
        <v>2009</v>
      </c>
      <c r="D3271" s="18" t="n">
        <v>2009</v>
      </c>
      <c r="E3271" s="18" t="inlineStr">
        <is>
          <t>G.I. Joe: The Rise of Cobra</t>
        </is>
      </c>
      <c r="F3271" s="18" t="inlineStr">
        <is>
          <t>F0118</t>
        </is>
      </c>
    </row>
    <row r="3272" ht="15.75" customHeight="1" s="108">
      <c r="A3272" s="18" t="inlineStr">
        <is>
          <t>Gerald Okamura</t>
        </is>
      </c>
      <c r="B3272" s="18" t="n">
        <v>1</v>
      </c>
      <c r="C3272" s="18" t="n">
        <v>2009</v>
      </c>
      <c r="D3272" s="18" t="n">
        <v>2009</v>
      </c>
      <c r="E3272" s="18" t="inlineStr">
        <is>
          <t>G.I. Joe: The Rise of Cobra</t>
        </is>
      </c>
      <c r="F3272" s="18" t="inlineStr">
        <is>
          <t>F0118</t>
        </is>
      </c>
    </row>
    <row r="3273" ht="15.75" customHeight="1" s="108">
      <c r="A3273" s="18" t="inlineStr">
        <is>
          <t>Brandon Soo Hoo</t>
        </is>
      </c>
      <c r="B3273" s="18" t="n">
        <v>2</v>
      </c>
      <c r="C3273" s="18" t="n">
        <v>2008</v>
      </c>
      <c r="D3273" s="18" t="n">
        <v>2009</v>
      </c>
      <c r="E3273" s="18" t="inlineStr">
        <is>
          <t>G.I. Joe: The Rise of Cobra, Tropic Thunder</t>
        </is>
      </c>
      <c r="F3273" s="18" t="inlineStr">
        <is>
          <t>F0118, F0324</t>
        </is>
      </c>
    </row>
    <row r="3274" ht="15.75" customHeight="1" s="108">
      <c r="A3274" s="18" t="inlineStr">
        <is>
          <t>Christopher Akers</t>
        </is>
      </c>
      <c r="B3274" s="18" t="n">
        <v>1</v>
      </c>
      <c r="C3274" s="18" t="n">
        <v>2009</v>
      </c>
      <c r="D3274" s="18" t="n">
        <v>2009</v>
      </c>
      <c r="E3274" s="18" t="inlineStr">
        <is>
          <t>G.I. Joe: The Rise of Cobra</t>
        </is>
      </c>
      <c r="F3274" s="18" t="inlineStr">
        <is>
          <t>F0118</t>
        </is>
      </c>
    </row>
    <row r="3275" ht="15.75" customHeight="1" s="108">
      <c r="A3275" s="18" t="inlineStr">
        <is>
          <t>Fabrice Baral</t>
        </is>
      </c>
      <c r="B3275" s="18" t="n">
        <v>1</v>
      </c>
      <c r="C3275" s="18" t="n">
        <v>2009</v>
      </c>
      <c r="D3275" s="18" t="n">
        <v>2009</v>
      </c>
      <c r="E3275" s="18" t="inlineStr">
        <is>
          <t>G.I. Joe: The Rise of Cobra</t>
        </is>
      </c>
      <c r="F3275" s="18" t="inlineStr">
        <is>
          <t>F0118</t>
        </is>
      </c>
    </row>
    <row r="3276" ht="15.75" customHeight="1" s="108">
      <c r="A3276" s="18" t="inlineStr">
        <is>
          <t>Michael Broderick</t>
        </is>
      </c>
      <c r="B3276" s="18" t="n">
        <v>1</v>
      </c>
      <c r="C3276" s="18" t="n">
        <v>2009</v>
      </c>
      <c r="D3276" s="18" t="n">
        <v>2009</v>
      </c>
      <c r="E3276" s="18" t="inlineStr">
        <is>
          <t>G.I. Joe: The Rise of Cobra</t>
        </is>
      </c>
      <c r="F3276" s="18" t="inlineStr">
        <is>
          <t>F0118</t>
        </is>
      </c>
    </row>
    <row r="3277" ht="15.75" customHeight="1" s="108">
      <c r="A3277" s="18" t="inlineStr">
        <is>
          <t>Elena Evangelo</t>
        </is>
      </c>
      <c r="B3277" s="18" t="n">
        <v>1</v>
      </c>
      <c r="C3277" s="18" t="n">
        <v>2009</v>
      </c>
      <c r="D3277" s="18" t="n">
        <v>2009</v>
      </c>
      <c r="E3277" s="18" t="inlineStr">
        <is>
          <t>G.I. Joe: The Rise of Cobra</t>
        </is>
      </c>
      <c r="F3277" s="18" t="inlineStr">
        <is>
          <t>F0118</t>
        </is>
      </c>
    </row>
    <row r="3278" ht="15.75" customHeight="1" s="108">
      <c r="A3278" s="18" t="inlineStr">
        <is>
          <t>Mark Hames</t>
        </is>
      </c>
      <c r="B3278" s="18" t="n">
        <v>1</v>
      </c>
      <c r="C3278" s="18" t="n">
        <v>2009</v>
      </c>
      <c r="D3278" s="18" t="n">
        <v>2009</v>
      </c>
      <c r="E3278" s="18" t="inlineStr">
        <is>
          <t>G.I. Joe: The Rise of Cobra</t>
        </is>
      </c>
      <c r="F3278" s="18" t="inlineStr">
        <is>
          <t>F0118</t>
        </is>
      </c>
    </row>
    <row r="3279" ht="15.75" customHeight="1" s="108">
      <c r="A3279" s="18" t="inlineStr">
        <is>
          <t>Jacques Frantz</t>
        </is>
      </c>
      <c r="B3279" s="18" t="n">
        <v>1</v>
      </c>
      <c r="C3279" s="18" t="n">
        <v>2009</v>
      </c>
      <c r="D3279" s="18" t="n">
        <v>2009</v>
      </c>
      <c r="E3279" s="18" t="inlineStr">
        <is>
          <t>G.I. Joe: The Rise of Cobra</t>
        </is>
      </c>
      <c r="F3279" s="18" t="inlineStr">
        <is>
          <t>F0118</t>
        </is>
      </c>
    </row>
    <row r="3280" ht="15.75" customHeight="1" s="108">
      <c r="A3280" s="18" t="inlineStr">
        <is>
          <t>Wayne Lopez</t>
        </is>
      </c>
      <c r="B3280" s="18" t="n">
        <v>1</v>
      </c>
      <c r="C3280" s="18" t="n">
        <v>2009</v>
      </c>
      <c r="D3280" s="18" t="n">
        <v>2009</v>
      </c>
      <c r="E3280" s="18" t="inlineStr">
        <is>
          <t>G.I. Joe: The Rise of Cobra</t>
        </is>
      </c>
      <c r="F3280" s="18" t="inlineStr">
        <is>
          <t>F0118</t>
        </is>
      </c>
    </row>
    <row r="3281" ht="15.75" customHeight="1" s="108">
      <c r="A3281" s="18" t="inlineStr">
        <is>
          <t>Kellie Matteson</t>
        </is>
      </c>
      <c r="B3281" s="18" t="n">
        <v>1</v>
      </c>
      <c r="C3281" s="18" t="n">
        <v>2009</v>
      </c>
      <c r="D3281" s="18" t="n">
        <v>2009</v>
      </c>
      <c r="E3281" s="18" t="inlineStr">
        <is>
          <t>G.I. Joe: The Rise of Cobra</t>
        </is>
      </c>
      <c r="F3281" s="18" t="inlineStr">
        <is>
          <t>F0118</t>
        </is>
      </c>
    </row>
    <row r="3282" ht="15.75" customHeight="1" s="108">
      <c r="A3282" s="18" t="inlineStr">
        <is>
          <t>Henry Golding</t>
        </is>
      </c>
      <c r="B3282" s="18" t="n">
        <v>1</v>
      </c>
      <c r="C3282" s="18" t="n">
        <v>2020</v>
      </c>
      <c r="D3282" s="18" t="n">
        <v>2020</v>
      </c>
      <c r="E3282" s="18" t="inlineStr">
        <is>
          <t>The Gentlemen</t>
        </is>
      </c>
      <c r="F3282" s="18" t="inlineStr">
        <is>
          <t>F0119</t>
        </is>
      </c>
    </row>
    <row r="3283" ht="15.75" customHeight="1" s="108">
      <c r="A3283" s="18" t="inlineStr">
        <is>
          <t>Chidi Ajufo</t>
        </is>
      </c>
      <c r="B3283" s="18" t="n">
        <v>1</v>
      </c>
      <c r="C3283" s="18" t="n">
        <v>2020</v>
      </c>
      <c r="D3283" s="18" t="n">
        <v>2020</v>
      </c>
      <c r="E3283" s="18" t="inlineStr">
        <is>
          <t>The Gentlemen</t>
        </is>
      </c>
      <c r="F3283" s="18" t="inlineStr">
        <is>
          <t>F0119</t>
        </is>
      </c>
    </row>
    <row r="3284" ht="15.75" customHeight="1" s="108">
      <c r="A3284" s="18" t="inlineStr">
        <is>
          <t>Simon Barker</t>
        </is>
      </c>
      <c r="B3284" s="18" t="n">
        <v>1</v>
      </c>
      <c r="C3284" s="18" t="n">
        <v>2020</v>
      </c>
      <c r="D3284" s="18" t="n">
        <v>2020</v>
      </c>
      <c r="E3284" s="18" t="inlineStr">
        <is>
          <t>The Gentlemen</t>
        </is>
      </c>
      <c r="F3284" s="18" t="inlineStr">
        <is>
          <t>F0119</t>
        </is>
      </c>
    </row>
    <row r="3285" ht="15.75" customHeight="1" s="108">
      <c r="A3285" s="18" t="inlineStr">
        <is>
          <t>Jason Wong</t>
        </is>
      </c>
      <c r="B3285" s="18" t="n">
        <v>2</v>
      </c>
      <c r="C3285" s="18" t="n">
        <v>2013</v>
      </c>
      <c r="D3285" s="18" t="n">
        <v>2020</v>
      </c>
      <c r="E3285" s="18" t="inlineStr">
        <is>
          <t>The Gentlemen, Hummingbird</t>
        </is>
      </c>
      <c r="F3285" s="18" t="inlineStr">
        <is>
          <t>F0119, F0156</t>
        </is>
      </c>
    </row>
    <row r="3286" ht="15.75" customHeight="1" s="108">
      <c r="A3286" s="18" t="inlineStr">
        <is>
          <t>John Dagleish</t>
        </is>
      </c>
      <c r="B3286" s="18" t="n">
        <v>1</v>
      </c>
      <c r="C3286" s="18" t="n">
        <v>2020</v>
      </c>
      <c r="D3286" s="18" t="n">
        <v>2020</v>
      </c>
      <c r="E3286" s="18" t="inlineStr">
        <is>
          <t>The Gentlemen</t>
        </is>
      </c>
      <c r="F3286" s="18" t="inlineStr">
        <is>
          <t>F0119</t>
        </is>
      </c>
    </row>
    <row r="3287" ht="15.75" customHeight="1" s="108">
      <c r="A3287" s="18" t="inlineStr">
        <is>
          <t>Jordan Long</t>
        </is>
      </c>
      <c r="B3287" s="18" t="n">
        <v>1</v>
      </c>
      <c r="C3287" s="18" t="n">
        <v>2020</v>
      </c>
      <c r="D3287" s="18" t="n">
        <v>2020</v>
      </c>
      <c r="E3287" s="18" t="inlineStr">
        <is>
          <t>The Gentlemen</t>
        </is>
      </c>
      <c r="F3287" s="18" t="inlineStr">
        <is>
          <t>F0119</t>
        </is>
      </c>
    </row>
    <row r="3288" ht="15.75" customHeight="1" s="108">
      <c r="A3288" s="18" t="inlineStr">
        <is>
          <t>Lily Frazer</t>
        </is>
      </c>
      <c r="B3288" s="18" t="n">
        <v>1</v>
      </c>
      <c r="C3288" s="18" t="n">
        <v>2020</v>
      </c>
      <c r="D3288" s="18" t="n">
        <v>2020</v>
      </c>
      <c r="E3288" s="18" t="inlineStr">
        <is>
          <t>The Gentlemen</t>
        </is>
      </c>
      <c r="F3288" s="18" t="inlineStr">
        <is>
          <t>F0119</t>
        </is>
      </c>
    </row>
    <row r="3289" ht="15.75" customHeight="1" s="108">
      <c r="A3289" s="18" t="inlineStr">
        <is>
          <t>Gershwyn Eustache Jnr</t>
        </is>
      </c>
      <c r="B3289" s="18" t="n">
        <v>1</v>
      </c>
      <c r="C3289" s="18" t="n">
        <v>2020</v>
      </c>
      <c r="D3289" s="18" t="n">
        <v>2020</v>
      </c>
      <c r="E3289" s="18" t="inlineStr">
        <is>
          <t>The Gentlemen</t>
        </is>
      </c>
      <c r="F3289" s="18" t="inlineStr">
        <is>
          <t>F0119</t>
        </is>
      </c>
    </row>
    <row r="3290" ht="15.75" customHeight="1" s="108">
      <c r="A3290" s="18" t="inlineStr">
        <is>
          <t>Samuel West</t>
        </is>
      </c>
      <c r="B3290" s="18" t="n">
        <v>1</v>
      </c>
      <c r="C3290" s="18" t="n">
        <v>2020</v>
      </c>
      <c r="D3290" s="18" t="n">
        <v>2020</v>
      </c>
      <c r="E3290" s="18" t="inlineStr">
        <is>
          <t>The Gentlemen</t>
        </is>
      </c>
      <c r="F3290" s="18" t="inlineStr">
        <is>
          <t>F0119</t>
        </is>
      </c>
    </row>
    <row r="3291" ht="15.75" customHeight="1" s="108">
      <c r="A3291" s="18" t="inlineStr">
        <is>
          <t>Geraldine Somerville</t>
        </is>
      </c>
      <c r="B3291" s="18" t="n">
        <v>3</v>
      </c>
      <c r="C3291" s="18" t="n">
        <v>2004</v>
      </c>
      <c r="D3291" s="18" t="n">
        <v>2020</v>
      </c>
      <c r="E3291" s="18" t="inlineStr">
        <is>
          <t>The Gentlemen, Harry Potter and the Prisoner of Azkaban, Harry Potter and the Half-Blood Prince</t>
        </is>
      </c>
      <c r="F3291" s="18" t="inlineStr">
        <is>
          <t>F0119, F0139, F0142</t>
        </is>
      </c>
    </row>
    <row r="3292" ht="15.75" customHeight="1" s="108">
      <c r="A3292" s="18" t="inlineStr">
        <is>
          <t>Eliot Sumner</t>
        </is>
      </c>
      <c r="B3292" s="18" t="n">
        <v>1</v>
      </c>
      <c r="C3292" s="18" t="n">
        <v>2020</v>
      </c>
      <c r="D3292" s="18" t="n">
        <v>2020</v>
      </c>
      <c r="E3292" s="18" t="inlineStr">
        <is>
          <t>The Gentlemen</t>
        </is>
      </c>
      <c r="F3292" s="18" t="inlineStr">
        <is>
          <t>F0119</t>
        </is>
      </c>
    </row>
    <row r="3293" ht="15.75" customHeight="1" s="108">
      <c r="A3293" s="18" t="inlineStr">
        <is>
          <t>Christopher Evangelou</t>
        </is>
      </c>
      <c r="B3293" s="18" t="n">
        <v>1</v>
      </c>
      <c r="C3293" s="18" t="n">
        <v>2020</v>
      </c>
      <c r="D3293" s="18" t="n">
        <v>2020</v>
      </c>
      <c r="E3293" s="18" t="inlineStr">
        <is>
          <t>The Gentlemen</t>
        </is>
      </c>
      <c r="F3293" s="18" t="inlineStr">
        <is>
          <t>F0119</t>
        </is>
      </c>
    </row>
    <row r="3294" ht="15.75" customHeight="1" s="108">
      <c r="A3294" s="18" t="inlineStr">
        <is>
          <t>James Warren</t>
        </is>
      </c>
      <c r="B3294" s="18" t="n">
        <v>1</v>
      </c>
      <c r="C3294" s="18" t="n">
        <v>2020</v>
      </c>
      <c r="D3294" s="18" t="n">
        <v>2020</v>
      </c>
      <c r="E3294" s="18" t="inlineStr">
        <is>
          <t>The Gentlemen</t>
        </is>
      </c>
      <c r="F3294" s="18" t="inlineStr">
        <is>
          <t>F0119</t>
        </is>
      </c>
    </row>
    <row r="3295" ht="15.75" customHeight="1" s="108">
      <c r="A3295" s="18" t="inlineStr">
        <is>
          <t>Sean Sagar</t>
        </is>
      </c>
      <c r="B3295" s="18" t="n">
        <v>1</v>
      </c>
      <c r="C3295" s="18" t="n">
        <v>2020</v>
      </c>
      <c r="D3295" s="18" t="n">
        <v>2020</v>
      </c>
      <c r="E3295" s="18" t="inlineStr">
        <is>
          <t>The Gentlemen</t>
        </is>
      </c>
      <c r="F3295" s="18" t="inlineStr">
        <is>
          <t>F0119</t>
        </is>
      </c>
    </row>
    <row r="3296" ht="15.75" customHeight="1" s="108">
      <c r="A3296" s="18" t="inlineStr">
        <is>
          <t>Bugzy Malone</t>
        </is>
      </c>
      <c r="B3296" s="18" t="n">
        <v>1</v>
      </c>
      <c r="C3296" s="18" t="n">
        <v>2020</v>
      </c>
      <c r="D3296" s="18" t="n">
        <v>2020</v>
      </c>
      <c r="E3296" s="18" t="inlineStr">
        <is>
          <t>The Gentlemen</t>
        </is>
      </c>
      <c r="F3296" s="18" t="inlineStr">
        <is>
          <t>F0119</t>
        </is>
      </c>
    </row>
    <row r="3297" ht="15.75" customHeight="1" s="108">
      <c r="A3297" s="18" t="inlineStr">
        <is>
          <t>Tom Rhys Harries</t>
        </is>
      </c>
      <c r="B3297" s="18" t="n">
        <v>2</v>
      </c>
      <c r="C3297" s="18" t="n">
        <v>2014</v>
      </c>
      <c r="D3297" s="18" t="n">
        <v>2020</v>
      </c>
      <c r="E3297" s="18" t="inlineStr">
        <is>
          <t>The Gentlemen, The Inbetweeners 2</t>
        </is>
      </c>
      <c r="F3297" s="18" t="inlineStr">
        <is>
          <t>F0119, F0164</t>
        </is>
      </c>
    </row>
    <row r="3298" ht="15.75" customHeight="1" s="108">
      <c r="A3298" s="18" t="inlineStr">
        <is>
          <t>Danny Griffin</t>
        </is>
      </c>
      <c r="B3298" s="18" t="n">
        <v>1</v>
      </c>
      <c r="C3298" s="18" t="n">
        <v>2020</v>
      </c>
      <c r="D3298" s="18" t="n">
        <v>2020</v>
      </c>
      <c r="E3298" s="18" t="inlineStr">
        <is>
          <t>The Gentlemen</t>
        </is>
      </c>
      <c r="F3298" s="18" t="inlineStr">
        <is>
          <t>F0119</t>
        </is>
      </c>
    </row>
    <row r="3299" ht="15.75" customHeight="1" s="108">
      <c r="A3299" s="18" t="inlineStr">
        <is>
          <t>Bruce Chong</t>
        </is>
      </c>
      <c r="B3299" s="18" t="n">
        <v>1</v>
      </c>
      <c r="C3299" s="18" t="n">
        <v>2020</v>
      </c>
      <c r="D3299" s="18" t="n">
        <v>2020</v>
      </c>
      <c r="E3299" s="18" t="inlineStr">
        <is>
          <t>The Gentlemen</t>
        </is>
      </c>
      <c r="F3299" s="18" t="inlineStr">
        <is>
          <t>F0119</t>
        </is>
      </c>
    </row>
    <row r="3300" ht="15.75" customHeight="1" s="108">
      <c r="A3300" s="18" t="inlineStr">
        <is>
          <t>Yorick van Wageningen</t>
        </is>
      </c>
      <c r="B3300" s="18" t="n">
        <v>1</v>
      </c>
      <c r="C3300" s="18" t="n">
        <v>2011</v>
      </c>
      <c r="D3300" s="18" t="n">
        <v>2011</v>
      </c>
      <c r="E3300" s="18" t="inlineStr">
        <is>
          <t>The Girl with the Dragon Tattoo</t>
        </is>
      </c>
      <c r="F3300" s="18" t="inlineStr">
        <is>
          <t>F0120</t>
        </is>
      </c>
    </row>
    <row r="3301" ht="15.75" customHeight="1" s="108">
      <c r="A3301" s="18" t="inlineStr">
        <is>
          <t>Joely Richardson</t>
        </is>
      </c>
      <c r="B3301" s="18" t="n">
        <v>1</v>
      </c>
      <c r="C3301" s="18" t="n">
        <v>2011</v>
      </c>
      <c r="D3301" s="18" t="n">
        <v>2011</v>
      </c>
      <c r="E3301" s="18" t="inlineStr">
        <is>
          <t>The Girl with the Dragon Tattoo</t>
        </is>
      </c>
      <c r="F3301" s="18" t="inlineStr">
        <is>
          <t>F0120</t>
        </is>
      </c>
    </row>
    <row r="3302" ht="15.75" customHeight="1" s="108">
      <c r="A3302" s="18" t="inlineStr">
        <is>
          <t>Geraldine James</t>
        </is>
      </c>
      <c r="B3302" s="18" t="n">
        <v>3</v>
      </c>
      <c r="C3302" s="18" t="n">
        <v>2009</v>
      </c>
      <c r="D3302" s="18" t="n">
        <v>2011</v>
      </c>
      <c r="E3302" s="18" t="inlineStr">
        <is>
          <t>The Girl with the Dragon Tattoo, Sherlock Holmes, Sherlock Holmes: A Game of Shadows</t>
        </is>
      </c>
      <c r="F3302" s="18" t="inlineStr">
        <is>
          <t>F0120, F0278, F0279</t>
        </is>
      </c>
    </row>
    <row r="3303" ht="15.75" customHeight="1" s="108">
      <c r="A3303" s="18" t="inlineStr">
        <is>
          <t>Goran Višnjić</t>
        </is>
      </c>
      <c r="B3303" s="18" t="n">
        <v>1</v>
      </c>
      <c r="C3303" s="18" t="n">
        <v>2011</v>
      </c>
      <c r="D3303" s="18" t="n">
        <v>2011</v>
      </c>
      <c r="E3303" s="18" t="inlineStr">
        <is>
          <t>The Girl with the Dragon Tattoo</t>
        </is>
      </c>
      <c r="F3303" s="18" t="inlineStr">
        <is>
          <t>F0120</t>
        </is>
      </c>
    </row>
    <row r="3304" ht="15.75" customHeight="1" s="108">
      <c r="A3304" s="18" t="inlineStr">
        <is>
          <t>Donald Sumpter</t>
        </is>
      </c>
      <c r="B3304" s="18" t="n">
        <v>1</v>
      </c>
      <c r="C3304" s="18" t="n">
        <v>2011</v>
      </c>
      <c r="D3304" s="18" t="n">
        <v>2011</v>
      </c>
      <c r="E3304" s="18" t="inlineStr">
        <is>
          <t>The Girl with the Dragon Tattoo</t>
        </is>
      </c>
      <c r="F3304" s="18" t="inlineStr">
        <is>
          <t>F0120</t>
        </is>
      </c>
    </row>
    <row r="3305" ht="15.75" customHeight="1" s="108">
      <c r="A3305" s="18" t="inlineStr">
        <is>
          <t>Ulf Friberg</t>
        </is>
      </c>
      <c r="B3305" s="18" t="n">
        <v>1</v>
      </c>
      <c r="C3305" s="18" t="n">
        <v>2011</v>
      </c>
      <c r="D3305" s="18" t="n">
        <v>2011</v>
      </c>
      <c r="E3305" s="18" t="inlineStr">
        <is>
          <t>The Girl with the Dragon Tattoo</t>
        </is>
      </c>
      <c r="F3305" s="18" t="inlineStr">
        <is>
          <t>F0120</t>
        </is>
      </c>
    </row>
    <row r="3306" ht="15.75" customHeight="1" s="108">
      <c r="A3306" s="18" t="inlineStr">
        <is>
          <t>Bengt C.W. Carlsson</t>
        </is>
      </c>
      <c r="B3306" s="18" t="n">
        <v>1</v>
      </c>
      <c r="C3306" s="18" t="n">
        <v>2011</v>
      </c>
      <c r="D3306" s="18" t="n">
        <v>2011</v>
      </c>
      <c r="E3306" s="18" t="inlineStr">
        <is>
          <t>The Girl with the Dragon Tattoo</t>
        </is>
      </c>
      <c r="F3306" s="18" t="inlineStr">
        <is>
          <t>F0120</t>
        </is>
      </c>
    </row>
    <row r="3307" ht="15.75" customHeight="1" s="108">
      <c r="A3307" s="18" t="inlineStr">
        <is>
          <t>Tony Way</t>
        </is>
      </c>
      <c r="B3307" s="18" t="n">
        <v>1</v>
      </c>
      <c r="C3307" s="18" t="n">
        <v>2011</v>
      </c>
      <c r="D3307" s="18" t="n">
        <v>2011</v>
      </c>
      <c r="E3307" s="18" t="inlineStr">
        <is>
          <t>The Girl with the Dragon Tattoo</t>
        </is>
      </c>
      <c r="F3307" s="18" t="inlineStr">
        <is>
          <t>F0120</t>
        </is>
      </c>
    </row>
    <row r="3308" ht="15.75" customHeight="1" s="108">
      <c r="A3308" s="18" t="inlineStr">
        <is>
          <t>Per Myrberg</t>
        </is>
      </c>
      <c r="B3308" s="18" t="n">
        <v>1</v>
      </c>
      <c r="C3308" s="18" t="n">
        <v>2011</v>
      </c>
      <c r="D3308" s="18" t="n">
        <v>2011</v>
      </c>
      <c r="E3308" s="18" t="inlineStr">
        <is>
          <t>The Girl with the Dragon Tattoo</t>
        </is>
      </c>
      <c r="F3308" s="18" t="inlineStr">
        <is>
          <t>F0120</t>
        </is>
      </c>
    </row>
    <row r="3309" ht="15.75" customHeight="1" s="108">
      <c r="A3309" s="18" t="inlineStr">
        <is>
          <t>Josefin Asplund</t>
        </is>
      </c>
      <c r="B3309" s="18" t="n">
        <v>1</v>
      </c>
      <c r="C3309" s="18" t="n">
        <v>2011</v>
      </c>
      <c r="D3309" s="18" t="n">
        <v>2011</v>
      </c>
      <c r="E3309" s="18" t="inlineStr">
        <is>
          <t>The Girl with the Dragon Tattoo</t>
        </is>
      </c>
      <c r="F3309" s="18" t="inlineStr">
        <is>
          <t>F0120</t>
        </is>
      </c>
    </row>
    <row r="3310" ht="15.75" customHeight="1" s="108">
      <c r="A3310" s="18" t="inlineStr">
        <is>
          <t>Eva Fritjofson</t>
        </is>
      </c>
      <c r="B3310" s="18" t="n">
        <v>1</v>
      </c>
      <c r="C3310" s="18" t="n">
        <v>2011</v>
      </c>
      <c r="D3310" s="18" t="n">
        <v>2011</v>
      </c>
      <c r="E3310" s="18" t="inlineStr">
        <is>
          <t>The Girl with the Dragon Tattoo</t>
        </is>
      </c>
      <c r="F3310" s="18" t="inlineStr">
        <is>
          <t>F0120</t>
        </is>
      </c>
    </row>
    <row r="3311" ht="15.75" customHeight="1" s="108">
      <c r="A3311" s="18" t="inlineStr">
        <is>
          <t>Moa Garpendal</t>
        </is>
      </c>
      <c r="B3311" s="18" t="n">
        <v>1</v>
      </c>
      <c r="C3311" s="18" t="n">
        <v>2011</v>
      </c>
      <c r="D3311" s="18" t="n">
        <v>2011</v>
      </c>
      <c r="E3311" s="18" t="inlineStr">
        <is>
          <t>The Girl with the Dragon Tattoo</t>
        </is>
      </c>
      <c r="F3311" s="18" t="inlineStr">
        <is>
          <t>F0120</t>
        </is>
      </c>
    </row>
    <row r="3312" ht="15.75" customHeight="1" s="108">
      <c r="A3312" s="18" t="inlineStr">
        <is>
          <t>Maia Hansson Bergqvist</t>
        </is>
      </c>
      <c r="B3312" s="18" t="n">
        <v>1</v>
      </c>
      <c r="C3312" s="18" t="n">
        <v>2011</v>
      </c>
      <c r="D3312" s="18" t="n">
        <v>2011</v>
      </c>
      <c r="E3312" s="18" t="inlineStr">
        <is>
          <t>The Girl with the Dragon Tattoo</t>
        </is>
      </c>
      <c r="F3312" s="18" t="inlineStr">
        <is>
          <t>F0120</t>
        </is>
      </c>
    </row>
    <row r="3313" ht="15.75" customHeight="1" s="108">
      <c r="A3313" s="18" t="inlineStr">
        <is>
          <t>Sarah Appelberg</t>
        </is>
      </c>
      <c r="B3313" s="18" t="n">
        <v>1</v>
      </c>
      <c r="C3313" s="18" t="n">
        <v>2011</v>
      </c>
      <c r="D3313" s="18" t="n">
        <v>2011</v>
      </c>
      <c r="E3313" s="18" t="inlineStr">
        <is>
          <t>The Girl with the Dragon Tattoo</t>
        </is>
      </c>
      <c r="F3313" s="18" t="inlineStr">
        <is>
          <t>F0120</t>
        </is>
      </c>
    </row>
    <row r="3314" ht="15.75" customHeight="1" s="108">
      <c r="A3314" s="18" t="inlineStr">
        <is>
          <t>Julian Sands</t>
        </is>
      </c>
      <c r="B3314" s="18" t="n">
        <v>1</v>
      </c>
      <c r="C3314" s="18" t="n">
        <v>2011</v>
      </c>
      <c r="D3314" s="18" t="n">
        <v>2011</v>
      </c>
      <c r="E3314" s="18" t="inlineStr">
        <is>
          <t>The Girl with the Dragon Tattoo</t>
        </is>
      </c>
      <c r="F3314" s="18" t="inlineStr">
        <is>
          <t>F0120</t>
        </is>
      </c>
    </row>
    <row r="3315" ht="15.75" customHeight="1" s="108">
      <c r="A3315" s="18" t="inlineStr">
        <is>
          <t>Anna Björk</t>
        </is>
      </c>
      <c r="B3315" s="18" t="n">
        <v>1</v>
      </c>
      <c r="C3315" s="18" t="n">
        <v>2011</v>
      </c>
      <c r="D3315" s="18" t="n">
        <v>2011</v>
      </c>
      <c r="E3315" s="18" t="inlineStr">
        <is>
          <t>The Girl with the Dragon Tattoo</t>
        </is>
      </c>
      <c r="F3315" s="18" t="inlineStr">
        <is>
          <t>F0120</t>
        </is>
      </c>
    </row>
    <row r="3316" ht="15.75" customHeight="1" s="108">
      <c r="A3316" s="18" t="inlineStr">
        <is>
          <t>Simon Reithner</t>
        </is>
      </c>
      <c r="B3316" s="18" t="n">
        <v>1</v>
      </c>
      <c r="C3316" s="18" t="n">
        <v>2011</v>
      </c>
      <c r="D3316" s="18" t="n">
        <v>2011</v>
      </c>
      <c r="E3316" s="18" t="inlineStr">
        <is>
          <t>The Girl with the Dragon Tattoo</t>
        </is>
      </c>
      <c r="F3316" s="18" t="inlineStr">
        <is>
          <t>F0120</t>
        </is>
      </c>
    </row>
    <row r="3317" ht="15.75" customHeight="1" s="108">
      <c r="A3317" s="18" t="inlineStr">
        <is>
          <t>Marcus Johansson</t>
        </is>
      </c>
      <c r="B3317" s="18" t="n">
        <v>1</v>
      </c>
      <c r="C3317" s="18" t="n">
        <v>2011</v>
      </c>
      <c r="D3317" s="18" t="n">
        <v>2011</v>
      </c>
      <c r="E3317" s="18" t="inlineStr">
        <is>
          <t>The Girl with the Dragon Tattoo</t>
        </is>
      </c>
      <c r="F3317" s="18" t="inlineStr">
        <is>
          <t>F0120</t>
        </is>
      </c>
    </row>
    <row r="3318" ht="15.75" customHeight="1" s="108">
      <c r="A3318" s="18" t="inlineStr">
        <is>
          <t>Mathilda von Essen</t>
        </is>
      </c>
      <c r="B3318" s="18" t="n">
        <v>1</v>
      </c>
      <c r="C3318" s="18" t="n">
        <v>2011</v>
      </c>
      <c r="D3318" s="18" t="n">
        <v>2011</v>
      </c>
      <c r="E3318" s="18" t="inlineStr">
        <is>
          <t>The Girl with the Dragon Tattoo</t>
        </is>
      </c>
      <c r="F3318" s="18" t="inlineStr">
        <is>
          <t>F0120</t>
        </is>
      </c>
    </row>
    <row r="3319" ht="15.75" customHeight="1" s="108">
      <c r="A3319" s="18" t="inlineStr">
        <is>
          <t>Mathias Palmér</t>
        </is>
      </c>
      <c r="B3319" s="18" t="n">
        <v>1</v>
      </c>
      <c r="C3319" s="18" t="n">
        <v>2011</v>
      </c>
      <c r="D3319" s="18" t="n">
        <v>2011</v>
      </c>
      <c r="E3319" s="18" t="inlineStr">
        <is>
          <t>The Girl with the Dragon Tattoo</t>
        </is>
      </c>
      <c r="F3319" s="18" t="inlineStr">
        <is>
          <t>F0120</t>
        </is>
      </c>
    </row>
    <row r="3320" ht="15.75" customHeight="1" s="108">
      <c r="A3320" s="18" t="inlineStr">
        <is>
          <t>Martin Jarvis</t>
        </is>
      </c>
      <c r="B3320" s="18" t="n">
        <v>1</v>
      </c>
      <c r="C3320" s="18" t="n">
        <v>2011</v>
      </c>
      <c r="D3320" s="18" t="n">
        <v>2011</v>
      </c>
      <c r="E3320" s="18" t="inlineStr">
        <is>
          <t>The Girl with the Dragon Tattoo</t>
        </is>
      </c>
      <c r="F3320" s="18" t="inlineStr">
        <is>
          <t>F0120</t>
        </is>
      </c>
    </row>
    <row r="3321" ht="15.75" customHeight="1" s="108">
      <c r="A3321" s="18" t="inlineStr">
        <is>
          <t>Inga Landgré</t>
        </is>
      </c>
      <c r="B3321" s="18" t="n">
        <v>1</v>
      </c>
      <c r="C3321" s="18" t="n">
        <v>2011</v>
      </c>
      <c r="D3321" s="18" t="n">
        <v>2011</v>
      </c>
      <c r="E3321" s="18" t="inlineStr">
        <is>
          <t>The Girl with the Dragon Tattoo</t>
        </is>
      </c>
      <c r="F3321" s="18" t="inlineStr">
        <is>
          <t>F0120</t>
        </is>
      </c>
    </row>
    <row r="3322" ht="15.75" customHeight="1" s="108">
      <c r="A3322" s="18" t="inlineStr">
        <is>
          <t>Al Sapienza</t>
        </is>
      </c>
      <c r="B3322" s="18" t="n">
        <v>1</v>
      </c>
      <c r="C3322" s="18" t="n">
        <v>2014</v>
      </c>
      <c r="D3322" s="18" t="n">
        <v>2014</v>
      </c>
      <c r="E3322" s="18" t="inlineStr">
        <is>
          <t>Godzilla</t>
        </is>
      </c>
      <c r="F3322" s="18" t="inlineStr">
        <is>
          <t>F0121</t>
        </is>
      </c>
    </row>
    <row r="3323" ht="15.75" customHeight="1" s="108">
      <c r="A3323" s="18" t="inlineStr">
        <is>
          <t>James Pizzinato</t>
        </is>
      </c>
      <c r="B3323" s="18" t="n">
        <v>2</v>
      </c>
      <c r="C3323" s="18" t="n">
        <v>2014</v>
      </c>
      <c r="D3323" s="18" t="n">
        <v>2017</v>
      </c>
      <c r="E3323" s="18" t="inlineStr">
        <is>
          <t>Godzilla, War for the Planet of the Apes</t>
        </is>
      </c>
      <c r="F3323" s="18" t="inlineStr">
        <is>
          <t>F0121, F0255</t>
        </is>
      </c>
    </row>
    <row r="3324" ht="15.75" customHeight="1" s="108">
      <c r="A3324" s="18" t="inlineStr">
        <is>
          <t>CJ Adams</t>
        </is>
      </c>
      <c r="B3324" s="18" t="n">
        <v>1</v>
      </c>
      <c r="C3324" s="18" t="n">
        <v>2014</v>
      </c>
      <c r="D3324" s="18" t="n">
        <v>2014</v>
      </c>
      <c r="E3324" s="18" t="inlineStr">
        <is>
          <t>Godzilla</t>
        </is>
      </c>
      <c r="F3324" s="18" t="inlineStr">
        <is>
          <t>F0121</t>
        </is>
      </c>
    </row>
    <row r="3325" ht="15.75" customHeight="1" s="108">
      <c r="A3325" s="18" t="inlineStr">
        <is>
          <t>Richard T. Jones</t>
        </is>
      </c>
      <c r="B3325" s="18" t="n">
        <v>2</v>
      </c>
      <c r="C3325" s="18" t="n">
        <v>2011</v>
      </c>
      <c r="D3325" s="18" t="n">
        <v>2014</v>
      </c>
      <c r="E3325" s="18" t="inlineStr">
        <is>
          <t>Godzilla, Super 8</t>
        </is>
      </c>
      <c r="F3325" s="18" t="inlineStr">
        <is>
          <t>F0121, F0302</t>
        </is>
      </c>
    </row>
    <row r="3326" ht="15.75" customHeight="1" s="108">
      <c r="A3326" s="18" t="inlineStr">
        <is>
          <t>Victor Rasuk</t>
        </is>
      </c>
      <c r="B3326" s="18" t="n">
        <v>1</v>
      </c>
      <c r="C3326" s="18" t="n">
        <v>2014</v>
      </c>
      <c r="D3326" s="18" t="n">
        <v>2014</v>
      </c>
      <c r="E3326" s="18" t="inlineStr">
        <is>
          <t>Godzilla</t>
        </is>
      </c>
      <c r="F3326" s="18" t="inlineStr">
        <is>
          <t>F0121</t>
        </is>
      </c>
    </row>
    <row r="3327" ht="15.75" customHeight="1" s="108">
      <c r="A3327" s="18" t="inlineStr">
        <is>
          <t>Patrick Sabongui</t>
        </is>
      </c>
      <c r="B3327" s="18" t="n">
        <v>3</v>
      </c>
      <c r="C3327" s="18" t="n">
        <v>2013</v>
      </c>
      <c r="D3327" s="18" t="n">
        <v>2014</v>
      </c>
      <c r="E3327" s="18" t="inlineStr">
        <is>
          <t>Godzilla, The Smurfs 2, White House Down</t>
        </is>
      </c>
      <c r="F3327" s="18" t="inlineStr">
        <is>
          <t>F0121, F0282, F0335</t>
        </is>
      </c>
    </row>
    <row r="3328" ht="15.75" customHeight="1" s="108">
      <c r="A3328" s="18" t="inlineStr">
        <is>
          <t>Carson Bolde</t>
        </is>
      </c>
      <c r="B3328" s="18" t="n">
        <v>1</v>
      </c>
      <c r="C3328" s="18" t="n">
        <v>2014</v>
      </c>
      <c r="D3328" s="18" t="n">
        <v>2014</v>
      </c>
      <c r="E3328" s="18" t="inlineStr">
        <is>
          <t>Godzilla</t>
        </is>
      </c>
      <c r="F3328" s="18" t="inlineStr">
        <is>
          <t>F0121</t>
        </is>
      </c>
    </row>
    <row r="3329" ht="15.75" customHeight="1" s="108">
      <c r="A3329" s="18" t="inlineStr">
        <is>
          <t>Luc Roderique</t>
        </is>
      </c>
      <c r="B3329" s="18" t="n">
        <v>1</v>
      </c>
      <c r="C3329" s="18" t="n">
        <v>2014</v>
      </c>
      <c r="D3329" s="18" t="n">
        <v>2014</v>
      </c>
      <c r="E3329" s="18" t="inlineStr">
        <is>
          <t>Godzilla</t>
        </is>
      </c>
      <c r="F3329" s="18" t="inlineStr">
        <is>
          <t>F0121</t>
        </is>
      </c>
    </row>
    <row r="3330" ht="15.75" customHeight="1" s="108">
      <c r="A3330" s="18" t="inlineStr">
        <is>
          <t>Primo Allon</t>
        </is>
      </c>
      <c r="B3330" s="18" t="n">
        <v>1</v>
      </c>
      <c r="C3330" s="18" t="n">
        <v>2014</v>
      </c>
      <c r="D3330" s="18" t="n">
        <v>2014</v>
      </c>
      <c r="E3330" s="18" t="inlineStr">
        <is>
          <t>Godzilla</t>
        </is>
      </c>
      <c r="F3330" s="18" t="inlineStr">
        <is>
          <t>F0121</t>
        </is>
      </c>
    </row>
    <row r="3331" ht="15.75" customHeight="1" s="108">
      <c r="A3331" s="18" t="inlineStr">
        <is>
          <t>George Allen Gumapac Jr.</t>
        </is>
      </c>
      <c r="B3331" s="18" t="n">
        <v>1</v>
      </c>
      <c r="C3331" s="18" t="n">
        <v>2014</v>
      </c>
      <c r="D3331" s="18" t="n">
        <v>2014</v>
      </c>
      <c r="E3331" s="18" t="inlineStr">
        <is>
          <t>Godzilla</t>
        </is>
      </c>
      <c r="F3331" s="18" t="inlineStr">
        <is>
          <t>F0121</t>
        </is>
      </c>
    </row>
    <row r="3332" ht="15.75" customHeight="1" s="108">
      <c r="A3332" s="18" t="inlineStr">
        <is>
          <t>Ken Yamamura</t>
        </is>
      </c>
      <c r="B3332" s="18" t="n">
        <v>2</v>
      </c>
      <c r="C3332" s="18" t="n">
        <v>2013</v>
      </c>
      <c r="D3332" s="18" t="n">
        <v>2014</v>
      </c>
      <c r="E3332" s="18" t="inlineStr">
        <is>
          <t>Godzilla, The Wolverine</t>
        </is>
      </c>
      <c r="F3332" s="18" t="inlineStr">
        <is>
          <t>F0121, F0347</t>
        </is>
      </c>
    </row>
    <row r="3333" ht="15.75" customHeight="1" s="108">
      <c r="A3333" s="18" t="inlineStr">
        <is>
          <t>Garry Chalk</t>
        </is>
      </c>
      <c r="B3333" s="18" t="n">
        <v>2</v>
      </c>
      <c r="C3333" s="18" t="n">
        <v>2014</v>
      </c>
      <c r="D3333" s="18" t="n">
        <v>2020</v>
      </c>
      <c r="E3333" s="18" t="inlineStr">
        <is>
          <t>Godzilla, sonic the hedgehog</t>
        </is>
      </c>
      <c r="F3333" s="18" t="inlineStr">
        <is>
          <t>F0121, F0378</t>
        </is>
      </c>
    </row>
    <row r="3334" ht="15.75" customHeight="1" s="108">
      <c r="A3334" s="18" t="inlineStr">
        <is>
          <t>Hiro Kanagawa</t>
        </is>
      </c>
      <c r="B3334" s="18" t="n">
        <v>1</v>
      </c>
      <c r="C3334" s="18" t="n">
        <v>2014</v>
      </c>
      <c r="D3334" s="18" t="n">
        <v>2014</v>
      </c>
      <c r="E3334" s="18" t="inlineStr">
        <is>
          <t>Godzilla</t>
        </is>
      </c>
      <c r="F3334" s="18" t="inlineStr">
        <is>
          <t>F0121</t>
        </is>
      </c>
    </row>
    <row r="3335" ht="15.75" customHeight="1" s="108">
      <c r="A3335" s="18" t="inlineStr">
        <is>
          <t>Kevan Ohtsji</t>
        </is>
      </c>
      <c r="B3335" s="18" t="n">
        <v>1</v>
      </c>
      <c r="C3335" s="18" t="n">
        <v>2014</v>
      </c>
      <c r="D3335" s="18" t="n">
        <v>2014</v>
      </c>
      <c r="E3335" s="18" t="inlineStr">
        <is>
          <t>Godzilla</t>
        </is>
      </c>
      <c r="F3335" s="18" t="inlineStr">
        <is>
          <t>F0121</t>
        </is>
      </c>
    </row>
    <row r="3336" ht="15.75" customHeight="1" s="108">
      <c r="A3336" s="18" t="inlineStr">
        <is>
          <t>Kasey Ryne Mazak</t>
        </is>
      </c>
      <c r="B3336" s="18" t="n">
        <v>1</v>
      </c>
      <c r="C3336" s="18" t="n">
        <v>2014</v>
      </c>
      <c r="D3336" s="18" t="n">
        <v>2014</v>
      </c>
      <c r="E3336" s="18" t="inlineStr">
        <is>
          <t>Godzilla</t>
        </is>
      </c>
      <c r="F3336" s="18" t="inlineStr">
        <is>
          <t>F0121</t>
        </is>
      </c>
    </row>
    <row r="3337" ht="15.75" customHeight="1" s="108">
      <c r="A3337" s="18" t="inlineStr">
        <is>
          <t>Mas Morimoto</t>
        </is>
      </c>
      <c r="B3337" s="18" t="n">
        <v>1</v>
      </c>
      <c r="C3337" s="18" t="n">
        <v>2014</v>
      </c>
      <c r="D3337" s="18" t="n">
        <v>2014</v>
      </c>
      <c r="E3337" s="18" t="inlineStr">
        <is>
          <t>Godzilla</t>
        </is>
      </c>
      <c r="F3337" s="18" t="inlineStr">
        <is>
          <t>F0121</t>
        </is>
      </c>
    </row>
    <row r="3338" ht="15.75" customHeight="1" s="108">
      <c r="A3338" s="18" t="inlineStr">
        <is>
          <t>James D. Dever</t>
        </is>
      </c>
      <c r="B3338" s="18" t="n">
        <v>1</v>
      </c>
      <c r="C3338" s="18" t="n">
        <v>2014</v>
      </c>
      <c r="D3338" s="18" t="n">
        <v>2014</v>
      </c>
      <c r="E3338" s="18" t="inlineStr">
        <is>
          <t>Godzilla</t>
        </is>
      </c>
      <c r="F3338" s="18" t="inlineStr">
        <is>
          <t>F0121</t>
        </is>
      </c>
    </row>
    <row r="3339" ht="15.75" customHeight="1" s="108">
      <c r="A3339" s="18" t="inlineStr">
        <is>
          <t>Akira Takarada</t>
        </is>
      </c>
      <c r="B3339" s="18" t="n">
        <v>1</v>
      </c>
      <c r="C3339" s="18" t="n">
        <v>2014</v>
      </c>
      <c r="D3339" s="18" t="n">
        <v>2014</v>
      </c>
      <c r="E3339" s="18" t="inlineStr">
        <is>
          <t>Godzilla</t>
        </is>
      </c>
      <c r="F3339" s="18" t="inlineStr">
        <is>
          <t>F0121</t>
        </is>
      </c>
    </row>
    <row r="3340" ht="15.75" customHeight="1" s="108">
      <c r="A3340" s="18" t="inlineStr">
        <is>
          <t>Yuko Kiyama</t>
        </is>
      </c>
      <c r="B3340" s="18" t="n">
        <v>1</v>
      </c>
      <c r="C3340" s="18" t="n">
        <v>2014</v>
      </c>
      <c r="D3340" s="18" t="n">
        <v>2014</v>
      </c>
      <c r="E3340" s="18" t="inlineStr">
        <is>
          <t>Godzilla</t>
        </is>
      </c>
      <c r="F3340" s="18" t="inlineStr">
        <is>
          <t>F0121</t>
        </is>
      </c>
    </row>
    <row r="3341" ht="15.75" customHeight="1" s="108">
      <c r="A3341" s="18" t="inlineStr">
        <is>
          <t>Takeshi Kurokawa</t>
        </is>
      </c>
      <c r="B3341" s="18" t="n">
        <v>1</v>
      </c>
      <c r="C3341" s="18" t="n">
        <v>2014</v>
      </c>
      <c r="D3341" s="18" t="n">
        <v>2014</v>
      </c>
      <c r="E3341" s="18" t="inlineStr">
        <is>
          <t>Godzilla</t>
        </is>
      </c>
      <c r="F3341" s="18" t="inlineStr">
        <is>
          <t>F0121</t>
        </is>
      </c>
    </row>
    <row r="3342" ht="15.75" customHeight="1" s="108">
      <c r="A3342" s="18" t="inlineStr">
        <is>
          <t>Bradley Whitford</t>
        </is>
      </c>
      <c r="B3342" s="18" t="n">
        <v>1</v>
      </c>
      <c r="C3342" s="18" t="n">
        <v>2019</v>
      </c>
      <c r="D3342" s="18" t="n">
        <v>2019</v>
      </c>
      <c r="E3342" s="18" t="inlineStr">
        <is>
          <t>Godzilla: King of the Monsters</t>
        </is>
      </c>
      <c r="F3342" s="18" t="inlineStr">
        <is>
          <t>F0122</t>
        </is>
      </c>
    </row>
    <row r="3343" ht="15.75" customHeight="1" s="108">
      <c r="A3343" s="18" t="inlineStr">
        <is>
          <t>Thomas Middleditch</t>
        </is>
      </c>
      <c r="B3343" s="18" t="n">
        <v>2</v>
      </c>
      <c r="C3343" s="18" t="n">
        <v>2017</v>
      </c>
      <c r="D3343" s="18" t="n">
        <v>2019</v>
      </c>
      <c r="E3343" s="18" t="inlineStr">
        <is>
          <t>Godzilla: King of the Monsters, Kong: Skull Island</t>
        </is>
      </c>
      <c r="F3343" s="18" t="inlineStr">
        <is>
          <t>F0122, F0190</t>
        </is>
      </c>
    </row>
    <row r="3344" ht="15.75" customHeight="1" s="108">
      <c r="A3344" s="18" t="inlineStr">
        <is>
          <t>Aisha Hinds</t>
        </is>
      </c>
      <c r="B3344" s="18" t="n">
        <v>1</v>
      </c>
      <c r="C3344" s="18" t="n">
        <v>2019</v>
      </c>
      <c r="D3344" s="18" t="n">
        <v>2019</v>
      </c>
      <c r="E3344" s="18" t="inlineStr">
        <is>
          <t>Godzilla: King of the Monsters</t>
        </is>
      </c>
      <c r="F3344" s="18" t="inlineStr">
        <is>
          <t>F0122</t>
        </is>
      </c>
    </row>
    <row r="3345" ht="15.75" customHeight="1" s="108">
      <c r="A3345" s="18" t="inlineStr">
        <is>
          <t>Elizabeth Faith Ludlow</t>
        </is>
      </c>
      <c r="B3345" s="18" t="n">
        <v>1</v>
      </c>
      <c r="C3345" s="18" t="n">
        <v>2019</v>
      </c>
      <c r="D3345" s="18" t="n">
        <v>2019</v>
      </c>
      <c r="E3345" s="18" t="inlineStr">
        <is>
          <t>Godzilla: King of the Monsters</t>
        </is>
      </c>
      <c r="F3345" s="18" t="inlineStr">
        <is>
          <t>F0122</t>
        </is>
      </c>
    </row>
    <row r="3346" ht="15.75" customHeight="1" s="108">
      <c r="A3346" s="18" t="inlineStr">
        <is>
          <t>Jonathan Howard</t>
        </is>
      </c>
      <c r="B3346" s="18" t="n">
        <v>1</v>
      </c>
      <c r="C3346" s="18" t="n">
        <v>2019</v>
      </c>
      <c r="D3346" s="18" t="n">
        <v>2019</v>
      </c>
      <c r="E3346" s="18" t="inlineStr">
        <is>
          <t>Godzilla: King of the Monsters</t>
        </is>
      </c>
      <c r="F3346" s="18" t="inlineStr">
        <is>
          <t>F0122</t>
        </is>
      </c>
    </row>
    <row r="3347" ht="15.75" customHeight="1" s="108">
      <c r="A3347" s="18" t="inlineStr">
        <is>
          <t>Joe Morton</t>
        </is>
      </c>
      <c r="B3347" s="18" t="n">
        <v>1</v>
      </c>
      <c r="C3347" s="18" t="n">
        <v>2019</v>
      </c>
      <c r="D3347" s="18" t="n">
        <v>2019</v>
      </c>
      <c r="E3347" s="18" t="inlineStr">
        <is>
          <t>Godzilla: King of the Monsters</t>
        </is>
      </c>
      <c r="F3347" s="18" t="inlineStr">
        <is>
          <t>F0122</t>
        </is>
      </c>
    </row>
    <row r="3348" ht="15.75" customHeight="1" s="108">
      <c r="A3348" s="18" t="inlineStr">
        <is>
          <t>Randy Havens</t>
        </is>
      </c>
      <c r="B3348" s="18" t="n">
        <v>1</v>
      </c>
      <c r="C3348" s="18" t="n">
        <v>2019</v>
      </c>
      <c r="D3348" s="18" t="n">
        <v>2019</v>
      </c>
      <c r="E3348" s="18" t="inlineStr">
        <is>
          <t>Godzilla: King of the Monsters</t>
        </is>
      </c>
      <c r="F3348" s="18" t="inlineStr">
        <is>
          <t>F0122</t>
        </is>
      </c>
    </row>
    <row r="3349" ht="15.75" customHeight="1" s="108">
      <c r="A3349" s="18" t="inlineStr">
        <is>
          <t>Jimmy Gonzales</t>
        </is>
      </c>
      <c r="B3349" s="18" t="n">
        <v>1</v>
      </c>
      <c r="C3349" s="18" t="n">
        <v>2019</v>
      </c>
      <c r="D3349" s="18" t="n">
        <v>2019</v>
      </c>
      <c r="E3349" s="18" t="inlineStr">
        <is>
          <t>Godzilla: King of the Monsters</t>
        </is>
      </c>
      <c r="F3349" s="18" t="inlineStr">
        <is>
          <t>F0122</t>
        </is>
      </c>
    </row>
    <row r="3350" ht="15.75" customHeight="1" s="108">
      <c r="A3350" s="18" t="inlineStr">
        <is>
          <t>T.C. Matherne</t>
        </is>
      </c>
      <c r="B3350" s="18" t="n">
        <v>1</v>
      </c>
      <c r="C3350" s="18" t="n">
        <v>2019</v>
      </c>
      <c r="D3350" s="18" t="n">
        <v>2019</v>
      </c>
      <c r="E3350" s="18" t="inlineStr">
        <is>
          <t>Godzilla: King of the Monsters</t>
        </is>
      </c>
      <c r="F3350" s="18" t="inlineStr">
        <is>
          <t>F0122</t>
        </is>
      </c>
    </row>
    <row r="3351" ht="15.75" customHeight="1" s="108">
      <c r="A3351" s="18" t="inlineStr">
        <is>
          <t>Kenneth Israel</t>
        </is>
      </c>
      <c r="B3351" s="18" t="n">
        <v>3</v>
      </c>
      <c r="C3351" s="18" t="n">
        <v>2018</v>
      </c>
      <c r="D3351" s="18" t="n">
        <v>2019</v>
      </c>
      <c r="E3351" s="18" t="inlineStr">
        <is>
          <t xml:space="preserve">Godzilla: King of the Monsters, green book, green book </t>
        </is>
      </c>
      <c r="F3351" s="18" t="inlineStr">
        <is>
          <t>F0122, F0371</t>
        </is>
      </c>
    </row>
    <row r="3352" ht="15.75" customHeight="1" s="108">
      <c r="A3352" s="18" t="inlineStr">
        <is>
          <t>Justice Leak</t>
        </is>
      </c>
      <c r="B3352" s="18" t="n">
        <v>1</v>
      </c>
      <c r="C3352" s="18" t="n">
        <v>2019</v>
      </c>
      <c r="D3352" s="18" t="n">
        <v>2019</v>
      </c>
      <c r="E3352" s="18" t="inlineStr">
        <is>
          <t>Godzilla: King of the Monsters</t>
        </is>
      </c>
      <c r="F3352" s="18" t="inlineStr">
        <is>
          <t>F0122</t>
        </is>
      </c>
    </row>
    <row r="3353" ht="15.75" customHeight="1" s="108">
      <c r="A3353" s="18" t="inlineStr">
        <is>
          <t>Al Vicente</t>
        </is>
      </c>
      <c r="B3353" s="18" t="n">
        <v>2</v>
      </c>
      <c r="C3353" s="18" t="n">
        <v>2014</v>
      </c>
      <c r="D3353" s="18" t="n">
        <v>2019</v>
      </c>
      <c r="E3353" s="18" t="inlineStr">
        <is>
          <t>Godzilla: King of the Monsters, Dawn of the Planet of the Apes</t>
        </is>
      </c>
      <c r="F3353" s="18" t="inlineStr">
        <is>
          <t>F0122, F0254</t>
        </is>
      </c>
    </row>
    <row r="3354" ht="15.75" customHeight="1" s="108">
      <c r="A3354" s="18" t="inlineStr">
        <is>
          <t>Rose Bianco</t>
        </is>
      </c>
      <c r="B3354" s="18" t="n">
        <v>1</v>
      </c>
      <c r="C3354" s="18" t="n">
        <v>2019</v>
      </c>
      <c r="D3354" s="18" t="n">
        <v>2019</v>
      </c>
      <c r="E3354" s="18" t="inlineStr">
        <is>
          <t>Godzilla: King of the Monsters</t>
        </is>
      </c>
      <c r="F3354" s="18" t="inlineStr">
        <is>
          <t>F0122</t>
        </is>
      </c>
    </row>
    <row r="3355" ht="15.75" customHeight="1" s="108">
      <c r="A3355" s="18" t="inlineStr">
        <is>
          <t>Gabriel L. Silva</t>
        </is>
      </c>
      <c r="B3355" s="18" t="n">
        <v>1</v>
      </c>
      <c r="C3355" s="18" t="n">
        <v>2019</v>
      </c>
      <c r="D3355" s="18" t="n">
        <v>2019</v>
      </c>
      <c r="E3355" s="18" t="inlineStr">
        <is>
          <t>Godzilla: King of the Monsters</t>
        </is>
      </c>
      <c r="F3355" s="18" t="inlineStr">
        <is>
          <t>F0122</t>
        </is>
      </c>
    </row>
    <row r="3356" ht="15.75" customHeight="1" s="108">
      <c r="A3356" s="18" t="inlineStr">
        <is>
          <t>Skylar Denney</t>
        </is>
      </c>
      <c r="B3356" s="18" t="n">
        <v>1</v>
      </c>
      <c r="C3356" s="18" t="n">
        <v>2019</v>
      </c>
      <c r="D3356" s="18" t="n">
        <v>2019</v>
      </c>
      <c r="E3356" s="18" t="inlineStr">
        <is>
          <t>Godzilla: King of the Monsters</t>
        </is>
      </c>
      <c r="F3356" s="18" t="inlineStr">
        <is>
          <t>F0122</t>
        </is>
      </c>
    </row>
    <row r="3357" ht="15.75" customHeight="1" s="108">
      <c r="A3357" s="18" t="inlineStr">
        <is>
          <t>Kelli Garner</t>
        </is>
      </c>
      <c r="B3357" s="18" t="n">
        <v>1</v>
      </c>
      <c r="C3357" s="18" t="n">
        <v>2019</v>
      </c>
      <c r="D3357" s="18" t="n">
        <v>2019</v>
      </c>
      <c r="E3357" s="18" t="inlineStr">
        <is>
          <t>Godzilla: King of the Monsters</t>
        </is>
      </c>
      <c r="F3357" s="18" t="inlineStr">
        <is>
          <t>F0122</t>
        </is>
      </c>
    </row>
    <row r="3358" ht="15.75" customHeight="1" s="108">
      <c r="A3358" s="18" t="inlineStr">
        <is>
          <t>Tyler Crumley</t>
        </is>
      </c>
      <c r="B3358" s="18" t="n">
        <v>1</v>
      </c>
      <c r="C3358" s="18" t="n">
        <v>2019</v>
      </c>
      <c r="D3358" s="18" t="n">
        <v>2019</v>
      </c>
      <c r="E3358" s="18" t="inlineStr">
        <is>
          <t>Godzilla: King of the Monsters</t>
        </is>
      </c>
      <c r="F3358" s="18" t="inlineStr">
        <is>
          <t>F0122</t>
        </is>
      </c>
    </row>
    <row r="3359" ht="15.75" customHeight="1" s="108">
      <c r="A3359" s="18" t="inlineStr">
        <is>
          <t>Lexi Rabe</t>
        </is>
      </c>
      <c r="B3359" s="18" t="n">
        <v>1</v>
      </c>
      <c r="C3359" s="18" t="n">
        <v>2019</v>
      </c>
      <c r="D3359" s="18" t="n">
        <v>2019</v>
      </c>
      <c r="E3359" s="18" t="inlineStr">
        <is>
          <t>Godzilla: King of the Monsters</t>
        </is>
      </c>
      <c r="F3359" s="18" t="inlineStr">
        <is>
          <t>F0122</t>
        </is>
      </c>
    </row>
    <row r="3360" ht="15.75" customHeight="1" s="108">
      <c r="A3360" s="18" t="inlineStr">
        <is>
          <t>Shun Oguri</t>
        </is>
      </c>
      <c r="B3360" s="18" t="n">
        <v>1</v>
      </c>
      <c r="C3360" s="18" t="n">
        <v>2021</v>
      </c>
      <c r="D3360" s="18" t="n">
        <v>2021</v>
      </c>
      <c r="E3360" s="18" t="inlineStr">
        <is>
          <t>Godzilla vs. Kong</t>
        </is>
      </c>
      <c r="F3360" s="18" t="inlineStr">
        <is>
          <t>F0123</t>
        </is>
      </c>
    </row>
    <row r="3361" ht="15.75" customHeight="1" s="108">
      <c r="A3361" s="18" t="inlineStr">
        <is>
          <t>Lance Reddick</t>
        </is>
      </c>
      <c r="B3361" s="18" t="n">
        <v>8</v>
      </c>
      <c r="C3361" s="18" t="n">
        <v>2010</v>
      </c>
      <c r="D3361" s="18" t="n">
        <v>2023</v>
      </c>
      <c r="E3361" s="18" t="inlineStr">
        <is>
          <t xml:space="preserve">Godzilla vs. Kong, Jonah Hex, White House Down, john wick, john wick chapter 2, John wick chapter 3, John wick chapter 4, john wick chapter 2 </t>
        </is>
      </c>
      <c r="F3361" s="18" t="inlineStr">
        <is>
          <t>F0123, F0173, F0335, F0374, F0375, F0391, F0392</t>
        </is>
      </c>
    </row>
    <row r="3362" ht="15.75" customHeight="1" s="108">
      <c r="A3362" s="18" t="inlineStr">
        <is>
          <t>Hakeem Kae-Kazim</t>
        </is>
      </c>
      <c r="B3362" s="18" t="n">
        <v>1</v>
      </c>
      <c r="C3362" s="18" t="n">
        <v>2021</v>
      </c>
      <c r="D3362" s="18" t="n">
        <v>2021</v>
      </c>
      <c r="E3362" s="18" t="inlineStr">
        <is>
          <t>Godzilla vs. Kong</t>
        </is>
      </c>
      <c r="F3362" s="18" t="inlineStr">
        <is>
          <t>F0123</t>
        </is>
      </c>
    </row>
    <row r="3363" ht="15.75" customHeight="1" s="108">
      <c r="A3363" s="18" t="inlineStr">
        <is>
          <t>Ronny Chieng</t>
        </is>
      </c>
      <c r="B3363" s="18" t="n">
        <v>1</v>
      </c>
      <c r="C3363" s="18" t="n">
        <v>2021</v>
      </c>
      <c r="D3363" s="18" t="n">
        <v>2021</v>
      </c>
      <c r="E3363" s="18" t="inlineStr">
        <is>
          <t>Godzilla vs. Kong</t>
        </is>
      </c>
      <c r="F3363" s="18" t="inlineStr">
        <is>
          <t>F0123</t>
        </is>
      </c>
    </row>
    <row r="3364" ht="15.75" customHeight="1" s="108">
      <c r="A3364" s="18" t="inlineStr">
        <is>
          <t>John Pirruccello</t>
        </is>
      </c>
      <c r="B3364" s="18" t="n">
        <v>1</v>
      </c>
      <c r="C3364" s="18" t="n">
        <v>2021</v>
      </c>
      <c r="D3364" s="18" t="n">
        <v>2021</v>
      </c>
      <c r="E3364" s="18" t="inlineStr">
        <is>
          <t>Godzilla vs. Kong</t>
        </is>
      </c>
      <c r="F3364" s="18" t="inlineStr">
        <is>
          <t>F0123</t>
        </is>
      </c>
    </row>
    <row r="3365" ht="15.75" customHeight="1" s="108">
      <c r="A3365" s="18" t="inlineStr">
        <is>
          <t>Chris Chalk</t>
        </is>
      </c>
      <c r="B3365" s="18" t="n">
        <v>1</v>
      </c>
      <c r="C3365" s="18" t="n">
        <v>2021</v>
      </c>
      <c r="D3365" s="18" t="n">
        <v>2021</v>
      </c>
      <c r="E3365" s="18" t="inlineStr">
        <is>
          <t>Godzilla vs. Kong</t>
        </is>
      </c>
      <c r="F3365" s="18" t="inlineStr">
        <is>
          <t>F0123</t>
        </is>
      </c>
    </row>
    <row r="3366" ht="15.75" customHeight="1" s="108">
      <c r="A3366" s="18" t="inlineStr">
        <is>
          <t>Conlan Casal</t>
        </is>
      </c>
      <c r="B3366" s="18" t="n">
        <v>1</v>
      </c>
      <c r="C3366" s="18" t="n">
        <v>2021</v>
      </c>
      <c r="D3366" s="18" t="n">
        <v>2021</v>
      </c>
      <c r="E3366" s="18" t="inlineStr">
        <is>
          <t>Godzilla vs. Kong</t>
        </is>
      </c>
      <c r="F3366" s="18" t="inlineStr">
        <is>
          <t>F0123</t>
        </is>
      </c>
    </row>
    <row r="3367" ht="15.75" customHeight="1" s="108">
      <c r="A3367" s="18" t="inlineStr">
        <is>
          <t>Brad McMurray</t>
        </is>
      </c>
      <c r="B3367" s="18" t="n">
        <v>1</v>
      </c>
      <c r="C3367" s="18" t="n">
        <v>2021</v>
      </c>
      <c r="D3367" s="18" t="n">
        <v>2021</v>
      </c>
      <c r="E3367" s="18" t="inlineStr">
        <is>
          <t>Godzilla vs. Kong</t>
        </is>
      </c>
      <c r="F3367" s="18" t="inlineStr">
        <is>
          <t>F0123</t>
        </is>
      </c>
    </row>
    <row r="3368" ht="15.75" customHeight="1" s="108">
      <c r="A3368" s="18" t="inlineStr">
        <is>
          <t>Benjamin Rigby</t>
        </is>
      </c>
      <c r="B3368" s="18" t="n">
        <v>3</v>
      </c>
      <c r="C3368" s="18" t="n">
        <v>2017</v>
      </c>
      <c r="D3368" s="18" t="n">
        <v>2021</v>
      </c>
      <c r="E3368" s="18" t="inlineStr">
        <is>
          <t>Godzilla vs. Kong, alien covenant, Le Mans ‘66</t>
        </is>
      </c>
      <c r="F3368" s="18" t="inlineStr">
        <is>
          <t>F0123, F0361, F0393</t>
        </is>
      </c>
    </row>
    <row r="3369" ht="15.75" customHeight="1" s="108">
      <c r="A3369" s="18" t="inlineStr">
        <is>
          <t>Nick Turello</t>
        </is>
      </c>
      <c r="B3369" s="18" t="n">
        <v>1</v>
      </c>
      <c r="C3369" s="18" t="n">
        <v>2021</v>
      </c>
      <c r="D3369" s="18" t="n">
        <v>2021</v>
      </c>
      <c r="E3369" s="18" t="inlineStr">
        <is>
          <t>Godzilla vs. Kong</t>
        </is>
      </c>
      <c r="F3369" s="18" t="inlineStr">
        <is>
          <t>F0123</t>
        </is>
      </c>
    </row>
    <row r="3370" ht="15.75" customHeight="1" s="108">
      <c r="A3370" s="18" t="inlineStr">
        <is>
          <t>Daniel Nelson</t>
        </is>
      </c>
      <c r="B3370" s="18" t="n">
        <v>1</v>
      </c>
      <c r="C3370" s="18" t="n">
        <v>2021</v>
      </c>
      <c r="D3370" s="18" t="n">
        <v>2021</v>
      </c>
      <c r="E3370" s="18" t="inlineStr">
        <is>
          <t>Godzilla vs. Kong</t>
        </is>
      </c>
      <c r="F3370" s="18" t="inlineStr">
        <is>
          <t>F0123</t>
        </is>
      </c>
    </row>
    <row r="3371" ht="15.75" customHeight="1" s="108">
      <c r="A3371" s="18" t="inlineStr">
        <is>
          <t>Priscilla Doueihy</t>
        </is>
      </c>
      <c r="B3371" s="18" t="n">
        <v>1</v>
      </c>
      <c r="C3371" s="18" t="n">
        <v>2021</v>
      </c>
      <c r="D3371" s="18" t="n">
        <v>2021</v>
      </c>
      <c r="E3371" s="18" t="inlineStr">
        <is>
          <t>Godzilla vs. Kong</t>
        </is>
      </c>
      <c r="F3371" s="18" t="inlineStr">
        <is>
          <t>F0123</t>
        </is>
      </c>
    </row>
    <row r="3372" ht="15.75" customHeight="1" s="108">
      <c r="A3372" s="18" t="inlineStr">
        <is>
          <t>Kei Kudo</t>
        </is>
      </c>
      <c r="B3372" s="18" t="n">
        <v>1</v>
      </c>
      <c r="C3372" s="18" t="n">
        <v>2021</v>
      </c>
      <c r="D3372" s="18" t="n">
        <v>2021</v>
      </c>
      <c r="E3372" s="18" t="inlineStr">
        <is>
          <t>Godzilla vs. Kong</t>
        </is>
      </c>
      <c r="F3372" s="18" t="inlineStr">
        <is>
          <t>F0123</t>
        </is>
      </c>
    </row>
    <row r="3373" ht="15.75" customHeight="1" s="108">
      <c r="A3373" s="18" t="inlineStr">
        <is>
          <t>Brad Buckley</t>
        </is>
      </c>
      <c r="B3373" s="18" t="n">
        <v>1</v>
      </c>
      <c r="C3373" s="18" t="n">
        <v>2021</v>
      </c>
      <c r="D3373" s="18" t="n">
        <v>2021</v>
      </c>
      <c r="E3373" s="18" t="inlineStr">
        <is>
          <t>Godzilla vs. Kong</t>
        </is>
      </c>
      <c r="F3373" s="18" t="inlineStr">
        <is>
          <t>F0123</t>
        </is>
      </c>
    </row>
    <row r="3374" ht="15.75" customHeight="1" s="108">
      <c r="A3374" s="18" t="inlineStr">
        <is>
          <t>John Walton</t>
        </is>
      </c>
      <c r="B3374" s="18" t="n">
        <v>1</v>
      </c>
      <c r="C3374" s="18" t="n">
        <v>2021</v>
      </c>
      <c r="D3374" s="18" t="n">
        <v>2021</v>
      </c>
      <c r="E3374" s="18" t="inlineStr">
        <is>
          <t>Godzilla vs. Kong</t>
        </is>
      </c>
      <c r="F3374" s="18" t="inlineStr">
        <is>
          <t>F0123</t>
        </is>
      </c>
    </row>
    <row r="3375" ht="15.75" customHeight="1" s="108">
      <c r="A3375" s="18" t="inlineStr">
        <is>
          <t>Daniel Tuiara</t>
        </is>
      </c>
      <c r="B3375" s="18" t="n">
        <v>1</v>
      </c>
      <c r="C3375" s="18" t="n">
        <v>2021</v>
      </c>
      <c r="D3375" s="18" t="n">
        <v>2021</v>
      </c>
      <c r="E3375" s="18" t="inlineStr">
        <is>
          <t>Godzilla vs. Kong</t>
        </is>
      </c>
      <c r="F3375" s="18" t="inlineStr">
        <is>
          <t>F0123</t>
        </is>
      </c>
    </row>
    <row r="3376" ht="15.75" customHeight="1" s="108">
      <c r="A3376" s="18" t="inlineStr">
        <is>
          <t>David Castillo</t>
        </is>
      </c>
      <c r="B3376" s="18" t="n">
        <v>1</v>
      </c>
      <c r="C3376" s="18" t="n">
        <v>2021</v>
      </c>
      <c r="D3376" s="18" t="n">
        <v>2021</v>
      </c>
      <c r="E3376" s="18" t="inlineStr">
        <is>
          <t>Godzilla vs. Kong</t>
        </is>
      </c>
      <c r="F3376" s="18" t="inlineStr">
        <is>
          <t>F0123</t>
        </is>
      </c>
    </row>
    <row r="3377" ht="15.75" customHeight="1" s="108">
      <c r="A3377" s="18" t="inlineStr">
        <is>
          <t>Kofi Yiadom</t>
        </is>
      </c>
      <c r="B3377" s="18" t="n">
        <v>1</v>
      </c>
      <c r="C3377" s="18" t="n">
        <v>2021</v>
      </c>
      <c r="D3377" s="18" t="n">
        <v>2021</v>
      </c>
      <c r="E3377" s="18" t="inlineStr">
        <is>
          <t>Godzilla vs. Kong</t>
        </is>
      </c>
      <c r="F3377" s="18" t="inlineStr">
        <is>
          <t>F0123</t>
        </is>
      </c>
    </row>
    <row r="3378" ht="15.75" customHeight="1" s="108">
      <c r="A3378" s="18" t="inlineStr">
        <is>
          <t>Jim Palmer</t>
        </is>
      </c>
      <c r="B3378" s="18" t="n">
        <v>1</v>
      </c>
      <c r="C3378" s="18" t="n">
        <v>2021</v>
      </c>
      <c r="D3378" s="18" t="n">
        <v>2021</v>
      </c>
      <c r="E3378" s="18" t="inlineStr">
        <is>
          <t>Godzilla vs. Kong</t>
        </is>
      </c>
      <c r="F3378" s="18" t="inlineStr">
        <is>
          <t>F0123</t>
        </is>
      </c>
    </row>
    <row r="3379" ht="15.75" customHeight="1" s="108">
      <c r="A3379" s="18" t="inlineStr">
        <is>
          <t>Drew Walton</t>
        </is>
      </c>
      <c r="B3379" s="18" t="n">
        <v>1</v>
      </c>
      <c r="C3379" s="18" t="n">
        <v>2021</v>
      </c>
      <c r="D3379" s="18" t="n">
        <v>2021</v>
      </c>
      <c r="E3379" s="18" t="inlineStr">
        <is>
          <t>Godzilla vs. Kong</t>
        </is>
      </c>
      <c r="F3379" s="18" t="inlineStr">
        <is>
          <t>F0123</t>
        </is>
      </c>
    </row>
    <row r="3380" ht="15.75" customHeight="1" s="108">
      <c r="A3380" s="18" t="inlineStr">
        <is>
          <t>Tara Wraith</t>
        </is>
      </c>
      <c r="B3380" s="18" t="n">
        <v>1</v>
      </c>
      <c r="C3380" s="18" t="n">
        <v>2021</v>
      </c>
      <c r="D3380" s="18" t="n">
        <v>2021</v>
      </c>
      <c r="E3380" s="18" t="inlineStr">
        <is>
          <t>Godzilla vs. Kong</t>
        </is>
      </c>
      <c r="F3380" s="18" t="inlineStr">
        <is>
          <t>F0123</t>
        </is>
      </c>
    </row>
    <row r="3381" ht="15.75" customHeight="1" s="108">
      <c r="A3381" s="18" t="inlineStr">
        <is>
          <t>Vik Sahay</t>
        </is>
      </c>
      <c r="B3381" s="18" t="n">
        <v>1</v>
      </c>
      <c r="C3381" s="18" t="n">
        <v>1997</v>
      </c>
      <c r="D3381" s="18" t="n">
        <v>1997</v>
      </c>
      <c r="E3381" s="18" t="inlineStr">
        <is>
          <t>Good Will Hunting</t>
        </is>
      </c>
      <c r="F3381" s="18" t="inlineStr">
        <is>
          <t>F0124</t>
        </is>
      </c>
    </row>
    <row r="3382" ht="15.75" customHeight="1" s="108">
      <c r="A3382" s="18" t="inlineStr">
        <is>
          <t>John Mighton</t>
        </is>
      </c>
      <c r="B3382" s="18" t="n">
        <v>1</v>
      </c>
      <c r="C3382" s="18" t="n">
        <v>1997</v>
      </c>
      <c r="D3382" s="18" t="n">
        <v>1997</v>
      </c>
      <c r="E3382" s="18" t="inlineStr">
        <is>
          <t>Good Will Hunting</t>
        </is>
      </c>
      <c r="F3382" s="18" t="inlineStr">
        <is>
          <t>F0124</t>
        </is>
      </c>
    </row>
    <row r="3383" ht="15.75" customHeight="1" s="108">
      <c r="A3383" s="18" t="inlineStr">
        <is>
          <t>Rachel Majorowski</t>
        </is>
      </c>
      <c r="B3383" s="18" t="n">
        <v>1</v>
      </c>
      <c r="C3383" s="18" t="n">
        <v>1997</v>
      </c>
      <c r="D3383" s="18" t="n">
        <v>1997</v>
      </c>
      <c r="E3383" s="18" t="inlineStr">
        <is>
          <t>Good Will Hunting</t>
        </is>
      </c>
      <c r="F3383" s="18" t="inlineStr">
        <is>
          <t>F0124</t>
        </is>
      </c>
    </row>
    <row r="3384" ht="15.75" customHeight="1" s="108">
      <c r="A3384" s="18" t="inlineStr">
        <is>
          <t>Colleen McCauley</t>
        </is>
      </c>
      <c r="B3384" s="18" t="n">
        <v>1</v>
      </c>
      <c r="C3384" s="18" t="n">
        <v>1997</v>
      </c>
      <c r="D3384" s="18" t="n">
        <v>1997</v>
      </c>
      <c r="E3384" s="18" t="inlineStr">
        <is>
          <t>Good Will Hunting</t>
        </is>
      </c>
      <c r="F3384" s="18" t="inlineStr">
        <is>
          <t>F0124</t>
        </is>
      </c>
    </row>
    <row r="3385" ht="15.75" customHeight="1" s="108">
      <c r="A3385" s="18" t="inlineStr">
        <is>
          <t>Matt Mercier</t>
        </is>
      </c>
      <c r="B3385" s="18" t="n">
        <v>1</v>
      </c>
      <c r="C3385" s="18" t="n">
        <v>1997</v>
      </c>
      <c r="D3385" s="18" t="n">
        <v>1997</v>
      </c>
      <c r="E3385" s="18" t="inlineStr">
        <is>
          <t>Good Will Hunting</t>
        </is>
      </c>
      <c r="F3385" s="18" t="inlineStr">
        <is>
          <t>F0124</t>
        </is>
      </c>
    </row>
    <row r="3386" ht="15.75" customHeight="1" s="108">
      <c r="A3386" s="18" t="inlineStr">
        <is>
          <t>Ralph St. George</t>
        </is>
      </c>
      <c r="B3386" s="18" t="n">
        <v>1</v>
      </c>
      <c r="C3386" s="18" t="n">
        <v>1997</v>
      </c>
      <c r="D3386" s="18" t="n">
        <v>1997</v>
      </c>
      <c r="E3386" s="18" t="inlineStr">
        <is>
          <t>Good Will Hunting</t>
        </is>
      </c>
      <c r="F3386" s="18" t="inlineStr">
        <is>
          <t>F0124</t>
        </is>
      </c>
    </row>
    <row r="3387" ht="15.75" customHeight="1" s="108">
      <c r="A3387" s="18" t="inlineStr">
        <is>
          <t>Rob Lynds</t>
        </is>
      </c>
      <c r="B3387" s="18" t="n">
        <v>1</v>
      </c>
      <c r="C3387" s="18" t="n">
        <v>1997</v>
      </c>
      <c r="D3387" s="18" t="n">
        <v>1997</v>
      </c>
      <c r="E3387" s="18" t="inlineStr">
        <is>
          <t>Good Will Hunting</t>
        </is>
      </c>
      <c r="F3387" s="18" t="inlineStr">
        <is>
          <t>F0124</t>
        </is>
      </c>
    </row>
    <row r="3388" ht="15.75" customHeight="1" s="108">
      <c r="A3388" s="18" t="inlineStr">
        <is>
          <t>Dan Washington</t>
        </is>
      </c>
      <c r="B3388" s="18" t="n">
        <v>1</v>
      </c>
      <c r="C3388" s="18" t="n">
        <v>1997</v>
      </c>
      <c r="D3388" s="18" t="n">
        <v>1997</v>
      </c>
      <c r="E3388" s="18" t="inlineStr">
        <is>
          <t>Good Will Hunting</t>
        </is>
      </c>
      <c r="F3388" s="18" t="inlineStr">
        <is>
          <t>F0124</t>
        </is>
      </c>
    </row>
    <row r="3389" ht="15.75" customHeight="1" s="108">
      <c r="A3389" s="18" t="inlineStr">
        <is>
          <t>Alison Folland</t>
        </is>
      </c>
      <c r="B3389" s="18" t="n">
        <v>1</v>
      </c>
      <c r="C3389" s="18" t="n">
        <v>1997</v>
      </c>
      <c r="D3389" s="18" t="n">
        <v>1997</v>
      </c>
      <c r="E3389" s="18" t="inlineStr">
        <is>
          <t>Good Will Hunting</t>
        </is>
      </c>
      <c r="F3389" s="18" t="inlineStr">
        <is>
          <t>F0124</t>
        </is>
      </c>
    </row>
    <row r="3390" ht="15.75" customHeight="1" s="108">
      <c r="A3390" s="18" t="inlineStr">
        <is>
          <t>Derrick Bridgeman</t>
        </is>
      </c>
      <c r="B3390" s="18" t="n">
        <v>1</v>
      </c>
      <c r="C3390" s="18" t="n">
        <v>1997</v>
      </c>
      <c r="D3390" s="18" t="n">
        <v>1997</v>
      </c>
      <c r="E3390" s="18" t="inlineStr">
        <is>
          <t>Good Will Hunting</t>
        </is>
      </c>
      <c r="F3390" s="18" t="inlineStr">
        <is>
          <t>F0124</t>
        </is>
      </c>
    </row>
    <row r="3391" ht="15.75" customHeight="1" s="108">
      <c r="A3391" s="18" t="inlineStr">
        <is>
          <t>Shannon Egleson</t>
        </is>
      </c>
      <c r="B3391" s="18" t="n">
        <v>1</v>
      </c>
      <c r="C3391" s="18" t="n">
        <v>1997</v>
      </c>
      <c r="D3391" s="18" t="n">
        <v>1997</v>
      </c>
      <c r="E3391" s="18" t="inlineStr">
        <is>
          <t>Good Will Hunting</t>
        </is>
      </c>
      <c r="F3391" s="18" t="inlineStr">
        <is>
          <t>F0124</t>
        </is>
      </c>
    </row>
    <row r="3392" ht="15.75" customHeight="1" s="108">
      <c r="A3392" s="18" t="inlineStr">
        <is>
          <t>Rob Lyons</t>
        </is>
      </c>
      <c r="B3392" s="18" t="n">
        <v>1</v>
      </c>
      <c r="C3392" s="18" t="n">
        <v>1997</v>
      </c>
      <c r="D3392" s="18" t="n">
        <v>1997</v>
      </c>
      <c r="E3392" s="18" t="inlineStr">
        <is>
          <t>Good Will Hunting</t>
        </is>
      </c>
      <c r="F3392" s="18" t="inlineStr">
        <is>
          <t>F0124</t>
        </is>
      </c>
    </row>
    <row r="3393" ht="15.75" customHeight="1" s="108">
      <c r="A3393" s="18" t="inlineStr">
        <is>
          <t>Steven Kozlowski</t>
        </is>
      </c>
      <c r="B3393" s="18" t="n">
        <v>1</v>
      </c>
      <c r="C3393" s="18" t="n">
        <v>1997</v>
      </c>
      <c r="D3393" s="18" t="n">
        <v>1997</v>
      </c>
      <c r="E3393" s="18" t="inlineStr">
        <is>
          <t>Good Will Hunting</t>
        </is>
      </c>
      <c r="F3393" s="18" t="inlineStr">
        <is>
          <t>F0124</t>
        </is>
      </c>
    </row>
    <row r="3394" ht="15.75" customHeight="1" s="108">
      <c r="A3394" s="18" t="inlineStr">
        <is>
          <t>Jennifer Deathe</t>
        </is>
      </c>
      <c r="B3394" s="18" t="n">
        <v>1</v>
      </c>
      <c r="C3394" s="18" t="n">
        <v>1997</v>
      </c>
      <c r="D3394" s="18" t="n">
        <v>1997</v>
      </c>
      <c r="E3394" s="18" t="inlineStr">
        <is>
          <t>Good Will Hunting</t>
        </is>
      </c>
      <c r="F3394" s="18" t="inlineStr">
        <is>
          <t>F0124</t>
        </is>
      </c>
    </row>
    <row r="3395" ht="15.75" customHeight="1" s="108">
      <c r="A3395" s="18" t="inlineStr">
        <is>
          <t>Scott William Winters</t>
        </is>
      </c>
      <c r="B3395" s="18" t="n">
        <v>1</v>
      </c>
      <c r="C3395" s="18" t="n">
        <v>1997</v>
      </c>
      <c r="D3395" s="18" t="n">
        <v>1997</v>
      </c>
      <c r="E3395" s="18" t="inlineStr">
        <is>
          <t>Good Will Hunting</t>
        </is>
      </c>
      <c r="F3395" s="18" t="inlineStr">
        <is>
          <t>F0124</t>
        </is>
      </c>
    </row>
    <row r="3396" ht="15.75" customHeight="1" s="108">
      <c r="A3396" s="18" t="inlineStr">
        <is>
          <t>Philip Williams</t>
        </is>
      </c>
      <c r="B3396" s="18" t="n">
        <v>1</v>
      </c>
      <c r="C3396" s="18" t="n">
        <v>1997</v>
      </c>
      <c r="D3396" s="18" t="n">
        <v>1997</v>
      </c>
      <c r="E3396" s="18" t="inlineStr">
        <is>
          <t>Good Will Hunting</t>
        </is>
      </c>
      <c r="F3396" s="18" t="inlineStr">
        <is>
          <t>F0124</t>
        </is>
      </c>
    </row>
    <row r="3397" ht="15.75" customHeight="1" s="108">
      <c r="A3397" s="18" t="inlineStr">
        <is>
          <t>Patrick O'Donnell</t>
        </is>
      </c>
      <c r="B3397" s="18" t="n">
        <v>1</v>
      </c>
      <c r="C3397" s="18" t="n">
        <v>1997</v>
      </c>
      <c r="D3397" s="18" t="n">
        <v>1997</v>
      </c>
      <c r="E3397" s="18" t="inlineStr">
        <is>
          <t>Good Will Hunting</t>
        </is>
      </c>
      <c r="F3397" s="18" t="inlineStr">
        <is>
          <t>F0124</t>
        </is>
      </c>
    </row>
    <row r="3398" ht="15.75" customHeight="1" s="108">
      <c r="A3398" s="18" t="inlineStr">
        <is>
          <t>Kevin Rushton</t>
        </is>
      </c>
      <c r="B3398" s="18" t="n">
        <v>1</v>
      </c>
      <c r="C3398" s="18" t="n">
        <v>1997</v>
      </c>
      <c r="D3398" s="18" t="n">
        <v>1997</v>
      </c>
      <c r="E3398" s="18" t="inlineStr">
        <is>
          <t>Good Will Hunting</t>
        </is>
      </c>
      <c r="F3398" s="18" t="inlineStr">
        <is>
          <t>F0124</t>
        </is>
      </c>
    </row>
    <row r="3399" ht="15.75" customHeight="1" s="108">
      <c r="A3399" s="18" t="inlineStr">
        <is>
          <t>Jimmy Flynn</t>
        </is>
      </c>
      <c r="B3399" s="18" t="n">
        <v>1</v>
      </c>
      <c r="C3399" s="18" t="n">
        <v>1997</v>
      </c>
      <c r="D3399" s="18" t="n">
        <v>1997</v>
      </c>
      <c r="E3399" s="18" t="inlineStr">
        <is>
          <t>Good Will Hunting</t>
        </is>
      </c>
      <c r="F3399" s="18" t="inlineStr">
        <is>
          <t>F0124</t>
        </is>
      </c>
    </row>
    <row r="3400" ht="15.75" customHeight="1" s="108">
      <c r="A3400" s="18" t="inlineStr">
        <is>
          <t>Joe Cannon</t>
        </is>
      </c>
      <c r="B3400" s="18" t="n">
        <v>1</v>
      </c>
      <c r="C3400" s="18" t="n">
        <v>1997</v>
      </c>
      <c r="D3400" s="18" t="n">
        <v>1997</v>
      </c>
      <c r="E3400" s="18" t="inlineStr">
        <is>
          <t>Good Will Hunting</t>
        </is>
      </c>
      <c r="F3400" s="18" t="inlineStr">
        <is>
          <t>F0124</t>
        </is>
      </c>
    </row>
    <row r="3401" ht="15.75" customHeight="1" s="108">
      <c r="A3401" s="18" t="inlineStr">
        <is>
          <t>Ann Matacunas</t>
        </is>
      </c>
      <c r="B3401" s="18" t="n">
        <v>1</v>
      </c>
      <c r="C3401" s="18" t="n">
        <v>1997</v>
      </c>
      <c r="D3401" s="18" t="n">
        <v>1997</v>
      </c>
      <c r="E3401" s="18" t="inlineStr">
        <is>
          <t>Good Will Hunting</t>
        </is>
      </c>
      <c r="F3401" s="18" t="inlineStr">
        <is>
          <t>F0124</t>
        </is>
      </c>
    </row>
    <row r="3402" ht="15.75" customHeight="1" s="108">
      <c r="A3402" s="18" t="inlineStr">
        <is>
          <t>George Plimpton</t>
        </is>
      </c>
      <c r="B3402" s="18" t="n">
        <v>1</v>
      </c>
      <c r="C3402" s="18" t="n">
        <v>1997</v>
      </c>
      <c r="D3402" s="18" t="n">
        <v>1997</v>
      </c>
      <c r="E3402" s="18" t="inlineStr">
        <is>
          <t>Good Will Hunting</t>
        </is>
      </c>
      <c r="F3402" s="18" t="inlineStr">
        <is>
          <t>F0124</t>
        </is>
      </c>
    </row>
    <row r="3403" ht="15.75" customHeight="1" s="108">
      <c r="A3403" s="18" t="inlineStr">
        <is>
          <t>Francesco Clemente</t>
        </is>
      </c>
      <c r="B3403" s="18" t="n">
        <v>1</v>
      </c>
      <c r="C3403" s="18" t="n">
        <v>1997</v>
      </c>
      <c r="D3403" s="18" t="n">
        <v>1997</v>
      </c>
      <c r="E3403" s="18" t="inlineStr">
        <is>
          <t>Good Will Hunting</t>
        </is>
      </c>
      <c r="F3403" s="18" t="inlineStr">
        <is>
          <t>F0124</t>
        </is>
      </c>
    </row>
    <row r="3404" ht="15.75" customHeight="1" s="108">
      <c r="A3404" s="18" t="inlineStr">
        <is>
          <t>Geraldine Hughes</t>
        </is>
      </c>
      <c r="B3404" s="18" t="n">
        <v>1</v>
      </c>
      <c r="C3404" s="18" t="n">
        <v>2008</v>
      </c>
      <c r="D3404" s="18" t="n">
        <v>2008</v>
      </c>
      <c r="E3404" s="18" t="inlineStr">
        <is>
          <t>Gran Torino</t>
        </is>
      </c>
      <c r="F3404" s="18" t="inlineStr">
        <is>
          <t>F0125</t>
        </is>
      </c>
    </row>
    <row r="3405" ht="15.75" customHeight="1" s="108">
      <c r="A3405" s="18" t="inlineStr">
        <is>
          <t>Dreama Walker</t>
        </is>
      </c>
      <c r="B3405" s="18" t="n">
        <v>1</v>
      </c>
      <c r="C3405" s="18" t="n">
        <v>2008</v>
      </c>
      <c r="D3405" s="18" t="n">
        <v>2008</v>
      </c>
      <c r="E3405" s="18" t="inlineStr">
        <is>
          <t>Gran Torino</t>
        </is>
      </c>
      <c r="F3405" s="18" t="inlineStr">
        <is>
          <t>F0125</t>
        </is>
      </c>
    </row>
    <row r="3406" ht="15.75" customHeight="1" s="108">
      <c r="A3406" s="18" t="inlineStr">
        <is>
          <t>John Carroll Lynch</t>
        </is>
      </c>
      <c r="B3406" s="18" t="n">
        <v>3</v>
      </c>
      <c r="C3406" s="18" t="n">
        <v>2007</v>
      </c>
      <c r="D3406" s="18" t="n">
        <v>2011</v>
      </c>
      <c r="E3406" s="18" t="inlineStr">
        <is>
          <t>Gran Torino, Paul, Zodiac</t>
        </is>
      </c>
      <c r="F3406" s="18" t="inlineStr">
        <is>
          <t>F0125, F0245, F0350</t>
        </is>
      </c>
    </row>
    <row r="3407" ht="15.75" customHeight="1" s="108">
      <c r="A3407" s="18" t="inlineStr">
        <is>
          <t>William Hill</t>
        </is>
      </c>
      <c r="B3407" s="18" t="n">
        <v>1</v>
      </c>
      <c r="C3407" s="18" t="n">
        <v>2008</v>
      </c>
      <c r="D3407" s="18" t="n">
        <v>2008</v>
      </c>
      <c r="E3407" s="18" t="inlineStr">
        <is>
          <t>Gran Torino</t>
        </is>
      </c>
      <c r="F3407" s="18" t="inlineStr">
        <is>
          <t>F0125</t>
        </is>
      </c>
    </row>
    <row r="3408" ht="15.75" customHeight="1" s="108">
      <c r="A3408" s="18" t="inlineStr">
        <is>
          <t>Brooke Chia Thao</t>
        </is>
      </c>
      <c r="B3408" s="18" t="n">
        <v>1</v>
      </c>
      <c r="C3408" s="18" t="n">
        <v>2008</v>
      </c>
      <c r="D3408" s="18" t="n">
        <v>2008</v>
      </c>
      <c r="E3408" s="18" t="inlineStr">
        <is>
          <t>Gran Torino</t>
        </is>
      </c>
      <c r="F3408" s="18" t="inlineStr">
        <is>
          <t>F0125</t>
        </is>
      </c>
    </row>
    <row r="3409" ht="15.75" customHeight="1" s="108">
      <c r="A3409" s="18" t="inlineStr">
        <is>
          <t>Chee Thao</t>
        </is>
      </c>
      <c r="B3409" s="18" t="n">
        <v>1</v>
      </c>
      <c r="C3409" s="18" t="n">
        <v>2008</v>
      </c>
      <c r="D3409" s="18" t="n">
        <v>2008</v>
      </c>
      <c r="E3409" s="18" t="inlineStr">
        <is>
          <t>Gran Torino</t>
        </is>
      </c>
      <c r="F3409" s="18" t="inlineStr">
        <is>
          <t>F0125</t>
        </is>
      </c>
    </row>
    <row r="3410" ht="15.75" customHeight="1" s="108">
      <c r="A3410" s="18" t="inlineStr">
        <is>
          <t>Choua Kue</t>
        </is>
      </c>
      <c r="B3410" s="18" t="n">
        <v>1</v>
      </c>
      <c r="C3410" s="18" t="n">
        <v>2008</v>
      </c>
      <c r="D3410" s="18" t="n">
        <v>2008</v>
      </c>
      <c r="E3410" s="18" t="inlineStr">
        <is>
          <t>Gran Torino</t>
        </is>
      </c>
      <c r="F3410" s="18" t="inlineStr">
        <is>
          <t>F0125</t>
        </is>
      </c>
    </row>
    <row r="3411" ht="15.75" customHeight="1" s="108">
      <c r="A3411" s="18" t="inlineStr">
        <is>
          <t>Xia Soua Chang</t>
        </is>
      </c>
      <c r="B3411" s="18" t="n">
        <v>1</v>
      </c>
      <c r="C3411" s="18" t="n">
        <v>2008</v>
      </c>
      <c r="D3411" s="18" t="n">
        <v>2008</v>
      </c>
      <c r="E3411" s="18" t="inlineStr">
        <is>
          <t>Gran Torino</t>
        </is>
      </c>
      <c r="F3411" s="18" t="inlineStr">
        <is>
          <t>F0125</t>
        </is>
      </c>
    </row>
    <row r="3412" ht="15.75" customHeight="1" s="108">
      <c r="A3412" s="18" t="inlineStr">
        <is>
          <t>Sonny Vue</t>
        </is>
      </c>
      <c r="B3412" s="18" t="n">
        <v>1</v>
      </c>
      <c r="C3412" s="18" t="n">
        <v>2008</v>
      </c>
      <c r="D3412" s="18" t="n">
        <v>2008</v>
      </c>
      <c r="E3412" s="18" t="inlineStr">
        <is>
          <t>Gran Torino</t>
        </is>
      </c>
      <c r="F3412" s="18" t="inlineStr">
        <is>
          <t>F0125</t>
        </is>
      </c>
    </row>
    <row r="3413" ht="15.75" customHeight="1" s="108">
      <c r="A3413" s="18" t="inlineStr">
        <is>
          <t>Doua Moua</t>
        </is>
      </c>
      <c r="B3413" s="18" t="n">
        <v>1</v>
      </c>
      <c r="C3413" s="18" t="n">
        <v>2008</v>
      </c>
      <c r="D3413" s="18" t="n">
        <v>2008</v>
      </c>
      <c r="E3413" s="18" t="inlineStr">
        <is>
          <t>Gran Torino</t>
        </is>
      </c>
      <c r="F3413" s="18" t="inlineStr">
        <is>
          <t>F0125</t>
        </is>
      </c>
    </row>
    <row r="3414" ht="15.75" customHeight="1" s="108">
      <c r="A3414" s="18" t="inlineStr">
        <is>
          <t>Greg Trzaskoma</t>
        </is>
      </c>
      <c r="B3414" s="18" t="n">
        <v>1</v>
      </c>
      <c r="C3414" s="18" t="n">
        <v>2008</v>
      </c>
      <c r="D3414" s="18" t="n">
        <v>2008</v>
      </c>
      <c r="E3414" s="18" t="inlineStr">
        <is>
          <t>Gran Torino</t>
        </is>
      </c>
      <c r="F3414" s="18" t="inlineStr">
        <is>
          <t>F0125</t>
        </is>
      </c>
    </row>
    <row r="3415" ht="15.75" customHeight="1" s="108">
      <c r="A3415" s="18" t="inlineStr">
        <is>
          <t>John Johns</t>
        </is>
      </c>
      <c r="B3415" s="18" t="n">
        <v>1</v>
      </c>
      <c r="C3415" s="18" t="n">
        <v>2008</v>
      </c>
      <c r="D3415" s="18" t="n">
        <v>2008</v>
      </c>
      <c r="E3415" s="18" t="inlineStr">
        <is>
          <t>Gran Torino</t>
        </is>
      </c>
      <c r="F3415" s="18" t="inlineStr">
        <is>
          <t>F0125</t>
        </is>
      </c>
    </row>
    <row r="3416" ht="15.75" customHeight="1" s="108">
      <c r="A3416" s="18" t="inlineStr">
        <is>
          <t>Davis Gloff</t>
        </is>
      </c>
      <c r="B3416" s="18" t="n">
        <v>1</v>
      </c>
      <c r="C3416" s="18" t="n">
        <v>2008</v>
      </c>
      <c r="D3416" s="18" t="n">
        <v>2008</v>
      </c>
      <c r="E3416" s="18" t="inlineStr">
        <is>
          <t>Gran Torino</t>
        </is>
      </c>
      <c r="F3416" s="18" t="inlineStr">
        <is>
          <t>F0125</t>
        </is>
      </c>
    </row>
    <row r="3417" ht="15.75" customHeight="1" s="108">
      <c r="A3417" s="18" t="inlineStr">
        <is>
          <t>Thomas D. Mahard</t>
        </is>
      </c>
      <c r="B3417" s="18" t="n">
        <v>1</v>
      </c>
      <c r="C3417" s="18" t="n">
        <v>2008</v>
      </c>
      <c r="D3417" s="18" t="n">
        <v>2008</v>
      </c>
      <c r="E3417" s="18" t="inlineStr">
        <is>
          <t>Gran Torino</t>
        </is>
      </c>
      <c r="F3417" s="18" t="inlineStr">
        <is>
          <t>F0125</t>
        </is>
      </c>
    </row>
    <row r="3418" ht="15.75" customHeight="1" s="108">
      <c r="A3418" s="18" t="inlineStr">
        <is>
          <t>Sarah Neubauer</t>
        </is>
      </c>
      <c r="B3418" s="18" t="n">
        <v>1</v>
      </c>
      <c r="C3418" s="18" t="n">
        <v>2008</v>
      </c>
      <c r="D3418" s="18" t="n">
        <v>2008</v>
      </c>
      <c r="E3418" s="18" t="inlineStr">
        <is>
          <t>Gran Torino</t>
        </is>
      </c>
      <c r="F3418" s="18" t="inlineStr">
        <is>
          <t>F0125</t>
        </is>
      </c>
    </row>
    <row r="3419" ht="15.75" customHeight="1" s="108">
      <c r="A3419" s="18" t="inlineStr">
        <is>
          <t>Nana Gbewonyo</t>
        </is>
      </c>
      <c r="B3419" s="18" t="n">
        <v>1</v>
      </c>
      <c r="C3419" s="18" t="n">
        <v>2008</v>
      </c>
      <c r="D3419" s="18" t="n">
        <v>2008</v>
      </c>
      <c r="E3419" s="18" t="inlineStr">
        <is>
          <t>Gran Torino</t>
        </is>
      </c>
      <c r="F3419" s="18" t="inlineStr">
        <is>
          <t>F0125</t>
        </is>
      </c>
    </row>
    <row r="3420" ht="15.75" customHeight="1" s="108">
      <c r="A3420" s="18" t="inlineStr">
        <is>
          <t>Arthur Cartwright</t>
        </is>
      </c>
      <c r="B3420" s="18" t="n">
        <v>1</v>
      </c>
      <c r="C3420" s="18" t="n">
        <v>2008</v>
      </c>
      <c r="D3420" s="18" t="n">
        <v>2008</v>
      </c>
      <c r="E3420" s="18" t="inlineStr">
        <is>
          <t>Gran Torino</t>
        </is>
      </c>
      <c r="F3420" s="18" t="inlineStr">
        <is>
          <t>F0125</t>
        </is>
      </c>
    </row>
    <row r="3421" ht="15.75" customHeight="1" s="108">
      <c r="A3421" s="18" t="inlineStr">
        <is>
          <t>Austin Douglas Smith</t>
        </is>
      </c>
      <c r="B3421" s="18" t="n">
        <v>1</v>
      </c>
      <c r="C3421" s="18" t="n">
        <v>2008</v>
      </c>
      <c r="D3421" s="18" t="n">
        <v>2008</v>
      </c>
      <c r="E3421" s="18" t="inlineStr">
        <is>
          <t>Gran Torino</t>
        </is>
      </c>
      <c r="F3421" s="18" t="inlineStr">
        <is>
          <t>F0125</t>
        </is>
      </c>
    </row>
    <row r="3422" ht="15.75" customHeight="1" s="108">
      <c r="A3422" s="18" t="inlineStr">
        <is>
          <t>Conor Liam Callaghan</t>
        </is>
      </c>
      <c r="B3422" s="18" t="n">
        <v>1</v>
      </c>
      <c r="C3422" s="18" t="n">
        <v>2008</v>
      </c>
      <c r="D3422" s="18" t="n">
        <v>2008</v>
      </c>
      <c r="E3422" s="18" t="inlineStr">
        <is>
          <t>Gran Torino</t>
        </is>
      </c>
      <c r="F3422" s="18" t="inlineStr">
        <is>
          <t>F0125</t>
        </is>
      </c>
    </row>
    <row r="3423" ht="15.75" customHeight="1" s="108">
      <c r="A3423" s="18" t="inlineStr">
        <is>
          <t>Michael E. Kurowski</t>
        </is>
      </c>
      <c r="B3423" s="18" t="n">
        <v>1</v>
      </c>
      <c r="C3423" s="18" t="n">
        <v>2008</v>
      </c>
      <c r="D3423" s="18" t="n">
        <v>2008</v>
      </c>
      <c r="E3423" s="18" t="inlineStr">
        <is>
          <t>Gran Torino</t>
        </is>
      </c>
      <c r="F3423" s="18" t="inlineStr">
        <is>
          <t>F0125</t>
        </is>
      </c>
    </row>
    <row r="3424" ht="15.75" customHeight="1" s="108">
      <c r="A3424" s="18" t="inlineStr">
        <is>
          <t>Julia Ho</t>
        </is>
      </c>
      <c r="B3424" s="18" t="n">
        <v>1</v>
      </c>
      <c r="C3424" s="18" t="n">
        <v>2008</v>
      </c>
      <c r="D3424" s="18" t="n">
        <v>2008</v>
      </c>
      <c r="E3424" s="18" t="inlineStr">
        <is>
          <t>Gran Torino</t>
        </is>
      </c>
      <c r="F3424" s="18" t="inlineStr">
        <is>
          <t>F0125</t>
        </is>
      </c>
    </row>
    <row r="3425" ht="15.75" customHeight="1" s="108">
      <c r="A3425" s="18" t="inlineStr">
        <is>
          <t>Maykao K. Lytongpao</t>
        </is>
      </c>
      <c r="B3425" s="18" t="n">
        <v>1</v>
      </c>
      <c r="C3425" s="18" t="n">
        <v>2008</v>
      </c>
      <c r="D3425" s="18" t="n">
        <v>2008</v>
      </c>
      <c r="E3425" s="18" t="inlineStr">
        <is>
          <t>Gran Torino</t>
        </is>
      </c>
      <c r="F3425" s="18" t="inlineStr">
        <is>
          <t>F0125</t>
        </is>
      </c>
    </row>
    <row r="3426" ht="15.75" customHeight="1" s="108">
      <c r="A3426" s="18" t="inlineStr">
        <is>
          <t>Amitabh Bachchan</t>
        </is>
      </c>
      <c r="B3426" s="18" t="n">
        <v>1</v>
      </c>
      <c r="C3426" s="18" t="n">
        <v>2013</v>
      </c>
      <c r="D3426" s="18" t="n">
        <v>2013</v>
      </c>
      <c r="E3426" s="18" t="inlineStr">
        <is>
          <t>The Great Gatsby</t>
        </is>
      </c>
      <c r="F3426" s="18" t="inlineStr">
        <is>
          <t>F0126</t>
        </is>
      </c>
    </row>
    <row r="3427" ht="15.75" customHeight="1" s="108">
      <c r="A3427" s="18" t="inlineStr">
        <is>
          <t>Callan McAuliffe</t>
        </is>
      </c>
      <c r="B3427" s="18" t="n">
        <v>1</v>
      </c>
      <c r="C3427" s="18" t="n">
        <v>2013</v>
      </c>
      <c r="D3427" s="18" t="n">
        <v>2013</v>
      </c>
      <c r="E3427" s="18" t="inlineStr">
        <is>
          <t>The Great Gatsby</t>
        </is>
      </c>
      <c r="F3427" s="18" t="inlineStr">
        <is>
          <t>F0126</t>
        </is>
      </c>
    </row>
    <row r="3428" ht="15.75" customHeight="1" s="108">
      <c r="A3428" s="18" t="inlineStr">
        <is>
          <t>Adelaide Clemens</t>
        </is>
      </c>
      <c r="B3428" s="18" t="n">
        <v>2</v>
      </c>
      <c r="C3428" s="18" t="n">
        <v>2009</v>
      </c>
      <c r="D3428" s="18" t="n">
        <v>2013</v>
      </c>
      <c r="E3428" s="18" t="inlineStr">
        <is>
          <t>The Great Gatsby, X-Men Origins: Wolverine</t>
        </is>
      </c>
      <c r="F3428" s="18" t="inlineStr">
        <is>
          <t>F0126, F0343</t>
        </is>
      </c>
    </row>
    <row r="3429" ht="15.75" customHeight="1" s="108">
      <c r="A3429" s="18" t="inlineStr">
        <is>
          <t>Steve Bisley</t>
        </is>
      </c>
      <c r="B3429" s="18" t="n">
        <v>1</v>
      </c>
      <c r="C3429" s="18" t="n">
        <v>2013</v>
      </c>
      <c r="D3429" s="18" t="n">
        <v>2013</v>
      </c>
      <c r="E3429" s="18" t="inlineStr">
        <is>
          <t>The Great Gatsby</t>
        </is>
      </c>
      <c r="F3429" s="18" t="inlineStr">
        <is>
          <t>F0126</t>
        </is>
      </c>
    </row>
    <row r="3430" ht="15.75" customHeight="1" s="108">
      <c r="A3430" s="18" t="inlineStr">
        <is>
          <t>Richard Carter</t>
        </is>
      </c>
      <c r="B3430" s="18" t="n">
        <v>5</v>
      </c>
      <c r="C3430" s="18" t="n">
        <v>2011</v>
      </c>
      <c r="D3430" s="18" t="n">
        <v>2021</v>
      </c>
      <c r="E3430" s="18" t="inlineStr">
        <is>
          <t xml:space="preserve">The Great Gatsby, Happy Feet Two, Mad max fury road, dune, dune </t>
        </is>
      </c>
      <c r="F3430" s="18" t="inlineStr">
        <is>
          <t>F0126, F0145, F0354, F0367</t>
        </is>
      </c>
    </row>
    <row r="3431" ht="15.75" customHeight="1" s="108">
      <c r="A3431" s="18" t="inlineStr">
        <is>
          <t>Jack Thompson</t>
        </is>
      </c>
      <c r="B3431" s="18" t="n">
        <v>2</v>
      </c>
      <c r="C3431" s="18" t="n">
        <v>2002</v>
      </c>
      <c r="D3431" s="18" t="n">
        <v>2013</v>
      </c>
      <c r="E3431" s="18" t="inlineStr">
        <is>
          <t>The Great Gatsby, Star Wars: Episode II – Attack of the Clones</t>
        </is>
      </c>
      <c r="F3431" s="18" t="inlineStr">
        <is>
          <t>F0126, F0293</t>
        </is>
      </c>
    </row>
    <row r="3432" ht="15.75" customHeight="1" s="108">
      <c r="A3432" s="18" t="inlineStr">
        <is>
          <t>Max Cullen</t>
        </is>
      </c>
      <c r="B3432" s="18" t="n">
        <v>2</v>
      </c>
      <c r="C3432" s="18" t="n">
        <v>2009</v>
      </c>
      <c r="D3432" s="18" t="n">
        <v>2013</v>
      </c>
      <c r="E3432" s="18" t="inlineStr">
        <is>
          <t>The Great Gatsby, X-Men Origins: Wolverine</t>
        </is>
      </c>
      <c r="F3432" s="18" t="inlineStr">
        <is>
          <t>F0126, F0343</t>
        </is>
      </c>
    </row>
    <row r="3433" ht="15.75" customHeight="1" s="108">
      <c r="A3433" s="18" t="inlineStr">
        <is>
          <t>Mal Day</t>
        </is>
      </c>
      <c r="B3433" s="18" t="n">
        <v>1</v>
      </c>
      <c r="C3433" s="18" t="n">
        <v>2013</v>
      </c>
      <c r="D3433" s="18" t="n">
        <v>2013</v>
      </c>
      <c r="E3433" s="18" t="inlineStr">
        <is>
          <t>The Great Gatsby</t>
        </is>
      </c>
      <c r="F3433" s="18" t="inlineStr">
        <is>
          <t>F0126</t>
        </is>
      </c>
    </row>
    <row r="3434" ht="15.75" customHeight="1" s="108">
      <c r="A3434" s="18" t="inlineStr">
        <is>
          <t>Emily Foreman</t>
        </is>
      </c>
      <c r="B3434" s="18" t="n">
        <v>1</v>
      </c>
      <c r="C3434" s="18" t="n">
        <v>2013</v>
      </c>
      <c r="D3434" s="18" t="n">
        <v>2013</v>
      </c>
      <c r="E3434" s="18" t="inlineStr">
        <is>
          <t>The Great Gatsby</t>
        </is>
      </c>
      <c r="F3434" s="18" t="inlineStr">
        <is>
          <t>F0126</t>
        </is>
      </c>
    </row>
    <row r="3435" ht="15.75" customHeight="1" s="108">
      <c r="A3435" s="18" t="inlineStr">
        <is>
          <t>Tiger Leacey Wyvill</t>
        </is>
      </c>
      <c r="B3435" s="18" t="n">
        <v>1</v>
      </c>
      <c r="C3435" s="18" t="n">
        <v>2013</v>
      </c>
      <c r="D3435" s="18" t="n">
        <v>2013</v>
      </c>
      <c r="E3435" s="18" t="inlineStr">
        <is>
          <t>The Great Gatsby</t>
        </is>
      </c>
      <c r="F3435" s="18" t="inlineStr">
        <is>
          <t>F0126</t>
        </is>
      </c>
    </row>
    <row r="3436" ht="15.75" customHeight="1" s="108">
      <c r="A3436" s="18" t="inlineStr">
        <is>
          <t>Charlize Skinner</t>
        </is>
      </c>
      <c r="B3436" s="18" t="n">
        <v>1</v>
      </c>
      <c r="C3436" s="18" t="n">
        <v>2013</v>
      </c>
      <c r="D3436" s="18" t="n">
        <v>2013</v>
      </c>
      <c r="E3436" s="18" t="inlineStr">
        <is>
          <t>The Great Gatsby</t>
        </is>
      </c>
      <c r="F3436" s="18" t="inlineStr">
        <is>
          <t>F0126</t>
        </is>
      </c>
    </row>
    <row r="3437" ht="15.75" customHeight="1" s="108">
      <c r="A3437" s="18" t="inlineStr">
        <is>
          <t>Brendan Maclean</t>
        </is>
      </c>
      <c r="B3437" s="18" t="n">
        <v>1</v>
      </c>
      <c r="C3437" s="18" t="n">
        <v>2013</v>
      </c>
      <c r="D3437" s="18" t="n">
        <v>2013</v>
      </c>
      <c r="E3437" s="18" t="inlineStr">
        <is>
          <t>The Great Gatsby</t>
        </is>
      </c>
      <c r="F3437" s="18" t="inlineStr">
        <is>
          <t>F0126</t>
        </is>
      </c>
    </row>
    <row r="3438" ht="15.75" customHeight="1" s="108">
      <c r="A3438" s="18" t="inlineStr">
        <is>
          <t>Kate Mulvany</t>
        </is>
      </c>
      <c r="B3438" s="18" t="n">
        <v>1</v>
      </c>
      <c r="C3438" s="18" t="n">
        <v>2013</v>
      </c>
      <c r="D3438" s="18" t="n">
        <v>2013</v>
      </c>
      <c r="E3438" s="18" t="inlineStr">
        <is>
          <t>The Great Gatsby</t>
        </is>
      </c>
      <c r="F3438" s="18" t="inlineStr">
        <is>
          <t>F0126</t>
        </is>
      </c>
    </row>
    <row r="3439" ht="15.75" customHeight="1" s="108">
      <c r="A3439" s="18" t="inlineStr">
        <is>
          <t>Kahlia Greksa</t>
        </is>
      </c>
      <c r="B3439" s="18" t="n">
        <v>1</v>
      </c>
      <c r="C3439" s="18" t="n">
        <v>2013</v>
      </c>
      <c r="D3439" s="18" t="n">
        <v>2013</v>
      </c>
      <c r="E3439" s="18" t="inlineStr">
        <is>
          <t>The Great Gatsby</t>
        </is>
      </c>
      <c r="F3439" s="18" t="inlineStr">
        <is>
          <t>F0126</t>
        </is>
      </c>
    </row>
    <row r="3440" ht="15.75" customHeight="1" s="108">
      <c r="A3440" s="18" t="inlineStr">
        <is>
          <t>Karinna Greksa</t>
        </is>
      </c>
      <c r="B3440" s="18" t="n">
        <v>1</v>
      </c>
      <c r="C3440" s="18" t="n">
        <v>2013</v>
      </c>
      <c r="D3440" s="18" t="n">
        <v>2013</v>
      </c>
      <c r="E3440" s="18" t="inlineStr">
        <is>
          <t>The Great Gatsby</t>
        </is>
      </c>
      <c r="F3440" s="18" t="inlineStr">
        <is>
          <t>F0126</t>
        </is>
      </c>
    </row>
    <row r="3441" ht="15.75" customHeight="1" s="108">
      <c r="A3441" s="18" t="inlineStr">
        <is>
          <t>Garrett William Fountain</t>
        </is>
      </c>
      <c r="B3441" s="18" t="n">
        <v>1</v>
      </c>
      <c r="C3441" s="18" t="n">
        <v>2013</v>
      </c>
      <c r="D3441" s="18" t="n">
        <v>2013</v>
      </c>
      <c r="E3441" s="18" t="inlineStr">
        <is>
          <t>The Great Gatsby</t>
        </is>
      </c>
      <c r="F3441" s="18" t="inlineStr">
        <is>
          <t>F0126</t>
        </is>
      </c>
    </row>
    <row r="3442" ht="15.75" customHeight="1" s="108">
      <c r="A3442" s="18" t="inlineStr">
        <is>
          <t>David Furlong</t>
        </is>
      </c>
      <c r="B3442" s="18" t="n">
        <v>1</v>
      </c>
      <c r="C3442" s="18" t="n">
        <v>2013</v>
      </c>
      <c r="D3442" s="18" t="n">
        <v>2013</v>
      </c>
      <c r="E3442" s="18" t="inlineStr">
        <is>
          <t>The Great Gatsby</t>
        </is>
      </c>
      <c r="F3442" s="18" t="inlineStr">
        <is>
          <t>F0126</t>
        </is>
      </c>
    </row>
    <row r="3443" ht="15.75" customHeight="1" s="108">
      <c r="A3443" s="18" t="inlineStr">
        <is>
          <t>Daniel Gill</t>
        </is>
      </c>
      <c r="B3443" s="18" t="n">
        <v>1</v>
      </c>
      <c r="C3443" s="18" t="n">
        <v>2013</v>
      </c>
      <c r="D3443" s="18" t="n">
        <v>2013</v>
      </c>
      <c r="E3443" s="18" t="inlineStr">
        <is>
          <t>The Great Gatsby</t>
        </is>
      </c>
      <c r="F3443" s="18" t="inlineStr">
        <is>
          <t>F0126</t>
        </is>
      </c>
    </row>
    <row r="3444" ht="15.75" customHeight="1" s="108">
      <c r="A3444" s="18" t="inlineStr">
        <is>
          <t>Iota</t>
        </is>
      </c>
      <c r="B3444" s="18" t="n">
        <v>2</v>
      </c>
      <c r="C3444" s="18" t="n">
        <v>2013</v>
      </c>
      <c r="D3444" s="18" t="n">
        <v>2015</v>
      </c>
      <c r="E3444" s="18" t="inlineStr">
        <is>
          <t>The Great Gatsby, Mad max fury road</t>
        </is>
      </c>
      <c r="F3444" s="18" t="inlineStr">
        <is>
          <t>F0126, F0354</t>
        </is>
      </c>
    </row>
    <row r="3445" ht="15.75" customHeight="1" s="108">
      <c r="A3445" s="18" t="inlineStr">
        <is>
          <t>Barry Otto</t>
        </is>
      </c>
      <c r="B3445" s="18" t="n">
        <v>1</v>
      </c>
      <c r="C3445" s="18" t="n">
        <v>2013</v>
      </c>
      <c r="D3445" s="18" t="n">
        <v>2013</v>
      </c>
      <c r="E3445" s="18" t="inlineStr">
        <is>
          <t>The Great Gatsby</t>
        </is>
      </c>
      <c r="F3445" s="18" t="inlineStr">
        <is>
          <t>F0126</t>
        </is>
      </c>
    </row>
    <row r="3446" ht="15.75" customHeight="1" s="108">
      <c r="A3446" s="18" t="inlineStr">
        <is>
          <t>John O'Connell</t>
        </is>
      </c>
      <c r="B3446" s="18" t="n">
        <v>1</v>
      </c>
      <c r="C3446" s="18" t="n">
        <v>2013</v>
      </c>
      <c r="D3446" s="18" t="n">
        <v>2013</v>
      </c>
      <c r="E3446" s="18" t="inlineStr">
        <is>
          <t>The Great Gatsby</t>
        </is>
      </c>
      <c r="F3446" s="18" t="inlineStr">
        <is>
          <t>F0126</t>
        </is>
      </c>
    </row>
    <row r="3447" ht="15.75" customHeight="1" s="108">
      <c r="A3447" s="18" t="inlineStr">
        <is>
          <t>Ben McIvor</t>
        </is>
      </c>
      <c r="B3447" s="18" t="n">
        <v>1</v>
      </c>
      <c r="C3447" s="18" t="n">
        <v>2013</v>
      </c>
      <c r="D3447" s="18" t="n">
        <v>2013</v>
      </c>
      <c r="E3447" s="18" t="inlineStr">
        <is>
          <t>The Great Gatsby</t>
        </is>
      </c>
      <c r="F3447" s="18" t="inlineStr">
        <is>
          <t>F0126</t>
        </is>
      </c>
    </row>
    <row r="3448" ht="15.75" customHeight="1" s="108">
      <c r="A3448" s="18" t="inlineStr">
        <is>
          <t>Keala Settle</t>
        </is>
      </c>
      <c r="B3448" s="18" t="n">
        <v>1</v>
      </c>
      <c r="C3448" s="18" t="n">
        <v>2017</v>
      </c>
      <c r="D3448" s="18" t="n">
        <v>2017</v>
      </c>
      <c r="E3448" s="18" t="inlineStr">
        <is>
          <t>The Greatest Showman</t>
        </is>
      </c>
      <c r="F3448" s="18" t="inlineStr">
        <is>
          <t>F0127</t>
        </is>
      </c>
    </row>
    <row r="3449" ht="15.75" customHeight="1" s="108">
      <c r="A3449" s="18" t="inlineStr">
        <is>
          <t>Yahya Abdul-Mateen II</t>
        </is>
      </c>
      <c r="B3449" s="18" t="n">
        <v>1</v>
      </c>
      <c r="C3449" s="18" t="n">
        <v>2017</v>
      </c>
      <c r="D3449" s="18" t="n">
        <v>2017</v>
      </c>
      <c r="E3449" s="18" t="inlineStr">
        <is>
          <t>The Greatest Showman</t>
        </is>
      </c>
      <c r="F3449" s="18" t="inlineStr">
        <is>
          <t>F0127</t>
        </is>
      </c>
    </row>
    <row r="3450" ht="15.75" customHeight="1" s="108">
      <c r="A3450" s="18" t="inlineStr">
        <is>
          <t>Natasha Liu Bordizzo</t>
        </is>
      </c>
      <c r="B3450" s="18" t="n">
        <v>1</v>
      </c>
      <c r="C3450" s="18" t="n">
        <v>2017</v>
      </c>
      <c r="D3450" s="18" t="n">
        <v>2017</v>
      </c>
      <c r="E3450" s="18" t="inlineStr">
        <is>
          <t>The Greatest Showman</t>
        </is>
      </c>
      <c r="F3450" s="18" t="inlineStr">
        <is>
          <t>F0127</t>
        </is>
      </c>
    </row>
    <row r="3451" ht="15.75" customHeight="1" s="108">
      <c r="A3451" s="18" t="inlineStr">
        <is>
          <t>Paul Sparks</t>
        </is>
      </c>
      <c r="B3451" s="18" t="n">
        <v>1</v>
      </c>
      <c r="C3451" s="18" t="n">
        <v>2017</v>
      </c>
      <c r="D3451" s="18" t="n">
        <v>2017</v>
      </c>
      <c r="E3451" s="18" t="inlineStr">
        <is>
          <t>The Greatest Showman</t>
        </is>
      </c>
      <c r="F3451" s="18" t="inlineStr">
        <is>
          <t>F0127</t>
        </is>
      </c>
    </row>
    <row r="3452" ht="15.75" customHeight="1" s="108">
      <c r="A3452" s="18" t="inlineStr">
        <is>
          <t>Sam Humphrey</t>
        </is>
      </c>
      <c r="B3452" s="18" t="n">
        <v>1</v>
      </c>
      <c r="C3452" s="18" t="n">
        <v>2017</v>
      </c>
      <c r="D3452" s="18" t="n">
        <v>2017</v>
      </c>
      <c r="E3452" s="18" t="inlineStr">
        <is>
          <t>The Greatest Showman</t>
        </is>
      </c>
      <c r="F3452" s="18" t="inlineStr">
        <is>
          <t>F0127</t>
        </is>
      </c>
    </row>
    <row r="3453" ht="15.75" customHeight="1" s="108">
      <c r="A3453" s="18" t="inlineStr">
        <is>
          <t>Austyn Johnson</t>
        </is>
      </c>
      <c r="B3453" s="18" t="n">
        <v>1</v>
      </c>
      <c r="C3453" s="18" t="n">
        <v>2017</v>
      </c>
      <c r="D3453" s="18" t="n">
        <v>2017</v>
      </c>
      <c r="E3453" s="18" t="inlineStr">
        <is>
          <t>The Greatest Showman</t>
        </is>
      </c>
      <c r="F3453" s="18" t="inlineStr">
        <is>
          <t>F0127</t>
        </is>
      </c>
    </row>
    <row r="3454" ht="15.75" customHeight="1" s="108">
      <c r="A3454" s="18" t="inlineStr">
        <is>
          <t>Cameron Seely</t>
        </is>
      </c>
      <c r="B3454" s="18" t="n">
        <v>1</v>
      </c>
      <c r="C3454" s="18" t="n">
        <v>2017</v>
      </c>
      <c r="D3454" s="18" t="n">
        <v>2017</v>
      </c>
      <c r="E3454" s="18" t="inlineStr">
        <is>
          <t>The Greatest Showman</t>
        </is>
      </c>
      <c r="F3454" s="18" t="inlineStr">
        <is>
          <t>F0127</t>
        </is>
      </c>
    </row>
    <row r="3455" ht="15.75" customHeight="1" s="108">
      <c r="A3455" s="18" t="inlineStr">
        <is>
          <t>Eric Anderson</t>
        </is>
      </c>
      <c r="B3455" s="18" t="n">
        <v>1</v>
      </c>
      <c r="C3455" s="18" t="n">
        <v>2017</v>
      </c>
      <c r="D3455" s="18" t="n">
        <v>2017</v>
      </c>
      <c r="E3455" s="18" t="inlineStr">
        <is>
          <t>The Greatest Showman</t>
        </is>
      </c>
      <c r="F3455" s="18" t="inlineStr">
        <is>
          <t>F0127</t>
        </is>
      </c>
    </row>
    <row r="3456" ht="15.75" customHeight="1" s="108">
      <c r="A3456" s="18" t="inlineStr">
        <is>
          <t>Ellis Rubin</t>
        </is>
      </c>
      <c r="B3456" s="18" t="n">
        <v>1</v>
      </c>
      <c r="C3456" s="18" t="n">
        <v>2017</v>
      </c>
      <c r="D3456" s="18" t="n">
        <v>2017</v>
      </c>
      <c r="E3456" s="18" t="inlineStr">
        <is>
          <t>The Greatest Showman</t>
        </is>
      </c>
      <c r="F3456" s="18" t="inlineStr">
        <is>
          <t>F0127</t>
        </is>
      </c>
    </row>
    <row r="3457" ht="15.75" customHeight="1" s="108">
      <c r="A3457" s="18" t="inlineStr">
        <is>
          <t>Skylar Dunn</t>
        </is>
      </c>
      <c r="B3457" s="18" t="n">
        <v>1</v>
      </c>
      <c r="C3457" s="18" t="n">
        <v>2017</v>
      </c>
      <c r="D3457" s="18" t="n">
        <v>2017</v>
      </c>
      <c r="E3457" s="18" t="inlineStr">
        <is>
          <t>The Greatest Showman</t>
        </is>
      </c>
      <c r="F3457" s="18" t="inlineStr">
        <is>
          <t>F0127</t>
        </is>
      </c>
    </row>
    <row r="3458" ht="15.75" customHeight="1" s="108">
      <c r="A3458" s="18" t="inlineStr">
        <is>
          <t>Daniel Everidge</t>
        </is>
      </c>
      <c r="B3458" s="18" t="n">
        <v>1</v>
      </c>
      <c r="C3458" s="18" t="n">
        <v>2017</v>
      </c>
      <c r="D3458" s="18" t="n">
        <v>2017</v>
      </c>
      <c r="E3458" s="18" t="inlineStr">
        <is>
          <t>The Greatest Showman</t>
        </is>
      </c>
      <c r="F3458" s="18" t="inlineStr">
        <is>
          <t>F0127</t>
        </is>
      </c>
    </row>
    <row r="3459" ht="15.75" customHeight="1" s="108">
      <c r="A3459" s="18" t="inlineStr">
        <is>
          <t>Radu Spinghel</t>
        </is>
      </c>
      <c r="B3459" s="18" t="n">
        <v>1</v>
      </c>
      <c r="C3459" s="18" t="n">
        <v>2017</v>
      </c>
      <c r="D3459" s="18" t="n">
        <v>2017</v>
      </c>
      <c r="E3459" s="18" t="inlineStr">
        <is>
          <t>The Greatest Showman</t>
        </is>
      </c>
      <c r="F3459" s="18" t="inlineStr">
        <is>
          <t>F0127</t>
        </is>
      </c>
    </row>
    <row r="3460" ht="15.75" customHeight="1" s="108">
      <c r="A3460" s="18" t="inlineStr">
        <is>
          <t>Yusaku Komori</t>
        </is>
      </c>
      <c r="B3460" s="18" t="n">
        <v>1</v>
      </c>
      <c r="C3460" s="18" t="n">
        <v>2017</v>
      </c>
      <c r="D3460" s="18" t="n">
        <v>2017</v>
      </c>
      <c r="E3460" s="18" t="inlineStr">
        <is>
          <t>The Greatest Showman</t>
        </is>
      </c>
      <c r="F3460" s="18" t="inlineStr">
        <is>
          <t>F0127</t>
        </is>
      </c>
    </row>
    <row r="3461" ht="15.75" customHeight="1" s="108">
      <c r="A3461" s="18" t="inlineStr">
        <is>
          <t>Danial Son</t>
        </is>
      </c>
      <c r="B3461" s="18" t="n">
        <v>1</v>
      </c>
      <c r="C3461" s="18" t="n">
        <v>2017</v>
      </c>
      <c r="D3461" s="18" t="n">
        <v>2017</v>
      </c>
      <c r="E3461" s="18" t="inlineStr">
        <is>
          <t>The Greatest Showman</t>
        </is>
      </c>
      <c r="F3461" s="18" t="inlineStr">
        <is>
          <t>F0127</t>
        </is>
      </c>
    </row>
    <row r="3462" ht="15.75" customHeight="1" s="108">
      <c r="A3462" s="18" t="inlineStr">
        <is>
          <t>Will Swenson</t>
        </is>
      </c>
      <c r="B3462" s="18" t="n">
        <v>1</v>
      </c>
      <c r="C3462" s="18" t="n">
        <v>2017</v>
      </c>
      <c r="D3462" s="18" t="n">
        <v>2017</v>
      </c>
      <c r="E3462" s="18" t="inlineStr">
        <is>
          <t>The Greatest Showman</t>
        </is>
      </c>
      <c r="F3462" s="18" t="inlineStr">
        <is>
          <t>F0127</t>
        </is>
      </c>
    </row>
    <row r="3463" ht="15.75" customHeight="1" s="108">
      <c r="A3463" s="18" t="inlineStr">
        <is>
          <t>Linda Marie Larson</t>
        </is>
      </c>
      <c r="B3463" s="18" t="n">
        <v>1</v>
      </c>
      <c r="C3463" s="18" t="n">
        <v>2017</v>
      </c>
      <c r="D3463" s="18" t="n">
        <v>2017</v>
      </c>
      <c r="E3463" s="18" t="inlineStr">
        <is>
          <t>The Greatest Showman</t>
        </is>
      </c>
      <c r="F3463" s="18" t="inlineStr">
        <is>
          <t>F0127</t>
        </is>
      </c>
    </row>
    <row r="3464" ht="15.75" customHeight="1" s="108">
      <c r="A3464" s="18" t="inlineStr">
        <is>
          <t>Byron Jennings</t>
        </is>
      </c>
      <c r="B3464" s="18" t="n">
        <v>1</v>
      </c>
      <c r="C3464" s="18" t="n">
        <v>2017</v>
      </c>
      <c r="D3464" s="18" t="n">
        <v>2017</v>
      </c>
      <c r="E3464" s="18" t="inlineStr">
        <is>
          <t>The Greatest Showman</t>
        </is>
      </c>
      <c r="F3464" s="18" t="inlineStr">
        <is>
          <t>F0127</t>
        </is>
      </c>
    </row>
    <row r="3465" ht="15.75" customHeight="1" s="108">
      <c r="A3465" s="18" t="inlineStr">
        <is>
          <t>Betsy Aidem</t>
        </is>
      </c>
      <c r="B3465" s="18" t="n">
        <v>1</v>
      </c>
      <c r="C3465" s="18" t="n">
        <v>2017</v>
      </c>
      <c r="D3465" s="18" t="n">
        <v>2017</v>
      </c>
      <c r="E3465" s="18" t="inlineStr">
        <is>
          <t>The Greatest Showman</t>
        </is>
      </c>
      <c r="F3465" s="18" t="inlineStr">
        <is>
          <t>F0127</t>
        </is>
      </c>
    </row>
    <row r="3466" ht="15.75" customHeight="1" s="108">
      <c r="A3466" s="18" t="inlineStr">
        <is>
          <t>Kathryn Meisle</t>
        </is>
      </c>
      <c r="B3466" s="18" t="n">
        <v>1</v>
      </c>
      <c r="C3466" s="18" t="n">
        <v>2017</v>
      </c>
      <c r="D3466" s="18" t="n">
        <v>2017</v>
      </c>
      <c r="E3466" s="18" t="inlineStr">
        <is>
          <t>The Greatest Showman</t>
        </is>
      </c>
      <c r="F3466" s="18" t="inlineStr">
        <is>
          <t>F0127</t>
        </is>
      </c>
    </row>
    <row r="3467" ht="15.75" customHeight="1" s="108">
      <c r="A3467" s="18" t="inlineStr">
        <is>
          <t>Timothy Hughes</t>
        </is>
      </c>
      <c r="B3467" s="18" t="n">
        <v>1</v>
      </c>
      <c r="C3467" s="18" t="n">
        <v>2017</v>
      </c>
      <c r="D3467" s="18" t="n">
        <v>2017</v>
      </c>
      <c r="E3467" s="18" t="inlineStr">
        <is>
          <t>The Greatest Showman</t>
        </is>
      </c>
      <c r="F3467" s="18" t="inlineStr">
        <is>
          <t>F0127</t>
        </is>
      </c>
    </row>
    <row r="3468" ht="15.75" customHeight="1" s="108">
      <c r="A3468" s="18" t="inlineStr">
        <is>
          <t>Gayle Rankin</t>
        </is>
      </c>
      <c r="B3468" s="18" t="n">
        <v>1</v>
      </c>
      <c r="C3468" s="18" t="n">
        <v>2017</v>
      </c>
      <c r="D3468" s="18" t="n">
        <v>2017</v>
      </c>
      <c r="E3468" s="18" t="inlineStr">
        <is>
          <t>The Greatest Showman</t>
        </is>
      </c>
      <c r="F3468" s="18" t="inlineStr">
        <is>
          <t>F0127</t>
        </is>
      </c>
    </row>
    <row r="3469" ht="15.75" customHeight="1" s="108">
      <c r="A3469" s="18" t="inlineStr">
        <is>
          <t>Arnie Burton</t>
        </is>
      </c>
      <c r="B3469" s="18" t="n">
        <v>1</v>
      </c>
      <c r="C3469" s="18" t="n">
        <v>2017</v>
      </c>
      <c r="D3469" s="18" t="n">
        <v>2017</v>
      </c>
      <c r="E3469" s="18" t="inlineStr">
        <is>
          <t>The Greatest Showman</t>
        </is>
      </c>
      <c r="F3469" s="18" t="inlineStr">
        <is>
          <t>F0127</t>
        </is>
      </c>
    </row>
    <row r="3470" ht="15.75" customHeight="1" s="108">
      <c r="A3470" s="18" t="inlineStr">
        <is>
          <t>Taika Waititi</t>
        </is>
      </c>
      <c r="B3470" s="18" t="n">
        <v>2</v>
      </c>
      <c r="C3470" s="18" t="n">
        <v>2011</v>
      </c>
      <c r="D3470" s="18" t="n">
        <v>2019</v>
      </c>
      <c r="E3470" s="18" t="inlineStr">
        <is>
          <t>Green Lantern, Jojo Rabbit</t>
        </is>
      </c>
      <c r="F3470" s="18" t="inlineStr">
        <is>
          <t>F0128, F0170</t>
        </is>
      </c>
    </row>
    <row r="3471" ht="15.75" customHeight="1" s="108">
      <c r="A3471" s="18" t="inlineStr">
        <is>
          <t>Temuera Morrison</t>
        </is>
      </c>
      <c r="B3471" s="18" t="n">
        <v>3</v>
      </c>
      <c r="C3471" s="18" t="n">
        <v>2002</v>
      </c>
      <c r="D3471" s="18" t="n">
        <v>2011</v>
      </c>
      <c r="E3471" s="18" t="inlineStr">
        <is>
          <t>Green Lantern, Star Wars: Episode II – Attack of the Clones, Star Wars: Episode III – Revenge of the Sith</t>
        </is>
      </c>
      <c r="F3471" s="18" t="inlineStr">
        <is>
          <t>F0128, F0293, F0294</t>
        </is>
      </c>
    </row>
    <row r="3472" ht="15.75" customHeight="1" s="108">
      <c r="A3472" s="18" t="inlineStr">
        <is>
          <t>Michael Clarke Duncan</t>
        </is>
      </c>
      <c r="B3472" s="18" t="n">
        <v>1</v>
      </c>
      <c r="C3472" s="18" t="n">
        <v>2011</v>
      </c>
      <c r="D3472" s="18" t="n">
        <v>2011</v>
      </c>
      <c r="E3472" s="18" t="inlineStr">
        <is>
          <t>Green Lantern</t>
        </is>
      </c>
      <c r="F3472" s="18" t="inlineStr">
        <is>
          <t>F0128</t>
        </is>
      </c>
    </row>
    <row r="3473" ht="15.75" customHeight="1" s="108">
      <c r="A3473" s="18" t="inlineStr">
        <is>
          <t>Jay O. Sanders</t>
        </is>
      </c>
      <c r="B3473" s="18" t="n">
        <v>1</v>
      </c>
      <c r="C3473" s="18" t="n">
        <v>2011</v>
      </c>
      <c r="D3473" s="18" t="n">
        <v>2011</v>
      </c>
      <c r="E3473" s="18" t="inlineStr">
        <is>
          <t>Green Lantern</t>
        </is>
      </c>
      <c r="F3473" s="18" t="inlineStr">
        <is>
          <t>F0128</t>
        </is>
      </c>
    </row>
    <row r="3474" ht="15.75" customHeight="1" s="108">
      <c r="A3474" s="18" t="inlineStr">
        <is>
          <t>Gattlin Griffith</t>
        </is>
      </c>
      <c r="B3474" s="18" t="n">
        <v>1</v>
      </c>
      <c r="C3474" s="18" t="n">
        <v>2011</v>
      </c>
      <c r="D3474" s="18" t="n">
        <v>2011</v>
      </c>
      <c r="E3474" s="18" t="inlineStr">
        <is>
          <t>Green Lantern</t>
        </is>
      </c>
      <c r="F3474" s="18" t="inlineStr">
        <is>
          <t>F0128</t>
        </is>
      </c>
    </row>
    <row r="3475" ht="15.75" customHeight="1" s="108">
      <c r="A3475" s="18" t="inlineStr">
        <is>
          <t>Jenna Craig</t>
        </is>
      </c>
      <c r="B3475" s="18" t="n">
        <v>1</v>
      </c>
      <c r="C3475" s="18" t="n">
        <v>2011</v>
      </c>
      <c r="D3475" s="18" t="n">
        <v>2011</v>
      </c>
      <c r="E3475" s="18" t="inlineStr">
        <is>
          <t>Green Lantern</t>
        </is>
      </c>
      <c r="F3475" s="18" t="inlineStr">
        <is>
          <t>F0128</t>
        </is>
      </c>
    </row>
    <row r="3476" ht="15.75" customHeight="1" s="108">
      <c r="A3476" s="18" t="inlineStr">
        <is>
          <t>Jon Tenney</t>
        </is>
      </c>
      <c r="B3476" s="18" t="n">
        <v>1</v>
      </c>
      <c r="C3476" s="18" t="n">
        <v>2011</v>
      </c>
      <c r="D3476" s="18" t="n">
        <v>2011</v>
      </c>
      <c r="E3476" s="18" t="inlineStr">
        <is>
          <t>Green Lantern</t>
        </is>
      </c>
      <c r="F3476" s="18" t="inlineStr">
        <is>
          <t>F0128</t>
        </is>
      </c>
    </row>
    <row r="3477" ht="15.75" customHeight="1" s="108">
      <c r="A3477" s="18" t="inlineStr">
        <is>
          <t>Mike Doyle</t>
        </is>
      </c>
      <c r="B3477" s="18" t="n">
        <v>1</v>
      </c>
      <c r="C3477" s="18" t="n">
        <v>2011</v>
      </c>
      <c r="D3477" s="18" t="n">
        <v>2011</v>
      </c>
      <c r="E3477" s="18" t="inlineStr">
        <is>
          <t>Green Lantern</t>
        </is>
      </c>
      <c r="F3477" s="18" t="inlineStr">
        <is>
          <t>F0128</t>
        </is>
      </c>
    </row>
    <row r="3478" ht="15.75" customHeight="1" s="108">
      <c r="A3478" s="18" t="inlineStr">
        <is>
          <t>Nick Jandl</t>
        </is>
      </c>
      <c r="B3478" s="18" t="n">
        <v>1</v>
      </c>
      <c r="C3478" s="18" t="n">
        <v>2011</v>
      </c>
      <c r="D3478" s="18" t="n">
        <v>2011</v>
      </c>
      <c r="E3478" s="18" t="inlineStr">
        <is>
          <t>Green Lantern</t>
        </is>
      </c>
      <c r="F3478" s="18" t="inlineStr">
        <is>
          <t>F0128</t>
        </is>
      </c>
    </row>
    <row r="3479" ht="15.75" customHeight="1" s="108">
      <c r="A3479" s="18" t="inlineStr">
        <is>
          <t>Dylan James</t>
        </is>
      </c>
      <c r="B3479" s="18" t="n">
        <v>1</v>
      </c>
      <c r="C3479" s="18" t="n">
        <v>2011</v>
      </c>
      <c r="D3479" s="18" t="n">
        <v>2011</v>
      </c>
      <c r="E3479" s="18" t="inlineStr">
        <is>
          <t>Green Lantern</t>
        </is>
      </c>
      <c r="F3479" s="18" t="inlineStr">
        <is>
          <t>F0128</t>
        </is>
      </c>
    </row>
    <row r="3480" ht="15.75" customHeight="1" s="108">
      <c r="A3480" s="18" t="inlineStr">
        <is>
          <t>Leanne Cochran</t>
        </is>
      </c>
      <c r="B3480" s="18" t="n">
        <v>1</v>
      </c>
      <c r="C3480" s="18" t="n">
        <v>2011</v>
      </c>
      <c r="D3480" s="18" t="n">
        <v>2011</v>
      </c>
      <c r="E3480" s="18" t="inlineStr">
        <is>
          <t>Green Lantern</t>
        </is>
      </c>
      <c r="F3480" s="18" t="inlineStr">
        <is>
          <t>F0128</t>
        </is>
      </c>
    </row>
    <row r="3481" ht="15.75" customHeight="1" s="108">
      <c r="A3481" s="18" t="inlineStr">
        <is>
          <t>Amy Carlson</t>
        </is>
      </c>
      <c r="B3481" s="18" t="n">
        <v>1</v>
      </c>
      <c r="C3481" s="18" t="n">
        <v>2011</v>
      </c>
      <c r="D3481" s="18" t="n">
        <v>2011</v>
      </c>
      <c r="E3481" s="18" t="inlineStr">
        <is>
          <t>Green Lantern</t>
        </is>
      </c>
      <c r="F3481" s="18" t="inlineStr">
        <is>
          <t>F0128</t>
        </is>
      </c>
    </row>
    <row r="3482" ht="15.75" customHeight="1" s="108">
      <c r="A3482" s="18" t="inlineStr">
        <is>
          <t>Tiffany Morgan</t>
        </is>
      </c>
      <c r="B3482" s="18" t="n">
        <v>1</v>
      </c>
      <c r="C3482" s="18" t="n">
        <v>2011</v>
      </c>
      <c r="D3482" s="18" t="n">
        <v>2011</v>
      </c>
      <c r="E3482" s="18" t="inlineStr">
        <is>
          <t>Green Lantern</t>
        </is>
      </c>
      <c r="F3482" s="18" t="inlineStr">
        <is>
          <t>F0128</t>
        </is>
      </c>
    </row>
    <row r="3483" ht="15.75" customHeight="1" s="108">
      <c r="A3483" s="18" t="inlineStr">
        <is>
          <t>Deke Anderson</t>
        </is>
      </c>
      <c r="B3483" s="18" t="n">
        <v>1</v>
      </c>
      <c r="C3483" s="18" t="n">
        <v>2011</v>
      </c>
      <c r="D3483" s="18" t="n">
        <v>2011</v>
      </c>
      <c r="E3483" s="18" t="inlineStr">
        <is>
          <t>Green Lantern</t>
        </is>
      </c>
      <c r="F3483" s="18" t="inlineStr">
        <is>
          <t>F0128</t>
        </is>
      </c>
    </row>
    <row r="3484" ht="15.75" customHeight="1" s="108">
      <c r="A3484" s="18" t="inlineStr">
        <is>
          <t>Bobby Holland Hanton</t>
        </is>
      </c>
      <c r="B3484" s="18" t="n">
        <v>1</v>
      </c>
      <c r="C3484" s="18" t="n">
        <v>2011</v>
      </c>
      <c r="D3484" s="18" t="n">
        <v>2011</v>
      </c>
      <c r="E3484" s="18" t="inlineStr">
        <is>
          <t>Green Lantern</t>
        </is>
      </c>
      <c r="F3484" s="18" t="inlineStr">
        <is>
          <t>F0128</t>
        </is>
      </c>
    </row>
    <row r="3485" ht="15.75" customHeight="1" s="108">
      <c r="A3485" s="18" t="inlineStr">
        <is>
          <t>Silas Cooper</t>
        </is>
      </c>
      <c r="B3485" s="18" t="n">
        <v>1</v>
      </c>
      <c r="C3485" s="18" t="n">
        <v>2011</v>
      </c>
      <c r="D3485" s="18" t="n">
        <v>2011</v>
      </c>
      <c r="E3485" s="18" t="inlineStr">
        <is>
          <t>Green Lantern</t>
        </is>
      </c>
      <c r="F3485" s="18" t="inlineStr">
        <is>
          <t>F0128</t>
        </is>
      </c>
    </row>
    <row r="3486" ht="15.75" customHeight="1" s="108">
      <c r="A3486" s="18" t="inlineStr">
        <is>
          <t>Dorian Kingi</t>
        </is>
      </c>
      <c r="B3486" s="18" t="n">
        <v>1</v>
      </c>
      <c r="C3486" s="18" t="n">
        <v>2011</v>
      </c>
      <c r="D3486" s="18" t="n">
        <v>2011</v>
      </c>
      <c r="E3486" s="18" t="inlineStr">
        <is>
          <t>Green Lantern</t>
        </is>
      </c>
      <c r="F3486" s="18" t="inlineStr">
        <is>
          <t>F0128</t>
        </is>
      </c>
    </row>
    <row r="3487" ht="15.75" customHeight="1" s="108">
      <c r="A3487" s="18" t="inlineStr">
        <is>
          <t>Marcela Duarte Fonseca</t>
        </is>
      </c>
      <c r="B3487" s="18" t="n">
        <v>1</v>
      </c>
      <c r="C3487" s="18" t="n">
        <v>2011</v>
      </c>
      <c r="D3487" s="18" t="n">
        <v>2011</v>
      </c>
      <c r="E3487" s="18" t="inlineStr">
        <is>
          <t>Green Lantern</t>
        </is>
      </c>
      <c r="F3487" s="18" t="inlineStr">
        <is>
          <t>F0128</t>
        </is>
      </c>
    </row>
    <row r="3488" ht="15.75" customHeight="1" s="108">
      <c r="A3488" s="18" t="inlineStr">
        <is>
          <t>Igal Naor</t>
        </is>
      </c>
      <c r="B3488" s="18" t="n">
        <v>1</v>
      </c>
      <c r="C3488" s="18" t="n">
        <v>2010</v>
      </c>
      <c r="D3488" s="18" t="n">
        <v>2010</v>
      </c>
      <c r="E3488" s="18" t="inlineStr">
        <is>
          <t>Green Zone</t>
        </is>
      </c>
      <c r="F3488" s="18" t="inlineStr">
        <is>
          <t>F0129</t>
        </is>
      </c>
    </row>
    <row r="3489" ht="15.75" customHeight="1" s="108">
      <c r="A3489" s="18" t="inlineStr">
        <is>
          <t>Said Faraj</t>
        </is>
      </c>
      <c r="B3489" s="18" t="n">
        <v>1</v>
      </c>
      <c r="C3489" s="18" t="n">
        <v>2010</v>
      </c>
      <c r="D3489" s="18" t="n">
        <v>2010</v>
      </c>
      <c r="E3489" s="18" t="inlineStr">
        <is>
          <t>Green Zone</t>
        </is>
      </c>
      <c r="F3489" s="18" t="inlineStr">
        <is>
          <t>F0129</t>
        </is>
      </c>
    </row>
    <row r="3490" ht="15.75" customHeight="1" s="108">
      <c r="A3490" s="18" t="inlineStr">
        <is>
          <t>Raad Rawi</t>
        </is>
      </c>
      <c r="B3490" s="18" t="n">
        <v>2</v>
      </c>
      <c r="C3490" s="18" t="n">
        <v>2010</v>
      </c>
      <c r="D3490" s="18" t="n">
        <v>2015</v>
      </c>
      <c r="E3490" s="18" t="inlineStr">
        <is>
          <t>Green Zone, Spy</t>
        </is>
      </c>
      <c r="F3490" s="18" t="inlineStr">
        <is>
          <t>F0129, F0290</t>
        </is>
      </c>
    </row>
    <row r="3491" ht="15.75" customHeight="1" s="108">
      <c r="A3491" s="18" t="inlineStr">
        <is>
          <t>Michael O'Neill</t>
        </is>
      </c>
      <c r="B3491" s="18" t="n">
        <v>2</v>
      </c>
      <c r="C3491" s="18" t="n">
        <v>2007</v>
      </c>
      <c r="D3491" s="18" t="n">
        <v>2010</v>
      </c>
      <c r="E3491" s="18" t="inlineStr">
        <is>
          <t>Green Zone, Transformers</t>
        </is>
      </c>
      <c r="F3491" s="18" t="inlineStr">
        <is>
          <t>F0129, F0316</t>
        </is>
      </c>
    </row>
    <row r="3492" ht="15.75" customHeight="1" s="108">
      <c r="A3492" s="18" t="inlineStr">
        <is>
          <t>Tommy Campbell</t>
        </is>
      </c>
      <c r="B3492" s="18" t="n">
        <v>1</v>
      </c>
      <c r="C3492" s="18" t="n">
        <v>2010</v>
      </c>
      <c r="D3492" s="18" t="n">
        <v>2010</v>
      </c>
      <c r="E3492" s="18" t="inlineStr">
        <is>
          <t>Green Zone</t>
        </is>
      </c>
      <c r="F3492" s="18" t="inlineStr">
        <is>
          <t>F0129</t>
        </is>
      </c>
    </row>
    <row r="3493" ht="15.75" customHeight="1" s="108">
      <c r="A3493" s="18" t="inlineStr">
        <is>
          <t>Jerry Della Salla</t>
        </is>
      </c>
      <c r="B3493" s="18" t="n">
        <v>1</v>
      </c>
      <c r="C3493" s="18" t="n">
        <v>2010</v>
      </c>
      <c r="D3493" s="18" t="n">
        <v>2010</v>
      </c>
      <c r="E3493" s="18" t="inlineStr">
        <is>
          <t>Green Zone</t>
        </is>
      </c>
      <c r="F3493" s="18" t="inlineStr">
        <is>
          <t>F0129</t>
        </is>
      </c>
    </row>
    <row r="3494" ht="15.75" customHeight="1" s="108">
      <c r="A3494" s="18" t="inlineStr">
        <is>
          <t>Faycal Attougui</t>
        </is>
      </c>
      <c r="B3494" s="18" t="n">
        <v>1</v>
      </c>
      <c r="C3494" s="18" t="n">
        <v>2010</v>
      </c>
      <c r="D3494" s="18" t="n">
        <v>2010</v>
      </c>
      <c r="E3494" s="18" t="inlineStr">
        <is>
          <t>Green Zone</t>
        </is>
      </c>
      <c r="F3494" s="18" t="inlineStr">
        <is>
          <t>F0129</t>
        </is>
      </c>
    </row>
    <row r="3495" ht="15.75" customHeight="1" s="108">
      <c r="A3495" s="18" t="inlineStr">
        <is>
          <t>Aymen Hamdouchi</t>
        </is>
      </c>
      <c r="B3495" s="18" t="n">
        <v>1</v>
      </c>
      <c r="C3495" s="18" t="n">
        <v>2010</v>
      </c>
      <c r="D3495" s="18" t="n">
        <v>2010</v>
      </c>
      <c r="E3495" s="18" t="inlineStr">
        <is>
          <t>Green Zone</t>
        </is>
      </c>
      <c r="F3495" s="18" t="inlineStr">
        <is>
          <t>F0129</t>
        </is>
      </c>
    </row>
    <row r="3496" ht="15.75" customHeight="1" s="108">
      <c r="A3496" s="18" t="inlineStr">
        <is>
          <t>Nicoye Banks</t>
        </is>
      </c>
      <c r="B3496" s="18" t="n">
        <v>1</v>
      </c>
      <c r="C3496" s="18" t="n">
        <v>2010</v>
      </c>
      <c r="D3496" s="18" t="n">
        <v>2010</v>
      </c>
      <c r="E3496" s="18" t="inlineStr">
        <is>
          <t>Green Zone</t>
        </is>
      </c>
      <c r="F3496" s="18" t="inlineStr">
        <is>
          <t>F0129</t>
        </is>
      </c>
    </row>
    <row r="3497" ht="15.75" customHeight="1" s="108">
      <c r="A3497" s="18" t="inlineStr">
        <is>
          <t>Sean Huze</t>
        </is>
      </c>
      <c r="B3497" s="18" t="n">
        <v>1</v>
      </c>
      <c r="C3497" s="18" t="n">
        <v>2010</v>
      </c>
      <c r="D3497" s="18" t="n">
        <v>2010</v>
      </c>
      <c r="E3497" s="18" t="inlineStr">
        <is>
          <t>Green Zone</t>
        </is>
      </c>
      <c r="F3497" s="18" t="inlineStr">
        <is>
          <t>F0129</t>
        </is>
      </c>
    </row>
    <row r="3498" ht="15.75" customHeight="1" s="108">
      <c r="A3498" s="18" t="inlineStr">
        <is>
          <t>Michael J. Dwyer</t>
        </is>
      </c>
      <c r="B3498" s="18" t="n">
        <v>1</v>
      </c>
      <c r="C3498" s="18" t="n">
        <v>2010</v>
      </c>
      <c r="D3498" s="18" t="n">
        <v>2010</v>
      </c>
      <c r="E3498" s="18" t="inlineStr">
        <is>
          <t>Green Zone</t>
        </is>
      </c>
      <c r="F3498" s="18" t="inlineStr">
        <is>
          <t>F0129</t>
        </is>
      </c>
    </row>
    <row r="3499" ht="15.75" customHeight="1" s="108">
      <c r="A3499" s="18" t="inlineStr">
        <is>
          <t>Edouard H.R. Gluck</t>
        </is>
      </c>
      <c r="B3499" s="18" t="n">
        <v>1</v>
      </c>
      <c r="C3499" s="18" t="n">
        <v>2010</v>
      </c>
      <c r="D3499" s="18" t="n">
        <v>2010</v>
      </c>
      <c r="E3499" s="18" t="inlineStr">
        <is>
          <t>Green Zone</t>
        </is>
      </c>
      <c r="F3499" s="18" t="inlineStr">
        <is>
          <t>F0129</t>
        </is>
      </c>
    </row>
    <row r="3500" ht="15.75" customHeight="1" s="108">
      <c r="A3500" s="18" t="inlineStr">
        <is>
          <t>Brian Siefkes</t>
        </is>
      </c>
      <c r="B3500" s="18" t="n">
        <v>1</v>
      </c>
      <c r="C3500" s="18" t="n">
        <v>2010</v>
      </c>
      <c r="D3500" s="18" t="n">
        <v>2010</v>
      </c>
      <c r="E3500" s="18" t="inlineStr">
        <is>
          <t>Green Zone</t>
        </is>
      </c>
      <c r="F3500" s="18" t="inlineStr">
        <is>
          <t>F0129</t>
        </is>
      </c>
    </row>
    <row r="3501" ht="15.75" customHeight="1" s="108">
      <c r="A3501" s="18" t="inlineStr">
        <is>
          <t>Adam Wendling</t>
        </is>
      </c>
      <c r="B3501" s="18" t="n">
        <v>1</v>
      </c>
      <c r="C3501" s="18" t="n">
        <v>2010</v>
      </c>
      <c r="D3501" s="18" t="n">
        <v>2010</v>
      </c>
      <c r="E3501" s="18" t="inlineStr">
        <is>
          <t>Green Zone</t>
        </is>
      </c>
      <c r="F3501" s="18" t="inlineStr">
        <is>
          <t>F0129</t>
        </is>
      </c>
    </row>
    <row r="3502" ht="15.75" customHeight="1" s="108">
      <c r="A3502" s="18" t="inlineStr">
        <is>
          <t>Abdul Henderson</t>
        </is>
      </c>
      <c r="B3502" s="18" t="n">
        <v>1</v>
      </c>
      <c r="C3502" s="18" t="n">
        <v>2010</v>
      </c>
      <c r="D3502" s="18" t="n">
        <v>2010</v>
      </c>
      <c r="E3502" s="18" t="inlineStr">
        <is>
          <t>Green Zone</t>
        </is>
      </c>
      <c r="F3502" s="18" t="inlineStr">
        <is>
          <t>F0129</t>
        </is>
      </c>
    </row>
    <row r="3503" ht="15.75" customHeight="1" s="108">
      <c r="A3503" s="18" t="inlineStr">
        <is>
          <t>Paul Karsko</t>
        </is>
      </c>
      <c r="B3503" s="18" t="n">
        <v>1</v>
      </c>
      <c r="C3503" s="18" t="n">
        <v>2010</v>
      </c>
      <c r="D3503" s="18" t="n">
        <v>2010</v>
      </c>
      <c r="E3503" s="18" t="inlineStr">
        <is>
          <t>Green Zone</t>
        </is>
      </c>
      <c r="F3503" s="18" t="inlineStr">
        <is>
          <t>F0129</t>
        </is>
      </c>
    </row>
    <row r="3504" ht="15.75" customHeight="1" s="108">
      <c r="A3504" s="18" t="inlineStr">
        <is>
          <t>Robert Miller</t>
        </is>
      </c>
      <c r="B3504" s="18" t="n">
        <v>1</v>
      </c>
      <c r="C3504" s="18" t="n">
        <v>2010</v>
      </c>
      <c r="D3504" s="18" t="n">
        <v>2010</v>
      </c>
      <c r="E3504" s="18" t="inlineStr">
        <is>
          <t>Green Zone</t>
        </is>
      </c>
      <c r="F3504" s="18" t="inlineStr">
        <is>
          <t>F0129</t>
        </is>
      </c>
    </row>
    <row r="3505" ht="15.75" customHeight="1" s="108">
      <c r="A3505" s="18" t="inlineStr">
        <is>
          <t>Eugene Cherry</t>
        </is>
      </c>
      <c r="B3505" s="18" t="n">
        <v>1</v>
      </c>
      <c r="C3505" s="18" t="n">
        <v>2010</v>
      </c>
      <c r="D3505" s="18" t="n">
        <v>2010</v>
      </c>
      <c r="E3505" s="18" t="inlineStr">
        <is>
          <t>Green Zone</t>
        </is>
      </c>
      <c r="F3505" s="18" t="inlineStr">
        <is>
          <t>F0129</t>
        </is>
      </c>
    </row>
    <row r="3506" ht="15.75" customHeight="1" s="108">
      <c r="A3506" s="18" t="inlineStr">
        <is>
          <t>Alexander Drum</t>
        </is>
      </c>
      <c r="B3506" s="18" t="n">
        <v>1</v>
      </c>
      <c r="C3506" s="18" t="n">
        <v>2010</v>
      </c>
      <c r="D3506" s="18" t="n">
        <v>2010</v>
      </c>
      <c r="E3506" s="18" t="inlineStr">
        <is>
          <t>Green Zone</t>
        </is>
      </c>
      <c r="F3506" s="18" t="inlineStr">
        <is>
          <t>F0129</t>
        </is>
      </c>
    </row>
    <row r="3507" ht="15.75" customHeight="1" s="108">
      <c r="A3507" s="18" t="inlineStr">
        <is>
          <t>Brian VanRiper</t>
        </is>
      </c>
      <c r="B3507" s="18" t="n">
        <v>1</v>
      </c>
      <c r="C3507" s="18" t="n">
        <v>2010</v>
      </c>
      <c r="D3507" s="18" t="n">
        <v>2010</v>
      </c>
      <c r="E3507" s="18" t="inlineStr">
        <is>
          <t>Green Zone</t>
        </is>
      </c>
      <c r="F3507" s="18" t="inlineStr">
        <is>
          <t>F0129</t>
        </is>
      </c>
    </row>
    <row r="3508" ht="15.75" customHeight="1" s="108">
      <c r="A3508" s="18" t="inlineStr">
        <is>
          <t>Matthew Knott</t>
        </is>
      </c>
      <c r="B3508" s="18" t="n">
        <v>1</v>
      </c>
      <c r="C3508" s="18" t="n">
        <v>2010</v>
      </c>
      <c r="D3508" s="18" t="n">
        <v>2010</v>
      </c>
      <c r="E3508" s="18" t="inlineStr">
        <is>
          <t>Green Zone</t>
        </is>
      </c>
      <c r="F3508" s="18" t="inlineStr">
        <is>
          <t>F0129</t>
        </is>
      </c>
    </row>
    <row r="3509" ht="15.75" customHeight="1" s="108">
      <c r="A3509" s="18" t="inlineStr">
        <is>
          <t>Nathan Lewis</t>
        </is>
      </c>
      <c r="B3509" s="18" t="n">
        <v>1</v>
      </c>
      <c r="C3509" s="18" t="n">
        <v>2010</v>
      </c>
      <c r="D3509" s="18" t="n">
        <v>2010</v>
      </c>
      <c r="E3509" s="18" t="inlineStr">
        <is>
          <t>Green Zone</t>
        </is>
      </c>
      <c r="F3509" s="18" t="inlineStr">
        <is>
          <t>F0129</t>
        </is>
      </c>
    </row>
    <row r="3510" ht="15.75" customHeight="1" s="108">
      <c r="A3510" s="18" t="inlineStr">
        <is>
          <t>Gabourey Sidibe</t>
        </is>
      </c>
      <c r="B3510" s="18" t="n">
        <v>1</v>
      </c>
      <c r="C3510" s="18" t="n">
        <v>2016</v>
      </c>
      <c r="D3510" s="18" t="n">
        <v>2016</v>
      </c>
      <c r="E3510" s="18" t="inlineStr">
        <is>
          <t>Grimsby</t>
        </is>
      </c>
      <c r="F3510" s="18" t="inlineStr">
        <is>
          <t>F0130</t>
        </is>
      </c>
    </row>
    <row r="3511" ht="15.75" customHeight="1" s="108">
      <c r="A3511" s="18" t="inlineStr">
        <is>
          <t>Nick Sampson</t>
        </is>
      </c>
      <c r="B3511" s="18" t="n">
        <v>1</v>
      </c>
      <c r="C3511" s="18" t="n">
        <v>2016</v>
      </c>
      <c r="D3511" s="18" t="n">
        <v>2016</v>
      </c>
      <c r="E3511" s="18" t="inlineStr">
        <is>
          <t>Grimsby</t>
        </is>
      </c>
      <c r="F3511" s="18" t="inlineStr">
        <is>
          <t>F0130</t>
        </is>
      </c>
    </row>
    <row r="3512" ht="15.75" customHeight="1" s="108">
      <c r="A3512" s="18" t="inlineStr">
        <is>
          <t>David Harewood</t>
        </is>
      </c>
      <c r="B3512" s="18" t="n">
        <v>1</v>
      </c>
      <c r="C3512" s="18" t="n">
        <v>2016</v>
      </c>
      <c r="D3512" s="18" t="n">
        <v>2016</v>
      </c>
      <c r="E3512" s="18" t="inlineStr">
        <is>
          <t>Grimsby</t>
        </is>
      </c>
      <c r="F3512" s="18" t="inlineStr">
        <is>
          <t>F0130</t>
        </is>
      </c>
    </row>
    <row r="3513" ht="15.75" customHeight="1" s="108">
      <c r="A3513" s="18" t="inlineStr">
        <is>
          <t>Sam Hazeldine</t>
        </is>
      </c>
      <c r="B3513" s="18" t="n">
        <v>2</v>
      </c>
      <c r="C3513" s="18" t="n">
        <v>2016</v>
      </c>
      <c r="D3513" s="18" t="n">
        <v>2017</v>
      </c>
      <c r="E3513" s="18" t="inlineStr">
        <is>
          <t>Grimsby, The Hitman's Bodyguard</t>
        </is>
      </c>
      <c r="F3513" s="18" t="inlineStr">
        <is>
          <t>F0130, F0149</t>
        </is>
      </c>
    </row>
    <row r="3514" ht="15.75" customHeight="1" s="108">
      <c r="A3514" s="18" t="inlineStr">
        <is>
          <t>Tamsin Egerton</t>
        </is>
      </c>
      <c r="B3514" s="18" t="n">
        <v>1</v>
      </c>
      <c r="C3514" s="18" t="n">
        <v>2016</v>
      </c>
      <c r="D3514" s="18" t="n">
        <v>2016</v>
      </c>
      <c r="E3514" s="18" t="inlineStr">
        <is>
          <t>Grimsby</t>
        </is>
      </c>
      <c r="F3514" s="18" t="inlineStr">
        <is>
          <t>F0130</t>
        </is>
      </c>
    </row>
    <row r="3515" ht="15.75" customHeight="1" s="108">
      <c r="A3515" s="18" t="inlineStr">
        <is>
          <t>Johnny Vegas</t>
        </is>
      </c>
      <c r="B3515" s="18" t="n">
        <v>1</v>
      </c>
      <c r="C3515" s="18" t="n">
        <v>2016</v>
      </c>
      <c r="D3515" s="18" t="n">
        <v>2016</v>
      </c>
      <c r="E3515" s="18" t="inlineStr">
        <is>
          <t>Grimsby</t>
        </is>
      </c>
      <c r="F3515" s="18" t="inlineStr">
        <is>
          <t>F0130</t>
        </is>
      </c>
    </row>
    <row r="3516" ht="15.75" customHeight="1" s="108">
      <c r="A3516" s="18" t="inlineStr">
        <is>
          <t>Alex Lanipekun</t>
        </is>
      </c>
      <c r="B3516" s="18" t="n">
        <v>1</v>
      </c>
      <c r="C3516" s="18" t="n">
        <v>2016</v>
      </c>
      <c r="D3516" s="18" t="n">
        <v>2016</v>
      </c>
      <c r="E3516" s="18" t="inlineStr">
        <is>
          <t>Grimsby</t>
        </is>
      </c>
      <c r="F3516" s="18" t="inlineStr">
        <is>
          <t>F0130</t>
        </is>
      </c>
    </row>
    <row r="3517" ht="15.75" customHeight="1" s="108">
      <c r="A3517" s="18" t="inlineStr">
        <is>
          <t>Eileen Davies</t>
        </is>
      </c>
      <c r="B3517" s="18" t="n">
        <v>1</v>
      </c>
      <c r="C3517" s="18" t="n">
        <v>2016</v>
      </c>
      <c r="D3517" s="18" t="n">
        <v>2016</v>
      </c>
      <c r="E3517" s="18" t="inlineStr">
        <is>
          <t>Grimsby</t>
        </is>
      </c>
      <c r="F3517" s="18" t="inlineStr">
        <is>
          <t>F0130</t>
        </is>
      </c>
    </row>
    <row r="3518" ht="15.75" customHeight="1" s="108">
      <c r="A3518" s="18" t="inlineStr">
        <is>
          <t>Rory Keenan</t>
        </is>
      </c>
      <c r="B3518" s="18" t="n">
        <v>2</v>
      </c>
      <c r="C3518" s="18" t="n">
        <v>2002</v>
      </c>
      <c r="D3518" s="18" t="n">
        <v>2016</v>
      </c>
      <c r="E3518" s="18" t="inlineStr">
        <is>
          <t>Grimsby, Reign of Fire</t>
        </is>
      </c>
      <c r="F3518" s="18" t="inlineStr">
        <is>
          <t>F0130, F0263</t>
        </is>
      </c>
    </row>
    <row r="3519" ht="15.75" customHeight="1" s="108">
      <c r="A3519" s="18" t="inlineStr">
        <is>
          <t>Zak Sutcliffe</t>
        </is>
      </c>
      <c r="B3519" s="18" t="n">
        <v>1</v>
      </c>
      <c r="C3519" s="18" t="n">
        <v>2016</v>
      </c>
      <c r="D3519" s="18" t="n">
        <v>2016</v>
      </c>
      <c r="E3519" s="18" t="inlineStr">
        <is>
          <t>Grimsby</t>
        </is>
      </c>
      <c r="F3519" s="18" t="inlineStr">
        <is>
          <t>F0130</t>
        </is>
      </c>
    </row>
    <row r="3520" ht="15.75" customHeight="1" s="108">
      <c r="A3520" s="18" t="inlineStr">
        <is>
          <t>Nick Boraine</t>
        </is>
      </c>
      <c r="B3520" s="18" t="n">
        <v>1</v>
      </c>
      <c r="C3520" s="18" t="n">
        <v>2016</v>
      </c>
      <c r="D3520" s="18" t="n">
        <v>2016</v>
      </c>
      <c r="E3520" s="18" t="inlineStr">
        <is>
          <t>Grimsby</t>
        </is>
      </c>
      <c r="F3520" s="18" t="inlineStr">
        <is>
          <t>F0130</t>
        </is>
      </c>
    </row>
    <row r="3521" ht="15.75" customHeight="1" s="108">
      <c r="A3521" s="18" t="inlineStr">
        <is>
          <t>Lex Shrapnel</t>
        </is>
      </c>
      <c r="B3521" s="18" t="n">
        <v>1</v>
      </c>
      <c r="C3521" s="18" t="n">
        <v>2016</v>
      </c>
      <c r="D3521" s="18" t="n">
        <v>2016</v>
      </c>
      <c r="E3521" s="18" t="inlineStr">
        <is>
          <t>Grimsby</t>
        </is>
      </c>
      <c r="F3521" s="18" t="inlineStr">
        <is>
          <t>F0130</t>
        </is>
      </c>
    </row>
    <row r="3522" ht="15.75" customHeight="1" s="108">
      <c r="A3522" s="18" t="inlineStr">
        <is>
          <t>John Thomson</t>
        </is>
      </c>
      <c r="B3522" s="18" t="n">
        <v>1</v>
      </c>
      <c r="C3522" s="18" t="n">
        <v>2016</v>
      </c>
      <c r="D3522" s="18" t="n">
        <v>2016</v>
      </c>
      <c r="E3522" s="18" t="inlineStr">
        <is>
          <t>Grimsby</t>
        </is>
      </c>
      <c r="F3522" s="18" t="inlineStr">
        <is>
          <t>F0130</t>
        </is>
      </c>
    </row>
    <row r="3523" ht="15.75" customHeight="1" s="108">
      <c r="A3523" s="18" t="inlineStr">
        <is>
          <t>Ricky Tomlinson</t>
        </is>
      </c>
      <c r="B3523" s="18" t="n">
        <v>1</v>
      </c>
      <c r="C3523" s="18" t="n">
        <v>2016</v>
      </c>
      <c r="D3523" s="18" t="n">
        <v>2016</v>
      </c>
      <c r="E3523" s="18" t="inlineStr">
        <is>
          <t>Grimsby</t>
        </is>
      </c>
      <c r="F3523" s="18" t="inlineStr">
        <is>
          <t>F0130</t>
        </is>
      </c>
    </row>
    <row r="3524" ht="15.75" customHeight="1" s="108">
      <c r="A3524" s="18" t="inlineStr">
        <is>
          <t>Peter Baynham</t>
        </is>
      </c>
      <c r="B3524" s="18" t="n">
        <v>1</v>
      </c>
      <c r="C3524" s="18" t="n">
        <v>2016</v>
      </c>
      <c r="D3524" s="18" t="n">
        <v>2016</v>
      </c>
      <c r="E3524" s="18" t="inlineStr">
        <is>
          <t>Grimsby</t>
        </is>
      </c>
      <c r="F3524" s="18" t="inlineStr">
        <is>
          <t>F0130</t>
        </is>
      </c>
    </row>
    <row r="3525" ht="15.75" customHeight="1" s="108">
      <c r="A3525" s="18" t="inlineStr">
        <is>
          <t>Rebecca Front</t>
        </is>
      </c>
      <c r="B3525" s="18" t="n">
        <v>2</v>
      </c>
      <c r="C3525" s="18" t="n">
        <v>2016</v>
      </c>
      <c r="D3525" s="18" t="n">
        <v>2017</v>
      </c>
      <c r="E3525" s="18" t="inlineStr">
        <is>
          <t>Grimsby, Transformers: The Last Knight</t>
        </is>
      </c>
      <c r="F3525" s="18" t="inlineStr">
        <is>
          <t>F0130, F0320</t>
        </is>
      </c>
    </row>
    <row r="3526" ht="15.75" customHeight="1" s="108">
      <c r="A3526" s="18" t="inlineStr">
        <is>
          <t>Miles Jupp</t>
        </is>
      </c>
      <c r="B3526" s="18" t="n">
        <v>2</v>
      </c>
      <c r="C3526" s="18" t="n">
        <v>2009</v>
      </c>
      <c r="D3526" s="18" t="n">
        <v>2016</v>
      </c>
      <c r="E3526" s="18" t="inlineStr">
        <is>
          <t>Grimsby, Sherlock Holmes</t>
        </is>
      </c>
      <c r="F3526" s="18" t="inlineStr">
        <is>
          <t>F0130, F0278</t>
        </is>
      </c>
    </row>
    <row r="3527" ht="15.75" customHeight="1" s="108">
      <c r="A3527" s="18" t="inlineStr">
        <is>
          <t>Jamie B. Chambers</t>
        </is>
      </c>
      <c r="B3527" s="18" t="n">
        <v>1</v>
      </c>
      <c r="C3527" s="18" t="n">
        <v>2016</v>
      </c>
      <c r="D3527" s="18" t="n">
        <v>2016</v>
      </c>
      <c r="E3527" s="18" t="inlineStr">
        <is>
          <t>Grimsby</t>
        </is>
      </c>
      <c r="F3527" s="18" t="inlineStr">
        <is>
          <t>F0130</t>
        </is>
      </c>
    </row>
    <row r="3528" ht="15.75" customHeight="1" s="108">
      <c r="A3528" s="18" t="inlineStr">
        <is>
          <t>Freddie Crowder</t>
        </is>
      </c>
      <c r="B3528" s="18" t="n">
        <v>1</v>
      </c>
      <c r="C3528" s="18" t="n">
        <v>2016</v>
      </c>
      <c r="D3528" s="18" t="n">
        <v>2016</v>
      </c>
      <c r="E3528" s="18" t="inlineStr">
        <is>
          <t>Grimsby</t>
        </is>
      </c>
      <c r="F3528" s="18" t="inlineStr">
        <is>
          <t>F0130</t>
        </is>
      </c>
    </row>
    <row r="3529" ht="15.75" customHeight="1" s="108">
      <c r="A3529" s="18" t="inlineStr">
        <is>
          <t>Jon-Jon Lockwood</t>
        </is>
      </c>
      <c r="B3529" s="18" t="n">
        <v>1</v>
      </c>
      <c r="C3529" s="18" t="n">
        <v>2016</v>
      </c>
      <c r="D3529" s="18" t="n">
        <v>2016</v>
      </c>
      <c r="E3529" s="18" t="inlineStr">
        <is>
          <t>Grimsby</t>
        </is>
      </c>
      <c r="F3529" s="18" t="inlineStr">
        <is>
          <t>F0130</t>
        </is>
      </c>
    </row>
    <row r="3530" ht="15.75" customHeight="1" s="108">
      <c r="A3530" s="18" t="inlineStr">
        <is>
          <t>Shaun Thomas</t>
        </is>
      </c>
      <c r="B3530" s="18" t="n">
        <v>1</v>
      </c>
      <c r="C3530" s="18" t="n">
        <v>2016</v>
      </c>
      <c r="D3530" s="18" t="n">
        <v>2016</v>
      </c>
      <c r="E3530" s="18" t="inlineStr">
        <is>
          <t>Grimsby</t>
        </is>
      </c>
      <c r="F3530" s="18" t="inlineStr">
        <is>
          <t>F0130</t>
        </is>
      </c>
    </row>
    <row r="3531" ht="15.75" customHeight="1" s="108">
      <c r="A3531" s="18" t="inlineStr">
        <is>
          <t>Joyce Van Patten</t>
        </is>
      </c>
      <c r="B3531" s="18" t="n">
        <v>1</v>
      </c>
      <c r="C3531" s="18" t="n">
        <v>2010</v>
      </c>
      <c r="D3531" s="18" t="n">
        <v>2010</v>
      </c>
      <c r="E3531" s="18" t="inlineStr">
        <is>
          <t>Grown Ups</t>
        </is>
      </c>
      <c r="F3531" s="18" t="inlineStr">
        <is>
          <t>F0131</t>
        </is>
      </c>
    </row>
    <row r="3532" ht="15.75" customHeight="1" s="108">
      <c r="A3532" s="18" t="inlineStr">
        <is>
          <t>Ebony Jo-Ann</t>
        </is>
      </c>
      <c r="B3532" s="18" t="n">
        <v>1</v>
      </c>
      <c r="C3532" s="18" t="n">
        <v>2010</v>
      </c>
      <c r="D3532" s="18" t="n">
        <v>2010</v>
      </c>
      <c r="E3532" s="18" t="inlineStr">
        <is>
          <t>Grown Ups</t>
        </is>
      </c>
      <c r="F3532" s="18" t="inlineStr">
        <is>
          <t>F0131</t>
        </is>
      </c>
    </row>
    <row r="3533" ht="15.75" customHeight="1" s="108">
      <c r="A3533" s="18" t="inlineStr">
        <is>
          <t>Di Quon</t>
        </is>
      </c>
      <c r="B3533" s="18" t="n">
        <v>1</v>
      </c>
      <c r="C3533" s="18" t="n">
        <v>2010</v>
      </c>
      <c r="D3533" s="18" t="n">
        <v>2010</v>
      </c>
      <c r="E3533" s="18" t="inlineStr">
        <is>
          <t>Grown Ups</t>
        </is>
      </c>
      <c r="F3533" s="18" t="inlineStr">
        <is>
          <t>F0131</t>
        </is>
      </c>
    </row>
    <row r="3534" ht="15.75" customHeight="1" s="108">
      <c r="A3534" s="18" t="inlineStr">
        <is>
          <t>Colin Quinn</t>
        </is>
      </c>
      <c r="B3534" s="18" t="n">
        <v>2</v>
      </c>
      <c r="C3534" s="18" t="n">
        <v>2010</v>
      </c>
      <c r="D3534" s="18" t="n">
        <v>2013</v>
      </c>
      <c r="E3534" s="18" t="inlineStr">
        <is>
          <t>Grown Ups, Grown Ups 2</t>
        </is>
      </c>
      <c r="F3534" s="18" t="inlineStr">
        <is>
          <t>F0131, F0132</t>
        </is>
      </c>
    </row>
    <row r="3535" ht="15.75" customHeight="1" s="108">
      <c r="A3535" s="18" t="inlineStr">
        <is>
          <t>Tim Meadows</t>
        </is>
      </c>
      <c r="B3535" s="18" t="n">
        <v>2</v>
      </c>
      <c r="C3535" s="18" t="n">
        <v>2010</v>
      </c>
      <c r="D3535" s="18" t="n">
        <v>2013</v>
      </c>
      <c r="E3535" s="18" t="inlineStr">
        <is>
          <t>Grown Ups, Grown Ups 2</t>
        </is>
      </c>
      <c r="F3535" s="18" t="inlineStr">
        <is>
          <t>F0131, F0132</t>
        </is>
      </c>
    </row>
    <row r="3536" ht="15.75" customHeight="1" s="108">
      <c r="A3536" s="18" t="inlineStr">
        <is>
          <t>Madison Riley</t>
        </is>
      </c>
      <c r="B3536" s="18" t="n">
        <v>1</v>
      </c>
      <c r="C3536" s="18" t="n">
        <v>2010</v>
      </c>
      <c r="D3536" s="18" t="n">
        <v>2010</v>
      </c>
      <c r="E3536" s="18" t="inlineStr">
        <is>
          <t>Grown Ups</t>
        </is>
      </c>
      <c r="F3536" s="18" t="inlineStr">
        <is>
          <t>F0131</t>
        </is>
      </c>
    </row>
    <row r="3537" ht="15.75" customHeight="1" s="108">
      <c r="A3537" s="18" t="inlineStr">
        <is>
          <t>Ashley Loren</t>
        </is>
      </c>
      <c r="B3537" s="18" t="n">
        <v>1</v>
      </c>
      <c r="C3537" s="18" t="n">
        <v>2010</v>
      </c>
      <c r="D3537" s="18" t="n">
        <v>2010</v>
      </c>
      <c r="E3537" s="18" t="inlineStr">
        <is>
          <t>Grown Ups</t>
        </is>
      </c>
      <c r="F3537" s="18" t="inlineStr">
        <is>
          <t>F0131</t>
        </is>
      </c>
    </row>
    <row r="3538" ht="15.75" customHeight="1" s="108">
      <c r="A3538" s="18" t="inlineStr">
        <is>
          <t>Jake Goldberg</t>
        </is>
      </c>
      <c r="B3538" s="18" t="n">
        <v>2</v>
      </c>
      <c r="C3538" s="18" t="n">
        <v>2010</v>
      </c>
      <c r="D3538" s="18" t="n">
        <v>2013</v>
      </c>
      <c r="E3538" s="18" t="inlineStr">
        <is>
          <t>Grown Ups, Grown Ups 2</t>
        </is>
      </c>
      <c r="F3538" s="18" t="inlineStr">
        <is>
          <t>F0131, F0132</t>
        </is>
      </c>
    </row>
    <row r="3539" ht="15.75" customHeight="1" s="108">
      <c r="A3539" s="18" t="inlineStr">
        <is>
          <t>Cameron Boyce</t>
        </is>
      </c>
      <c r="B3539" s="18" t="n">
        <v>2</v>
      </c>
      <c r="C3539" s="18" t="n">
        <v>2010</v>
      </c>
      <c r="D3539" s="18" t="n">
        <v>2013</v>
      </c>
      <c r="E3539" s="18" t="inlineStr">
        <is>
          <t>Grown Ups, Grown Ups 2</t>
        </is>
      </c>
      <c r="F3539" s="18" t="inlineStr">
        <is>
          <t>F0131, F0132</t>
        </is>
      </c>
    </row>
    <row r="3540" ht="15.75" customHeight="1" s="108">
      <c r="A3540" s="18" t="inlineStr">
        <is>
          <t>Alexys Nycole Sanchez</t>
        </is>
      </c>
      <c r="B3540" s="18" t="n">
        <v>2</v>
      </c>
      <c r="C3540" s="18" t="n">
        <v>2010</v>
      </c>
      <c r="D3540" s="18" t="n">
        <v>2013</v>
      </c>
      <c r="E3540" s="18" t="inlineStr">
        <is>
          <t>Grown Ups, Grown Ups 2</t>
        </is>
      </c>
      <c r="F3540" s="18" t="inlineStr">
        <is>
          <t>F0131, F0132</t>
        </is>
      </c>
    </row>
    <row r="3541" ht="15.75" customHeight="1" s="108">
      <c r="A3541" s="18" t="inlineStr">
        <is>
          <t>Ada-Nicole Sanger</t>
        </is>
      </c>
      <c r="B3541" s="18" t="n">
        <v>2</v>
      </c>
      <c r="C3541" s="18" t="n">
        <v>2010</v>
      </c>
      <c r="D3541" s="18" t="n">
        <v>2013</v>
      </c>
      <c r="E3541" s="18" t="inlineStr">
        <is>
          <t>Grown Ups, Grown Ups 2</t>
        </is>
      </c>
      <c r="F3541" s="18" t="inlineStr">
        <is>
          <t>F0131, F0132</t>
        </is>
      </c>
    </row>
    <row r="3542" ht="15.75" customHeight="1" s="108">
      <c r="A3542" s="18" t="inlineStr">
        <is>
          <t>Frank Gingerich</t>
        </is>
      </c>
      <c r="B3542" s="18" t="n">
        <v>2</v>
      </c>
      <c r="C3542" s="18" t="n">
        <v>2010</v>
      </c>
      <c r="D3542" s="18" t="n">
        <v>2013</v>
      </c>
      <c r="E3542" s="18" t="inlineStr">
        <is>
          <t>Grown Ups, Grown Ups 2</t>
        </is>
      </c>
      <c r="F3542" s="18" t="inlineStr">
        <is>
          <t>F0131, F0132</t>
        </is>
      </c>
    </row>
    <row r="3543" ht="15.75" customHeight="1" s="108">
      <c r="A3543" s="18" t="inlineStr">
        <is>
          <t>Morgan Gingerich</t>
        </is>
      </c>
      <c r="B3543" s="18" t="n">
        <v>2</v>
      </c>
      <c r="C3543" s="18" t="n">
        <v>2010</v>
      </c>
      <c r="D3543" s="18" t="n">
        <v>2013</v>
      </c>
      <c r="E3543" s="18" t="inlineStr">
        <is>
          <t>Grown Ups, Grown Ups 2</t>
        </is>
      </c>
      <c r="F3543" s="18" t="inlineStr">
        <is>
          <t>F0131, F0132</t>
        </is>
      </c>
    </row>
    <row r="3544" ht="15.75" customHeight="1" s="108">
      <c r="A3544" s="18" t="inlineStr">
        <is>
          <t>Nadji Jeter</t>
        </is>
      </c>
      <c r="B3544" s="18" t="n">
        <v>2</v>
      </c>
      <c r="C3544" s="18" t="n">
        <v>2010</v>
      </c>
      <c r="D3544" s="18" t="n">
        <v>2013</v>
      </c>
      <c r="E3544" s="18" t="inlineStr">
        <is>
          <t>Grown Ups, Grown Ups 2</t>
        </is>
      </c>
      <c r="F3544" s="18" t="inlineStr">
        <is>
          <t>F0131, F0132</t>
        </is>
      </c>
    </row>
    <row r="3545" ht="15.75" customHeight="1" s="108">
      <c r="A3545" s="18" t="inlineStr">
        <is>
          <t>China Anne McClain</t>
        </is>
      </c>
      <c r="B3545" s="18" t="n">
        <v>2</v>
      </c>
      <c r="C3545" s="18" t="n">
        <v>2010</v>
      </c>
      <c r="D3545" s="18" t="n">
        <v>2013</v>
      </c>
      <c r="E3545" s="18" t="inlineStr">
        <is>
          <t>Grown Ups, Grown Ups 2</t>
        </is>
      </c>
      <c r="F3545" s="18" t="inlineStr">
        <is>
          <t>F0131, F0132</t>
        </is>
      </c>
    </row>
    <row r="3546" ht="15.75" customHeight="1" s="108">
      <c r="A3546" s="18" t="inlineStr">
        <is>
          <t>Dan Patrick</t>
        </is>
      </c>
      <c r="B3546" s="18" t="n">
        <v>2</v>
      </c>
      <c r="C3546" s="18" t="n">
        <v>2010</v>
      </c>
      <c r="D3546" s="18" t="n">
        <v>2011</v>
      </c>
      <c r="E3546" s="18" t="inlineStr">
        <is>
          <t>Grown Ups, Just Go with It</t>
        </is>
      </c>
      <c r="F3546" s="18" t="inlineStr">
        <is>
          <t>F0131, F0183</t>
        </is>
      </c>
    </row>
    <row r="3547" ht="15.75" customHeight="1" s="108">
      <c r="A3547" s="18" t="inlineStr">
        <is>
          <t>Tim Herlihy</t>
        </is>
      </c>
      <c r="B3547" s="18" t="n">
        <v>1</v>
      </c>
      <c r="C3547" s="18" t="n">
        <v>2010</v>
      </c>
      <c r="D3547" s="18" t="n">
        <v>2010</v>
      </c>
      <c r="E3547" s="18" t="inlineStr">
        <is>
          <t>Grown Ups</t>
        </is>
      </c>
      <c r="F3547" s="18" t="inlineStr">
        <is>
          <t>F0131</t>
        </is>
      </c>
    </row>
    <row r="3548" ht="15.75" customHeight="1" s="108">
      <c r="A3548" s="18" t="inlineStr">
        <is>
          <t>Blake Clark</t>
        </is>
      </c>
      <c r="B3548" s="18" t="n">
        <v>3</v>
      </c>
      <c r="C3548" s="18" t="n">
        <v>2010</v>
      </c>
      <c r="D3548" s="18" t="n">
        <v>2019</v>
      </c>
      <c r="E3548" s="18" t="inlineStr">
        <is>
          <t>Grown Ups, Toy Story 3, Toy Story 4</t>
        </is>
      </c>
      <c r="F3548" s="18" t="inlineStr">
        <is>
          <t>F0131, F0314, F0315</t>
        </is>
      </c>
    </row>
    <row r="3549" ht="15.75" customHeight="1" s="108">
      <c r="A3549" s="18" t="inlineStr">
        <is>
          <t>Norm Macdonald</t>
        </is>
      </c>
      <c r="B3549" s="18" t="n">
        <v>1</v>
      </c>
      <c r="C3549" s="18" t="n">
        <v>2010</v>
      </c>
      <c r="D3549" s="18" t="n">
        <v>2010</v>
      </c>
      <c r="E3549" s="18" t="inlineStr">
        <is>
          <t>Grown Ups</t>
        </is>
      </c>
      <c r="F3549" s="18" t="inlineStr">
        <is>
          <t>F0131</t>
        </is>
      </c>
    </row>
    <row r="3550" ht="15.75" customHeight="1" s="108">
      <c r="A3550" s="18" t="inlineStr">
        <is>
          <t>Jonathan Loughran</t>
        </is>
      </c>
      <c r="B3550" s="18" t="n">
        <v>2</v>
      </c>
      <c r="C3550" s="18" t="n">
        <v>2010</v>
      </c>
      <c r="D3550" s="18" t="n">
        <v>2011</v>
      </c>
      <c r="E3550" s="18" t="inlineStr">
        <is>
          <t>Grown Ups, Just Go with It</t>
        </is>
      </c>
      <c r="F3550" s="18" t="inlineStr">
        <is>
          <t>F0131, F0183</t>
        </is>
      </c>
    </row>
    <row r="3551" ht="15.75" customHeight="1" s="108">
      <c r="A3551" s="18" t="inlineStr">
        <is>
          <t>Shaquille O'Neal</t>
        </is>
      </c>
      <c r="B3551" s="18" t="n">
        <v>2</v>
      </c>
      <c r="C3551" s="18" t="n">
        <v>2013</v>
      </c>
      <c r="D3551" s="18" t="n">
        <v>2014</v>
      </c>
      <c r="E3551" s="18" t="inlineStr">
        <is>
          <t>Grown Ups 2, The Lego Movie</t>
        </is>
      </c>
      <c r="F3551" s="18" t="inlineStr">
        <is>
          <t>F0132, F0195</t>
        </is>
      </c>
    </row>
    <row r="3552" ht="15.75" customHeight="1" s="108">
      <c r="A3552" s="18" t="inlineStr">
        <is>
          <t>Jon Lovitz</t>
        </is>
      </c>
      <c r="B3552" s="18" t="n">
        <v>1</v>
      </c>
      <c r="C3552" s="18" t="n">
        <v>2013</v>
      </c>
      <c r="D3552" s="18" t="n">
        <v>2013</v>
      </c>
      <c r="E3552" s="18" t="inlineStr">
        <is>
          <t>Grown Ups 2</t>
        </is>
      </c>
      <c r="F3552" s="18" t="inlineStr">
        <is>
          <t>F0132</t>
        </is>
      </c>
    </row>
    <row r="3553" ht="15.75" customHeight="1" s="108">
      <c r="A3553" s="18" t="inlineStr">
        <is>
          <t>Georgia Engel</t>
        </is>
      </c>
      <c r="B3553" s="18" t="n">
        <v>1</v>
      </c>
      <c r="C3553" s="18" t="n">
        <v>2013</v>
      </c>
      <c r="D3553" s="18" t="n">
        <v>2013</v>
      </c>
      <c r="E3553" s="18" t="inlineStr">
        <is>
          <t>Grown Ups 2</t>
        </is>
      </c>
      <c r="F3553" s="18" t="inlineStr">
        <is>
          <t>F0132</t>
        </is>
      </c>
    </row>
    <row r="3554" ht="15.75" customHeight="1" s="108">
      <c r="A3554" s="18" t="inlineStr">
        <is>
          <t>Alexander Ludwig</t>
        </is>
      </c>
      <c r="B3554" s="18" t="n">
        <v>3</v>
      </c>
      <c r="C3554" s="18" t="n">
        <v>2012</v>
      </c>
      <c r="D3554" s="18" t="n">
        <v>2013</v>
      </c>
      <c r="E3554" s="18" t="inlineStr">
        <is>
          <t>Grown Ups 2, The Hunger Games, Lone Survivor</t>
        </is>
      </c>
      <c r="F3554" s="18" t="inlineStr">
        <is>
          <t>F0132, F0157, F0202</t>
        </is>
      </c>
    </row>
    <row r="3555" ht="15.75" customHeight="1" s="108">
      <c r="A3555" s="18" t="inlineStr">
        <is>
          <t>Peter Dante</t>
        </is>
      </c>
      <c r="B3555" s="18" t="n">
        <v>2</v>
      </c>
      <c r="C3555" s="18" t="n">
        <v>2011</v>
      </c>
      <c r="D3555" s="18" t="n">
        <v>2013</v>
      </c>
      <c r="E3555" s="18" t="inlineStr">
        <is>
          <t>Grown Ups 2, Just Go with It</t>
        </is>
      </c>
      <c r="F3555" s="18" t="inlineStr">
        <is>
          <t>F0132, F0183</t>
        </is>
      </c>
    </row>
    <row r="3556" ht="15.75" customHeight="1" s="108">
      <c r="A3556" s="18" t="inlineStr">
        <is>
          <t>Oliver Hudson</t>
        </is>
      </c>
      <c r="B3556" s="18" t="n">
        <v>1</v>
      </c>
      <c r="C3556" s="18" t="n">
        <v>2013</v>
      </c>
      <c r="D3556" s="18" t="n">
        <v>2013</v>
      </c>
      <c r="E3556" s="18" t="inlineStr">
        <is>
          <t>Grown Ups 2</t>
        </is>
      </c>
      <c r="F3556" s="18" t="inlineStr">
        <is>
          <t>F0132</t>
        </is>
      </c>
    </row>
    <row r="3557" ht="15.75" customHeight="1" s="108">
      <c r="A3557" s="18" t="inlineStr">
        <is>
          <t>Allen Covert</t>
        </is>
      </c>
      <c r="B3557" s="18" t="n">
        <v>2</v>
      </c>
      <c r="C3557" s="18" t="n">
        <v>2011</v>
      </c>
      <c r="D3557" s="18" t="n">
        <v>2013</v>
      </c>
      <c r="E3557" s="18" t="inlineStr">
        <is>
          <t>Grown Ups 2, Just Go with It</t>
        </is>
      </c>
      <c r="F3557" s="18" t="inlineStr">
        <is>
          <t>F0132, F0183</t>
        </is>
      </c>
    </row>
    <row r="3558" ht="15.75" customHeight="1" s="108">
      <c r="A3558" s="18" t="inlineStr">
        <is>
          <t>Milo Ventimiglia</t>
        </is>
      </c>
      <c r="B3558" s="18" t="n">
        <v>1</v>
      </c>
      <c r="C3558" s="18" t="n">
        <v>2013</v>
      </c>
      <c r="D3558" s="18" t="n">
        <v>2013</v>
      </c>
      <c r="E3558" s="18" t="inlineStr">
        <is>
          <t>Grown Ups 2</t>
        </is>
      </c>
      <c r="F3558" s="18" t="inlineStr">
        <is>
          <t>F0132</t>
        </is>
      </c>
    </row>
    <row r="3559" ht="15.75" customHeight="1" s="108">
      <c r="A3559" s="18" t="inlineStr">
        <is>
          <t>Kaleo Elam</t>
        </is>
      </c>
      <c r="B3559" s="18" t="n">
        <v>1</v>
      </c>
      <c r="C3559" s="18" t="n">
        <v>2013</v>
      </c>
      <c r="D3559" s="18" t="n">
        <v>2013</v>
      </c>
      <c r="E3559" s="18" t="inlineStr">
        <is>
          <t>Grown Ups 2</t>
        </is>
      </c>
      <c r="F3559" s="18" t="inlineStr">
        <is>
          <t>F0132</t>
        </is>
      </c>
    </row>
    <row r="3560" ht="15.75" customHeight="1" s="108">
      <c r="A3560" s="18" t="inlineStr">
        <is>
          <t>Cheri Oteri</t>
        </is>
      </c>
      <c r="B3560" s="18" t="n">
        <v>1</v>
      </c>
      <c r="C3560" s="18" t="n">
        <v>2013</v>
      </c>
      <c r="D3560" s="18" t="n">
        <v>2013</v>
      </c>
      <c r="E3560" s="18" t="inlineStr">
        <is>
          <t>Grown Ups 2</t>
        </is>
      </c>
      <c r="F3560" s="18" t="inlineStr">
        <is>
          <t>F0132</t>
        </is>
      </c>
    </row>
    <row r="3561" ht="15.75" customHeight="1" s="108">
      <c r="A3561" s="18" t="inlineStr">
        <is>
          <t>Rachel Griffiths</t>
        </is>
      </c>
      <c r="B3561" s="18" t="n">
        <v>1</v>
      </c>
      <c r="C3561" s="18" t="n">
        <v>2016</v>
      </c>
      <c r="D3561" s="18" t="n">
        <v>2016</v>
      </c>
      <c r="E3561" s="18" t="inlineStr">
        <is>
          <t>Hacksaw Ridge</t>
        </is>
      </c>
      <c r="F3561" s="18" t="inlineStr">
        <is>
          <t>F0133</t>
        </is>
      </c>
    </row>
    <row r="3562" ht="15.75" customHeight="1" s="108">
      <c r="A3562" s="18" t="inlineStr">
        <is>
          <t>Ryan Corr</t>
        </is>
      </c>
      <c r="B3562" s="18" t="n">
        <v>1</v>
      </c>
      <c r="C3562" s="18" t="n">
        <v>2016</v>
      </c>
      <c r="D3562" s="18" t="n">
        <v>2016</v>
      </c>
      <c r="E3562" s="18" t="inlineStr">
        <is>
          <t>Hacksaw Ridge</t>
        </is>
      </c>
      <c r="F3562" s="18" t="inlineStr">
        <is>
          <t>F0133</t>
        </is>
      </c>
    </row>
    <row r="3563" ht="15.75" customHeight="1" s="108">
      <c r="A3563" s="18" t="inlineStr">
        <is>
          <t>Goran D. Kleut</t>
        </is>
      </c>
      <c r="B3563" s="18" t="n">
        <v>8</v>
      </c>
      <c r="C3563" s="18" t="n">
        <v>2014</v>
      </c>
      <c r="D3563" s="18" t="n">
        <v>2025</v>
      </c>
      <c r="E3563" s="18" t="inlineStr">
        <is>
          <t xml:space="preserve">Hacksaw Ridge, I, Frankenstein, I, Frankenstein, I, Frankenstein, alien covenant, furiosa, I, Frankenstein, furiosa </t>
        </is>
      </c>
      <c r="F3563" s="18" t="inlineStr">
        <is>
          <t>F0133, F0159, F0361, F0370</t>
        </is>
      </c>
    </row>
    <row r="3564" ht="15.75" customHeight="1" s="108">
      <c r="A3564" s="18" t="inlineStr">
        <is>
          <t>Luke Pegler</t>
        </is>
      </c>
      <c r="B3564" s="18" t="n">
        <v>1</v>
      </c>
      <c r="C3564" s="18" t="n">
        <v>2016</v>
      </c>
      <c r="D3564" s="18" t="n">
        <v>2016</v>
      </c>
      <c r="E3564" s="18" t="inlineStr">
        <is>
          <t>Hacksaw Ridge</t>
        </is>
      </c>
      <c r="F3564" s="18" t="inlineStr">
        <is>
          <t>F0133</t>
        </is>
      </c>
    </row>
    <row r="3565" ht="15.75" customHeight="1" s="108">
      <c r="A3565" s="18" t="inlineStr">
        <is>
          <t>Firass Dirani</t>
        </is>
      </c>
      <c r="B3565" s="18" t="n">
        <v>1</v>
      </c>
      <c r="C3565" s="18" t="n">
        <v>2016</v>
      </c>
      <c r="D3565" s="18" t="n">
        <v>2016</v>
      </c>
      <c r="E3565" s="18" t="inlineStr">
        <is>
          <t>Hacksaw Ridge</t>
        </is>
      </c>
      <c r="F3565" s="18" t="inlineStr">
        <is>
          <t>F0133</t>
        </is>
      </c>
    </row>
    <row r="3566" ht="15.75" customHeight="1" s="108">
      <c r="A3566" s="18" t="inlineStr">
        <is>
          <t>Michael Sheasby</t>
        </is>
      </c>
      <c r="B3566" s="18" t="n">
        <v>1</v>
      </c>
      <c r="C3566" s="18" t="n">
        <v>2016</v>
      </c>
      <c r="D3566" s="18" t="n">
        <v>2016</v>
      </c>
      <c r="E3566" s="18" t="inlineStr">
        <is>
          <t>Hacksaw Ridge</t>
        </is>
      </c>
      <c r="F3566" s="18" t="inlineStr">
        <is>
          <t>F0133</t>
        </is>
      </c>
    </row>
    <row r="3567" ht="15.75" customHeight="1" s="108">
      <c r="A3567" s="18" t="inlineStr">
        <is>
          <t>Nathaniel Buzolic</t>
        </is>
      </c>
      <c r="B3567" s="18" t="n">
        <v>1</v>
      </c>
      <c r="C3567" s="18" t="n">
        <v>2016</v>
      </c>
      <c r="D3567" s="18" t="n">
        <v>2016</v>
      </c>
      <c r="E3567" s="18" t="inlineStr">
        <is>
          <t>Hacksaw Ridge</t>
        </is>
      </c>
      <c r="F3567" s="18" t="inlineStr">
        <is>
          <t>F0133</t>
        </is>
      </c>
    </row>
    <row r="3568" ht="15.75" customHeight="1" s="108">
      <c r="A3568" s="18" t="inlineStr">
        <is>
          <t>Ori Pfeffer</t>
        </is>
      </c>
      <c r="B3568" s="18" t="n">
        <v>2</v>
      </c>
      <c r="C3568" s="18" t="n">
        <v>2016</v>
      </c>
      <c r="D3568" s="18" t="n">
        <v>2017</v>
      </c>
      <c r="E3568" s="18" t="inlineStr">
        <is>
          <t>Hacksaw Ridge, The Hitman's Bodyguard</t>
        </is>
      </c>
      <c r="F3568" s="18" t="inlineStr">
        <is>
          <t>F0133, F0149</t>
        </is>
      </c>
    </row>
    <row r="3569" ht="15.75" customHeight="1" s="108">
      <c r="A3569" s="18" t="inlineStr">
        <is>
          <t>Jacob Warner</t>
        </is>
      </c>
      <c r="B3569" s="18" t="n">
        <v>1</v>
      </c>
      <c r="C3569" s="18" t="n">
        <v>2016</v>
      </c>
      <c r="D3569" s="18" t="n">
        <v>2016</v>
      </c>
      <c r="E3569" s="18" t="inlineStr">
        <is>
          <t>Hacksaw Ridge</t>
        </is>
      </c>
      <c r="F3569" s="18" t="inlineStr">
        <is>
          <t>F0133</t>
        </is>
      </c>
    </row>
    <row r="3570" ht="15.75" customHeight="1" s="108">
      <c r="A3570" s="18" t="inlineStr">
        <is>
          <t>Richard Pyros</t>
        </is>
      </c>
      <c r="B3570" s="18" t="n">
        <v>1</v>
      </c>
      <c r="C3570" s="18" t="n">
        <v>2016</v>
      </c>
      <c r="D3570" s="18" t="n">
        <v>2016</v>
      </c>
      <c r="E3570" s="18" t="inlineStr">
        <is>
          <t>Hacksaw Ridge</t>
        </is>
      </c>
      <c r="F3570" s="18" t="inlineStr">
        <is>
          <t>F0133</t>
        </is>
      </c>
    </row>
    <row r="3571" ht="15.75" customHeight="1" s="108">
      <c r="A3571" s="18" t="inlineStr">
        <is>
          <t>Ben Mingay</t>
        </is>
      </c>
      <c r="B3571" s="18" t="n">
        <v>1</v>
      </c>
      <c r="C3571" s="18" t="n">
        <v>2016</v>
      </c>
      <c r="D3571" s="18" t="n">
        <v>2016</v>
      </c>
      <c r="E3571" s="18" t="inlineStr">
        <is>
          <t>Hacksaw Ridge</t>
        </is>
      </c>
      <c r="F3571" s="18" t="inlineStr">
        <is>
          <t>F0133</t>
        </is>
      </c>
    </row>
    <row r="3572" ht="15.75" customHeight="1" s="108">
      <c r="A3572" s="18" t="inlineStr">
        <is>
          <t>Harry Greenwood</t>
        </is>
      </c>
      <c r="B3572" s="18" t="n">
        <v>1</v>
      </c>
      <c r="C3572" s="18" t="n">
        <v>2016</v>
      </c>
      <c r="D3572" s="18" t="n">
        <v>2016</v>
      </c>
      <c r="E3572" s="18" t="inlineStr">
        <is>
          <t>Hacksaw Ridge</t>
        </is>
      </c>
      <c r="F3572" s="18" t="inlineStr">
        <is>
          <t>F0133</t>
        </is>
      </c>
    </row>
    <row r="3573" ht="15.75" customHeight="1" s="108">
      <c r="A3573" s="18" t="inlineStr">
        <is>
          <t>Damien Thomlinson</t>
        </is>
      </c>
      <c r="B3573" s="18" t="n">
        <v>1</v>
      </c>
      <c r="C3573" s="18" t="n">
        <v>2016</v>
      </c>
      <c r="D3573" s="18" t="n">
        <v>2016</v>
      </c>
      <c r="E3573" s="18" t="inlineStr">
        <is>
          <t>Hacksaw Ridge</t>
        </is>
      </c>
      <c r="F3573" s="18" t="inlineStr">
        <is>
          <t>F0133</t>
        </is>
      </c>
    </row>
    <row r="3574" ht="15.75" customHeight="1" s="108">
      <c r="A3574" s="18" t="inlineStr">
        <is>
          <t>Robert Morgan</t>
        </is>
      </c>
      <c r="B3574" s="18" t="n">
        <v>1</v>
      </c>
      <c r="C3574" s="18" t="n">
        <v>2016</v>
      </c>
      <c r="D3574" s="18" t="n">
        <v>2016</v>
      </c>
      <c r="E3574" s="18" t="inlineStr">
        <is>
          <t>Hacksaw Ridge</t>
        </is>
      </c>
      <c r="F3574" s="18" t="inlineStr">
        <is>
          <t>F0133</t>
        </is>
      </c>
    </row>
    <row r="3575" ht="15.75" customHeight="1" s="108">
      <c r="A3575" s="18" t="inlineStr">
        <is>
          <t>Milo Gibson</t>
        </is>
      </c>
      <c r="B3575" s="18" t="n">
        <v>1</v>
      </c>
      <c r="C3575" s="18" t="n">
        <v>2016</v>
      </c>
      <c r="D3575" s="18" t="n">
        <v>2016</v>
      </c>
      <c r="E3575" s="18" t="inlineStr">
        <is>
          <t>Hacksaw Ridge</t>
        </is>
      </c>
      <c r="F3575" s="18" t="inlineStr">
        <is>
          <t>F0133</t>
        </is>
      </c>
    </row>
    <row r="3576" ht="15.75" customHeight="1" s="108">
      <c r="A3576" s="18" t="inlineStr">
        <is>
          <t>John Batziolas</t>
        </is>
      </c>
      <c r="B3576" s="18" t="n">
        <v>1</v>
      </c>
      <c r="C3576" s="18" t="n">
        <v>2016</v>
      </c>
      <c r="D3576" s="18" t="n">
        <v>2016</v>
      </c>
      <c r="E3576" s="18" t="inlineStr">
        <is>
          <t>Hacksaw Ridge</t>
        </is>
      </c>
      <c r="F3576" s="18" t="inlineStr">
        <is>
          <t>F0133</t>
        </is>
      </c>
    </row>
    <row r="3577" ht="15.75" customHeight="1" s="108">
      <c r="A3577" s="18" t="inlineStr">
        <is>
          <t>Charles Jacobs</t>
        </is>
      </c>
      <c r="B3577" s="18" t="n">
        <v>1</v>
      </c>
      <c r="C3577" s="18" t="n">
        <v>2016</v>
      </c>
      <c r="D3577" s="18" t="n">
        <v>2016</v>
      </c>
      <c r="E3577" s="18" t="inlineStr">
        <is>
          <t>Hacksaw Ridge</t>
        </is>
      </c>
      <c r="F3577" s="18" t="inlineStr">
        <is>
          <t>F0133</t>
        </is>
      </c>
    </row>
    <row r="3578" ht="15.75" customHeight="1" s="108">
      <c r="A3578" s="18" t="inlineStr">
        <is>
          <t>Ben O'Toole</t>
        </is>
      </c>
      <c r="B3578" s="18" t="n">
        <v>1</v>
      </c>
      <c r="C3578" s="18" t="n">
        <v>2016</v>
      </c>
      <c r="D3578" s="18" t="n">
        <v>2016</v>
      </c>
      <c r="E3578" s="18" t="inlineStr">
        <is>
          <t>Hacksaw Ridge</t>
        </is>
      </c>
      <c r="F3578" s="18" t="inlineStr">
        <is>
          <t>F0133</t>
        </is>
      </c>
    </row>
    <row r="3579" ht="15.75" customHeight="1" s="108">
      <c r="A3579" s="18" t="inlineStr">
        <is>
          <t>James Lugton</t>
        </is>
      </c>
      <c r="B3579" s="18" t="n">
        <v>1</v>
      </c>
      <c r="C3579" s="18" t="n">
        <v>2016</v>
      </c>
      <c r="D3579" s="18" t="n">
        <v>2016</v>
      </c>
      <c r="E3579" s="18" t="inlineStr">
        <is>
          <t>Hacksaw Ridge</t>
        </is>
      </c>
      <c r="F3579" s="18" t="inlineStr">
        <is>
          <t>F0133</t>
        </is>
      </c>
    </row>
    <row r="3580" ht="15.75" customHeight="1" s="108">
      <c r="A3580" s="18" t="inlineStr">
        <is>
          <t>Kasia Stelmach</t>
        </is>
      </c>
      <c r="B3580" s="18" t="n">
        <v>1</v>
      </c>
      <c r="C3580" s="18" t="n">
        <v>2016</v>
      </c>
      <c r="D3580" s="18" t="n">
        <v>2016</v>
      </c>
      <c r="E3580" s="18" t="inlineStr">
        <is>
          <t>Hacksaw Ridge</t>
        </is>
      </c>
      <c r="F3580" s="18" t="inlineStr">
        <is>
          <t>F0133</t>
        </is>
      </c>
    </row>
    <row r="3581" ht="15.75" customHeight="1" s="108">
      <c r="A3581" s="18" t="inlineStr">
        <is>
          <t>Tim McGarry</t>
        </is>
      </c>
      <c r="B3581" s="18" t="n">
        <v>1</v>
      </c>
      <c r="C3581" s="18" t="n">
        <v>2016</v>
      </c>
      <c r="D3581" s="18" t="n">
        <v>2016</v>
      </c>
      <c r="E3581" s="18" t="inlineStr">
        <is>
          <t>Hacksaw Ridge</t>
        </is>
      </c>
      <c r="F3581" s="18" t="inlineStr">
        <is>
          <t>F0133</t>
        </is>
      </c>
    </row>
    <row r="3582" ht="15.75" customHeight="1" s="108">
      <c r="A3582" s="18" t="inlineStr">
        <is>
          <t>Tyler Coppin</t>
        </is>
      </c>
      <c r="B3582" s="18" t="n">
        <v>1</v>
      </c>
      <c r="C3582" s="18" t="n">
        <v>2016</v>
      </c>
      <c r="D3582" s="18" t="n">
        <v>2016</v>
      </c>
      <c r="E3582" s="18" t="inlineStr">
        <is>
          <t>Hacksaw Ridge</t>
        </is>
      </c>
      <c r="F3582" s="18" t="inlineStr">
        <is>
          <t>F0133</t>
        </is>
      </c>
    </row>
    <row r="3583" ht="15.75" customHeight="1" s="108">
      <c r="A3583" s="18" t="inlineStr">
        <is>
          <t>Sasha Barrese</t>
        </is>
      </c>
      <c r="B3583" s="18" t="n">
        <v>3</v>
      </c>
      <c r="C3583" s="18" t="n">
        <v>2009</v>
      </c>
      <c r="D3583" s="18" t="n">
        <v>2013</v>
      </c>
      <c r="E3583" s="18" t="inlineStr">
        <is>
          <t>The Hangover, The Hangover Part II, The Hangover Part III</t>
        </is>
      </c>
      <c r="F3583" s="18" t="inlineStr">
        <is>
          <t>F0134, F0135, F0136</t>
        </is>
      </c>
    </row>
    <row r="3584" ht="15.75" customHeight="1" s="108">
      <c r="A3584" s="18" t="inlineStr">
        <is>
          <t>Rachael Harris</t>
        </is>
      </c>
      <c r="B3584" s="18" t="n">
        <v>2</v>
      </c>
      <c r="C3584" s="18" t="n">
        <v>2009</v>
      </c>
      <c r="D3584" s="18" t="n">
        <v>2012</v>
      </c>
      <c r="E3584" s="18" t="inlineStr">
        <is>
          <t>The Hangover, Wreck-It Ralph</t>
        </is>
      </c>
      <c r="F3584" s="18" t="inlineStr">
        <is>
          <t>F0134, F0336</t>
        </is>
      </c>
    </row>
    <row r="3585" ht="15.75" customHeight="1" s="108">
      <c r="A3585" s="18" t="inlineStr">
        <is>
          <t>Mike Tyson</t>
        </is>
      </c>
      <c r="B3585" s="18" t="n">
        <v>2</v>
      </c>
      <c r="C3585" s="18" t="n">
        <v>2009</v>
      </c>
      <c r="D3585" s="18" t="n">
        <v>2011</v>
      </c>
      <c r="E3585" s="18" t="inlineStr">
        <is>
          <t>The Hangover, The Hangover Part II</t>
        </is>
      </c>
      <c r="F3585" s="18" t="inlineStr">
        <is>
          <t>F0134, F0135</t>
        </is>
      </c>
    </row>
    <row r="3586" ht="15.75" customHeight="1" s="108">
      <c r="A3586" s="18" t="inlineStr">
        <is>
          <t>Mike Epps</t>
        </is>
      </c>
      <c r="B3586" s="18" t="n">
        <v>2</v>
      </c>
      <c r="C3586" s="18" t="n">
        <v>2009</v>
      </c>
      <c r="D3586" s="18" t="n">
        <v>2013</v>
      </c>
      <c r="E3586" s="18" t="inlineStr">
        <is>
          <t>The Hangover, The Hangover Part III</t>
        </is>
      </c>
      <c r="F3586" s="18" t="inlineStr">
        <is>
          <t>F0134, F0136</t>
        </is>
      </c>
    </row>
    <row r="3587" ht="15.75" customHeight="1" s="108">
      <c r="A3587" s="18" t="inlineStr">
        <is>
          <t>Jernard Burks</t>
        </is>
      </c>
      <c r="B3587" s="18" t="n">
        <v>1</v>
      </c>
      <c r="C3587" s="18" t="n">
        <v>2009</v>
      </c>
      <c r="D3587" s="18" t="n">
        <v>2009</v>
      </c>
      <c r="E3587" s="18" t="inlineStr">
        <is>
          <t>The Hangover</t>
        </is>
      </c>
      <c r="F3587" s="18" t="inlineStr">
        <is>
          <t>F0134</t>
        </is>
      </c>
    </row>
    <row r="3588" ht="15.75" customHeight="1" s="108">
      <c r="A3588" s="18" t="inlineStr">
        <is>
          <t>Cleo King</t>
        </is>
      </c>
      <c r="B3588" s="18" t="n">
        <v>3</v>
      </c>
      <c r="C3588" s="18" t="n">
        <v>2008</v>
      </c>
      <c r="D3588" s="18" t="n">
        <v>2014</v>
      </c>
      <c r="E3588" s="18" t="inlineStr">
        <is>
          <t>The Hangover, Pineapple Express, Transformers: Age of Extinction</t>
        </is>
      </c>
      <c r="F3588" s="18" t="inlineStr">
        <is>
          <t>F0134, F0247, F0319</t>
        </is>
      </c>
    </row>
    <row r="3589" ht="15.75" customHeight="1" s="108">
      <c r="A3589" s="18" t="inlineStr">
        <is>
          <t>Bryan Callen</t>
        </is>
      </c>
      <c r="B3589" s="18" t="n">
        <v>3</v>
      </c>
      <c r="C3589" s="18" t="n">
        <v>2009</v>
      </c>
      <c r="D3589" s="18" t="n">
        <v>2011</v>
      </c>
      <c r="E3589" s="18" t="inlineStr">
        <is>
          <t>The Hangover, The Hangover Part II, Warrior</t>
        </is>
      </c>
      <c r="F3589" s="18" t="inlineStr">
        <is>
          <t>F0134, F0135, F0333</t>
        </is>
      </c>
    </row>
    <row r="3590" ht="15.75" customHeight="1" s="108">
      <c r="A3590" s="18" t="inlineStr">
        <is>
          <t>Michael Li</t>
        </is>
      </c>
      <c r="B3590" s="18" t="n">
        <v>1</v>
      </c>
      <c r="C3590" s="18" t="n">
        <v>2009</v>
      </c>
      <c r="D3590" s="18" t="n">
        <v>2009</v>
      </c>
      <c r="E3590" s="18" t="inlineStr">
        <is>
          <t>The Hangover</t>
        </is>
      </c>
      <c r="F3590" s="18" t="inlineStr">
        <is>
          <t>F0134</t>
        </is>
      </c>
    </row>
    <row r="3591" ht="15.75" customHeight="1" s="108">
      <c r="A3591" s="18" t="inlineStr">
        <is>
          <t>Sondra Currie</t>
        </is>
      </c>
      <c r="B3591" s="18" t="n">
        <v>3</v>
      </c>
      <c r="C3591" s="18" t="n">
        <v>2009</v>
      </c>
      <c r="D3591" s="18" t="n">
        <v>2013</v>
      </c>
      <c r="E3591" s="18" t="inlineStr">
        <is>
          <t>The Hangover, The Hangover Part II, The Hangover Part III</t>
        </is>
      </c>
      <c r="F3591" s="18" t="inlineStr">
        <is>
          <t>F0134, F0135, F0136</t>
        </is>
      </c>
    </row>
    <row r="3592" ht="15.75" customHeight="1" s="108">
      <c r="A3592" s="18" t="inlineStr">
        <is>
          <t>Gillian Vigman</t>
        </is>
      </c>
      <c r="B3592" s="18" t="n">
        <v>3</v>
      </c>
      <c r="C3592" s="18" t="n">
        <v>2009</v>
      </c>
      <c r="D3592" s="18" t="n">
        <v>2013</v>
      </c>
      <c r="E3592" s="18" t="inlineStr">
        <is>
          <t>The Hangover, The Hangover Part II, The Hangover Part III</t>
        </is>
      </c>
      <c r="F3592" s="18" t="inlineStr">
        <is>
          <t>F0134, F0135, F0136</t>
        </is>
      </c>
    </row>
    <row r="3593" ht="15.75" customHeight="1" s="108">
      <c r="A3593" s="18" t="inlineStr">
        <is>
          <t>Chuck Pacheco</t>
        </is>
      </c>
      <c r="B3593" s="18" t="n">
        <v>2</v>
      </c>
      <c r="C3593" s="18" t="n">
        <v>2004</v>
      </c>
      <c r="D3593" s="18" t="n">
        <v>2009</v>
      </c>
      <c r="E3593" s="18" t="inlineStr">
        <is>
          <t>The Hangover, The Notebook</t>
        </is>
      </c>
      <c r="F3593" s="18" t="inlineStr">
        <is>
          <t>F0134, F0237</t>
        </is>
      </c>
    </row>
    <row r="3594" ht="15.75" customHeight="1" s="108">
      <c r="A3594" s="18" t="inlineStr">
        <is>
          <t>Jesse Erwin</t>
        </is>
      </c>
      <c r="B3594" s="18" t="n">
        <v>1</v>
      </c>
      <c r="C3594" s="18" t="n">
        <v>2009</v>
      </c>
      <c r="D3594" s="18" t="n">
        <v>2009</v>
      </c>
      <c r="E3594" s="18" t="inlineStr">
        <is>
          <t>The Hangover</t>
        </is>
      </c>
      <c r="F3594" s="18" t="inlineStr">
        <is>
          <t>F0134</t>
        </is>
      </c>
    </row>
    <row r="3595" ht="15.75" customHeight="1" s="108">
      <c r="A3595" s="18" t="inlineStr">
        <is>
          <t>Dan Finnerty</t>
        </is>
      </c>
      <c r="B3595" s="18" t="n">
        <v>1</v>
      </c>
      <c r="C3595" s="18" t="n">
        <v>2009</v>
      </c>
      <c r="D3595" s="18" t="n">
        <v>2009</v>
      </c>
      <c r="E3595" s="18" t="inlineStr">
        <is>
          <t>The Hangover</t>
        </is>
      </c>
      <c r="F3595" s="18" t="inlineStr">
        <is>
          <t>F0134</t>
        </is>
      </c>
    </row>
    <row r="3596" ht="15.75" customHeight="1" s="108">
      <c r="A3596" s="18" t="inlineStr">
        <is>
          <t>Keith Lyle</t>
        </is>
      </c>
      <c r="B3596" s="18" t="n">
        <v>1</v>
      </c>
      <c r="C3596" s="18" t="n">
        <v>2009</v>
      </c>
      <c r="D3596" s="18" t="n">
        <v>2009</v>
      </c>
      <c r="E3596" s="18" t="inlineStr">
        <is>
          <t>The Hangover</t>
        </is>
      </c>
      <c r="F3596" s="18" t="inlineStr">
        <is>
          <t>F0134</t>
        </is>
      </c>
    </row>
    <row r="3597" ht="15.75" customHeight="1" s="108">
      <c r="A3597" s="18" t="inlineStr">
        <is>
          <t>Mike Vallely</t>
        </is>
      </c>
      <c r="B3597" s="18" t="n">
        <v>2</v>
      </c>
      <c r="C3597" s="18" t="n">
        <v>2009</v>
      </c>
      <c r="D3597" s="18" t="n">
        <v>2013</v>
      </c>
      <c r="E3597" s="18" t="inlineStr">
        <is>
          <t>The Hangover, The Hangover Part III</t>
        </is>
      </c>
      <c r="F3597" s="18" t="inlineStr">
        <is>
          <t>F0134, F0136</t>
        </is>
      </c>
    </row>
    <row r="3598" ht="15.75" customHeight="1" s="108">
      <c r="A3598" s="18" t="inlineStr">
        <is>
          <t>James Martin Kelly</t>
        </is>
      </c>
      <c r="B3598" s="18" t="n">
        <v>3</v>
      </c>
      <c r="C3598" s="18" t="n">
        <v>2009</v>
      </c>
      <c r="D3598" s="18" t="n">
        <v>2012</v>
      </c>
      <c r="E3598" s="18" t="inlineStr">
        <is>
          <t>The Hangover, Jack Reacher, Magic Mike</t>
        </is>
      </c>
      <c r="F3598" s="18" t="inlineStr">
        <is>
          <t>F0134, F0171, F0206</t>
        </is>
      </c>
    </row>
    <row r="3599" ht="15.75" customHeight="1" s="108">
      <c r="A3599" s="18" t="inlineStr">
        <is>
          <t>Murray Gershenz</t>
        </is>
      </c>
      <c r="B3599" s="18" t="n">
        <v>1</v>
      </c>
      <c r="C3599" s="18" t="n">
        <v>2009</v>
      </c>
      <c r="D3599" s="18" t="n">
        <v>2009</v>
      </c>
      <c r="E3599" s="18" t="inlineStr">
        <is>
          <t>The Hangover</t>
        </is>
      </c>
      <c r="F3599" s="18" t="inlineStr">
        <is>
          <t>F0134</t>
        </is>
      </c>
    </row>
    <row r="3600" ht="15.75" customHeight="1" s="108">
      <c r="A3600" s="18" t="inlineStr">
        <is>
          <t>Mason Lee</t>
        </is>
      </c>
      <c r="B3600" s="18" t="n">
        <v>1</v>
      </c>
      <c r="C3600" s="18" t="n">
        <v>2011</v>
      </c>
      <c r="D3600" s="18" t="n">
        <v>2011</v>
      </c>
      <c r="E3600" s="18" t="inlineStr">
        <is>
          <t>The Hangover Part II</t>
        </is>
      </c>
      <c r="F3600" s="18" t="inlineStr">
        <is>
          <t>F0135</t>
        </is>
      </c>
    </row>
    <row r="3601" ht="15.75" customHeight="1" s="108">
      <c r="A3601" s="18" t="inlineStr">
        <is>
          <t>Paul Giamatti</t>
        </is>
      </c>
      <c r="B3601" s="18" t="n">
        <v>3</v>
      </c>
      <c r="C3601" s="18" t="n">
        <v>2011</v>
      </c>
      <c r="D3601" s="18" t="n">
        <v>2015</v>
      </c>
      <c r="E3601" s="18" t="inlineStr">
        <is>
          <t>The Hangover Part II, Straight Outta Compton, amazing spider-man 2</t>
        </is>
      </c>
      <c r="F3601" s="18" t="inlineStr">
        <is>
          <t>F0135, F0301, F0363</t>
        </is>
      </c>
    </row>
    <row r="3602" ht="15.75" customHeight="1" s="108">
      <c r="A3602" s="18" t="inlineStr">
        <is>
          <t>Aroon Seeboonruang</t>
        </is>
      </c>
      <c r="B3602" s="18" t="n">
        <v>1</v>
      </c>
      <c r="C3602" s="18" t="n">
        <v>2011</v>
      </c>
      <c r="D3602" s="18" t="n">
        <v>2011</v>
      </c>
      <c r="E3602" s="18" t="inlineStr">
        <is>
          <t>The Hangover Part II</t>
        </is>
      </c>
      <c r="F3602" s="18" t="inlineStr">
        <is>
          <t>F0135</t>
        </is>
      </c>
    </row>
    <row r="3603" ht="15.75" customHeight="1" s="108">
      <c r="A3603" s="18" t="inlineStr">
        <is>
          <t>Nirut Sirijanya</t>
        </is>
      </c>
      <c r="B3603" s="18" t="n">
        <v>1</v>
      </c>
      <c r="C3603" s="18" t="n">
        <v>2011</v>
      </c>
      <c r="D3603" s="18" t="n">
        <v>2011</v>
      </c>
      <c r="E3603" s="18" t="inlineStr">
        <is>
          <t>The Hangover Part II</t>
        </is>
      </c>
      <c r="F3603" s="18" t="inlineStr">
        <is>
          <t>F0135</t>
        </is>
      </c>
    </row>
    <row r="3604" ht="15.75" customHeight="1" s="108">
      <c r="A3604" s="18" t="inlineStr">
        <is>
          <t>Yasmine Lee</t>
        </is>
      </c>
      <c r="B3604" s="18" t="n">
        <v>1</v>
      </c>
      <c r="C3604" s="18" t="n">
        <v>2011</v>
      </c>
      <c r="D3604" s="18" t="n">
        <v>2011</v>
      </c>
      <c r="E3604" s="18" t="inlineStr">
        <is>
          <t>The Hangover Part II</t>
        </is>
      </c>
      <c r="F3604" s="18" t="inlineStr">
        <is>
          <t>F0135</t>
        </is>
      </c>
    </row>
    <row r="3605" ht="15.75" customHeight="1" s="108">
      <c r="A3605" s="18" t="inlineStr">
        <is>
          <t>Nick Cassavetes</t>
        </is>
      </c>
      <c r="B3605" s="18" t="n">
        <v>1</v>
      </c>
      <c r="C3605" s="18" t="n">
        <v>2011</v>
      </c>
      <c r="D3605" s="18" t="n">
        <v>2011</v>
      </c>
      <c r="E3605" s="18" t="inlineStr">
        <is>
          <t>The Hangover Part II</t>
        </is>
      </c>
      <c r="F3605" s="18" t="inlineStr">
        <is>
          <t>F0135</t>
        </is>
      </c>
    </row>
    <row r="3606" ht="15.75" customHeight="1" s="108">
      <c r="A3606" s="18" t="inlineStr">
        <is>
          <t>Byron Gibson</t>
        </is>
      </c>
      <c r="B3606" s="18" t="n">
        <v>1</v>
      </c>
      <c r="C3606" s="18" t="n">
        <v>2011</v>
      </c>
      <c r="D3606" s="18" t="n">
        <v>2011</v>
      </c>
      <c r="E3606" s="18" t="inlineStr">
        <is>
          <t>The Hangover Part II</t>
        </is>
      </c>
      <c r="F3606" s="18" t="inlineStr">
        <is>
          <t>F0135</t>
        </is>
      </c>
    </row>
    <row r="3607" ht="15.75" customHeight="1" s="108">
      <c r="A3607" s="18" t="inlineStr">
        <is>
          <t>Michael Berry Jr.</t>
        </is>
      </c>
      <c r="B3607" s="18" t="n">
        <v>2</v>
      </c>
      <c r="C3607" s="18" t="n">
        <v>2006</v>
      </c>
      <c r="D3607" s="18" t="n">
        <v>2011</v>
      </c>
      <c r="E3607" s="18" t="inlineStr">
        <is>
          <t>The Hangover Part II, Mission: Impossible III</t>
        </is>
      </c>
      <c r="F3607" s="18" t="inlineStr">
        <is>
          <t>F0135, F0223</t>
        </is>
      </c>
    </row>
    <row r="3608" ht="15.75" customHeight="1" s="108">
      <c r="A3608" s="18" t="inlineStr">
        <is>
          <t>Andrew Howard</t>
        </is>
      </c>
      <c r="B3608" s="18" t="n">
        <v>3</v>
      </c>
      <c r="C3608" s="18" t="n">
        <v>2009</v>
      </c>
      <c r="D3608" s="18" t="n">
        <v>2020</v>
      </c>
      <c r="E3608" s="18" t="inlineStr">
        <is>
          <t>The Hangover Part II, Transformers: Revenge of the Fallen, Tenet</t>
        </is>
      </c>
      <c r="F3608" s="18" t="inlineStr">
        <is>
          <t>F0135, F0317, F0387</t>
        </is>
      </c>
    </row>
    <row r="3609" ht="15.75" customHeight="1" s="108">
      <c r="A3609" s="18" t="inlineStr">
        <is>
          <t>Danai Thiengdham</t>
        </is>
      </c>
      <c r="B3609" s="18" t="n">
        <v>1</v>
      </c>
      <c r="C3609" s="18" t="n">
        <v>2011</v>
      </c>
      <c r="D3609" s="18" t="n">
        <v>2011</v>
      </c>
      <c r="E3609" s="18" t="inlineStr">
        <is>
          <t>The Hangover Part II</t>
        </is>
      </c>
      <c r="F3609" s="18" t="inlineStr">
        <is>
          <t>F0135</t>
        </is>
      </c>
    </row>
    <row r="3610" ht="15.75" customHeight="1" s="108">
      <c r="A3610" s="18" t="inlineStr">
        <is>
          <t>Thana Srisuke</t>
        </is>
      </c>
      <c r="B3610" s="18" t="n">
        <v>1</v>
      </c>
      <c r="C3610" s="18" t="n">
        <v>2011</v>
      </c>
      <c r="D3610" s="18" t="n">
        <v>2011</v>
      </c>
      <c r="E3610" s="18" t="inlineStr">
        <is>
          <t>The Hangover Part II</t>
        </is>
      </c>
      <c r="F3610" s="18" t="inlineStr">
        <is>
          <t>F0135</t>
        </is>
      </c>
    </row>
    <row r="3611" ht="15.75" customHeight="1" s="108">
      <c r="A3611" s="18" t="inlineStr">
        <is>
          <t>Pairot Noiply</t>
        </is>
      </c>
      <c r="B3611" s="18" t="n">
        <v>1</v>
      </c>
      <c r="C3611" s="18" t="n">
        <v>2011</v>
      </c>
      <c r="D3611" s="18" t="n">
        <v>2011</v>
      </c>
      <c r="E3611" s="18" t="inlineStr">
        <is>
          <t>The Hangover Part II</t>
        </is>
      </c>
      <c r="F3611" s="18" t="inlineStr">
        <is>
          <t>F0135</t>
        </is>
      </c>
    </row>
    <row r="3612" ht="15.75" customHeight="1" s="108">
      <c r="A3612" s="18" t="inlineStr">
        <is>
          <t>Penpak Sirikul</t>
        </is>
      </c>
      <c r="B3612" s="18" t="n">
        <v>1</v>
      </c>
      <c r="C3612" s="18" t="n">
        <v>2011</v>
      </c>
      <c r="D3612" s="18" t="n">
        <v>2011</v>
      </c>
      <c r="E3612" s="18" t="inlineStr">
        <is>
          <t>The Hangover Part II</t>
        </is>
      </c>
      <c r="F3612" s="18" t="inlineStr">
        <is>
          <t>F0135</t>
        </is>
      </c>
    </row>
    <row r="3613" ht="15.75" customHeight="1" s="108">
      <c r="A3613" s="18" t="inlineStr">
        <is>
          <t>Sanita Jai-Ua</t>
        </is>
      </c>
      <c r="B3613" s="18" t="n">
        <v>1</v>
      </c>
      <c r="C3613" s="18" t="n">
        <v>2011</v>
      </c>
      <c r="D3613" s="18" t="n">
        <v>2011</v>
      </c>
      <c r="E3613" s="18" t="inlineStr">
        <is>
          <t>The Hangover Part II</t>
        </is>
      </c>
      <c r="F3613" s="18" t="inlineStr">
        <is>
          <t>F0135</t>
        </is>
      </c>
    </row>
    <row r="3614" ht="15.75" customHeight="1" s="108">
      <c r="A3614" s="18" t="inlineStr">
        <is>
          <t>Chanicha Shindejanichakul</t>
        </is>
      </c>
      <c r="B3614" s="18" t="n">
        <v>1</v>
      </c>
      <c r="C3614" s="18" t="n">
        <v>2011</v>
      </c>
      <c r="D3614" s="18" t="n">
        <v>2011</v>
      </c>
      <c r="E3614" s="18" t="inlineStr">
        <is>
          <t>The Hangover Part II</t>
        </is>
      </c>
      <c r="F3614" s="18" t="inlineStr">
        <is>
          <t>F0135</t>
        </is>
      </c>
    </row>
    <row r="3615" ht="15.75" customHeight="1" s="108">
      <c r="A3615" s="18" t="inlineStr">
        <is>
          <t>Vithaya Pansringarm</t>
        </is>
      </c>
      <c r="B3615" s="18" t="n">
        <v>1</v>
      </c>
      <c r="C3615" s="18" t="n">
        <v>2011</v>
      </c>
      <c r="D3615" s="18" t="n">
        <v>2011</v>
      </c>
      <c r="E3615" s="18" t="inlineStr">
        <is>
          <t>The Hangover Part II</t>
        </is>
      </c>
      <c r="F3615" s="18" t="inlineStr">
        <is>
          <t>F0135</t>
        </is>
      </c>
    </row>
    <row r="3616" ht="15.75" customHeight="1" s="108">
      <c r="A3616" s="18" t="inlineStr">
        <is>
          <t>Kim Lee</t>
        </is>
      </c>
      <c r="B3616" s="18" t="n">
        <v>1</v>
      </c>
      <c r="C3616" s="18" t="n">
        <v>2011</v>
      </c>
      <c r="D3616" s="18" t="n">
        <v>2011</v>
      </c>
      <c r="E3616" s="18" t="inlineStr">
        <is>
          <t>The Hangover Part II</t>
        </is>
      </c>
      <c r="F3616" s="18" t="inlineStr">
        <is>
          <t>F0135</t>
        </is>
      </c>
    </row>
    <row r="3617" ht="15.75" customHeight="1" s="108">
      <c r="A3617" s="18" t="inlineStr">
        <is>
          <t>Oliver Cooper</t>
        </is>
      </c>
      <c r="B3617" s="18" t="n">
        <v>1</v>
      </c>
      <c r="C3617" s="18" t="n">
        <v>2013</v>
      </c>
      <c r="D3617" s="18" t="n">
        <v>2013</v>
      </c>
      <c r="E3617" s="18" t="inlineStr">
        <is>
          <t>The Hangover Part III</t>
        </is>
      </c>
      <c r="F3617" s="18" t="inlineStr">
        <is>
          <t>F0136</t>
        </is>
      </c>
    </row>
    <row r="3618" ht="15.75" customHeight="1" s="108">
      <c r="A3618" s="18" t="inlineStr">
        <is>
          <t>Grant Holmquist</t>
        </is>
      </c>
      <c r="B3618" s="18" t="n">
        <v>1</v>
      </c>
      <c r="C3618" s="18" t="n">
        <v>2013</v>
      </c>
      <c r="D3618" s="18" t="n">
        <v>2013</v>
      </c>
      <c r="E3618" s="18" t="inlineStr">
        <is>
          <t>The Hangover Part III</t>
        </is>
      </c>
      <c r="F3618" s="18" t="inlineStr">
        <is>
          <t>F0136</t>
        </is>
      </c>
    </row>
    <row r="3619" ht="15.75" customHeight="1" s="108">
      <c r="A3619" s="18" t="inlineStr">
        <is>
          <t>Oscar Torre</t>
        </is>
      </c>
      <c r="B3619" s="18" t="n">
        <v>1</v>
      </c>
      <c r="C3619" s="18" t="n">
        <v>2013</v>
      </c>
      <c r="D3619" s="18" t="n">
        <v>2013</v>
      </c>
      <c r="E3619" s="18" t="inlineStr">
        <is>
          <t>The Hangover Part III</t>
        </is>
      </c>
      <c r="F3619" s="18" t="inlineStr">
        <is>
          <t>F0136</t>
        </is>
      </c>
    </row>
    <row r="3620" ht="15.75" customHeight="1" s="108">
      <c r="A3620" s="18" t="inlineStr">
        <is>
          <t>Jonny Coyne</t>
        </is>
      </c>
      <c r="B3620" s="18" t="n">
        <v>1</v>
      </c>
      <c r="C3620" s="18" t="n">
        <v>2013</v>
      </c>
      <c r="D3620" s="18" t="n">
        <v>2013</v>
      </c>
      <c r="E3620" s="18" t="inlineStr">
        <is>
          <t>The Hangover Part III</t>
        </is>
      </c>
      <c r="F3620" s="18" t="inlineStr">
        <is>
          <t>F0136</t>
        </is>
      </c>
    </row>
    <row r="3621" ht="15.75" customHeight="1" s="108">
      <c r="A3621" s="18" t="inlineStr">
        <is>
          <t>Silvia Curiel</t>
        </is>
      </c>
      <c r="B3621" s="18" t="n">
        <v>1</v>
      </c>
      <c r="C3621" s="18" t="n">
        <v>2013</v>
      </c>
      <c r="D3621" s="18" t="n">
        <v>2013</v>
      </c>
      <c r="E3621" s="18" t="inlineStr">
        <is>
          <t>The Hangover Part III</t>
        </is>
      </c>
      <c r="F3621" s="18" t="inlineStr">
        <is>
          <t>F0136</t>
        </is>
      </c>
    </row>
    <row r="3622" ht="15.75" customHeight="1" s="108">
      <c r="A3622" s="18" t="inlineStr">
        <is>
          <t>Betty Murphy</t>
        </is>
      </c>
      <c r="B3622" s="18" t="n">
        <v>1</v>
      </c>
      <c r="C3622" s="18" t="n">
        <v>2013</v>
      </c>
      <c r="D3622" s="18" t="n">
        <v>2013</v>
      </c>
      <c r="E3622" s="18" t="inlineStr">
        <is>
          <t>The Hangover Part III</t>
        </is>
      </c>
      <c r="F3622" s="18" t="inlineStr">
        <is>
          <t>F0136</t>
        </is>
      </c>
    </row>
    <row r="3623" ht="15.75" customHeight="1" s="108">
      <c r="A3623" s="18" t="inlineStr">
        <is>
          <t>Jim Lau</t>
        </is>
      </c>
      <c r="B3623" s="18" t="n">
        <v>1</v>
      </c>
      <c r="C3623" s="18" t="n">
        <v>2013</v>
      </c>
      <c r="D3623" s="18" t="n">
        <v>2013</v>
      </c>
      <c r="E3623" s="18" t="inlineStr">
        <is>
          <t>The Hangover Part III</t>
        </is>
      </c>
      <c r="F3623" s="18" t="inlineStr">
        <is>
          <t>F0136</t>
        </is>
      </c>
    </row>
    <row r="3624" ht="15.75" customHeight="1" s="108">
      <c r="A3624" s="18" t="inlineStr">
        <is>
          <t>Lela Loren</t>
        </is>
      </c>
      <c r="B3624" s="18" t="n">
        <v>1</v>
      </c>
      <c r="C3624" s="18" t="n">
        <v>2013</v>
      </c>
      <c r="D3624" s="18" t="n">
        <v>2013</v>
      </c>
      <c r="E3624" s="18" t="inlineStr">
        <is>
          <t>The Hangover Part III</t>
        </is>
      </c>
      <c r="F3624" s="18" t="inlineStr">
        <is>
          <t>F0136</t>
        </is>
      </c>
    </row>
    <row r="3625" ht="15.75" customHeight="1" s="108">
      <c r="A3625" s="18" t="inlineStr">
        <is>
          <t>Harrison Forsyth</t>
        </is>
      </c>
      <c r="B3625" s="18" t="n">
        <v>1</v>
      </c>
      <c r="C3625" s="18" t="n">
        <v>2013</v>
      </c>
      <c r="D3625" s="18" t="n">
        <v>2013</v>
      </c>
      <c r="E3625" s="18" t="inlineStr">
        <is>
          <t>The Hangover Part III</t>
        </is>
      </c>
      <c r="F3625" s="18" t="inlineStr">
        <is>
          <t>F0136</t>
        </is>
      </c>
    </row>
    <row r="3626" ht="15.75" customHeight="1" s="108">
      <c r="A3626" s="18" t="inlineStr">
        <is>
          <t>Scott Anthony Leet</t>
        </is>
      </c>
      <c r="B3626" s="18" t="n">
        <v>1</v>
      </c>
      <c r="C3626" s="18" t="n">
        <v>2013</v>
      </c>
      <c r="D3626" s="18" t="n">
        <v>2013</v>
      </c>
      <c r="E3626" s="18" t="inlineStr">
        <is>
          <t>The Hangover Part III</t>
        </is>
      </c>
      <c r="F3626" s="18" t="inlineStr">
        <is>
          <t>F0136</t>
        </is>
      </c>
    </row>
    <row r="3627" ht="15.75" customHeight="1" s="108">
      <c r="A3627" s="18" t="inlineStr">
        <is>
          <t>Tim Sitarz</t>
        </is>
      </c>
      <c r="B3627" s="18" t="n">
        <v>1</v>
      </c>
      <c r="C3627" s="18" t="n">
        <v>2013</v>
      </c>
      <c r="D3627" s="18" t="n">
        <v>2013</v>
      </c>
      <c r="E3627" s="18" t="inlineStr">
        <is>
          <t>The Hangover Part III</t>
        </is>
      </c>
      <c r="F3627" s="18" t="inlineStr">
        <is>
          <t>F0136</t>
        </is>
      </c>
    </row>
    <row r="3628" ht="15.75" customHeight="1" s="108">
      <c r="A3628" s="18" t="inlineStr">
        <is>
          <t>Roger Schueller</t>
        </is>
      </c>
      <c r="B3628" s="18" t="n">
        <v>1</v>
      </c>
      <c r="C3628" s="18" t="n">
        <v>2013</v>
      </c>
      <c r="D3628" s="18" t="n">
        <v>2013</v>
      </c>
      <c r="E3628" s="18" t="inlineStr">
        <is>
          <t>The Hangover Part III</t>
        </is>
      </c>
      <c r="F3628" s="18" t="inlineStr">
        <is>
          <t>F0136</t>
        </is>
      </c>
    </row>
    <row r="3629" ht="15.75" customHeight="1" s="108">
      <c r="A3629" s="18" t="inlineStr">
        <is>
          <t>Jenny Ladner</t>
        </is>
      </c>
      <c r="B3629" s="18" t="n">
        <v>1</v>
      </c>
      <c r="C3629" s="18" t="n">
        <v>2013</v>
      </c>
      <c r="D3629" s="18" t="n">
        <v>2013</v>
      </c>
      <c r="E3629" s="18" t="inlineStr">
        <is>
          <t>The Hangover Part III</t>
        </is>
      </c>
      <c r="F3629" s="18" t="inlineStr">
        <is>
          <t>F0136</t>
        </is>
      </c>
    </row>
    <row r="3630" ht="15.75" customHeight="1" s="108">
      <c r="A3630" s="18" t="inlineStr">
        <is>
          <t>Max Aronoff-Sher</t>
        </is>
      </c>
      <c r="B3630" s="18" t="n">
        <v>1</v>
      </c>
      <c r="C3630" s="18" t="n">
        <v>2013</v>
      </c>
      <c r="D3630" s="18" t="n">
        <v>2013</v>
      </c>
      <c r="E3630" s="18" t="inlineStr">
        <is>
          <t>The Hangover Part III</t>
        </is>
      </c>
      <c r="F3630" s="18" t="inlineStr">
        <is>
          <t>F0136</t>
        </is>
      </c>
    </row>
    <row r="3631" ht="15.75" customHeight="1" s="108">
      <c r="A3631" s="18" t="inlineStr">
        <is>
          <t>Emma Wetzel</t>
        </is>
      </c>
      <c r="B3631" s="18" t="n">
        <v>1</v>
      </c>
      <c r="C3631" s="18" t="n">
        <v>2013</v>
      </c>
      <c r="D3631" s="18" t="n">
        <v>2013</v>
      </c>
      <c r="E3631" s="18" t="inlineStr">
        <is>
          <t>The Hangover Part III</t>
        </is>
      </c>
      <c r="F3631" s="18" t="inlineStr">
        <is>
          <t>F0136</t>
        </is>
      </c>
    </row>
    <row r="3632" ht="15.75" customHeight="1" s="108">
      <c r="A3632" s="18" t="inlineStr">
        <is>
          <t>Maggie Smith</t>
        </is>
      </c>
      <c r="B3632" s="18" t="n">
        <v>7</v>
      </c>
      <c r="C3632" s="18" t="n">
        <v>2001</v>
      </c>
      <c r="D3632" s="18" t="n">
        <v>2011</v>
      </c>
      <c r="E3632" s="18" t="inlineStr">
        <is>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2</t>
        </is>
      </c>
      <c r="F3632" s="18" t="inlineStr">
        <is>
          <t>F0137, F0138, F0139, F0140, F0141, F0142, F0144</t>
        </is>
      </c>
    </row>
    <row r="3633" ht="15.75" customHeight="1" s="108">
      <c r="A3633" s="18" t="inlineStr">
        <is>
          <t>Richard Griffiths</t>
        </is>
      </c>
      <c r="B3633" s="18" t="n">
        <v>6</v>
      </c>
      <c r="C3633" s="18" t="n">
        <v>2001</v>
      </c>
      <c r="D3633" s="18" t="n">
        <v>2011</v>
      </c>
      <c r="E3633" s="18" t="inlineStr">
        <is>
          <t>Harry Potter and the Philosopher's Stone, Harry Potter and the Chamber of Secrets, Harry Potter and the Prisoner of Azkaban, Harry Potter and the Order of the Phoenix, Harry Potter and the Deathly Hallows: Part 1, Pirates of the Caribbean: On Stranger Tides</t>
        </is>
      </c>
      <c r="F3633" s="18" t="inlineStr">
        <is>
          <t>F0137, F0138, F0139, F0141, F0143, F0249</t>
        </is>
      </c>
    </row>
    <row r="3634" ht="15.75" customHeight="1" s="108">
      <c r="A3634" s="18" t="inlineStr">
        <is>
          <t>Fiona Shaw</t>
        </is>
      </c>
      <c r="B3634" s="18" t="n">
        <v>5</v>
      </c>
      <c r="C3634" s="18" t="n">
        <v>2001</v>
      </c>
      <c r="D3634" s="18" t="n">
        <v>2010</v>
      </c>
      <c r="E3634" s="18" t="inlineStr">
        <is>
          <t>Harry Potter and the Philosopher's Stone, Harry Potter and the Chamber of Secrets, Harry Potter and the Prisoner of Azkaban, Harry Potter and the Order of the Phoenix, Harry Potter and the Deathly Hallows: Part 1</t>
        </is>
      </c>
      <c r="F3634" s="18" t="inlineStr">
        <is>
          <t>F0137, F0138, F0139, F0141, F0143</t>
        </is>
      </c>
    </row>
    <row r="3635" ht="15.75" customHeight="1" s="108">
      <c r="A3635" s="18" t="inlineStr">
        <is>
          <t>Matthew Lewis</t>
        </is>
      </c>
      <c r="B3635" s="18" t="n">
        <v>2</v>
      </c>
      <c r="C3635" s="18" t="n">
        <v>2001</v>
      </c>
      <c r="D3635" s="18" t="n">
        <v>2011</v>
      </c>
      <c r="E3635" s="18" t="inlineStr">
        <is>
          <t>Harry Potter and the Philosopher's Stone, Harry Potter and the Deathly Hallows: Part 2</t>
        </is>
      </c>
      <c r="F3635" s="18" t="inlineStr">
        <is>
          <t>F0137, F0144</t>
        </is>
      </c>
    </row>
    <row r="3636" ht="15.75" customHeight="1" s="108">
      <c r="A3636" s="18" t="inlineStr">
        <is>
          <t>Sean Biggerstaff</t>
        </is>
      </c>
      <c r="B3636" s="18" t="n">
        <v>2</v>
      </c>
      <c r="C3636" s="18" t="n">
        <v>2001</v>
      </c>
      <c r="D3636" s="18" t="n">
        <v>2002</v>
      </c>
      <c r="E3636" s="18" t="inlineStr">
        <is>
          <t>Harry Potter and the Philosopher's Stone, Harry Potter and the Chamber of Secrets</t>
        </is>
      </c>
      <c r="F3636" s="18" t="inlineStr">
        <is>
          <t>F0137, F0138</t>
        </is>
      </c>
    </row>
    <row r="3637" ht="15.75" customHeight="1" s="108">
      <c r="A3637" s="18" t="inlineStr">
        <is>
          <t>Warwick Davis</t>
        </is>
      </c>
      <c r="B3637" s="18" t="n">
        <v>11</v>
      </c>
      <c r="C3637" s="18" t="n">
        <v>1983</v>
      </c>
      <c r="D3637" s="18" t="n">
        <v>2018</v>
      </c>
      <c r="E3637" s="18" t="inlineStr">
        <is>
          <t>Harry Potter and the Philosopher's Stone, Harry Potter and the Chamber of Secrets, Harry Potter and the Goblet of Fire, Harry Potter and the Order of the Phoenix, Harry Potter and the Half-Blood Prince, Harry Potter and the Deathly Hallows: Part 1, Harry Potter and the Deathly Hallows: Part 2, Star Wars: Episode I – The Phantom Menace, Star Wars: Episode VI – Return of the Jedi, Star Wars: The Force Awakens, Solo a star wars story</t>
        </is>
      </c>
      <c r="F3637" s="18" t="inlineStr">
        <is>
          <t>F0137, F0138, F0140, F0141, F0142, F0143, F0144, F0292, F0297, F0298, F0386</t>
        </is>
      </c>
    </row>
    <row r="3638" ht="15.75" customHeight="1" s="108">
      <c r="A3638" s="18" t="inlineStr">
        <is>
          <t>Harry Melling</t>
        </is>
      </c>
      <c r="B3638" s="18" t="n">
        <v>4</v>
      </c>
      <c r="C3638" s="18" t="n">
        <v>2001</v>
      </c>
      <c r="D3638" s="18" t="n">
        <v>2007</v>
      </c>
      <c r="E3638" s="18" t="inlineStr">
        <is>
          <t>Harry Potter and the Philosopher's Stone, Harry Potter and the Chamber of Secrets, Harry Potter and the Prisoner of Azkaban, Harry Potter and the Order of the Phoenix</t>
        </is>
      </c>
      <c r="F3638" s="18" t="inlineStr">
        <is>
          <t>F0137, F0138, F0139, F0141</t>
        </is>
      </c>
    </row>
    <row r="3639" ht="15.75" customHeight="1" s="108">
      <c r="A3639" s="18" t="inlineStr">
        <is>
          <t>James Phelps</t>
        </is>
      </c>
      <c r="B3639" s="18" t="n">
        <v>5</v>
      </c>
      <c r="C3639" s="18" t="n">
        <v>2001</v>
      </c>
      <c r="D3639" s="18" t="n">
        <v>2011</v>
      </c>
      <c r="E3639" s="18" t="inlineStr">
        <is>
          <t>Harry Potter and the Philosopher's Stone, Harry Potter and the Chamber of Secrets, Harry Potter and the Goblet of Fire, Harry Potter and the Half-Blood Prince, Harry Potter and the Deathly Hallows: Part 2</t>
        </is>
      </c>
      <c r="F3639" s="18" t="inlineStr">
        <is>
          <t>F0137, F0138, F0140, F0142, F0144</t>
        </is>
      </c>
    </row>
    <row r="3640" ht="15.75" customHeight="1" s="108">
      <c r="A3640" s="18" t="inlineStr">
        <is>
          <t>Oliver Phelps</t>
        </is>
      </c>
      <c r="B3640" s="18" t="n">
        <v>6</v>
      </c>
      <c r="C3640" s="18" t="n">
        <v>2001</v>
      </c>
      <c r="D3640" s="18" t="n">
        <v>2011</v>
      </c>
      <c r="E3640" s="18" t="inlineStr">
        <is>
          <t>Harry Potter and the Philosopher's Stone, Harry Potter and the Chamber of Secrets, Harry Potter and the Prisoner of Azkaban, Harry Potter and the Goblet of Fire, Harry Potter and the Half-Blood Prince, Harry Potter and the Deathly Hallows: Part 2</t>
        </is>
      </c>
      <c r="F3640" s="18" t="inlineStr">
        <is>
          <t>F0137, F0138, F0139, F0140, F0142, F0144</t>
        </is>
      </c>
    </row>
    <row r="3641" ht="15.75" customHeight="1" s="108">
      <c r="A3641" s="18" t="inlineStr">
        <is>
          <t>John Cleese</t>
        </is>
      </c>
      <c r="B3641" s="18" t="n">
        <v>2</v>
      </c>
      <c r="C3641" s="18" t="n">
        <v>2001</v>
      </c>
      <c r="D3641" s="18" t="n">
        <v>2002</v>
      </c>
      <c r="E3641" s="18" t="inlineStr">
        <is>
          <t>Harry Potter and the Philosopher's Stone, Harry Potter and the Chamber of Secrets</t>
        </is>
      </c>
      <c r="F3641" s="18" t="inlineStr">
        <is>
          <t>F0137, F0138</t>
        </is>
      </c>
    </row>
    <row r="3642" ht="15.75" customHeight="1" s="108">
      <c r="A3642" s="18" t="inlineStr">
        <is>
          <t>Chris Rankin</t>
        </is>
      </c>
      <c r="B3642" s="18" t="n">
        <v>2</v>
      </c>
      <c r="C3642" s="18" t="n">
        <v>2001</v>
      </c>
      <c r="D3642" s="18" t="n">
        <v>2002</v>
      </c>
      <c r="E3642" s="18" t="inlineStr">
        <is>
          <t>Harry Potter and the Philosopher's Stone, Harry Potter and the Chamber of Secrets</t>
        </is>
      </c>
      <c r="F3642" s="18" t="inlineStr">
        <is>
          <t>F0137, F0138</t>
        </is>
      </c>
    </row>
    <row r="3643" ht="15.75" customHeight="1" s="108">
      <c r="A3643" s="18" t="inlineStr">
        <is>
          <t>Alfred Enoch</t>
        </is>
      </c>
      <c r="B3643" s="18" t="n">
        <v>2</v>
      </c>
      <c r="C3643" s="18" t="n">
        <v>2001</v>
      </c>
      <c r="D3643" s="18" t="n">
        <v>2009</v>
      </c>
      <c r="E3643" s="18" t="inlineStr">
        <is>
          <t>Harry Potter and the Philosopher's Stone, Harry Potter and the Half-Blood Prince</t>
        </is>
      </c>
      <c r="F3643" s="18" t="inlineStr">
        <is>
          <t>F0137, F0142</t>
        </is>
      </c>
    </row>
    <row r="3644" ht="15.75" customHeight="1" s="108">
      <c r="A3644" s="18" t="inlineStr">
        <is>
          <t>Devon Murray</t>
        </is>
      </c>
      <c r="B3644" s="18" t="n">
        <v>1</v>
      </c>
      <c r="C3644" s="18" t="n">
        <v>2001</v>
      </c>
      <c r="D3644" s="18" t="n">
        <v>2001</v>
      </c>
      <c r="E3644" s="18" t="inlineStr">
        <is>
          <t>Harry Potter and the Philosopher's Stone</t>
        </is>
      </c>
      <c r="F3644" s="18" t="inlineStr">
        <is>
          <t>F0137</t>
        </is>
      </c>
    </row>
    <row r="3645" ht="15.75" customHeight="1" s="108">
      <c r="A3645" s="18" t="inlineStr">
        <is>
          <t>Jamie Waylett</t>
        </is>
      </c>
      <c r="B3645" s="18" t="n">
        <v>2</v>
      </c>
      <c r="C3645" s="18" t="n">
        <v>2001</v>
      </c>
      <c r="D3645" s="18" t="n">
        <v>2002</v>
      </c>
      <c r="E3645" s="18" t="inlineStr">
        <is>
          <t>Harry Potter and the Philosopher's Stone, Harry Potter and the Chamber of Secrets</t>
        </is>
      </c>
      <c r="F3645" s="18" t="inlineStr">
        <is>
          <t>F0137, F0138</t>
        </is>
      </c>
    </row>
    <row r="3646" ht="15.75" customHeight="1" s="108">
      <c r="A3646" s="18" t="inlineStr">
        <is>
          <t>Josh Herdman</t>
        </is>
      </c>
      <c r="B3646" s="18" t="n">
        <v>2</v>
      </c>
      <c r="C3646" s="18" t="n">
        <v>2001</v>
      </c>
      <c r="D3646" s="18" t="n">
        <v>2002</v>
      </c>
      <c r="E3646" s="18" t="inlineStr">
        <is>
          <t>Harry Potter and the Philosopher's Stone, Harry Potter and the Chamber of Secrets</t>
        </is>
      </c>
      <c r="F3646" s="18" t="inlineStr">
        <is>
          <t>F0137, F0138</t>
        </is>
      </c>
    </row>
    <row r="3647" ht="15.75" customHeight="1" s="108">
      <c r="A3647" s="18" t="inlineStr">
        <is>
          <t>Zoë Wanamaker</t>
        </is>
      </c>
      <c r="B3647" s="18" t="n">
        <v>1</v>
      </c>
      <c r="C3647" s="18" t="n">
        <v>2001</v>
      </c>
      <c r="D3647" s="18" t="n">
        <v>2001</v>
      </c>
      <c r="E3647" s="18" t="inlineStr">
        <is>
          <t>Harry Potter and the Philosopher's Stone</t>
        </is>
      </c>
      <c r="F3647" s="18" t="inlineStr">
        <is>
          <t>F0137</t>
        </is>
      </c>
    </row>
    <row r="3648" ht="15.75" customHeight="1" s="108">
      <c r="A3648" s="18" t="inlineStr">
        <is>
          <t>Julie Walters</t>
        </is>
      </c>
      <c r="B3648" s="18" t="n">
        <v>9</v>
      </c>
      <c r="C3648" s="18" t="n">
        <v>2001</v>
      </c>
      <c r="D3648" s="18" t="n">
        <v>2014</v>
      </c>
      <c r="E3648" s="18" t="inlineStr">
        <is>
          <t>Harry Potter and the Philosopher's Stone, Harry Potter and the Chamber of Secrets, Harry Potter and the Prisoner of Azkaban, Harry Potter and the Order of the Phoenix, Harry Potter and the Half-Blood Prince, Harry Potter and the Deathly Hallows: Part 1, Harry Potter and the Deathly Hallows: Part 2, Mamma Mia!, Paddington</t>
        </is>
      </c>
      <c r="F3648" s="18" t="inlineStr">
        <is>
          <t>F0137, F0138, F0139, F0141, F0142, F0143, F0144, F0209, F0244</t>
        </is>
      </c>
    </row>
    <row r="3649" ht="15.75" customHeight="1" s="108">
      <c r="A3649" s="18" t="inlineStr">
        <is>
          <t>Bonnie Wright</t>
        </is>
      </c>
      <c r="B3649" s="18" t="n">
        <v>4</v>
      </c>
      <c r="C3649" s="18" t="n">
        <v>2001</v>
      </c>
      <c r="D3649" s="18" t="n">
        <v>2009</v>
      </c>
      <c r="E3649" s="18" t="inlineStr">
        <is>
          <t>Harry Potter and the Philosopher's Stone, Harry Potter and the Chamber of Secrets, Harry Potter and the Goblet of Fire, Harry Potter and the Half-Blood Prince</t>
        </is>
      </c>
      <c r="F3649" s="18" t="inlineStr">
        <is>
          <t>F0137, F0138, F0140, F0142</t>
        </is>
      </c>
    </row>
    <row r="3650" ht="15.75" customHeight="1" s="108">
      <c r="A3650" s="18" t="inlineStr">
        <is>
          <t>Luke Youngblood</t>
        </is>
      </c>
      <c r="B3650" s="18" t="n">
        <v>1</v>
      </c>
      <c r="C3650" s="18" t="n">
        <v>2001</v>
      </c>
      <c r="D3650" s="18" t="n">
        <v>2001</v>
      </c>
      <c r="E3650" s="18" t="inlineStr">
        <is>
          <t>Harry Potter and the Philosopher's Stone</t>
        </is>
      </c>
      <c r="F3650" s="18" t="inlineStr">
        <is>
          <t>F0137</t>
        </is>
      </c>
    </row>
    <row r="3651" ht="15.75" customHeight="1" s="108">
      <c r="A3651" s="18" t="inlineStr">
        <is>
          <t>Verne Troyer</t>
        </is>
      </c>
      <c r="B3651" s="18" t="n">
        <v>1</v>
      </c>
      <c r="C3651" s="18" t="n">
        <v>2001</v>
      </c>
      <c r="D3651" s="18" t="n">
        <v>2001</v>
      </c>
      <c r="E3651" s="18" t="inlineStr">
        <is>
          <t>Harry Potter and the Philosopher's Stone</t>
        </is>
      </c>
      <c r="F3651" s="18" t="inlineStr">
        <is>
          <t>F0137</t>
        </is>
      </c>
    </row>
    <row r="3652" ht="15.75" customHeight="1" s="108">
      <c r="A3652" s="18" t="inlineStr">
        <is>
          <t>Shirley Henderson</t>
        </is>
      </c>
      <c r="B3652" s="18" t="n">
        <v>3</v>
      </c>
      <c r="C3652" s="18" t="n">
        <v>2002</v>
      </c>
      <c r="D3652" s="18" t="n">
        <v>2019</v>
      </c>
      <c r="E3652" s="18" t="inlineStr">
        <is>
          <t>Harry Potter and the Chamber of Secrets, Harry Potter and the Goblet of Fire, Star Wars: The Rise of Skywalker</t>
        </is>
      </c>
      <c r="F3652" s="18" t="inlineStr">
        <is>
          <t>F0138, F0140, F0300</t>
        </is>
      </c>
    </row>
    <row r="3653" ht="15.75" customHeight="1" s="108">
      <c r="A3653" s="18" t="inlineStr">
        <is>
          <t>Robert Hardy</t>
        </is>
      </c>
      <c r="B3653" s="18" t="n">
        <v>4</v>
      </c>
      <c r="C3653" s="18" t="n">
        <v>2002</v>
      </c>
      <c r="D3653" s="18" t="n">
        <v>2007</v>
      </c>
      <c r="E3653" s="18" t="inlineStr">
        <is>
          <t>Harry Potter and the Chamber of Secrets, Harry Potter and the Prisoner of Azkaban, Harry Potter and the Goblet of Fire, Harry Potter and the Order of the Phoenix</t>
        </is>
      </c>
      <c r="F3653" s="18" t="inlineStr">
        <is>
          <t>F0138, F0139, F0140, F0141</t>
        </is>
      </c>
    </row>
    <row r="3654" ht="15.75" customHeight="1" s="108">
      <c r="A3654" s="18" t="inlineStr">
        <is>
          <t>Miriam Margolyes</t>
        </is>
      </c>
      <c r="B3654" s="18" t="n">
        <v>2</v>
      </c>
      <c r="C3654" s="18" t="n">
        <v>2002</v>
      </c>
      <c r="D3654" s="18" t="n">
        <v>2011</v>
      </c>
      <c r="E3654" s="18" t="inlineStr">
        <is>
          <t>Harry Potter and the Chamber of Secrets, Harry Potter and the Deathly Hallows: Part 2</t>
        </is>
      </c>
      <c r="F3654" s="18" t="inlineStr">
        <is>
          <t>F0138, F0144</t>
        </is>
      </c>
    </row>
    <row r="3655" ht="15.75" customHeight="1" s="108">
      <c r="A3655" s="18" t="inlineStr">
        <is>
          <t>Mark Williams</t>
        </is>
      </c>
      <c r="B3655" s="18" t="n">
        <v>5</v>
      </c>
      <c r="C3655" s="18" t="n">
        <v>2002</v>
      </c>
      <c r="D3655" s="18" t="n">
        <v>2009</v>
      </c>
      <c r="E3655" s="18" t="inlineStr">
        <is>
          <t>Harry Potter and the Chamber of Secrets, Harry Potter and the Prisoner of Azkaban, Harry Potter and the Goblet of Fire, Harry Potter and the Order of the Phoenix, Harry Potter and the Half-Blood Prince</t>
        </is>
      </c>
      <c r="F3655" s="18" t="inlineStr">
        <is>
          <t>F0138, F0139, F0140, F0141, F0142</t>
        </is>
      </c>
    </row>
    <row r="3656" ht="15.75" customHeight="1" s="108">
      <c r="A3656" s="18" t="inlineStr">
        <is>
          <t>Pam Ferris</t>
        </is>
      </c>
      <c r="B3656" s="18" t="n">
        <v>1</v>
      </c>
      <c r="C3656" s="18" t="n">
        <v>2004</v>
      </c>
      <c r="D3656" s="18" t="n">
        <v>2004</v>
      </c>
      <c r="E3656" s="18" t="inlineStr">
        <is>
          <t>Harry Potter and the Prisoner of Azkaban</t>
        </is>
      </c>
      <c r="F3656" s="18" t="inlineStr">
        <is>
          <t>F0139</t>
        </is>
      </c>
    </row>
    <row r="3657" ht="15.75" customHeight="1" s="108">
      <c r="A3657" s="18" t="inlineStr">
        <is>
          <t>Dawn French</t>
        </is>
      </c>
      <c r="B3657" s="18" t="n">
        <v>1</v>
      </c>
      <c r="C3657" s="18" t="n">
        <v>2004</v>
      </c>
      <c r="D3657" s="18" t="n">
        <v>2004</v>
      </c>
      <c r="E3657" s="18" t="inlineStr">
        <is>
          <t>Harry Potter and the Prisoner of Azkaban</t>
        </is>
      </c>
      <c r="F3657" s="18" t="inlineStr">
        <is>
          <t>F0139</t>
        </is>
      </c>
    </row>
    <row r="3658" ht="15.75" customHeight="1" s="108">
      <c r="A3658" s="18" t="inlineStr">
        <is>
          <t>Julie Christie</t>
        </is>
      </c>
      <c r="B3658" s="18" t="n">
        <v>1</v>
      </c>
      <c r="C3658" s="18" t="n">
        <v>2004</v>
      </c>
      <c r="D3658" s="18" t="n">
        <v>2004</v>
      </c>
      <c r="E3658" s="18" t="inlineStr">
        <is>
          <t>Harry Potter and the Prisoner of Azkaban</t>
        </is>
      </c>
      <c r="F3658" s="18" t="inlineStr">
        <is>
          <t>F0139</t>
        </is>
      </c>
    </row>
    <row r="3659" ht="15.75" customHeight="1" s="108">
      <c r="A3659" s="18" t="inlineStr">
        <is>
          <t>Adrian Rawlins</t>
        </is>
      </c>
      <c r="B3659" s="18" t="n">
        <v>1</v>
      </c>
      <c r="C3659" s="18" t="n">
        <v>2004</v>
      </c>
      <c r="D3659" s="18" t="n">
        <v>2004</v>
      </c>
      <c r="E3659" s="18" t="inlineStr">
        <is>
          <t>Harry Potter and the Prisoner of Azkaban</t>
        </is>
      </c>
      <c r="F3659" s="18" t="inlineStr">
        <is>
          <t>F0139</t>
        </is>
      </c>
    </row>
    <row r="3660" ht="15.75" customHeight="1" s="108">
      <c r="A3660" s="18" t="inlineStr">
        <is>
          <t>Lee Ingleby</t>
        </is>
      </c>
      <c r="B3660" s="18" t="n">
        <v>1</v>
      </c>
      <c r="C3660" s="18" t="n">
        <v>2004</v>
      </c>
      <c r="D3660" s="18" t="n">
        <v>2004</v>
      </c>
      <c r="E3660" s="18" t="inlineStr">
        <is>
          <t>Harry Potter and the Prisoner of Azkaban</t>
        </is>
      </c>
      <c r="F3660" s="18" t="inlineStr">
        <is>
          <t>F0139</t>
        </is>
      </c>
    </row>
    <row r="3661" ht="15.75" customHeight="1" s="108">
      <c r="A3661" s="18" t="inlineStr">
        <is>
          <t>Lenny Henry</t>
        </is>
      </c>
      <c r="B3661" s="18" t="n">
        <v>1</v>
      </c>
      <c r="C3661" s="18" t="n">
        <v>2004</v>
      </c>
      <c r="D3661" s="18" t="n">
        <v>2004</v>
      </c>
      <c r="E3661" s="18" t="inlineStr">
        <is>
          <t>Harry Potter and the Prisoner of Azkaban</t>
        </is>
      </c>
      <c r="F3661" s="18" t="inlineStr">
        <is>
          <t>F0139</t>
        </is>
      </c>
    </row>
    <row r="3662" ht="15.75" customHeight="1" s="108">
      <c r="A3662" s="18" t="inlineStr">
        <is>
          <t>Jimmy Gardner</t>
        </is>
      </c>
      <c r="B3662" s="18" t="n">
        <v>1</v>
      </c>
      <c r="C3662" s="18" t="n">
        <v>2004</v>
      </c>
      <c r="D3662" s="18" t="n">
        <v>2004</v>
      </c>
      <c r="E3662" s="18" t="inlineStr">
        <is>
          <t>Harry Potter and the Prisoner of Azkaban</t>
        </is>
      </c>
      <c r="F3662" s="18" t="inlineStr">
        <is>
          <t>F0139</t>
        </is>
      </c>
    </row>
    <row r="3663" ht="15.75" customHeight="1" s="108">
      <c r="A3663" s="18" t="inlineStr">
        <is>
          <t>Jim Tavaré</t>
        </is>
      </c>
      <c r="B3663" s="18" t="n">
        <v>1</v>
      </c>
      <c r="C3663" s="18" t="n">
        <v>2004</v>
      </c>
      <c r="D3663" s="18" t="n">
        <v>2004</v>
      </c>
      <c r="E3663" s="18" t="inlineStr">
        <is>
          <t>Harry Potter and the Prisoner of Azkaban</t>
        </is>
      </c>
      <c r="F3663" s="18" t="inlineStr">
        <is>
          <t>F0139</t>
        </is>
      </c>
    </row>
    <row r="3664" ht="15.75" customHeight="1" s="108">
      <c r="A3664" s="18" t="inlineStr">
        <is>
          <t>Abby Ford</t>
        </is>
      </c>
      <c r="B3664" s="18" t="n">
        <v>1</v>
      </c>
      <c r="C3664" s="18" t="n">
        <v>2004</v>
      </c>
      <c r="D3664" s="18" t="n">
        <v>2004</v>
      </c>
      <c r="E3664" s="18" t="inlineStr">
        <is>
          <t>Harry Potter and the Prisoner of Azkaban</t>
        </is>
      </c>
      <c r="F3664" s="18" t="inlineStr">
        <is>
          <t>F0139</t>
        </is>
      </c>
    </row>
    <row r="3665" ht="15.75" customHeight="1" s="108">
      <c r="A3665" s="18" t="inlineStr">
        <is>
          <t>David Tennant</t>
        </is>
      </c>
      <c r="B3665" s="18" t="n">
        <v>2</v>
      </c>
      <c r="C3665" s="18" t="n">
        <v>2005</v>
      </c>
      <c r="D3665" s="18" t="n">
        <v>2010</v>
      </c>
      <c r="E3665" s="18" t="inlineStr">
        <is>
          <t>Harry Potter and the Goblet of Fire, How to Train Your Dragon</t>
        </is>
      </c>
      <c r="F3665" s="18" t="inlineStr">
        <is>
          <t>F0140, F0154</t>
        </is>
      </c>
    </row>
    <row r="3666" ht="15.75" customHeight="1" s="108">
      <c r="A3666" s="18" t="inlineStr">
        <is>
          <t>Predrag Bjelac</t>
        </is>
      </c>
      <c r="B3666" s="18" t="n">
        <v>1</v>
      </c>
      <c r="C3666" s="18" t="n">
        <v>2005</v>
      </c>
      <c r="D3666" s="18" t="n">
        <v>2005</v>
      </c>
      <c r="E3666" s="18" t="inlineStr">
        <is>
          <t>Harry Potter and the Goblet of Fire</t>
        </is>
      </c>
      <c r="F3666" s="18" t="inlineStr">
        <is>
          <t>F0140</t>
        </is>
      </c>
    </row>
    <row r="3667" ht="15.75" customHeight="1" s="108">
      <c r="A3667" s="18" t="inlineStr">
        <is>
          <t>Clémence Poésy</t>
        </is>
      </c>
      <c r="B3667" s="18" t="n">
        <v>3</v>
      </c>
      <c r="C3667" s="18" t="n">
        <v>2005</v>
      </c>
      <c r="D3667" s="18" t="n">
        <v>2020</v>
      </c>
      <c r="E3667" s="18" t="inlineStr">
        <is>
          <t>Harry Potter and the Goblet of Fire, Harry Potter and the Deathly Hallows: Part 2, Tenet</t>
        </is>
      </c>
      <c r="F3667" s="18" t="inlineStr">
        <is>
          <t>F0140, F0144, F0387</t>
        </is>
      </c>
    </row>
    <row r="3668" ht="15.75" customHeight="1" s="108">
      <c r="A3668" s="18" t="inlineStr">
        <is>
          <t>Stanislav Yanevski</t>
        </is>
      </c>
      <c r="B3668" s="18" t="n">
        <v>1</v>
      </c>
      <c r="C3668" s="18" t="n">
        <v>2005</v>
      </c>
      <c r="D3668" s="18" t="n">
        <v>2005</v>
      </c>
      <c r="E3668" s="18" t="inlineStr">
        <is>
          <t>Harry Potter and the Goblet of Fire</t>
        </is>
      </c>
      <c r="F3668" s="18" t="inlineStr">
        <is>
          <t>F0140</t>
        </is>
      </c>
    </row>
    <row r="3669" ht="15.75" customHeight="1" s="108">
      <c r="A3669" s="18" t="inlineStr">
        <is>
          <t>Frances de la Tour</t>
        </is>
      </c>
      <c r="B3669" s="18" t="n">
        <v>1</v>
      </c>
      <c r="C3669" s="18" t="n">
        <v>2005</v>
      </c>
      <c r="D3669" s="18" t="n">
        <v>2005</v>
      </c>
      <c r="E3669" s="18" t="inlineStr">
        <is>
          <t>Harry Potter and the Goblet of Fire</t>
        </is>
      </c>
      <c r="F3669" s="18" t="inlineStr">
        <is>
          <t>F0140</t>
        </is>
      </c>
    </row>
    <row r="3670" ht="15.75" customHeight="1" s="108">
      <c r="A3670" s="18" t="inlineStr">
        <is>
          <t>Roger Lloyd Pack</t>
        </is>
      </c>
      <c r="B3670" s="18" t="n">
        <v>1</v>
      </c>
      <c r="C3670" s="18" t="n">
        <v>2005</v>
      </c>
      <c r="D3670" s="18" t="n">
        <v>2005</v>
      </c>
      <c r="E3670" s="18" t="inlineStr">
        <is>
          <t>Harry Potter and the Goblet of Fire</t>
        </is>
      </c>
      <c r="F3670" s="18" t="inlineStr">
        <is>
          <t>F0140</t>
        </is>
      </c>
    </row>
    <row r="3671" ht="15.75" customHeight="1" s="108">
      <c r="A3671" s="18" t="inlineStr">
        <is>
          <t>Miranda Richardson</t>
        </is>
      </c>
      <c r="B3671" s="18" t="n">
        <v>1</v>
      </c>
      <c r="C3671" s="18" t="n">
        <v>2005</v>
      </c>
      <c r="D3671" s="18" t="n">
        <v>2005</v>
      </c>
      <c r="E3671" s="18" t="inlineStr">
        <is>
          <t>Harry Potter and the Goblet of Fire</t>
        </is>
      </c>
      <c r="F3671" s="18" t="inlineStr">
        <is>
          <t>F0140</t>
        </is>
      </c>
    </row>
    <row r="3672" ht="15.75" customHeight="1" s="108">
      <c r="A3672" s="18" t="inlineStr">
        <is>
          <t>Eric Sykes</t>
        </is>
      </c>
      <c r="B3672" s="18" t="n">
        <v>1</v>
      </c>
      <c r="C3672" s="18" t="n">
        <v>2005</v>
      </c>
      <c r="D3672" s="18" t="n">
        <v>2005</v>
      </c>
      <c r="E3672" s="18" t="inlineStr">
        <is>
          <t>Harry Potter and the Goblet of Fire</t>
        </is>
      </c>
      <c r="F3672" s="18" t="inlineStr">
        <is>
          <t>F0140</t>
        </is>
      </c>
    </row>
    <row r="3673" ht="15.75" customHeight="1" s="108">
      <c r="A3673" s="18" t="inlineStr">
        <is>
          <t>Evanna Lynch</t>
        </is>
      </c>
      <c r="B3673" s="18" t="n">
        <v>4</v>
      </c>
      <c r="C3673" s="18" t="n">
        <v>2007</v>
      </c>
      <c r="D3673" s="18" t="n">
        <v>2011</v>
      </c>
      <c r="E3673" s="18" t="inlineStr">
        <is>
          <t>Harry Potter and the Order of the Phoenix, Harry Potter and the Half-Blood Prince, Harry Potter and the Deathly Hallows: Part 1, Harry Potter and the Deathly Hallows: Part 2</t>
        </is>
      </c>
      <c r="F3673" s="18" t="inlineStr">
        <is>
          <t>F0141, F0142, F0143, F0144</t>
        </is>
      </c>
    </row>
    <row r="3674" ht="15.75" customHeight="1" s="108">
      <c r="A3674" s="18" t="inlineStr">
        <is>
          <t>Katie Leung</t>
        </is>
      </c>
      <c r="B3674" s="18" t="n">
        <v>1</v>
      </c>
      <c r="C3674" s="18" t="n">
        <v>2007</v>
      </c>
      <c r="D3674" s="18" t="n">
        <v>2007</v>
      </c>
      <c r="E3674" s="18" t="inlineStr">
        <is>
          <t>Harry Potter and the Order of the Phoenix</t>
        </is>
      </c>
      <c r="F3674" s="18" t="inlineStr">
        <is>
          <t>F0141</t>
        </is>
      </c>
    </row>
    <row r="3675" ht="15.75" customHeight="1" s="108">
      <c r="A3675" s="18" t="inlineStr">
        <is>
          <t>Natalia Tena</t>
        </is>
      </c>
      <c r="B3675" s="18" t="n">
        <v>4</v>
      </c>
      <c r="C3675" s="18" t="n">
        <v>2007</v>
      </c>
      <c r="D3675" s="18" t="n">
        <v>2023</v>
      </c>
      <c r="E3675" s="18" t="inlineStr">
        <is>
          <t>Harry Potter and the Order of the Phoenix, Harry Potter and the Half-Blood Prince, Harry Potter and the Deathly Hallows: Part 2, John wick chapter 4</t>
        </is>
      </c>
      <c r="F3675" s="18" t="inlineStr">
        <is>
          <t>F0141, F0142, F0144, F0392</t>
        </is>
      </c>
    </row>
    <row r="3676" ht="15.75" customHeight="1" s="108">
      <c r="A3676" s="18" t="inlineStr">
        <is>
          <t>Jason Boyd</t>
        </is>
      </c>
      <c r="B3676" s="18" t="n">
        <v>1</v>
      </c>
      <c r="C3676" s="18" t="n">
        <v>2007</v>
      </c>
      <c r="D3676" s="18" t="n">
        <v>2007</v>
      </c>
      <c r="E3676" s="18" t="inlineStr">
        <is>
          <t>Harry Potter and the Order of the Phoenix</t>
        </is>
      </c>
      <c r="F3676" s="18" t="inlineStr">
        <is>
          <t>F0141</t>
        </is>
      </c>
    </row>
    <row r="3677" ht="15.75" customHeight="1" s="108">
      <c r="A3677" s="18" t="inlineStr">
        <is>
          <t>Richard Macklin</t>
        </is>
      </c>
      <c r="B3677" s="18" t="n">
        <v>1</v>
      </c>
      <c r="C3677" s="18" t="n">
        <v>2007</v>
      </c>
      <c r="D3677" s="18" t="n">
        <v>2007</v>
      </c>
      <c r="E3677" s="18" t="inlineStr">
        <is>
          <t>Harry Potter and the Order of the Phoenix</t>
        </is>
      </c>
      <c r="F3677" s="18" t="inlineStr">
        <is>
          <t>F0141</t>
        </is>
      </c>
    </row>
    <row r="3678" ht="15.75" customHeight="1" s="108">
      <c r="A3678" s="18" t="inlineStr">
        <is>
          <t>Jessie Cave</t>
        </is>
      </c>
      <c r="B3678" s="18" t="n">
        <v>1</v>
      </c>
      <c r="C3678" s="18" t="n">
        <v>2009</v>
      </c>
      <c r="D3678" s="18" t="n">
        <v>2009</v>
      </c>
      <c r="E3678" s="18" t="inlineStr">
        <is>
          <t>Harry Potter and the Half-Blood Prince</t>
        </is>
      </c>
      <c r="F3678" s="18" t="inlineStr">
        <is>
          <t>F0142</t>
        </is>
      </c>
    </row>
    <row r="3679" ht="15.75" customHeight="1" s="108">
      <c r="A3679" s="18" t="inlineStr">
        <is>
          <t>Freddie Stroma</t>
        </is>
      </c>
      <c r="B3679" s="18" t="n">
        <v>3</v>
      </c>
      <c r="C3679" s="18" t="n">
        <v>2009</v>
      </c>
      <c r="D3679" s="18" t="n">
        <v>2014</v>
      </c>
      <c r="E3679" s="18" t="inlineStr">
        <is>
          <t>Harry Potter and the Half-Blood Prince, The Inbetweeners 2, Pitch Perfect</t>
        </is>
      </c>
      <c r="F3679" s="18" t="inlineStr">
        <is>
          <t>F0142, F0164, F0250</t>
        </is>
      </c>
    </row>
    <row r="3680" ht="15.75" customHeight="1" s="108">
      <c r="A3680" s="18" t="inlineStr">
        <is>
          <t>Dave Legeno</t>
        </is>
      </c>
      <c r="B3680" s="18" t="n">
        <v>4</v>
      </c>
      <c r="C3680" s="18" t="n">
        <v>2009</v>
      </c>
      <c r="D3680" s="18" t="n">
        <v>2012</v>
      </c>
      <c r="E3680" s="18" t="inlineStr">
        <is>
          <t>Harry Potter and the Half-Blood Prince, Harry Potter and the Deathly Hallows: Part 1, Harry Potter and the Deathly Hallows: Part 2, Snow White and the Huntsman</t>
        </is>
      </c>
      <c r="F3680" s="18" t="inlineStr">
        <is>
          <t>F0142, F0143, F0144, F0284</t>
        </is>
      </c>
    </row>
    <row r="3681" ht="15.75" customHeight="1" s="108">
      <c r="A3681" s="18" t="inlineStr">
        <is>
          <t>Elarica Johnson</t>
        </is>
      </c>
      <c r="B3681" s="18" t="n">
        <v>2</v>
      </c>
      <c r="C3681" s="18" t="n">
        <v>2009</v>
      </c>
      <c r="D3681" s="18" t="n">
        <v>2018</v>
      </c>
      <c r="E3681" s="18" t="inlineStr">
        <is>
          <t>Harry Potter and the Half-Blood Prince, blade runner 2049</t>
        </is>
      </c>
      <c r="F3681" s="18" t="inlineStr">
        <is>
          <t>F0142, F0366</t>
        </is>
      </c>
    </row>
    <row r="3682" ht="15.75" customHeight="1" s="108">
      <c r="A3682" s="18" t="inlineStr">
        <is>
          <t>Robert Knox</t>
        </is>
      </c>
      <c r="B3682" s="18" t="n">
        <v>1</v>
      </c>
      <c r="C3682" s="18" t="n">
        <v>2009</v>
      </c>
      <c r="D3682" s="18" t="n">
        <v>2009</v>
      </c>
      <c r="E3682" s="18" t="inlineStr">
        <is>
          <t>Harry Potter and the Half-Blood Prince</t>
        </is>
      </c>
      <c r="F3682" s="18" t="inlineStr">
        <is>
          <t>F0142</t>
        </is>
      </c>
    </row>
    <row r="3683" ht="15.75" customHeight="1" s="108">
      <c r="A3683" s="18" t="inlineStr">
        <is>
          <t>Andy Linden</t>
        </is>
      </c>
      <c r="B3683" s="18" t="n">
        <v>1</v>
      </c>
      <c r="C3683" s="18" t="n">
        <v>2010</v>
      </c>
      <c r="D3683" s="18" t="n">
        <v>2010</v>
      </c>
      <c r="E3683" s="18" t="inlineStr">
        <is>
          <t>Harry Potter and the Deathly Hallows: Part 1</t>
        </is>
      </c>
      <c r="F3683" s="18" t="inlineStr">
        <is>
          <t>F0143</t>
        </is>
      </c>
    </row>
    <row r="3684" ht="15.75" customHeight="1" s="108">
      <c r="A3684" s="18" t="inlineStr">
        <is>
          <t>Guy Henry</t>
        </is>
      </c>
      <c r="B3684" s="18" t="n">
        <v>2</v>
      </c>
      <c r="C3684" s="18" t="n">
        <v>2010</v>
      </c>
      <c r="D3684" s="18" t="n">
        <v>2016</v>
      </c>
      <c r="E3684" s="18" t="inlineStr">
        <is>
          <t>Harry Potter and the Deathly Hallows: Part 1, Rogue one</t>
        </is>
      </c>
      <c r="F3684" s="18" t="inlineStr">
        <is>
          <t>F0143, F0385</t>
        </is>
      </c>
    </row>
    <row r="3685" ht="15.75" customHeight="1" s="108">
      <c r="A3685" s="18" t="inlineStr">
        <is>
          <t>Nick Moran</t>
        </is>
      </c>
      <c r="B3685" s="18" t="n">
        <v>2</v>
      </c>
      <c r="C3685" s="18" t="n">
        <v>2010</v>
      </c>
      <c r="D3685" s="18" t="n">
        <v>2011</v>
      </c>
      <c r="E3685" s="18" t="inlineStr">
        <is>
          <t>Harry Potter and the Deathly Hallows: Part 1, Harry Potter and the Deathly Hallows: Part 2</t>
        </is>
      </c>
      <c r="F3685" s="18" t="inlineStr">
        <is>
          <t>F0143, F0144</t>
        </is>
      </c>
    </row>
    <row r="3686" ht="15.75" customHeight="1" s="108">
      <c r="A3686" s="18" t="inlineStr">
        <is>
          <t>Peter Mullan</t>
        </is>
      </c>
      <c r="B3686" s="18" t="n">
        <v>1</v>
      </c>
      <c r="C3686" s="18" t="n">
        <v>2010</v>
      </c>
      <c r="D3686" s="18" t="n">
        <v>2010</v>
      </c>
      <c r="E3686" s="18" t="inlineStr">
        <is>
          <t>Harry Potter and the Deathly Hallows: Part 1</t>
        </is>
      </c>
      <c r="F3686" s="18" t="inlineStr">
        <is>
          <t>F0143</t>
        </is>
      </c>
    </row>
    <row r="3687" ht="15.75" customHeight="1" s="108">
      <c r="A3687" s="18" t="inlineStr">
        <is>
          <t>Kelly Macdonald</t>
        </is>
      </c>
      <c r="B3687" s="18" t="n">
        <v>1</v>
      </c>
      <c r="C3687" s="18" t="n">
        <v>2011</v>
      </c>
      <c r="D3687" s="18" t="n">
        <v>2011</v>
      </c>
      <c r="E3687" s="18" t="inlineStr">
        <is>
          <t>Harry Potter and the Deathly Hallows: Part 2</t>
        </is>
      </c>
      <c r="F3687" s="18" t="inlineStr">
        <is>
          <t>F0144</t>
        </is>
      </c>
    </row>
    <row r="3688" ht="15.75" customHeight="1" s="108">
      <c r="A3688" s="18" t="inlineStr">
        <is>
          <t>P!nk</t>
        </is>
      </c>
      <c r="B3688" s="18" t="n">
        <v>1</v>
      </c>
      <c r="C3688" s="18" t="n">
        <v>2011</v>
      </c>
      <c r="D3688" s="18" t="n">
        <v>2011</v>
      </c>
      <c r="E3688" s="18" t="inlineStr">
        <is>
          <t>Happy Feet Two</t>
        </is>
      </c>
      <c r="F3688" s="18" t="inlineStr">
        <is>
          <t>F0145</t>
        </is>
      </c>
    </row>
    <row r="3689" ht="15.75" customHeight="1" s="108">
      <c r="A3689" s="18" t="inlineStr">
        <is>
          <t>E. G. Daily</t>
        </is>
      </c>
      <c r="B3689" s="18" t="n">
        <v>1</v>
      </c>
      <c r="C3689" s="18" t="n">
        <v>2011</v>
      </c>
      <c r="D3689" s="18" t="n">
        <v>2011</v>
      </c>
      <c r="E3689" s="18" t="inlineStr">
        <is>
          <t>Happy Feet Two</t>
        </is>
      </c>
      <c r="F3689" s="18" t="inlineStr">
        <is>
          <t>F0145</t>
        </is>
      </c>
    </row>
    <row r="3690" ht="15.75" customHeight="1" s="108">
      <c r="A3690" s="18" t="inlineStr">
        <is>
          <t>Lombardo Boyar</t>
        </is>
      </c>
      <c r="B3690" s="18" t="n">
        <v>2</v>
      </c>
      <c r="C3690" s="18" t="n">
        <v>2011</v>
      </c>
      <c r="D3690" s="18" t="n">
        <v>2014</v>
      </c>
      <c r="E3690" s="18" t="inlineStr">
        <is>
          <t>Happy Feet Two, Dawn of the Planet of the Apes</t>
        </is>
      </c>
      <c r="F3690" s="18" t="inlineStr">
        <is>
          <t>F0145, F0254</t>
        </is>
      </c>
    </row>
    <row r="3691" ht="15.75" customHeight="1" s="108">
      <c r="A3691" s="18" t="inlineStr">
        <is>
          <t>Common</t>
        </is>
      </c>
      <c r="B3691" s="18" t="n">
        <v>4</v>
      </c>
      <c r="C3691" s="18" t="n">
        <v>2009</v>
      </c>
      <c r="D3691" s="18" t="n">
        <v>2017</v>
      </c>
      <c r="E3691" s="18" t="inlineStr">
        <is>
          <t xml:space="preserve">Happy Feet Two, Terminator Salvation, john wick chapter 2, john wick chapter 2 </t>
        </is>
      </c>
      <c r="F3691" s="18" t="inlineStr">
        <is>
          <t>F0145, F0310, F0375</t>
        </is>
      </c>
    </row>
    <row r="3692" ht="15.75" customHeight="1" s="108">
      <c r="A3692" s="18" t="inlineStr">
        <is>
          <t>Jeffrey Garcia</t>
        </is>
      </c>
      <c r="B3692" s="18" t="n">
        <v>3</v>
      </c>
      <c r="C3692" s="18" t="n">
        <v>2011</v>
      </c>
      <c r="D3692" s="18" t="n">
        <v>2014</v>
      </c>
      <c r="E3692" s="18" t="inlineStr">
        <is>
          <t>Happy Feet Two, Rio, Rio 2</t>
        </is>
      </c>
      <c r="F3692" s="18" t="inlineStr">
        <is>
          <t>F0145, F0265, F0266</t>
        </is>
      </c>
    </row>
    <row r="3693" ht="15.75" customHeight="1" s="108">
      <c r="A3693" s="18" t="inlineStr">
        <is>
          <t>Benjamin Flores Jr.</t>
        </is>
      </c>
      <c r="B3693" s="18" t="n">
        <v>1</v>
      </c>
      <c r="C3693" s="18" t="n">
        <v>2011</v>
      </c>
      <c r="D3693" s="18" t="n">
        <v>2011</v>
      </c>
      <c r="E3693" s="18" t="inlineStr">
        <is>
          <t>Happy Feet Two</t>
        </is>
      </c>
      <c r="F3693" s="18" t="inlineStr">
        <is>
          <t>F0145</t>
        </is>
      </c>
    </row>
    <row r="3694" ht="15.75" customHeight="1" s="108">
      <c r="A3694" s="18" t="inlineStr">
        <is>
          <t>Meibh Campbell</t>
        </is>
      </c>
      <c r="B3694" s="18" t="n">
        <v>1</v>
      </c>
      <c r="C3694" s="18" t="n">
        <v>2011</v>
      </c>
      <c r="D3694" s="18" t="n">
        <v>2011</v>
      </c>
      <c r="E3694" s="18" t="inlineStr">
        <is>
          <t>Happy Feet Two</t>
        </is>
      </c>
      <c r="F3694" s="18" t="inlineStr">
        <is>
          <t>F0145</t>
        </is>
      </c>
    </row>
    <row r="3695" ht="15.75" customHeight="1" s="108">
      <c r="A3695" s="18" t="inlineStr">
        <is>
          <t>Magda Szubanski</t>
        </is>
      </c>
      <c r="B3695" s="18" t="n">
        <v>1</v>
      </c>
      <c r="C3695" s="18" t="n">
        <v>2011</v>
      </c>
      <c r="D3695" s="18" t="n">
        <v>2011</v>
      </c>
      <c r="E3695" s="18" t="inlineStr">
        <is>
          <t>Happy Feet Two</t>
        </is>
      </c>
      <c r="F3695" s="18" t="inlineStr">
        <is>
          <t>F0145</t>
        </is>
      </c>
    </row>
    <row r="3696" ht="15.75" customHeight="1" s="108">
      <c r="A3696" s="18" t="inlineStr">
        <is>
          <t>Lee Perry</t>
        </is>
      </c>
      <c r="B3696" s="18" t="n">
        <v>3</v>
      </c>
      <c r="C3696" s="18" t="n">
        <v>2011</v>
      </c>
      <c r="D3696" s="18" t="n">
        <v>2025</v>
      </c>
      <c r="E3696" s="18" t="inlineStr">
        <is>
          <t xml:space="preserve">Happy Feet Two, furiosa, furiosa </t>
        </is>
      </c>
      <c r="F3696" s="18" t="inlineStr">
        <is>
          <t>F0145, F0370</t>
        </is>
      </c>
    </row>
    <row r="3697" ht="15.75" customHeight="1" s="108">
      <c r="A3697" s="18" t="inlineStr">
        <is>
          <t>Jai Sloper</t>
        </is>
      </c>
      <c r="B3697" s="18" t="n">
        <v>1</v>
      </c>
      <c r="C3697" s="18" t="n">
        <v>2011</v>
      </c>
      <c r="D3697" s="18" t="n">
        <v>2011</v>
      </c>
      <c r="E3697" s="18" t="inlineStr">
        <is>
          <t>Happy Feet Two</t>
        </is>
      </c>
      <c r="F3697" s="18" t="inlineStr">
        <is>
          <t>F0145</t>
        </is>
      </c>
    </row>
    <row r="3698" ht="15.75" customHeight="1" s="108">
      <c r="A3698" s="18" t="inlineStr">
        <is>
          <t>Oscar Beard</t>
        </is>
      </c>
      <c r="B3698" s="18" t="n">
        <v>1</v>
      </c>
      <c r="C3698" s="18" t="n">
        <v>2011</v>
      </c>
      <c r="D3698" s="18" t="n">
        <v>2011</v>
      </c>
      <c r="E3698" s="18" t="inlineStr">
        <is>
          <t>Happy Feet Two</t>
        </is>
      </c>
      <c r="F3698" s="18" t="inlineStr">
        <is>
          <t>F0145</t>
        </is>
      </c>
    </row>
    <row r="3699" ht="15.75" customHeight="1" s="108">
      <c r="A3699" s="18" t="inlineStr">
        <is>
          <t>Anthony LaPaglia</t>
        </is>
      </c>
      <c r="B3699" s="18" t="n">
        <v>1</v>
      </c>
      <c r="C3699" s="18" t="n">
        <v>2011</v>
      </c>
      <c r="D3699" s="18" t="n">
        <v>2011</v>
      </c>
      <c r="E3699" s="18" t="inlineStr">
        <is>
          <t>Happy Feet Two</t>
        </is>
      </c>
      <c r="F3699" s="18" t="inlineStr">
        <is>
          <t>F0145</t>
        </is>
      </c>
    </row>
    <row r="3700" ht="15.75" customHeight="1" s="108">
      <c r="A3700" s="18" t="inlineStr">
        <is>
          <t>Denise Blasor</t>
        </is>
      </c>
      <c r="B3700" s="18" t="n">
        <v>1</v>
      </c>
      <c r="C3700" s="18" t="n">
        <v>2011</v>
      </c>
      <c r="D3700" s="18" t="n">
        <v>2011</v>
      </c>
      <c r="E3700" s="18" t="inlineStr">
        <is>
          <t>Happy Feet Two</t>
        </is>
      </c>
      <c r="F3700" s="18" t="inlineStr">
        <is>
          <t>F0145</t>
        </is>
      </c>
    </row>
    <row r="3701" ht="15.75" customHeight="1" s="108">
      <c r="A3701" s="18" t="inlineStr">
        <is>
          <t>Roger Narayan</t>
        </is>
      </c>
      <c r="B3701" s="18" t="n">
        <v>1</v>
      </c>
      <c r="C3701" s="18" t="n">
        <v>2011</v>
      </c>
      <c r="D3701" s="18" t="n">
        <v>2011</v>
      </c>
      <c r="E3701" s="18" t="inlineStr">
        <is>
          <t>Happy Feet Two</t>
        </is>
      </c>
      <c r="F3701" s="18" t="inlineStr">
        <is>
          <t>F0145</t>
        </is>
      </c>
    </row>
    <row r="3702" ht="15.75" customHeight="1" s="108">
      <c r="A3702" s="18" t="inlineStr">
        <is>
          <t>Mason Cotton</t>
        </is>
      </c>
      <c r="B3702" s="18" t="n">
        <v>1</v>
      </c>
      <c r="C3702" s="18" t="n">
        <v>2011</v>
      </c>
      <c r="D3702" s="18" t="n">
        <v>2011</v>
      </c>
      <c r="E3702" s="18" t="inlineStr">
        <is>
          <t>Happy Feet Two</t>
        </is>
      </c>
      <c r="F3702" s="18" t="inlineStr">
        <is>
          <t>F0145</t>
        </is>
      </c>
    </row>
    <row r="3703" ht="15.75" customHeight="1" s="108">
      <c r="A3703" s="18" t="inlineStr">
        <is>
          <t>Joshua Rush</t>
        </is>
      </c>
      <c r="B3703" s="18" t="n">
        <v>1</v>
      </c>
      <c r="C3703" s="18" t="n">
        <v>2011</v>
      </c>
      <c r="D3703" s="18" t="n">
        <v>2011</v>
      </c>
      <c r="E3703" s="18" t="inlineStr">
        <is>
          <t>Happy Feet Two</t>
        </is>
      </c>
      <c r="F3703" s="18" t="inlineStr">
        <is>
          <t>F0145</t>
        </is>
      </c>
    </row>
    <row r="3704" ht="15.75" customHeight="1" s="108">
      <c r="A3704" s="18" t="inlineStr">
        <is>
          <t>Lillian Garrett-Groag</t>
        </is>
      </c>
      <c r="B3704" s="18" t="n">
        <v>1</v>
      </c>
      <c r="C3704" s="18" t="n">
        <v>2011</v>
      </c>
      <c r="D3704" s="18" t="n">
        <v>2011</v>
      </c>
      <c r="E3704" s="18" t="inlineStr">
        <is>
          <t>Happy Feet Two</t>
        </is>
      </c>
      <c r="F3704" s="18" t="inlineStr">
        <is>
          <t>F0145</t>
        </is>
      </c>
    </row>
    <row r="3705" ht="15.75" customHeight="1" s="108">
      <c r="A3705" s="18" t="inlineStr">
        <is>
          <t>Veena Bidasha</t>
        </is>
      </c>
      <c r="B3705" s="18" t="n">
        <v>1</v>
      </c>
      <c r="C3705" s="18" t="n">
        <v>2011</v>
      </c>
      <c r="D3705" s="18" t="n">
        <v>2011</v>
      </c>
      <c r="E3705" s="18" t="inlineStr">
        <is>
          <t>Happy Feet Two</t>
        </is>
      </c>
      <c r="F3705" s="18" t="inlineStr">
        <is>
          <t>F0145</t>
        </is>
      </c>
    </row>
    <row r="3706" ht="15.75" customHeight="1" s="108">
      <c r="A3706" s="18" t="inlineStr">
        <is>
          <t>Jane Curtin</t>
        </is>
      </c>
      <c r="B3706" s="18" t="n">
        <v>1</v>
      </c>
      <c r="C3706" s="18" t="n">
        <v>2013</v>
      </c>
      <c r="D3706" s="18" t="n">
        <v>2013</v>
      </c>
      <c r="E3706" s="18" t="inlineStr">
        <is>
          <t>The Heat</t>
        </is>
      </c>
      <c r="F3706" s="18" t="inlineStr">
        <is>
          <t>F0146</t>
        </is>
      </c>
    </row>
    <row r="3707" ht="15.75" customHeight="1" s="108">
      <c r="A3707" s="18" t="inlineStr">
        <is>
          <t>Spoken Reasons</t>
        </is>
      </c>
      <c r="B3707" s="18" t="n">
        <v>1</v>
      </c>
      <c r="C3707" s="18" t="n">
        <v>2013</v>
      </c>
      <c r="D3707" s="18" t="n">
        <v>2013</v>
      </c>
      <c r="E3707" s="18" t="inlineStr">
        <is>
          <t>The Heat</t>
        </is>
      </c>
      <c r="F3707" s="18" t="inlineStr">
        <is>
          <t>F0146</t>
        </is>
      </c>
    </row>
    <row r="3708" ht="15.75" customHeight="1" s="108">
      <c r="A3708" s="18" t="inlineStr">
        <is>
          <t>Dan Bakkedahl</t>
        </is>
      </c>
      <c r="B3708" s="18" t="n">
        <v>1</v>
      </c>
      <c r="C3708" s="18" t="n">
        <v>2013</v>
      </c>
      <c r="D3708" s="18" t="n">
        <v>2013</v>
      </c>
      <c r="E3708" s="18" t="inlineStr">
        <is>
          <t>The Heat</t>
        </is>
      </c>
      <c r="F3708" s="18" t="inlineStr">
        <is>
          <t>F0146</t>
        </is>
      </c>
    </row>
    <row r="3709" ht="15.75" customHeight="1" s="108">
      <c r="A3709" s="18" t="inlineStr">
        <is>
          <t>Taran Killam</t>
        </is>
      </c>
      <c r="B3709" s="18" t="n">
        <v>2</v>
      </c>
      <c r="C3709" s="18" t="n">
        <v>2013</v>
      </c>
      <c r="D3709" s="18" t="n">
        <v>2014</v>
      </c>
      <c r="E3709" s="18" t="inlineStr">
        <is>
          <t>The Heat, Teenage Mutant Ninja Turtles</t>
        </is>
      </c>
      <c r="F3709" s="18" t="inlineStr">
        <is>
          <t>F0146, F0309</t>
        </is>
      </c>
    </row>
    <row r="3710" ht="15.75" customHeight="1" s="108">
      <c r="A3710" s="18" t="inlineStr">
        <is>
          <t>Michael McDonald</t>
        </is>
      </c>
      <c r="B3710" s="18" t="n">
        <v>2</v>
      </c>
      <c r="C3710" s="18" t="n">
        <v>2013</v>
      </c>
      <c r="D3710" s="18" t="n">
        <v>2015</v>
      </c>
      <c r="E3710" s="18" t="inlineStr">
        <is>
          <t>The Heat, Spy</t>
        </is>
      </c>
      <c r="F3710" s="18" t="inlineStr">
        <is>
          <t>F0146, F0290</t>
        </is>
      </c>
    </row>
    <row r="3711" ht="15.75" customHeight="1" s="108">
      <c r="A3711" s="18" t="inlineStr">
        <is>
          <t>Peter Weireter</t>
        </is>
      </c>
      <c r="B3711" s="18" t="n">
        <v>1</v>
      </c>
      <c r="C3711" s="18" t="n">
        <v>2013</v>
      </c>
      <c r="D3711" s="18" t="n">
        <v>2013</v>
      </c>
      <c r="E3711" s="18" t="inlineStr">
        <is>
          <t>The Heat</t>
        </is>
      </c>
      <c r="F3711" s="18" t="inlineStr">
        <is>
          <t>F0146</t>
        </is>
      </c>
    </row>
    <row r="3712" ht="15.75" customHeight="1" s="108">
      <c r="A3712" s="18" t="inlineStr">
        <is>
          <t>John Ross Bowie</t>
        </is>
      </c>
      <c r="B3712" s="18" t="n">
        <v>1</v>
      </c>
      <c r="C3712" s="18" t="n">
        <v>2013</v>
      </c>
      <c r="D3712" s="18" t="n">
        <v>2013</v>
      </c>
      <c r="E3712" s="18" t="inlineStr">
        <is>
          <t>The Heat</t>
        </is>
      </c>
      <c r="F3712" s="18" t="inlineStr">
        <is>
          <t>F0146</t>
        </is>
      </c>
    </row>
    <row r="3713" ht="15.75" customHeight="1" s="108">
      <c r="A3713" s="18" t="inlineStr">
        <is>
          <t>William Xifaras</t>
        </is>
      </c>
      <c r="B3713" s="18" t="n">
        <v>1</v>
      </c>
      <c r="C3713" s="18" t="n">
        <v>2013</v>
      </c>
      <c r="D3713" s="18" t="n">
        <v>2013</v>
      </c>
      <c r="E3713" s="18" t="inlineStr">
        <is>
          <t>The Heat</t>
        </is>
      </c>
      <c r="F3713" s="18" t="inlineStr">
        <is>
          <t>F0146</t>
        </is>
      </c>
    </row>
    <row r="3714" ht="15.75" customHeight="1" s="108">
      <c r="A3714" s="18" t="inlineStr">
        <is>
          <t>Cary 'Big Shug' Guy</t>
        </is>
      </c>
      <c r="B3714" s="18" t="n">
        <v>1</v>
      </c>
      <c r="C3714" s="18" t="n">
        <v>2013</v>
      </c>
      <c r="D3714" s="18" t="n">
        <v>2013</v>
      </c>
      <c r="E3714" s="18" t="inlineStr">
        <is>
          <t>The Heat</t>
        </is>
      </c>
      <c r="F3714" s="18" t="inlineStr">
        <is>
          <t>F0146</t>
        </is>
      </c>
    </row>
    <row r="3715" ht="15.75" customHeight="1" s="108">
      <c r="A3715" s="18" t="inlineStr">
        <is>
          <t>Erica Derrickson</t>
        </is>
      </c>
      <c r="B3715" s="18" t="n">
        <v>1</v>
      </c>
      <c r="C3715" s="18" t="n">
        <v>2013</v>
      </c>
      <c r="D3715" s="18" t="n">
        <v>2013</v>
      </c>
      <c r="E3715" s="18" t="inlineStr">
        <is>
          <t>The Heat</t>
        </is>
      </c>
      <c r="F3715" s="18" t="inlineStr">
        <is>
          <t>F0146</t>
        </is>
      </c>
    </row>
    <row r="3716" ht="15.75" customHeight="1" s="108">
      <c r="A3716" s="18" t="inlineStr">
        <is>
          <t>Deirdre Horgan</t>
        </is>
      </c>
      <c r="B3716" s="18" t="n">
        <v>1</v>
      </c>
      <c r="C3716" s="18" t="n">
        <v>2013</v>
      </c>
      <c r="D3716" s="18" t="n">
        <v>2013</v>
      </c>
      <c r="E3716" s="18" t="inlineStr">
        <is>
          <t>The Heat</t>
        </is>
      </c>
      <c r="F3716" s="18" t="inlineStr">
        <is>
          <t>F0146</t>
        </is>
      </c>
    </row>
    <row r="3717" ht="15.75" customHeight="1" s="108">
      <c r="A3717" s="18" t="inlineStr">
        <is>
          <t>William Ambrose Kennedy</t>
        </is>
      </c>
      <c r="B3717" s="18" t="n">
        <v>1</v>
      </c>
      <c r="C3717" s="18" t="n">
        <v>2013</v>
      </c>
      <c r="D3717" s="18" t="n">
        <v>2013</v>
      </c>
      <c r="E3717" s="18" t="inlineStr">
        <is>
          <t>The Heat</t>
        </is>
      </c>
      <c r="F3717" s="18" t="inlineStr">
        <is>
          <t>F0146</t>
        </is>
      </c>
    </row>
    <row r="3718" ht="15.75" customHeight="1" s="108">
      <c r="A3718" s="18" t="inlineStr">
        <is>
          <t>Tony V.</t>
        </is>
      </c>
      <c r="B3718" s="18" t="n">
        <v>1</v>
      </c>
      <c r="C3718" s="18" t="n">
        <v>2013</v>
      </c>
      <c r="D3718" s="18" t="n">
        <v>2013</v>
      </c>
      <c r="E3718" s="18" t="inlineStr">
        <is>
          <t>The Heat</t>
        </is>
      </c>
      <c r="F3718" s="18" t="inlineStr">
        <is>
          <t>F0146</t>
        </is>
      </c>
    </row>
    <row r="3719" ht="15.75" customHeight="1" s="108">
      <c r="A3719" s="18" t="inlineStr">
        <is>
          <t>Amanda Good Hennessey</t>
        </is>
      </c>
      <c r="B3719" s="18" t="n">
        <v>1</v>
      </c>
      <c r="C3719" s="18" t="n">
        <v>2013</v>
      </c>
      <c r="D3719" s="18" t="n">
        <v>2013</v>
      </c>
      <c r="E3719" s="18" t="inlineStr">
        <is>
          <t>The Heat</t>
        </is>
      </c>
      <c r="F3719" s="18" t="inlineStr">
        <is>
          <t>F0146</t>
        </is>
      </c>
    </row>
    <row r="3720" ht="15.75" customHeight="1" s="108">
      <c r="A3720" s="18" t="inlineStr">
        <is>
          <t>Patty Ross</t>
        </is>
      </c>
      <c r="B3720" s="18" t="n">
        <v>1</v>
      </c>
      <c r="C3720" s="18" t="n">
        <v>2013</v>
      </c>
      <c r="D3720" s="18" t="n">
        <v>2013</v>
      </c>
      <c r="E3720" s="18" t="inlineStr">
        <is>
          <t>The Heat</t>
        </is>
      </c>
      <c r="F3720" s="18" t="inlineStr">
        <is>
          <t>F0146</t>
        </is>
      </c>
    </row>
    <row r="3721" ht="15.75" customHeight="1" s="108">
      <c r="A3721" s="18" t="inlineStr">
        <is>
          <t>Ellen Becker Gray</t>
        </is>
      </c>
      <c r="B3721" s="18" t="n">
        <v>1</v>
      </c>
      <c r="C3721" s="18" t="n">
        <v>2013</v>
      </c>
      <c r="D3721" s="18" t="n">
        <v>2013</v>
      </c>
      <c r="E3721" s="18" t="inlineStr">
        <is>
          <t>The Heat</t>
        </is>
      </c>
      <c r="F3721" s="18" t="inlineStr">
        <is>
          <t>F0146</t>
        </is>
      </c>
    </row>
    <row r="3722" ht="15.75" customHeight="1" s="108">
      <c r="A3722" s="18" t="inlineStr">
        <is>
          <t>Don Orsillo</t>
        </is>
      </c>
      <c r="B3722" s="18" t="n">
        <v>1</v>
      </c>
      <c r="C3722" s="18" t="n">
        <v>2013</v>
      </c>
      <c r="D3722" s="18" t="n">
        <v>2013</v>
      </c>
      <c r="E3722" s="18" t="inlineStr">
        <is>
          <t>The Heat</t>
        </is>
      </c>
      <c r="F3722" s="18" t="inlineStr">
        <is>
          <t>F0146</t>
        </is>
      </c>
    </row>
    <row r="3723" ht="15.75" customHeight="1" s="108">
      <c r="A3723" s="18" t="inlineStr">
        <is>
          <t>Adam Ray</t>
        </is>
      </c>
      <c r="B3723" s="18" t="n">
        <v>2</v>
      </c>
      <c r="C3723" s="18" t="n">
        <v>2013</v>
      </c>
      <c r="D3723" s="18" t="n">
        <v>2015</v>
      </c>
      <c r="E3723" s="18" t="inlineStr">
        <is>
          <t>The Heat, Spy</t>
        </is>
      </c>
      <c r="F3723" s="18" t="inlineStr">
        <is>
          <t>F0146, F0290</t>
        </is>
      </c>
    </row>
    <row r="3724" ht="15.75" customHeight="1" s="108">
      <c r="A3724" s="18" t="inlineStr">
        <is>
          <t>Chris Gethard</t>
        </is>
      </c>
      <c r="B3724" s="18" t="n">
        <v>1</v>
      </c>
      <c r="C3724" s="18" t="n">
        <v>2013</v>
      </c>
      <c r="D3724" s="18" t="n">
        <v>2013</v>
      </c>
      <c r="E3724" s="18" t="inlineStr">
        <is>
          <t>The Heat</t>
        </is>
      </c>
      <c r="F3724" s="18" t="inlineStr">
        <is>
          <t>F0146</t>
        </is>
      </c>
    </row>
    <row r="3725" ht="15.75" customHeight="1" s="108">
      <c r="A3725" s="18" t="inlineStr">
        <is>
          <t>Dane Aska</t>
        </is>
      </c>
      <c r="B3725" s="18" t="n">
        <v>1</v>
      </c>
      <c r="C3725" s="18" t="n">
        <v>2013</v>
      </c>
      <c r="D3725" s="18" t="n">
        <v>2013</v>
      </c>
      <c r="E3725" s="18" t="inlineStr">
        <is>
          <t>The Heat</t>
        </is>
      </c>
      <c r="F3725" s="18" t="inlineStr">
        <is>
          <t>F0146</t>
        </is>
      </c>
    </row>
    <row r="3726" ht="15.75" customHeight="1" s="108">
      <c r="A3726" s="18" t="inlineStr">
        <is>
          <t>Joey McIntyre</t>
        </is>
      </c>
      <c r="B3726" s="18" t="n">
        <v>1</v>
      </c>
      <c r="C3726" s="18" t="n">
        <v>2013</v>
      </c>
      <c r="D3726" s="18" t="n">
        <v>2013</v>
      </c>
      <c r="E3726" s="18" t="inlineStr">
        <is>
          <t>The Heat</t>
        </is>
      </c>
      <c r="F3726" s="18" t="inlineStr">
        <is>
          <t>F0146</t>
        </is>
      </c>
    </row>
    <row r="3727" ht="15.75" customHeight="1" s="108">
      <c r="A3727" s="18" t="inlineStr">
        <is>
          <t>Josh Keaton</t>
        </is>
      </c>
      <c r="B3727" s="18" t="n">
        <v>2</v>
      </c>
      <c r="C3727" s="18" t="n">
        <v>2014</v>
      </c>
      <c r="D3727" s="18" t="n">
        <v>2016</v>
      </c>
      <c r="E3727" s="18" t="inlineStr">
        <is>
          <t>Hercules, Lego DC Comics Super Heroes: Justice League - Gotham City Breakout</t>
        </is>
      </c>
      <c r="F3727" s="18" t="inlineStr">
        <is>
          <t>F0147, F0198</t>
        </is>
      </c>
    </row>
    <row r="3728" ht="15.75" customHeight="1" s="108">
      <c r="A3728" s="18" t="inlineStr">
        <is>
          <t>Roger Bart</t>
        </is>
      </c>
      <c r="B3728" s="18" t="n">
        <v>2</v>
      </c>
      <c r="C3728" s="18" t="n">
        <v>2009</v>
      </c>
      <c r="D3728" s="18" t="n">
        <v>2014</v>
      </c>
      <c r="E3728" s="18" t="inlineStr">
        <is>
          <t>Hercules, Law Abiding Citizen</t>
        </is>
      </c>
      <c r="F3728" s="18" t="inlineStr">
        <is>
          <t>F0147, F0191</t>
        </is>
      </c>
    </row>
    <row r="3729" ht="15.75" customHeight="1" s="108">
      <c r="A3729" s="18" t="inlineStr">
        <is>
          <t>Danny DeVito</t>
        </is>
      </c>
      <c r="B3729" s="18" t="n">
        <v>1</v>
      </c>
      <c r="C3729" s="18" t="n">
        <v>2014</v>
      </c>
      <c r="D3729" s="18" t="n">
        <v>2014</v>
      </c>
      <c r="E3729" s="18" t="inlineStr">
        <is>
          <t>Hercules</t>
        </is>
      </c>
      <c r="F3729" s="18" t="inlineStr">
        <is>
          <t>F0147</t>
        </is>
      </c>
    </row>
    <row r="3730" ht="15.75" customHeight="1" s="108">
      <c r="A3730" s="18" t="inlineStr">
        <is>
          <t>James Woods</t>
        </is>
      </c>
      <c r="B3730" s="18" t="n">
        <v>2</v>
      </c>
      <c r="C3730" s="18" t="n">
        <v>2013</v>
      </c>
      <c r="D3730" s="18" t="n">
        <v>2014</v>
      </c>
      <c r="E3730" s="18" t="inlineStr">
        <is>
          <t>Hercules, White House Down</t>
        </is>
      </c>
      <c r="F3730" s="18" t="inlineStr">
        <is>
          <t>F0147, F0335</t>
        </is>
      </c>
    </row>
    <row r="3731" ht="15.75" customHeight="1" s="108">
      <c r="A3731" s="18" t="inlineStr">
        <is>
          <t>Susan Egan</t>
        </is>
      </c>
      <c r="B3731" s="18" t="n">
        <v>1</v>
      </c>
      <c r="C3731" s="18" t="n">
        <v>2014</v>
      </c>
      <c r="D3731" s="18" t="n">
        <v>2014</v>
      </c>
      <c r="E3731" s="18" t="inlineStr">
        <is>
          <t>Hercules</t>
        </is>
      </c>
      <c r="F3731" s="18" t="inlineStr">
        <is>
          <t>F0147</t>
        </is>
      </c>
    </row>
    <row r="3732" ht="15.75" customHeight="1" s="108">
      <c r="A3732" s="18" t="inlineStr">
        <is>
          <t>Bobcat Goldthwait</t>
        </is>
      </c>
      <c r="B3732" s="18" t="n">
        <v>1</v>
      </c>
      <c r="C3732" s="18" t="n">
        <v>2014</v>
      </c>
      <c r="D3732" s="18" t="n">
        <v>2014</v>
      </c>
      <c r="E3732" s="18" t="inlineStr">
        <is>
          <t>Hercules</t>
        </is>
      </c>
      <c r="F3732" s="18" t="inlineStr">
        <is>
          <t>F0147</t>
        </is>
      </c>
    </row>
    <row r="3733" ht="15.75" customHeight="1" s="108">
      <c r="A3733" s="18" t="inlineStr">
        <is>
          <t>Samantha Eggar</t>
        </is>
      </c>
      <c r="B3733" s="18" t="n">
        <v>1</v>
      </c>
      <c r="C3733" s="18" t="n">
        <v>2014</v>
      </c>
      <c r="D3733" s="18" t="n">
        <v>2014</v>
      </c>
      <c r="E3733" s="18" t="inlineStr">
        <is>
          <t>Hercules</t>
        </is>
      </c>
      <c r="F3733" s="18" t="inlineStr">
        <is>
          <t>F0147</t>
        </is>
      </c>
    </row>
    <row r="3734" ht="15.75" customHeight="1" s="108">
      <c r="A3734" s="18" t="inlineStr">
        <is>
          <t>Barbara Barrie</t>
        </is>
      </c>
      <c r="B3734" s="18" t="n">
        <v>1</v>
      </c>
      <c r="C3734" s="18" t="n">
        <v>2014</v>
      </c>
      <c r="D3734" s="18" t="n">
        <v>2014</v>
      </c>
      <c r="E3734" s="18" t="inlineStr">
        <is>
          <t>Hercules</t>
        </is>
      </c>
      <c r="F3734" s="18" t="inlineStr">
        <is>
          <t>F0147</t>
        </is>
      </c>
    </row>
    <row r="3735" ht="15.75" customHeight="1" s="108">
      <c r="A3735" s="18" t="inlineStr">
        <is>
          <t>Hal Holbrook</t>
        </is>
      </c>
      <c r="B3735" s="18" t="n">
        <v>1</v>
      </c>
      <c r="C3735" s="18" t="n">
        <v>2014</v>
      </c>
      <c r="D3735" s="18" t="n">
        <v>2014</v>
      </c>
      <c r="E3735" s="18" t="inlineStr">
        <is>
          <t>Hercules</t>
        </is>
      </c>
      <c r="F3735" s="18" t="inlineStr">
        <is>
          <t>F0147</t>
        </is>
      </c>
    </row>
    <row r="3736" ht="15.75" customHeight="1" s="108">
      <c r="A3736" s="18" t="inlineStr">
        <is>
          <t>Paul Shaffer</t>
        </is>
      </c>
      <c r="B3736" s="18" t="n">
        <v>1</v>
      </c>
      <c r="C3736" s="18" t="n">
        <v>2014</v>
      </c>
      <c r="D3736" s="18" t="n">
        <v>2014</v>
      </c>
      <c r="E3736" s="18" t="inlineStr">
        <is>
          <t>Hercules</t>
        </is>
      </c>
      <c r="F3736" s="18" t="inlineStr">
        <is>
          <t>F0147</t>
        </is>
      </c>
    </row>
    <row r="3737" ht="15.75" customHeight="1" s="108">
      <c r="A3737" s="18" t="inlineStr">
        <is>
          <t>Amanda Plummer</t>
        </is>
      </c>
      <c r="B3737" s="18" t="n">
        <v>3</v>
      </c>
      <c r="C3737" s="18" t="n">
        <v>2013</v>
      </c>
      <c r="D3737" s="18" t="n">
        <v>2016</v>
      </c>
      <c r="E3737" s="18" t="inlineStr">
        <is>
          <t>Hercules, Catching  fire, Catching fire</t>
        </is>
      </c>
      <c r="F3737" s="18" t="inlineStr">
        <is>
          <t>F0147, F0382, F0384</t>
        </is>
      </c>
    </row>
    <row r="3738" ht="15.75" customHeight="1" s="108">
      <c r="A3738" s="18" t="inlineStr">
        <is>
          <t>Carole Shelley</t>
        </is>
      </c>
      <c r="B3738" s="18" t="n">
        <v>1</v>
      </c>
      <c r="C3738" s="18" t="n">
        <v>2014</v>
      </c>
      <c r="D3738" s="18" t="n">
        <v>2014</v>
      </c>
      <c r="E3738" s="18" t="inlineStr">
        <is>
          <t>Hercules</t>
        </is>
      </c>
      <c r="F3738" s="18" t="inlineStr">
        <is>
          <t>F0147</t>
        </is>
      </c>
    </row>
    <row r="3739" ht="15.75" customHeight="1" s="108">
      <c r="A3739" s="18" t="inlineStr">
        <is>
          <t>Paddi Edwards</t>
        </is>
      </c>
      <c r="B3739" s="18" t="n">
        <v>1</v>
      </c>
      <c r="C3739" s="18" t="n">
        <v>2014</v>
      </c>
      <c r="D3739" s="18" t="n">
        <v>2014</v>
      </c>
      <c r="E3739" s="18" t="inlineStr">
        <is>
          <t>Hercules</t>
        </is>
      </c>
      <c r="F3739" s="18" t="inlineStr">
        <is>
          <t>F0147</t>
        </is>
      </c>
    </row>
    <row r="3740" ht="15.75" customHeight="1" s="108">
      <c r="A3740" s="18" t="inlineStr">
        <is>
          <t>Charlton Heston</t>
        </is>
      </c>
      <c r="B3740" s="18" t="n">
        <v>1</v>
      </c>
      <c r="C3740" s="18" t="n">
        <v>2014</v>
      </c>
      <c r="D3740" s="18" t="n">
        <v>2014</v>
      </c>
      <c r="E3740" s="18" t="inlineStr">
        <is>
          <t>Hercules</t>
        </is>
      </c>
      <c r="F3740" s="18" t="inlineStr">
        <is>
          <t>F0147</t>
        </is>
      </c>
    </row>
    <row r="3741" ht="15.75" customHeight="1" s="108">
      <c r="A3741" s="18" t="inlineStr">
        <is>
          <t>Lillias White</t>
        </is>
      </c>
      <c r="B3741" s="18" t="n">
        <v>1</v>
      </c>
      <c r="C3741" s="18" t="n">
        <v>2014</v>
      </c>
      <c r="D3741" s="18" t="n">
        <v>2014</v>
      </c>
      <c r="E3741" s="18" t="inlineStr">
        <is>
          <t>Hercules</t>
        </is>
      </c>
      <c r="F3741" s="18" t="inlineStr">
        <is>
          <t>F0147</t>
        </is>
      </c>
    </row>
    <row r="3742" ht="15.75" customHeight="1" s="108">
      <c r="A3742" s="18" t="inlineStr">
        <is>
          <t>Cheryl Freeman</t>
        </is>
      </c>
      <c r="B3742" s="18" t="n">
        <v>1</v>
      </c>
      <c r="C3742" s="18" t="n">
        <v>2014</v>
      </c>
      <c r="D3742" s="18" t="n">
        <v>2014</v>
      </c>
      <c r="E3742" s="18" t="inlineStr">
        <is>
          <t>Hercules</t>
        </is>
      </c>
      <c r="F3742" s="18" t="inlineStr">
        <is>
          <t>F0147</t>
        </is>
      </c>
    </row>
    <row r="3743" ht="15.75" customHeight="1" s="108">
      <c r="A3743" s="18" t="inlineStr">
        <is>
          <t>LaChanze</t>
        </is>
      </c>
      <c r="B3743" s="18" t="n">
        <v>1</v>
      </c>
      <c r="C3743" s="18" t="n">
        <v>2014</v>
      </c>
      <c r="D3743" s="18" t="n">
        <v>2014</v>
      </c>
      <c r="E3743" s="18" t="inlineStr">
        <is>
          <t>Hercules</t>
        </is>
      </c>
      <c r="F3743" s="18" t="inlineStr">
        <is>
          <t>F0147</t>
        </is>
      </c>
    </row>
    <row r="3744" ht="15.75" customHeight="1" s="108">
      <c r="A3744" s="18" t="inlineStr">
        <is>
          <t>Roz Ryan</t>
        </is>
      </c>
      <c r="B3744" s="18" t="n">
        <v>1</v>
      </c>
      <c r="C3744" s="18" t="n">
        <v>2014</v>
      </c>
      <c r="D3744" s="18" t="n">
        <v>2014</v>
      </c>
      <c r="E3744" s="18" t="inlineStr">
        <is>
          <t>Hercules</t>
        </is>
      </c>
      <c r="F3744" s="18" t="inlineStr">
        <is>
          <t>F0147</t>
        </is>
      </c>
    </row>
    <row r="3745" ht="15.75" customHeight="1" s="108">
      <c r="A3745" s="18" t="inlineStr">
        <is>
          <t>Jim Cummings</t>
        </is>
      </c>
      <c r="B3745" s="18" t="n">
        <v>4</v>
      </c>
      <c r="C3745" s="18" t="n">
        <v>1994</v>
      </c>
      <c r="D3745" s="18" t="n">
        <v>2016</v>
      </c>
      <c r="E3745" s="18" t="inlineStr">
        <is>
          <t>Hercules, The Lion King, Minions, The Secret Life of Pets</t>
        </is>
      </c>
      <c r="F3745" s="18" t="inlineStr">
        <is>
          <t>F0147, F0200, F0220, F0274</t>
        </is>
      </c>
    </row>
    <row r="3746" ht="15.75" customHeight="1" s="108">
      <c r="A3746" s="18" t="inlineStr">
        <is>
          <t>Keith David</t>
        </is>
      </c>
      <c r="B3746" s="18" t="n">
        <v>3</v>
      </c>
      <c r="C3746" s="18" t="n">
        <v>2005</v>
      </c>
      <c r="D3746" s="18" t="n">
        <v>2016</v>
      </c>
      <c r="E3746" s="18" t="inlineStr">
        <is>
          <t>Hercules, Mr. &amp; Mrs. Smith, The Nice Guys</t>
        </is>
      </c>
      <c r="F3746" s="18" t="inlineStr">
        <is>
          <t>F0147, F0231, F0235</t>
        </is>
      </c>
    </row>
    <row r="3747" ht="15.75" customHeight="1" s="108">
      <c r="A3747" s="18" t="inlineStr">
        <is>
          <t>Wayne Knight</t>
        </is>
      </c>
      <c r="B3747" s="18" t="n">
        <v>3</v>
      </c>
      <c r="C3747" s="18" t="n">
        <v>1993</v>
      </c>
      <c r="D3747" s="18" t="n">
        <v>2014</v>
      </c>
      <c r="E3747" s="18" t="inlineStr">
        <is>
          <t>Hercules, Jurassic Park, Toy Story 2</t>
        </is>
      </c>
      <c r="F3747" s="18" t="inlineStr">
        <is>
          <t>F0147, F0176, F0313</t>
        </is>
      </c>
    </row>
    <row r="3748" ht="15.75" customHeight="1" s="108">
      <c r="A3748" s="18" t="inlineStr">
        <is>
          <t>Sherry Lynn</t>
        </is>
      </c>
      <c r="B3748" s="18" t="n">
        <v>5</v>
      </c>
      <c r="C3748" s="18" t="n">
        <v>1995</v>
      </c>
      <c r="D3748" s="18" t="n">
        <v>2015</v>
      </c>
      <c r="E3748" s="18" t="inlineStr">
        <is>
          <t>Hercules, Minions, Toy Story, Up, WALL·E</t>
        </is>
      </c>
      <c r="F3748" s="18" t="inlineStr">
        <is>
          <t>F0147, F0220, F0312, F0330, F0331</t>
        </is>
      </c>
    </row>
    <row r="3749" ht="15.75" customHeight="1" s="108">
      <c r="A3749" s="18" t="inlineStr">
        <is>
          <t>Patrick Pinney</t>
        </is>
      </c>
      <c r="B3749" s="18" t="n">
        <v>1</v>
      </c>
      <c r="C3749" s="18" t="n">
        <v>2014</v>
      </c>
      <c r="D3749" s="18" t="n">
        <v>2014</v>
      </c>
      <c r="E3749" s="18" t="inlineStr">
        <is>
          <t>Hercules</t>
        </is>
      </c>
      <c r="F3749" s="18" t="inlineStr">
        <is>
          <t>F0147</t>
        </is>
      </c>
    </row>
    <row r="3750" ht="15.75" customHeight="1" s="108">
      <c r="A3750" s="18" t="inlineStr">
        <is>
          <t>Corey Burton</t>
        </is>
      </c>
      <c r="B3750" s="18" t="n">
        <v>3</v>
      </c>
      <c r="C3750" s="18" t="n">
        <v>1986</v>
      </c>
      <c r="D3750" s="18" t="n">
        <v>2014</v>
      </c>
      <c r="E3750" s="18" t="inlineStr">
        <is>
          <t>Hercules, Toy Story 2, The Transformers: The Movie</t>
        </is>
      </c>
      <c r="F3750" s="18" t="inlineStr">
        <is>
          <t>F0147, F0313, F0322</t>
        </is>
      </c>
    </row>
    <row r="3751" ht="15.75" customHeight="1" s="108">
      <c r="A3751" s="18" t="inlineStr">
        <is>
          <t>Liam Garrigan</t>
        </is>
      </c>
      <c r="B3751" s="18" t="n">
        <v>2</v>
      </c>
      <c r="C3751" s="18" t="n">
        <v>2014</v>
      </c>
      <c r="D3751" s="18" t="n">
        <v>2017</v>
      </c>
      <c r="E3751" s="18" t="inlineStr">
        <is>
          <t>The Legend of Hercules, Transformers: The Last Knight</t>
        </is>
      </c>
      <c r="F3751" s="18" t="inlineStr">
        <is>
          <t>F0148, F0320</t>
        </is>
      </c>
    </row>
    <row r="3752" ht="15.75" customHeight="1" s="108">
      <c r="A3752" s="18" t="inlineStr">
        <is>
          <t>Johnathon Schaech</t>
        </is>
      </c>
      <c r="B3752" s="18" t="n">
        <v>1</v>
      </c>
      <c r="C3752" s="18" t="n">
        <v>2014</v>
      </c>
      <c r="D3752" s="18" t="n">
        <v>2014</v>
      </c>
      <c r="E3752" s="18" t="inlineStr">
        <is>
          <t>The Legend of Hercules</t>
        </is>
      </c>
      <c r="F3752" s="18" t="inlineStr">
        <is>
          <t>F0148</t>
        </is>
      </c>
    </row>
    <row r="3753" ht="15.75" customHeight="1" s="108">
      <c r="A3753" s="18" t="inlineStr">
        <is>
          <t>Luke Newberry</t>
        </is>
      </c>
      <c r="B3753" s="18" t="n">
        <v>1</v>
      </c>
      <c r="C3753" s="18" t="n">
        <v>2014</v>
      </c>
      <c r="D3753" s="18" t="n">
        <v>2014</v>
      </c>
      <c r="E3753" s="18" t="inlineStr">
        <is>
          <t>The Legend of Hercules</t>
        </is>
      </c>
      <c r="F3753" s="18" t="inlineStr">
        <is>
          <t>F0148</t>
        </is>
      </c>
    </row>
    <row r="3754" ht="15.75" customHeight="1" s="108">
      <c r="A3754" s="18" t="inlineStr">
        <is>
          <t>Nikolai Sotirov</t>
        </is>
      </c>
      <c r="B3754" s="18" t="n">
        <v>1</v>
      </c>
      <c r="C3754" s="18" t="n">
        <v>2014</v>
      </c>
      <c r="D3754" s="18" t="n">
        <v>2014</v>
      </c>
      <c r="E3754" s="18" t="inlineStr">
        <is>
          <t>The Legend of Hercules</t>
        </is>
      </c>
      <c r="F3754" s="18" t="inlineStr">
        <is>
          <t>F0148</t>
        </is>
      </c>
    </row>
    <row r="3755" ht="15.75" customHeight="1" s="108">
      <c r="A3755" s="18" t="inlineStr">
        <is>
          <t>Radoslav Parvanov</t>
        </is>
      </c>
      <c r="B3755" s="18" t="n">
        <v>1</v>
      </c>
      <c r="C3755" s="18" t="n">
        <v>2014</v>
      </c>
      <c r="D3755" s="18" t="n">
        <v>2014</v>
      </c>
      <c r="E3755" s="18" t="inlineStr">
        <is>
          <t>The Legend of Hercules</t>
        </is>
      </c>
      <c r="F3755" s="18" t="inlineStr">
        <is>
          <t>F0148</t>
        </is>
      </c>
    </row>
    <row r="3756" ht="15.75" customHeight="1" s="108">
      <c r="A3756" s="18" t="inlineStr">
        <is>
          <t>Spencer Wilding</t>
        </is>
      </c>
      <c r="B3756" s="18" t="n">
        <v>2</v>
      </c>
      <c r="C3756" s="18" t="n">
        <v>2014</v>
      </c>
      <c r="D3756" s="18" t="n">
        <v>2016</v>
      </c>
      <c r="E3756" s="18" t="inlineStr">
        <is>
          <t>The Legend of Hercules, Rogue one</t>
        </is>
      </c>
      <c r="F3756" s="18" t="inlineStr">
        <is>
          <t>F0148, F0385</t>
        </is>
      </c>
    </row>
    <row r="3757" ht="15.75" customHeight="1" s="108">
      <c r="A3757" s="18" t="inlineStr">
        <is>
          <t>Bashar Rahal</t>
        </is>
      </c>
      <c r="B3757" s="18" t="n">
        <v>1</v>
      </c>
      <c r="C3757" s="18" t="n">
        <v>2014</v>
      </c>
      <c r="D3757" s="18" t="n">
        <v>2014</v>
      </c>
      <c r="E3757" s="18" t="inlineStr">
        <is>
          <t>The Legend of Hercules</t>
        </is>
      </c>
      <c r="F3757" s="18" t="inlineStr">
        <is>
          <t>F0148</t>
        </is>
      </c>
    </row>
    <row r="3758" ht="15.75" customHeight="1" s="108">
      <c r="A3758" s="18" t="inlineStr">
        <is>
          <t>Vlado Mihailov</t>
        </is>
      </c>
      <c r="B3758" s="18" t="n">
        <v>1</v>
      </c>
      <c r="C3758" s="18" t="n">
        <v>2014</v>
      </c>
      <c r="D3758" s="18" t="n">
        <v>2014</v>
      </c>
      <c r="E3758" s="18" t="inlineStr">
        <is>
          <t>The Legend of Hercules</t>
        </is>
      </c>
      <c r="F3758" s="18" t="inlineStr">
        <is>
          <t>F0148</t>
        </is>
      </c>
    </row>
    <row r="3759" ht="15.75" customHeight="1" s="108">
      <c r="A3759" s="18" t="inlineStr">
        <is>
          <t>Renny Harlin</t>
        </is>
      </c>
      <c r="B3759" s="18" t="n">
        <v>1</v>
      </c>
      <c r="C3759" s="18" t="n">
        <v>2014</v>
      </c>
      <c r="D3759" s="18" t="n">
        <v>2014</v>
      </c>
      <c r="E3759" s="18" t="inlineStr">
        <is>
          <t>The Legend of Hercules</t>
        </is>
      </c>
      <c r="F3759" s="18" t="inlineStr">
        <is>
          <t>F0148</t>
        </is>
      </c>
    </row>
    <row r="3760" ht="15.75" customHeight="1" s="108">
      <c r="A3760" s="18" t="inlineStr">
        <is>
          <t>Borislav Iliev</t>
        </is>
      </c>
      <c r="B3760" s="18" t="n">
        <v>1</v>
      </c>
      <c r="C3760" s="18" t="n">
        <v>2014</v>
      </c>
      <c r="D3760" s="18" t="n">
        <v>2014</v>
      </c>
      <c r="E3760" s="18" t="inlineStr">
        <is>
          <t>The Legend of Hercules</t>
        </is>
      </c>
      <c r="F3760" s="18" t="inlineStr">
        <is>
          <t>F0148</t>
        </is>
      </c>
    </row>
    <row r="3761" ht="15.75" customHeight="1" s="108">
      <c r="A3761" s="18" t="inlineStr">
        <is>
          <t>Trayan Milenov-Troy</t>
        </is>
      </c>
      <c r="B3761" s="18" t="n">
        <v>2</v>
      </c>
      <c r="C3761" s="18" t="n">
        <v>2012</v>
      </c>
      <c r="D3761" s="18" t="n">
        <v>2014</v>
      </c>
      <c r="E3761" s="18" t="inlineStr">
        <is>
          <t>The Legend of Hercules, Safe House</t>
        </is>
      </c>
      <c r="F3761" s="18" t="inlineStr">
        <is>
          <t>F0148, F0272</t>
        </is>
      </c>
    </row>
    <row r="3762" ht="15.75" customHeight="1" s="108">
      <c r="A3762" s="18" t="inlineStr">
        <is>
          <t>Mariah Gale</t>
        </is>
      </c>
      <c r="B3762" s="18" t="n">
        <v>1</v>
      </c>
      <c r="C3762" s="18" t="n">
        <v>2014</v>
      </c>
      <c r="D3762" s="18" t="n">
        <v>2014</v>
      </c>
      <c r="E3762" s="18" t="inlineStr">
        <is>
          <t>The Legend of Hercules</t>
        </is>
      </c>
      <c r="F3762" s="18" t="inlineStr">
        <is>
          <t>F0148</t>
        </is>
      </c>
    </row>
    <row r="3763" ht="15.75" customHeight="1" s="108">
      <c r="A3763" s="18" t="inlineStr">
        <is>
          <t>Kitodar Todorov</t>
        </is>
      </c>
      <c r="B3763" s="18" t="n">
        <v>1</v>
      </c>
      <c r="C3763" s="18" t="n">
        <v>2014</v>
      </c>
      <c r="D3763" s="18" t="n">
        <v>2014</v>
      </c>
      <c r="E3763" s="18" t="inlineStr">
        <is>
          <t>The Legend of Hercules</t>
        </is>
      </c>
      <c r="F3763" s="18" t="inlineStr">
        <is>
          <t>F0148</t>
        </is>
      </c>
    </row>
    <row r="3764" ht="15.75" customHeight="1" s="108">
      <c r="A3764" s="18" t="inlineStr">
        <is>
          <t>Stefan Shterev</t>
        </is>
      </c>
      <c r="B3764" s="18" t="n">
        <v>1</v>
      </c>
      <c r="C3764" s="18" t="n">
        <v>2014</v>
      </c>
      <c r="D3764" s="18" t="n">
        <v>2014</v>
      </c>
      <c r="E3764" s="18" t="inlineStr">
        <is>
          <t>The Legend of Hercules</t>
        </is>
      </c>
      <c r="F3764" s="18" t="inlineStr">
        <is>
          <t>F0148</t>
        </is>
      </c>
    </row>
    <row r="3765" ht="15.75" customHeight="1" s="108">
      <c r="A3765" s="18" t="inlineStr">
        <is>
          <t>Deana Stoyanova</t>
        </is>
      </c>
      <c r="B3765" s="18" t="n">
        <v>1</v>
      </c>
      <c r="C3765" s="18" t="n">
        <v>2014</v>
      </c>
      <c r="D3765" s="18" t="n">
        <v>2014</v>
      </c>
      <c r="E3765" s="18" t="inlineStr">
        <is>
          <t>The Legend of Hercules</t>
        </is>
      </c>
      <c r="F3765" s="18" t="inlineStr">
        <is>
          <t>F0148</t>
        </is>
      </c>
    </row>
    <row r="3766" ht="15.75" customHeight="1" s="108">
      <c r="A3766" s="18" t="inlineStr">
        <is>
          <t>Borislav Ivanov</t>
        </is>
      </c>
      <c r="B3766" s="18" t="n">
        <v>1</v>
      </c>
      <c r="C3766" s="18" t="n">
        <v>2014</v>
      </c>
      <c r="D3766" s="18" t="n">
        <v>2014</v>
      </c>
      <c r="E3766" s="18" t="inlineStr">
        <is>
          <t>The Legend of Hercules</t>
        </is>
      </c>
      <c r="F3766" s="18" t="inlineStr">
        <is>
          <t>F0148</t>
        </is>
      </c>
    </row>
    <row r="3767" ht="15.75" customHeight="1" s="108">
      <c r="A3767" s="18" t="inlineStr">
        <is>
          <t>Michael Georgiev</t>
        </is>
      </c>
      <c r="B3767" s="18" t="n">
        <v>1</v>
      </c>
      <c r="C3767" s="18" t="n">
        <v>2014</v>
      </c>
      <c r="D3767" s="18" t="n">
        <v>2014</v>
      </c>
      <c r="E3767" s="18" t="inlineStr">
        <is>
          <t>The Legend of Hercules</t>
        </is>
      </c>
      <c r="F3767" s="18" t="inlineStr">
        <is>
          <t>F0148</t>
        </is>
      </c>
    </row>
    <row r="3768" ht="15.75" customHeight="1" s="108">
      <c r="A3768" s="18" t="inlineStr">
        <is>
          <t>Nikolay Petkov</t>
        </is>
      </c>
      <c r="B3768" s="18" t="n">
        <v>1</v>
      </c>
      <c r="C3768" s="18" t="n">
        <v>2014</v>
      </c>
      <c r="D3768" s="18" t="n">
        <v>2014</v>
      </c>
      <c r="E3768" s="18" t="inlineStr">
        <is>
          <t>The Legend of Hercules</t>
        </is>
      </c>
      <c r="F3768" s="18" t="inlineStr">
        <is>
          <t>F0148</t>
        </is>
      </c>
    </row>
    <row r="3769" ht="15.75" customHeight="1" s="108">
      <c r="A3769" s="18" t="inlineStr">
        <is>
          <t>Boris Pankin</t>
        </is>
      </c>
      <c r="B3769" s="18" t="n">
        <v>1</v>
      </c>
      <c r="C3769" s="18" t="n">
        <v>2014</v>
      </c>
      <c r="D3769" s="18" t="n">
        <v>2014</v>
      </c>
      <c r="E3769" s="18" t="inlineStr">
        <is>
          <t>The Legend of Hercules</t>
        </is>
      </c>
      <c r="F3769" s="18" t="inlineStr">
        <is>
          <t>F0148</t>
        </is>
      </c>
    </row>
    <row r="3770" ht="15.75" customHeight="1" s="108">
      <c r="A3770" s="18" t="inlineStr">
        <is>
          <t>Élodie Yung</t>
        </is>
      </c>
      <c r="B3770" s="18" t="n">
        <v>1</v>
      </c>
      <c r="C3770" s="18" t="n">
        <v>2017</v>
      </c>
      <c r="D3770" s="18" t="n">
        <v>2017</v>
      </c>
      <c r="E3770" s="18" t="inlineStr">
        <is>
          <t>The Hitman's Bodyguard</t>
        </is>
      </c>
      <c r="F3770" s="18" t="inlineStr">
        <is>
          <t>F0149</t>
        </is>
      </c>
    </row>
    <row r="3771" ht="15.75" customHeight="1" s="108">
      <c r="A3771" s="18" t="inlineStr">
        <is>
          <t>Richard E. Grant</t>
        </is>
      </c>
      <c r="B3771" s="18" t="n">
        <v>3</v>
      </c>
      <c r="C3771" s="18" t="n">
        <v>2017</v>
      </c>
      <c r="D3771" s="18" t="n">
        <v>2019</v>
      </c>
      <c r="E3771" s="18" t="inlineStr">
        <is>
          <t>The Hitman's Bodyguard, Logan, Star Wars: The Rise of Skywalker</t>
        </is>
      </c>
      <c r="F3771" s="18" t="inlineStr">
        <is>
          <t>F0149, F0201, F0300</t>
        </is>
      </c>
    </row>
    <row r="3772" ht="15.75" customHeight="1" s="108">
      <c r="A3772" s="18" t="inlineStr">
        <is>
          <t>Kirsty Mitchell</t>
        </is>
      </c>
      <c r="B3772" s="18" t="n">
        <v>1</v>
      </c>
      <c r="C3772" s="18" t="n">
        <v>2017</v>
      </c>
      <c r="D3772" s="18" t="n">
        <v>2017</v>
      </c>
      <c r="E3772" s="18" t="inlineStr">
        <is>
          <t>The Hitman's Bodyguard</t>
        </is>
      </c>
      <c r="F3772" s="18" t="inlineStr">
        <is>
          <t>F0149</t>
        </is>
      </c>
    </row>
    <row r="3773" ht="15.75" customHeight="1" s="108">
      <c r="A3773" s="18" t="inlineStr">
        <is>
          <t>Yuri Kolokolnikov</t>
        </is>
      </c>
      <c r="B3773" s="18" t="n">
        <v>3</v>
      </c>
      <c r="C3773" s="18" t="n">
        <v>2015</v>
      </c>
      <c r="D3773" s="18" t="n">
        <v>2020</v>
      </c>
      <c r="E3773" s="18" t="inlineStr">
        <is>
          <t>The Hitman's Bodyguard, The Transporter Refueled, Tenet</t>
        </is>
      </c>
      <c r="F3773" s="18" t="inlineStr">
        <is>
          <t>F0149, F0323, F0387</t>
        </is>
      </c>
    </row>
    <row r="3774" ht="15.75" customHeight="1" s="108">
      <c r="A3774" s="18" t="inlineStr">
        <is>
          <t>Mikhail Gorevoy</t>
        </is>
      </c>
      <c r="B3774" s="18" t="n">
        <v>1</v>
      </c>
      <c r="C3774" s="18" t="n">
        <v>2017</v>
      </c>
      <c r="D3774" s="18" t="n">
        <v>2017</v>
      </c>
      <c r="E3774" s="18" t="inlineStr">
        <is>
          <t>The Hitman's Bodyguard</t>
        </is>
      </c>
      <c r="F3774" s="18" t="inlineStr">
        <is>
          <t>F0149</t>
        </is>
      </c>
    </row>
    <row r="3775" ht="15.75" customHeight="1" s="108">
      <c r="A3775" s="18" t="inlineStr">
        <is>
          <t>Barry Atsma</t>
        </is>
      </c>
      <c r="B3775" s="18" t="n">
        <v>1</v>
      </c>
      <c r="C3775" s="18" t="n">
        <v>2017</v>
      </c>
      <c r="D3775" s="18" t="n">
        <v>2017</v>
      </c>
      <c r="E3775" s="18" t="inlineStr">
        <is>
          <t>The Hitman's Bodyguard</t>
        </is>
      </c>
      <c r="F3775" s="18" t="inlineStr">
        <is>
          <t>F0149</t>
        </is>
      </c>
    </row>
    <row r="3776" ht="15.75" customHeight="1" s="108">
      <c r="A3776" s="18" t="inlineStr">
        <is>
          <t>Georgie Glen</t>
        </is>
      </c>
      <c r="B3776" s="18" t="n">
        <v>2</v>
      </c>
      <c r="C3776" s="18" t="n">
        <v>2012</v>
      </c>
      <c r="D3776" s="18" t="n">
        <v>2017</v>
      </c>
      <c r="E3776" s="18" t="inlineStr">
        <is>
          <t>The Hitman's Bodyguard, Les Misérables</t>
        </is>
      </c>
      <c r="F3776" s="18" t="inlineStr">
        <is>
          <t>F0149, F0199</t>
        </is>
      </c>
    </row>
    <row r="3777" ht="15.75" customHeight="1" s="108">
      <c r="A3777" s="18" t="inlineStr">
        <is>
          <t>Tine Joustra</t>
        </is>
      </c>
      <c r="B3777" s="18" t="n">
        <v>1</v>
      </c>
      <c r="C3777" s="18" t="n">
        <v>2017</v>
      </c>
      <c r="D3777" s="18" t="n">
        <v>2017</v>
      </c>
      <c r="E3777" s="18" t="inlineStr">
        <is>
          <t>The Hitman's Bodyguard</t>
        </is>
      </c>
      <c r="F3777" s="18" t="inlineStr">
        <is>
          <t>F0149</t>
        </is>
      </c>
    </row>
    <row r="3778" ht="15.75" customHeight="1" s="108">
      <c r="A3778" s="18" t="inlineStr">
        <is>
          <t>Joséphine de la Baume</t>
        </is>
      </c>
      <c r="B3778" s="18" t="n">
        <v>2</v>
      </c>
      <c r="C3778" s="18" t="n">
        <v>2013</v>
      </c>
      <c r="D3778" s="18" t="n">
        <v>2017</v>
      </c>
      <c r="E3778" s="18" t="inlineStr">
        <is>
          <t>The Hitman's Bodyguard, Rush</t>
        </is>
      </c>
      <c r="F3778" s="18" t="inlineStr">
        <is>
          <t>F0149, F0270</t>
        </is>
      </c>
    </row>
    <row r="3779" ht="15.75" customHeight="1" s="108">
      <c r="A3779" s="18" t="inlineStr">
        <is>
          <t>Rod Hallett</t>
        </is>
      </c>
      <c r="B3779" s="18" t="n">
        <v>1</v>
      </c>
      <c r="C3779" s="18" t="n">
        <v>2017</v>
      </c>
      <c r="D3779" s="18" t="n">
        <v>2017</v>
      </c>
      <c r="E3779" s="18" t="inlineStr">
        <is>
          <t>The Hitman's Bodyguard</t>
        </is>
      </c>
      <c r="F3779" s="18" t="inlineStr">
        <is>
          <t>F0149</t>
        </is>
      </c>
    </row>
    <row r="3780" ht="15.75" customHeight="1" s="108">
      <c r="A3780" s="18" t="inlineStr">
        <is>
          <t>Abbey Hoes</t>
        </is>
      </c>
      <c r="B3780" s="18" t="n">
        <v>1</v>
      </c>
      <c r="C3780" s="18" t="n">
        <v>2017</v>
      </c>
      <c r="D3780" s="18" t="n">
        <v>2017</v>
      </c>
      <c r="E3780" s="18" t="inlineStr">
        <is>
          <t>The Hitman's Bodyguard</t>
        </is>
      </c>
      <c r="F3780" s="18" t="inlineStr">
        <is>
          <t>F0149</t>
        </is>
      </c>
    </row>
    <row r="3781" ht="15.75" customHeight="1" s="108">
      <c r="A3781" s="18" t="inlineStr">
        <is>
          <t>Lee Nicholas Harris</t>
        </is>
      </c>
      <c r="B3781" s="18" t="n">
        <v>1</v>
      </c>
      <c r="C3781" s="18" t="n">
        <v>2017</v>
      </c>
      <c r="D3781" s="18" t="n">
        <v>2017</v>
      </c>
      <c r="E3781" s="18" t="inlineStr">
        <is>
          <t>The Hitman's Bodyguard</t>
        </is>
      </c>
      <c r="F3781" s="18" t="inlineStr">
        <is>
          <t>F0149</t>
        </is>
      </c>
    </row>
    <row r="3782" ht="15.75" customHeight="1" s="108">
      <c r="A3782" s="18" t="inlineStr">
        <is>
          <t>Nadia Konakchieva</t>
        </is>
      </c>
      <c r="B3782" s="18" t="n">
        <v>1</v>
      </c>
      <c r="C3782" s="18" t="n">
        <v>2017</v>
      </c>
      <c r="D3782" s="18" t="n">
        <v>2017</v>
      </c>
      <c r="E3782" s="18" t="inlineStr">
        <is>
          <t>The Hitman's Bodyguard</t>
        </is>
      </c>
      <c r="F3782" s="18" t="inlineStr">
        <is>
          <t>F0149</t>
        </is>
      </c>
    </row>
    <row r="3783" ht="15.75" customHeight="1" s="108">
      <c r="A3783" s="18" t="inlineStr">
        <is>
          <t>Noortje Herlaar</t>
        </is>
      </c>
      <c r="B3783" s="18" t="n">
        <v>1</v>
      </c>
      <c r="C3783" s="18" t="n">
        <v>2017</v>
      </c>
      <c r="D3783" s="18" t="n">
        <v>2017</v>
      </c>
      <c r="E3783" s="18" t="inlineStr">
        <is>
          <t>The Hitman's Bodyguard</t>
        </is>
      </c>
      <c r="F3783" s="18" t="inlineStr">
        <is>
          <t>F0149</t>
        </is>
      </c>
    </row>
    <row r="3784" ht="15.75" customHeight="1" s="108">
      <c r="A3784" s="18" t="inlineStr">
        <is>
          <t>Chris Brazier</t>
        </is>
      </c>
      <c r="B3784" s="18" t="n">
        <v>1</v>
      </c>
      <c r="C3784" s="18" t="n">
        <v>2017</v>
      </c>
      <c r="D3784" s="18" t="n">
        <v>2017</v>
      </c>
      <c r="E3784" s="18" t="inlineStr">
        <is>
          <t>The Hitman's Bodyguard</t>
        </is>
      </c>
      <c r="F3784" s="18" t="inlineStr">
        <is>
          <t>F0149</t>
        </is>
      </c>
    </row>
    <row r="3785" ht="15.75" customHeight="1" s="108">
      <c r="A3785" s="18" t="inlineStr">
        <is>
          <t>Alan McKenna</t>
        </is>
      </c>
      <c r="B3785" s="18" t="n">
        <v>1</v>
      </c>
      <c r="C3785" s="18" t="n">
        <v>2017</v>
      </c>
      <c r="D3785" s="18" t="n">
        <v>2017</v>
      </c>
      <c r="E3785" s="18" t="inlineStr">
        <is>
          <t>The Hitman's Bodyguard</t>
        </is>
      </c>
      <c r="F3785" s="18" t="inlineStr">
        <is>
          <t>F0149</t>
        </is>
      </c>
    </row>
    <row r="3786" ht="15.75" customHeight="1" s="108">
      <c r="A3786" s="18" t="inlineStr">
        <is>
          <t>Donna Preston</t>
        </is>
      </c>
      <c r="B3786" s="18" t="n">
        <v>1</v>
      </c>
      <c r="C3786" s="18" t="n">
        <v>2017</v>
      </c>
      <c r="D3786" s="18" t="n">
        <v>2017</v>
      </c>
      <c r="E3786" s="18" t="inlineStr">
        <is>
          <t>The Hitman's Bodyguard</t>
        </is>
      </c>
      <c r="F3786" s="18" t="inlineStr">
        <is>
          <t>F0149</t>
        </is>
      </c>
    </row>
    <row r="3787" ht="15.75" customHeight="1" s="108">
      <c r="A3787" s="18" t="inlineStr">
        <is>
          <t>Renars Latkovskis</t>
        </is>
      </c>
      <c r="B3787" s="18" t="n">
        <v>1</v>
      </c>
      <c r="C3787" s="18" t="n">
        <v>2017</v>
      </c>
      <c r="D3787" s="18" t="n">
        <v>2017</v>
      </c>
      <c r="E3787" s="18" t="inlineStr">
        <is>
          <t>The Hitman's Bodyguard</t>
        </is>
      </c>
      <c r="F3787" s="18" t="inlineStr">
        <is>
          <t>F0149</t>
        </is>
      </c>
    </row>
    <row r="3788" ht="15.75" customHeight="1" s="108">
      <c r="A3788" s="18" t="inlineStr">
        <is>
          <t>Samantha Bolter</t>
        </is>
      </c>
      <c r="B3788" s="18" t="n">
        <v>1</v>
      </c>
      <c r="C3788" s="18" t="n">
        <v>2017</v>
      </c>
      <c r="D3788" s="18" t="n">
        <v>2017</v>
      </c>
      <c r="E3788" s="18" t="inlineStr">
        <is>
          <t>The Hitman's Bodyguard</t>
        </is>
      </c>
      <c r="F3788" s="18" t="inlineStr">
        <is>
          <t>F0149</t>
        </is>
      </c>
    </row>
    <row r="3789" ht="15.75" customHeight="1" s="108">
      <c r="A3789" s="18" t="inlineStr">
        <is>
          <t>Russell De Rozario</t>
        </is>
      </c>
      <c r="B3789" s="18" t="n">
        <v>1</v>
      </c>
      <c r="C3789" s="18" t="n">
        <v>2017</v>
      </c>
      <c r="D3789" s="18" t="n">
        <v>2017</v>
      </c>
      <c r="E3789" s="18" t="inlineStr">
        <is>
          <t>The Hitman's Bodyguard</t>
        </is>
      </c>
      <c r="F3789" s="18" t="inlineStr">
        <is>
          <t>F0149</t>
        </is>
      </c>
    </row>
    <row r="3790" ht="15.75" customHeight="1" s="108">
      <c r="A3790" s="18" t="inlineStr">
        <is>
          <t>Antoin Cox</t>
        </is>
      </c>
      <c r="B3790" s="18" t="n">
        <v>1</v>
      </c>
      <c r="C3790" s="18" t="n">
        <v>2017</v>
      </c>
      <c r="D3790" s="18" t="n">
        <v>2017</v>
      </c>
      <c r="E3790" s="18" t="inlineStr">
        <is>
          <t>The Hitman's Bodyguard</t>
        </is>
      </c>
      <c r="F3790" s="18" t="inlineStr">
        <is>
          <t>F0149</t>
        </is>
      </c>
    </row>
    <row r="3791" ht="15.75" customHeight="1" s="108">
      <c r="A3791" s="18" t="inlineStr">
        <is>
          <t>Nicolas de Pruyssenaere</t>
        </is>
      </c>
      <c r="B3791" s="18" t="n">
        <v>1</v>
      </c>
      <c r="C3791" s="18" t="n">
        <v>2017</v>
      </c>
      <c r="D3791" s="18" t="n">
        <v>2017</v>
      </c>
      <c r="E3791" s="18" t="inlineStr">
        <is>
          <t>The Hitman's Bodyguard</t>
        </is>
      </c>
      <c r="F3791" s="18" t="inlineStr">
        <is>
          <t>F0149</t>
        </is>
      </c>
    </row>
    <row r="3792" ht="15.75" customHeight="1" s="108">
      <c r="A3792" s="18" t="inlineStr">
        <is>
          <t>Sylvester McCoy</t>
        </is>
      </c>
      <c r="B3792" s="18" t="n">
        <v>3</v>
      </c>
      <c r="C3792" s="18" t="n">
        <v>2012</v>
      </c>
      <c r="D3792" s="18" t="n">
        <v>2014</v>
      </c>
      <c r="E3792" s="18" t="inlineStr">
        <is>
          <t>The Hobbit: An Unexpected Journey, The Hobbit: The Desolation of Smaug, The Hobbit: The Battle of the Five Armies</t>
        </is>
      </c>
      <c r="F3792" s="18" t="inlineStr">
        <is>
          <t>F0150, F0151, F0152</t>
        </is>
      </c>
    </row>
    <row r="3793" ht="15.75" customHeight="1" s="108">
      <c r="A3793" s="18" t="inlineStr">
        <is>
          <t>Barry Humphries</t>
        </is>
      </c>
      <c r="B3793" s="18" t="n">
        <v>3</v>
      </c>
      <c r="C3793" s="18" t="n">
        <v>2003</v>
      </c>
      <c r="D3793" s="18" t="n">
        <v>2012</v>
      </c>
      <c r="E3793" s="18" t="inlineStr">
        <is>
          <t>The Hobbit: An Unexpected Journey, finding nemo,  finding nemo</t>
        </is>
      </c>
      <c r="F3793" s="18" t="inlineStr">
        <is>
          <t>F0150, F0369</t>
        </is>
      </c>
    </row>
    <row r="3794" ht="15.75" customHeight="1" s="108">
      <c r="A3794" s="18" t="inlineStr">
        <is>
          <t>Dean O'Gorman</t>
        </is>
      </c>
      <c r="B3794" s="18" t="n">
        <v>3</v>
      </c>
      <c r="C3794" s="18" t="n">
        <v>2012</v>
      </c>
      <c r="D3794" s="18" t="n">
        <v>2014</v>
      </c>
      <c r="E3794" s="18" t="inlineStr">
        <is>
          <t>The Hobbit: An Unexpected Journey, The Hobbit: The Desolation of Smaug, The Hobbit: The Battle of the Five Armies</t>
        </is>
      </c>
      <c r="F3794" s="18" t="inlineStr">
        <is>
          <t>F0150, F0151, F0152</t>
        </is>
      </c>
    </row>
    <row r="3795" ht="15.75" customHeight="1" s="108">
      <c r="A3795" s="18" t="inlineStr">
        <is>
          <t>Aidan Turner</t>
        </is>
      </c>
      <c r="B3795" s="18" t="n">
        <v>3</v>
      </c>
      <c r="C3795" s="18" t="n">
        <v>2012</v>
      </c>
      <c r="D3795" s="18" t="n">
        <v>2014</v>
      </c>
      <c r="E3795" s="18" t="inlineStr">
        <is>
          <t>The Hobbit: An Unexpected Journey, The Hobbit: The Desolation of Smaug, The Hobbit: The Battle of the Five Armies</t>
        </is>
      </c>
      <c r="F3795" s="18" t="inlineStr">
        <is>
          <t>F0150, F0151, F0152</t>
        </is>
      </c>
    </row>
    <row r="3796" ht="15.75" customHeight="1" s="108">
      <c r="A3796" s="18" t="inlineStr">
        <is>
          <t>Adam Brown</t>
        </is>
      </c>
      <c r="B3796" s="18" t="n">
        <v>3</v>
      </c>
      <c r="C3796" s="18" t="n">
        <v>2012</v>
      </c>
      <c r="D3796" s="18" t="n">
        <v>2014</v>
      </c>
      <c r="E3796" s="18" t="inlineStr">
        <is>
          <t>The Hobbit: An Unexpected Journey, The Hobbit: The Desolation of Smaug, The Hobbit: The Battle of the Five Armies</t>
        </is>
      </c>
      <c r="F3796" s="18" t="inlineStr">
        <is>
          <t>F0150, F0151, F0152</t>
        </is>
      </c>
    </row>
    <row r="3797" ht="15.75" customHeight="1" s="108">
      <c r="A3797" s="18" t="inlineStr">
        <is>
          <t>Peter Hambleton</t>
        </is>
      </c>
      <c r="B3797" s="18" t="n">
        <v>3</v>
      </c>
      <c r="C3797" s="18" t="n">
        <v>2012</v>
      </c>
      <c r="D3797" s="18" t="n">
        <v>2014</v>
      </c>
      <c r="E3797" s="18" t="inlineStr">
        <is>
          <t>The Hobbit: An Unexpected Journey, The Hobbit: The Desolation of Smaug, The Hobbit: The Battle of the Five Armies</t>
        </is>
      </c>
      <c r="F3797" s="18" t="inlineStr">
        <is>
          <t>F0150, F0151, F0152</t>
        </is>
      </c>
    </row>
    <row r="3798" ht="15.75" customHeight="1" s="108">
      <c r="A3798" s="18" t="inlineStr">
        <is>
          <t>John Callen</t>
        </is>
      </c>
      <c r="B3798" s="18" t="n">
        <v>3</v>
      </c>
      <c r="C3798" s="18" t="n">
        <v>2012</v>
      </c>
      <c r="D3798" s="18" t="n">
        <v>2014</v>
      </c>
      <c r="E3798" s="18" t="inlineStr">
        <is>
          <t>The Hobbit: An Unexpected Journey, The Hobbit: The Desolation of Smaug, The Hobbit: The Battle of the Five Armies</t>
        </is>
      </c>
      <c r="F3798" s="18" t="inlineStr">
        <is>
          <t>F0150, F0151, F0152</t>
        </is>
      </c>
    </row>
    <row r="3799" ht="15.75" customHeight="1" s="108">
      <c r="A3799" s="18" t="inlineStr">
        <is>
          <t>Mark Hadlow</t>
        </is>
      </c>
      <c r="B3799" s="18" t="n">
        <v>4</v>
      </c>
      <c r="C3799" s="18" t="n">
        <v>2005</v>
      </c>
      <c r="D3799" s="18" t="n">
        <v>2014</v>
      </c>
      <c r="E3799" s="18" t="inlineStr">
        <is>
          <t>The Hobbit: An Unexpected Journey, The Hobbit: The Desolation of Smaug, The Hobbit: The Battle of the Five Armies, King Kong</t>
        </is>
      </c>
      <c r="F3799" s="18" t="inlineStr">
        <is>
          <t>F0150, F0151, F0152, F0188</t>
        </is>
      </c>
    </row>
    <row r="3800" ht="15.75" customHeight="1" s="108">
      <c r="A3800" s="18" t="inlineStr">
        <is>
          <t>William Kircher</t>
        </is>
      </c>
      <c r="B3800" s="18" t="n">
        <v>3</v>
      </c>
      <c r="C3800" s="18" t="n">
        <v>2012</v>
      </c>
      <c r="D3800" s="18" t="n">
        <v>2014</v>
      </c>
      <c r="E3800" s="18" t="inlineStr">
        <is>
          <t>The Hobbit: An Unexpected Journey, The Hobbit: The Desolation of Smaug, The Hobbit: The Battle of the Five Armies</t>
        </is>
      </c>
      <c r="F3800" s="18" t="inlineStr">
        <is>
          <t>F0150, F0151, F0152</t>
        </is>
      </c>
    </row>
    <row r="3801" ht="15.75" customHeight="1" s="108">
      <c r="A3801" s="18" t="inlineStr">
        <is>
          <t>Stephen Hunter</t>
        </is>
      </c>
      <c r="B3801" s="18" t="n">
        <v>3</v>
      </c>
      <c r="C3801" s="18" t="n">
        <v>2012</v>
      </c>
      <c r="D3801" s="18" t="n">
        <v>2014</v>
      </c>
      <c r="E3801" s="18" t="inlineStr">
        <is>
          <t>The Hobbit: An Unexpected Journey, The Hobbit: The Desolation of Smaug, The Hobbit: The Battle of the Five Armies</t>
        </is>
      </c>
      <c r="F3801" s="18" t="inlineStr">
        <is>
          <t>F0150, F0151, F0152</t>
        </is>
      </c>
    </row>
    <row r="3802" ht="15.75" customHeight="1" s="108">
      <c r="A3802" s="18" t="inlineStr">
        <is>
          <t>Lee Pace</t>
        </is>
      </c>
      <c r="B3802" s="18" t="n">
        <v>3</v>
      </c>
      <c r="C3802" s="18" t="n">
        <v>2012</v>
      </c>
      <c r="D3802" s="18" t="n">
        <v>2014</v>
      </c>
      <c r="E3802" s="18" t="inlineStr">
        <is>
          <t>The Hobbit: An Unexpected Journey, The Hobbit: The Desolation of Smaug, The Hobbit: The Battle of the Five Armies</t>
        </is>
      </c>
      <c r="F3802" s="18" t="inlineStr">
        <is>
          <t>F0150, F0151, F0152</t>
        </is>
      </c>
    </row>
    <row r="3803" ht="15.75" customHeight="1" s="108">
      <c r="A3803" s="18" t="inlineStr">
        <is>
          <t>Manu Bennett</t>
        </is>
      </c>
      <c r="B3803" s="18" t="n">
        <v>2</v>
      </c>
      <c r="C3803" s="18" t="n">
        <v>2012</v>
      </c>
      <c r="D3803" s="18" t="n">
        <v>2013</v>
      </c>
      <c r="E3803" s="18" t="inlineStr">
        <is>
          <t>The Hobbit: An Unexpected Journey, The Hobbit: The Desolation of Smaug</t>
        </is>
      </c>
      <c r="F3803" s="18" t="inlineStr">
        <is>
          <t>F0150, F0151</t>
        </is>
      </c>
    </row>
    <row r="3804" ht="15.75" customHeight="1" s="108">
      <c r="A3804" s="18" t="inlineStr">
        <is>
          <t>Conan Stevens</t>
        </is>
      </c>
      <c r="B3804" s="18" t="n">
        <v>1</v>
      </c>
      <c r="C3804" s="18" t="n">
        <v>2012</v>
      </c>
      <c r="D3804" s="18" t="n">
        <v>2012</v>
      </c>
      <c r="E3804" s="18" t="inlineStr">
        <is>
          <t>The Hobbit: An Unexpected Journey</t>
        </is>
      </c>
      <c r="F3804" s="18" t="inlineStr">
        <is>
          <t>F0150</t>
        </is>
      </c>
    </row>
    <row r="3805" ht="15.75" customHeight="1" s="108">
      <c r="A3805" s="18" t="inlineStr">
        <is>
          <t>Jeffrey Thomas</t>
        </is>
      </c>
      <c r="B3805" s="18" t="n">
        <v>1</v>
      </c>
      <c r="C3805" s="18" t="n">
        <v>2012</v>
      </c>
      <c r="D3805" s="18" t="n">
        <v>2012</v>
      </c>
      <c r="E3805" s="18" t="inlineStr">
        <is>
          <t>The Hobbit: An Unexpected Journey</t>
        </is>
      </c>
      <c r="F3805" s="18" t="inlineStr">
        <is>
          <t>F0150</t>
        </is>
      </c>
    </row>
    <row r="3806" ht="15.75" customHeight="1" s="108">
      <c r="A3806" s="18" t="inlineStr">
        <is>
          <t>Michael Mizrahi</t>
        </is>
      </c>
      <c r="B3806" s="18" t="n">
        <v>1</v>
      </c>
      <c r="C3806" s="18" t="n">
        <v>2012</v>
      </c>
      <c r="D3806" s="18" t="n">
        <v>2012</v>
      </c>
      <c r="E3806" s="18" t="inlineStr">
        <is>
          <t>The Hobbit: An Unexpected Journey</t>
        </is>
      </c>
      <c r="F3806" s="18" t="inlineStr">
        <is>
          <t>F0150</t>
        </is>
      </c>
    </row>
    <row r="3807" ht="15.75" customHeight="1" s="108">
      <c r="A3807" s="18" t="inlineStr">
        <is>
          <t>John Rawls</t>
        </is>
      </c>
      <c r="B3807" s="18" t="n">
        <v>1</v>
      </c>
      <c r="C3807" s="18" t="n">
        <v>2012</v>
      </c>
      <c r="D3807" s="18" t="n">
        <v>2012</v>
      </c>
      <c r="E3807" s="18" t="inlineStr">
        <is>
          <t>The Hobbit: An Unexpected Journey</t>
        </is>
      </c>
      <c r="F3807" s="18" t="inlineStr">
        <is>
          <t>F0150</t>
        </is>
      </c>
    </row>
    <row r="3808" ht="15.75" customHeight="1" s="108">
      <c r="A3808" s="18" t="inlineStr">
        <is>
          <t>Stephen Fry</t>
        </is>
      </c>
      <c r="B3808" s="18" t="n">
        <v>3</v>
      </c>
      <c r="C3808" s="18" t="n">
        <v>2011</v>
      </c>
      <c r="D3808" s="18" t="n">
        <v>2014</v>
      </c>
      <c r="E3808" s="18" t="inlineStr">
        <is>
          <t>The Hobbit: The Desolation of Smaug, The Hobbit: The Battle of the Five Armies, Sherlock Holmes: A Game of Shadows</t>
        </is>
      </c>
      <c r="F3808" s="18" t="inlineStr">
        <is>
          <t>F0151, F0152, F0279</t>
        </is>
      </c>
    </row>
    <row r="3809" ht="15.75" customHeight="1" s="108">
      <c r="A3809" s="18" t="inlineStr">
        <is>
          <t>Mikael Persbrandt</t>
        </is>
      </c>
      <c r="B3809" s="18" t="n">
        <v>2</v>
      </c>
      <c r="C3809" s="18" t="n">
        <v>2013</v>
      </c>
      <c r="D3809" s="18" t="n">
        <v>2014</v>
      </c>
      <c r="E3809" s="18" t="inlineStr">
        <is>
          <t>The Hobbit: The Desolation of Smaug, The Hobbit: The Battle of the Five Armies</t>
        </is>
      </c>
      <c r="F3809" s="18" t="inlineStr">
        <is>
          <t>F0151, F0152</t>
        </is>
      </c>
    </row>
    <row r="3810" ht="15.75" customHeight="1" s="108">
      <c r="A3810" s="18" t="inlineStr">
        <is>
          <t>Ryan Gage</t>
        </is>
      </c>
      <c r="B3810" s="18" t="n">
        <v>2</v>
      </c>
      <c r="C3810" s="18" t="n">
        <v>2013</v>
      </c>
      <c r="D3810" s="18" t="n">
        <v>2014</v>
      </c>
      <c r="E3810" s="18" t="inlineStr">
        <is>
          <t>The Hobbit: The Desolation of Smaug, The Hobbit: The Battle of the Five Armies</t>
        </is>
      </c>
      <c r="F3810" s="18" t="inlineStr">
        <is>
          <t>F0151, F0152</t>
        </is>
      </c>
    </row>
    <row r="3811" ht="15.75" customHeight="1" s="108">
      <c r="A3811" s="18" t="inlineStr">
        <is>
          <t>John Bell</t>
        </is>
      </c>
      <c r="B3811" s="18" t="n">
        <v>2</v>
      </c>
      <c r="C3811" s="18" t="n">
        <v>2013</v>
      </c>
      <c r="D3811" s="18" t="n">
        <v>2014</v>
      </c>
      <c r="E3811" s="18" t="inlineStr">
        <is>
          <t>The Hobbit: The Desolation of Smaug, The Hobbit: The Battle of the Five Armies</t>
        </is>
      </c>
      <c r="F3811" s="18" t="inlineStr">
        <is>
          <t>F0151, F0152</t>
        </is>
      </c>
    </row>
    <row r="3812" ht="15.75" customHeight="1" s="108">
      <c r="A3812" s="18" t="inlineStr">
        <is>
          <t>Lawrence Makoare</t>
        </is>
      </c>
      <c r="B3812" s="18" t="n">
        <v>3</v>
      </c>
      <c r="C3812" s="18" t="n">
        <v>2001</v>
      </c>
      <c r="D3812" s="18" t="n">
        <v>2013</v>
      </c>
      <c r="E3812" s="18" t="inlineStr">
        <is>
          <t>The Hobbit: The Desolation of Smaug, The Lord of the Rings: The Fellowship of the Ring, The Lord of the Rings: The Return of the King</t>
        </is>
      </c>
      <c r="F3812" s="18" t="inlineStr">
        <is>
          <t>F0151, F0203, F0205</t>
        </is>
      </c>
    </row>
    <row r="3813" ht="15.75" customHeight="1" s="108">
      <c r="A3813" s="18" t="inlineStr">
        <is>
          <t>Peggy Nesbitt</t>
        </is>
      </c>
      <c r="B3813" s="18" t="n">
        <v>1</v>
      </c>
      <c r="C3813" s="18" t="n">
        <v>2013</v>
      </c>
      <c r="D3813" s="18" t="n">
        <v>2013</v>
      </c>
      <c r="E3813" s="18" t="inlineStr">
        <is>
          <t>The Hobbit: The Desolation of Smaug</t>
        </is>
      </c>
      <c r="F3813" s="18" t="inlineStr">
        <is>
          <t>F0151</t>
        </is>
      </c>
    </row>
    <row r="3814" ht="15.75" customHeight="1" s="108">
      <c r="A3814" s="18" t="inlineStr">
        <is>
          <t>Mary Nesbitt</t>
        </is>
      </c>
      <c r="B3814" s="18" t="n">
        <v>1</v>
      </c>
      <c r="C3814" s="18" t="n">
        <v>2013</v>
      </c>
      <c r="D3814" s="18" t="n">
        <v>2013</v>
      </c>
      <c r="E3814" s="18" t="inlineStr">
        <is>
          <t>The Hobbit: The Desolation of Smaug</t>
        </is>
      </c>
      <c r="F3814" s="18" t="inlineStr">
        <is>
          <t>F0151</t>
        </is>
      </c>
    </row>
    <row r="3815" ht="15.75" customHeight="1" s="108">
      <c r="A3815" s="18" t="inlineStr">
        <is>
          <t>Billy Connolly</t>
        </is>
      </c>
      <c r="B3815" s="18" t="n">
        <v>1</v>
      </c>
      <c r="C3815" s="18" t="n">
        <v>2014</v>
      </c>
      <c r="D3815" s="18" t="n">
        <v>2014</v>
      </c>
      <c r="E3815" s="18" t="inlineStr">
        <is>
          <t>The Hobbit: The Battle of the Five Armies</t>
        </is>
      </c>
      <c r="F3815" s="18" t="inlineStr">
        <is>
          <t>F0152</t>
        </is>
      </c>
    </row>
    <row r="3816" ht="15.75" customHeight="1" s="108">
      <c r="A3816" s="18" t="inlineStr">
        <is>
          <t>Brian Stepanek</t>
        </is>
      </c>
      <c r="B3816" s="18" t="n">
        <v>1</v>
      </c>
      <c r="C3816" s="18" t="n">
        <v>2015</v>
      </c>
      <c r="D3816" s="18" t="n">
        <v>2015</v>
      </c>
      <c r="E3816" s="18" t="inlineStr">
        <is>
          <t>Home</t>
        </is>
      </c>
      <c r="F3816" s="18" t="inlineStr">
        <is>
          <t>F0153</t>
        </is>
      </c>
    </row>
    <row r="3817" ht="15.75" customHeight="1" s="108">
      <c r="A3817" s="18" t="inlineStr">
        <is>
          <t>April Lawrence</t>
        </is>
      </c>
      <c r="B3817" s="18" t="n">
        <v>1</v>
      </c>
      <c r="C3817" s="18" t="n">
        <v>2015</v>
      </c>
      <c r="D3817" s="18" t="n">
        <v>2015</v>
      </c>
      <c r="E3817" s="18" t="inlineStr">
        <is>
          <t>Home</t>
        </is>
      </c>
      <c r="F3817" s="18" t="inlineStr">
        <is>
          <t>F0153</t>
        </is>
      </c>
    </row>
    <row r="3818" ht="15.75" customHeight="1" s="108">
      <c r="A3818" s="18" t="inlineStr">
        <is>
          <t>Lisa Stewart</t>
        </is>
      </c>
      <c r="B3818" s="18" t="n">
        <v>1</v>
      </c>
      <c r="C3818" s="18" t="n">
        <v>2015</v>
      </c>
      <c r="D3818" s="18" t="n">
        <v>2015</v>
      </c>
      <c r="E3818" s="18" t="inlineStr">
        <is>
          <t>Home</t>
        </is>
      </c>
      <c r="F3818" s="18" t="inlineStr">
        <is>
          <t>F0153</t>
        </is>
      </c>
    </row>
    <row r="3819" ht="15.75" customHeight="1" s="108">
      <c r="A3819" s="18" t="inlineStr">
        <is>
          <t>Stephen Kearin</t>
        </is>
      </c>
      <c r="B3819" s="18" t="n">
        <v>1</v>
      </c>
      <c r="C3819" s="18" t="n">
        <v>2015</v>
      </c>
      <c r="D3819" s="18" t="n">
        <v>2015</v>
      </c>
      <c r="E3819" s="18" t="inlineStr">
        <is>
          <t>Home</t>
        </is>
      </c>
      <c r="F3819" s="18" t="inlineStr">
        <is>
          <t>F0153</t>
        </is>
      </c>
    </row>
    <row r="3820" ht="15.75" customHeight="1" s="108">
      <c r="A3820" s="18" t="inlineStr">
        <is>
          <t>April Winchell</t>
        </is>
      </c>
      <c r="B3820" s="18" t="n">
        <v>2</v>
      </c>
      <c r="C3820" s="18" t="n">
        <v>2015</v>
      </c>
      <c r="D3820" s="18" t="n">
        <v>2015</v>
      </c>
      <c r="E3820" s="18" t="inlineStr">
        <is>
          <t>Home, Lego DC Comics Super Heroes: Justice League vs. Bizarro League</t>
        </is>
      </c>
      <c r="F3820" s="18" t="inlineStr">
        <is>
          <t>F0153, F0197</t>
        </is>
      </c>
    </row>
    <row r="3821" ht="15.75" customHeight="1" s="108">
      <c r="A3821" s="18" t="inlineStr">
        <is>
          <t>Robin Atkin Downes</t>
        </is>
      </c>
      <c r="B3821" s="18" t="n">
        <v>1</v>
      </c>
      <c r="C3821" s="18" t="n">
        <v>2010</v>
      </c>
      <c r="D3821" s="18" t="n">
        <v>2010</v>
      </c>
      <c r="E3821" s="18" t="inlineStr">
        <is>
          <t>How to Train Your Dragon</t>
        </is>
      </c>
      <c r="F3821" s="18" t="inlineStr">
        <is>
          <t>F0154</t>
        </is>
      </c>
    </row>
    <row r="3822" ht="15.75" customHeight="1" s="108">
      <c r="A3822" s="18" t="inlineStr">
        <is>
          <t>Philip McGrade</t>
        </is>
      </c>
      <c r="B3822" s="18" t="n">
        <v>2</v>
      </c>
      <c r="C3822" s="18" t="n">
        <v>2010</v>
      </c>
      <c r="D3822" s="18" t="n">
        <v>2014</v>
      </c>
      <c r="E3822" s="18" t="inlineStr">
        <is>
          <t>How to Train Your Dragon, How to Train Your Dragon 2</t>
        </is>
      </c>
      <c r="F3822" s="18" t="inlineStr">
        <is>
          <t>F0154, F0155</t>
        </is>
      </c>
    </row>
    <row r="3823" ht="15.75" customHeight="1" s="108">
      <c r="A3823" s="18" t="inlineStr">
        <is>
          <t>Kieron Elliott</t>
        </is>
      </c>
      <c r="B3823" s="18" t="n">
        <v>2</v>
      </c>
      <c r="C3823" s="18" t="n">
        <v>2010</v>
      </c>
      <c r="D3823" s="18" t="n">
        <v>2014</v>
      </c>
      <c r="E3823" s="18" t="inlineStr">
        <is>
          <t>How to Train Your Dragon, How to Train Your Dragon 2</t>
        </is>
      </c>
      <c r="F3823" s="18" t="inlineStr">
        <is>
          <t>F0154, F0155</t>
        </is>
      </c>
    </row>
    <row r="3824" ht="15.75" customHeight="1" s="108">
      <c r="A3824" s="18" t="inlineStr">
        <is>
          <t>Ashley Jensen</t>
        </is>
      </c>
      <c r="B3824" s="18" t="n">
        <v>1</v>
      </c>
      <c r="C3824" s="18" t="n">
        <v>2010</v>
      </c>
      <c r="D3824" s="18" t="n">
        <v>2010</v>
      </c>
      <c r="E3824" s="18" t="inlineStr">
        <is>
          <t>How to Train Your Dragon</t>
        </is>
      </c>
      <c r="F3824" s="18" t="inlineStr">
        <is>
          <t>F0154</t>
        </is>
      </c>
    </row>
    <row r="3825" ht="15.75" customHeight="1" s="108">
      <c r="A3825" s="18" t="inlineStr">
        <is>
          <t>Kit Harington</t>
        </is>
      </c>
      <c r="B3825" s="18" t="n">
        <v>1</v>
      </c>
      <c r="C3825" s="18" t="n">
        <v>2014</v>
      </c>
      <c r="D3825" s="18" t="n">
        <v>2014</v>
      </c>
      <c r="E3825" s="18" t="inlineStr">
        <is>
          <t>How to Train Your Dragon 2</t>
        </is>
      </c>
      <c r="F3825" s="18" t="inlineStr">
        <is>
          <t>F0155</t>
        </is>
      </c>
    </row>
    <row r="3826" ht="15.75" customHeight="1" s="108">
      <c r="A3826" s="18" t="inlineStr">
        <is>
          <t>Andrew Ableson</t>
        </is>
      </c>
      <c r="B3826" s="18" t="n">
        <v>1</v>
      </c>
      <c r="C3826" s="18" t="n">
        <v>2014</v>
      </c>
      <c r="D3826" s="18" t="n">
        <v>2014</v>
      </c>
      <c r="E3826" s="18" t="inlineStr">
        <is>
          <t>How to Train Your Dragon 2</t>
        </is>
      </c>
      <c r="F3826" s="18" t="inlineStr">
        <is>
          <t>F0155</t>
        </is>
      </c>
    </row>
    <row r="3827" ht="15.75" customHeight="1" s="108">
      <c r="A3827" s="18" t="inlineStr">
        <is>
          <t>Gideon Emery</t>
        </is>
      </c>
      <c r="B3827" s="18" t="n">
        <v>1</v>
      </c>
      <c r="C3827" s="18" t="n">
        <v>2014</v>
      </c>
      <c r="D3827" s="18" t="n">
        <v>2014</v>
      </c>
      <c r="E3827" s="18" t="inlineStr">
        <is>
          <t>How to Train Your Dragon 2</t>
        </is>
      </c>
      <c r="F3827" s="18" t="inlineStr">
        <is>
          <t>F0155</t>
        </is>
      </c>
    </row>
    <row r="3828" ht="15.75" customHeight="1" s="108">
      <c r="A3828" s="18" t="inlineStr">
        <is>
          <t>Youssef Kerkour</t>
        </is>
      </c>
      <c r="B3828" s="18" t="n">
        <v>1</v>
      </c>
      <c r="C3828" s="18" t="n">
        <v>2013</v>
      </c>
      <c r="D3828" s="18" t="n">
        <v>2013</v>
      </c>
      <c r="E3828" s="18" t="inlineStr">
        <is>
          <t>Hummingbird</t>
        </is>
      </c>
      <c r="F3828" s="18" t="inlineStr">
        <is>
          <t>F0156</t>
        </is>
      </c>
    </row>
    <row r="3829" ht="15.75" customHeight="1" s="108">
      <c r="A3829" s="18" t="inlineStr">
        <is>
          <t>Anthony Morris</t>
        </is>
      </c>
      <c r="B3829" s="18" t="n">
        <v>1</v>
      </c>
      <c r="C3829" s="18" t="n">
        <v>2013</v>
      </c>
      <c r="D3829" s="18" t="n">
        <v>2013</v>
      </c>
      <c r="E3829" s="18" t="inlineStr">
        <is>
          <t>Hummingbird</t>
        </is>
      </c>
      <c r="F3829" s="18" t="inlineStr">
        <is>
          <t>F0156</t>
        </is>
      </c>
    </row>
    <row r="3830" ht="15.75" customHeight="1" s="108">
      <c r="A3830" s="18" t="inlineStr">
        <is>
          <t>Victoria Bewick</t>
        </is>
      </c>
      <c r="B3830" s="18" t="n">
        <v>1</v>
      </c>
      <c r="C3830" s="18" t="n">
        <v>2013</v>
      </c>
      <c r="D3830" s="18" t="n">
        <v>2013</v>
      </c>
      <c r="E3830" s="18" t="inlineStr">
        <is>
          <t>Hummingbird</t>
        </is>
      </c>
      <c r="F3830" s="18" t="inlineStr">
        <is>
          <t>F0156</t>
        </is>
      </c>
    </row>
    <row r="3831" ht="15.75" customHeight="1" s="108">
      <c r="A3831" s="18" t="inlineStr">
        <is>
          <t>Christian Brassington</t>
        </is>
      </c>
      <c r="B3831" s="18" t="n">
        <v>1</v>
      </c>
      <c r="C3831" s="18" t="n">
        <v>2013</v>
      </c>
      <c r="D3831" s="18" t="n">
        <v>2013</v>
      </c>
      <c r="E3831" s="18" t="inlineStr">
        <is>
          <t>Hummingbird</t>
        </is>
      </c>
      <c r="F3831" s="18" t="inlineStr">
        <is>
          <t>F0156</t>
        </is>
      </c>
    </row>
    <row r="3832" ht="15.75" customHeight="1" s="108">
      <c r="A3832" s="18" t="inlineStr">
        <is>
          <t>Sang Lui</t>
        </is>
      </c>
      <c r="B3832" s="18" t="n">
        <v>1</v>
      </c>
      <c r="C3832" s="18" t="n">
        <v>2013</v>
      </c>
      <c r="D3832" s="18" t="n">
        <v>2013</v>
      </c>
      <c r="E3832" s="18" t="inlineStr">
        <is>
          <t>Hummingbird</t>
        </is>
      </c>
      <c r="F3832" s="18" t="inlineStr">
        <is>
          <t>F0156</t>
        </is>
      </c>
    </row>
    <row r="3833" ht="15.75" customHeight="1" s="108">
      <c r="A3833" s="18" t="inlineStr">
        <is>
          <t>Bruce Wang</t>
        </is>
      </c>
      <c r="B3833" s="18" t="n">
        <v>1</v>
      </c>
      <c r="C3833" s="18" t="n">
        <v>2013</v>
      </c>
      <c r="D3833" s="18" t="n">
        <v>2013</v>
      </c>
      <c r="E3833" s="18" t="inlineStr">
        <is>
          <t>Hummingbird</t>
        </is>
      </c>
      <c r="F3833" s="18" t="inlineStr">
        <is>
          <t>F0156</t>
        </is>
      </c>
    </row>
    <row r="3834" ht="15.75" customHeight="1" s="108">
      <c r="A3834" s="18" t="inlineStr">
        <is>
          <t>Siobhan Hewlett</t>
        </is>
      </c>
      <c r="B3834" s="18" t="n">
        <v>1</v>
      </c>
      <c r="C3834" s="18" t="n">
        <v>2013</v>
      </c>
      <c r="D3834" s="18" t="n">
        <v>2013</v>
      </c>
      <c r="E3834" s="18" t="inlineStr">
        <is>
          <t>Hummingbird</t>
        </is>
      </c>
      <c r="F3834" s="18" t="inlineStr">
        <is>
          <t>F0156</t>
        </is>
      </c>
    </row>
    <row r="3835" ht="15.75" customHeight="1" s="108">
      <c r="A3835" s="18" t="inlineStr">
        <is>
          <t>Steven Beard</t>
        </is>
      </c>
      <c r="B3835" s="18" t="n">
        <v>1</v>
      </c>
      <c r="C3835" s="18" t="n">
        <v>2013</v>
      </c>
      <c r="D3835" s="18" t="n">
        <v>2013</v>
      </c>
      <c r="E3835" s="18" t="inlineStr">
        <is>
          <t>Hummingbird</t>
        </is>
      </c>
      <c r="F3835" s="18" t="inlineStr">
        <is>
          <t>F0156</t>
        </is>
      </c>
    </row>
    <row r="3836" ht="15.75" customHeight="1" s="108">
      <c r="A3836" s="18" t="inlineStr">
        <is>
          <t>John Killoran</t>
        </is>
      </c>
      <c r="B3836" s="18" t="n">
        <v>1</v>
      </c>
      <c r="C3836" s="18" t="n">
        <v>2013</v>
      </c>
      <c r="D3836" s="18" t="n">
        <v>2013</v>
      </c>
      <c r="E3836" s="18" t="inlineStr">
        <is>
          <t>Hummingbird</t>
        </is>
      </c>
      <c r="F3836" s="18" t="inlineStr">
        <is>
          <t>F0156</t>
        </is>
      </c>
    </row>
    <row r="3837" ht="15.75" customHeight="1" s="108">
      <c r="A3837" s="18" t="inlineStr">
        <is>
          <t>Lillie Buttery</t>
        </is>
      </c>
      <c r="B3837" s="18" t="n">
        <v>1</v>
      </c>
      <c r="C3837" s="18" t="n">
        <v>2013</v>
      </c>
      <c r="D3837" s="18" t="n">
        <v>2013</v>
      </c>
      <c r="E3837" s="18" t="inlineStr">
        <is>
          <t>Hummingbird</t>
        </is>
      </c>
      <c r="F3837" s="18" t="inlineStr">
        <is>
          <t>F0156</t>
        </is>
      </c>
    </row>
    <row r="3838" ht="15.75" customHeight="1" s="108">
      <c r="A3838" s="18" t="inlineStr">
        <is>
          <t>Adam Skeats</t>
        </is>
      </c>
      <c r="B3838" s="18" t="n">
        <v>1</v>
      </c>
      <c r="C3838" s="18" t="n">
        <v>2013</v>
      </c>
      <c r="D3838" s="18" t="n">
        <v>2013</v>
      </c>
      <c r="E3838" s="18" t="inlineStr">
        <is>
          <t>Hummingbird</t>
        </is>
      </c>
      <c r="F3838" s="18" t="inlineStr">
        <is>
          <t>F0156</t>
        </is>
      </c>
    </row>
    <row r="3839" ht="15.75" customHeight="1" s="108">
      <c r="A3839" s="18" t="inlineStr">
        <is>
          <t>Macey Chipping</t>
        </is>
      </c>
      <c r="B3839" s="18" t="n">
        <v>1</v>
      </c>
      <c r="C3839" s="18" t="n">
        <v>2013</v>
      </c>
      <c r="D3839" s="18" t="n">
        <v>2013</v>
      </c>
      <c r="E3839" s="18" t="inlineStr">
        <is>
          <t>Hummingbird</t>
        </is>
      </c>
      <c r="F3839" s="18" t="inlineStr">
        <is>
          <t>F0156</t>
        </is>
      </c>
    </row>
    <row r="3840" ht="15.75" customHeight="1" s="108">
      <c r="A3840" s="18" t="inlineStr">
        <is>
          <t>Emaa Hussen</t>
        </is>
      </c>
      <c r="B3840" s="18" t="n">
        <v>1</v>
      </c>
      <c r="C3840" s="18" t="n">
        <v>2013</v>
      </c>
      <c r="D3840" s="18" t="n">
        <v>2013</v>
      </c>
      <c r="E3840" s="18" t="inlineStr">
        <is>
          <t>Hummingbird</t>
        </is>
      </c>
      <c r="F3840" s="18" t="inlineStr">
        <is>
          <t>F0156</t>
        </is>
      </c>
    </row>
    <row r="3841" ht="15.75" customHeight="1" s="108">
      <c r="A3841" s="18" t="inlineStr">
        <is>
          <t>Ed Gaughan</t>
        </is>
      </c>
      <c r="B3841" s="18" t="n">
        <v>1</v>
      </c>
      <c r="C3841" s="18" t="n">
        <v>2013</v>
      </c>
      <c r="D3841" s="18" t="n">
        <v>2013</v>
      </c>
      <c r="E3841" s="18" t="inlineStr">
        <is>
          <t>Hummingbird</t>
        </is>
      </c>
      <c r="F3841" s="18" t="inlineStr">
        <is>
          <t>F0156</t>
        </is>
      </c>
    </row>
    <row r="3842" ht="15.75" customHeight="1" s="108">
      <c r="A3842" s="18" t="inlineStr">
        <is>
          <t>Ian Pirie</t>
        </is>
      </c>
      <c r="B3842" s="18" t="n">
        <v>2</v>
      </c>
      <c r="C3842" s="18" t="n">
        <v>2012</v>
      </c>
      <c r="D3842" s="18" t="n">
        <v>2013</v>
      </c>
      <c r="E3842" s="18" t="inlineStr">
        <is>
          <t>Hummingbird, Les Misérables</t>
        </is>
      </c>
      <c r="F3842" s="18" t="inlineStr">
        <is>
          <t>F0156, F0199</t>
        </is>
      </c>
    </row>
    <row r="3843" ht="15.75" customHeight="1" s="108">
      <c r="A3843" s="18" t="inlineStr">
        <is>
          <t>Sheng-Chien Tsai</t>
        </is>
      </c>
      <c r="B3843" s="18" t="n">
        <v>1</v>
      </c>
      <c r="C3843" s="18" t="n">
        <v>2013</v>
      </c>
      <c r="D3843" s="18" t="n">
        <v>2013</v>
      </c>
      <c r="E3843" s="18" t="inlineStr">
        <is>
          <t>Hummingbird</t>
        </is>
      </c>
      <c r="F3843" s="18" t="inlineStr">
        <is>
          <t>F0156</t>
        </is>
      </c>
    </row>
    <row r="3844" ht="15.75" customHeight="1" s="108">
      <c r="A3844" s="18" t="inlineStr">
        <is>
          <t>Josef Altin</t>
        </is>
      </c>
      <c r="B3844" s="18" t="n">
        <v>1</v>
      </c>
      <c r="C3844" s="18" t="n">
        <v>2013</v>
      </c>
      <c r="D3844" s="18" t="n">
        <v>2013</v>
      </c>
      <c r="E3844" s="18" t="inlineStr">
        <is>
          <t>Hummingbird</t>
        </is>
      </c>
      <c r="F3844" s="18" t="inlineStr">
        <is>
          <t>F0156</t>
        </is>
      </c>
    </row>
    <row r="3845" ht="15.75" customHeight="1" s="108">
      <c r="A3845" s="18" t="inlineStr">
        <is>
          <t>Christopher Logan</t>
        </is>
      </c>
      <c r="B3845" s="18" t="n">
        <v>1</v>
      </c>
      <c r="C3845" s="18" t="n">
        <v>2013</v>
      </c>
      <c r="D3845" s="18" t="n">
        <v>2013</v>
      </c>
      <c r="E3845" s="18" t="inlineStr">
        <is>
          <t>Hummingbird</t>
        </is>
      </c>
      <c r="F3845" s="18" t="inlineStr">
        <is>
          <t>F0156</t>
        </is>
      </c>
    </row>
    <row r="3846" ht="15.75" customHeight="1" s="108">
      <c r="A3846" s="18" t="inlineStr">
        <is>
          <t>Jeff Mirza</t>
        </is>
      </c>
      <c r="B3846" s="18" t="n">
        <v>1</v>
      </c>
      <c r="C3846" s="18" t="n">
        <v>2013</v>
      </c>
      <c r="D3846" s="18" t="n">
        <v>2013</v>
      </c>
      <c r="E3846" s="18" t="inlineStr">
        <is>
          <t>Hummingbird</t>
        </is>
      </c>
      <c r="F3846" s="18" t="inlineStr">
        <is>
          <t>F0156</t>
        </is>
      </c>
    </row>
    <row r="3847" ht="15.75" customHeight="1" s="108">
      <c r="A3847" s="18" t="inlineStr">
        <is>
          <t>Emily Lue-Fong</t>
        </is>
      </c>
      <c r="B3847" s="18" t="n">
        <v>1</v>
      </c>
      <c r="C3847" s="18" t="n">
        <v>2013</v>
      </c>
      <c r="D3847" s="18" t="n">
        <v>2013</v>
      </c>
      <c r="E3847" s="18" t="inlineStr">
        <is>
          <t>Hummingbird</t>
        </is>
      </c>
      <c r="F3847" s="18" t="inlineStr">
        <is>
          <t>F0156</t>
        </is>
      </c>
    </row>
    <row r="3848" ht="15.75" customHeight="1" s="108">
      <c r="A3848" s="18" t="inlineStr">
        <is>
          <t>Michelle Wen Lee</t>
        </is>
      </c>
      <c r="B3848" s="18" t="n">
        <v>1</v>
      </c>
      <c r="C3848" s="18" t="n">
        <v>2013</v>
      </c>
      <c r="D3848" s="18" t="n">
        <v>2013</v>
      </c>
      <c r="E3848" s="18" t="inlineStr">
        <is>
          <t>Hummingbird</t>
        </is>
      </c>
      <c r="F3848" s="18" t="inlineStr">
        <is>
          <t>F0156</t>
        </is>
      </c>
    </row>
    <row r="3849" ht="15.75" customHeight="1" s="108">
      <c r="A3849" s="18" t="inlineStr">
        <is>
          <t>Joseph Long</t>
        </is>
      </c>
      <c r="B3849" s="18" t="n">
        <v>1</v>
      </c>
      <c r="C3849" s="18" t="n">
        <v>2013</v>
      </c>
      <c r="D3849" s="18" t="n">
        <v>2013</v>
      </c>
      <c r="E3849" s="18" t="inlineStr">
        <is>
          <t>Hummingbird</t>
        </is>
      </c>
      <c r="F3849" s="18" t="inlineStr">
        <is>
          <t>F0156</t>
        </is>
      </c>
    </row>
    <row r="3850" ht="15.75" customHeight="1" s="108">
      <c r="A3850" s="18" t="inlineStr">
        <is>
          <t>Lenny Kravitz</t>
        </is>
      </c>
      <c r="B3850" s="18" t="n">
        <v>3</v>
      </c>
      <c r="C3850" s="18" t="n">
        <v>2012</v>
      </c>
      <c r="D3850" s="18" t="n">
        <v>2016</v>
      </c>
      <c r="E3850" s="18" t="inlineStr">
        <is>
          <t>The Hunger Games, Catching  fire, Catching fire</t>
        </is>
      </c>
      <c r="F3850" s="18" t="inlineStr">
        <is>
          <t>F0157, F0382, F0384</t>
        </is>
      </c>
    </row>
    <row r="3851" ht="15.75" customHeight="1" s="108">
      <c r="A3851" s="18" t="inlineStr">
        <is>
          <t>Donald Sutherland</t>
        </is>
      </c>
      <c r="B3851" s="18" t="n">
        <v>5</v>
      </c>
      <c r="C3851" s="18" t="n">
        <v>2012</v>
      </c>
      <c r="D3851" s="18" t="n">
        <v>2016</v>
      </c>
      <c r="E3851" s="18" t="inlineStr">
        <is>
          <t>The Hunger Games, The Hunger Games: Mockingjay - Part 1, Catching  fire, Mockingjay part 2, Catching fire</t>
        </is>
      </c>
      <c r="F3851" s="18" t="inlineStr">
        <is>
          <t>F0157, F0158, F0382, F0383, F0384</t>
        </is>
      </c>
    </row>
    <row r="3852" ht="15.75" customHeight="1" s="108">
      <c r="A3852" s="18" t="inlineStr">
        <is>
          <t>Wes Bentley</t>
        </is>
      </c>
      <c r="B3852" s="18" t="n">
        <v>6</v>
      </c>
      <c r="C3852" s="18" t="n">
        <v>2010</v>
      </c>
      <c r="D3852" s="18" t="n">
        <v>2018</v>
      </c>
      <c r="E3852" s="18" t="inlineStr">
        <is>
          <t>The Hunger Games, Interstellar, Jonah Hex, Mission: Impossible - Fallout, Underworld: Awakening, Underworld awakening</t>
        </is>
      </c>
      <c r="F3852" s="18" t="inlineStr">
        <is>
          <t>F0157, F0168, F0173, F0226, F0328, F0390</t>
        </is>
      </c>
    </row>
    <row r="3853" ht="15.75" customHeight="1" s="108">
      <c r="A3853" s="18" t="inlineStr">
        <is>
          <t>Isabelle Fuhrman</t>
        </is>
      </c>
      <c r="B3853" s="18" t="n">
        <v>1</v>
      </c>
      <c r="C3853" s="18" t="n">
        <v>2012</v>
      </c>
      <c r="D3853" s="18" t="n">
        <v>2012</v>
      </c>
      <c r="E3853" s="18" t="inlineStr">
        <is>
          <t>The Hunger Games</t>
        </is>
      </c>
      <c r="F3853" s="18" t="inlineStr">
        <is>
          <t>F0157</t>
        </is>
      </c>
    </row>
    <row r="3854" ht="15.75" customHeight="1" s="108">
      <c r="A3854" s="18" t="inlineStr">
        <is>
          <t>Amandla Stenberg</t>
        </is>
      </c>
      <c r="B3854" s="18" t="n">
        <v>2</v>
      </c>
      <c r="C3854" s="18" t="n">
        <v>2012</v>
      </c>
      <c r="D3854" s="18" t="n">
        <v>2014</v>
      </c>
      <c r="E3854" s="18" t="inlineStr">
        <is>
          <t>The Hunger Games, Rio 2</t>
        </is>
      </c>
      <c r="F3854" s="18" t="inlineStr">
        <is>
          <t>F0157, F0266</t>
        </is>
      </c>
    </row>
    <row r="3855" ht="15.75" customHeight="1" s="108">
      <c r="A3855" s="18" t="inlineStr">
        <is>
          <t>Willow Shields</t>
        </is>
      </c>
      <c r="B3855" s="18" t="n">
        <v>5</v>
      </c>
      <c r="C3855" s="18" t="n">
        <v>2012</v>
      </c>
      <c r="D3855" s="18" t="n">
        <v>2016</v>
      </c>
      <c r="E3855" s="18" t="inlineStr">
        <is>
          <t>The Hunger Games, The Hunger Games: Mockingjay - Part 1, Catching  fire, Mockingjay part 2, Catching fire</t>
        </is>
      </c>
      <c r="F3855" s="18" t="inlineStr">
        <is>
          <t>F0157, F0158, F0382, F0383, F0384</t>
        </is>
      </c>
    </row>
    <row r="3856" ht="15.75" customHeight="1" s="108">
      <c r="A3856" s="18" t="inlineStr">
        <is>
          <t>Sandra Ellis Lafferty</t>
        </is>
      </c>
      <c r="B3856" s="18" t="n">
        <v>4</v>
      </c>
      <c r="C3856" s="18" t="n">
        <v>2012</v>
      </c>
      <c r="D3856" s="18" t="n">
        <v>2016</v>
      </c>
      <c r="E3856" s="18" t="inlineStr">
        <is>
          <t>The Hunger Games, Prisoners, Catching  fire, Catching fire</t>
        </is>
      </c>
      <c r="F3856" s="18" t="inlineStr">
        <is>
          <t>F0157, F0258, F0382, F0384</t>
        </is>
      </c>
    </row>
    <row r="3857" ht="15.75" customHeight="1" s="108">
      <c r="A3857" s="18" t="inlineStr">
        <is>
          <t>Paula Malcomson</t>
        </is>
      </c>
      <c r="B3857" s="18" t="n">
        <v>5</v>
      </c>
      <c r="C3857" s="18" t="n">
        <v>2012</v>
      </c>
      <c r="D3857" s="18" t="n">
        <v>2016</v>
      </c>
      <c r="E3857" s="18" t="inlineStr">
        <is>
          <t>The Hunger Games, The Hunger Games: Mockingjay - Part 1, Catching  fire, Mockingjay part 2, Catching fire</t>
        </is>
      </c>
      <c r="F3857" s="18" t="inlineStr">
        <is>
          <t>F0157, F0158, F0382, F0383, F0384</t>
        </is>
      </c>
    </row>
    <row r="3858" ht="15.75" customHeight="1" s="108">
      <c r="A3858" s="18" t="inlineStr">
        <is>
          <t>Rhoda Griffis</t>
        </is>
      </c>
      <c r="B3858" s="18" t="n">
        <v>1</v>
      </c>
      <c r="C3858" s="18" t="n">
        <v>2012</v>
      </c>
      <c r="D3858" s="18" t="n">
        <v>2012</v>
      </c>
      <c r="E3858" s="18" t="inlineStr">
        <is>
          <t>The Hunger Games</t>
        </is>
      </c>
      <c r="F3858" s="18" t="inlineStr">
        <is>
          <t>F0157</t>
        </is>
      </c>
    </row>
    <row r="3859" ht="15.75" customHeight="1" s="108">
      <c r="A3859" s="18" t="inlineStr">
        <is>
          <t>Sandino Moya-Smith</t>
        </is>
      </c>
      <c r="B3859" s="18" t="n">
        <v>1</v>
      </c>
      <c r="C3859" s="18" t="n">
        <v>2012</v>
      </c>
      <c r="D3859" s="18" t="n">
        <v>2012</v>
      </c>
      <c r="E3859" s="18" t="inlineStr">
        <is>
          <t>The Hunger Games</t>
        </is>
      </c>
      <c r="F3859" s="18" t="inlineStr">
        <is>
          <t>F0157</t>
        </is>
      </c>
    </row>
    <row r="3860" ht="15.75" customHeight="1" s="108">
      <c r="A3860" s="18" t="inlineStr">
        <is>
          <t>Raiko Bowman</t>
        </is>
      </c>
      <c r="B3860" s="18" t="n">
        <v>1</v>
      </c>
      <c r="C3860" s="18" t="n">
        <v>2012</v>
      </c>
      <c r="D3860" s="18" t="n">
        <v>2012</v>
      </c>
      <c r="E3860" s="18" t="inlineStr">
        <is>
          <t>The Hunger Games</t>
        </is>
      </c>
      <c r="F3860" s="18" t="inlineStr">
        <is>
          <t>F0157</t>
        </is>
      </c>
    </row>
    <row r="3861" ht="15.75" customHeight="1" s="108">
      <c r="A3861" s="18" t="inlineStr">
        <is>
          <t>Dwayne Boyd</t>
        </is>
      </c>
      <c r="B3861" s="18" t="n">
        <v>1</v>
      </c>
      <c r="C3861" s="18" t="n">
        <v>2012</v>
      </c>
      <c r="D3861" s="18" t="n">
        <v>2012</v>
      </c>
      <c r="E3861" s="18" t="inlineStr">
        <is>
          <t>The Hunger Games</t>
        </is>
      </c>
      <c r="F3861" s="18" t="inlineStr">
        <is>
          <t>F0157</t>
        </is>
      </c>
    </row>
    <row r="3862" ht="15.75" customHeight="1" s="108">
      <c r="A3862" s="18" t="inlineStr">
        <is>
          <t>Anthony Reynolds</t>
        </is>
      </c>
      <c r="B3862" s="18" t="n">
        <v>2</v>
      </c>
      <c r="C3862" s="18" t="n">
        <v>2012</v>
      </c>
      <c r="D3862" s="18" t="n">
        <v>2013</v>
      </c>
      <c r="E3862" s="18" t="inlineStr">
        <is>
          <t>The Hunger Games, Prisoners</t>
        </is>
      </c>
      <c r="F3862" s="18" t="inlineStr">
        <is>
          <t>F0157, F0258</t>
        </is>
      </c>
    </row>
    <row r="3863" ht="15.75" customHeight="1" s="108">
      <c r="A3863" s="18" t="inlineStr">
        <is>
          <t>Judd Lormand</t>
        </is>
      </c>
      <c r="B3863" s="18" t="n">
        <v>1</v>
      </c>
      <c r="C3863" s="18" t="n">
        <v>2012</v>
      </c>
      <c r="D3863" s="18" t="n">
        <v>2012</v>
      </c>
      <c r="E3863" s="18" t="inlineStr">
        <is>
          <t>The Hunger Games</t>
        </is>
      </c>
      <c r="F3863" s="18" t="inlineStr">
        <is>
          <t>F0157</t>
        </is>
      </c>
    </row>
    <row r="3864" ht="15.75" customHeight="1" s="108">
      <c r="A3864" s="18" t="inlineStr">
        <is>
          <t>Kimiko Gelman</t>
        </is>
      </c>
      <c r="B3864" s="18" t="n">
        <v>1</v>
      </c>
      <c r="C3864" s="18" t="n">
        <v>2012</v>
      </c>
      <c r="D3864" s="18" t="n">
        <v>2012</v>
      </c>
      <c r="E3864" s="18" t="inlineStr">
        <is>
          <t>The Hunger Games</t>
        </is>
      </c>
      <c r="F3864" s="18" t="inlineStr">
        <is>
          <t>F0157</t>
        </is>
      </c>
    </row>
    <row r="3865" ht="15.75" customHeight="1" s="108">
      <c r="A3865" s="18" t="inlineStr">
        <is>
          <t>Nelson Ascencio</t>
        </is>
      </c>
      <c r="B3865" s="18" t="n">
        <v>4</v>
      </c>
      <c r="C3865" s="18" t="n">
        <v>2011</v>
      </c>
      <c r="D3865" s="18" t="n">
        <v>2016</v>
      </c>
      <c r="E3865" s="18" t="inlineStr">
        <is>
          <t>The Hunger Games, Paul, Catching  fire, Catching fire</t>
        </is>
      </c>
      <c r="F3865" s="18" t="inlineStr">
        <is>
          <t>F0157, F0245, F0382, F0384</t>
        </is>
      </c>
    </row>
    <row r="3866" ht="15.75" customHeight="1" s="108">
      <c r="A3866" s="18" t="inlineStr">
        <is>
          <t>Brooke Bundy</t>
        </is>
      </c>
      <c r="B3866" s="18" t="n">
        <v>3</v>
      </c>
      <c r="C3866" s="18" t="n">
        <v>2012</v>
      </c>
      <c r="D3866" s="18" t="n">
        <v>2016</v>
      </c>
      <c r="E3866" s="18" t="inlineStr">
        <is>
          <t>The Hunger Games, Catching  fire, Catching fire</t>
        </is>
      </c>
      <c r="F3866" s="18" t="inlineStr">
        <is>
          <t>F0157, F0382, F0384</t>
        </is>
      </c>
    </row>
    <row r="3867" ht="15.75" customHeight="1" s="108">
      <c r="A3867" s="18" t="inlineStr">
        <is>
          <t>Dayo Okeniyi</t>
        </is>
      </c>
      <c r="B3867" s="18" t="n">
        <v>1</v>
      </c>
      <c r="C3867" s="18" t="n">
        <v>2012</v>
      </c>
      <c r="D3867" s="18" t="n">
        <v>2012</v>
      </c>
      <c r="E3867" s="18" t="inlineStr">
        <is>
          <t>The Hunger Games</t>
        </is>
      </c>
      <c r="F3867" s="18" t="inlineStr">
        <is>
          <t>F0157</t>
        </is>
      </c>
    </row>
    <row r="3868" ht="15.75" customHeight="1" s="108">
      <c r="A3868" s="18" t="inlineStr">
        <is>
          <t>Leven Rambin</t>
        </is>
      </c>
      <c r="B3868" s="18" t="n">
        <v>1</v>
      </c>
      <c r="C3868" s="18" t="n">
        <v>2012</v>
      </c>
      <c r="D3868" s="18" t="n">
        <v>2012</v>
      </c>
      <c r="E3868" s="18" t="inlineStr">
        <is>
          <t>The Hunger Games</t>
        </is>
      </c>
      <c r="F3868" s="18" t="inlineStr">
        <is>
          <t>F0157</t>
        </is>
      </c>
    </row>
    <row r="3869" ht="15.75" customHeight="1" s="108">
      <c r="A3869" s="18" t="inlineStr">
        <is>
          <t>Jack Quaid</t>
        </is>
      </c>
      <c r="B3869" s="18" t="n">
        <v>3</v>
      </c>
      <c r="C3869" s="18" t="n">
        <v>2012</v>
      </c>
      <c r="D3869" s="18" t="n">
        <v>2016</v>
      </c>
      <c r="E3869" s="18" t="inlineStr">
        <is>
          <t>The Hunger Games, Catching  fire, Catching fire</t>
        </is>
      </c>
      <c r="F3869" s="18" t="inlineStr">
        <is>
          <t>F0157, F0382, F0384</t>
        </is>
      </c>
    </row>
    <row r="3870" ht="15.75" customHeight="1" s="108">
      <c r="A3870" s="18" t="inlineStr">
        <is>
          <t>Latarsha Rose</t>
        </is>
      </c>
      <c r="B3870" s="18" t="n">
        <v>1</v>
      </c>
      <c r="C3870" s="18" t="n">
        <v>2012</v>
      </c>
      <c r="D3870" s="18" t="n">
        <v>2012</v>
      </c>
      <c r="E3870" s="18" t="inlineStr">
        <is>
          <t>The Hunger Games</t>
        </is>
      </c>
      <c r="F3870" s="18" t="inlineStr">
        <is>
          <t>F0157</t>
        </is>
      </c>
    </row>
    <row r="3871" ht="15.75" customHeight="1" s="108">
      <c r="A3871" s="18" t="inlineStr">
        <is>
          <t>Ian Nelson</t>
        </is>
      </c>
      <c r="B3871" s="18" t="n">
        <v>1</v>
      </c>
      <c r="C3871" s="18" t="n">
        <v>2012</v>
      </c>
      <c r="D3871" s="18" t="n">
        <v>2012</v>
      </c>
      <c r="E3871" s="18" t="inlineStr">
        <is>
          <t>The Hunger Games</t>
        </is>
      </c>
      <c r="F3871" s="18" t="inlineStr">
        <is>
          <t>F0157</t>
        </is>
      </c>
    </row>
    <row r="3872" ht="15.75" customHeight="1" s="108">
      <c r="A3872" s="18" t="inlineStr">
        <is>
          <t>Jena Malone</t>
        </is>
      </c>
      <c r="B3872" s="18" t="n">
        <v>4</v>
      </c>
      <c r="C3872" s="18" t="n">
        <v>2013</v>
      </c>
      <c r="D3872" s="18" t="n">
        <v>2016</v>
      </c>
      <c r="E3872" s="18" t="inlineStr">
        <is>
          <t>The Hunger Games: Mockingjay - Part 1, Catching  fire, Mockingjay part 2, Catching fire</t>
        </is>
      </c>
      <c r="F3872" s="18" t="inlineStr">
        <is>
          <t>F0158, F0382, F0383, F0384</t>
        </is>
      </c>
    </row>
    <row r="3873" ht="15.75" customHeight="1" s="108">
      <c r="A3873" s="18" t="inlineStr">
        <is>
          <t>Natalie Dormer</t>
        </is>
      </c>
      <c r="B3873" s="18" t="n">
        <v>3</v>
      </c>
      <c r="C3873" s="18" t="n">
        <v>2013</v>
      </c>
      <c r="D3873" s="18" t="n">
        <v>2015</v>
      </c>
      <c r="E3873" s="18" t="inlineStr">
        <is>
          <t>The Hunger Games: Mockingjay - Part 1, Rush, Mockingjay part 2</t>
        </is>
      </c>
      <c r="F3873" s="18" t="inlineStr">
        <is>
          <t>F0158, F0270, F0383</t>
        </is>
      </c>
    </row>
    <row r="3874" ht="15.75" customHeight="1" s="108">
      <c r="A3874" s="18" t="inlineStr">
        <is>
          <t>Wes Chatham</t>
        </is>
      </c>
      <c r="B3874" s="18" t="n">
        <v>3</v>
      </c>
      <c r="C3874" s="18" t="n">
        <v>2014</v>
      </c>
      <c r="D3874" s="18" t="n">
        <v>2020</v>
      </c>
      <c r="E3874" s="18" t="inlineStr">
        <is>
          <t>The Hunger Games: Mockingjay - Part 1, Mockingjay part 2, Tenet</t>
        </is>
      </c>
      <c r="F3874" s="18" t="inlineStr">
        <is>
          <t>F0158, F0383, F0387</t>
        </is>
      </c>
    </row>
    <row r="3875" ht="15.75" customHeight="1" s="108">
      <c r="A3875" s="18" t="inlineStr">
        <is>
          <t>Elden Henson</t>
        </is>
      </c>
      <c r="B3875" s="18" t="n">
        <v>2</v>
      </c>
      <c r="C3875" s="18" t="n">
        <v>2014</v>
      </c>
      <c r="D3875" s="18" t="n">
        <v>2015</v>
      </c>
      <c r="E3875" s="18" t="inlineStr">
        <is>
          <t>The Hunger Games: Mockingjay - Part 1, Mockingjay part 2</t>
        </is>
      </c>
      <c r="F3875" s="18" t="inlineStr">
        <is>
          <t>F0158, F0383</t>
        </is>
      </c>
    </row>
    <row r="3876" ht="15.75" customHeight="1" s="108">
      <c r="A3876" s="18" t="inlineStr">
        <is>
          <t>Patina Miller</t>
        </is>
      </c>
      <c r="B3876" s="18" t="n">
        <v>2</v>
      </c>
      <c r="C3876" s="18" t="n">
        <v>2014</v>
      </c>
      <c r="D3876" s="18" t="n">
        <v>2015</v>
      </c>
      <c r="E3876" s="18" t="inlineStr">
        <is>
          <t>The Hunger Games: Mockingjay - Part 1, Mockingjay part 2</t>
        </is>
      </c>
      <c r="F3876" s="18" t="inlineStr">
        <is>
          <t>F0158, F0383</t>
        </is>
      </c>
    </row>
    <row r="3877" ht="15.75" customHeight="1" s="108">
      <c r="A3877" s="18" t="inlineStr">
        <is>
          <t>Evan Ross</t>
        </is>
      </c>
      <c r="B3877" s="18" t="n">
        <v>2</v>
      </c>
      <c r="C3877" s="18" t="n">
        <v>2014</v>
      </c>
      <c r="D3877" s="18" t="n">
        <v>2015</v>
      </c>
      <c r="E3877" s="18" t="inlineStr">
        <is>
          <t>The Hunger Games: Mockingjay - Part 1, Mockingjay part 2</t>
        </is>
      </c>
      <c r="F3877" s="18" t="inlineStr">
        <is>
          <t>F0158, F0383</t>
        </is>
      </c>
    </row>
    <row r="3878" ht="15.75" customHeight="1" s="108">
      <c r="A3878" s="18" t="inlineStr">
        <is>
          <t>Sarita Choudhury</t>
        </is>
      </c>
      <c r="B3878" s="18" t="n">
        <v>2</v>
      </c>
      <c r="C3878" s="18" t="n">
        <v>2014</v>
      </c>
      <c r="D3878" s="18" t="n">
        <v>2015</v>
      </c>
      <c r="E3878" s="18" t="inlineStr">
        <is>
          <t>The Hunger Games: Mockingjay - Part 1, Mockingjay part 2</t>
        </is>
      </c>
      <c r="F3878" s="18" t="inlineStr">
        <is>
          <t>F0158, F0383</t>
        </is>
      </c>
    </row>
    <row r="3879" ht="15.75" customHeight="1" s="108">
      <c r="A3879" s="18" t="inlineStr">
        <is>
          <t>Stef Dawson</t>
        </is>
      </c>
      <c r="B3879" s="18" t="n">
        <v>2</v>
      </c>
      <c r="C3879" s="18" t="n">
        <v>2014</v>
      </c>
      <c r="D3879" s="18" t="n">
        <v>2015</v>
      </c>
      <c r="E3879" s="18" t="inlineStr">
        <is>
          <t>The Hunger Games: Mockingjay - Part 1, Mockingjay part 2</t>
        </is>
      </c>
      <c r="F3879" s="18" t="inlineStr">
        <is>
          <t>F0158, F0383</t>
        </is>
      </c>
    </row>
    <row r="3880" ht="15.75" customHeight="1" s="108">
      <c r="A3880" s="18" t="inlineStr">
        <is>
          <t>Robert Knepper</t>
        </is>
      </c>
      <c r="B3880" s="18" t="n">
        <v>1</v>
      </c>
      <c r="C3880" s="18" t="n">
        <v>2014</v>
      </c>
      <c r="D3880" s="18" t="n">
        <v>2014</v>
      </c>
      <c r="E3880" s="18" t="inlineStr">
        <is>
          <t>The Hunger Games: Mockingjay - Part 1</t>
        </is>
      </c>
      <c r="F3880" s="18" t="inlineStr">
        <is>
          <t>F0158</t>
        </is>
      </c>
    </row>
    <row r="3881" ht="15.75" customHeight="1" s="108">
      <c r="A3881" s="18" t="inlineStr">
        <is>
          <t>Caitlin Fowler</t>
        </is>
      </c>
      <c r="B3881" s="18" t="n">
        <v>1</v>
      </c>
      <c r="C3881" s="18" t="n">
        <v>2014</v>
      </c>
      <c r="D3881" s="18" t="n">
        <v>2014</v>
      </c>
      <c r="E3881" s="18" t="inlineStr">
        <is>
          <t>The Hunger Games: Mockingjay - Part 1</t>
        </is>
      </c>
      <c r="F3881" s="18" t="inlineStr">
        <is>
          <t>F0158</t>
        </is>
      </c>
    </row>
    <row r="3882" ht="15.75" customHeight="1" s="108">
      <c r="A3882" s="18" t="inlineStr">
        <is>
          <t>Jada Taylor</t>
        </is>
      </c>
      <c r="B3882" s="18" t="n">
        <v>1</v>
      </c>
      <c r="C3882" s="18" t="n">
        <v>2014</v>
      </c>
      <c r="D3882" s="18" t="n">
        <v>2014</v>
      </c>
      <c r="E3882" s="18" t="inlineStr">
        <is>
          <t>The Hunger Games: Mockingjay - Part 1</t>
        </is>
      </c>
      <c r="F3882" s="18" t="inlineStr">
        <is>
          <t>F0158</t>
        </is>
      </c>
    </row>
    <row r="3883" ht="15.75" customHeight="1" s="108">
      <c r="A3883" s="18" t="inlineStr">
        <is>
          <t>Nicholas Pryor</t>
        </is>
      </c>
      <c r="B3883" s="18" t="n">
        <v>1</v>
      </c>
      <c r="C3883" s="18" t="n">
        <v>2014</v>
      </c>
      <c r="D3883" s="18" t="n">
        <v>2014</v>
      </c>
      <c r="E3883" s="18" t="inlineStr">
        <is>
          <t>The Hunger Games: Mockingjay - Part 1</t>
        </is>
      </c>
      <c r="F3883" s="18" t="inlineStr">
        <is>
          <t>F0158</t>
        </is>
      </c>
    </row>
    <row r="3884" ht="15.75" customHeight="1" s="108">
      <c r="A3884" s="18" t="inlineStr">
        <is>
          <t>Donna Biscoe</t>
        </is>
      </c>
      <c r="B3884" s="18" t="n">
        <v>1</v>
      </c>
      <c r="C3884" s="18" t="n">
        <v>2014</v>
      </c>
      <c r="D3884" s="18" t="n">
        <v>2014</v>
      </c>
      <c r="E3884" s="18" t="inlineStr">
        <is>
          <t>The Hunger Games: Mockingjay - Part 1</t>
        </is>
      </c>
      <c r="F3884" s="18" t="inlineStr">
        <is>
          <t>F0158</t>
        </is>
      </c>
    </row>
    <row r="3885" ht="15.75" customHeight="1" s="108">
      <c r="A3885" s="18" t="inlineStr">
        <is>
          <t>Michael Garza</t>
        </is>
      </c>
      <c r="B3885" s="18" t="n">
        <v>1</v>
      </c>
      <c r="C3885" s="18" t="n">
        <v>2014</v>
      </c>
      <c r="D3885" s="18" t="n">
        <v>2014</v>
      </c>
      <c r="E3885" s="18" t="inlineStr">
        <is>
          <t>The Hunger Games: Mockingjay - Part 1</t>
        </is>
      </c>
      <c r="F3885" s="18" t="inlineStr">
        <is>
          <t>F0158</t>
        </is>
      </c>
    </row>
    <row r="3886" ht="15.75" customHeight="1" s="108">
      <c r="A3886" s="18" t="inlineStr">
        <is>
          <t>Erika Bierman</t>
        </is>
      </c>
      <c r="B3886" s="18" t="n">
        <v>3</v>
      </c>
      <c r="C3886" s="18" t="n">
        <v>2013</v>
      </c>
      <c r="D3886" s="18" t="n">
        <v>2016</v>
      </c>
      <c r="E3886" s="18" t="inlineStr">
        <is>
          <t>The Hunger Games: Mockingjay - Part 1, Catching  fire, Catching fire</t>
        </is>
      </c>
      <c r="F3886" s="18" t="inlineStr">
        <is>
          <t>F0158, F0382, F0384</t>
        </is>
      </c>
    </row>
    <row r="3887" ht="15.75" customHeight="1" s="108">
      <c r="A3887" s="18" t="inlineStr">
        <is>
          <t>Jenique Bennett</t>
        </is>
      </c>
      <c r="B3887" s="18" t="n">
        <v>1</v>
      </c>
      <c r="C3887" s="18" t="n">
        <v>2014</v>
      </c>
      <c r="D3887" s="18" t="n">
        <v>2014</v>
      </c>
      <c r="E3887" s="18" t="inlineStr">
        <is>
          <t>The Hunger Games: Mockingjay - Part 1</t>
        </is>
      </c>
      <c r="F3887" s="18" t="inlineStr">
        <is>
          <t>F0158</t>
        </is>
      </c>
    </row>
    <row r="3888" ht="15.75" customHeight="1" s="108">
      <c r="A3888" s="18" t="inlineStr">
        <is>
          <t>Caitlin Stasey</t>
        </is>
      </c>
      <c r="B3888" s="18" t="n">
        <v>4</v>
      </c>
      <c r="C3888" s="18" t="n">
        <v>2014</v>
      </c>
      <c r="D3888" s="18" t="n">
        <v>2014</v>
      </c>
      <c r="E3888" s="18" t="inlineStr">
        <is>
          <t>I, Frankenstein, I, Frankenstein, I, Frankenstein, I, Frankenstein</t>
        </is>
      </c>
      <c r="F3888" s="18" t="inlineStr">
        <is>
          <t>F0159</t>
        </is>
      </c>
    </row>
    <row r="3889" ht="15.75" customHeight="1" s="108">
      <c r="A3889" s="18" t="inlineStr">
        <is>
          <t>Penny Higgs</t>
        </is>
      </c>
      <c r="B3889" s="18" t="n">
        <v>4</v>
      </c>
      <c r="C3889" s="18" t="n">
        <v>2014</v>
      </c>
      <c r="D3889" s="18" t="n">
        <v>2014</v>
      </c>
      <c r="E3889" s="18" t="inlineStr">
        <is>
          <t>I, Frankenstein, I, Frankenstein, I, Frankenstein, I, Frankenstein</t>
        </is>
      </c>
      <c r="F3889" s="18" t="inlineStr">
        <is>
          <t>F0159</t>
        </is>
      </c>
    </row>
    <row r="3890" ht="15.75" customHeight="1" s="108">
      <c r="A3890" s="18" t="inlineStr">
        <is>
          <t>Aden Young</t>
        </is>
      </c>
      <c r="B3890" s="18" t="n">
        <v>4</v>
      </c>
      <c r="C3890" s="18" t="n">
        <v>2014</v>
      </c>
      <c r="D3890" s="18" t="n">
        <v>2014</v>
      </c>
      <c r="E3890" s="18" t="inlineStr">
        <is>
          <t>I, Frankenstein, I, Frankenstein, I, Frankenstein, I, Frankenstein</t>
        </is>
      </c>
      <c r="F3890" s="18" t="inlineStr">
        <is>
          <t>F0159</t>
        </is>
      </c>
    </row>
    <row r="3891" ht="15.75" customHeight="1" s="108">
      <c r="A3891" s="18" t="inlineStr">
        <is>
          <t>Kevin Grevioux</t>
        </is>
      </c>
      <c r="B3891" s="18" t="n">
        <v>7</v>
      </c>
      <c r="C3891" s="18" t="n">
        <v>2003</v>
      </c>
      <c r="D3891" s="18" t="n">
        <v>2014</v>
      </c>
      <c r="E3891" s="18" t="inlineStr">
        <is>
          <t xml:space="preserve">I, Frankenstein, Underworld: Rise of the Lycans, I, Frankenstein, I, Frankenstein, Underworld, I, Frankenstein, Underworld </t>
        </is>
      </c>
      <c r="F3891" s="18" t="inlineStr">
        <is>
          <t>F0159, F0327, F0389</t>
        </is>
      </c>
    </row>
    <row r="3892" ht="15.75" customHeight="1" s="108">
      <c r="A3892" s="18" t="inlineStr">
        <is>
          <t>Deniz Akdeniz</t>
        </is>
      </c>
      <c r="B3892" s="18" t="n">
        <v>4</v>
      </c>
      <c r="C3892" s="18" t="n">
        <v>2014</v>
      </c>
      <c r="D3892" s="18" t="n">
        <v>2014</v>
      </c>
      <c r="E3892" s="18" t="inlineStr">
        <is>
          <t>I, Frankenstein, I, Frankenstein, I, Frankenstein, I, Frankenstein</t>
        </is>
      </c>
      <c r="F3892" s="18" t="inlineStr">
        <is>
          <t>F0159</t>
        </is>
      </c>
    </row>
    <row r="3893" ht="15.75" customHeight="1" s="108">
      <c r="A3893" s="18" t="inlineStr">
        <is>
          <t>Chris Pang</t>
        </is>
      </c>
      <c r="B3893" s="18" t="n">
        <v>4</v>
      </c>
      <c r="C3893" s="18" t="n">
        <v>2014</v>
      </c>
      <c r="D3893" s="18" t="n">
        <v>2014</v>
      </c>
      <c r="E3893" s="18" t="inlineStr">
        <is>
          <t>I, Frankenstein, I, Frankenstein, I, Frankenstein, I, Frankenstein</t>
        </is>
      </c>
      <c r="F3893" s="18" t="inlineStr">
        <is>
          <t>F0159</t>
        </is>
      </c>
    </row>
    <row r="3894" ht="15.75" customHeight="1" s="108">
      <c r="A3894" s="18" t="inlineStr">
        <is>
          <t>Virginie Le Brun</t>
        </is>
      </c>
      <c r="B3894" s="18" t="n">
        <v>4</v>
      </c>
      <c r="C3894" s="18" t="n">
        <v>2014</v>
      </c>
      <c r="D3894" s="18" t="n">
        <v>2014</v>
      </c>
      <c r="E3894" s="18" t="inlineStr">
        <is>
          <t>I, Frankenstein, I, Frankenstein, I, Frankenstein, I, Frankenstein</t>
        </is>
      </c>
      <c r="F3894" s="18" t="inlineStr">
        <is>
          <t>F0159</t>
        </is>
      </c>
    </row>
    <row r="3895" ht="15.75" customHeight="1" s="108">
      <c r="A3895" s="18" t="inlineStr">
        <is>
          <t>Socratis Otto</t>
        </is>
      </c>
      <c r="B3895" s="18" t="n">
        <v>4</v>
      </c>
      <c r="C3895" s="18" t="n">
        <v>2014</v>
      </c>
      <c r="D3895" s="18" t="n">
        <v>2014</v>
      </c>
      <c r="E3895" s="18" t="inlineStr">
        <is>
          <t>I, Frankenstein, I, Frankenstein, I, Frankenstein, I, Frankenstein</t>
        </is>
      </c>
      <c r="F3895" s="18" t="inlineStr">
        <is>
          <t>F0159</t>
        </is>
      </c>
    </row>
    <row r="3896" ht="15.75" customHeight="1" s="108">
      <c r="A3896" s="18" t="inlineStr">
        <is>
          <t>Steve Mouzakis</t>
        </is>
      </c>
      <c r="B3896" s="18" t="n">
        <v>4</v>
      </c>
      <c r="C3896" s="18" t="n">
        <v>2014</v>
      </c>
      <c r="D3896" s="18" t="n">
        <v>2014</v>
      </c>
      <c r="E3896" s="18" t="inlineStr">
        <is>
          <t>I, Frankenstein, I, Frankenstein, I, Frankenstein, I, Frankenstein</t>
        </is>
      </c>
      <c r="F3896" s="18" t="inlineStr">
        <is>
          <t>F0159</t>
        </is>
      </c>
    </row>
    <row r="3897" ht="15.75" customHeight="1" s="108">
      <c r="A3897" s="18" t="inlineStr">
        <is>
          <t>Bruce Spence</t>
        </is>
      </c>
      <c r="B3897" s="18" t="n">
        <v>8</v>
      </c>
      <c r="C3897" s="18" t="n">
        <v>2003</v>
      </c>
      <c r="D3897" s="18" t="n">
        <v>2014</v>
      </c>
      <c r="E3897" s="18" t="inlineStr">
        <is>
          <t>I, Frankenstein, The Matrix Revolutions, Star Wars: Episode III – Revenge of the Sith, I, Frankenstein, I, Frankenstein, finding nemo, I, Frankenstein,  finding nemo</t>
        </is>
      </c>
      <c r="F3897" s="18" t="inlineStr">
        <is>
          <t>F0159, F0216, F0294, F0369</t>
        </is>
      </c>
    </row>
    <row r="3898" ht="15.75" customHeight="1" s="108">
      <c r="A3898" s="18" t="inlineStr">
        <is>
          <t>Mahesh Jadu</t>
        </is>
      </c>
      <c r="B3898" s="18" t="n">
        <v>4</v>
      </c>
      <c r="C3898" s="18" t="n">
        <v>2014</v>
      </c>
      <c r="D3898" s="18" t="n">
        <v>2014</v>
      </c>
      <c r="E3898" s="18" t="inlineStr">
        <is>
          <t>I, Frankenstein, I, Frankenstein, I, Frankenstein, I, Frankenstein</t>
        </is>
      </c>
      <c r="F3898" s="18" t="inlineStr">
        <is>
          <t>F0159</t>
        </is>
      </c>
    </row>
    <row r="3899" ht="15.75" customHeight="1" s="108">
      <c r="A3899" s="18" t="inlineStr">
        <is>
          <t>John Reynolds</t>
        </is>
      </c>
      <c r="B3899" s="18" t="n">
        <v>4</v>
      </c>
      <c r="C3899" s="18" t="n">
        <v>2014</v>
      </c>
      <c r="D3899" s="18" t="n">
        <v>2014</v>
      </c>
      <c r="E3899" s="18" t="inlineStr">
        <is>
          <t>I, Frankenstein, I, Frankenstein, I, Frankenstein, I, Frankenstein</t>
        </is>
      </c>
      <c r="F3899" s="18" t="inlineStr">
        <is>
          <t>F0159</t>
        </is>
      </c>
    </row>
    <row r="3900" ht="15.75" customHeight="1" s="108">
      <c r="A3900" s="18" t="inlineStr">
        <is>
          <t>Chris Anderson</t>
        </is>
      </c>
      <c r="B3900" s="18" t="n">
        <v>4</v>
      </c>
      <c r="C3900" s="18" t="n">
        <v>2014</v>
      </c>
      <c r="D3900" s="18" t="n">
        <v>2014</v>
      </c>
      <c r="E3900" s="18" t="inlineStr">
        <is>
          <t>I, Frankenstein, I, Frankenstein, I, Frankenstein, I, Frankenstein</t>
        </is>
      </c>
      <c r="F3900" s="18" t="inlineStr">
        <is>
          <t>F0159</t>
        </is>
      </c>
    </row>
    <row r="3901" ht="15.75" customHeight="1" s="108">
      <c r="A3901" s="18" t="inlineStr">
        <is>
          <t>Nicholas Bell</t>
        </is>
      </c>
      <c r="B3901" s="18" t="n">
        <v>5</v>
      </c>
      <c r="C3901" s="18" t="n">
        <v>2000</v>
      </c>
      <c r="D3901" s="18" t="n">
        <v>2014</v>
      </c>
      <c r="E3901" s="18" t="inlineStr">
        <is>
          <t>I, Frankenstein, Mission: Impossible II, I, Frankenstein, I, Frankenstein, I, Frankenstein</t>
        </is>
      </c>
      <c r="F3901" s="18" t="inlineStr">
        <is>
          <t>F0159, F0222</t>
        </is>
      </c>
    </row>
    <row r="3902" ht="15.75" customHeight="1" s="108">
      <c r="A3902" s="18" t="inlineStr">
        <is>
          <t>Yasca Sinigaglia</t>
        </is>
      </c>
      <c r="B3902" s="18" t="n">
        <v>4</v>
      </c>
      <c r="C3902" s="18" t="n">
        <v>2014</v>
      </c>
      <c r="D3902" s="18" t="n">
        <v>2014</v>
      </c>
      <c r="E3902" s="18" t="inlineStr">
        <is>
          <t>I, Frankenstein, I, Frankenstein, I, Frankenstein, I, Frankenstein</t>
        </is>
      </c>
      <c r="F3902" s="18" t="inlineStr">
        <is>
          <t>F0159</t>
        </is>
      </c>
    </row>
    <row r="3903" ht="15.75" customHeight="1" s="108">
      <c r="A3903" s="18" t="inlineStr">
        <is>
          <t>Nicole Downes</t>
        </is>
      </c>
      <c r="B3903" s="18" t="n">
        <v>4</v>
      </c>
      <c r="C3903" s="18" t="n">
        <v>2014</v>
      </c>
      <c r="D3903" s="18" t="n">
        <v>2014</v>
      </c>
      <c r="E3903" s="18" t="inlineStr">
        <is>
          <t>I, Frankenstein, I, Frankenstein, I, Frankenstein, I, Frankenstein</t>
        </is>
      </c>
      <c r="F3903" s="18" t="inlineStr">
        <is>
          <t>F0159</t>
        </is>
      </c>
    </row>
    <row r="3904" ht="15.75" customHeight="1" s="108">
      <c r="A3904" s="18" t="inlineStr">
        <is>
          <t>Craig Brookshaw</t>
        </is>
      </c>
      <c r="B3904" s="18" t="n">
        <v>4</v>
      </c>
      <c r="C3904" s="18" t="n">
        <v>2014</v>
      </c>
      <c r="D3904" s="18" t="n">
        <v>2014</v>
      </c>
      <c r="E3904" s="18" t="inlineStr">
        <is>
          <t>I, Frankenstein, I, Frankenstein, I, Frankenstein, I, Frankenstein</t>
        </is>
      </c>
      <c r="F3904" s="18" t="inlineStr">
        <is>
          <t>F0159</t>
        </is>
      </c>
    </row>
    <row r="3905" ht="15.75" customHeight="1" s="108">
      <c r="A3905" s="18" t="inlineStr">
        <is>
          <t>Bryce Hardy</t>
        </is>
      </c>
      <c r="B3905" s="18" t="n">
        <v>4</v>
      </c>
      <c r="C3905" s="18" t="n">
        <v>2014</v>
      </c>
      <c r="D3905" s="18" t="n">
        <v>2014</v>
      </c>
      <c r="E3905" s="18" t="inlineStr">
        <is>
          <t>I, Frankenstein, I, Frankenstein, I, Frankenstein, I, Frankenstein</t>
        </is>
      </c>
      <c r="F3905" s="18" t="inlineStr">
        <is>
          <t>F0159</t>
        </is>
      </c>
    </row>
    <row r="3906" ht="15.75" customHeight="1" s="108">
      <c r="A3906" s="18" t="inlineStr">
        <is>
          <t>Warwick Sadler</t>
        </is>
      </c>
      <c r="B3906" s="18" t="n">
        <v>4</v>
      </c>
      <c r="C3906" s="18" t="n">
        <v>2014</v>
      </c>
      <c r="D3906" s="18" t="n">
        <v>2014</v>
      </c>
      <c r="E3906" s="18" t="inlineStr">
        <is>
          <t>I, Frankenstein, I, Frankenstein, I, Frankenstein, I, Frankenstein</t>
        </is>
      </c>
      <c r="F3906" s="18" t="inlineStr">
        <is>
          <t>F0159</t>
        </is>
      </c>
    </row>
    <row r="3907" ht="15.75" customHeight="1" s="108">
      <c r="A3907" s="18" t="inlineStr">
        <is>
          <t>Robbie Clissold</t>
        </is>
      </c>
      <c r="B3907" s="18" t="n">
        <v>4</v>
      </c>
      <c r="C3907" s="18" t="n">
        <v>2014</v>
      </c>
      <c r="D3907" s="18" t="n">
        <v>2014</v>
      </c>
      <c r="E3907" s="18" t="inlineStr">
        <is>
          <t>I, Frankenstein, I, Frankenstein, I, Frankenstein, I, Frankenstein</t>
        </is>
      </c>
      <c r="F3907" s="18" t="inlineStr">
        <is>
          <t>F0159</t>
        </is>
      </c>
    </row>
    <row r="3908" ht="15.75" customHeight="1" s="108">
      <c r="A3908" s="18" t="inlineStr">
        <is>
          <t>Jack Fieguth</t>
        </is>
      </c>
      <c r="B3908" s="18" t="n">
        <v>4</v>
      </c>
      <c r="C3908" s="18" t="n">
        <v>2014</v>
      </c>
      <c r="D3908" s="18" t="n">
        <v>2014</v>
      </c>
      <c r="E3908" s="18" t="inlineStr">
        <is>
          <t>I, Frankenstein, I, Frankenstein, I, Frankenstein, I, Frankenstein</t>
        </is>
      </c>
      <c r="F3908" s="18" t="inlineStr">
        <is>
          <t>F0159</t>
        </is>
      </c>
    </row>
    <row r="3909" ht="15.75" customHeight="1" s="108">
      <c r="A3909" s="18" t="inlineStr">
        <is>
          <t>Rick Tonna</t>
        </is>
      </c>
      <c r="B3909" s="18" t="n">
        <v>4</v>
      </c>
      <c r="C3909" s="18" t="n">
        <v>2014</v>
      </c>
      <c r="D3909" s="18" t="n">
        <v>2014</v>
      </c>
      <c r="E3909" s="18" t="inlineStr">
        <is>
          <t>I, Frankenstein, I, Frankenstein, I, Frankenstein, I, Frankenstein</t>
        </is>
      </c>
      <c r="F3909" s="18" t="inlineStr">
        <is>
          <t>F0159</t>
        </is>
      </c>
    </row>
    <row r="3910" ht="15.75" customHeight="1" s="108">
      <c r="A3910" s="18" t="inlineStr">
        <is>
          <t>Yasushi Asaya</t>
        </is>
      </c>
      <c r="B3910" s="18" t="n">
        <v>4</v>
      </c>
      <c r="C3910" s="18" t="n">
        <v>2014</v>
      </c>
      <c r="D3910" s="18" t="n">
        <v>2014</v>
      </c>
      <c r="E3910" s="18" t="inlineStr">
        <is>
          <t>I, Frankenstein, I, Frankenstein, I, Frankenstein, I, Frankenstein</t>
        </is>
      </c>
      <c r="F3910" s="18" t="inlineStr">
        <is>
          <t>F0159</t>
        </is>
      </c>
    </row>
    <row r="3911" ht="15.75" customHeight="1" s="108">
      <c r="A3911" s="18" t="inlineStr">
        <is>
          <t>Josh Peck</t>
        </is>
      </c>
      <c r="B3911" s="18" t="n">
        <v>2</v>
      </c>
      <c r="C3911" s="18" t="n">
        <v>2006</v>
      </c>
      <c r="D3911" s="18" t="n">
        <v>2009</v>
      </c>
      <c r="E3911" s="18" t="inlineStr">
        <is>
          <t>Ice Age: The Meltdown, Ice Age: Dawn of the Dinosaurs</t>
        </is>
      </c>
      <c r="F3911" s="18" t="inlineStr">
        <is>
          <t>F0160, F0161</t>
        </is>
      </c>
    </row>
    <row r="3912" ht="15.75" customHeight="1" s="108">
      <c r="A3912" s="18" t="inlineStr">
        <is>
          <t>Jay Leno</t>
        </is>
      </c>
      <c r="B3912" s="18" t="n">
        <v>1</v>
      </c>
      <c r="C3912" s="18" t="n">
        <v>2006</v>
      </c>
      <c r="D3912" s="18" t="n">
        <v>2006</v>
      </c>
      <c r="E3912" s="18" t="inlineStr">
        <is>
          <t>Ice Age: The Meltdown</t>
        </is>
      </c>
      <c r="F3912" s="18" t="inlineStr">
        <is>
          <t>F0160</t>
        </is>
      </c>
    </row>
    <row r="3913" ht="15.75" customHeight="1" s="108">
      <c r="A3913" s="18" t="inlineStr">
        <is>
          <t>Chris Wedge</t>
        </is>
      </c>
      <c r="B3913" s="18" t="n">
        <v>2</v>
      </c>
      <c r="C3913" s="18" t="n">
        <v>2006</v>
      </c>
      <c r="D3913" s="18" t="n">
        <v>2009</v>
      </c>
      <c r="E3913" s="18" t="inlineStr">
        <is>
          <t>Ice Age: The Meltdown, Ice Age: Dawn of the Dinosaurs</t>
        </is>
      </c>
      <c r="F3913" s="18" t="inlineStr">
        <is>
          <t>F0160, F0161</t>
        </is>
      </c>
    </row>
    <row r="3914" ht="15.75" customHeight="1" s="108">
      <c r="A3914" s="18" t="inlineStr">
        <is>
          <t>Peter Ackerman</t>
        </is>
      </c>
      <c r="B3914" s="18" t="n">
        <v>1</v>
      </c>
      <c r="C3914" s="18" t="n">
        <v>2006</v>
      </c>
      <c r="D3914" s="18" t="n">
        <v>2006</v>
      </c>
      <c r="E3914" s="18" t="inlineStr">
        <is>
          <t>Ice Age: The Meltdown</t>
        </is>
      </c>
      <c r="F3914" s="18" t="inlineStr">
        <is>
          <t>F0160</t>
        </is>
      </c>
    </row>
    <row r="3915" ht="15.75" customHeight="1" s="108">
      <c r="A3915" s="18" t="inlineStr">
        <is>
          <t>Caitlin Rose Anderson</t>
        </is>
      </c>
      <c r="B3915" s="18" t="n">
        <v>1</v>
      </c>
      <c r="C3915" s="18" t="n">
        <v>2006</v>
      </c>
      <c r="D3915" s="18" t="n">
        <v>2006</v>
      </c>
      <c r="E3915" s="18" t="inlineStr">
        <is>
          <t>Ice Age: The Meltdown</t>
        </is>
      </c>
      <c r="F3915" s="18" t="inlineStr">
        <is>
          <t>F0160</t>
        </is>
      </c>
    </row>
    <row r="3916" ht="15.75" customHeight="1" s="108">
      <c r="A3916" s="18" t="inlineStr">
        <is>
          <t>Connor Anderson</t>
        </is>
      </c>
      <c r="B3916" s="18" t="n">
        <v>1</v>
      </c>
      <c r="C3916" s="18" t="n">
        <v>2006</v>
      </c>
      <c r="D3916" s="18" t="n">
        <v>2006</v>
      </c>
      <c r="E3916" s="18" t="inlineStr">
        <is>
          <t>Ice Age: The Meltdown</t>
        </is>
      </c>
      <c r="F3916" s="18" t="inlineStr">
        <is>
          <t>F0160</t>
        </is>
      </c>
    </row>
    <row r="3917" ht="15.75" customHeight="1" s="108">
      <c r="A3917" s="18" t="inlineStr">
        <is>
          <t>Joseph Bologna</t>
        </is>
      </c>
      <c r="B3917" s="18" t="n">
        <v>1</v>
      </c>
      <c r="C3917" s="18" t="n">
        <v>2006</v>
      </c>
      <c r="D3917" s="18" t="n">
        <v>2006</v>
      </c>
      <c r="E3917" s="18" t="inlineStr">
        <is>
          <t>Ice Age: The Meltdown</t>
        </is>
      </c>
      <c r="F3917" s="18" t="inlineStr">
        <is>
          <t>F0160</t>
        </is>
      </c>
    </row>
    <row r="3918" ht="15.75" customHeight="1" s="108">
      <c r="A3918" s="18" t="inlineStr">
        <is>
          <t>Jack Crocicchia</t>
        </is>
      </c>
      <c r="B3918" s="18" t="n">
        <v>1</v>
      </c>
      <c r="C3918" s="18" t="n">
        <v>2006</v>
      </c>
      <c r="D3918" s="18" t="n">
        <v>2006</v>
      </c>
      <c r="E3918" s="18" t="inlineStr">
        <is>
          <t>Ice Age: The Meltdown</t>
        </is>
      </c>
      <c r="F3918" s="18" t="inlineStr">
        <is>
          <t>F0160</t>
        </is>
      </c>
    </row>
    <row r="3919" ht="15.75" customHeight="1" s="108">
      <c r="A3919" s="18" t="inlineStr">
        <is>
          <t>Peter de Sève</t>
        </is>
      </c>
      <c r="B3919" s="18" t="n">
        <v>1</v>
      </c>
      <c r="C3919" s="18" t="n">
        <v>2006</v>
      </c>
      <c r="D3919" s="18" t="n">
        <v>2006</v>
      </c>
      <c r="E3919" s="18" t="inlineStr">
        <is>
          <t>Ice Age: The Meltdown</t>
        </is>
      </c>
      <c r="F3919" s="18" t="inlineStr">
        <is>
          <t>F0160</t>
        </is>
      </c>
    </row>
    <row r="3920" ht="15.75" customHeight="1" s="108">
      <c r="A3920" s="18" t="inlineStr">
        <is>
          <t>Ariel Winter</t>
        </is>
      </c>
      <c r="B3920" s="18" t="n">
        <v>1</v>
      </c>
      <c r="C3920" s="18" t="n">
        <v>2006</v>
      </c>
      <c r="D3920" s="18" t="n">
        <v>2006</v>
      </c>
      <c r="E3920" s="18" t="inlineStr">
        <is>
          <t>Ice Age: The Meltdown</t>
        </is>
      </c>
      <c r="F3920" s="18" t="inlineStr">
        <is>
          <t>F0160</t>
        </is>
      </c>
    </row>
    <row r="3921" ht="15.75" customHeight="1" s="108">
      <c r="A3921" s="18" t="inlineStr">
        <is>
          <t>Clea Lewis</t>
        </is>
      </c>
      <c r="B3921" s="18" t="n">
        <v>2</v>
      </c>
      <c r="C3921" s="18" t="n">
        <v>2006</v>
      </c>
      <c r="D3921" s="18" t="n">
        <v>2009</v>
      </c>
      <c r="E3921" s="18" t="inlineStr">
        <is>
          <t>Ice Age: The Meltdown, Ice Age: Dawn of the Dinosaurs</t>
        </is>
      </c>
      <c r="F3921" s="18" t="inlineStr">
        <is>
          <t>F0160, F0161</t>
        </is>
      </c>
    </row>
    <row r="3922" ht="15.75" customHeight="1" s="108">
      <c r="A3922" s="18" t="inlineStr">
        <is>
          <t>Nicole DeFelice</t>
        </is>
      </c>
      <c r="B3922" s="18" t="n">
        <v>1</v>
      </c>
      <c r="C3922" s="18" t="n">
        <v>2006</v>
      </c>
      <c r="D3922" s="18" t="n">
        <v>2006</v>
      </c>
      <c r="E3922" s="18" t="inlineStr">
        <is>
          <t>Ice Age: The Meltdown</t>
        </is>
      </c>
      <c r="F3922" s="18" t="inlineStr">
        <is>
          <t>F0160</t>
        </is>
      </c>
    </row>
    <row r="3923" ht="15.75" customHeight="1" s="108">
      <c r="A3923" s="18" t="inlineStr">
        <is>
          <t>Marshall Efron</t>
        </is>
      </c>
      <c r="B3923" s="18" t="n">
        <v>1</v>
      </c>
      <c r="C3923" s="18" t="n">
        <v>2006</v>
      </c>
      <c r="D3923" s="18" t="n">
        <v>2006</v>
      </c>
      <c r="E3923" s="18" t="inlineStr">
        <is>
          <t>Ice Age: The Meltdown</t>
        </is>
      </c>
      <c r="F3923" s="18" t="inlineStr">
        <is>
          <t>F0160</t>
        </is>
      </c>
    </row>
    <row r="3924" ht="15.75" customHeight="1" s="108">
      <c r="A3924" s="18" t="inlineStr">
        <is>
          <t>Tom Fahn</t>
        </is>
      </c>
      <c r="B3924" s="18" t="n">
        <v>1</v>
      </c>
      <c r="C3924" s="18" t="n">
        <v>2006</v>
      </c>
      <c r="D3924" s="18" t="n">
        <v>2006</v>
      </c>
      <c r="E3924" s="18" t="inlineStr">
        <is>
          <t>Ice Age: The Meltdown</t>
        </is>
      </c>
      <c r="F3924" s="18" t="inlineStr">
        <is>
          <t>F0160</t>
        </is>
      </c>
    </row>
    <row r="3925" ht="15.75" customHeight="1" s="108">
      <c r="A3925" s="18" t="inlineStr">
        <is>
          <t>Jason Fricchione</t>
        </is>
      </c>
      <c r="B3925" s="18" t="n">
        <v>3</v>
      </c>
      <c r="C3925" s="18" t="n">
        <v>2006</v>
      </c>
      <c r="D3925" s="18" t="n">
        <v>2011</v>
      </c>
      <c r="E3925" s="18" t="inlineStr">
        <is>
          <t>Ice Age: The Meltdown, Ice Age: Dawn of the Dinosaurs, Rio</t>
        </is>
      </c>
      <c r="F3925" s="18" t="inlineStr">
        <is>
          <t>F0160, F0161, F0265</t>
        </is>
      </c>
    </row>
    <row r="3926" ht="15.75" customHeight="1" s="108">
      <c r="A3926" s="18" t="inlineStr">
        <is>
          <t>George Jacobs</t>
        </is>
      </c>
      <c r="B3926" s="18" t="n">
        <v>1</v>
      </c>
      <c r="C3926" s="18" t="n">
        <v>2006</v>
      </c>
      <c r="D3926" s="18" t="n">
        <v>2006</v>
      </c>
      <c r="E3926" s="18" t="inlineStr">
        <is>
          <t>Ice Age: The Meltdown</t>
        </is>
      </c>
      <c r="F3926" s="18" t="inlineStr">
        <is>
          <t>F0160</t>
        </is>
      </c>
    </row>
    <row r="3927" ht="15.75" customHeight="1" s="108">
      <c r="A3927" s="18" t="inlineStr">
        <is>
          <t>Brian Scott McFadden</t>
        </is>
      </c>
      <c r="B3927" s="18" t="n">
        <v>1</v>
      </c>
      <c r="C3927" s="18" t="n">
        <v>2006</v>
      </c>
      <c r="D3927" s="18" t="n">
        <v>2006</v>
      </c>
      <c r="E3927" s="18" t="inlineStr">
        <is>
          <t>Ice Age: The Meltdown</t>
        </is>
      </c>
      <c r="F3927" s="18" t="inlineStr">
        <is>
          <t>F0160</t>
        </is>
      </c>
    </row>
    <row r="3928" ht="15.75" customHeight="1" s="108">
      <c r="A3928" s="18" t="inlineStr">
        <is>
          <t>Jansen Panettiere</t>
        </is>
      </c>
      <c r="B3928" s="18" t="n">
        <v>1</v>
      </c>
      <c r="C3928" s="18" t="n">
        <v>2006</v>
      </c>
      <c r="D3928" s="18" t="n">
        <v>2006</v>
      </c>
      <c r="E3928" s="18" t="inlineStr">
        <is>
          <t>Ice Age: The Meltdown</t>
        </is>
      </c>
      <c r="F3928" s="18" t="inlineStr">
        <is>
          <t>F0160</t>
        </is>
      </c>
    </row>
    <row r="3929" ht="15.75" customHeight="1" s="108">
      <c r="A3929" s="18" t="inlineStr">
        <is>
          <t>Gregory Romano</t>
        </is>
      </c>
      <c r="B3929" s="18" t="n">
        <v>1</v>
      </c>
      <c r="C3929" s="18" t="n">
        <v>2006</v>
      </c>
      <c r="D3929" s="18" t="n">
        <v>2006</v>
      </c>
      <c r="E3929" s="18" t="inlineStr">
        <is>
          <t>Ice Age: The Meltdown</t>
        </is>
      </c>
      <c r="F3929" s="18" t="inlineStr">
        <is>
          <t>F0160</t>
        </is>
      </c>
    </row>
    <row r="3930" ht="15.75" customHeight="1" s="108">
      <c r="A3930" s="18" t="inlineStr">
        <is>
          <t>Matt Romano</t>
        </is>
      </c>
      <c r="B3930" s="18" t="n">
        <v>1</v>
      </c>
      <c r="C3930" s="18" t="n">
        <v>2006</v>
      </c>
      <c r="D3930" s="18" t="n">
        <v>2006</v>
      </c>
      <c r="E3930" s="18" t="inlineStr">
        <is>
          <t>Ice Age: The Meltdown</t>
        </is>
      </c>
      <c r="F3930" s="18" t="inlineStr">
        <is>
          <t>F0160</t>
        </is>
      </c>
    </row>
    <row r="3931" ht="15.75" customHeight="1" s="108">
      <c r="A3931" s="18" t="inlineStr">
        <is>
          <t>Carlos Saldanha</t>
        </is>
      </c>
      <c r="B3931" s="18" t="n">
        <v>3</v>
      </c>
      <c r="C3931" s="18" t="n">
        <v>2006</v>
      </c>
      <c r="D3931" s="18" t="n">
        <v>2011</v>
      </c>
      <c r="E3931" s="18" t="inlineStr">
        <is>
          <t>Ice Age: The Meltdown, Ice Age: Dawn of the Dinosaurs, Rio</t>
        </is>
      </c>
      <c r="F3931" s="18" t="inlineStr">
        <is>
          <t>F0160, F0161, F0265</t>
        </is>
      </c>
    </row>
    <row r="3932" ht="15.75" customHeight="1" s="108">
      <c r="A3932" s="18" t="inlineStr">
        <is>
          <t>Manoela Scarpa Saldanha</t>
        </is>
      </c>
      <c r="B3932" s="18" t="n">
        <v>2</v>
      </c>
      <c r="C3932" s="18" t="n">
        <v>2006</v>
      </c>
      <c r="D3932" s="18" t="n">
        <v>2009</v>
      </c>
      <c r="E3932" s="18" t="inlineStr">
        <is>
          <t>Ice Age: The Meltdown, Ice Age: Dawn of the Dinosaurs</t>
        </is>
      </c>
      <c r="F3932" s="18" t="inlineStr">
        <is>
          <t>F0160, F0161</t>
        </is>
      </c>
    </row>
    <row r="3933" ht="15.75" customHeight="1" s="108">
      <c r="A3933" s="18" t="inlineStr">
        <is>
          <t>Karen Disher</t>
        </is>
      </c>
      <c r="B3933" s="18" t="n">
        <v>2</v>
      </c>
      <c r="C3933" s="18" t="n">
        <v>2009</v>
      </c>
      <c r="D3933" s="18" t="n">
        <v>2011</v>
      </c>
      <c r="E3933" s="18" t="inlineStr">
        <is>
          <t>Ice Age: Dawn of the Dinosaurs, Rio</t>
        </is>
      </c>
      <c r="F3933" s="18" t="inlineStr">
        <is>
          <t>F0161, F0265</t>
        </is>
      </c>
    </row>
    <row r="3934" ht="15.75" customHeight="1" s="108">
      <c r="A3934" s="18" t="inlineStr">
        <is>
          <t>Eunice Cho</t>
        </is>
      </c>
      <c r="B3934" s="18" t="n">
        <v>1</v>
      </c>
      <c r="C3934" s="18" t="n">
        <v>2009</v>
      </c>
      <c r="D3934" s="18" t="n">
        <v>2009</v>
      </c>
      <c r="E3934" s="18" t="inlineStr">
        <is>
          <t>Ice Age: Dawn of the Dinosaurs</t>
        </is>
      </c>
      <c r="F3934" s="18" t="inlineStr">
        <is>
          <t>F0161</t>
        </is>
      </c>
    </row>
    <row r="3935" ht="15.75" customHeight="1" s="108">
      <c r="A3935" s="18" t="inlineStr">
        <is>
          <t>Maile Flanagan</t>
        </is>
      </c>
      <c r="B3935" s="18" t="n">
        <v>1</v>
      </c>
      <c r="C3935" s="18" t="n">
        <v>2009</v>
      </c>
      <c r="D3935" s="18" t="n">
        <v>2009</v>
      </c>
      <c r="E3935" s="18" t="inlineStr">
        <is>
          <t>Ice Age: Dawn of the Dinosaurs</t>
        </is>
      </c>
      <c r="F3935" s="18" t="inlineStr">
        <is>
          <t>F0161</t>
        </is>
      </c>
    </row>
    <row r="3936" ht="15.75" customHeight="1" s="108">
      <c r="A3936" s="18" t="inlineStr">
        <is>
          <t>Harrison Fahn</t>
        </is>
      </c>
      <c r="B3936" s="18" t="n">
        <v>1</v>
      </c>
      <c r="C3936" s="18" t="n">
        <v>2009</v>
      </c>
      <c r="D3936" s="18" t="n">
        <v>2009</v>
      </c>
      <c r="E3936" s="18" t="inlineStr">
        <is>
          <t>Ice Age: Dawn of the Dinosaurs</t>
        </is>
      </c>
      <c r="F3936" s="18" t="inlineStr">
        <is>
          <t>F0161</t>
        </is>
      </c>
    </row>
    <row r="3937" ht="15.75" customHeight="1" s="108">
      <c r="A3937" s="18" t="inlineStr">
        <is>
          <t>Kelly Keaton</t>
        </is>
      </c>
      <c r="B3937" s="18" t="n">
        <v>2</v>
      </c>
      <c r="C3937" s="18" t="n">
        <v>2009</v>
      </c>
      <c r="D3937" s="18" t="n">
        <v>2011</v>
      </c>
      <c r="E3937" s="18" t="inlineStr">
        <is>
          <t>Ice Age: Dawn of the Dinosaurs, Rio</t>
        </is>
      </c>
      <c r="F3937" s="18" t="inlineStr">
        <is>
          <t>F0161, F0265</t>
        </is>
      </c>
    </row>
    <row r="3938" ht="15.75" customHeight="1" s="108">
      <c r="A3938" s="18" t="inlineStr">
        <is>
          <t>Lucas Leguizamo</t>
        </is>
      </c>
      <c r="B3938" s="18" t="n">
        <v>1</v>
      </c>
      <c r="C3938" s="18" t="n">
        <v>2009</v>
      </c>
      <c r="D3938" s="18" t="n">
        <v>2009</v>
      </c>
      <c r="E3938" s="18" t="inlineStr">
        <is>
          <t>Ice Age: Dawn of the Dinosaurs</t>
        </is>
      </c>
      <c r="F3938" s="18" t="inlineStr">
        <is>
          <t>F0161</t>
        </is>
      </c>
    </row>
    <row r="3939" ht="15.75" customHeight="1" s="108">
      <c r="A3939" s="18" t="inlineStr">
        <is>
          <t>Regan Mizrahi</t>
        </is>
      </c>
      <c r="B3939" s="18" t="n">
        <v>1</v>
      </c>
      <c r="C3939" s="18" t="n">
        <v>2009</v>
      </c>
      <c r="D3939" s="18" t="n">
        <v>2009</v>
      </c>
      <c r="E3939" s="18" t="inlineStr">
        <is>
          <t>Ice Age: Dawn of the Dinosaurs</t>
        </is>
      </c>
      <c r="F3939" s="18" t="inlineStr">
        <is>
          <t>F0161</t>
        </is>
      </c>
    </row>
    <row r="3940" ht="15.75" customHeight="1" s="108">
      <c r="A3940" s="18" t="inlineStr">
        <is>
          <t>Allegra Leguizamo</t>
        </is>
      </c>
      <c r="B3940" s="18" t="n">
        <v>1</v>
      </c>
      <c r="C3940" s="18" t="n">
        <v>2009</v>
      </c>
      <c r="D3940" s="18" t="n">
        <v>2009</v>
      </c>
      <c r="E3940" s="18" t="inlineStr">
        <is>
          <t>Ice Age: Dawn of the Dinosaurs</t>
        </is>
      </c>
      <c r="F3940" s="18" t="inlineStr">
        <is>
          <t>F0161</t>
        </is>
      </c>
    </row>
    <row r="3941" ht="15.75" customHeight="1" s="108">
      <c r="A3941" s="18" t="inlineStr">
        <is>
          <t>Claudia Besso</t>
        </is>
      </c>
      <c r="B3941" s="18" t="n">
        <v>1</v>
      </c>
      <c r="C3941" s="18" t="n">
        <v>2009</v>
      </c>
      <c r="D3941" s="18" t="n">
        <v>2009</v>
      </c>
      <c r="E3941" s="18" t="inlineStr">
        <is>
          <t>Ice Age: Dawn of the Dinosaurs</t>
        </is>
      </c>
      <c r="F3941" s="18" t="inlineStr">
        <is>
          <t>F0161</t>
        </is>
      </c>
    </row>
    <row r="3942" ht="15.75" customHeight="1" s="108">
      <c r="A3942" s="18" t="inlineStr">
        <is>
          <t>Bea Miller</t>
        </is>
      </c>
      <c r="B3942" s="18" t="n">
        <v>2</v>
      </c>
      <c r="C3942" s="18" t="n">
        <v>2009</v>
      </c>
      <c r="D3942" s="18" t="n">
        <v>2010</v>
      </c>
      <c r="E3942" s="18" t="inlineStr">
        <is>
          <t>Ice Age: Dawn of the Dinosaurs, Toy Story 3</t>
        </is>
      </c>
      <c r="F3942" s="18" t="inlineStr">
        <is>
          <t>F0161, F0314</t>
        </is>
      </c>
    </row>
    <row r="3943" ht="15.75" customHeight="1" s="108">
      <c r="A3943" s="18" t="inlineStr">
        <is>
          <t>Christian Pikes</t>
        </is>
      </c>
      <c r="B3943" s="18" t="n">
        <v>1</v>
      </c>
      <c r="C3943" s="18" t="n">
        <v>2009</v>
      </c>
      <c r="D3943" s="18" t="n">
        <v>2009</v>
      </c>
      <c r="E3943" s="18" t="inlineStr">
        <is>
          <t>Ice Age: Dawn of the Dinosaurs</t>
        </is>
      </c>
      <c r="F3943" s="18" t="inlineStr">
        <is>
          <t>F0161</t>
        </is>
      </c>
    </row>
    <row r="3944" ht="15.75" customHeight="1" s="108">
      <c r="A3944" s="18" t="inlineStr">
        <is>
          <t>Avery Christopher Plum</t>
        </is>
      </c>
      <c r="B3944" s="18" t="n">
        <v>1</v>
      </c>
      <c r="C3944" s="18" t="n">
        <v>2009</v>
      </c>
      <c r="D3944" s="18" t="n">
        <v>2009</v>
      </c>
      <c r="E3944" s="18" t="inlineStr">
        <is>
          <t>Ice Age: Dawn of the Dinosaurs</t>
        </is>
      </c>
      <c r="F3944" s="18" t="inlineStr">
        <is>
          <t>F0161</t>
        </is>
      </c>
    </row>
    <row r="3945" ht="15.75" customHeight="1" s="108">
      <c r="A3945" s="18" t="inlineStr">
        <is>
          <t>Joseph Romano</t>
        </is>
      </c>
      <c r="B3945" s="18" t="n">
        <v>1</v>
      </c>
      <c r="C3945" s="18" t="n">
        <v>2009</v>
      </c>
      <c r="D3945" s="18" t="n">
        <v>2009</v>
      </c>
      <c r="E3945" s="18" t="inlineStr">
        <is>
          <t>Ice Age: Dawn of the Dinosaurs</t>
        </is>
      </c>
      <c r="F3945" s="18" t="inlineStr">
        <is>
          <t>F0161</t>
        </is>
      </c>
    </row>
    <row r="3946" ht="15.75" customHeight="1" s="108">
      <c r="A3946" s="18" t="inlineStr">
        <is>
          <t>Sofia Scarpa Saldanha</t>
        </is>
      </c>
      <c r="B3946" s="18" t="n">
        <v>2</v>
      </c>
      <c r="C3946" s="18" t="n">
        <v>2009</v>
      </c>
      <c r="D3946" s="18" t="n">
        <v>2011</v>
      </c>
      <c r="E3946" s="18" t="inlineStr">
        <is>
          <t>Ice Age: Dawn of the Dinosaurs, Rio</t>
        </is>
      </c>
      <c r="F3946" s="18" t="inlineStr">
        <is>
          <t>F0161, F0265</t>
        </is>
      </c>
    </row>
    <row r="3947" ht="15.75" customHeight="1" s="108">
      <c r="A3947" s="18" t="inlineStr">
        <is>
          <t>Matthew Beard</t>
        </is>
      </c>
      <c r="B3947" s="18" t="n">
        <v>1</v>
      </c>
      <c r="C3947" s="18" t="n">
        <v>2014</v>
      </c>
      <c r="D3947" s="18" t="n">
        <v>2014</v>
      </c>
      <c r="E3947" s="18" t="inlineStr">
        <is>
          <t>The Imitation Game</t>
        </is>
      </c>
      <c r="F3947" s="18" t="inlineStr">
        <is>
          <t>F0162</t>
        </is>
      </c>
    </row>
    <row r="3948" ht="15.75" customHeight="1" s="108">
      <c r="A3948" s="18" t="inlineStr">
        <is>
          <t>James Northcote</t>
        </is>
      </c>
      <c r="B3948" s="18" t="n">
        <v>1</v>
      </c>
      <c r="C3948" s="18" t="n">
        <v>2014</v>
      </c>
      <c r="D3948" s="18" t="n">
        <v>2014</v>
      </c>
      <c r="E3948" s="18" t="inlineStr">
        <is>
          <t>The Imitation Game</t>
        </is>
      </c>
      <c r="F3948" s="18" t="inlineStr">
        <is>
          <t>F0162</t>
        </is>
      </c>
    </row>
    <row r="3949" ht="15.75" customHeight="1" s="108">
      <c r="A3949" s="18" t="inlineStr">
        <is>
          <t>Tom Goodman-Hill</t>
        </is>
      </c>
      <c r="B3949" s="18" t="n">
        <v>1</v>
      </c>
      <c r="C3949" s="18" t="n">
        <v>2014</v>
      </c>
      <c r="D3949" s="18" t="n">
        <v>2014</v>
      </c>
      <c r="E3949" s="18" t="inlineStr">
        <is>
          <t>The Imitation Game</t>
        </is>
      </c>
      <c r="F3949" s="18" t="inlineStr">
        <is>
          <t>F0162</t>
        </is>
      </c>
    </row>
    <row r="3950" ht="15.75" customHeight="1" s="108">
      <c r="A3950" s="18" t="inlineStr">
        <is>
          <t>Steven Waddington</t>
        </is>
      </c>
      <c r="B3950" s="18" t="n">
        <v>2</v>
      </c>
      <c r="C3950" s="18" t="n">
        <v>2012</v>
      </c>
      <c r="D3950" s="18" t="n">
        <v>2014</v>
      </c>
      <c r="E3950" s="18" t="inlineStr">
        <is>
          <t>The Imitation Game, The Sweeney</t>
        </is>
      </c>
      <c r="F3950" s="18" t="inlineStr">
        <is>
          <t>F0162, F0305</t>
        </is>
      </c>
    </row>
    <row r="3951" ht="15.75" customHeight="1" s="108">
      <c r="A3951" s="18" t="inlineStr">
        <is>
          <t>Ilan Goodman</t>
        </is>
      </c>
      <c r="B3951" s="18" t="n">
        <v>1</v>
      </c>
      <c r="C3951" s="18" t="n">
        <v>2014</v>
      </c>
      <c r="D3951" s="18" t="n">
        <v>2014</v>
      </c>
      <c r="E3951" s="18" t="inlineStr">
        <is>
          <t>The Imitation Game</t>
        </is>
      </c>
      <c r="F3951" s="18" t="inlineStr">
        <is>
          <t>F0162</t>
        </is>
      </c>
    </row>
    <row r="3952" ht="15.75" customHeight="1" s="108">
      <c r="A3952" s="18" t="inlineStr">
        <is>
          <t>Jack Tarlton</t>
        </is>
      </c>
      <c r="B3952" s="18" t="n">
        <v>1</v>
      </c>
      <c r="C3952" s="18" t="n">
        <v>2014</v>
      </c>
      <c r="D3952" s="18" t="n">
        <v>2014</v>
      </c>
      <c r="E3952" s="18" t="inlineStr">
        <is>
          <t>The Imitation Game</t>
        </is>
      </c>
      <c r="F3952" s="18" t="inlineStr">
        <is>
          <t>F0162</t>
        </is>
      </c>
    </row>
    <row r="3953" ht="15.75" customHeight="1" s="108">
      <c r="A3953" s="18" t="inlineStr">
        <is>
          <t>Alex Lawther</t>
        </is>
      </c>
      <c r="B3953" s="18" t="n">
        <v>1</v>
      </c>
      <c r="C3953" s="18" t="n">
        <v>2014</v>
      </c>
      <c r="D3953" s="18" t="n">
        <v>2014</v>
      </c>
      <c r="E3953" s="18" t="inlineStr">
        <is>
          <t>The Imitation Game</t>
        </is>
      </c>
      <c r="F3953" s="18" t="inlineStr">
        <is>
          <t>F0162</t>
        </is>
      </c>
    </row>
    <row r="3954" ht="15.75" customHeight="1" s="108">
      <c r="A3954" s="18" t="inlineStr">
        <is>
          <t>Tuppence Middleton</t>
        </is>
      </c>
      <c r="B3954" s="18" t="n">
        <v>1</v>
      </c>
      <c r="C3954" s="18" t="n">
        <v>2014</v>
      </c>
      <c r="D3954" s="18" t="n">
        <v>2014</v>
      </c>
      <c r="E3954" s="18" t="inlineStr">
        <is>
          <t>The Imitation Game</t>
        </is>
      </c>
      <c r="F3954" s="18" t="inlineStr">
        <is>
          <t>F0162</t>
        </is>
      </c>
    </row>
    <row r="3955" ht="15.75" customHeight="1" s="108">
      <c r="A3955" s="18" t="inlineStr">
        <is>
          <t>Dominic Charman</t>
        </is>
      </c>
      <c r="B3955" s="18" t="n">
        <v>1</v>
      </c>
      <c r="C3955" s="18" t="n">
        <v>2014</v>
      </c>
      <c r="D3955" s="18" t="n">
        <v>2014</v>
      </c>
      <c r="E3955" s="18" t="inlineStr">
        <is>
          <t>The Imitation Game</t>
        </is>
      </c>
      <c r="F3955" s="18" t="inlineStr">
        <is>
          <t>F0162</t>
        </is>
      </c>
    </row>
    <row r="3956" ht="15.75" customHeight="1" s="108">
      <c r="A3956" s="18" t="inlineStr">
        <is>
          <t>James G. Nunn</t>
        </is>
      </c>
      <c r="B3956" s="18" t="n">
        <v>1</v>
      </c>
      <c r="C3956" s="18" t="n">
        <v>2014</v>
      </c>
      <c r="D3956" s="18" t="n">
        <v>2014</v>
      </c>
      <c r="E3956" s="18" t="inlineStr">
        <is>
          <t>The Imitation Game</t>
        </is>
      </c>
      <c r="F3956" s="18" t="inlineStr">
        <is>
          <t>F0162</t>
        </is>
      </c>
    </row>
    <row r="3957" ht="15.75" customHeight="1" s="108">
      <c r="A3957" s="18" t="inlineStr">
        <is>
          <t>Charlie Manton</t>
        </is>
      </c>
      <c r="B3957" s="18" t="n">
        <v>1</v>
      </c>
      <c r="C3957" s="18" t="n">
        <v>2014</v>
      </c>
      <c r="D3957" s="18" t="n">
        <v>2014</v>
      </c>
      <c r="E3957" s="18" t="inlineStr">
        <is>
          <t>The Imitation Game</t>
        </is>
      </c>
      <c r="F3957" s="18" t="inlineStr">
        <is>
          <t>F0162</t>
        </is>
      </c>
    </row>
    <row r="3958" ht="15.75" customHeight="1" s="108">
      <c r="A3958" s="18" t="inlineStr">
        <is>
          <t>David Charkham</t>
        </is>
      </c>
      <c r="B3958" s="18" t="n">
        <v>1</v>
      </c>
      <c r="C3958" s="18" t="n">
        <v>2014</v>
      </c>
      <c r="D3958" s="18" t="n">
        <v>2014</v>
      </c>
      <c r="E3958" s="18" t="inlineStr">
        <is>
          <t>The Imitation Game</t>
        </is>
      </c>
      <c r="F3958" s="18" t="inlineStr">
        <is>
          <t>F0162</t>
        </is>
      </c>
    </row>
    <row r="3959" ht="15.75" customHeight="1" s="108">
      <c r="A3959" s="18" t="inlineStr">
        <is>
          <t>Victoria Wicks</t>
        </is>
      </c>
      <c r="B3959" s="18" t="n">
        <v>1</v>
      </c>
      <c r="C3959" s="18" t="n">
        <v>2014</v>
      </c>
      <c r="D3959" s="18" t="n">
        <v>2014</v>
      </c>
      <c r="E3959" s="18" t="inlineStr">
        <is>
          <t>The Imitation Game</t>
        </is>
      </c>
      <c r="F3959" s="18" t="inlineStr">
        <is>
          <t>F0162</t>
        </is>
      </c>
    </row>
    <row r="3960" ht="15.75" customHeight="1" s="108">
      <c r="A3960" s="18" t="inlineStr">
        <is>
          <t>Andrew Havill</t>
        </is>
      </c>
      <c r="B3960" s="18" t="n">
        <v>3</v>
      </c>
      <c r="C3960" s="18" t="n">
        <v>2010</v>
      </c>
      <c r="D3960" s="18" t="n">
        <v>2014</v>
      </c>
      <c r="E3960" s="18" t="inlineStr">
        <is>
          <t>The Imitation Game, The King's Speech, Les Misérables</t>
        </is>
      </c>
      <c r="F3960" s="18" t="inlineStr">
        <is>
          <t>F0162, F0189, F0199</t>
        </is>
      </c>
    </row>
    <row r="3961" ht="15.75" customHeight="1" s="108">
      <c r="A3961" s="18" t="inlineStr">
        <is>
          <t>Laurence Kennedy</t>
        </is>
      </c>
      <c r="B3961" s="18" t="n">
        <v>1</v>
      </c>
      <c r="C3961" s="18" t="n">
        <v>2014</v>
      </c>
      <c r="D3961" s="18" t="n">
        <v>2014</v>
      </c>
      <c r="E3961" s="18" t="inlineStr">
        <is>
          <t>The Imitation Game</t>
        </is>
      </c>
      <c r="F3961" s="18" t="inlineStr">
        <is>
          <t>F0162</t>
        </is>
      </c>
    </row>
    <row r="3962" ht="15.75" customHeight="1" s="108">
      <c r="A3962" s="18" t="inlineStr">
        <is>
          <t>Tim van Eyken</t>
        </is>
      </c>
      <c r="B3962" s="18" t="n">
        <v>1</v>
      </c>
      <c r="C3962" s="18" t="n">
        <v>2014</v>
      </c>
      <c r="D3962" s="18" t="n">
        <v>2014</v>
      </c>
      <c r="E3962" s="18" t="inlineStr">
        <is>
          <t>The Imitation Game</t>
        </is>
      </c>
      <c r="F3962" s="18" t="inlineStr">
        <is>
          <t>F0162</t>
        </is>
      </c>
    </row>
    <row r="3963" ht="15.75" customHeight="1" s="108">
      <c r="A3963" s="18" t="inlineStr">
        <is>
          <t>Will Bowden</t>
        </is>
      </c>
      <c r="B3963" s="18" t="n">
        <v>1</v>
      </c>
      <c r="C3963" s="18" t="n">
        <v>2014</v>
      </c>
      <c r="D3963" s="18" t="n">
        <v>2014</v>
      </c>
      <c r="E3963" s="18" t="inlineStr">
        <is>
          <t>The Imitation Game</t>
        </is>
      </c>
      <c r="F3963" s="18" t="inlineStr">
        <is>
          <t>F0162</t>
        </is>
      </c>
    </row>
    <row r="3964" ht="15.75" customHeight="1" s="108">
      <c r="A3964" s="18" t="inlineStr">
        <is>
          <t>Miranda Bell</t>
        </is>
      </c>
      <c r="B3964" s="18" t="n">
        <v>1</v>
      </c>
      <c r="C3964" s="18" t="n">
        <v>2014</v>
      </c>
      <c r="D3964" s="18" t="n">
        <v>2014</v>
      </c>
      <c r="E3964" s="18" t="inlineStr">
        <is>
          <t>The Imitation Game</t>
        </is>
      </c>
      <c r="F3964" s="18" t="inlineStr">
        <is>
          <t>F0162</t>
        </is>
      </c>
    </row>
    <row r="3965" ht="15.75" customHeight="1" s="108">
      <c r="A3965" s="18" t="inlineStr">
        <is>
          <t>Tim Steed</t>
        </is>
      </c>
      <c r="B3965" s="18" t="n">
        <v>1</v>
      </c>
      <c r="C3965" s="18" t="n">
        <v>2014</v>
      </c>
      <c r="D3965" s="18" t="n">
        <v>2014</v>
      </c>
      <c r="E3965" s="18" t="inlineStr">
        <is>
          <t>The Imitation Game</t>
        </is>
      </c>
      <c r="F3965" s="18" t="inlineStr">
        <is>
          <t>F0162</t>
        </is>
      </c>
    </row>
    <row r="3966" ht="15.75" customHeight="1" s="108">
      <c r="A3966" s="18" t="inlineStr">
        <is>
          <t>Hayley Joanne Bacon</t>
        </is>
      </c>
      <c r="B3966" s="18" t="n">
        <v>1</v>
      </c>
      <c r="C3966" s="18" t="n">
        <v>2014</v>
      </c>
      <c r="D3966" s="18" t="n">
        <v>2014</v>
      </c>
      <c r="E3966" s="18" t="inlineStr">
        <is>
          <t>The Imitation Game</t>
        </is>
      </c>
      <c r="F3966" s="18" t="inlineStr">
        <is>
          <t>F0162</t>
        </is>
      </c>
    </row>
    <row r="3967" ht="15.75" customHeight="1" s="108">
      <c r="A3967" s="18" t="inlineStr">
        <is>
          <t>Nicholas Blatt</t>
        </is>
      </c>
      <c r="B3967" s="18" t="n">
        <v>1</v>
      </c>
      <c r="C3967" s="18" t="n">
        <v>2014</v>
      </c>
      <c r="D3967" s="18" t="n">
        <v>2014</v>
      </c>
      <c r="E3967" s="18" t="inlineStr">
        <is>
          <t>The Imitation Game</t>
        </is>
      </c>
      <c r="F3967" s="18" t="inlineStr">
        <is>
          <t>F0162</t>
        </is>
      </c>
    </row>
    <row r="3968" ht="15.75" customHeight="1" s="108">
      <c r="A3968" s="18" t="inlineStr">
        <is>
          <t>Ancuta Breaban</t>
        </is>
      </c>
      <c r="B3968" s="18" t="n">
        <v>1</v>
      </c>
      <c r="C3968" s="18" t="n">
        <v>2014</v>
      </c>
      <c r="D3968" s="18" t="n">
        <v>2014</v>
      </c>
      <c r="E3968" s="18" t="inlineStr">
        <is>
          <t>The Imitation Game</t>
        </is>
      </c>
      <c r="F3968" s="18" t="inlineStr">
        <is>
          <t>F0162</t>
        </is>
      </c>
    </row>
    <row r="3969" ht="15.75" customHeight="1" s="108">
      <c r="A3969" s="18" t="inlineStr">
        <is>
          <t>Lydia Rose Bewley</t>
        </is>
      </c>
      <c r="B3969" s="18" t="n">
        <v>2</v>
      </c>
      <c r="C3969" s="18" t="n">
        <v>2011</v>
      </c>
      <c r="D3969" s="18" t="n">
        <v>2014</v>
      </c>
      <c r="E3969" s="18" t="inlineStr">
        <is>
          <t>The Inbetweeners Movie, The Inbetweeners 2</t>
        </is>
      </c>
      <c r="F3969" s="18" t="inlineStr">
        <is>
          <t>F0163, F0164</t>
        </is>
      </c>
    </row>
    <row r="3970" ht="15.75" customHeight="1" s="108">
      <c r="A3970" s="18" t="inlineStr">
        <is>
          <t>Tamla Kari</t>
        </is>
      </c>
      <c r="B3970" s="18" t="n">
        <v>2</v>
      </c>
      <c r="C3970" s="18" t="n">
        <v>2011</v>
      </c>
      <c r="D3970" s="18" t="n">
        <v>2014</v>
      </c>
      <c r="E3970" s="18" t="inlineStr">
        <is>
          <t>The Inbetweeners Movie, The Inbetweeners 2</t>
        </is>
      </c>
      <c r="F3970" s="18" t="inlineStr">
        <is>
          <t>F0163, F0164</t>
        </is>
      </c>
    </row>
    <row r="3971" ht="15.75" customHeight="1" s="108">
      <c r="A3971" s="18" t="inlineStr">
        <is>
          <t>Theo Barklem-Biggs</t>
        </is>
      </c>
      <c r="B3971" s="18" t="n">
        <v>1</v>
      </c>
      <c r="C3971" s="18" t="n">
        <v>2011</v>
      </c>
      <c r="D3971" s="18" t="n">
        <v>2011</v>
      </c>
      <c r="E3971" s="18" t="inlineStr">
        <is>
          <t>The Inbetweeners Movie</t>
        </is>
      </c>
      <c r="F3971" s="18" t="inlineStr">
        <is>
          <t>F0163</t>
        </is>
      </c>
    </row>
    <row r="3972" ht="15.75" customHeight="1" s="108">
      <c r="A3972" s="18" t="inlineStr">
        <is>
          <t>Anthony Stewart Head</t>
        </is>
      </c>
      <c r="B3972" s="18" t="n">
        <v>1</v>
      </c>
      <c r="C3972" s="18" t="n">
        <v>2011</v>
      </c>
      <c r="D3972" s="18" t="n">
        <v>2011</v>
      </c>
      <c r="E3972" s="18" t="inlineStr">
        <is>
          <t>The Inbetweeners Movie</t>
        </is>
      </c>
      <c r="F3972" s="18" t="inlineStr">
        <is>
          <t>F0163</t>
        </is>
      </c>
    </row>
    <row r="3973" ht="15.75" customHeight="1" s="108">
      <c r="A3973" s="18" t="inlineStr">
        <is>
          <t>Victoria Willing</t>
        </is>
      </c>
      <c r="B3973" s="18" t="n">
        <v>1</v>
      </c>
      <c r="C3973" s="18" t="n">
        <v>2011</v>
      </c>
      <c r="D3973" s="18" t="n">
        <v>2011</v>
      </c>
      <c r="E3973" s="18" t="inlineStr">
        <is>
          <t>The Inbetweeners Movie</t>
        </is>
      </c>
      <c r="F3973" s="18" t="inlineStr">
        <is>
          <t>F0163</t>
        </is>
      </c>
    </row>
    <row r="3974" ht="15.75" customHeight="1" s="108">
      <c r="A3974" s="18" t="inlineStr">
        <is>
          <t>Greg Davies</t>
        </is>
      </c>
      <c r="B3974" s="18" t="n">
        <v>2</v>
      </c>
      <c r="C3974" s="18" t="n">
        <v>2011</v>
      </c>
      <c r="D3974" s="18" t="n">
        <v>2014</v>
      </c>
      <c r="E3974" s="18" t="inlineStr">
        <is>
          <t>The Inbetweeners Movie, The Inbetweeners 2</t>
        </is>
      </c>
      <c r="F3974" s="18" t="inlineStr">
        <is>
          <t>F0163, F0164</t>
        </is>
      </c>
    </row>
    <row r="3975" ht="15.75" customHeight="1" s="108">
      <c r="A3975" s="18" t="inlineStr">
        <is>
          <t>Henry Lloyd-Hughes</t>
        </is>
      </c>
      <c r="B3975" s="18" t="n">
        <v>1</v>
      </c>
      <c r="C3975" s="18" t="n">
        <v>2011</v>
      </c>
      <c r="D3975" s="18" t="n">
        <v>2011</v>
      </c>
      <c r="E3975" s="18" t="inlineStr">
        <is>
          <t>The Inbetweeners Movie</t>
        </is>
      </c>
      <c r="F3975" s="18" t="inlineStr">
        <is>
          <t>F0163</t>
        </is>
      </c>
    </row>
    <row r="3976" ht="15.75" customHeight="1" s="108">
      <c r="A3976" s="18" t="inlineStr">
        <is>
          <t>Belinda Stewart-Wilson</t>
        </is>
      </c>
      <c r="B3976" s="18" t="n">
        <v>2</v>
      </c>
      <c r="C3976" s="18" t="n">
        <v>2011</v>
      </c>
      <c r="D3976" s="18" t="n">
        <v>2014</v>
      </c>
      <c r="E3976" s="18" t="inlineStr">
        <is>
          <t>The Inbetweeners Movie, The Inbetweeners 2</t>
        </is>
      </c>
      <c r="F3976" s="18" t="inlineStr">
        <is>
          <t>F0163, F0164</t>
        </is>
      </c>
    </row>
    <row r="3977" ht="15.75" customHeight="1" s="108">
      <c r="A3977" s="18" t="inlineStr">
        <is>
          <t>Robin Weaver</t>
        </is>
      </c>
      <c r="B3977" s="18" t="n">
        <v>2</v>
      </c>
      <c r="C3977" s="18" t="n">
        <v>2011</v>
      </c>
      <c r="D3977" s="18" t="n">
        <v>2014</v>
      </c>
      <c r="E3977" s="18" t="inlineStr">
        <is>
          <t>The Inbetweeners Movie, The Inbetweeners 2</t>
        </is>
      </c>
      <c r="F3977" s="18" t="inlineStr">
        <is>
          <t>F0163, F0164</t>
        </is>
      </c>
    </row>
    <row r="3978" ht="15.75" customHeight="1" s="108">
      <c r="A3978" s="18" t="inlineStr">
        <is>
          <t>Martin Trenaman</t>
        </is>
      </c>
      <c r="B3978" s="18" t="n">
        <v>2</v>
      </c>
      <c r="C3978" s="18" t="n">
        <v>2011</v>
      </c>
      <c r="D3978" s="18" t="n">
        <v>2014</v>
      </c>
      <c r="E3978" s="18" t="inlineStr">
        <is>
          <t>The Inbetweeners Movie, The Inbetweeners 2</t>
        </is>
      </c>
      <c r="F3978" s="18" t="inlineStr">
        <is>
          <t>F0163, F0164</t>
        </is>
      </c>
    </row>
    <row r="3979" ht="15.75" customHeight="1" s="108">
      <c r="A3979" s="18" t="inlineStr">
        <is>
          <t>David Schaal</t>
        </is>
      </c>
      <c r="B3979" s="18" t="n">
        <v>2</v>
      </c>
      <c r="C3979" s="18" t="n">
        <v>2011</v>
      </c>
      <c r="D3979" s="18" t="n">
        <v>2014</v>
      </c>
      <c r="E3979" s="18" t="inlineStr">
        <is>
          <t>The Inbetweeners Movie, The Inbetweeners 2</t>
        </is>
      </c>
      <c r="F3979" s="18" t="inlineStr">
        <is>
          <t>F0163, F0164</t>
        </is>
      </c>
    </row>
    <row r="3980" ht="15.75" customHeight="1" s="108">
      <c r="A3980" s="18" t="inlineStr">
        <is>
          <t>Sophie Colquhoun</t>
        </is>
      </c>
      <c r="B3980" s="18" t="n">
        <v>1</v>
      </c>
      <c r="C3980" s="18" t="n">
        <v>2011</v>
      </c>
      <c r="D3980" s="18" t="n">
        <v>2011</v>
      </c>
      <c r="E3980" s="18" t="inlineStr">
        <is>
          <t>The Inbetweeners Movie</t>
        </is>
      </c>
      <c r="F3980" s="18" t="inlineStr">
        <is>
          <t>F0163</t>
        </is>
      </c>
    </row>
    <row r="3981" ht="15.75" customHeight="1" s="108">
      <c r="A3981" s="18" t="inlineStr">
        <is>
          <t>Carolin Stoltz</t>
        </is>
      </c>
      <c r="B3981" s="18" t="n">
        <v>1</v>
      </c>
      <c r="C3981" s="18" t="n">
        <v>2011</v>
      </c>
      <c r="D3981" s="18" t="n">
        <v>2011</v>
      </c>
      <c r="E3981" s="18" t="inlineStr">
        <is>
          <t>The Inbetweeners Movie</t>
        </is>
      </c>
      <c r="F3981" s="18" t="inlineStr">
        <is>
          <t>F0163</t>
        </is>
      </c>
    </row>
    <row r="3982" ht="15.75" customHeight="1" s="108">
      <c r="A3982" s="18" t="inlineStr">
        <is>
          <t>Etalia Turnbull</t>
        </is>
      </c>
      <c r="B3982" s="18" t="n">
        <v>1</v>
      </c>
      <c r="C3982" s="18" t="n">
        <v>2011</v>
      </c>
      <c r="D3982" s="18" t="n">
        <v>2011</v>
      </c>
      <c r="E3982" s="18" t="inlineStr">
        <is>
          <t>The Inbetweeners Movie</t>
        </is>
      </c>
      <c r="F3982" s="18" t="inlineStr">
        <is>
          <t>F0163</t>
        </is>
      </c>
    </row>
    <row r="3983" ht="15.75" customHeight="1" s="108">
      <c r="A3983" s="18" t="inlineStr">
        <is>
          <t>Lauren O'Rourke</t>
        </is>
      </c>
      <c r="B3983" s="18" t="n">
        <v>1</v>
      </c>
      <c r="C3983" s="18" t="n">
        <v>2011</v>
      </c>
      <c r="D3983" s="18" t="n">
        <v>2011</v>
      </c>
      <c r="E3983" s="18" t="inlineStr">
        <is>
          <t>The Inbetweeners Movie</t>
        </is>
      </c>
      <c r="F3983" s="18" t="inlineStr">
        <is>
          <t>F0163</t>
        </is>
      </c>
    </row>
    <row r="3984" ht="15.75" customHeight="1" s="108">
      <c r="A3984" s="18" t="inlineStr">
        <is>
          <t>Dominic Frisby</t>
        </is>
      </c>
      <c r="B3984" s="18" t="n">
        <v>1</v>
      </c>
      <c r="C3984" s="18" t="n">
        <v>2011</v>
      </c>
      <c r="D3984" s="18" t="n">
        <v>2011</v>
      </c>
      <c r="E3984" s="18" t="inlineStr">
        <is>
          <t>The Inbetweeners Movie</t>
        </is>
      </c>
      <c r="F3984" s="18" t="inlineStr">
        <is>
          <t>F0163</t>
        </is>
      </c>
    </row>
    <row r="3985" ht="15.75" customHeight="1" s="108">
      <c r="A3985" s="18" t="inlineStr">
        <is>
          <t>Lily Lovett</t>
        </is>
      </c>
      <c r="B3985" s="18" t="n">
        <v>1</v>
      </c>
      <c r="C3985" s="18" t="n">
        <v>2011</v>
      </c>
      <c r="D3985" s="18" t="n">
        <v>2011</v>
      </c>
      <c r="E3985" s="18" t="inlineStr">
        <is>
          <t>The Inbetweeners Movie</t>
        </is>
      </c>
      <c r="F3985" s="18" t="inlineStr">
        <is>
          <t>F0163</t>
        </is>
      </c>
    </row>
    <row r="3986" ht="15.75" customHeight="1" s="108">
      <c r="A3986" s="18" t="inlineStr">
        <is>
          <t>Cush Jumbo</t>
        </is>
      </c>
      <c r="B3986" s="18" t="n">
        <v>1</v>
      </c>
      <c r="C3986" s="18" t="n">
        <v>2011</v>
      </c>
      <c r="D3986" s="18" t="n">
        <v>2011</v>
      </c>
      <c r="E3986" s="18" t="inlineStr">
        <is>
          <t>The Inbetweeners Movie</t>
        </is>
      </c>
      <c r="F3986" s="18" t="inlineStr">
        <is>
          <t>F0163</t>
        </is>
      </c>
    </row>
    <row r="3987" ht="15.75" customHeight="1" s="108">
      <c r="A3987" s="18" t="inlineStr">
        <is>
          <t>Bobby Hirston</t>
        </is>
      </c>
      <c r="B3987" s="18" t="n">
        <v>1</v>
      </c>
      <c r="C3987" s="18" t="n">
        <v>2011</v>
      </c>
      <c r="D3987" s="18" t="n">
        <v>2011</v>
      </c>
      <c r="E3987" s="18" t="inlineStr">
        <is>
          <t>The Inbetweeners Movie</t>
        </is>
      </c>
      <c r="F3987" s="18" t="inlineStr">
        <is>
          <t>F0163</t>
        </is>
      </c>
    </row>
    <row r="3988" ht="15.75" customHeight="1" s="108">
      <c r="A3988" s="18" t="inlineStr">
        <is>
          <t>Tracey Temperton</t>
        </is>
      </c>
      <c r="B3988" s="18" t="n">
        <v>1</v>
      </c>
      <c r="C3988" s="18" t="n">
        <v>2011</v>
      </c>
      <c r="D3988" s="18" t="n">
        <v>2011</v>
      </c>
      <c r="E3988" s="18" t="inlineStr">
        <is>
          <t>The Inbetweeners Movie</t>
        </is>
      </c>
      <c r="F3988" s="18" t="inlineStr">
        <is>
          <t>F0163</t>
        </is>
      </c>
    </row>
    <row r="3989" ht="15.75" customHeight="1" s="108">
      <c r="A3989" s="18" t="inlineStr">
        <is>
          <t>Jimmy Roussounis</t>
        </is>
      </c>
      <c r="B3989" s="18" t="n">
        <v>1</v>
      </c>
      <c r="C3989" s="18" t="n">
        <v>2011</v>
      </c>
      <c r="D3989" s="18" t="n">
        <v>2011</v>
      </c>
      <c r="E3989" s="18" t="inlineStr">
        <is>
          <t>The Inbetweeners Movie</t>
        </is>
      </c>
      <c r="F3989" s="18" t="inlineStr">
        <is>
          <t>F0163</t>
        </is>
      </c>
    </row>
    <row r="3990" ht="15.75" customHeight="1" s="108">
      <c r="A3990" s="18" t="inlineStr">
        <is>
          <t>David Field</t>
        </is>
      </c>
      <c r="B3990" s="18" t="n">
        <v>3</v>
      </c>
      <c r="C3990" s="18" t="n">
        <v>2014</v>
      </c>
      <c r="D3990" s="18" t="n">
        <v>2025</v>
      </c>
      <c r="E3990" s="18" t="inlineStr">
        <is>
          <t xml:space="preserve">The Inbetweeners 2, furiosa, furiosa </t>
        </is>
      </c>
      <c r="F3990" s="18" t="inlineStr">
        <is>
          <t>F0164, F0370</t>
        </is>
      </c>
    </row>
    <row r="3991" ht="15.75" customHeight="1" s="108">
      <c r="A3991" s="18" t="inlineStr">
        <is>
          <t>Felicity Ward</t>
        </is>
      </c>
      <c r="B3991" s="18" t="n">
        <v>1</v>
      </c>
      <c r="C3991" s="18" t="n">
        <v>2014</v>
      </c>
      <c r="D3991" s="18" t="n">
        <v>2014</v>
      </c>
      <c r="E3991" s="18" t="inlineStr">
        <is>
          <t>The Inbetweeners 2</t>
        </is>
      </c>
      <c r="F3991" s="18" t="inlineStr">
        <is>
          <t>F0164</t>
        </is>
      </c>
    </row>
    <row r="3992" ht="15.75" customHeight="1" s="108">
      <c r="A3992" s="18" t="inlineStr">
        <is>
          <t>Oliver Johnstone</t>
        </is>
      </c>
      <c r="B3992" s="18" t="n">
        <v>1</v>
      </c>
      <c r="C3992" s="18" t="n">
        <v>2014</v>
      </c>
      <c r="D3992" s="18" t="n">
        <v>2014</v>
      </c>
      <c r="E3992" s="18" t="inlineStr">
        <is>
          <t>The Inbetweeners 2</t>
        </is>
      </c>
      <c r="F3992" s="18" t="inlineStr">
        <is>
          <t>F0164</t>
        </is>
      </c>
    </row>
    <row r="3993" ht="15.75" customHeight="1" s="108">
      <c r="A3993" s="18" t="inlineStr">
        <is>
          <t>Susan Wokoma</t>
        </is>
      </c>
      <c r="B3993" s="18" t="n">
        <v>1</v>
      </c>
      <c r="C3993" s="18" t="n">
        <v>2014</v>
      </c>
      <c r="D3993" s="18" t="n">
        <v>2014</v>
      </c>
      <c r="E3993" s="18" t="inlineStr">
        <is>
          <t>The Inbetweeners 2</t>
        </is>
      </c>
      <c r="F3993" s="18" t="inlineStr">
        <is>
          <t>F0164</t>
        </is>
      </c>
    </row>
    <row r="3994" ht="15.75" customHeight="1" s="108">
      <c r="A3994" s="18" t="inlineStr">
        <is>
          <t>Lucy Cohu</t>
        </is>
      </c>
      <c r="B3994" s="18" t="n">
        <v>1</v>
      </c>
      <c r="C3994" s="18" t="n">
        <v>2014</v>
      </c>
      <c r="D3994" s="18" t="n">
        <v>2014</v>
      </c>
      <c r="E3994" s="18" t="inlineStr">
        <is>
          <t>The Inbetweeners 2</t>
        </is>
      </c>
      <c r="F3994" s="18" t="inlineStr">
        <is>
          <t>F0164</t>
        </is>
      </c>
    </row>
    <row r="3995" ht="15.75" customHeight="1" s="108">
      <c r="A3995" s="18" t="inlineStr">
        <is>
          <t>Tom Wren</t>
        </is>
      </c>
      <c r="B3995" s="18" t="n">
        <v>1</v>
      </c>
      <c r="C3995" s="18" t="n">
        <v>2014</v>
      </c>
      <c r="D3995" s="18" t="n">
        <v>2014</v>
      </c>
      <c r="E3995" s="18" t="inlineStr">
        <is>
          <t>The Inbetweeners 2</t>
        </is>
      </c>
      <c r="F3995" s="18" t="inlineStr">
        <is>
          <t>F0164</t>
        </is>
      </c>
    </row>
    <row r="3996" ht="15.75" customHeight="1" s="108">
      <c r="A3996" s="18" t="inlineStr">
        <is>
          <t>Bibi Nerheim</t>
        </is>
      </c>
      <c r="B3996" s="18" t="n">
        <v>1</v>
      </c>
      <c r="C3996" s="18" t="n">
        <v>2014</v>
      </c>
      <c r="D3996" s="18" t="n">
        <v>2014</v>
      </c>
      <c r="E3996" s="18" t="inlineStr">
        <is>
          <t>The Inbetweeners 2</t>
        </is>
      </c>
      <c r="F3996" s="18" t="inlineStr">
        <is>
          <t>F0164</t>
        </is>
      </c>
    </row>
    <row r="3997" ht="15.75" customHeight="1" s="108">
      <c r="A3997" s="18" t="inlineStr">
        <is>
          <t>Adam Nagaitis</t>
        </is>
      </c>
      <c r="B3997" s="18" t="n">
        <v>1</v>
      </c>
      <c r="C3997" s="18" t="n">
        <v>2014</v>
      </c>
      <c r="D3997" s="18" t="n">
        <v>2014</v>
      </c>
      <c r="E3997" s="18" t="inlineStr">
        <is>
          <t>The Inbetweeners 2</t>
        </is>
      </c>
      <c r="F3997" s="18" t="inlineStr">
        <is>
          <t>F0164</t>
        </is>
      </c>
    </row>
    <row r="3998" ht="15.75" customHeight="1" s="108">
      <c r="A3998" s="18" t="inlineStr">
        <is>
          <t>Brad Kannegiesser</t>
        </is>
      </c>
      <c r="B3998" s="18" t="n">
        <v>1</v>
      </c>
      <c r="C3998" s="18" t="n">
        <v>2014</v>
      </c>
      <c r="D3998" s="18" t="n">
        <v>2014</v>
      </c>
      <c r="E3998" s="18" t="inlineStr">
        <is>
          <t>The Inbetweeners 2</t>
        </is>
      </c>
      <c r="F3998" s="18" t="inlineStr">
        <is>
          <t>F0164</t>
        </is>
      </c>
    </row>
    <row r="3999" ht="15.75" customHeight="1" s="108">
      <c r="A3999" s="18" t="inlineStr">
        <is>
          <t>Tom Berenger</t>
        </is>
      </c>
      <c r="B3999" s="18" t="n">
        <v>1</v>
      </c>
      <c r="C3999" s="18" t="n">
        <v>2010</v>
      </c>
      <c r="D3999" s="18" t="n">
        <v>2010</v>
      </c>
      <c r="E3999" s="18" t="inlineStr">
        <is>
          <t>Inception</t>
        </is>
      </c>
      <c r="F3999" s="18" t="inlineStr">
        <is>
          <t>F0165</t>
        </is>
      </c>
    </row>
    <row r="4000" ht="15.75" customHeight="1" s="108">
      <c r="A4000" s="18" t="inlineStr">
        <is>
          <t>Lukas Haas</t>
        </is>
      </c>
      <c r="B4000" s="18" t="n">
        <v>1</v>
      </c>
      <c r="C4000" s="18" t="n">
        <v>2010</v>
      </c>
      <c r="D4000" s="18" t="n">
        <v>2010</v>
      </c>
      <c r="E4000" s="18" t="inlineStr">
        <is>
          <t>Inception</t>
        </is>
      </c>
      <c r="F4000" s="18" t="inlineStr">
        <is>
          <t>F0165</t>
        </is>
      </c>
    </row>
    <row r="4001" ht="15.75" customHeight="1" s="108">
      <c r="A4001" s="18" t="inlineStr">
        <is>
          <t>Talulah Riley</t>
        </is>
      </c>
      <c r="B4001" s="18" t="n">
        <v>1</v>
      </c>
      <c r="C4001" s="18" t="n">
        <v>2010</v>
      </c>
      <c r="D4001" s="18" t="n">
        <v>2010</v>
      </c>
      <c r="E4001" s="18" t="inlineStr">
        <is>
          <t>Inception</t>
        </is>
      </c>
      <c r="F4001" s="18" t="inlineStr">
        <is>
          <t>F0165</t>
        </is>
      </c>
    </row>
    <row r="4002" ht="15.75" customHeight="1" s="108">
      <c r="A4002" s="18" t="inlineStr">
        <is>
          <t>Tohoru Masamune</t>
        </is>
      </c>
      <c r="B4002" s="18" t="n">
        <v>2</v>
      </c>
      <c r="C4002" s="18" t="n">
        <v>2010</v>
      </c>
      <c r="D4002" s="18" t="n">
        <v>2014</v>
      </c>
      <c r="E4002" s="18" t="inlineStr">
        <is>
          <t>Inception, Teenage Mutant Ninja Turtles</t>
        </is>
      </c>
      <c r="F4002" s="18" t="inlineStr">
        <is>
          <t>F0165, F0309</t>
        </is>
      </c>
    </row>
    <row r="4003" ht="15.75" customHeight="1" s="108">
      <c r="A4003" s="18" t="inlineStr">
        <is>
          <t>Taylor Geare</t>
        </is>
      </c>
      <c r="B4003" s="18" t="n">
        <v>1</v>
      </c>
      <c r="C4003" s="18" t="n">
        <v>2010</v>
      </c>
      <c r="D4003" s="18" t="n">
        <v>2010</v>
      </c>
      <c r="E4003" s="18" t="inlineStr">
        <is>
          <t>Inception</t>
        </is>
      </c>
      <c r="F4003" s="18" t="inlineStr">
        <is>
          <t>F0165</t>
        </is>
      </c>
    </row>
    <row r="4004" ht="15.75" customHeight="1" s="108">
      <c r="A4004" s="18" t="inlineStr">
        <is>
          <t>Claire Geare</t>
        </is>
      </c>
      <c r="B4004" s="18" t="n">
        <v>1</v>
      </c>
      <c r="C4004" s="18" t="n">
        <v>2010</v>
      </c>
      <c r="D4004" s="18" t="n">
        <v>2010</v>
      </c>
      <c r="E4004" s="18" t="inlineStr">
        <is>
          <t>Inception</t>
        </is>
      </c>
      <c r="F4004" s="18" t="inlineStr">
        <is>
          <t>F0165</t>
        </is>
      </c>
    </row>
    <row r="4005" ht="15.75" customHeight="1" s="108">
      <c r="A4005" s="18" t="inlineStr">
        <is>
          <t>Johnathan Geare</t>
        </is>
      </c>
      <c r="B4005" s="18" t="n">
        <v>1</v>
      </c>
      <c r="C4005" s="18" t="n">
        <v>2010</v>
      </c>
      <c r="D4005" s="18" t="n">
        <v>2010</v>
      </c>
      <c r="E4005" s="18" t="inlineStr">
        <is>
          <t>Inception</t>
        </is>
      </c>
      <c r="F4005" s="18" t="inlineStr">
        <is>
          <t>F0165</t>
        </is>
      </c>
    </row>
    <row r="4006" ht="15.75" customHeight="1" s="108">
      <c r="A4006" s="18" t="inlineStr">
        <is>
          <t>Yuji Okumoto</t>
        </is>
      </c>
      <c r="B4006" s="18" t="n">
        <v>1</v>
      </c>
      <c r="C4006" s="18" t="n">
        <v>2010</v>
      </c>
      <c r="D4006" s="18" t="n">
        <v>2010</v>
      </c>
      <c r="E4006" s="18" t="inlineStr">
        <is>
          <t>Inception</t>
        </is>
      </c>
      <c r="F4006" s="18" t="inlineStr">
        <is>
          <t>F0165</t>
        </is>
      </c>
    </row>
    <row r="4007" ht="15.75" customHeight="1" s="108">
      <c r="A4007" s="18" t="inlineStr">
        <is>
          <t>Earl Cameron</t>
        </is>
      </c>
      <c r="B4007" s="18" t="n">
        <v>1</v>
      </c>
      <c r="C4007" s="18" t="n">
        <v>2010</v>
      </c>
      <c r="D4007" s="18" t="n">
        <v>2010</v>
      </c>
      <c r="E4007" s="18" t="inlineStr">
        <is>
          <t>Inception</t>
        </is>
      </c>
      <c r="F4007" s="18" t="inlineStr">
        <is>
          <t>F0165</t>
        </is>
      </c>
    </row>
    <row r="4008" ht="15.75" customHeight="1" s="108">
      <c r="A4008" s="18" t="inlineStr">
        <is>
          <t>Ryan Hayward</t>
        </is>
      </c>
      <c r="B4008" s="18" t="n">
        <v>1</v>
      </c>
      <c r="C4008" s="18" t="n">
        <v>2010</v>
      </c>
      <c r="D4008" s="18" t="n">
        <v>2010</v>
      </c>
      <c r="E4008" s="18" t="inlineStr">
        <is>
          <t>Inception</t>
        </is>
      </c>
      <c r="F4008" s="18" t="inlineStr">
        <is>
          <t>F0165</t>
        </is>
      </c>
    </row>
    <row r="4009" ht="15.75" customHeight="1" s="108">
      <c r="A4009" s="18" t="inlineStr">
        <is>
          <t>Russ Fega</t>
        </is>
      </c>
      <c r="B4009" s="18" t="n">
        <v>2</v>
      </c>
      <c r="C4009" s="18" t="n">
        <v>2010</v>
      </c>
      <c r="D4009" s="18" t="n">
        <v>2014</v>
      </c>
      <c r="E4009" s="18" t="inlineStr">
        <is>
          <t>Inception, Interstellar</t>
        </is>
      </c>
      <c r="F4009" s="18" t="inlineStr">
        <is>
          <t>F0165, F0168</t>
        </is>
      </c>
    </row>
    <row r="4010" ht="15.75" customHeight="1" s="108">
      <c r="A4010" s="18" t="inlineStr">
        <is>
          <t>Tim Kelleher</t>
        </is>
      </c>
      <c r="B4010" s="18" t="n">
        <v>1</v>
      </c>
      <c r="C4010" s="18" t="n">
        <v>2010</v>
      </c>
      <c r="D4010" s="18" t="n">
        <v>2010</v>
      </c>
      <c r="E4010" s="18" t="inlineStr">
        <is>
          <t>Inception</t>
        </is>
      </c>
      <c r="F4010" s="18" t="inlineStr">
        <is>
          <t>F0165</t>
        </is>
      </c>
    </row>
    <row r="4011" ht="15.75" customHeight="1" s="108">
      <c r="A4011" s="18" t="inlineStr">
        <is>
          <t>Coralie Dedykere</t>
        </is>
      </c>
      <c r="B4011" s="18" t="n">
        <v>1</v>
      </c>
      <c r="C4011" s="18" t="n">
        <v>2010</v>
      </c>
      <c r="D4011" s="18" t="n">
        <v>2010</v>
      </c>
      <c r="E4011" s="18" t="inlineStr">
        <is>
          <t>Inception</t>
        </is>
      </c>
      <c r="F4011" s="18" t="inlineStr">
        <is>
          <t>F0165</t>
        </is>
      </c>
    </row>
    <row r="4012" ht="15.75" customHeight="1" s="108">
      <c r="A4012" s="18" t="inlineStr">
        <is>
          <t>Silvie Laguna</t>
        </is>
      </c>
      <c r="B4012" s="18" t="n">
        <v>1</v>
      </c>
      <c r="C4012" s="18" t="n">
        <v>2010</v>
      </c>
      <c r="D4012" s="18" t="n">
        <v>2010</v>
      </c>
      <c r="E4012" s="18" t="inlineStr">
        <is>
          <t>Inception</t>
        </is>
      </c>
      <c r="F4012" s="18" t="inlineStr">
        <is>
          <t>F0165</t>
        </is>
      </c>
    </row>
    <row r="4013" ht="15.75" customHeight="1" s="108">
      <c r="A4013" s="18" t="inlineStr">
        <is>
          <t>Virgile Bramly</t>
        </is>
      </c>
      <c r="B4013" s="18" t="n">
        <v>1</v>
      </c>
      <c r="C4013" s="18" t="n">
        <v>2010</v>
      </c>
      <c r="D4013" s="18" t="n">
        <v>2010</v>
      </c>
      <c r="E4013" s="18" t="inlineStr">
        <is>
          <t>Inception</t>
        </is>
      </c>
      <c r="F4013" s="18" t="inlineStr">
        <is>
          <t>F0165</t>
        </is>
      </c>
    </row>
    <row r="4014" ht="15.75" customHeight="1" s="108">
      <c r="A4014" s="18" t="inlineStr">
        <is>
          <t>Nicolas Clerc</t>
        </is>
      </c>
      <c r="B4014" s="18" t="n">
        <v>1</v>
      </c>
      <c r="C4014" s="18" t="n">
        <v>2010</v>
      </c>
      <c r="D4014" s="18" t="n">
        <v>2010</v>
      </c>
      <c r="E4014" s="18" t="inlineStr">
        <is>
          <t>Inception</t>
        </is>
      </c>
      <c r="F4014" s="18" t="inlineStr">
        <is>
          <t>F0165</t>
        </is>
      </c>
    </row>
    <row r="4015" ht="15.75" customHeight="1" s="108">
      <c r="A4015" s="18" t="inlineStr">
        <is>
          <t>Jean-Michel Dagory</t>
        </is>
      </c>
      <c r="B4015" s="18" t="n">
        <v>1</v>
      </c>
      <c r="C4015" s="18" t="n">
        <v>2010</v>
      </c>
      <c r="D4015" s="18" t="n">
        <v>2010</v>
      </c>
      <c r="E4015" s="18" t="inlineStr">
        <is>
          <t>Inception</t>
        </is>
      </c>
      <c r="F4015" s="18" t="inlineStr">
        <is>
          <t>F0165</t>
        </is>
      </c>
    </row>
    <row r="4016" ht="15.75" customHeight="1" s="108">
      <c r="A4016" s="18" t="inlineStr">
        <is>
          <t>Marc Raducci</t>
        </is>
      </c>
      <c r="B4016" s="18" t="n">
        <v>1</v>
      </c>
      <c r="C4016" s="18" t="n">
        <v>2010</v>
      </c>
      <c r="D4016" s="18" t="n">
        <v>2010</v>
      </c>
      <c r="E4016" s="18" t="inlineStr">
        <is>
          <t>Inception</t>
        </is>
      </c>
      <c r="F4016" s="18" t="inlineStr">
        <is>
          <t>F0165</t>
        </is>
      </c>
    </row>
    <row r="4017" ht="15.75" customHeight="1" s="108">
      <c r="A4017" s="18" t="inlineStr">
        <is>
          <t>Tai-Li Lee</t>
        </is>
      </c>
      <c r="B4017" s="18" t="n">
        <v>1</v>
      </c>
      <c r="C4017" s="18" t="n">
        <v>2010</v>
      </c>
      <c r="D4017" s="18" t="n">
        <v>2010</v>
      </c>
      <c r="E4017" s="18" t="inlineStr">
        <is>
          <t>Inception</t>
        </is>
      </c>
      <c r="F4017" s="18" t="inlineStr">
        <is>
          <t>F0165</t>
        </is>
      </c>
    </row>
    <row r="4018" ht="15.75" customHeight="1" s="108">
      <c r="A4018" s="18" t="inlineStr">
        <is>
          <t>Eli Roth</t>
        </is>
      </c>
      <c r="B4018" s="18" t="n">
        <v>1</v>
      </c>
      <c r="C4018" s="18" t="n">
        <v>2009</v>
      </c>
      <c r="D4018" s="18" t="n">
        <v>2009</v>
      </c>
      <c r="E4018" s="18" t="inlineStr">
        <is>
          <t>Inglourious Basterds</t>
        </is>
      </c>
      <c r="F4018" s="18" t="inlineStr">
        <is>
          <t>F0166</t>
        </is>
      </c>
    </row>
    <row r="4019" ht="15.75" customHeight="1" s="108">
      <c r="A4019" s="18" t="inlineStr">
        <is>
          <t>Til Schweiger</t>
        </is>
      </c>
      <c r="B4019" s="18" t="n">
        <v>1</v>
      </c>
      <c r="C4019" s="18" t="n">
        <v>2009</v>
      </c>
      <c r="D4019" s="18" t="n">
        <v>2009</v>
      </c>
      <c r="E4019" s="18" t="inlineStr">
        <is>
          <t>Inglourious Basterds</t>
        </is>
      </c>
      <c r="F4019" s="18" t="inlineStr">
        <is>
          <t>F0166</t>
        </is>
      </c>
    </row>
    <row r="4020" ht="15.75" customHeight="1" s="108">
      <c r="A4020" s="18" t="inlineStr">
        <is>
          <t>Gedeon Burkhard</t>
        </is>
      </c>
      <c r="B4020" s="18" t="n">
        <v>1</v>
      </c>
      <c r="C4020" s="18" t="n">
        <v>2009</v>
      </c>
      <c r="D4020" s="18" t="n">
        <v>2009</v>
      </c>
      <c r="E4020" s="18" t="inlineStr">
        <is>
          <t>Inglourious Basterds</t>
        </is>
      </c>
      <c r="F4020" s="18" t="inlineStr">
        <is>
          <t>F0166</t>
        </is>
      </c>
    </row>
    <row r="4021" ht="15.75" customHeight="1" s="108">
      <c r="A4021" s="18" t="inlineStr">
        <is>
          <t>Jacky Ido</t>
        </is>
      </c>
      <c r="B4021" s="18" t="n">
        <v>1</v>
      </c>
      <c r="C4021" s="18" t="n">
        <v>2009</v>
      </c>
      <c r="D4021" s="18" t="n">
        <v>2009</v>
      </c>
      <c r="E4021" s="18" t="inlineStr">
        <is>
          <t>Inglourious Basterds</t>
        </is>
      </c>
      <c r="F4021" s="18" t="inlineStr">
        <is>
          <t>F0166</t>
        </is>
      </c>
    </row>
    <row r="4022" ht="15.75" customHeight="1" s="108">
      <c r="A4022" s="18" t="inlineStr">
        <is>
          <t>B.J. Novak</t>
        </is>
      </c>
      <c r="B4022" s="18" t="n">
        <v>2</v>
      </c>
      <c r="C4022" s="18" t="n">
        <v>2009</v>
      </c>
      <c r="D4022" s="18" t="n">
        <v>2014</v>
      </c>
      <c r="E4022" s="18" t="inlineStr">
        <is>
          <t>Inglourious Basterds, amazing spider-man 2</t>
        </is>
      </c>
      <c r="F4022" s="18" t="inlineStr">
        <is>
          <t>F0166, F0363</t>
        </is>
      </c>
    </row>
    <row r="4023" ht="15.75" customHeight="1" s="108">
      <c r="A4023" s="18" t="inlineStr">
        <is>
          <t>Omar Doom</t>
        </is>
      </c>
      <c r="B4023" s="18" t="n">
        <v>1</v>
      </c>
      <c r="C4023" s="18" t="n">
        <v>2009</v>
      </c>
      <c r="D4023" s="18" t="n">
        <v>2009</v>
      </c>
      <c r="E4023" s="18" t="inlineStr">
        <is>
          <t>Inglourious Basterds</t>
        </is>
      </c>
      <c r="F4023" s="18" t="inlineStr">
        <is>
          <t>F0166</t>
        </is>
      </c>
    </row>
    <row r="4024" ht="15.75" customHeight="1" s="108">
      <c r="A4024" s="18" t="inlineStr">
        <is>
          <t>Denis Ménochet</t>
        </is>
      </c>
      <c r="B4024" s="18" t="n">
        <v>2</v>
      </c>
      <c r="C4024" s="18" t="n">
        <v>2009</v>
      </c>
      <c r="D4024" s="18" t="n">
        <v>2010</v>
      </c>
      <c r="E4024" s="18" t="inlineStr">
        <is>
          <t>Inglourious Basterds, Robin Hood</t>
        </is>
      </c>
      <c r="F4024" s="18" t="inlineStr">
        <is>
          <t>F0166, F0267</t>
        </is>
      </c>
    </row>
    <row r="4025" ht="15.75" customHeight="1" s="108">
      <c r="A4025" s="18" t="inlineStr">
        <is>
          <t>Sylvester Groth</t>
        </is>
      </c>
      <c r="B4025" s="18" t="n">
        <v>1</v>
      </c>
      <c r="C4025" s="18" t="n">
        <v>2009</v>
      </c>
      <c r="D4025" s="18" t="n">
        <v>2009</v>
      </c>
      <c r="E4025" s="18" t="inlineStr">
        <is>
          <t>Inglourious Basterds</t>
        </is>
      </c>
      <c r="F4025" s="18" t="inlineStr">
        <is>
          <t>F0166</t>
        </is>
      </c>
    </row>
    <row r="4026" ht="15.75" customHeight="1" s="108">
      <c r="A4026" s="18" t="inlineStr">
        <is>
          <t>Martin Wuttke</t>
        </is>
      </c>
      <c r="B4026" s="18" t="n">
        <v>1</v>
      </c>
      <c r="C4026" s="18" t="n">
        <v>2009</v>
      </c>
      <c r="D4026" s="18" t="n">
        <v>2009</v>
      </c>
      <c r="E4026" s="18" t="inlineStr">
        <is>
          <t>Inglourious Basterds</t>
        </is>
      </c>
      <c r="F4026" s="18" t="inlineStr">
        <is>
          <t>F0166</t>
        </is>
      </c>
    </row>
    <row r="4027" ht="15.75" customHeight="1" s="108">
      <c r="A4027" s="18" t="inlineStr">
        <is>
          <t>Julie Dreyfus</t>
        </is>
      </c>
      <c r="B4027" s="18" t="n">
        <v>1</v>
      </c>
      <c r="C4027" s="18" t="n">
        <v>2009</v>
      </c>
      <c r="D4027" s="18" t="n">
        <v>2009</v>
      </c>
      <c r="E4027" s="18" t="inlineStr">
        <is>
          <t>Inglourious Basterds</t>
        </is>
      </c>
      <c r="F4027" s="18" t="inlineStr">
        <is>
          <t>F0166</t>
        </is>
      </c>
    </row>
    <row r="4028" ht="15.75" customHeight="1" s="108">
      <c r="A4028" s="18" t="inlineStr">
        <is>
          <t>Alexander Fehling</t>
        </is>
      </c>
      <c r="B4028" s="18" t="n">
        <v>1</v>
      </c>
      <c r="C4028" s="18" t="n">
        <v>2009</v>
      </c>
      <c r="D4028" s="18" t="n">
        <v>2009</v>
      </c>
      <c r="E4028" s="18" t="inlineStr">
        <is>
          <t>Inglourious Basterds</t>
        </is>
      </c>
      <c r="F4028" s="18" t="inlineStr">
        <is>
          <t>F0166</t>
        </is>
      </c>
    </row>
    <row r="4029" ht="15.75" customHeight="1" s="108">
      <c r="A4029" s="18" t="inlineStr">
        <is>
          <t>Rod Taylor</t>
        </is>
      </c>
      <c r="B4029" s="18" t="n">
        <v>1</v>
      </c>
      <c r="C4029" s="18" t="n">
        <v>2009</v>
      </c>
      <c r="D4029" s="18" t="n">
        <v>2009</v>
      </c>
      <c r="E4029" s="18" t="inlineStr">
        <is>
          <t>Inglourious Basterds</t>
        </is>
      </c>
      <c r="F4029" s="18" t="inlineStr">
        <is>
          <t>F0166</t>
        </is>
      </c>
    </row>
    <row r="4030" ht="15.75" customHeight="1" s="108">
      <c r="A4030" s="18" t="inlineStr">
        <is>
          <t>Sönke Möhring</t>
        </is>
      </c>
      <c r="B4030" s="18" t="n">
        <v>1</v>
      </c>
      <c r="C4030" s="18" t="n">
        <v>2009</v>
      </c>
      <c r="D4030" s="18" t="n">
        <v>2009</v>
      </c>
      <c r="E4030" s="18" t="inlineStr">
        <is>
          <t>Inglourious Basterds</t>
        </is>
      </c>
      <c r="F4030" s="18" t="inlineStr">
        <is>
          <t>F0166</t>
        </is>
      </c>
    </row>
    <row r="4031" ht="15.75" customHeight="1" s="108">
      <c r="A4031" s="18" t="inlineStr">
        <is>
          <t>Samm Levine</t>
        </is>
      </c>
      <c r="B4031" s="18" t="n">
        <v>1</v>
      </c>
      <c r="C4031" s="18" t="n">
        <v>2009</v>
      </c>
      <c r="D4031" s="18" t="n">
        <v>2009</v>
      </c>
      <c r="E4031" s="18" t="inlineStr">
        <is>
          <t>Inglourious Basterds</t>
        </is>
      </c>
      <c r="F4031" s="18" t="inlineStr">
        <is>
          <t>F0166</t>
        </is>
      </c>
    </row>
    <row r="4032" ht="15.75" customHeight="1" s="108">
      <c r="A4032" s="18" t="inlineStr">
        <is>
          <t>Paul Rust</t>
        </is>
      </c>
      <c r="B4032" s="18" t="n">
        <v>1</v>
      </c>
      <c r="C4032" s="18" t="n">
        <v>2009</v>
      </c>
      <c r="D4032" s="18" t="n">
        <v>2009</v>
      </c>
      <c r="E4032" s="18" t="inlineStr">
        <is>
          <t>Inglourious Basterds</t>
        </is>
      </c>
      <c r="F4032" s="18" t="inlineStr">
        <is>
          <t>F0166</t>
        </is>
      </c>
    </row>
    <row r="4033" ht="15.75" customHeight="1" s="108">
      <c r="A4033" s="18" t="inlineStr">
        <is>
          <t>Michael Bacall</t>
        </is>
      </c>
      <c r="B4033" s="18" t="n">
        <v>1</v>
      </c>
      <c r="C4033" s="18" t="n">
        <v>2009</v>
      </c>
      <c r="D4033" s="18" t="n">
        <v>2009</v>
      </c>
      <c r="E4033" s="18" t="inlineStr">
        <is>
          <t>Inglourious Basterds</t>
        </is>
      </c>
      <c r="F4033" s="18" t="inlineStr">
        <is>
          <t>F0166</t>
        </is>
      </c>
    </row>
    <row r="4034" ht="15.75" customHeight="1" s="108">
      <c r="A4034" s="18" t="inlineStr">
        <is>
          <t>Arndt Schwering-Sohnrey</t>
        </is>
      </c>
      <c r="B4034" s="18" t="n">
        <v>1</v>
      </c>
      <c r="C4034" s="18" t="n">
        <v>2009</v>
      </c>
      <c r="D4034" s="18" t="n">
        <v>2009</v>
      </c>
      <c r="E4034" s="18" t="inlineStr">
        <is>
          <t>Inglourious Basterds</t>
        </is>
      </c>
      <c r="F4034" s="18" t="inlineStr">
        <is>
          <t>F0166</t>
        </is>
      </c>
    </row>
    <row r="4035" ht="15.75" customHeight="1" s="108">
      <c r="A4035" s="18" t="inlineStr">
        <is>
          <t>Petra Hartung</t>
        </is>
      </c>
      <c r="B4035" s="18" t="n">
        <v>2</v>
      </c>
      <c r="C4035" s="18" t="n">
        <v>2009</v>
      </c>
      <c r="D4035" s="18" t="n">
        <v>2011</v>
      </c>
      <c r="E4035" s="18" t="inlineStr">
        <is>
          <t>Inglourious Basterds, Unknown</t>
        </is>
      </c>
      <c r="F4035" s="18" t="inlineStr">
        <is>
          <t>F0166, F0329</t>
        </is>
      </c>
    </row>
    <row r="4036" ht="15.75" customHeight="1" s="108">
      <c r="A4036" s="18" t="inlineStr">
        <is>
          <t>Volker Michalowski</t>
        </is>
      </c>
      <c r="B4036" s="18" t="n">
        <v>1</v>
      </c>
      <c r="C4036" s="18" t="n">
        <v>2009</v>
      </c>
      <c r="D4036" s="18" t="n">
        <v>2009</v>
      </c>
      <c r="E4036" s="18" t="inlineStr">
        <is>
          <t>Inglourious Basterds</t>
        </is>
      </c>
      <c r="F4036" s="18" t="inlineStr">
        <is>
          <t>F0166</t>
        </is>
      </c>
    </row>
    <row r="4037" ht="15.75" customHeight="1" s="108">
      <c r="A4037" s="18" t="inlineStr">
        <is>
          <t>Ken Duken</t>
        </is>
      </c>
      <c r="B4037" s="18" t="n">
        <v>1</v>
      </c>
      <c r="C4037" s="18" t="n">
        <v>2009</v>
      </c>
      <c r="D4037" s="18" t="n">
        <v>2009</v>
      </c>
      <c r="E4037" s="18" t="inlineStr">
        <is>
          <t>Inglourious Basterds</t>
        </is>
      </c>
      <c r="F4037" s="18" t="inlineStr">
        <is>
          <t>F0166</t>
        </is>
      </c>
    </row>
    <row r="4038" ht="15.75" customHeight="1" s="108">
      <c r="A4038" s="18" t="inlineStr">
        <is>
          <t>Christian Berkel</t>
        </is>
      </c>
      <c r="B4038" s="18" t="n">
        <v>1</v>
      </c>
      <c r="C4038" s="18" t="n">
        <v>2009</v>
      </c>
      <c r="D4038" s="18" t="n">
        <v>2009</v>
      </c>
      <c r="E4038" s="18" t="inlineStr">
        <is>
          <t>Inglourious Basterds</t>
        </is>
      </c>
      <c r="F4038" s="18" t="inlineStr">
        <is>
          <t>F0166</t>
        </is>
      </c>
    </row>
    <row r="4039" ht="15.75" customHeight="1" s="108">
      <c r="A4039" s="18" t="inlineStr">
        <is>
          <t>Kaitlyn Dias</t>
        </is>
      </c>
      <c r="B4039" s="18" t="n">
        <v>1</v>
      </c>
      <c r="C4039" s="18" t="n">
        <v>2015</v>
      </c>
      <c r="D4039" s="18" t="n">
        <v>2015</v>
      </c>
      <c r="E4039" s="18" t="inlineStr">
        <is>
          <t>Inside Out</t>
        </is>
      </c>
      <c r="F4039" s="18" t="inlineStr">
        <is>
          <t>F0167</t>
        </is>
      </c>
    </row>
    <row r="4040" ht="15.75" customHeight="1" s="108">
      <c r="A4040" s="18" t="inlineStr">
        <is>
          <t>Kyle MacLachlan</t>
        </is>
      </c>
      <c r="B4040" s="18" t="n">
        <v>1</v>
      </c>
      <c r="C4040" s="18" t="n">
        <v>2015</v>
      </c>
      <c r="D4040" s="18" t="n">
        <v>2015</v>
      </c>
      <c r="E4040" s="18" t="inlineStr">
        <is>
          <t>Inside Out</t>
        </is>
      </c>
      <c r="F4040" s="18" t="inlineStr">
        <is>
          <t>F0167</t>
        </is>
      </c>
    </row>
    <row r="4041" ht="15.75" customHeight="1" s="108">
      <c r="A4041" s="18" t="inlineStr">
        <is>
          <t>Paula Poundstone</t>
        </is>
      </c>
      <c r="B4041" s="18" t="n">
        <v>1</v>
      </c>
      <c r="C4041" s="18" t="n">
        <v>2015</v>
      </c>
      <c r="D4041" s="18" t="n">
        <v>2015</v>
      </c>
      <c r="E4041" s="18" t="inlineStr">
        <is>
          <t>Inside Out</t>
        </is>
      </c>
      <c r="F4041" s="18" t="inlineStr">
        <is>
          <t>F0167</t>
        </is>
      </c>
    </row>
    <row r="4042" ht="15.75" customHeight="1" s="108">
      <c r="A4042" s="18" t="inlineStr">
        <is>
          <t>Paula Pell</t>
        </is>
      </c>
      <c r="B4042" s="18" t="n">
        <v>1</v>
      </c>
      <c r="C4042" s="18" t="n">
        <v>2015</v>
      </c>
      <c r="D4042" s="18" t="n">
        <v>2015</v>
      </c>
      <c r="E4042" s="18" t="inlineStr">
        <is>
          <t>Inside Out</t>
        </is>
      </c>
      <c r="F4042" s="18" t="inlineStr">
        <is>
          <t>F0167</t>
        </is>
      </c>
    </row>
    <row r="4043" ht="15.75" customHeight="1" s="108">
      <c r="A4043" s="18" t="inlineStr">
        <is>
          <t>Dave Goelz</t>
        </is>
      </c>
      <c r="B4043" s="18" t="n">
        <v>2</v>
      </c>
      <c r="C4043" s="18" t="n">
        <v>2014</v>
      </c>
      <c r="D4043" s="18" t="n">
        <v>2015</v>
      </c>
      <c r="E4043" s="18" t="inlineStr">
        <is>
          <t>Inside Out, Muppets Most Wanted</t>
        </is>
      </c>
      <c r="F4043" s="18" t="inlineStr">
        <is>
          <t>F0167, F0232</t>
        </is>
      </c>
    </row>
    <row r="4044" ht="15.75" customHeight="1" s="108">
      <c r="A4044" s="18" t="inlineStr">
        <is>
          <t>Frank Oz</t>
        </is>
      </c>
      <c r="B4044" s="18" t="n">
        <v>11</v>
      </c>
      <c r="C4044" s="18" t="n">
        <v>1980</v>
      </c>
      <c r="D4044" s="18" t="n">
        <v>2017</v>
      </c>
      <c r="E4044" s="18" t="inlineStr">
        <is>
          <t>Inside Out, Monsters, Inc., Star Wars: Episode I – The Phantom Menace, Star Wars: Episode II – Attack of the Clones, Star Wars: Episode III – Revenge of the Sith, Star Wars: Episode V – The Empire Strikes Back, Star Wars: Episode VI – Return of the Jedi, Star Wars: The Last Jedi, Monsters, Inc., Monsters, Inc., Monsters, Inc.</t>
        </is>
      </c>
      <c r="F4044" s="18" t="inlineStr">
        <is>
          <t>F0167, F0229, F0292, F0293, F0294, F0296, F0297, F0299</t>
        </is>
      </c>
    </row>
    <row r="4045" ht="15.75" customHeight="1" s="108">
      <c r="A4045" s="18" t="inlineStr">
        <is>
          <t>Josh Cooley</t>
        </is>
      </c>
      <c r="B4045" s="18" t="n">
        <v>2</v>
      </c>
      <c r="C4045" s="18" t="n">
        <v>2009</v>
      </c>
      <c r="D4045" s="18" t="n">
        <v>2015</v>
      </c>
      <c r="E4045" s="18" t="inlineStr">
        <is>
          <t>Inside Out, Up</t>
        </is>
      </c>
      <c r="F4045" s="18" t="inlineStr">
        <is>
          <t>F0167, F0330</t>
        </is>
      </c>
    </row>
    <row r="4046" ht="15.75" customHeight="1" s="108">
      <c r="A4046" s="18" t="inlineStr">
        <is>
          <t>Peter Sagal</t>
        </is>
      </c>
      <c r="B4046" s="18" t="n">
        <v>1</v>
      </c>
      <c r="C4046" s="18" t="n">
        <v>2015</v>
      </c>
      <c r="D4046" s="18" t="n">
        <v>2015</v>
      </c>
      <c r="E4046" s="18" t="inlineStr">
        <is>
          <t>Inside Out</t>
        </is>
      </c>
      <c r="F4046" s="18" t="inlineStr">
        <is>
          <t>F0167</t>
        </is>
      </c>
    </row>
    <row r="4047" ht="15.75" customHeight="1" s="108">
      <c r="A4047" s="18" t="inlineStr">
        <is>
          <t>Gregg Berger</t>
        </is>
      </c>
      <c r="B4047" s="18" t="n">
        <v>3</v>
      </c>
      <c r="C4047" s="18" t="n">
        <v>1986</v>
      </c>
      <c r="D4047" s="18" t="n">
        <v>2015</v>
      </c>
      <c r="E4047" s="18" t="inlineStr">
        <is>
          <t>Inside Out, Monsters University, The Transformers: The Movie</t>
        </is>
      </c>
      <c r="F4047" s="18" t="inlineStr">
        <is>
          <t>F0167, F0230, F0322</t>
        </is>
      </c>
    </row>
    <row r="4048" ht="15.75" customHeight="1" s="108">
      <c r="A4048" s="18" t="inlineStr">
        <is>
          <t>Veronika Bonell</t>
        </is>
      </c>
      <c r="B4048" s="18" t="n">
        <v>1</v>
      </c>
      <c r="C4048" s="18" t="n">
        <v>2015</v>
      </c>
      <c r="D4048" s="18" t="n">
        <v>2015</v>
      </c>
      <c r="E4048" s="18" t="inlineStr">
        <is>
          <t>Inside Out</t>
        </is>
      </c>
      <c r="F4048" s="18" t="inlineStr">
        <is>
          <t>F0167</t>
        </is>
      </c>
    </row>
    <row r="4049" ht="15.75" customHeight="1" s="108">
      <c r="A4049" s="18" t="inlineStr">
        <is>
          <t>Andrea Datzman</t>
        </is>
      </c>
      <c r="B4049" s="18" t="n">
        <v>1</v>
      </c>
      <c r="C4049" s="18" t="n">
        <v>2015</v>
      </c>
      <c r="D4049" s="18" t="n">
        <v>2015</v>
      </c>
      <c r="E4049" s="18" t="inlineStr">
        <is>
          <t>Inside Out</t>
        </is>
      </c>
      <c r="F4049" s="18" t="inlineStr">
        <is>
          <t>F0167</t>
        </is>
      </c>
    </row>
    <row r="4050" ht="15.75" customHeight="1" s="108">
      <c r="A4050" s="18" t="inlineStr">
        <is>
          <t>Pete Docter</t>
        </is>
      </c>
      <c r="B4050" s="18" t="n">
        <v>7</v>
      </c>
      <c r="C4050" s="18" t="n">
        <v>2001</v>
      </c>
      <c r="D4050" s="18" t="n">
        <v>2015</v>
      </c>
      <c r="E4050" s="18" t="inlineStr">
        <is>
          <t>Inside Out, Monsters, Inc., Up, WALL·E, Monsters, Inc., Monsters, Inc., Monsters, Inc.</t>
        </is>
      </c>
      <c r="F4050" s="18" t="inlineStr">
        <is>
          <t>F0167, F0229, F0330, F0331</t>
        </is>
      </c>
    </row>
    <row r="4051" ht="15.75" customHeight="1" s="108">
      <c r="A4051" s="18" t="inlineStr">
        <is>
          <t>Tony Fucile</t>
        </is>
      </c>
      <c r="B4051" s="18" t="n">
        <v>2</v>
      </c>
      <c r="C4051" s="18" t="n">
        <v>2009</v>
      </c>
      <c r="D4051" s="18" t="n">
        <v>2015</v>
      </c>
      <c r="E4051" s="18" t="inlineStr">
        <is>
          <t>Inside Out, Up</t>
        </is>
      </c>
      <c r="F4051" s="18" t="inlineStr">
        <is>
          <t>F0167, F0330</t>
        </is>
      </c>
    </row>
    <row r="4052" ht="15.75" customHeight="1" s="108">
      <c r="A4052" s="18" t="inlineStr">
        <is>
          <t>Randy Hahn</t>
        </is>
      </c>
      <c r="B4052" s="18" t="n">
        <v>1</v>
      </c>
      <c r="C4052" s="18" t="n">
        <v>2015</v>
      </c>
      <c r="D4052" s="18" t="n">
        <v>2015</v>
      </c>
      <c r="E4052" s="18" t="inlineStr">
        <is>
          <t>Inside Out</t>
        </is>
      </c>
      <c r="F4052" s="18" t="inlineStr">
        <is>
          <t>F0167</t>
        </is>
      </c>
    </row>
    <row r="4053" ht="15.75" customHeight="1" s="108">
      <c r="A4053" s="18" t="inlineStr">
        <is>
          <t>Jacob Hopkins</t>
        </is>
      </c>
      <c r="B4053" s="18" t="n">
        <v>1</v>
      </c>
      <c r="C4053" s="18" t="n">
        <v>2015</v>
      </c>
      <c r="D4053" s="18" t="n">
        <v>2015</v>
      </c>
      <c r="E4053" s="18" t="inlineStr">
        <is>
          <t>Inside Out</t>
        </is>
      </c>
      <c r="F4053" s="18" t="inlineStr">
        <is>
          <t>F0167</t>
        </is>
      </c>
    </row>
    <row r="4054" ht="15.75" customHeight="1" s="108">
      <c r="A4054" s="18" t="inlineStr">
        <is>
          <t>Evan Hudak</t>
        </is>
      </c>
      <c r="B4054" s="18" t="n">
        <v>1</v>
      </c>
      <c r="C4054" s="18" t="n">
        <v>2015</v>
      </c>
      <c r="D4054" s="18" t="n">
        <v>2015</v>
      </c>
      <c r="E4054" s="18" t="inlineStr">
        <is>
          <t>Inside Out</t>
        </is>
      </c>
      <c r="F4054" s="18" t="inlineStr">
        <is>
          <t>F0167</t>
        </is>
      </c>
    </row>
    <row r="4055" ht="15.75" customHeight="1" s="108">
      <c r="A4055" s="18" t="inlineStr">
        <is>
          <t>Mackenzie Foy</t>
        </is>
      </c>
      <c r="B4055" s="18" t="n">
        <v>1</v>
      </c>
      <c r="C4055" s="18" t="n">
        <v>2014</v>
      </c>
      <c r="D4055" s="18" t="n">
        <v>2014</v>
      </c>
      <c r="E4055" s="18" t="inlineStr">
        <is>
          <t>Interstellar</t>
        </is>
      </c>
      <c r="F4055" s="18" t="inlineStr">
        <is>
          <t>F0168</t>
        </is>
      </c>
    </row>
    <row r="4056" ht="15.75" customHeight="1" s="108">
      <c r="A4056" s="18" t="inlineStr">
        <is>
          <t>Ellen Burstyn</t>
        </is>
      </c>
      <c r="B4056" s="18" t="n">
        <v>1</v>
      </c>
      <c r="C4056" s="18" t="n">
        <v>2014</v>
      </c>
      <c r="D4056" s="18" t="n">
        <v>2014</v>
      </c>
      <c r="E4056" s="18" t="inlineStr">
        <is>
          <t>Interstellar</t>
        </is>
      </c>
      <c r="F4056" s="18" t="inlineStr">
        <is>
          <t>F0168</t>
        </is>
      </c>
    </row>
    <row r="4057" ht="15.75" customHeight="1" s="108">
      <c r="A4057" s="18" t="inlineStr">
        <is>
          <t>Bill Irwin</t>
        </is>
      </c>
      <c r="B4057" s="18" t="n">
        <v>1</v>
      </c>
      <c r="C4057" s="18" t="n">
        <v>2014</v>
      </c>
      <c r="D4057" s="18" t="n">
        <v>2014</v>
      </c>
      <c r="E4057" s="18" t="inlineStr">
        <is>
          <t>Interstellar</t>
        </is>
      </c>
      <c r="F4057" s="18" t="inlineStr">
        <is>
          <t>F0168</t>
        </is>
      </c>
    </row>
    <row r="4058" ht="15.75" customHeight="1" s="108">
      <c r="A4058" s="18" t="inlineStr">
        <is>
          <t>David Gyasi</t>
        </is>
      </c>
      <c r="B4058" s="18" t="n">
        <v>1</v>
      </c>
      <c r="C4058" s="18" t="n">
        <v>2014</v>
      </c>
      <c r="D4058" s="18" t="n">
        <v>2014</v>
      </c>
      <c r="E4058" s="18" t="inlineStr">
        <is>
          <t>Interstellar</t>
        </is>
      </c>
      <c r="F4058" s="18" t="inlineStr">
        <is>
          <t>F0168</t>
        </is>
      </c>
    </row>
    <row r="4059" ht="15.75" customHeight="1" s="108">
      <c r="A4059" s="18" t="inlineStr">
        <is>
          <t>Josh Stewart</t>
        </is>
      </c>
      <c r="B4059" s="18" t="n">
        <v>3</v>
      </c>
      <c r="C4059" s="18" t="n">
        <v>2009</v>
      </c>
      <c r="D4059" s="18" t="n">
        <v>2020</v>
      </c>
      <c r="E4059" s="18" t="inlineStr">
        <is>
          <t>Interstellar, Law Abiding Citizen, Tenet</t>
        </is>
      </c>
      <c r="F4059" s="18" t="inlineStr">
        <is>
          <t>F0168, F0191, F0387</t>
        </is>
      </c>
    </row>
    <row r="4060" ht="15.75" customHeight="1" s="108">
      <c r="A4060" s="18" t="inlineStr">
        <is>
          <t>Leah Cairns</t>
        </is>
      </c>
      <c r="B4060" s="18" t="n">
        <v>1</v>
      </c>
      <c r="C4060" s="18" t="n">
        <v>2014</v>
      </c>
      <c r="D4060" s="18" t="n">
        <v>2014</v>
      </c>
      <c r="E4060" s="18" t="inlineStr">
        <is>
          <t>Interstellar</t>
        </is>
      </c>
      <c r="F4060" s="18" t="inlineStr">
        <is>
          <t>F0168</t>
        </is>
      </c>
    </row>
    <row r="4061" ht="15.75" customHeight="1" s="108">
      <c r="A4061" s="18" t="inlineStr">
        <is>
          <t>Liam Dickinson</t>
        </is>
      </c>
      <c r="B4061" s="18" t="n">
        <v>1</v>
      </c>
      <c r="C4061" s="18" t="n">
        <v>2014</v>
      </c>
      <c r="D4061" s="18" t="n">
        <v>2014</v>
      </c>
      <c r="E4061" s="18" t="inlineStr">
        <is>
          <t>Interstellar</t>
        </is>
      </c>
      <c r="F4061" s="18" t="inlineStr">
        <is>
          <t>F0168</t>
        </is>
      </c>
    </row>
    <row r="4062" ht="15.75" customHeight="1" s="108">
      <c r="A4062" s="18" t="inlineStr">
        <is>
          <t>Francis X. McCarthy</t>
        </is>
      </c>
      <c r="B4062" s="18" t="n">
        <v>1</v>
      </c>
      <c r="C4062" s="18" t="n">
        <v>2014</v>
      </c>
      <c r="D4062" s="18" t="n">
        <v>2014</v>
      </c>
      <c r="E4062" s="18" t="inlineStr">
        <is>
          <t>Interstellar</t>
        </is>
      </c>
      <c r="F4062" s="18" t="inlineStr">
        <is>
          <t>F0168</t>
        </is>
      </c>
    </row>
    <row r="4063" ht="15.75" customHeight="1" s="108">
      <c r="A4063" s="18" t="inlineStr">
        <is>
          <t>William Devane</t>
        </is>
      </c>
      <c r="B4063" s="18" t="n">
        <v>1</v>
      </c>
      <c r="C4063" s="18" t="n">
        <v>2014</v>
      </c>
      <c r="D4063" s="18" t="n">
        <v>2014</v>
      </c>
      <c r="E4063" s="18" t="inlineStr">
        <is>
          <t>Interstellar</t>
        </is>
      </c>
      <c r="F4063" s="18" t="inlineStr">
        <is>
          <t>F0168</t>
        </is>
      </c>
    </row>
    <row r="4064" ht="15.75" customHeight="1" s="108">
      <c r="A4064" s="18" t="inlineStr">
        <is>
          <t>Andrew Borba</t>
        </is>
      </c>
      <c r="B4064" s="18" t="n">
        <v>2</v>
      </c>
      <c r="C4064" s="18" t="n">
        <v>2014</v>
      </c>
      <c r="D4064" s="18" t="n">
        <v>2015</v>
      </c>
      <c r="E4064" s="18" t="inlineStr">
        <is>
          <t>Interstellar, Straight Outta Compton</t>
        </is>
      </c>
      <c r="F4064" s="18" t="inlineStr">
        <is>
          <t>F0168, F0301</t>
        </is>
      </c>
    </row>
    <row r="4065" ht="15.75" customHeight="1" s="108">
      <c r="A4065" s="18" t="inlineStr">
        <is>
          <t>Elyes Gabel</t>
        </is>
      </c>
      <c r="B4065" s="18" t="n">
        <v>1</v>
      </c>
      <c r="C4065" s="18" t="n">
        <v>2014</v>
      </c>
      <c r="D4065" s="18" t="n">
        <v>2014</v>
      </c>
      <c r="E4065" s="18" t="inlineStr">
        <is>
          <t>Interstellar</t>
        </is>
      </c>
      <c r="F4065" s="18" t="inlineStr">
        <is>
          <t>F0168</t>
        </is>
      </c>
    </row>
    <row r="4066" ht="15.75" customHeight="1" s="108">
      <c r="A4066" s="18" t="inlineStr">
        <is>
          <t>Collette Wolfe</t>
        </is>
      </c>
      <c r="B4066" s="18" t="n">
        <v>1</v>
      </c>
      <c r="C4066" s="18" t="n">
        <v>2014</v>
      </c>
      <c r="D4066" s="18" t="n">
        <v>2014</v>
      </c>
      <c r="E4066" s="18" t="inlineStr">
        <is>
          <t>Interstellar</t>
        </is>
      </c>
      <c r="F4066" s="18" t="inlineStr">
        <is>
          <t>F0168</t>
        </is>
      </c>
    </row>
    <row r="4067" ht="15.75" customHeight="1" s="108">
      <c r="A4067" s="18" t="inlineStr">
        <is>
          <t>Jeff Hephner</t>
        </is>
      </c>
      <c r="B4067" s="18" t="n">
        <v>1</v>
      </c>
      <c r="C4067" s="18" t="n">
        <v>2014</v>
      </c>
      <c r="D4067" s="18" t="n">
        <v>2014</v>
      </c>
      <c r="E4067" s="18" t="inlineStr">
        <is>
          <t>Interstellar</t>
        </is>
      </c>
      <c r="F4067" s="18" t="inlineStr">
        <is>
          <t>F0168</t>
        </is>
      </c>
    </row>
    <row r="4068" ht="15.75" customHeight="1" s="108">
      <c r="A4068" s="18" t="inlineStr">
        <is>
          <t>Lena Georgas</t>
        </is>
      </c>
      <c r="B4068" s="18" t="n">
        <v>1</v>
      </c>
      <c r="C4068" s="18" t="n">
        <v>2014</v>
      </c>
      <c r="D4068" s="18" t="n">
        <v>2014</v>
      </c>
      <c r="E4068" s="18" t="inlineStr">
        <is>
          <t>Interstellar</t>
        </is>
      </c>
      <c r="F4068" s="18" t="inlineStr">
        <is>
          <t>F0168</t>
        </is>
      </c>
    </row>
    <row r="4069" ht="15.75" customHeight="1" s="108">
      <c r="A4069" s="18" t="inlineStr">
        <is>
          <t>Brooke Smith</t>
        </is>
      </c>
      <c r="B4069" s="18" t="n">
        <v>1</v>
      </c>
      <c r="C4069" s="18" t="n">
        <v>2014</v>
      </c>
      <c r="D4069" s="18" t="n">
        <v>2014</v>
      </c>
      <c r="E4069" s="18" t="inlineStr">
        <is>
          <t>Interstellar</t>
        </is>
      </c>
      <c r="F4069" s="18" t="inlineStr">
        <is>
          <t>F0168</t>
        </is>
      </c>
    </row>
    <row r="4070" ht="15.75" customHeight="1" s="108">
      <c r="A4070" s="18" t="inlineStr">
        <is>
          <t>Flora Nolan</t>
        </is>
      </c>
      <c r="B4070" s="18" t="n">
        <v>1</v>
      </c>
      <c r="C4070" s="18" t="n">
        <v>2014</v>
      </c>
      <c r="D4070" s="18" t="n">
        <v>2014</v>
      </c>
      <c r="E4070" s="18" t="inlineStr">
        <is>
          <t>Interstellar</t>
        </is>
      </c>
      <c r="F4070" s="18" t="inlineStr">
        <is>
          <t>F0168</t>
        </is>
      </c>
    </row>
    <row r="4071" ht="15.75" customHeight="1" s="108">
      <c r="A4071" s="18" t="inlineStr">
        <is>
          <t>Griffen Fraser</t>
        </is>
      </c>
      <c r="B4071" s="18" t="n">
        <v>1</v>
      </c>
      <c r="C4071" s="18" t="n">
        <v>2014</v>
      </c>
      <c r="D4071" s="18" t="n">
        <v>2014</v>
      </c>
      <c r="E4071" s="18" t="inlineStr">
        <is>
          <t>Interstellar</t>
        </is>
      </c>
      <c r="F4071" s="18" t="inlineStr">
        <is>
          <t>F0168</t>
        </is>
      </c>
    </row>
    <row r="4072" ht="15.75" customHeight="1" s="108">
      <c r="A4072" s="18" t="inlineStr">
        <is>
          <t>Kristian Van der Heyden</t>
        </is>
      </c>
      <c r="B4072" s="18" t="n">
        <v>1</v>
      </c>
      <c r="C4072" s="18" t="n">
        <v>2014</v>
      </c>
      <c r="D4072" s="18" t="n">
        <v>2014</v>
      </c>
      <c r="E4072" s="18" t="inlineStr">
        <is>
          <t>Interstellar</t>
        </is>
      </c>
      <c r="F4072" s="18" t="inlineStr">
        <is>
          <t>F0168</t>
        </is>
      </c>
    </row>
    <row r="4073" ht="15.75" customHeight="1" s="108">
      <c r="A4073" s="18" t="inlineStr">
        <is>
          <t>Stephanie Szostak</t>
        </is>
      </c>
      <c r="B4073" s="18" t="n">
        <v>1</v>
      </c>
      <c r="C4073" s="18" t="n">
        <v>2013</v>
      </c>
      <c r="D4073" s="18" t="n">
        <v>2013</v>
      </c>
      <c r="E4073" s="18" t="inlineStr">
        <is>
          <t>Iron Man 3</t>
        </is>
      </c>
      <c r="F4073" s="18" t="inlineStr">
        <is>
          <t>F0169</t>
        </is>
      </c>
    </row>
    <row r="4074" ht="15.75" customHeight="1" s="108">
      <c r="A4074" s="18" t="inlineStr">
        <is>
          <t>William Sadler</t>
        </is>
      </c>
      <c r="B4074" s="18" t="n">
        <v>2</v>
      </c>
      <c r="C4074" s="18" t="n">
        <v>2012</v>
      </c>
      <c r="D4074" s="18" t="n">
        <v>2013</v>
      </c>
      <c r="E4074" s="18" t="inlineStr">
        <is>
          <t>Iron Man 3, Man on a Ledge</t>
        </is>
      </c>
      <c r="F4074" s="18" t="inlineStr">
        <is>
          <t>F0169, F0210</t>
        </is>
      </c>
    </row>
    <row r="4075" ht="15.75" customHeight="1" s="108">
      <c r="A4075" s="18" t="inlineStr">
        <is>
          <t>Dale Dickey</t>
        </is>
      </c>
      <c r="B4075" s="18" t="n">
        <v>2</v>
      </c>
      <c r="C4075" s="18" t="n">
        <v>2011</v>
      </c>
      <c r="D4075" s="18" t="n">
        <v>2013</v>
      </c>
      <c r="E4075" s="18" t="inlineStr">
        <is>
          <t>Iron Man 3, Super 8</t>
        </is>
      </c>
      <c r="F4075" s="18" t="inlineStr">
        <is>
          <t>F0169, F0302</t>
        </is>
      </c>
    </row>
    <row r="4076" ht="15.75" customHeight="1" s="108">
      <c r="A4076" s="18" t="inlineStr">
        <is>
          <t>Miguel Ferrer</t>
        </is>
      </c>
      <c r="B4076" s="18" t="n">
        <v>3</v>
      </c>
      <c r="C4076" s="18" t="n">
        <v>2013</v>
      </c>
      <c r="D4076" s="18" t="n">
        <v>2014</v>
      </c>
      <c r="E4076" s="18" t="inlineStr">
        <is>
          <t>Iron Man 3, Rio 2, RoboCop</t>
        </is>
      </c>
      <c r="F4076" s="18" t="inlineStr">
        <is>
          <t>F0169, F0266, F0268</t>
        </is>
      </c>
    </row>
    <row r="4077" ht="15.75" customHeight="1" s="108">
      <c r="A4077" s="18" t="inlineStr">
        <is>
          <t>Wang Xueqi</t>
        </is>
      </c>
      <c r="B4077" s="18" t="n">
        <v>1</v>
      </c>
      <c r="C4077" s="18" t="n">
        <v>2013</v>
      </c>
      <c r="D4077" s="18" t="n">
        <v>2013</v>
      </c>
      <c r="E4077" s="18" t="inlineStr">
        <is>
          <t>Iron Man 3</t>
        </is>
      </c>
      <c r="F4077" s="18" t="inlineStr">
        <is>
          <t>F0169</t>
        </is>
      </c>
    </row>
    <row r="4078" ht="15.75" customHeight="1" s="108">
      <c r="A4078" s="18" t="inlineStr">
        <is>
          <t>Shaun Toub</t>
        </is>
      </c>
      <c r="B4078" s="18" t="n">
        <v>1</v>
      </c>
      <c r="C4078" s="18" t="n">
        <v>2013</v>
      </c>
      <c r="D4078" s="18" t="n">
        <v>2013</v>
      </c>
      <c r="E4078" s="18" t="inlineStr">
        <is>
          <t>Iron Man 3</t>
        </is>
      </c>
      <c r="F4078" s="18" t="inlineStr">
        <is>
          <t>F0169</t>
        </is>
      </c>
    </row>
    <row r="4079" ht="15.75" customHeight="1" s="108">
      <c r="A4079" s="18" t="inlineStr">
        <is>
          <t>Matthew Sterling Nye</t>
        </is>
      </c>
      <c r="B4079" s="18" t="n">
        <v>1</v>
      </c>
      <c r="C4079" s="18" t="n">
        <v>2013</v>
      </c>
      <c r="D4079" s="18" t="n">
        <v>2013</v>
      </c>
      <c r="E4079" s="18" t="inlineStr">
        <is>
          <t>Iron Man 3</t>
        </is>
      </c>
      <c r="F4079" s="18" t="inlineStr">
        <is>
          <t>F0169</t>
        </is>
      </c>
    </row>
    <row r="4080" ht="15.75" customHeight="1" s="108">
      <c r="A4080" s="18" t="inlineStr">
        <is>
          <t>Pat Kiernan</t>
        </is>
      </c>
      <c r="B4080" s="18" t="n">
        <v>2</v>
      </c>
      <c r="C4080" s="18" t="n">
        <v>2006</v>
      </c>
      <c r="D4080" s="18" t="n">
        <v>2013</v>
      </c>
      <c r="E4080" s="18" t="inlineStr">
        <is>
          <t>Iron Man 3, night at the museum</t>
        </is>
      </c>
      <c r="F4080" s="18" t="inlineStr">
        <is>
          <t>F0169, F0377</t>
        </is>
      </c>
    </row>
    <row r="4081" ht="15.75" customHeight="1" s="108">
      <c r="A4081" s="18" t="inlineStr">
        <is>
          <t>Josh Elliott</t>
        </is>
      </c>
      <c r="B4081" s="18" t="n">
        <v>1</v>
      </c>
      <c r="C4081" s="18" t="n">
        <v>2013</v>
      </c>
      <c r="D4081" s="18" t="n">
        <v>2013</v>
      </c>
      <c r="E4081" s="18" t="inlineStr">
        <is>
          <t>Iron Man 3</t>
        </is>
      </c>
      <c r="F4081" s="18" t="inlineStr">
        <is>
          <t>F0169</t>
        </is>
      </c>
    </row>
    <row r="4082" ht="15.75" customHeight="1" s="108">
      <c r="A4082" s="18" t="inlineStr">
        <is>
          <t>Megan Henderson</t>
        </is>
      </c>
      <c r="B4082" s="18" t="n">
        <v>1</v>
      </c>
      <c r="C4082" s="18" t="n">
        <v>2013</v>
      </c>
      <c r="D4082" s="18" t="n">
        <v>2013</v>
      </c>
      <c r="E4082" s="18" t="inlineStr">
        <is>
          <t>Iron Man 3</t>
        </is>
      </c>
      <c r="F4082" s="18" t="inlineStr">
        <is>
          <t>F0169</t>
        </is>
      </c>
    </row>
    <row r="4083" ht="15.75" customHeight="1" s="108">
      <c r="A4083" s="18" t="inlineStr">
        <is>
          <t>Thomas Roberts</t>
        </is>
      </c>
      <c r="B4083" s="18" t="n">
        <v>1</v>
      </c>
      <c r="C4083" s="18" t="n">
        <v>2013</v>
      </c>
      <c r="D4083" s="18" t="n">
        <v>2013</v>
      </c>
      <c r="E4083" s="18" t="inlineStr">
        <is>
          <t>Iron Man 3</t>
        </is>
      </c>
      <c r="F4083" s="18" t="inlineStr">
        <is>
          <t>F0169</t>
        </is>
      </c>
    </row>
    <row r="4084" ht="15.75" customHeight="1" s="108">
      <c r="A4084" s="18" t="inlineStr">
        <is>
          <t>Bill Maher</t>
        </is>
      </c>
      <c r="B4084" s="18" t="n">
        <v>1</v>
      </c>
      <c r="C4084" s="18" t="n">
        <v>2013</v>
      </c>
      <c r="D4084" s="18" t="n">
        <v>2013</v>
      </c>
      <c r="E4084" s="18" t="inlineStr">
        <is>
          <t>Iron Man 3</t>
        </is>
      </c>
      <c r="F4084" s="18" t="inlineStr">
        <is>
          <t>F0169</t>
        </is>
      </c>
    </row>
    <row r="4085" ht="15.75" customHeight="1" s="108">
      <c r="A4085" s="18" t="inlineStr">
        <is>
          <t>Joan Rivers</t>
        </is>
      </c>
      <c r="B4085" s="18" t="n">
        <v>1</v>
      </c>
      <c r="C4085" s="18" t="n">
        <v>2013</v>
      </c>
      <c r="D4085" s="18" t="n">
        <v>2013</v>
      </c>
      <c r="E4085" s="18" t="inlineStr">
        <is>
          <t>Iron Man 3</t>
        </is>
      </c>
      <c r="F4085" s="18" t="inlineStr">
        <is>
          <t>F0169</t>
        </is>
      </c>
    </row>
    <row r="4086" ht="15.75" customHeight="1" s="108">
      <c r="A4086" s="18" t="inlineStr">
        <is>
          <t>George Kotsiopoulos</t>
        </is>
      </c>
      <c r="B4086" s="18" t="n">
        <v>1</v>
      </c>
      <c r="C4086" s="18" t="n">
        <v>2013</v>
      </c>
      <c r="D4086" s="18" t="n">
        <v>2013</v>
      </c>
      <c r="E4086" s="18" t="inlineStr">
        <is>
          <t>Iron Man 3</t>
        </is>
      </c>
      <c r="F4086" s="18" t="inlineStr">
        <is>
          <t>F0169</t>
        </is>
      </c>
    </row>
    <row r="4087" ht="15.75" customHeight="1" s="108">
      <c r="A4087" s="18" t="inlineStr">
        <is>
          <t>Bronte D'Esposito</t>
        </is>
      </c>
      <c r="B4087" s="18" t="n">
        <v>1</v>
      </c>
      <c r="C4087" s="18" t="n">
        <v>2013</v>
      </c>
      <c r="D4087" s="18" t="n">
        <v>2013</v>
      </c>
      <c r="E4087" s="18" t="inlineStr">
        <is>
          <t>Iron Man 3</t>
        </is>
      </c>
      <c r="F4087" s="18" t="inlineStr">
        <is>
          <t>F0169</t>
        </is>
      </c>
    </row>
    <row r="4088" ht="15.75" customHeight="1" s="108">
      <c r="A4088" s="18" t="inlineStr">
        <is>
          <t>Noah Visconti</t>
        </is>
      </c>
      <c r="B4088" s="18" t="n">
        <v>1</v>
      </c>
      <c r="C4088" s="18" t="n">
        <v>2013</v>
      </c>
      <c r="D4088" s="18" t="n">
        <v>2013</v>
      </c>
      <c r="E4088" s="18" t="inlineStr">
        <is>
          <t>Iron Man 3</t>
        </is>
      </c>
      <c r="F4088" s="18" t="inlineStr">
        <is>
          <t>F0169</t>
        </is>
      </c>
    </row>
    <row r="4089" ht="15.75" customHeight="1" s="108">
      <c r="A4089" s="18" t="inlineStr">
        <is>
          <t>Ashley Hamilton</t>
        </is>
      </c>
      <c r="B4089" s="18" t="n">
        <v>1</v>
      </c>
      <c r="C4089" s="18" t="n">
        <v>2013</v>
      </c>
      <c r="D4089" s="18" t="n">
        <v>2013</v>
      </c>
      <c r="E4089" s="18" t="inlineStr">
        <is>
          <t>Iron Man 3</t>
        </is>
      </c>
      <c r="F4089" s="18" t="inlineStr">
        <is>
          <t>F0169</t>
        </is>
      </c>
    </row>
    <row r="4090" ht="15.75" customHeight="1" s="108">
      <c r="A4090" s="18" t="inlineStr">
        <is>
          <t>Brooke Jaye Taylor</t>
        </is>
      </c>
      <c r="B4090" s="18" t="n">
        <v>1</v>
      </c>
      <c r="C4090" s="18" t="n">
        <v>2013</v>
      </c>
      <c r="D4090" s="18" t="n">
        <v>2013</v>
      </c>
      <c r="E4090" s="18" t="inlineStr">
        <is>
          <t>Iron Man 3</t>
        </is>
      </c>
      <c r="F4090" s="18" t="inlineStr">
        <is>
          <t>F0169</t>
        </is>
      </c>
    </row>
    <row r="4091" ht="15.75" customHeight="1" s="108">
      <c r="A4091" s="18" t="inlineStr">
        <is>
          <t>Kim Holderness</t>
        </is>
      </c>
      <c r="B4091" s="18" t="n">
        <v>1</v>
      </c>
      <c r="C4091" s="18" t="n">
        <v>2013</v>
      </c>
      <c r="D4091" s="18" t="n">
        <v>2013</v>
      </c>
      <c r="E4091" s="18" t="inlineStr">
        <is>
          <t>Iron Man 3</t>
        </is>
      </c>
      <c r="F4091" s="18" t="inlineStr">
        <is>
          <t>F0169</t>
        </is>
      </c>
    </row>
    <row r="4092" ht="15.75" customHeight="1" s="108">
      <c r="A4092" s="18" t="inlineStr">
        <is>
          <t>Alfie Allen</t>
        </is>
      </c>
      <c r="B4092" s="18" t="n">
        <v>2</v>
      </c>
      <c r="C4092" s="18" t="n">
        <v>2014</v>
      </c>
      <c r="D4092" s="18" t="n">
        <v>2019</v>
      </c>
      <c r="E4092" s="18" t="inlineStr">
        <is>
          <t>Jojo Rabbit, john wick</t>
        </is>
      </c>
      <c r="F4092" s="18" t="inlineStr">
        <is>
          <t>F0170, F0374</t>
        </is>
      </c>
    </row>
    <row r="4093" ht="15.75" customHeight="1" s="108">
      <c r="A4093" s="18" t="inlineStr">
        <is>
          <t>Stephen Merchant</t>
        </is>
      </c>
      <c r="B4093" s="18" t="n">
        <v>2</v>
      </c>
      <c r="C4093" s="18" t="n">
        <v>2017</v>
      </c>
      <c r="D4093" s="18" t="n">
        <v>2019</v>
      </c>
      <c r="E4093" s="18" t="inlineStr">
        <is>
          <t>Jojo Rabbit, Logan</t>
        </is>
      </c>
      <c r="F4093" s="18" t="inlineStr">
        <is>
          <t>F0170, F0201</t>
        </is>
      </c>
    </row>
    <row r="4094" ht="15.75" customHeight="1" s="108">
      <c r="A4094" s="18" t="inlineStr">
        <is>
          <t>Archie Yates</t>
        </is>
      </c>
      <c r="B4094" s="18" t="n">
        <v>1</v>
      </c>
      <c r="C4094" s="18" t="n">
        <v>2019</v>
      </c>
      <c r="D4094" s="18" t="n">
        <v>2019</v>
      </c>
      <c r="E4094" s="18" t="inlineStr">
        <is>
          <t>Jojo Rabbit</t>
        </is>
      </c>
      <c r="F4094" s="18" t="inlineStr">
        <is>
          <t>F0170</t>
        </is>
      </c>
    </row>
    <row r="4095" ht="15.75" customHeight="1" s="108">
      <c r="A4095" s="18" t="inlineStr">
        <is>
          <t>Luke Brandon Field</t>
        </is>
      </c>
      <c r="B4095" s="18" t="n">
        <v>1</v>
      </c>
      <c r="C4095" s="18" t="n">
        <v>2019</v>
      </c>
      <c r="D4095" s="18" t="n">
        <v>2019</v>
      </c>
      <c r="E4095" s="18" t="inlineStr">
        <is>
          <t>Jojo Rabbit</t>
        </is>
      </c>
      <c r="F4095" s="18" t="inlineStr">
        <is>
          <t>F0170</t>
        </is>
      </c>
    </row>
    <row r="4096" ht="15.75" customHeight="1" s="108">
      <c r="A4096" s="18" t="inlineStr">
        <is>
          <t>Sam Haygarth</t>
        </is>
      </c>
      <c r="B4096" s="18" t="n">
        <v>1</v>
      </c>
      <c r="C4096" s="18" t="n">
        <v>2019</v>
      </c>
      <c r="D4096" s="18" t="n">
        <v>2019</v>
      </c>
      <c r="E4096" s="18" t="inlineStr">
        <is>
          <t>Jojo Rabbit</t>
        </is>
      </c>
      <c r="F4096" s="18" t="inlineStr">
        <is>
          <t>F0170</t>
        </is>
      </c>
    </row>
    <row r="4097" ht="15.75" customHeight="1" s="108">
      <c r="A4097" s="18" t="inlineStr">
        <is>
          <t>Stanislav Callas</t>
        </is>
      </c>
      <c r="B4097" s="18" t="n">
        <v>1</v>
      </c>
      <c r="C4097" s="18" t="n">
        <v>2019</v>
      </c>
      <c r="D4097" s="18" t="n">
        <v>2019</v>
      </c>
      <c r="E4097" s="18" t="inlineStr">
        <is>
          <t>Jojo Rabbit</t>
        </is>
      </c>
      <c r="F4097" s="18" t="inlineStr">
        <is>
          <t>F0170</t>
        </is>
      </c>
    </row>
    <row r="4098" ht="15.75" customHeight="1" s="108">
      <c r="A4098" s="18" t="inlineStr">
        <is>
          <t>Joe Weintraub</t>
        </is>
      </c>
      <c r="B4098" s="18" t="n">
        <v>1</v>
      </c>
      <c r="C4098" s="18" t="n">
        <v>2019</v>
      </c>
      <c r="D4098" s="18" t="n">
        <v>2019</v>
      </c>
      <c r="E4098" s="18" t="inlineStr">
        <is>
          <t>Jojo Rabbit</t>
        </is>
      </c>
      <c r="F4098" s="18" t="inlineStr">
        <is>
          <t>F0170</t>
        </is>
      </c>
    </row>
    <row r="4099" ht="15.75" customHeight="1" s="108">
      <c r="A4099" s="18" t="inlineStr">
        <is>
          <t>Brian Caspe</t>
        </is>
      </c>
      <c r="B4099" s="18" t="n">
        <v>3</v>
      </c>
      <c r="C4099" s="18" t="n">
        <v>2004</v>
      </c>
      <c r="D4099" s="18" t="n">
        <v>2019</v>
      </c>
      <c r="E4099" s="18" t="inlineStr">
        <is>
          <t>Jojo Rabbit, The Martian, hellboy</t>
        </is>
      </c>
      <c r="F4099" s="18" t="inlineStr">
        <is>
          <t>F0170, F0213, F0373</t>
        </is>
      </c>
    </row>
    <row r="4100" ht="15.75" customHeight="1" s="108">
      <c r="A4100" s="18" t="inlineStr">
        <is>
          <t>Gabriel Andrews</t>
        </is>
      </c>
      <c r="B4100" s="18" t="n">
        <v>1</v>
      </c>
      <c r="C4100" s="18" t="n">
        <v>2019</v>
      </c>
      <c r="D4100" s="18" t="n">
        <v>2019</v>
      </c>
      <c r="E4100" s="18" t="inlineStr">
        <is>
          <t>Jojo Rabbit</t>
        </is>
      </c>
      <c r="F4100" s="18" t="inlineStr">
        <is>
          <t>F0170</t>
        </is>
      </c>
    </row>
    <row r="4101" ht="15.75" customHeight="1" s="108">
      <c r="A4101" s="18" t="inlineStr">
        <is>
          <t>Billy Rayner</t>
        </is>
      </c>
      <c r="B4101" s="18" t="n">
        <v>1</v>
      </c>
      <c r="C4101" s="18" t="n">
        <v>2019</v>
      </c>
      <c r="D4101" s="18" t="n">
        <v>2019</v>
      </c>
      <c r="E4101" s="18" t="inlineStr">
        <is>
          <t>Jojo Rabbit</t>
        </is>
      </c>
      <c r="F4101" s="18" t="inlineStr">
        <is>
          <t>F0170</t>
        </is>
      </c>
    </row>
    <row r="4102" ht="15.75" customHeight="1" s="108">
      <c r="A4102" s="18" t="inlineStr">
        <is>
          <t>Christian Howlings</t>
        </is>
      </c>
      <c r="B4102" s="18" t="n">
        <v>1</v>
      </c>
      <c r="C4102" s="18" t="n">
        <v>2019</v>
      </c>
      <c r="D4102" s="18" t="n">
        <v>2019</v>
      </c>
      <c r="E4102" s="18" t="inlineStr">
        <is>
          <t>Jojo Rabbit</t>
        </is>
      </c>
      <c r="F4102" s="18" t="inlineStr">
        <is>
          <t>F0170</t>
        </is>
      </c>
    </row>
    <row r="4103" ht="15.75" customHeight="1" s="108">
      <c r="A4103" s="18" t="inlineStr">
        <is>
          <t>Gilby Griffin Davis</t>
        </is>
      </c>
      <c r="B4103" s="18" t="n">
        <v>1</v>
      </c>
      <c r="C4103" s="18" t="n">
        <v>2019</v>
      </c>
      <c r="D4103" s="18" t="n">
        <v>2019</v>
      </c>
      <c r="E4103" s="18" t="inlineStr">
        <is>
          <t>Jojo Rabbit</t>
        </is>
      </c>
      <c r="F4103" s="18" t="inlineStr">
        <is>
          <t>F0170</t>
        </is>
      </c>
    </row>
    <row r="4104" ht="15.75" customHeight="1" s="108">
      <c r="A4104" s="18" t="inlineStr">
        <is>
          <t>Hardy Griffin Davis</t>
        </is>
      </c>
      <c r="B4104" s="18" t="n">
        <v>1</v>
      </c>
      <c r="C4104" s="18" t="n">
        <v>2019</v>
      </c>
      <c r="D4104" s="18" t="n">
        <v>2019</v>
      </c>
      <c r="E4104" s="18" t="inlineStr">
        <is>
          <t>Jojo Rabbit</t>
        </is>
      </c>
      <c r="F4104" s="18" t="inlineStr">
        <is>
          <t>F0170</t>
        </is>
      </c>
    </row>
    <row r="4105" ht="15.75" customHeight="1" s="108">
      <c r="A4105" s="18" t="inlineStr">
        <is>
          <t>Curtis Matthew</t>
        </is>
      </c>
      <c r="B4105" s="18" t="n">
        <v>1</v>
      </c>
      <c r="C4105" s="18" t="n">
        <v>2019</v>
      </c>
      <c r="D4105" s="18" t="n">
        <v>2019</v>
      </c>
      <c r="E4105" s="18" t="inlineStr">
        <is>
          <t>Jojo Rabbit</t>
        </is>
      </c>
      <c r="F4105" s="18" t="inlineStr">
        <is>
          <t>F0170</t>
        </is>
      </c>
    </row>
    <row r="4106" ht="15.75" customHeight="1" s="108">
      <c r="A4106" s="18" t="inlineStr">
        <is>
          <t>Robert East</t>
        </is>
      </c>
      <c r="B4106" s="18" t="n">
        <v>1</v>
      </c>
      <c r="C4106" s="18" t="n">
        <v>2019</v>
      </c>
      <c r="D4106" s="18" t="n">
        <v>2019</v>
      </c>
      <c r="E4106" s="18" t="inlineStr">
        <is>
          <t>Jojo Rabbit</t>
        </is>
      </c>
      <c r="F4106" s="18" t="inlineStr">
        <is>
          <t>F0170</t>
        </is>
      </c>
    </row>
    <row r="4107" ht="15.75" customHeight="1" s="108">
      <c r="A4107" s="18" t="inlineStr">
        <is>
          <t>James McVan</t>
        </is>
      </c>
      <c r="B4107" s="18" t="n">
        <v>1</v>
      </c>
      <c r="C4107" s="18" t="n">
        <v>2019</v>
      </c>
      <c r="D4107" s="18" t="n">
        <v>2019</v>
      </c>
      <c r="E4107" s="18" t="inlineStr">
        <is>
          <t>Jojo Rabbit</t>
        </is>
      </c>
      <c r="F4107" s="18" t="inlineStr">
        <is>
          <t>F0170</t>
        </is>
      </c>
    </row>
    <row r="4108" ht="15.75" customHeight="1" s="108">
      <c r="A4108" s="18" t="inlineStr">
        <is>
          <t>Judith Georgi</t>
        </is>
      </c>
      <c r="B4108" s="18" t="n">
        <v>1</v>
      </c>
      <c r="C4108" s="18" t="n">
        <v>2019</v>
      </c>
      <c r="D4108" s="18" t="n">
        <v>2019</v>
      </c>
      <c r="E4108" s="18" t="inlineStr">
        <is>
          <t>Jojo Rabbit</t>
        </is>
      </c>
      <c r="F4108" s="18" t="inlineStr">
        <is>
          <t>F0170</t>
        </is>
      </c>
    </row>
    <row r="4109" ht="15.75" customHeight="1" s="108">
      <c r="A4109" s="18" t="inlineStr">
        <is>
          <t>Victoria Hogan</t>
        </is>
      </c>
      <c r="B4109" s="18" t="n">
        <v>1</v>
      </c>
      <c r="C4109" s="18" t="n">
        <v>2019</v>
      </c>
      <c r="D4109" s="18" t="n">
        <v>2019</v>
      </c>
      <c r="E4109" s="18" t="inlineStr">
        <is>
          <t>Jojo Rabbit</t>
        </is>
      </c>
      <c r="F4109" s="18" t="inlineStr">
        <is>
          <t>F0170</t>
        </is>
      </c>
    </row>
    <row r="4110" ht="15.75" customHeight="1" s="108">
      <c r="A4110" s="18" t="inlineStr">
        <is>
          <t>Bethany Adams</t>
        </is>
      </c>
      <c r="B4110" s="18" t="n">
        <v>1</v>
      </c>
      <c r="C4110" s="18" t="n">
        <v>2019</v>
      </c>
      <c r="D4110" s="18" t="n">
        <v>2019</v>
      </c>
      <c r="E4110" s="18" t="inlineStr">
        <is>
          <t>Jojo Rabbit</t>
        </is>
      </c>
      <c r="F4110" s="18" t="inlineStr">
        <is>
          <t>F0170</t>
        </is>
      </c>
    </row>
    <row r="4111" ht="15.75" customHeight="1" s="108">
      <c r="A4111" s="18" t="inlineStr">
        <is>
          <t>Iva Šindelková</t>
        </is>
      </c>
      <c r="B4111" s="18" t="n">
        <v>1</v>
      </c>
      <c r="C4111" s="18" t="n">
        <v>2019</v>
      </c>
      <c r="D4111" s="18" t="n">
        <v>2019</v>
      </c>
      <c r="E4111" s="18" t="inlineStr">
        <is>
          <t>Jojo Rabbit</t>
        </is>
      </c>
      <c r="F4111" s="18" t="inlineStr">
        <is>
          <t>F0170</t>
        </is>
      </c>
    </row>
    <row r="4112" ht="15.75" customHeight="1" s="108">
      <c r="A4112" s="18" t="inlineStr">
        <is>
          <t>Matej Seifert</t>
        </is>
      </c>
      <c r="B4112" s="18" t="n">
        <v>1</v>
      </c>
      <c r="C4112" s="18" t="n">
        <v>2019</v>
      </c>
      <c r="D4112" s="18" t="n">
        <v>2019</v>
      </c>
      <c r="E4112" s="18" t="inlineStr">
        <is>
          <t>Jojo Rabbit</t>
        </is>
      </c>
      <c r="F4112" s="18" t="inlineStr">
        <is>
          <t>F0170</t>
        </is>
      </c>
    </row>
    <row r="4113" ht="15.75" customHeight="1" s="108">
      <c r="A4113" s="18" t="inlineStr">
        <is>
          <t>Trish Osmond</t>
        </is>
      </c>
      <c r="B4113" s="18" t="n">
        <v>1</v>
      </c>
      <c r="C4113" s="18" t="n">
        <v>2019</v>
      </c>
      <c r="D4113" s="18" t="n">
        <v>2019</v>
      </c>
      <c r="E4113" s="18" t="inlineStr">
        <is>
          <t>Jojo Rabbit</t>
        </is>
      </c>
      <c r="F4113" s="18" t="inlineStr">
        <is>
          <t>F0170</t>
        </is>
      </c>
    </row>
    <row r="4114" ht="15.75" customHeight="1" s="108">
      <c r="A4114" s="18" t="inlineStr">
        <is>
          <t>Odeta Cali</t>
        </is>
      </c>
      <c r="B4114" s="18" t="n">
        <v>1</v>
      </c>
      <c r="C4114" s="18" t="n">
        <v>2019</v>
      </c>
      <c r="D4114" s="18" t="n">
        <v>2019</v>
      </c>
      <c r="E4114" s="18" t="inlineStr">
        <is>
          <t>Jojo Rabbit</t>
        </is>
      </c>
      <c r="F4114" s="18" t="inlineStr">
        <is>
          <t>F0170</t>
        </is>
      </c>
    </row>
    <row r="4115" ht="15.75" customHeight="1" s="108">
      <c r="A4115" s="18" t="inlineStr">
        <is>
          <t>Samuel Bogner</t>
        </is>
      </c>
      <c r="B4115" s="18" t="n">
        <v>1</v>
      </c>
      <c r="C4115" s="18" t="n">
        <v>2019</v>
      </c>
      <c r="D4115" s="18" t="n">
        <v>2019</v>
      </c>
      <c r="E4115" s="18" t="inlineStr">
        <is>
          <t>Jojo Rabbit</t>
        </is>
      </c>
      <c r="F4115" s="18" t="inlineStr">
        <is>
          <t>F0170</t>
        </is>
      </c>
    </row>
    <row r="4116" ht="15.75" customHeight="1" s="108">
      <c r="A4116" s="18" t="inlineStr">
        <is>
          <t>Werner Herzog</t>
        </is>
      </c>
      <c r="B4116" s="18" t="n">
        <v>1</v>
      </c>
      <c r="C4116" s="18" t="n">
        <v>2012</v>
      </c>
      <c r="D4116" s="18" t="n">
        <v>2012</v>
      </c>
      <c r="E4116" s="18" t="inlineStr">
        <is>
          <t>Jack Reacher</t>
        </is>
      </c>
      <c r="F4116" s="18" t="inlineStr">
        <is>
          <t>F0171</t>
        </is>
      </c>
    </row>
    <row r="4117" ht="15.75" customHeight="1" s="108">
      <c r="A4117" s="18" t="inlineStr">
        <is>
          <t>Robert Duvall</t>
        </is>
      </c>
      <c r="B4117" s="18" t="n">
        <v>1</v>
      </c>
      <c r="C4117" s="18" t="n">
        <v>2012</v>
      </c>
      <c r="D4117" s="18" t="n">
        <v>2012</v>
      </c>
      <c r="E4117" s="18" t="inlineStr">
        <is>
          <t>Jack Reacher</t>
        </is>
      </c>
      <c r="F4117" s="18" t="inlineStr">
        <is>
          <t>F0171</t>
        </is>
      </c>
    </row>
    <row r="4118" ht="15.75" customHeight="1" s="108">
      <c r="A4118" s="18" t="inlineStr">
        <is>
          <t>Vladimir Sizov</t>
        </is>
      </c>
      <c r="B4118" s="18" t="n">
        <v>1</v>
      </c>
      <c r="C4118" s="18" t="n">
        <v>2012</v>
      </c>
      <c r="D4118" s="18" t="n">
        <v>2012</v>
      </c>
      <c r="E4118" s="18" t="inlineStr">
        <is>
          <t>Jack Reacher</t>
        </is>
      </c>
      <c r="F4118" s="18" t="inlineStr">
        <is>
          <t>F0171</t>
        </is>
      </c>
    </row>
    <row r="4119" ht="15.75" customHeight="1" s="108">
      <c r="A4119" s="18" t="inlineStr">
        <is>
          <t>Joseph Sikora</t>
        </is>
      </c>
      <c r="B4119" s="18" t="n">
        <v>1</v>
      </c>
      <c r="C4119" s="18" t="n">
        <v>2012</v>
      </c>
      <c r="D4119" s="18" t="n">
        <v>2012</v>
      </c>
      <c r="E4119" s="18" t="inlineStr">
        <is>
          <t>Jack Reacher</t>
        </is>
      </c>
      <c r="F4119" s="18" t="inlineStr">
        <is>
          <t>F0171</t>
        </is>
      </c>
    </row>
    <row r="4120" ht="15.75" customHeight="1" s="108">
      <c r="A4120" s="18" t="inlineStr">
        <is>
          <t>Nicole Forester</t>
        </is>
      </c>
      <c r="B4120" s="18" t="n">
        <v>1</v>
      </c>
      <c r="C4120" s="18" t="n">
        <v>2012</v>
      </c>
      <c r="D4120" s="18" t="n">
        <v>2012</v>
      </c>
      <c r="E4120" s="18" t="inlineStr">
        <is>
          <t>Jack Reacher</t>
        </is>
      </c>
      <c r="F4120" s="18" t="inlineStr">
        <is>
          <t>F0171</t>
        </is>
      </c>
    </row>
    <row r="4121" ht="15.75" customHeight="1" s="108">
      <c r="A4121" s="18" t="inlineStr">
        <is>
          <t>Michael Raymond-James</t>
        </is>
      </c>
      <c r="B4121" s="18" t="n">
        <v>1</v>
      </c>
      <c r="C4121" s="18" t="n">
        <v>2012</v>
      </c>
      <c r="D4121" s="18" t="n">
        <v>2012</v>
      </c>
      <c r="E4121" s="18" t="inlineStr">
        <is>
          <t>Jack Reacher</t>
        </is>
      </c>
      <c r="F4121" s="18" t="inlineStr">
        <is>
          <t>F0171</t>
        </is>
      </c>
    </row>
    <row r="4122" ht="15.75" customHeight="1" s="108">
      <c r="A4122" s="18" t="inlineStr">
        <is>
          <t>Alexia Fast</t>
        </is>
      </c>
      <c r="B4122" s="18" t="n">
        <v>1</v>
      </c>
      <c r="C4122" s="18" t="n">
        <v>2012</v>
      </c>
      <c r="D4122" s="18" t="n">
        <v>2012</v>
      </c>
      <c r="E4122" s="18" t="inlineStr">
        <is>
          <t>Jack Reacher</t>
        </is>
      </c>
      <c r="F4122" s="18" t="inlineStr">
        <is>
          <t>F0171</t>
        </is>
      </c>
    </row>
    <row r="4123" ht="15.75" customHeight="1" s="108">
      <c r="A4123" s="18" t="inlineStr">
        <is>
          <t>Josh Helman</t>
        </is>
      </c>
      <c r="B4123" s="18" t="n">
        <v>6</v>
      </c>
      <c r="C4123" s="18" t="n">
        <v>2012</v>
      </c>
      <c r="D4123" s="18" t="n">
        <v>2025</v>
      </c>
      <c r="E4123" s="18" t="inlineStr">
        <is>
          <t xml:space="preserve">Jack Reacher, X-Men: Days of Future Past, X-Men: Apocalypse, Mad max fury road, furiosa, furiosa </t>
        </is>
      </c>
      <c r="F4123" s="18" t="inlineStr">
        <is>
          <t>F0171, F0341, F0342, F0354, F0370</t>
        </is>
      </c>
    </row>
    <row r="4124" ht="15.75" customHeight="1" s="108">
      <c r="A4124" s="18" t="inlineStr">
        <is>
          <t>Dylan Kussman</t>
        </is>
      </c>
      <c r="B4124" s="18" t="n">
        <v>1</v>
      </c>
      <c r="C4124" s="18" t="n">
        <v>2012</v>
      </c>
      <c r="D4124" s="18" t="n">
        <v>2012</v>
      </c>
      <c r="E4124" s="18" t="inlineStr">
        <is>
          <t>Jack Reacher</t>
        </is>
      </c>
      <c r="F4124" s="18" t="inlineStr">
        <is>
          <t>F0171</t>
        </is>
      </c>
    </row>
    <row r="4125" ht="15.75" customHeight="1" s="108">
      <c r="A4125" s="18" t="inlineStr">
        <is>
          <t>Denver Milord</t>
        </is>
      </c>
      <c r="B4125" s="18" t="n">
        <v>1</v>
      </c>
      <c r="C4125" s="18" t="n">
        <v>2012</v>
      </c>
      <c r="D4125" s="18" t="n">
        <v>2012</v>
      </c>
      <c r="E4125" s="18" t="inlineStr">
        <is>
          <t>Jack Reacher</t>
        </is>
      </c>
      <c r="F4125" s="18" t="inlineStr">
        <is>
          <t>F0171</t>
        </is>
      </c>
    </row>
    <row r="4126" ht="15.75" customHeight="1" s="108">
      <c r="A4126" s="18" t="inlineStr">
        <is>
          <t>Susan Angelo</t>
        </is>
      </c>
      <c r="B4126" s="18" t="n">
        <v>1</v>
      </c>
      <c r="C4126" s="18" t="n">
        <v>2012</v>
      </c>
      <c r="D4126" s="18" t="n">
        <v>2012</v>
      </c>
      <c r="E4126" s="18" t="inlineStr">
        <is>
          <t>Jack Reacher</t>
        </is>
      </c>
      <c r="F4126" s="18" t="inlineStr">
        <is>
          <t>F0171</t>
        </is>
      </c>
    </row>
    <row r="4127" ht="15.75" customHeight="1" s="108">
      <c r="A4127" s="18" t="inlineStr">
        <is>
          <t>Julia Yorks</t>
        </is>
      </c>
      <c r="B4127" s="18" t="n">
        <v>1</v>
      </c>
      <c r="C4127" s="18" t="n">
        <v>2012</v>
      </c>
      <c r="D4127" s="18" t="n">
        <v>2012</v>
      </c>
      <c r="E4127" s="18" t="inlineStr">
        <is>
          <t>Jack Reacher</t>
        </is>
      </c>
      <c r="F4127" s="18" t="inlineStr">
        <is>
          <t>F0171</t>
        </is>
      </c>
    </row>
    <row r="4128" ht="15.75" customHeight="1" s="108">
      <c r="A4128" s="18" t="inlineStr">
        <is>
          <t>Delilah Picart</t>
        </is>
      </c>
      <c r="B4128" s="18" t="n">
        <v>1</v>
      </c>
      <c r="C4128" s="18" t="n">
        <v>2012</v>
      </c>
      <c r="D4128" s="18" t="n">
        <v>2012</v>
      </c>
      <c r="E4128" s="18" t="inlineStr">
        <is>
          <t>Jack Reacher</t>
        </is>
      </c>
      <c r="F4128" s="18" t="inlineStr">
        <is>
          <t>F0171</t>
        </is>
      </c>
    </row>
    <row r="4129" ht="15.75" customHeight="1" s="108">
      <c r="A4129" s="18" t="inlineStr">
        <is>
          <t>Joe Coyle</t>
        </is>
      </c>
      <c r="B4129" s="18" t="n">
        <v>1</v>
      </c>
      <c r="C4129" s="18" t="n">
        <v>2012</v>
      </c>
      <c r="D4129" s="18" t="n">
        <v>2012</v>
      </c>
      <c r="E4129" s="18" t="inlineStr">
        <is>
          <t>Jack Reacher</t>
        </is>
      </c>
      <c r="F4129" s="18" t="inlineStr">
        <is>
          <t>F0171</t>
        </is>
      </c>
    </row>
    <row r="4130" ht="15.75" customHeight="1" s="108">
      <c r="A4130" s="18" t="inlineStr">
        <is>
          <t>Alicia Murton</t>
        </is>
      </c>
      <c r="B4130" s="18" t="n">
        <v>1</v>
      </c>
      <c r="C4130" s="18" t="n">
        <v>2012</v>
      </c>
      <c r="D4130" s="18" t="n">
        <v>2012</v>
      </c>
      <c r="E4130" s="18" t="inlineStr">
        <is>
          <t>Jack Reacher</t>
        </is>
      </c>
      <c r="F4130" s="18" t="inlineStr">
        <is>
          <t>F0171</t>
        </is>
      </c>
    </row>
    <row r="4131" ht="15.75" customHeight="1" s="108">
      <c r="A4131" s="18" t="inlineStr">
        <is>
          <t>Peter Gannon</t>
        </is>
      </c>
      <c r="B4131" s="18" t="n">
        <v>1</v>
      </c>
      <c r="C4131" s="18" t="n">
        <v>2012</v>
      </c>
      <c r="D4131" s="18" t="n">
        <v>2012</v>
      </c>
      <c r="E4131" s="18" t="inlineStr">
        <is>
          <t>Jack Reacher</t>
        </is>
      </c>
      <c r="F4131" s="18" t="inlineStr">
        <is>
          <t>F0171</t>
        </is>
      </c>
    </row>
    <row r="4132" ht="15.75" customHeight="1" s="108">
      <c r="A4132" s="18" t="inlineStr">
        <is>
          <t>David Whalen</t>
        </is>
      </c>
      <c r="B4132" s="18" t="n">
        <v>1</v>
      </c>
      <c r="C4132" s="18" t="n">
        <v>2012</v>
      </c>
      <c r="D4132" s="18" t="n">
        <v>2012</v>
      </c>
      <c r="E4132" s="18" t="inlineStr">
        <is>
          <t>Jack Reacher</t>
        </is>
      </c>
      <c r="F4132" s="18" t="inlineStr">
        <is>
          <t>F0171</t>
        </is>
      </c>
    </row>
    <row r="4133" ht="15.75" customHeight="1" s="108">
      <c r="A4133" s="18" t="inlineStr">
        <is>
          <t>Tristan Elma</t>
        </is>
      </c>
      <c r="B4133" s="18" t="n">
        <v>1</v>
      </c>
      <c r="C4133" s="18" t="n">
        <v>2012</v>
      </c>
      <c r="D4133" s="18" t="n">
        <v>2012</v>
      </c>
      <c r="E4133" s="18" t="inlineStr">
        <is>
          <t>Jack Reacher</t>
        </is>
      </c>
      <c r="F4133" s="18" t="inlineStr">
        <is>
          <t>F0171</t>
        </is>
      </c>
    </row>
    <row r="4134" ht="15.75" customHeight="1" s="108">
      <c r="A4134" s="18" t="inlineStr">
        <is>
          <t>Sophie Guest</t>
        </is>
      </c>
      <c r="B4134" s="18" t="n">
        <v>1</v>
      </c>
      <c r="C4134" s="18" t="n">
        <v>2012</v>
      </c>
      <c r="D4134" s="18" t="n">
        <v>2012</v>
      </c>
      <c r="E4134" s="18" t="inlineStr">
        <is>
          <t>Jack Reacher</t>
        </is>
      </c>
      <c r="F4134" s="18" t="inlineStr">
        <is>
          <t>F0171</t>
        </is>
      </c>
    </row>
    <row r="4135" ht="15.75" customHeight="1" s="108">
      <c r="A4135" s="18" t="inlineStr">
        <is>
          <t>Michael Minor</t>
        </is>
      </c>
      <c r="B4135" s="18" t="n">
        <v>1</v>
      </c>
      <c r="C4135" s="18" t="n">
        <v>2012</v>
      </c>
      <c r="D4135" s="18" t="n">
        <v>2012</v>
      </c>
      <c r="E4135" s="18" t="inlineStr">
        <is>
          <t>Jack Reacher</t>
        </is>
      </c>
      <c r="F4135" s="18" t="inlineStr">
        <is>
          <t>F0171</t>
        </is>
      </c>
    </row>
    <row r="4136" ht="15.75" customHeight="1" s="108">
      <c r="A4136" s="18" t="inlineStr">
        <is>
          <t>Scott A. Martin</t>
        </is>
      </c>
      <c r="B4136" s="18" t="n">
        <v>1</v>
      </c>
      <c r="C4136" s="18" t="n">
        <v>2012</v>
      </c>
      <c r="D4136" s="18" t="n">
        <v>2012</v>
      </c>
      <c r="E4136" s="18" t="inlineStr">
        <is>
          <t>Jack Reacher</t>
        </is>
      </c>
      <c r="F4136" s="18" t="inlineStr">
        <is>
          <t>F0171</t>
        </is>
      </c>
    </row>
    <row r="4137" ht="15.75" customHeight="1" s="108">
      <c r="A4137" s="18" t="inlineStr">
        <is>
          <t>CJ Ramirez</t>
        </is>
      </c>
      <c r="B4137" s="18" t="n">
        <v>1</v>
      </c>
      <c r="C4137" s="18" t="n">
        <v>2012</v>
      </c>
      <c r="D4137" s="18" t="n">
        <v>2012</v>
      </c>
      <c r="E4137" s="18" t="inlineStr">
        <is>
          <t>Jack Reacher</t>
        </is>
      </c>
      <c r="F4137" s="18" t="inlineStr">
        <is>
          <t>F0171</t>
        </is>
      </c>
    </row>
    <row r="4138" ht="15.75" customHeight="1" s="108">
      <c r="A4138" s="18" t="inlineStr">
        <is>
          <t>Teri Clark</t>
        </is>
      </c>
      <c r="B4138" s="18" t="n">
        <v>1</v>
      </c>
      <c r="C4138" s="18" t="n">
        <v>2012</v>
      </c>
      <c r="D4138" s="18" t="n">
        <v>2012</v>
      </c>
      <c r="E4138" s="18" t="inlineStr">
        <is>
          <t>Jack Reacher</t>
        </is>
      </c>
      <c r="F4138" s="18" t="inlineStr">
        <is>
          <t>F0171</t>
        </is>
      </c>
    </row>
    <row r="4139" ht="15.75" customHeight="1" s="108">
      <c r="A4139" s="18" t="inlineStr">
        <is>
          <t>Jarid Faubel</t>
        </is>
      </c>
      <c r="B4139" s="18" t="n">
        <v>1</v>
      </c>
      <c r="C4139" s="18" t="n">
        <v>2012</v>
      </c>
      <c r="D4139" s="18" t="n">
        <v>2012</v>
      </c>
      <c r="E4139" s="18" t="inlineStr">
        <is>
          <t>Jack Reacher</t>
        </is>
      </c>
      <c r="F4139" s="18" t="inlineStr">
        <is>
          <t>F0171</t>
        </is>
      </c>
    </row>
    <row r="4140" ht="15.75" customHeight="1" s="108">
      <c r="A4140" s="18" t="inlineStr">
        <is>
          <t>Jason 'Wee Man' Acuña</t>
        </is>
      </c>
      <c r="B4140" s="18" t="n">
        <v>1</v>
      </c>
      <c r="C4140" s="18" t="n">
        <v>2010</v>
      </c>
      <c r="D4140" s="18" t="n">
        <v>2010</v>
      </c>
      <c r="E4140" s="18" t="inlineStr">
        <is>
          <t>Jackass 3D</t>
        </is>
      </c>
      <c r="F4140" s="18" t="inlineStr">
        <is>
          <t>F0172</t>
        </is>
      </c>
    </row>
    <row r="4141" ht="15.75" customHeight="1" s="108">
      <c r="A4141" s="18" t="inlineStr">
        <is>
          <t>Preston Lacy</t>
        </is>
      </c>
      <c r="B4141" s="18" t="n">
        <v>1</v>
      </c>
      <c r="C4141" s="18" t="n">
        <v>2010</v>
      </c>
      <c r="D4141" s="18" t="n">
        <v>2010</v>
      </c>
      <c r="E4141" s="18" t="inlineStr">
        <is>
          <t>Jackass 3D</t>
        </is>
      </c>
      <c r="F4141" s="18" t="inlineStr">
        <is>
          <t>F0172</t>
        </is>
      </c>
    </row>
    <row r="4142" ht="15.75" customHeight="1" s="108">
      <c r="A4142" s="18" t="inlineStr">
        <is>
          <t>Ehren McGhehey</t>
        </is>
      </c>
      <c r="B4142" s="18" t="n">
        <v>1</v>
      </c>
      <c r="C4142" s="18" t="n">
        <v>2010</v>
      </c>
      <c r="D4142" s="18" t="n">
        <v>2010</v>
      </c>
      <c r="E4142" s="18" t="inlineStr">
        <is>
          <t>Jackass 3D</t>
        </is>
      </c>
      <c r="F4142" s="18" t="inlineStr">
        <is>
          <t>F0172</t>
        </is>
      </c>
    </row>
    <row r="4143" ht="15.75" customHeight="1" s="108">
      <c r="A4143" s="18" t="inlineStr">
        <is>
          <t>Dave England</t>
        </is>
      </c>
      <c r="B4143" s="18" t="n">
        <v>1</v>
      </c>
      <c r="C4143" s="18" t="n">
        <v>2010</v>
      </c>
      <c r="D4143" s="18" t="n">
        <v>2010</v>
      </c>
      <c r="E4143" s="18" t="inlineStr">
        <is>
          <t>Jackass 3D</t>
        </is>
      </c>
      <c r="F4143" s="18" t="inlineStr">
        <is>
          <t>F0172</t>
        </is>
      </c>
    </row>
    <row r="4144" ht="15.75" customHeight="1" s="108">
      <c r="A4144" s="18" t="inlineStr">
        <is>
          <t>Phil Margera</t>
        </is>
      </c>
      <c r="B4144" s="18" t="n">
        <v>1</v>
      </c>
      <c r="C4144" s="18" t="n">
        <v>2010</v>
      </c>
      <c r="D4144" s="18" t="n">
        <v>2010</v>
      </c>
      <c r="E4144" s="18" t="inlineStr">
        <is>
          <t>Jackass 3D</t>
        </is>
      </c>
      <c r="F4144" s="18" t="inlineStr">
        <is>
          <t>F0172</t>
        </is>
      </c>
    </row>
    <row r="4145" ht="15.75" customHeight="1" s="108">
      <c r="A4145" s="18" t="inlineStr">
        <is>
          <t>April Margera</t>
        </is>
      </c>
      <c r="B4145" s="18" t="n">
        <v>1</v>
      </c>
      <c r="C4145" s="18" t="n">
        <v>2010</v>
      </c>
      <c r="D4145" s="18" t="n">
        <v>2010</v>
      </c>
      <c r="E4145" s="18" t="inlineStr">
        <is>
          <t>Jackass 3D</t>
        </is>
      </c>
      <c r="F4145" s="18" t="inlineStr">
        <is>
          <t>F0172</t>
        </is>
      </c>
    </row>
    <row r="4146" ht="15.75" customHeight="1" s="108">
      <c r="A4146" s="18" t="inlineStr">
        <is>
          <t>Loomis Fall</t>
        </is>
      </c>
      <c r="B4146" s="18" t="n">
        <v>1</v>
      </c>
      <c r="C4146" s="18" t="n">
        <v>2010</v>
      </c>
      <c r="D4146" s="18" t="n">
        <v>2010</v>
      </c>
      <c r="E4146" s="18" t="inlineStr">
        <is>
          <t>Jackass 3D</t>
        </is>
      </c>
      <c r="F4146" s="18" t="inlineStr">
        <is>
          <t>F0172</t>
        </is>
      </c>
    </row>
    <row r="4147" ht="15.75" customHeight="1" s="108">
      <c r="A4147" s="18" t="inlineStr">
        <is>
          <t>Jeff Tremaine</t>
        </is>
      </c>
      <c r="B4147" s="18" t="n">
        <v>1</v>
      </c>
      <c r="C4147" s="18" t="n">
        <v>2010</v>
      </c>
      <c r="D4147" s="18" t="n">
        <v>2010</v>
      </c>
      <c r="E4147" s="18" t="inlineStr">
        <is>
          <t>Jackass 3D</t>
        </is>
      </c>
      <c r="F4147" s="18" t="inlineStr">
        <is>
          <t>F0172</t>
        </is>
      </c>
    </row>
    <row r="4148" ht="15.75" customHeight="1" s="108">
      <c r="A4148" s="18" t="inlineStr">
        <is>
          <t>Brandon Novak</t>
        </is>
      </c>
      <c r="B4148" s="18" t="n">
        <v>1</v>
      </c>
      <c r="C4148" s="18" t="n">
        <v>2010</v>
      </c>
      <c r="D4148" s="18" t="n">
        <v>2010</v>
      </c>
      <c r="E4148" s="18" t="inlineStr">
        <is>
          <t>Jackass 3D</t>
        </is>
      </c>
      <c r="F4148" s="18" t="inlineStr">
        <is>
          <t>F0172</t>
        </is>
      </c>
    </row>
    <row r="4149" ht="15.75" customHeight="1" s="108">
      <c r="A4149" s="18" t="inlineStr">
        <is>
          <t>Tony Hawk</t>
        </is>
      </c>
      <c r="B4149" s="18" t="n">
        <v>1</v>
      </c>
      <c r="C4149" s="18" t="n">
        <v>2010</v>
      </c>
      <c r="D4149" s="18" t="n">
        <v>2010</v>
      </c>
      <c r="E4149" s="18" t="inlineStr">
        <is>
          <t>Jackass 3D</t>
        </is>
      </c>
      <c r="F4149" s="18" t="inlineStr">
        <is>
          <t>F0172</t>
        </is>
      </c>
    </row>
    <row r="4150" ht="15.75" customHeight="1" s="108">
      <c r="A4150" s="18" t="inlineStr">
        <is>
          <t>Eric Koston</t>
        </is>
      </c>
      <c r="B4150" s="18" t="n">
        <v>1</v>
      </c>
      <c r="C4150" s="18" t="n">
        <v>2010</v>
      </c>
      <c r="D4150" s="18" t="n">
        <v>2010</v>
      </c>
      <c r="E4150" s="18" t="inlineStr">
        <is>
          <t>Jackass 3D</t>
        </is>
      </c>
      <c r="F4150" s="18" t="inlineStr">
        <is>
          <t>F0172</t>
        </is>
      </c>
    </row>
    <row r="4151" ht="15.75" customHeight="1" s="108">
      <c r="A4151" s="18" t="inlineStr">
        <is>
          <t>Spike Jonze</t>
        </is>
      </c>
      <c r="B4151" s="18" t="n">
        <v>1</v>
      </c>
      <c r="C4151" s="18" t="n">
        <v>2010</v>
      </c>
      <c r="D4151" s="18" t="n">
        <v>2010</v>
      </c>
      <c r="E4151" s="18" t="inlineStr">
        <is>
          <t>Jackass 3D</t>
        </is>
      </c>
      <c r="F4151" s="18" t="inlineStr">
        <is>
          <t>F0172</t>
        </is>
      </c>
    </row>
    <row r="4152" ht="15.75" customHeight="1" s="108">
      <c r="A4152" s="18" t="inlineStr">
        <is>
          <t>Trip Taylor</t>
        </is>
      </c>
      <c r="B4152" s="18" t="n">
        <v>1</v>
      </c>
      <c r="C4152" s="18" t="n">
        <v>2010</v>
      </c>
      <c r="D4152" s="18" t="n">
        <v>2010</v>
      </c>
      <c r="E4152" s="18" t="inlineStr">
        <is>
          <t>Jackass 3D</t>
        </is>
      </c>
      <c r="F4152" s="18" t="inlineStr">
        <is>
          <t>F0172</t>
        </is>
      </c>
    </row>
    <row r="4153" ht="15.75" customHeight="1" s="108">
      <c r="A4153" s="18" t="inlineStr">
        <is>
          <t>Rick Kosick</t>
        </is>
      </c>
      <c r="B4153" s="18" t="n">
        <v>1</v>
      </c>
      <c r="C4153" s="18" t="n">
        <v>2010</v>
      </c>
      <c r="D4153" s="18" t="n">
        <v>2010</v>
      </c>
      <c r="E4153" s="18" t="inlineStr">
        <is>
          <t>Jackass 3D</t>
        </is>
      </c>
      <c r="F4153" s="18" t="inlineStr">
        <is>
          <t>F0172</t>
        </is>
      </c>
    </row>
    <row r="4154" ht="15.75" customHeight="1" s="108">
      <c r="A4154" s="18" t="inlineStr">
        <is>
          <t>Dimitry Elyashkevich</t>
        </is>
      </c>
      <c r="B4154" s="18" t="n">
        <v>1</v>
      </c>
      <c r="C4154" s="18" t="n">
        <v>2010</v>
      </c>
      <c r="D4154" s="18" t="n">
        <v>2010</v>
      </c>
      <c r="E4154" s="18" t="inlineStr">
        <is>
          <t>Jackass 3D</t>
        </is>
      </c>
      <c r="F4154" s="18" t="inlineStr">
        <is>
          <t>F0172</t>
        </is>
      </c>
    </row>
    <row r="4155" ht="15.75" customHeight="1" s="108">
      <c r="A4155" s="18" t="inlineStr">
        <is>
          <t>Greg Iguchi</t>
        </is>
      </c>
      <c r="B4155" s="18" t="n">
        <v>1</v>
      </c>
      <c r="C4155" s="18" t="n">
        <v>2010</v>
      </c>
      <c r="D4155" s="18" t="n">
        <v>2010</v>
      </c>
      <c r="E4155" s="18" t="inlineStr">
        <is>
          <t>Jackass 3D</t>
        </is>
      </c>
      <c r="F4155" s="18" t="inlineStr">
        <is>
          <t>F0172</t>
        </is>
      </c>
    </row>
    <row r="4156" ht="15.75" customHeight="1" s="108">
      <c r="A4156" s="18" t="inlineStr">
        <is>
          <t>Manny Puig</t>
        </is>
      </c>
      <c r="B4156" s="18" t="n">
        <v>1</v>
      </c>
      <c r="C4156" s="18" t="n">
        <v>2010</v>
      </c>
      <c r="D4156" s="18" t="n">
        <v>2010</v>
      </c>
      <c r="E4156" s="18" t="inlineStr">
        <is>
          <t>Jackass 3D</t>
        </is>
      </c>
      <c r="F4156" s="18" t="inlineStr">
        <is>
          <t>F0172</t>
        </is>
      </c>
    </row>
    <row r="4157" ht="15.75" customHeight="1" s="108">
      <c r="A4157" s="18" t="inlineStr">
        <is>
          <t>Erik Roner</t>
        </is>
      </c>
      <c r="B4157" s="18" t="n">
        <v>1</v>
      </c>
      <c r="C4157" s="18" t="n">
        <v>2010</v>
      </c>
      <c r="D4157" s="18" t="n">
        <v>2010</v>
      </c>
      <c r="E4157" s="18" t="inlineStr">
        <is>
          <t>Jackass 3D</t>
        </is>
      </c>
      <c r="F4157" s="18" t="inlineStr">
        <is>
          <t>F0172</t>
        </is>
      </c>
    </row>
    <row r="4158" ht="15.75" customHeight="1" s="108">
      <c r="A4158" s="18" t="inlineStr">
        <is>
          <t>Judd Leffew</t>
        </is>
      </c>
      <c r="B4158" s="18" t="n">
        <v>1</v>
      </c>
      <c r="C4158" s="18" t="n">
        <v>2010</v>
      </c>
      <c r="D4158" s="18" t="n">
        <v>2010</v>
      </c>
      <c r="E4158" s="18" t="inlineStr">
        <is>
          <t>Jackass 3D</t>
        </is>
      </c>
      <c r="F4158" s="18" t="inlineStr">
        <is>
          <t>F0172</t>
        </is>
      </c>
    </row>
    <row r="4159" ht="15.75" customHeight="1" s="108">
      <c r="A4159" s="18" t="inlineStr">
        <is>
          <t>Lance Bangs</t>
        </is>
      </c>
      <c r="B4159" s="18" t="n">
        <v>1</v>
      </c>
      <c r="C4159" s="18" t="n">
        <v>2010</v>
      </c>
      <c r="D4159" s="18" t="n">
        <v>2010</v>
      </c>
      <c r="E4159" s="18" t="inlineStr">
        <is>
          <t>Jackass 3D</t>
        </is>
      </c>
      <c r="F4159" s="18" t="inlineStr">
        <is>
          <t>F0172</t>
        </is>
      </c>
    </row>
    <row r="4160" ht="15.75" customHeight="1" s="108">
      <c r="A4160" s="18" t="inlineStr">
        <is>
          <t>Gregory J. Wolf</t>
        </is>
      </c>
      <c r="B4160" s="18" t="n">
        <v>1</v>
      </c>
      <c r="C4160" s="18" t="n">
        <v>2010</v>
      </c>
      <c r="D4160" s="18" t="n">
        <v>2010</v>
      </c>
      <c r="E4160" s="18" t="inlineStr">
        <is>
          <t>Jackass 3D</t>
        </is>
      </c>
      <c r="F4160" s="18" t="inlineStr">
        <is>
          <t>F0172</t>
        </is>
      </c>
    </row>
    <row r="4161" ht="15.75" customHeight="1" s="108">
      <c r="A4161" s="18" t="inlineStr">
        <is>
          <t>Josh Brown</t>
        </is>
      </c>
      <c r="B4161" s="18" t="n">
        <v>1</v>
      </c>
      <c r="C4161" s="18" t="n">
        <v>2010</v>
      </c>
      <c r="D4161" s="18" t="n">
        <v>2010</v>
      </c>
      <c r="E4161" s="18" t="inlineStr">
        <is>
          <t>Jackass 3D</t>
        </is>
      </c>
      <c r="F4161" s="18" t="inlineStr">
        <is>
          <t>F0172</t>
        </is>
      </c>
    </row>
    <row r="4162" ht="15.75" customHeight="1" s="108">
      <c r="A4162" s="18" t="inlineStr">
        <is>
          <t>Mat Hoffman</t>
        </is>
      </c>
      <c r="B4162" s="18" t="n">
        <v>1</v>
      </c>
      <c r="C4162" s="18" t="n">
        <v>2010</v>
      </c>
      <c r="D4162" s="18" t="n">
        <v>2010</v>
      </c>
      <c r="E4162" s="18" t="inlineStr">
        <is>
          <t>Jackass 3D</t>
        </is>
      </c>
      <c r="F4162" s="18" t="inlineStr">
        <is>
          <t>F0172</t>
        </is>
      </c>
    </row>
    <row r="4163" ht="15.75" customHeight="1" s="108">
      <c r="A4163" s="18" t="inlineStr">
        <is>
          <t>Rake Yohn</t>
        </is>
      </c>
      <c r="B4163" s="18" t="n">
        <v>1</v>
      </c>
      <c r="C4163" s="18" t="n">
        <v>2010</v>
      </c>
      <c r="D4163" s="18" t="n">
        <v>2010</v>
      </c>
      <c r="E4163" s="18" t="inlineStr">
        <is>
          <t>Jackass 3D</t>
        </is>
      </c>
      <c r="F4163" s="18" t="inlineStr">
        <is>
          <t>F0172</t>
        </is>
      </c>
    </row>
    <row r="4164" ht="15.75" customHeight="1" s="108">
      <c r="A4164" s="18" t="inlineStr">
        <is>
          <t>Omar Von Muller</t>
        </is>
      </c>
      <c r="B4164" s="18" t="n">
        <v>1</v>
      </c>
      <c r="C4164" s="18" t="n">
        <v>2010</v>
      </c>
      <c r="D4164" s="18" t="n">
        <v>2010</v>
      </c>
      <c r="E4164" s="18" t="inlineStr">
        <is>
          <t>Jackass 3D</t>
        </is>
      </c>
      <c r="F4164" s="18" t="inlineStr">
        <is>
          <t>F0172</t>
        </is>
      </c>
    </row>
    <row r="4165" ht="15.75" customHeight="1" s="108">
      <c r="A4165" s="18" t="inlineStr">
        <is>
          <t>John Gallagher Jr.</t>
        </is>
      </c>
      <c r="B4165" s="18" t="n">
        <v>1</v>
      </c>
      <c r="C4165" s="18" t="n">
        <v>2010</v>
      </c>
      <c r="D4165" s="18" t="n">
        <v>2010</v>
      </c>
      <c r="E4165" s="18" t="inlineStr">
        <is>
          <t>Jonah Hex</t>
        </is>
      </c>
      <c r="F4165" s="18" t="inlineStr">
        <is>
          <t>F0173</t>
        </is>
      </c>
    </row>
    <row r="4166" ht="15.75" customHeight="1" s="108">
      <c r="A4166" s="18" t="inlineStr">
        <is>
          <t>Jeffrey Dean Morgan</t>
        </is>
      </c>
      <c r="B4166" s="18" t="n">
        <v>1</v>
      </c>
      <c r="C4166" s="18" t="n">
        <v>2010</v>
      </c>
      <c r="D4166" s="18" t="n">
        <v>2010</v>
      </c>
      <c r="E4166" s="18" t="inlineStr">
        <is>
          <t>Jonah Hex</t>
        </is>
      </c>
      <c r="F4166" s="18" t="inlineStr">
        <is>
          <t>F0173</t>
        </is>
      </c>
    </row>
    <row r="4167" ht="15.75" customHeight="1" s="108">
      <c r="A4167" s="18" t="inlineStr">
        <is>
          <t>Julia Jones</t>
        </is>
      </c>
      <c r="B4167" s="18" t="n">
        <v>1</v>
      </c>
      <c r="C4167" s="18" t="n">
        <v>2010</v>
      </c>
      <c r="D4167" s="18" t="n">
        <v>2010</v>
      </c>
      <c r="E4167" s="18" t="inlineStr">
        <is>
          <t>Jonah Hex</t>
        </is>
      </c>
      <c r="F4167" s="18" t="inlineStr">
        <is>
          <t>F0173</t>
        </is>
      </c>
    </row>
    <row r="4168" ht="15.75" customHeight="1" s="108">
      <c r="A4168" s="18" t="inlineStr">
        <is>
          <t>Rio Hackford</t>
        </is>
      </c>
      <c r="B4168" s="18" t="n">
        <v>1</v>
      </c>
      <c r="C4168" s="18" t="n">
        <v>2010</v>
      </c>
      <c r="D4168" s="18" t="n">
        <v>2010</v>
      </c>
      <c r="E4168" s="18" t="inlineStr">
        <is>
          <t>Jonah Hex</t>
        </is>
      </c>
      <c r="F4168" s="18" t="inlineStr">
        <is>
          <t>F0173</t>
        </is>
      </c>
    </row>
    <row r="4169" ht="15.75" customHeight="1" s="108">
      <c r="A4169" s="18" t="inlineStr">
        <is>
          <t>Luke James Fleischmann</t>
        </is>
      </c>
      <c r="B4169" s="18" t="n">
        <v>1</v>
      </c>
      <c r="C4169" s="18" t="n">
        <v>2010</v>
      </c>
      <c r="D4169" s="18" t="n">
        <v>2010</v>
      </c>
      <c r="E4169" s="18" t="inlineStr">
        <is>
          <t>Jonah Hex</t>
        </is>
      </c>
      <c r="F4169" s="18" t="inlineStr">
        <is>
          <t>F0173</t>
        </is>
      </c>
    </row>
    <row r="4170" ht="15.75" customHeight="1" s="108">
      <c r="A4170" s="18" t="inlineStr">
        <is>
          <t>Billy Blair</t>
        </is>
      </c>
      <c r="B4170" s="18" t="n">
        <v>1</v>
      </c>
      <c r="C4170" s="18" t="n">
        <v>2010</v>
      </c>
      <c r="D4170" s="18" t="n">
        <v>2010</v>
      </c>
      <c r="E4170" s="18" t="inlineStr">
        <is>
          <t>Jonah Hex</t>
        </is>
      </c>
      <c r="F4170" s="18" t="inlineStr">
        <is>
          <t>F0173</t>
        </is>
      </c>
    </row>
    <row r="4171" ht="15.75" customHeight="1" s="108">
      <c r="A4171" s="18" t="inlineStr">
        <is>
          <t>Sean Boyd</t>
        </is>
      </c>
      <c r="B4171" s="18" t="n">
        <v>3</v>
      </c>
      <c r="C4171" s="18" t="n">
        <v>2010</v>
      </c>
      <c r="D4171" s="18" t="n">
        <v>2016</v>
      </c>
      <c r="E4171" s="18" t="inlineStr">
        <is>
          <t>Jonah Hex, The Magnificent Seven, Olympus Has Fallen</t>
        </is>
      </c>
      <c r="F4171" s="18" t="inlineStr">
        <is>
          <t>F0173, F0207, F0240</t>
        </is>
      </c>
    </row>
    <row r="4172" ht="15.75" customHeight="1" s="108">
      <c r="A4172" s="18" t="inlineStr">
        <is>
          <t>John McConnell</t>
        </is>
      </c>
      <c r="B4172" s="18" t="n">
        <v>3</v>
      </c>
      <c r="C4172" s="18" t="n">
        <v>2010</v>
      </c>
      <c r="D4172" s="18" t="n">
        <v>2013</v>
      </c>
      <c r="E4172" s="18" t="inlineStr">
        <is>
          <t>Jonah Hex, Killing Them Softly, 2 guns</t>
        </is>
      </c>
      <c r="F4172" s="18" t="inlineStr">
        <is>
          <t>F0173, F0187, F0355</t>
        </is>
      </c>
    </row>
    <row r="4173" ht="15.75" customHeight="1" s="108">
      <c r="A4173" s="18" t="inlineStr">
        <is>
          <t>Jackson Townsend</t>
        </is>
      </c>
      <c r="B4173" s="18" t="n">
        <v>1</v>
      </c>
      <c r="C4173" s="18" t="n">
        <v>2010</v>
      </c>
      <c r="D4173" s="18" t="n">
        <v>2010</v>
      </c>
      <c r="E4173" s="18" t="inlineStr">
        <is>
          <t>Jonah Hex</t>
        </is>
      </c>
      <c r="F4173" s="18" t="inlineStr">
        <is>
          <t>F0173</t>
        </is>
      </c>
    </row>
    <row r="4174" ht="15.75" customHeight="1" s="108">
      <c r="A4174" s="18" t="inlineStr">
        <is>
          <t>T.J. Toups</t>
        </is>
      </c>
      <c r="B4174" s="18" t="n">
        <v>1</v>
      </c>
      <c r="C4174" s="18" t="n">
        <v>2010</v>
      </c>
      <c r="D4174" s="18" t="n">
        <v>2010</v>
      </c>
      <c r="E4174" s="18" t="inlineStr">
        <is>
          <t>Jonah Hex</t>
        </is>
      </c>
      <c r="F4174" s="18" t="inlineStr">
        <is>
          <t>F0173</t>
        </is>
      </c>
    </row>
    <row r="4175" ht="15.75" customHeight="1" s="108">
      <c r="A4175" s="18" t="inlineStr">
        <is>
          <t>Ned Coleman</t>
        </is>
      </c>
      <c r="B4175" s="18" t="n">
        <v>1</v>
      </c>
      <c r="C4175" s="18" t="n">
        <v>2010</v>
      </c>
      <c r="D4175" s="18" t="n">
        <v>2010</v>
      </c>
      <c r="E4175" s="18" t="inlineStr">
        <is>
          <t>Jonah Hex</t>
        </is>
      </c>
      <c r="F4175" s="18" t="inlineStr">
        <is>
          <t>F0173</t>
        </is>
      </c>
    </row>
    <row r="4176" ht="15.75" customHeight="1" s="108">
      <c r="A4176" s="18" t="inlineStr">
        <is>
          <t>John Wirt</t>
        </is>
      </c>
      <c r="B4176" s="18" t="n">
        <v>1</v>
      </c>
      <c r="C4176" s="18" t="n">
        <v>2010</v>
      </c>
      <c r="D4176" s="18" t="n">
        <v>2010</v>
      </c>
      <c r="E4176" s="18" t="inlineStr">
        <is>
          <t>Jonah Hex</t>
        </is>
      </c>
      <c r="F4176" s="18" t="inlineStr">
        <is>
          <t>F0173</t>
        </is>
      </c>
    </row>
    <row r="4177" ht="15.75" customHeight="1" s="108">
      <c r="A4177" s="18" t="inlineStr">
        <is>
          <t>Ty Holland</t>
        </is>
      </c>
      <c r="B4177" s="18" t="n">
        <v>1</v>
      </c>
      <c r="C4177" s="18" t="n">
        <v>2010</v>
      </c>
      <c r="D4177" s="18" t="n">
        <v>2010</v>
      </c>
      <c r="E4177" s="18" t="inlineStr">
        <is>
          <t>Jonah Hex</t>
        </is>
      </c>
      <c r="F4177" s="18" t="inlineStr">
        <is>
          <t>F0173</t>
        </is>
      </c>
    </row>
    <row r="4178" ht="15.75" customHeight="1" s="108">
      <c r="A4178" s="18" t="inlineStr">
        <is>
          <t>J.D. Evermore</t>
        </is>
      </c>
      <c r="B4178" s="18" t="n">
        <v>2</v>
      </c>
      <c r="C4178" s="18" t="n">
        <v>2010</v>
      </c>
      <c r="D4178" s="18" t="n">
        <v>2014</v>
      </c>
      <c r="E4178" s="18" t="inlineStr">
        <is>
          <t>Jonah Hex, Dawn of the Planet of the Apes</t>
        </is>
      </c>
      <c r="F4178" s="18" t="inlineStr">
        <is>
          <t>F0173, F0254</t>
        </is>
      </c>
    </row>
    <row r="4179" ht="15.75" customHeight="1" s="108">
      <c r="A4179" s="18" t="inlineStr">
        <is>
          <t>Scott Staggers</t>
        </is>
      </c>
      <c r="B4179" s="18" t="n">
        <v>1</v>
      </c>
      <c r="C4179" s="18" t="n">
        <v>2010</v>
      </c>
      <c r="D4179" s="18" t="n">
        <v>2010</v>
      </c>
      <c r="E4179" s="18" t="inlineStr">
        <is>
          <t>Jonah Hex</t>
        </is>
      </c>
      <c r="F4179" s="18" t="inlineStr">
        <is>
          <t>F0173</t>
        </is>
      </c>
    </row>
    <row r="4180" ht="15.75" customHeight="1" s="108">
      <c r="A4180" s="18" t="inlineStr">
        <is>
          <t>Jimmy Hayward</t>
        </is>
      </c>
      <c r="B4180" s="18" t="n">
        <v>1</v>
      </c>
      <c r="C4180" s="18" t="n">
        <v>2010</v>
      </c>
      <c r="D4180" s="18" t="n">
        <v>2010</v>
      </c>
      <c r="E4180" s="18" t="inlineStr">
        <is>
          <t>Jonah Hex</t>
        </is>
      </c>
      <c r="F4180" s="18" t="inlineStr">
        <is>
          <t>F0173</t>
        </is>
      </c>
    </row>
    <row r="4181" ht="15.75" customHeight="1" s="108">
      <c r="A4181" s="18" t="inlineStr">
        <is>
          <t>Michael Arnona</t>
        </is>
      </c>
      <c r="B4181" s="18" t="n">
        <v>1</v>
      </c>
      <c r="C4181" s="18" t="n">
        <v>2010</v>
      </c>
      <c r="D4181" s="18" t="n">
        <v>2010</v>
      </c>
      <c r="E4181" s="18" t="inlineStr">
        <is>
          <t>Jonah Hex</t>
        </is>
      </c>
      <c r="F4181" s="18" t="inlineStr">
        <is>
          <t>F0173</t>
        </is>
      </c>
    </row>
    <row r="4182" ht="15.75" customHeight="1" s="108">
      <c r="A4182" s="18" t="inlineStr">
        <is>
          <t>Noel Murano</t>
        </is>
      </c>
      <c r="B4182" s="18" t="n">
        <v>1</v>
      </c>
      <c r="C4182" s="18" t="n">
        <v>2010</v>
      </c>
      <c r="D4182" s="18" t="n">
        <v>2010</v>
      </c>
      <c r="E4182" s="18" t="inlineStr">
        <is>
          <t>Jonah Hex</t>
        </is>
      </c>
      <c r="F4182" s="18" t="inlineStr">
        <is>
          <t>F0173</t>
        </is>
      </c>
    </row>
    <row r="4183" ht="15.75" customHeight="1" s="108">
      <c r="A4183" s="18" t="inlineStr">
        <is>
          <t>Preston Acuff</t>
        </is>
      </c>
      <c r="B4183" s="18" t="n">
        <v>1</v>
      </c>
      <c r="C4183" s="18" t="n">
        <v>2010</v>
      </c>
      <c r="D4183" s="18" t="n">
        <v>2010</v>
      </c>
      <c r="E4183" s="18" t="inlineStr">
        <is>
          <t>Jonah Hex</t>
        </is>
      </c>
      <c r="F4183" s="18" t="inlineStr">
        <is>
          <t>F0173</t>
        </is>
      </c>
    </row>
    <row r="4184" ht="15.75" customHeight="1" s="108">
      <c r="A4184" s="18" t="inlineStr">
        <is>
          <t>Jane Wheeler</t>
        </is>
      </c>
      <c r="B4184" s="18" t="n">
        <v>1</v>
      </c>
      <c r="C4184" s="18" t="n">
        <v>2008</v>
      </c>
      <c r="D4184" s="18" t="n">
        <v>2008</v>
      </c>
      <c r="E4184" s="18" t="inlineStr">
        <is>
          <t>Journey to the Center of the Earth</t>
        </is>
      </c>
      <c r="F4184" s="18" t="inlineStr">
        <is>
          <t>F0174</t>
        </is>
      </c>
    </row>
    <row r="4185" ht="15.75" customHeight="1" s="108">
      <c r="A4185" s="18" t="inlineStr">
        <is>
          <t>Frank Fontaine</t>
        </is>
      </c>
      <c r="B4185" s="18" t="n">
        <v>1</v>
      </c>
      <c r="C4185" s="18" t="n">
        <v>2008</v>
      </c>
      <c r="D4185" s="18" t="n">
        <v>2008</v>
      </c>
      <c r="E4185" s="18" t="inlineStr">
        <is>
          <t>Journey to the Center of the Earth</t>
        </is>
      </c>
      <c r="F4185" s="18" t="inlineStr">
        <is>
          <t>F0174</t>
        </is>
      </c>
    </row>
    <row r="4186" ht="15.75" customHeight="1" s="108">
      <c r="A4186" s="18" t="inlineStr">
        <is>
          <t>Giancarlo Caltabiano</t>
        </is>
      </c>
      <c r="B4186" s="18" t="n">
        <v>1</v>
      </c>
      <c r="C4186" s="18" t="n">
        <v>2008</v>
      </c>
      <c r="D4186" s="18" t="n">
        <v>2008</v>
      </c>
      <c r="E4186" s="18" t="inlineStr">
        <is>
          <t>Journey to the Center of the Earth</t>
        </is>
      </c>
      <c r="F4186" s="18" t="inlineStr">
        <is>
          <t>F0174</t>
        </is>
      </c>
    </row>
    <row r="4187" ht="15.75" customHeight="1" s="108">
      <c r="A4187" s="18" t="inlineStr">
        <is>
          <t>Kaniehtiio Horn</t>
        </is>
      </c>
      <c r="B4187" s="18" t="n">
        <v>1</v>
      </c>
      <c r="C4187" s="18" t="n">
        <v>2008</v>
      </c>
      <c r="D4187" s="18" t="n">
        <v>2008</v>
      </c>
      <c r="E4187" s="18" t="inlineStr">
        <is>
          <t>Journey to the Center of the Earth</t>
        </is>
      </c>
      <c r="F4187" s="18" t="inlineStr">
        <is>
          <t>F0174</t>
        </is>
      </c>
    </row>
    <row r="4188" ht="15.75" customHeight="1" s="108">
      <c r="A4188" s="18" t="inlineStr">
        <is>
          <t>Garth Gilker</t>
        </is>
      </c>
      <c r="B4188" s="18" t="n">
        <v>1</v>
      </c>
      <c r="C4188" s="18" t="n">
        <v>2008</v>
      </c>
      <c r="D4188" s="18" t="n">
        <v>2008</v>
      </c>
      <c r="E4188" s="18" t="inlineStr">
        <is>
          <t>Journey to the Center of the Earth</t>
        </is>
      </c>
      <c r="F4188" s="18" t="inlineStr">
        <is>
          <t>F0174</t>
        </is>
      </c>
    </row>
    <row r="4189" ht="15.75" customHeight="1" s="108">
      <c r="A4189" s="18" t="inlineStr">
        <is>
          <t>AnnaSophia Robb</t>
        </is>
      </c>
      <c r="B4189" s="18" t="n">
        <v>1</v>
      </c>
      <c r="C4189" s="18" t="n">
        <v>2008</v>
      </c>
      <c r="D4189" s="18" t="n">
        <v>2008</v>
      </c>
      <c r="E4189" s="18" t="inlineStr">
        <is>
          <t>Jumper</t>
        </is>
      </c>
      <c r="F4189" s="18" t="inlineStr">
        <is>
          <t>F0175</t>
        </is>
      </c>
    </row>
    <row r="4190" ht="15.75" customHeight="1" s="108">
      <c r="A4190" s="18" t="inlineStr">
        <is>
          <t>Max Thieriot</t>
        </is>
      </c>
      <c r="B4190" s="18" t="n">
        <v>1</v>
      </c>
      <c r="C4190" s="18" t="n">
        <v>2008</v>
      </c>
      <c r="D4190" s="18" t="n">
        <v>2008</v>
      </c>
      <c r="E4190" s="18" t="inlineStr">
        <is>
          <t>Jumper</t>
        </is>
      </c>
      <c r="F4190" s="18" t="inlineStr">
        <is>
          <t>F0175</t>
        </is>
      </c>
    </row>
    <row r="4191" ht="15.75" customHeight="1" s="108">
      <c r="A4191" s="18" t="inlineStr">
        <is>
          <t>Jesse James</t>
        </is>
      </c>
      <c r="B4191" s="18" t="n">
        <v>2</v>
      </c>
      <c r="C4191" s="18" t="n">
        <v>2001</v>
      </c>
      <c r="D4191" s="18" t="n">
        <v>2008</v>
      </c>
      <c r="E4191" s="18" t="inlineStr">
        <is>
          <t>Jumper, Pearl Harbor</t>
        </is>
      </c>
      <c r="F4191" s="18" t="inlineStr">
        <is>
          <t>F0175, F0246</t>
        </is>
      </c>
    </row>
    <row r="4192" ht="15.75" customHeight="1" s="108">
      <c r="A4192" s="18" t="inlineStr">
        <is>
          <t>Tom Hulce</t>
        </is>
      </c>
      <c r="B4192" s="18" t="n">
        <v>1</v>
      </c>
      <c r="C4192" s="18" t="n">
        <v>2008</v>
      </c>
      <c r="D4192" s="18" t="n">
        <v>2008</v>
      </c>
      <c r="E4192" s="18" t="inlineStr">
        <is>
          <t>Jumper</t>
        </is>
      </c>
      <c r="F4192" s="18" t="inlineStr">
        <is>
          <t>F0175</t>
        </is>
      </c>
    </row>
    <row r="4193" ht="15.75" customHeight="1" s="108">
      <c r="A4193" s="18" t="inlineStr">
        <is>
          <t>Teddy Dunn</t>
        </is>
      </c>
      <c r="B4193" s="18" t="n">
        <v>1</v>
      </c>
      <c r="C4193" s="18" t="n">
        <v>2008</v>
      </c>
      <c r="D4193" s="18" t="n">
        <v>2008</v>
      </c>
      <c r="E4193" s="18" t="inlineStr">
        <is>
          <t>Jumper</t>
        </is>
      </c>
      <c r="F4193" s="18" t="inlineStr">
        <is>
          <t>F0175</t>
        </is>
      </c>
    </row>
    <row r="4194" ht="15.75" customHeight="1" s="108">
      <c r="A4194" s="18" t="inlineStr">
        <is>
          <t>Barbara Garrick</t>
        </is>
      </c>
      <c r="B4194" s="18" t="n">
        <v>1</v>
      </c>
      <c r="C4194" s="18" t="n">
        <v>2008</v>
      </c>
      <c r="D4194" s="18" t="n">
        <v>2008</v>
      </c>
      <c r="E4194" s="18" t="inlineStr">
        <is>
          <t>Jumper</t>
        </is>
      </c>
      <c r="F4194" s="18" t="inlineStr">
        <is>
          <t>F0175</t>
        </is>
      </c>
    </row>
    <row r="4195" ht="15.75" customHeight="1" s="108">
      <c r="A4195" s="18" t="inlineStr">
        <is>
          <t>Michael Winther</t>
        </is>
      </c>
      <c r="B4195" s="18" t="n">
        <v>1</v>
      </c>
      <c r="C4195" s="18" t="n">
        <v>2008</v>
      </c>
      <c r="D4195" s="18" t="n">
        <v>2008</v>
      </c>
      <c r="E4195" s="18" t="inlineStr">
        <is>
          <t>Jumper</t>
        </is>
      </c>
      <c r="F4195" s="18" t="inlineStr">
        <is>
          <t>F0175</t>
        </is>
      </c>
    </row>
    <row r="4196" ht="15.75" customHeight="1" s="108">
      <c r="A4196" s="18" t="inlineStr">
        <is>
          <t>Massimiliano Pazzaglia</t>
        </is>
      </c>
      <c r="B4196" s="18" t="n">
        <v>1</v>
      </c>
      <c r="C4196" s="18" t="n">
        <v>2008</v>
      </c>
      <c r="D4196" s="18" t="n">
        <v>2008</v>
      </c>
      <c r="E4196" s="18" t="inlineStr">
        <is>
          <t>Jumper</t>
        </is>
      </c>
      <c r="F4196" s="18" t="inlineStr">
        <is>
          <t>F0175</t>
        </is>
      </c>
    </row>
    <row r="4197" ht="15.75" customHeight="1" s="108">
      <c r="A4197" s="18" t="inlineStr">
        <is>
          <t>Shawn Roberts</t>
        </is>
      </c>
      <c r="B4197" s="18" t="n">
        <v>1</v>
      </c>
      <c r="C4197" s="18" t="n">
        <v>2008</v>
      </c>
      <c r="D4197" s="18" t="n">
        <v>2008</v>
      </c>
      <c r="E4197" s="18" t="inlineStr">
        <is>
          <t>Jumper</t>
        </is>
      </c>
      <c r="F4197" s="18" t="inlineStr">
        <is>
          <t>F0175</t>
        </is>
      </c>
    </row>
    <row r="4198" ht="15.75" customHeight="1" s="108">
      <c r="A4198" s="18" t="inlineStr">
        <is>
          <t>Nathalie Cox</t>
        </is>
      </c>
      <c r="B4198" s="18" t="n">
        <v>1</v>
      </c>
      <c r="C4198" s="18" t="n">
        <v>2008</v>
      </c>
      <c r="D4198" s="18" t="n">
        <v>2008</v>
      </c>
      <c r="E4198" s="18" t="inlineStr">
        <is>
          <t>Jumper</t>
        </is>
      </c>
      <c r="F4198" s="18" t="inlineStr">
        <is>
          <t>F0175</t>
        </is>
      </c>
    </row>
    <row r="4199" ht="15.75" customHeight="1" s="108">
      <c r="A4199" s="18" t="inlineStr">
        <is>
          <t>Meredith Henderson</t>
        </is>
      </c>
      <c r="B4199" s="18" t="n">
        <v>1</v>
      </c>
      <c r="C4199" s="18" t="n">
        <v>2008</v>
      </c>
      <c r="D4199" s="18" t="n">
        <v>2008</v>
      </c>
      <c r="E4199" s="18" t="inlineStr">
        <is>
          <t>Jumper</t>
        </is>
      </c>
      <c r="F4199" s="18" t="inlineStr">
        <is>
          <t>F0175</t>
        </is>
      </c>
    </row>
    <row r="4200" ht="15.75" customHeight="1" s="108">
      <c r="A4200" s="18" t="inlineStr">
        <is>
          <t>Tony Nappo</t>
        </is>
      </c>
      <c r="B4200" s="18" t="n">
        <v>1</v>
      </c>
      <c r="C4200" s="18" t="n">
        <v>2008</v>
      </c>
      <c r="D4200" s="18" t="n">
        <v>2008</v>
      </c>
      <c r="E4200" s="18" t="inlineStr">
        <is>
          <t>Jumper</t>
        </is>
      </c>
      <c r="F4200" s="18" t="inlineStr">
        <is>
          <t>F0175</t>
        </is>
      </c>
    </row>
    <row r="4201" ht="15.75" customHeight="1" s="108">
      <c r="A4201" s="18" t="inlineStr">
        <is>
          <t>Clark Beasley Jr.</t>
        </is>
      </c>
      <c r="B4201" s="18" t="n">
        <v>1</v>
      </c>
      <c r="C4201" s="18" t="n">
        <v>2008</v>
      </c>
      <c r="D4201" s="18" t="n">
        <v>2008</v>
      </c>
      <c r="E4201" s="18" t="inlineStr">
        <is>
          <t>Jumper</t>
        </is>
      </c>
      <c r="F4201" s="18" t="inlineStr">
        <is>
          <t>F0175</t>
        </is>
      </c>
    </row>
    <row r="4202" ht="15.75" customHeight="1" s="108">
      <c r="A4202" s="18" t="inlineStr">
        <is>
          <t>Valentino Visentini</t>
        </is>
      </c>
      <c r="B4202" s="18" t="n">
        <v>1</v>
      </c>
      <c r="C4202" s="18" t="n">
        <v>2008</v>
      </c>
      <c r="D4202" s="18" t="n">
        <v>2008</v>
      </c>
      <c r="E4202" s="18" t="inlineStr">
        <is>
          <t>Jumper</t>
        </is>
      </c>
      <c r="F4202" s="18" t="inlineStr">
        <is>
          <t>F0175</t>
        </is>
      </c>
    </row>
    <row r="4203" ht="15.75" customHeight="1" s="108">
      <c r="A4203" s="18" t="inlineStr">
        <is>
          <t>Angelica Lisk-Hann</t>
        </is>
      </c>
      <c r="B4203" s="18" t="n">
        <v>1</v>
      </c>
      <c r="C4203" s="18" t="n">
        <v>2008</v>
      </c>
      <c r="D4203" s="18" t="n">
        <v>2008</v>
      </c>
      <c r="E4203" s="18" t="inlineStr">
        <is>
          <t>Jumper</t>
        </is>
      </c>
      <c r="F4203" s="18" t="inlineStr">
        <is>
          <t>F0175</t>
        </is>
      </c>
    </row>
    <row r="4204" ht="15.75" customHeight="1" s="108">
      <c r="A4204" s="18" t="inlineStr">
        <is>
          <t>Damir Andrei</t>
        </is>
      </c>
      <c r="B4204" s="18" t="n">
        <v>1</v>
      </c>
      <c r="C4204" s="18" t="n">
        <v>2008</v>
      </c>
      <c r="D4204" s="18" t="n">
        <v>2008</v>
      </c>
      <c r="E4204" s="18" t="inlineStr">
        <is>
          <t>Jumper</t>
        </is>
      </c>
      <c r="F4204" s="18" t="inlineStr">
        <is>
          <t>F0175</t>
        </is>
      </c>
    </row>
    <row r="4205" ht="15.75" customHeight="1" s="108">
      <c r="A4205" s="18" t="inlineStr">
        <is>
          <t>George King</t>
        </is>
      </c>
      <c r="B4205" s="18" t="n">
        <v>1</v>
      </c>
      <c r="C4205" s="18" t="n">
        <v>2008</v>
      </c>
      <c r="D4205" s="18" t="n">
        <v>2008</v>
      </c>
      <c r="E4205" s="18" t="inlineStr">
        <is>
          <t>Jumper</t>
        </is>
      </c>
      <c r="F4205" s="18" t="inlineStr">
        <is>
          <t>F0175</t>
        </is>
      </c>
    </row>
    <row r="4206" ht="15.75" customHeight="1" s="108">
      <c r="A4206" s="18" t="inlineStr">
        <is>
          <t>Simona Lisi</t>
        </is>
      </c>
      <c r="B4206" s="18" t="n">
        <v>1</v>
      </c>
      <c r="C4206" s="18" t="n">
        <v>2008</v>
      </c>
      <c r="D4206" s="18" t="n">
        <v>2008</v>
      </c>
      <c r="E4206" s="18" t="inlineStr">
        <is>
          <t>Jumper</t>
        </is>
      </c>
      <c r="F4206" s="18" t="inlineStr">
        <is>
          <t>F0175</t>
        </is>
      </c>
    </row>
    <row r="4207" ht="15.75" customHeight="1" s="108">
      <c r="A4207" s="18" t="inlineStr">
        <is>
          <t>Matteo Carlomagno</t>
        </is>
      </c>
      <c r="B4207" s="18" t="n">
        <v>1</v>
      </c>
      <c r="C4207" s="18" t="n">
        <v>2008</v>
      </c>
      <c r="D4207" s="18" t="n">
        <v>2008</v>
      </c>
      <c r="E4207" s="18" t="inlineStr">
        <is>
          <t>Jumper</t>
        </is>
      </c>
      <c r="F4207" s="18" t="inlineStr">
        <is>
          <t>F0175</t>
        </is>
      </c>
    </row>
    <row r="4208" ht="15.75" customHeight="1" s="108">
      <c r="A4208" s="18" t="inlineStr">
        <is>
          <t>Fabrizio Bucci</t>
        </is>
      </c>
      <c r="B4208" s="18" t="n">
        <v>1</v>
      </c>
      <c r="C4208" s="18" t="n">
        <v>2008</v>
      </c>
      <c r="D4208" s="18" t="n">
        <v>2008</v>
      </c>
      <c r="E4208" s="18" t="inlineStr">
        <is>
          <t>Jumper</t>
        </is>
      </c>
      <c r="F4208" s="18" t="inlineStr">
        <is>
          <t>F0175</t>
        </is>
      </c>
    </row>
    <row r="4209" ht="15.75" customHeight="1" s="108">
      <c r="A4209" s="18" t="inlineStr">
        <is>
          <t>Giorgio Santangelo</t>
        </is>
      </c>
      <c r="B4209" s="18" t="n">
        <v>1</v>
      </c>
      <c r="C4209" s="18" t="n">
        <v>2008</v>
      </c>
      <c r="D4209" s="18" t="n">
        <v>2008</v>
      </c>
      <c r="E4209" s="18" t="inlineStr">
        <is>
          <t>Jumper</t>
        </is>
      </c>
      <c r="F4209" s="18" t="inlineStr">
        <is>
          <t>F0175</t>
        </is>
      </c>
    </row>
    <row r="4210" ht="15.75" customHeight="1" s="108">
      <c r="A4210" s="18" t="inlineStr">
        <is>
          <t>Marcello Santoni</t>
        </is>
      </c>
      <c r="B4210" s="18" t="n">
        <v>1</v>
      </c>
      <c r="C4210" s="18" t="n">
        <v>2008</v>
      </c>
      <c r="D4210" s="18" t="n">
        <v>2008</v>
      </c>
      <c r="E4210" s="18" t="inlineStr">
        <is>
          <t>Jumper</t>
        </is>
      </c>
      <c r="F4210" s="18" t="inlineStr">
        <is>
          <t>F0175</t>
        </is>
      </c>
    </row>
    <row r="4211" ht="15.75" customHeight="1" s="108">
      <c r="A4211" s="18" t="inlineStr">
        <is>
          <t>Franco Salvatore Di Stefano</t>
        </is>
      </c>
      <c r="B4211" s="18" t="n">
        <v>1</v>
      </c>
      <c r="C4211" s="18" t="n">
        <v>2008</v>
      </c>
      <c r="D4211" s="18" t="n">
        <v>2008</v>
      </c>
      <c r="E4211" s="18" t="inlineStr">
        <is>
          <t>Jumper</t>
        </is>
      </c>
      <c r="F4211" s="18" t="inlineStr">
        <is>
          <t>F0175</t>
        </is>
      </c>
    </row>
    <row r="4212" ht="15.75" customHeight="1" s="108">
      <c r="A4212" s="18" t="inlineStr">
        <is>
          <t>Martin Ferrero</t>
        </is>
      </c>
      <c r="B4212" s="18" t="n">
        <v>1</v>
      </c>
      <c r="C4212" s="18" t="n">
        <v>1993</v>
      </c>
      <c r="D4212" s="18" t="n">
        <v>1993</v>
      </c>
      <c r="E4212" s="18" t="inlineStr">
        <is>
          <t>Jurassic Park</t>
        </is>
      </c>
      <c r="F4212" s="18" t="inlineStr">
        <is>
          <t>F0176</t>
        </is>
      </c>
    </row>
    <row r="4213" ht="15.75" customHeight="1" s="108">
      <c r="A4213" s="18" t="inlineStr">
        <is>
          <t>BD Wong</t>
        </is>
      </c>
      <c r="B4213" s="18" t="n">
        <v>4</v>
      </c>
      <c r="C4213" s="18" t="n">
        <v>1993</v>
      </c>
      <c r="D4213" s="18" t="n">
        <v>2022</v>
      </c>
      <c r="E4213" s="18" t="inlineStr">
        <is>
          <t>Jurassic Park, Jurassic World, Jurassic World: Fallen Kingdom, Jurassic World Dominion</t>
        </is>
      </c>
      <c r="F4213" s="18" t="inlineStr">
        <is>
          <t>F0176, F0179, F0180, F0181</t>
        </is>
      </c>
    </row>
    <row r="4214" ht="15.75" customHeight="1" s="108">
      <c r="A4214" s="18" t="inlineStr">
        <is>
          <t>Ariana Richards</t>
        </is>
      </c>
      <c r="B4214" s="18" t="n">
        <v>2</v>
      </c>
      <c r="C4214" s="18" t="n">
        <v>1993</v>
      </c>
      <c r="D4214" s="18" t="n">
        <v>1997</v>
      </c>
      <c r="E4214" s="18" t="inlineStr">
        <is>
          <t>Jurassic Park, The Lost World: Jurassic Park</t>
        </is>
      </c>
      <c r="F4214" s="18" t="inlineStr">
        <is>
          <t>F0176, F0177</t>
        </is>
      </c>
    </row>
    <row r="4215" ht="15.75" customHeight="1" s="108">
      <c r="A4215" s="18" t="inlineStr">
        <is>
          <t>Gerald R. Molen</t>
        </is>
      </c>
      <c r="B4215" s="18" t="n">
        <v>1</v>
      </c>
      <c r="C4215" s="18" t="n">
        <v>1993</v>
      </c>
      <c r="D4215" s="18" t="n">
        <v>1993</v>
      </c>
      <c r="E4215" s="18" t="inlineStr">
        <is>
          <t>Jurassic Park</t>
        </is>
      </c>
      <c r="F4215" s="18" t="inlineStr">
        <is>
          <t>F0176</t>
        </is>
      </c>
    </row>
    <row r="4216" ht="15.75" customHeight="1" s="108">
      <c r="A4216" s="18" t="inlineStr">
        <is>
          <t>Miguel Sandoval</t>
        </is>
      </c>
      <c r="B4216" s="18" t="n">
        <v>1</v>
      </c>
      <c r="C4216" s="18" t="n">
        <v>1993</v>
      </c>
      <c r="D4216" s="18" t="n">
        <v>1993</v>
      </c>
      <c r="E4216" s="18" t="inlineStr">
        <is>
          <t>Jurassic Park</t>
        </is>
      </c>
      <c r="F4216" s="18" t="inlineStr">
        <is>
          <t>F0176</t>
        </is>
      </c>
    </row>
    <row r="4217" ht="15.75" customHeight="1" s="108">
      <c r="A4217" s="18" t="inlineStr">
        <is>
          <t>Cameron Thor</t>
        </is>
      </c>
      <c r="B4217" s="18" t="n">
        <v>1</v>
      </c>
      <c r="C4217" s="18" t="n">
        <v>1993</v>
      </c>
      <c r="D4217" s="18" t="n">
        <v>1993</v>
      </c>
      <c r="E4217" s="18" t="inlineStr">
        <is>
          <t>Jurassic Park</t>
        </is>
      </c>
      <c r="F4217" s="18" t="inlineStr">
        <is>
          <t>F0176</t>
        </is>
      </c>
    </row>
    <row r="4218" ht="15.75" customHeight="1" s="108">
      <c r="A4218" s="18" t="inlineStr">
        <is>
          <t>Whit Hertford</t>
        </is>
      </c>
      <c r="B4218" s="18" t="n">
        <v>1</v>
      </c>
      <c r="C4218" s="18" t="n">
        <v>1993</v>
      </c>
      <c r="D4218" s="18" t="n">
        <v>1993</v>
      </c>
      <c r="E4218" s="18" t="inlineStr">
        <is>
          <t>Jurassic Park</t>
        </is>
      </c>
      <c r="F4218" s="18" t="inlineStr">
        <is>
          <t>F0176</t>
        </is>
      </c>
    </row>
    <row r="4219" ht="15.75" customHeight="1" s="108">
      <c r="A4219" s="18" t="inlineStr">
        <is>
          <t>Dean Cundey</t>
        </is>
      </c>
      <c r="B4219" s="18" t="n">
        <v>1</v>
      </c>
      <c r="C4219" s="18" t="n">
        <v>1993</v>
      </c>
      <c r="D4219" s="18" t="n">
        <v>1993</v>
      </c>
      <c r="E4219" s="18" t="inlineStr">
        <is>
          <t>Jurassic Park</t>
        </is>
      </c>
      <c r="F4219" s="18" t="inlineStr">
        <is>
          <t>F0176</t>
        </is>
      </c>
    </row>
    <row r="4220" ht="15.75" customHeight="1" s="108">
      <c r="A4220" s="18" t="inlineStr">
        <is>
          <t>Jophery C. Brown</t>
        </is>
      </c>
      <c r="B4220" s="18" t="n">
        <v>1</v>
      </c>
      <c r="C4220" s="18" t="n">
        <v>1993</v>
      </c>
      <c r="D4220" s="18" t="n">
        <v>1993</v>
      </c>
      <c r="E4220" s="18" t="inlineStr">
        <is>
          <t>Jurassic Park</t>
        </is>
      </c>
      <c r="F4220" s="18" t="inlineStr">
        <is>
          <t>F0176</t>
        </is>
      </c>
    </row>
    <row r="4221" ht="15.75" customHeight="1" s="108">
      <c r="A4221" s="18" t="inlineStr">
        <is>
          <t>Tom Mishler</t>
        </is>
      </c>
      <c r="B4221" s="18" t="n">
        <v>1</v>
      </c>
      <c r="C4221" s="18" t="n">
        <v>1993</v>
      </c>
      <c r="D4221" s="18" t="n">
        <v>1993</v>
      </c>
      <c r="E4221" s="18" t="inlineStr">
        <is>
          <t>Jurassic Park</t>
        </is>
      </c>
      <c r="F4221" s="18" t="inlineStr">
        <is>
          <t>F0176</t>
        </is>
      </c>
    </row>
    <row r="4222" ht="15.75" customHeight="1" s="108">
      <c r="A4222" s="18" t="inlineStr">
        <is>
          <t>Greg Burson</t>
        </is>
      </c>
      <c r="B4222" s="18" t="n">
        <v>1</v>
      </c>
      <c r="C4222" s="18" t="n">
        <v>1993</v>
      </c>
      <c r="D4222" s="18" t="n">
        <v>1993</v>
      </c>
      <c r="E4222" s="18" t="inlineStr">
        <is>
          <t>Jurassic Park</t>
        </is>
      </c>
      <c r="F4222" s="18" t="inlineStr">
        <is>
          <t>F0176</t>
        </is>
      </c>
    </row>
    <row r="4223" ht="15.75" customHeight="1" s="108">
      <c r="A4223" s="18" t="inlineStr">
        <is>
          <t>Adrian Escober</t>
        </is>
      </c>
      <c r="B4223" s="18" t="n">
        <v>1</v>
      </c>
      <c r="C4223" s="18" t="n">
        <v>1993</v>
      </c>
      <c r="D4223" s="18" t="n">
        <v>1993</v>
      </c>
      <c r="E4223" s="18" t="inlineStr">
        <is>
          <t>Jurassic Park</t>
        </is>
      </c>
      <c r="F4223" s="18" t="inlineStr">
        <is>
          <t>F0176</t>
        </is>
      </c>
    </row>
    <row r="4224" ht="15.75" customHeight="1" s="108">
      <c r="A4224" s="18" t="inlineStr">
        <is>
          <t>Richard Kiley</t>
        </is>
      </c>
      <c r="B4224" s="18" t="n">
        <v>1</v>
      </c>
      <c r="C4224" s="18" t="n">
        <v>1993</v>
      </c>
      <c r="D4224" s="18" t="n">
        <v>1993</v>
      </c>
      <c r="E4224" s="18" t="inlineStr">
        <is>
          <t>Jurassic Park</t>
        </is>
      </c>
      <c r="F4224" s="18" t="inlineStr">
        <is>
          <t>F0176</t>
        </is>
      </c>
    </row>
    <row r="4225" ht="15.75" customHeight="1" s="108">
      <c r="A4225" s="18" t="inlineStr">
        <is>
          <t>Vanessa Lee Chester</t>
        </is>
      </c>
      <c r="B4225" s="18" t="n">
        <v>1</v>
      </c>
      <c r="C4225" s="18" t="n">
        <v>1997</v>
      </c>
      <c r="D4225" s="18" t="n">
        <v>1997</v>
      </c>
      <c r="E4225" s="18" t="inlineStr">
        <is>
          <t>The Lost World: Jurassic Park</t>
        </is>
      </c>
      <c r="F4225" s="18" t="inlineStr">
        <is>
          <t>F0177</t>
        </is>
      </c>
    </row>
    <row r="4226" ht="15.75" customHeight="1" s="108">
      <c r="A4226" s="18" t="inlineStr">
        <is>
          <t>Harvey Jason</t>
        </is>
      </c>
      <c r="B4226" s="18" t="n">
        <v>1</v>
      </c>
      <c r="C4226" s="18" t="n">
        <v>1997</v>
      </c>
      <c r="D4226" s="18" t="n">
        <v>1997</v>
      </c>
      <c r="E4226" s="18" t="inlineStr">
        <is>
          <t>The Lost World: Jurassic Park</t>
        </is>
      </c>
      <c r="F4226" s="18" t="inlineStr">
        <is>
          <t>F0177</t>
        </is>
      </c>
    </row>
    <row r="4227" ht="15.75" customHeight="1" s="108">
      <c r="A4227" s="18" t="inlineStr">
        <is>
          <t>Richard Schiff</t>
        </is>
      </c>
      <c r="B4227" s="18" t="n">
        <v>2</v>
      </c>
      <c r="C4227" s="18" t="n">
        <v>1997</v>
      </c>
      <c r="D4227" s="18" t="n">
        <v>2013</v>
      </c>
      <c r="E4227" s="18" t="inlineStr">
        <is>
          <t>The Lost World: Jurassic Park, Man of Steel</t>
        </is>
      </c>
      <c r="F4227" s="18" t="inlineStr">
        <is>
          <t>F0177, F0211</t>
        </is>
      </c>
    </row>
    <row r="4228" ht="15.75" customHeight="1" s="108">
      <c r="A4228" s="18" t="inlineStr">
        <is>
          <t>Thomas F. Duffy</t>
        </is>
      </c>
      <c r="B4228" s="18" t="n">
        <v>1</v>
      </c>
      <c r="C4228" s="18" t="n">
        <v>1997</v>
      </c>
      <c r="D4228" s="18" t="n">
        <v>1997</v>
      </c>
      <c r="E4228" s="18" t="inlineStr">
        <is>
          <t>The Lost World: Jurassic Park</t>
        </is>
      </c>
      <c r="F4228" s="18" t="inlineStr">
        <is>
          <t>F0177</t>
        </is>
      </c>
    </row>
    <row r="4229" ht="15.75" customHeight="1" s="108">
      <c r="A4229" s="18" t="inlineStr">
        <is>
          <t>Camilla Belle</t>
        </is>
      </c>
      <c r="B4229" s="18" t="n">
        <v>1</v>
      </c>
      <c r="C4229" s="18" t="n">
        <v>1997</v>
      </c>
      <c r="D4229" s="18" t="n">
        <v>1997</v>
      </c>
      <c r="E4229" s="18" t="inlineStr">
        <is>
          <t>The Lost World: Jurassic Park</t>
        </is>
      </c>
      <c r="F4229" s="18" t="inlineStr">
        <is>
          <t>F0177</t>
        </is>
      </c>
    </row>
    <row r="4230" ht="15.75" customHeight="1" s="108">
      <c r="A4230" s="18" t="inlineStr">
        <is>
          <t>Cyd Strittmatter</t>
        </is>
      </c>
      <c r="B4230" s="18" t="n">
        <v>1</v>
      </c>
      <c r="C4230" s="18" t="n">
        <v>1997</v>
      </c>
      <c r="D4230" s="18" t="n">
        <v>1997</v>
      </c>
      <c r="E4230" s="18" t="inlineStr">
        <is>
          <t>The Lost World: Jurassic Park</t>
        </is>
      </c>
      <c r="F4230" s="18" t="inlineStr">
        <is>
          <t>F0177</t>
        </is>
      </c>
    </row>
    <row r="4231" ht="15.75" customHeight="1" s="108">
      <c r="A4231" s="18" t="inlineStr">
        <is>
          <t>Robin Sachs</t>
        </is>
      </c>
      <c r="B4231" s="18" t="n">
        <v>1</v>
      </c>
      <c r="C4231" s="18" t="n">
        <v>1997</v>
      </c>
      <c r="D4231" s="18" t="n">
        <v>1997</v>
      </c>
      <c r="E4231" s="18" t="inlineStr">
        <is>
          <t>The Lost World: Jurassic Park</t>
        </is>
      </c>
      <c r="F4231" s="18" t="inlineStr">
        <is>
          <t>F0177</t>
        </is>
      </c>
    </row>
    <row r="4232" ht="15.75" customHeight="1" s="108">
      <c r="A4232" s="18" t="inlineStr">
        <is>
          <t>Ross Partridge</t>
        </is>
      </c>
      <c r="B4232" s="18" t="n">
        <v>1</v>
      </c>
      <c r="C4232" s="18" t="n">
        <v>1997</v>
      </c>
      <c r="D4232" s="18" t="n">
        <v>1997</v>
      </c>
      <c r="E4232" s="18" t="inlineStr">
        <is>
          <t>The Lost World: Jurassic Park</t>
        </is>
      </c>
      <c r="F4232" s="18" t="inlineStr">
        <is>
          <t>F0177</t>
        </is>
      </c>
    </row>
    <row r="4233" ht="15.75" customHeight="1" s="108">
      <c r="A4233" s="18" t="inlineStr">
        <is>
          <t>Ian Abercrombie</t>
        </is>
      </c>
      <c r="B4233" s="18" t="n">
        <v>1</v>
      </c>
      <c r="C4233" s="18" t="n">
        <v>1997</v>
      </c>
      <c r="D4233" s="18" t="n">
        <v>1997</v>
      </c>
      <c r="E4233" s="18" t="inlineStr">
        <is>
          <t>The Lost World: Jurassic Park</t>
        </is>
      </c>
      <c r="F4233" s="18" t="inlineStr">
        <is>
          <t>F0177</t>
        </is>
      </c>
    </row>
    <row r="4234" ht="15.75" customHeight="1" s="108">
      <c r="A4234" s="18" t="inlineStr">
        <is>
          <t>David Sawyer</t>
        </is>
      </c>
      <c r="B4234" s="18" t="n">
        <v>1</v>
      </c>
      <c r="C4234" s="18" t="n">
        <v>1997</v>
      </c>
      <c r="D4234" s="18" t="n">
        <v>1997</v>
      </c>
      <c r="E4234" s="18" t="inlineStr">
        <is>
          <t>The Lost World: Jurassic Park</t>
        </is>
      </c>
      <c r="F4234" s="18" t="inlineStr">
        <is>
          <t>F0177</t>
        </is>
      </c>
    </row>
    <row r="4235" ht="15.75" customHeight="1" s="108">
      <c r="A4235" s="18" t="inlineStr">
        <is>
          <t>Geno Silva</t>
        </is>
      </c>
      <c r="B4235" s="18" t="n">
        <v>1</v>
      </c>
      <c r="C4235" s="18" t="n">
        <v>1997</v>
      </c>
      <c r="D4235" s="18" t="n">
        <v>1997</v>
      </c>
      <c r="E4235" s="18" t="inlineStr">
        <is>
          <t>The Lost World: Jurassic Park</t>
        </is>
      </c>
      <c r="F4235" s="18" t="inlineStr">
        <is>
          <t>F0177</t>
        </is>
      </c>
    </row>
    <row r="4236" ht="15.75" customHeight="1" s="108">
      <c r="A4236" s="18" t="inlineStr">
        <is>
          <t>Alejandro Miranda</t>
        </is>
      </c>
      <c r="B4236" s="18" t="n">
        <v>1</v>
      </c>
      <c r="C4236" s="18" t="n">
        <v>1997</v>
      </c>
      <c r="D4236" s="18" t="n">
        <v>1997</v>
      </c>
      <c r="E4236" s="18" t="inlineStr">
        <is>
          <t>The Lost World: Jurassic Park</t>
        </is>
      </c>
      <c r="F4236" s="18" t="inlineStr">
        <is>
          <t>F0177</t>
        </is>
      </c>
    </row>
    <row r="4237" ht="15.75" customHeight="1" s="108">
      <c r="A4237" s="18" t="inlineStr">
        <is>
          <t>Robert 'Bobby Z' Zajonc</t>
        </is>
      </c>
      <c r="B4237" s="18" t="n">
        <v>1</v>
      </c>
      <c r="C4237" s="18" t="n">
        <v>1997</v>
      </c>
      <c r="D4237" s="18" t="n">
        <v>1997</v>
      </c>
      <c r="E4237" s="18" t="inlineStr">
        <is>
          <t>The Lost World: Jurassic Park</t>
        </is>
      </c>
      <c r="F4237" s="18" t="inlineStr">
        <is>
          <t>F0177</t>
        </is>
      </c>
    </row>
    <row r="4238" ht="15.75" customHeight="1" s="108">
      <c r="A4238" s="18" t="inlineStr">
        <is>
          <t>Bob Boehm</t>
        </is>
      </c>
      <c r="B4238" s="18" t="n">
        <v>1</v>
      </c>
      <c r="C4238" s="18" t="n">
        <v>1997</v>
      </c>
      <c r="D4238" s="18" t="n">
        <v>1997</v>
      </c>
      <c r="E4238" s="18" t="inlineStr">
        <is>
          <t>The Lost World: Jurassic Park</t>
        </is>
      </c>
      <c r="F4238" s="18" t="inlineStr">
        <is>
          <t>F0177</t>
        </is>
      </c>
    </row>
    <row r="4239" ht="15.75" customHeight="1" s="108">
      <c r="A4239" s="18" t="inlineStr">
        <is>
          <t>Bradley Jensen</t>
        </is>
      </c>
      <c r="B4239" s="18" t="n">
        <v>1</v>
      </c>
      <c r="C4239" s="18" t="n">
        <v>1997</v>
      </c>
      <c r="D4239" s="18" t="n">
        <v>1997</v>
      </c>
      <c r="E4239" s="18" t="inlineStr">
        <is>
          <t>The Lost World: Jurassic Park</t>
        </is>
      </c>
      <c r="F4239" s="18" t="inlineStr">
        <is>
          <t>F0177</t>
        </is>
      </c>
    </row>
    <row r="4240" ht="15.75" customHeight="1" s="108">
      <c r="A4240" s="18" t="inlineStr">
        <is>
          <t>Alan D. Purwin</t>
        </is>
      </c>
      <c r="B4240" s="18" t="n">
        <v>1</v>
      </c>
      <c r="C4240" s="18" t="n">
        <v>1997</v>
      </c>
      <c r="D4240" s="18" t="n">
        <v>1997</v>
      </c>
      <c r="E4240" s="18" t="inlineStr">
        <is>
          <t>The Lost World: Jurassic Park</t>
        </is>
      </c>
      <c r="F4240" s="18" t="inlineStr">
        <is>
          <t>F0177</t>
        </is>
      </c>
    </row>
    <row r="4241" ht="15.75" customHeight="1" s="108">
      <c r="A4241" s="18" t="inlineStr">
        <is>
          <t>Ben Skorstad</t>
        </is>
      </c>
      <c r="B4241" s="18" t="n">
        <v>1</v>
      </c>
      <c r="C4241" s="18" t="n">
        <v>1997</v>
      </c>
      <c r="D4241" s="18" t="n">
        <v>1997</v>
      </c>
      <c r="E4241" s="18" t="inlineStr">
        <is>
          <t>The Lost World: Jurassic Park</t>
        </is>
      </c>
      <c r="F4241" s="18" t="inlineStr">
        <is>
          <t>F0177</t>
        </is>
      </c>
    </row>
    <row r="4242" ht="15.75" customHeight="1" s="108">
      <c r="A4242" s="18" t="inlineStr">
        <is>
          <t>Rick Wheeler</t>
        </is>
      </c>
      <c r="B4242" s="18" t="n">
        <v>1</v>
      </c>
      <c r="C4242" s="18" t="n">
        <v>1997</v>
      </c>
      <c r="D4242" s="18" t="n">
        <v>1997</v>
      </c>
      <c r="E4242" s="18" t="inlineStr">
        <is>
          <t>The Lost World: Jurassic Park</t>
        </is>
      </c>
      <c r="F4242" s="18" t="inlineStr">
        <is>
          <t>F0177</t>
        </is>
      </c>
    </row>
    <row r="4243" ht="15.75" customHeight="1" s="108">
      <c r="A4243" s="18" t="inlineStr">
        <is>
          <t>Kenyon Williams</t>
        </is>
      </c>
      <c r="B4243" s="18" t="n">
        <v>1</v>
      </c>
      <c r="C4243" s="18" t="n">
        <v>1997</v>
      </c>
      <c r="D4243" s="18" t="n">
        <v>1997</v>
      </c>
      <c r="E4243" s="18" t="inlineStr">
        <is>
          <t>The Lost World: Jurassic Park</t>
        </is>
      </c>
      <c r="F4243" s="18" t="inlineStr">
        <is>
          <t>F0177</t>
        </is>
      </c>
    </row>
    <row r="4244" ht="15.75" customHeight="1" s="108">
      <c r="A4244" s="18" t="inlineStr">
        <is>
          <t>Christopher Caso</t>
        </is>
      </c>
      <c r="B4244" s="18" t="n">
        <v>1</v>
      </c>
      <c r="C4244" s="18" t="n">
        <v>1997</v>
      </c>
      <c r="D4244" s="18" t="n">
        <v>1997</v>
      </c>
      <c r="E4244" s="18" t="inlineStr">
        <is>
          <t>The Lost World: Jurassic Park</t>
        </is>
      </c>
      <c r="F4244" s="18" t="inlineStr">
        <is>
          <t>F0177</t>
        </is>
      </c>
    </row>
    <row r="4245" ht="15.75" customHeight="1" s="108">
      <c r="A4245" s="18" t="inlineStr">
        <is>
          <t>Michael Jeter</t>
        </is>
      </c>
      <c r="B4245" s="18" t="n">
        <v>1</v>
      </c>
      <c r="C4245" s="18" t="n">
        <v>2001</v>
      </c>
      <c r="D4245" s="18" t="n">
        <v>2001</v>
      </c>
      <c r="E4245" s="18" t="inlineStr">
        <is>
          <t>Jurassic Park III</t>
        </is>
      </c>
      <c r="F4245" s="18" t="inlineStr">
        <is>
          <t>F0178</t>
        </is>
      </c>
    </row>
    <row r="4246" ht="15.75" customHeight="1" s="108">
      <c r="A4246" s="18" t="inlineStr">
        <is>
          <t>John Diehl</t>
        </is>
      </c>
      <c r="B4246" s="18" t="n">
        <v>1</v>
      </c>
      <c r="C4246" s="18" t="n">
        <v>2001</v>
      </c>
      <c r="D4246" s="18" t="n">
        <v>2001</v>
      </c>
      <c r="E4246" s="18" t="inlineStr">
        <is>
          <t>Jurassic Park III</t>
        </is>
      </c>
      <c r="F4246" s="18" t="inlineStr">
        <is>
          <t>F0178</t>
        </is>
      </c>
    </row>
    <row r="4247" ht="15.75" customHeight="1" s="108">
      <c r="A4247" s="18" t="inlineStr">
        <is>
          <t>Bruce A. Young</t>
        </is>
      </c>
      <c r="B4247" s="18" t="n">
        <v>1</v>
      </c>
      <c r="C4247" s="18" t="n">
        <v>2001</v>
      </c>
      <c r="D4247" s="18" t="n">
        <v>2001</v>
      </c>
      <c r="E4247" s="18" t="inlineStr">
        <is>
          <t>Jurassic Park III</t>
        </is>
      </c>
      <c r="F4247" s="18" t="inlineStr">
        <is>
          <t>F0178</t>
        </is>
      </c>
    </row>
    <row r="4248" ht="15.75" customHeight="1" s="108">
      <c r="A4248" s="18" t="inlineStr">
        <is>
          <t>Taylor Nichols</t>
        </is>
      </c>
      <c r="B4248" s="18" t="n">
        <v>1</v>
      </c>
      <c r="C4248" s="18" t="n">
        <v>2001</v>
      </c>
      <c r="D4248" s="18" t="n">
        <v>2001</v>
      </c>
      <c r="E4248" s="18" t="inlineStr">
        <is>
          <t>Jurassic Park III</t>
        </is>
      </c>
      <c r="F4248" s="18" t="inlineStr">
        <is>
          <t>F0178</t>
        </is>
      </c>
    </row>
    <row r="4249" ht="15.75" customHeight="1" s="108">
      <c r="A4249" s="18" t="inlineStr">
        <is>
          <t>Mark Harelik</t>
        </is>
      </c>
      <c r="B4249" s="18" t="n">
        <v>1</v>
      </c>
      <c r="C4249" s="18" t="n">
        <v>2001</v>
      </c>
      <c r="D4249" s="18" t="n">
        <v>2001</v>
      </c>
      <c r="E4249" s="18" t="inlineStr">
        <is>
          <t>Jurassic Park III</t>
        </is>
      </c>
      <c r="F4249" s="18" t="inlineStr">
        <is>
          <t>F0178</t>
        </is>
      </c>
    </row>
    <row r="4250" ht="15.75" customHeight="1" s="108">
      <c r="A4250" s="18" t="inlineStr">
        <is>
          <t>Blake Michael Bryan</t>
        </is>
      </c>
      <c r="B4250" s="18" t="n">
        <v>1</v>
      </c>
      <c r="C4250" s="18" t="n">
        <v>2001</v>
      </c>
      <c r="D4250" s="18" t="n">
        <v>2001</v>
      </c>
      <c r="E4250" s="18" t="inlineStr">
        <is>
          <t>Jurassic Park III</t>
        </is>
      </c>
      <c r="F4250" s="18" t="inlineStr">
        <is>
          <t>F0178</t>
        </is>
      </c>
    </row>
    <row r="4251" ht="15.75" customHeight="1" s="108">
      <c r="A4251" s="18" t="inlineStr">
        <is>
          <t>Sarah Danielle Madison</t>
        </is>
      </c>
      <c r="B4251" s="18" t="n">
        <v>1</v>
      </c>
      <c r="C4251" s="18" t="n">
        <v>2001</v>
      </c>
      <c r="D4251" s="18" t="n">
        <v>2001</v>
      </c>
      <c r="E4251" s="18" t="inlineStr">
        <is>
          <t>Jurassic Park III</t>
        </is>
      </c>
      <c r="F4251" s="18" t="inlineStr">
        <is>
          <t>F0178</t>
        </is>
      </c>
    </row>
    <row r="4252" ht="15.75" customHeight="1" s="108">
      <c r="A4252" s="18" t="inlineStr">
        <is>
          <t>Linda Park</t>
        </is>
      </c>
      <c r="B4252" s="18" t="n">
        <v>1</v>
      </c>
      <c r="C4252" s="18" t="n">
        <v>2001</v>
      </c>
      <c r="D4252" s="18" t="n">
        <v>2001</v>
      </c>
      <c r="E4252" s="18" t="inlineStr">
        <is>
          <t>Jurassic Park III</t>
        </is>
      </c>
      <c r="F4252" s="18" t="inlineStr">
        <is>
          <t>F0178</t>
        </is>
      </c>
    </row>
    <row r="4253" ht="15.75" customHeight="1" s="108">
      <c r="A4253" s="18" t="inlineStr">
        <is>
          <t>Sonia Jackson</t>
        </is>
      </c>
      <c r="B4253" s="18" t="n">
        <v>1</v>
      </c>
      <c r="C4253" s="18" t="n">
        <v>2001</v>
      </c>
      <c r="D4253" s="18" t="n">
        <v>2001</v>
      </c>
      <c r="E4253" s="18" t="inlineStr">
        <is>
          <t>Jurassic Park III</t>
        </is>
      </c>
      <c r="F4253" s="18" t="inlineStr">
        <is>
          <t>F0178</t>
        </is>
      </c>
    </row>
    <row r="4254" ht="15.75" customHeight="1" s="108">
      <c r="A4254" s="18" t="inlineStr">
        <is>
          <t>Bruce French</t>
        </is>
      </c>
      <c r="B4254" s="18" t="n">
        <v>2</v>
      </c>
      <c r="C4254" s="18" t="n">
        <v>2001</v>
      </c>
      <c r="D4254" s="18" t="n">
        <v>2006</v>
      </c>
      <c r="E4254" s="18" t="inlineStr">
        <is>
          <t>Jurassic Park III, Mission: Impossible III</t>
        </is>
      </c>
      <c r="F4254" s="18" t="inlineStr">
        <is>
          <t>F0178, F0223</t>
        </is>
      </c>
    </row>
    <row r="4255" ht="15.75" customHeight="1" s="108">
      <c r="A4255" s="18" t="inlineStr">
        <is>
          <t>Bernard Zilinskas</t>
        </is>
      </c>
      <c r="B4255" s="18" t="n">
        <v>1</v>
      </c>
      <c r="C4255" s="18" t="n">
        <v>2001</v>
      </c>
      <c r="D4255" s="18" t="n">
        <v>2001</v>
      </c>
      <c r="E4255" s="18" t="inlineStr">
        <is>
          <t>Jurassic Park III</t>
        </is>
      </c>
      <c r="F4255" s="18" t="inlineStr">
        <is>
          <t>F0178</t>
        </is>
      </c>
    </row>
    <row r="4256" ht="15.75" customHeight="1" s="108">
      <c r="A4256" s="18" t="inlineStr">
        <is>
          <t>Rona Benson</t>
        </is>
      </c>
      <c r="B4256" s="18" t="n">
        <v>1</v>
      </c>
      <c r="C4256" s="18" t="n">
        <v>2001</v>
      </c>
      <c r="D4256" s="18" t="n">
        <v>2001</v>
      </c>
      <c r="E4256" s="18" t="inlineStr">
        <is>
          <t>Jurassic Park III</t>
        </is>
      </c>
      <c r="F4256" s="18" t="inlineStr">
        <is>
          <t>F0178</t>
        </is>
      </c>
    </row>
    <row r="4257" ht="15.75" customHeight="1" s="108">
      <c r="A4257" s="18" t="inlineStr">
        <is>
          <t>Frank Clem</t>
        </is>
      </c>
      <c r="B4257" s="18" t="n">
        <v>1</v>
      </c>
      <c r="C4257" s="18" t="n">
        <v>2001</v>
      </c>
      <c r="D4257" s="18" t="n">
        <v>2001</v>
      </c>
      <c r="E4257" s="18" t="inlineStr">
        <is>
          <t>Jurassic Park III</t>
        </is>
      </c>
      <c r="F4257" s="18" t="inlineStr">
        <is>
          <t>F0178</t>
        </is>
      </c>
    </row>
    <row r="4258" ht="15.75" customHeight="1" s="108">
      <c r="A4258" s="18" t="inlineStr">
        <is>
          <t>Sean Coffey</t>
        </is>
      </c>
      <c r="B4258" s="18" t="n">
        <v>1</v>
      </c>
      <c r="C4258" s="18" t="n">
        <v>2001</v>
      </c>
      <c r="D4258" s="18" t="n">
        <v>2001</v>
      </c>
      <c r="E4258" s="18" t="inlineStr">
        <is>
          <t>Jurassic Park III</t>
        </is>
      </c>
      <c r="F4258" s="18" t="inlineStr">
        <is>
          <t>F0178</t>
        </is>
      </c>
    </row>
    <row r="4259" ht="15.75" customHeight="1" s="108">
      <c r="A4259" s="18" t="inlineStr">
        <is>
          <t>Karin M. Gaarder</t>
        </is>
      </c>
      <c r="B4259" s="18" t="n">
        <v>1</v>
      </c>
      <c r="C4259" s="18" t="n">
        <v>2001</v>
      </c>
      <c r="D4259" s="18" t="n">
        <v>2001</v>
      </c>
      <c r="E4259" s="18" t="inlineStr">
        <is>
          <t>Jurassic Park III</t>
        </is>
      </c>
      <c r="F4259" s="18" t="inlineStr">
        <is>
          <t>F0178</t>
        </is>
      </c>
    </row>
    <row r="4260" ht="15.75" customHeight="1" s="108">
      <c r="A4260" s="18" t="inlineStr">
        <is>
          <t>Edward C. Gillow</t>
        </is>
      </c>
      <c r="B4260" s="18" t="n">
        <v>1</v>
      </c>
      <c r="C4260" s="18" t="n">
        <v>2001</v>
      </c>
      <c r="D4260" s="18" t="n">
        <v>2001</v>
      </c>
      <c r="E4260" s="18" t="inlineStr">
        <is>
          <t>Jurassic Park III</t>
        </is>
      </c>
      <c r="F4260" s="18" t="inlineStr">
        <is>
          <t>F0178</t>
        </is>
      </c>
    </row>
    <row r="4261" ht="15.75" customHeight="1" s="108">
      <c r="A4261" s="18" t="inlineStr">
        <is>
          <t>Craig Richards</t>
        </is>
      </c>
      <c r="B4261" s="18" t="n">
        <v>1</v>
      </c>
      <c r="C4261" s="18" t="n">
        <v>2001</v>
      </c>
      <c r="D4261" s="18" t="n">
        <v>2001</v>
      </c>
      <c r="E4261" s="18" t="inlineStr">
        <is>
          <t>Jurassic Park III</t>
        </is>
      </c>
      <c r="F4261" s="18" t="inlineStr">
        <is>
          <t>F0178</t>
        </is>
      </c>
    </row>
    <row r="4262" ht="15.75" customHeight="1" s="108">
      <c r="A4262" s="18" t="inlineStr">
        <is>
          <t>Brad Everett Young</t>
        </is>
      </c>
      <c r="B4262" s="18" t="n">
        <v>1</v>
      </c>
      <c r="C4262" s="18" t="n">
        <v>2001</v>
      </c>
      <c r="D4262" s="18" t="n">
        <v>2001</v>
      </c>
      <c r="E4262" s="18" t="inlineStr">
        <is>
          <t>Jurassic Park III</t>
        </is>
      </c>
      <c r="F4262" s="18" t="inlineStr">
        <is>
          <t>F0178</t>
        </is>
      </c>
    </row>
    <row r="4263" ht="15.75" customHeight="1" s="108">
      <c r="A4263" s="18" t="inlineStr">
        <is>
          <t>Nick Robinson</t>
        </is>
      </c>
      <c r="B4263" s="18" t="n">
        <v>1</v>
      </c>
      <c r="C4263" s="18" t="n">
        <v>2015</v>
      </c>
      <c r="D4263" s="18" t="n">
        <v>2015</v>
      </c>
      <c r="E4263" s="18" t="inlineStr">
        <is>
          <t>Jurassic World</t>
        </is>
      </c>
      <c r="F4263" s="18" t="inlineStr">
        <is>
          <t>F0179</t>
        </is>
      </c>
    </row>
    <row r="4264" ht="15.75" customHeight="1" s="108">
      <c r="A4264" s="18" t="inlineStr">
        <is>
          <t>Omar Sy</t>
        </is>
      </c>
      <c r="B4264" s="18" t="n">
        <v>3</v>
      </c>
      <c r="C4264" s="18" t="n">
        <v>2014</v>
      </c>
      <c r="D4264" s="18" t="n">
        <v>2022</v>
      </c>
      <c r="E4264" s="18" t="inlineStr">
        <is>
          <t>Jurassic World, Jurassic World Dominion, X-Men: Days of Future Past</t>
        </is>
      </c>
      <c r="F4264" s="18" t="inlineStr">
        <is>
          <t>F0179, F0181, F0341</t>
        </is>
      </c>
    </row>
    <row r="4265" ht="15.75" customHeight="1" s="108">
      <c r="A4265" s="18" t="inlineStr">
        <is>
          <t>Judy Greer</t>
        </is>
      </c>
      <c r="B4265" s="18" t="n">
        <v>3</v>
      </c>
      <c r="C4265" s="18" t="n">
        <v>2014</v>
      </c>
      <c r="D4265" s="18" t="n">
        <v>2017</v>
      </c>
      <c r="E4265" s="18" t="inlineStr">
        <is>
          <t>Jurassic World, Dawn of the Planet of the Apes, War for the Planet of the Apes</t>
        </is>
      </c>
      <c r="F4265" s="18" t="inlineStr">
        <is>
          <t>F0179, F0254, F0255</t>
        </is>
      </c>
    </row>
    <row r="4266" ht="15.75" customHeight="1" s="108">
      <c r="A4266" s="18" t="inlineStr">
        <is>
          <t>Lauren Lapkus</t>
        </is>
      </c>
      <c r="B4266" s="18" t="n">
        <v>1</v>
      </c>
      <c r="C4266" s="18" t="n">
        <v>2015</v>
      </c>
      <c r="D4266" s="18" t="n">
        <v>2015</v>
      </c>
      <c r="E4266" s="18" t="inlineStr">
        <is>
          <t>Jurassic World</t>
        </is>
      </c>
      <c r="F4266" s="18" t="inlineStr">
        <is>
          <t>F0179</t>
        </is>
      </c>
    </row>
    <row r="4267" ht="15.75" customHeight="1" s="108">
      <c r="A4267" s="18" t="inlineStr">
        <is>
          <t>Katie McGrath</t>
        </is>
      </c>
      <c r="B4267" s="18" t="n">
        <v>1</v>
      </c>
      <c r="C4267" s="18" t="n">
        <v>2015</v>
      </c>
      <c r="D4267" s="18" t="n">
        <v>2015</v>
      </c>
      <c r="E4267" s="18" t="inlineStr">
        <is>
          <t>Jurassic World</t>
        </is>
      </c>
      <c r="F4267" s="18" t="inlineStr">
        <is>
          <t>F0179</t>
        </is>
      </c>
    </row>
    <row r="4268" ht="15.75" customHeight="1" s="108">
      <c r="A4268" s="18" t="inlineStr">
        <is>
          <t>Eric Edelstein</t>
        </is>
      </c>
      <c r="B4268" s="18" t="n">
        <v>1</v>
      </c>
      <c r="C4268" s="18" t="n">
        <v>2015</v>
      </c>
      <c r="D4268" s="18" t="n">
        <v>2015</v>
      </c>
      <c r="E4268" s="18" t="inlineStr">
        <is>
          <t>Jurassic World</t>
        </is>
      </c>
      <c r="F4268" s="18" t="inlineStr">
        <is>
          <t>F0179</t>
        </is>
      </c>
    </row>
    <row r="4269" ht="15.75" customHeight="1" s="108">
      <c r="A4269" s="18" t="inlineStr">
        <is>
          <t>Courtney James Clark</t>
        </is>
      </c>
      <c r="B4269" s="18" t="n">
        <v>1</v>
      </c>
      <c r="C4269" s="18" t="n">
        <v>2015</v>
      </c>
      <c r="D4269" s="18" t="n">
        <v>2015</v>
      </c>
      <c r="E4269" s="18" t="inlineStr">
        <is>
          <t>Jurassic World</t>
        </is>
      </c>
      <c r="F4269" s="18" t="inlineStr">
        <is>
          <t>F0179</t>
        </is>
      </c>
    </row>
    <row r="4270" ht="15.75" customHeight="1" s="108">
      <c r="A4270" s="18" t="inlineStr">
        <is>
          <t>Colby Boothman-Shepard</t>
        </is>
      </c>
      <c r="B4270" s="18" t="n">
        <v>1</v>
      </c>
      <c r="C4270" s="18" t="n">
        <v>2015</v>
      </c>
      <c r="D4270" s="18" t="n">
        <v>2015</v>
      </c>
      <c r="E4270" s="18" t="inlineStr">
        <is>
          <t>Jurassic World</t>
        </is>
      </c>
      <c r="F4270" s="18" t="inlineStr">
        <is>
          <t>F0179</t>
        </is>
      </c>
    </row>
    <row r="4271" ht="15.75" customHeight="1" s="108">
      <c r="A4271" s="18" t="inlineStr">
        <is>
          <t>Jimmy Fallon</t>
        </is>
      </c>
      <c r="B4271" s="18" t="n">
        <v>1</v>
      </c>
      <c r="C4271" s="18" t="n">
        <v>2015</v>
      </c>
      <c r="D4271" s="18" t="n">
        <v>2015</v>
      </c>
      <c r="E4271" s="18" t="inlineStr">
        <is>
          <t>Jurassic World</t>
        </is>
      </c>
      <c r="F4271" s="18" t="inlineStr">
        <is>
          <t>F0179</t>
        </is>
      </c>
    </row>
    <row r="4272" ht="15.75" customHeight="1" s="108">
      <c r="A4272" s="18" t="inlineStr">
        <is>
          <t>James DuMont</t>
        </is>
      </c>
      <c r="B4272" s="18" t="n">
        <v>1</v>
      </c>
      <c r="C4272" s="18" t="n">
        <v>2015</v>
      </c>
      <c r="D4272" s="18" t="n">
        <v>2015</v>
      </c>
      <c r="E4272" s="18" t="inlineStr">
        <is>
          <t>Jurassic World</t>
        </is>
      </c>
      <c r="F4272" s="18" t="inlineStr">
        <is>
          <t>F0179</t>
        </is>
      </c>
    </row>
    <row r="4273" ht="15.75" customHeight="1" s="108">
      <c r="A4273" s="18" t="inlineStr">
        <is>
          <t>Matt Burke</t>
        </is>
      </c>
      <c r="B4273" s="18" t="n">
        <v>1</v>
      </c>
      <c r="C4273" s="18" t="n">
        <v>2015</v>
      </c>
      <c r="D4273" s="18" t="n">
        <v>2015</v>
      </c>
      <c r="E4273" s="18" t="inlineStr">
        <is>
          <t>Jurassic World</t>
        </is>
      </c>
      <c r="F4273" s="18" t="inlineStr">
        <is>
          <t>F0179</t>
        </is>
      </c>
    </row>
    <row r="4274" ht="15.75" customHeight="1" s="108">
      <c r="A4274" s="18" t="inlineStr">
        <is>
          <t>Anna Talakkottur</t>
        </is>
      </c>
      <c r="B4274" s="18" t="n">
        <v>1</v>
      </c>
      <c r="C4274" s="18" t="n">
        <v>2015</v>
      </c>
      <c r="D4274" s="18" t="n">
        <v>2015</v>
      </c>
      <c r="E4274" s="18" t="inlineStr">
        <is>
          <t>Jurassic World</t>
        </is>
      </c>
      <c r="F4274" s="18" t="inlineStr">
        <is>
          <t>F0179</t>
        </is>
      </c>
    </row>
    <row r="4275" ht="15.75" customHeight="1" s="108">
      <c r="A4275" s="18" t="inlineStr">
        <is>
          <t>Matty Cardarople</t>
        </is>
      </c>
      <c r="B4275" s="18" t="n">
        <v>1</v>
      </c>
      <c r="C4275" s="18" t="n">
        <v>2015</v>
      </c>
      <c r="D4275" s="18" t="n">
        <v>2015</v>
      </c>
      <c r="E4275" s="18" t="inlineStr">
        <is>
          <t>Jurassic World</t>
        </is>
      </c>
      <c r="F4275" s="18" t="inlineStr">
        <is>
          <t>F0179</t>
        </is>
      </c>
    </row>
    <row r="4276" ht="15.75" customHeight="1" s="108">
      <c r="A4276" s="18" t="inlineStr">
        <is>
          <t>Michael Papajohn</t>
        </is>
      </c>
      <c r="B4276" s="18" t="n">
        <v>6</v>
      </c>
      <c r="C4276" s="18" t="n">
        <v>2002</v>
      </c>
      <c r="D4276" s="18" t="n">
        <v>2015</v>
      </c>
      <c r="E4276" s="18" t="inlineStr">
        <is>
          <t>Jurassic World, Dawn of the Planet of the Apes, Spider-Man, Spider-Man 3, Terminator Salvation, Transformers: Revenge of the Fallen</t>
        </is>
      </c>
      <c r="F4276" s="18" t="inlineStr">
        <is>
          <t>F0179, F0254, F0287, F0289, F0310, F0317</t>
        </is>
      </c>
    </row>
    <row r="4277" ht="15.75" customHeight="1" s="108">
      <c r="A4277" s="18" t="inlineStr">
        <is>
          <t>William Gary Smith</t>
        </is>
      </c>
      <c r="B4277" s="18" t="n">
        <v>1</v>
      </c>
      <c r="C4277" s="18" t="n">
        <v>2015</v>
      </c>
      <c r="D4277" s="18" t="n">
        <v>2015</v>
      </c>
      <c r="E4277" s="18" t="inlineStr">
        <is>
          <t>Jurassic World</t>
        </is>
      </c>
      <c r="F4277" s="18" t="inlineStr">
        <is>
          <t>F0179</t>
        </is>
      </c>
    </row>
    <row r="4278" ht="15.75" customHeight="1" s="108">
      <c r="A4278" s="18" t="inlineStr">
        <is>
          <t>Kelly Washington</t>
        </is>
      </c>
      <c r="B4278" s="18" t="n">
        <v>1</v>
      </c>
      <c r="C4278" s="18" t="n">
        <v>2015</v>
      </c>
      <c r="D4278" s="18" t="n">
        <v>2015</v>
      </c>
      <c r="E4278" s="18" t="inlineStr">
        <is>
          <t>Jurassic World</t>
        </is>
      </c>
      <c r="F4278" s="18" t="inlineStr">
        <is>
          <t>F0179</t>
        </is>
      </c>
    </row>
    <row r="4279" ht="15.75" customHeight="1" s="108">
      <c r="A4279" s="18" t="inlineStr">
        <is>
          <t>Isaac Keys</t>
        </is>
      </c>
      <c r="B4279" s="18" t="n">
        <v>1</v>
      </c>
      <c r="C4279" s="18" t="n">
        <v>2015</v>
      </c>
      <c r="D4279" s="18" t="n">
        <v>2015</v>
      </c>
      <c r="E4279" s="18" t="inlineStr">
        <is>
          <t>Jurassic World</t>
        </is>
      </c>
      <c r="F4279" s="18" t="inlineStr">
        <is>
          <t>F0179</t>
        </is>
      </c>
    </row>
    <row r="4280" ht="15.75" customHeight="1" s="108">
      <c r="A4280" s="18" t="inlineStr">
        <is>
          <t>Bill Ogilvie</t>
        </is>
      </c>
      <c r="B4280" s="18" t="n">
        <v>1</v>
      </c>
      <c r="C4280" s="18" t="n">
        <v>2015</v>
      </c>
      <c r="D4280" s="18" t="n">
        <v>2015</v>
      </c>
      <c r="E4280" s="18" t="inlineStr">
        <is>
          <t>Jurassic World</t>
        </is>
      </c>
      <c r="F4280" s="18" t="inlineStr">
        <is>
          <t>F0179</t>
        </is>
      </c>
    </row>
    <row r="4281" ht="15.75" customHeight="1" s="108">
      <c r="A4281" s="18" t="inlineStr">
        <is>
          <t>Geraldine Chaplin</t>
        </is>
      </c>
      <c r="B4281" s="18" t="n">
        <v>1</v>
      </c>
      <c r="C4281" s="18" t="n">
        <v>2018</v>
      </c>
      <c r="D4281" s="18" t="n">
        <v>2018</v>
      </c>
      <c r="E4281" s="18" t="inlineStr">
        <is>
          <t>Jurassic World: Fallen Kingdom</t>
        </is>
      </c>
      <c r="F4281" s="18" t="inlineStr">
        <is>
          <t>F0180</t>
        </is>
      </c>
    </row>
    <row r="4282" ht="15.75" customHeight="1" s="108">
      <c r="A4282" s="18" t="inlineStr">
        <is>
          <t>Isabella Sermon</t>
        </is>
      </c>
      <c r="B4282" s="18" t="n">
        <v>2</v>
      </c>
      <c r="C4282" s="18" t="n">
        <v>2018</v>
      </c>
      <c r="D4282" s="18" t="n">
        <v>2022</v>
      </c>
      <c r="E4282" s="18" t="inlineStr">
        <is>
          <t>Jurassic World: Fallen Kingdom, Jurassic World Dominion</t>
        </is>
      </c>
      <c r="F4282" s="18" t="inlineStr">
        <is>
          <t>F0180, F0181</t>
        </is>
      </c>
    </row>
    <row r="4283" ht="15.75" customHeight="1" s="108">
      <c r="A4283" s="18" t="inlineStr">
        <is>
          <t>Robert Emms</t>
        </is>
      </c>
      <c r="B4283" s="18" t="n">
        <v>2</v>
      </c>
      <c r="C4283" s="18" t="n">
        <v>2013</v>
      </c>
      <c r="D4283" s="18" t="n">
        <v>2018</v>
      </c>
      <c r="E4283" s="18" t="inlineStr">
        <is>
          <t>Jurassic World: Fallen Kingdom, Kick-Ass 2</t>
        </is>
      </c>
      <c r="F4283" s="18" t="inlineStr">
        <is>
          <t>F0180, F0186</t>
        </is>
      </c>
    </row>
    <row r="4284" ht="15.75" customHeight="1" s="108">
      <c r="A4284" s="18" t="inlineStr">
        <is>
          <t>Peter Jason</t>
        </is>
      </c>
      <c r="B4284" s="18" t="n">
        <v>1</v>
      </c>
      <c r="C4284" s="18" t="n">
        <v>2018</v>
      </c>
      <c r="D4284" s="18" t="n">
        <v>2018</v>
      </c>
      <c r="E4284" s="18" t="inlineStr">
        <is>
          <t>Jurassic World: Fallen Kingdom</t>
        </is>
      </c>
      <c r="F4284" s="18" t="inlineStr">
        <is>
          <t>F0180</t>
        </is>
      </c>
    </row>
    <row r="4285" ht="15.75" customHeight="1" s="108">
      <c r="A4285" s="18" t="inlineStr">
        <is>
          <t>Kevin Layne</t>
        </is>
      </c>
      <c r="B4285" s="18" t="n">
        <v>1</v>
      </c>
      <c r="C4285" s="18" t="n">
        <v>2018</v>
      </c>
      <c r="D4285" s="18" t="n">
        <v>2018</v>
      </c>
      <c r="E4285" s="18" t="inlineStr">
        <is>
          <t>Jurassic World: Fallen Kingdom</t>
        </is>
      </c>
      <c r="F4285" s="18" t="inlineStr">
        <is>
          <t>F0180</t>
        </is>
      </c>
    </row>
    <row r="4286" ht="15.75" customHeight="1" s="108">
      <c r="A4286" s="18" t="inlineStr">
        <is>
          <t>John Schwab</t>
        </is>
      </c>
      <c r="B4286" s="18" t="n">
        <v>2</v>
      </c>
      <c r="C4286" s="18" t="n">
        <v>2012</v>
      </c>
      <c r="D4286" s="18" t="n">
        <v>2018</v>
      </c>
      <c r="E4286" s="18" t="inlineStr">
        <is>
          <t>Jurassic World: Fallen Kingdom, Zero Dark Thirty</t>
        </is>
      </c>
      <c r="F4286" s="18" t="inlineStr">
        <is>
          <t>F0180, F0349</t>
        </is>
      </c>
    </row>
    <row r="4287" ht="15.75" customHeight="1" s="108">
      <c r="A4287" s="18" t="inlineStr">
        <is>
          <t>Charlie Rawes</t>
        </is>
      </c>
      <c r="B4287" s="18" t="n">
        <v>3</v>
      </c>
      <c r="C4287" s="18" t="n">
        <v>2018</v>
      </c>
      <c r="D4287" s="18" t="n">
        <v>2021</v>
      </c>
      <c r="E4287" s="18" t="inlineStr">
        <is>
          <t xml:space="preserve">Jurassic World: Fallen Kingdom, dune, dune </t>
        </is>
      </c>
      <c r="F4287" s="18" t="inlineStr">
        <is>
          <t>F0180, F0367</t>
        </is>
      </c>
    </row>
    <row r="4288" ht="15.75" customHeight="1" s="108">
      <c r="A4288" s="18" t="inlineStr">
        <is>
          <t>Alex Dower</t>
        </is>
      </c>
      <c r="B4288" s="18" t="n">
        <v>1</v>
      </c>
      <c r="C4288" s="18" t="n">
        <v>2018</v>
      </c>
      <c r="D4288" s="18" t="n">
        <v>2018</v>
      </c>
      <c r="E4288" s="18" t="inlineStr">
        <is>
          <t>Jurassic World: Fallen Kingdom</t>
        </is>
      </c>
      <c r="F4288" s="18" t="inlineStr">
        <is>
          <t>F0180</t>
        </is>
      </c>
    </row>
    <row r="4289" ht="15.75" customHeight="1" s="108">
      <c r="A4289" s="18" t="inlineStr">
        <is>
          <t>Honey Holmes</t>
        </is>
      </c>
      <c r="B4289" s="18" t="n">
        <v>1</v>
      </c>
      <c r="C4289" s="18" t="n">
        <v>2018</v>
      </c>
      <c r="D4289" s="18" t="n">
        <v>2018</v>
      </c>
      <c r="E4289" s="18" t="inlineStr">
        <is>
          <t>Jurassic World: Fallen Kingdom</t>
        </is>
      </c>
      <c r="F4289" s="18" t="inlineStr">
        <is>
          <t>F0180</t>
        </is>
      </c>
    </row>
    <row r="4290" ht="15.75" customHeight="1" s="108">
      <c r="A4290" s="18" t="inlineStr">
        <is>
          <t>Neil Bishop</t>
        </is>
      </c>
      <c r="B4290" s="18" t="n">
        <v>1</v>
      </c>
      <c r="C4290" s="18" t="n">
        <v>2018</v>
      </c>
      <c r="D4290" s="18" t="n">
        <v>2018</v>
      </c>
      <c r="E4290" s="18" t="inlineStr">
        <is>
          <t>Jurassic World: Fallen Kingdom</t>
        </is>
      </c>
      <c r="F4290" s="18" t="inlineStr">
        <is>
          <t>F0180</t>
        </is>
      </c>
    </row>
    <row r="4291" ht="15.75" customHeight="1" s="108">
      <c r="A4291" s="18" t="inlineStr">
        <is>
          <t>Philippa Thomas</t>
        </is>
      </c>
      <c r="B4291" s="18" t="n">
        <v>1</v>
      </c>
      <c r="C4291" s="18" t="n">
        <v>2018</v>
      </c>
      <c r="D4291" s="18" t="n">
        <v>2018</v>
      </c>
      <c r="E4291" s="18" t="inlineStr">
        <is>
          <t>Jurassic World: Fallen Kingdom</t>
        </is>
      </c>
      <c r="F4291" s="18" t="inlineStr">
        <is>
          <t>F0180</t>
        </is>
      </c>
    </row>
    <row r="4292" ht="15.75" customHeight="1" s="108">
      <c r="A4292" s="18" t="inlineStr">
        <is>
          <t>Ronan Summers</t>
        </is>
      </c>
      <c r="B4292" s="18" t="n">
        <v>1</v>
      </c>
      <c r="C4292" s="18" t="n">
        <v>2018</v>
      </c>
      <c r="D4292" s="18" t="n">
        <v>2018</v>
      </c>
      <c r="E4292" s="18" t="inlineStr">
        <is>
          <t>Jurassic World: Fallen Kingdom</t>
        </is>
      </c>
      <c r="F4292" s="18" t="inlineStr">
        <is>
          <t>F0180</t>
        </is>
      </c>
    </row>
    <row r="4293" ht="15.75" customHeight="1" s="108">
      <c r="A4293" s="18" t="inlineStr">
        <is>
          <t>Cory Peterson</t>
        </is>
      </c>
      <c r="B4293" s="18" t="n">
        <v>1</v>
      </c>
      <c r="C4293" s="18" t="n">
        <v>2018</v>
      </c>
      <c r="D4293" s="18" t="n">
        <v>2018</v>
      </c>
      <c r="E4293" s="18" t="inlineStr">
        <is>
          <t>Jurassic World: Fallen Kingdom</t>
        </is>
      </c>
      <c r="F4293" s="18" t="inlineStr">
        <is>
          <t>F0180</t>
        </is>
      </c>
    </row>
    <row r="4294" ht="15.75" customHeight="1" s="108">
      <c r="A4294" s="18" t="inlineStr">
        <is>
          <t>Jeremy Gilbert</t>
        </is>
      </c>
      <c r="B4294" s="18" t="n">
        <v>1</v>
      </c>
      <c r="C4294" s="18" t="n">
        <v>2018</v>
      </c>
      <c r="D4294" s="18" t="n">
        <v>2018</v>
      </c>
      <c r="E4294" s="18" t="inlineStr">
        <is>
          <t>Jurassic World: Fallen Kingdom</t>
        </is>
      </c>
      <c r="F4294" s="18" t="inlineStr">
        <is>
          <t>F0180</t>
        </is>
      </c>
    </row>
    <row r="4295" ht="15.75" customHeight="1" s="108">
      <c r="A4295" s="18" t="inlineStr">
        <is>
          <t>Daryl Kwan</t>
        </is>
      </c>
      <c r="B4295" s="18" t="n">
        <v>1</v>
      </c>
      <c r="C4295" s="18" t="n">
        <v>2018</v>
      </c>
      <c r="D4295" s="18" t="n">
        <v>2018</v>
      </c>
      <c r="E4295" s="18" t="inlineStr">
        <is>
          <t>Jurassic World: Fallen Kingdom</t>
        </is>
      </c>
      <c r="F4295" s="18" t="inlineStr">
        <is>
          <t>F0180</t>
        </is>
      </c>
    </row>
    <row r="4296" ht="15.75" customHeight="1" s="108">
      <c r="A4296" s="18" t="inlineStr">
        <is>
          <t>Ben Peel</t>
        </is>
      </c>
      <c r="B4296" s="18" t="n">
        <v>1</v>
      </c>
      <c r="C4296" s="18" t="n">
        <v>2018</v>
      </c>
      <c r="D4296" s="18" t="n">
        <v>2018</v>
      </c>
      <c r="E4296" s="18" t="inlineStr">
        <is>
          <t>Jurassic World: Fallen Kingdom</t>
        </is>
      </c>
      <c r="F4296" s="18" t="inlineStr">
        <is>
          <t>F0180</t>
        </is>
      </c>
    </row>
    <row r="4297" ht="15.75" customHeight="1" s="108">
      <c r="A4297" s="18" t="inlineStr">
        <is>
          <t>DeWanda Wise</t>
        </is>
      </c>
      <c r="B4297" s="18" t="n">
        <v>1</v>
      </c>
      <c r="C4297" s="18" t="n">
        <v>2022</v>
      </c>
      <c r="D4297" s="18" t="n">
        <v>2022</v>
      </c>
      <c r="E4297" s="18" t="inlineStr">
        <is>
          <t>Jurassic World Dominion</t>
        </is>
      </c>
      <c r="F4297" s="18" t="inlineStr">
        <is>
          <t>F0181</t>
        </is>
      </c>
    </row>
    <row r="4298" ht="15.75" customHeight="1" s="108">
      <c r="A4298" s="18" t="inlineStr">
        <is>
          <t>Mamoudou Athie</t>
        </is>
      </c>
      <c r="B4298" s="18" t="n">
        <v>1</v>
      </c>
      <c r="C4298" s="18" t="n">
        <v>2022</v>
      </c>
      <c r="D4298" s="18" t="n">
        <v>2022</v>
      </c>
      <c r="E4298" s="18" t="inlineStr">
        <is>
          <t>Jurassic World Dominion</t>
        </is>
      </c>
      <c r="F4298" s="18" t="inlineStr">
        <is>
          <t>F0181</t>
        </is>
      </c>
    </row>
    <row r="4299" ht="15.75" customHeight="1" s="108">
      <c r="A4299" s="18" t="inlineStr">
        <is>
          <t>Scott Haze</t>
        </is>
      </c>
      <c r="B4299" s="18" t="n">
        <v>1</v>
      </c>
      <c r="C4299" s="18" t="n">
        <v>2022</v>
      </c>
      <c r="D4299" s="18" t="n">
        <v>2022</v>
      </c>
      <c r="E4299" s="18" t="inlineStr">
        <is>
          <t>Jurassic World Dominion</t>
        </is>
      </c>
      <c r="F4299" s="18" t="inlineStr">
        <is>
          <t>F0181</t>
        </is>
      </c>
    </row>
    <row r="4300" ht="15.75" customHeight="1" s="108">
      <c r="A4300" s="18" t="inlineStr">
        <is>
          <t>Dichen Lachman</t>
        </is>
      </c>
      <c r="B4300" s="18" t="n">
        <v>2</v>
      </c>
      <c r="C4300" s="18" t="n">
        <v>2022</v>
      </c>
      <c r="D4300" s="18" t="n">
        <v>2024</v>
      </c>
      <c r="E4300" s="18" t="inlineStr">
        <is>
          <t>Jurassic World Dominion, Kingdom of the Planet of the Apes</t>
        </is>
      </c>
      <c r="F4300" s="18" t="inlineStr">
        <is>
          <t>F0181, F0256</t>
        </is>
      </c>
    </row>
    <row r="4301" ht="15.75" customHeight="1" s="108">
      <c r="A4301" s="18" t="inlineStr">
        <is>
          <t>Kristoffer Polaha</t>
        </is>
      </c>
      <c r="B4301" s="18" t="n">
        <v>1</v>
      </c>
      <c r="C4301" s="18" t="n">
        <v>2022</v>
      </c>
      <c r="D4301" s="18" t="n">
        <v>2022</v>
      </c>
      <c r="E4301" s="18" t="inlineStr">
        <is>
          <t>Jurassic World Dominion</t>
        </is>
      </c>
      <c r="F4301" s="18" t="inlineStr">
        <is>
          <t>F0181</t>
        </is>
      </c>
    </row>
    <row r="4302" ht="15.75" customHeight="1" s="108">
      <c r="A4302" s="18" t="inlineStr">
        <is>
          <t>Caleb Hearon</t>
        </is>
      </c>
      <c r="B4302" s="18" t="n">
        <v>1</v>
      </c>
      <c r="C4302" s="18" t="n">
        <v>2022</v>
      </c>
      <c r="D4302" s="18" t="n">
        <v>2022</v>
      </c>
      <c r="E4302" s="18" t="inlineStr">
        <is>
          <t>Jurassic World Dominion</t>
        </is>
      </c>
      <c r="F4302" s="18" t="inlineStr">
        <is>
          <t>F0181</t>
        </is>
      </c>
    </row>
    <row r="4303" ht="15.75" customHeight="1" s="108">
      <c r="A4303" s="18" t="inlineStr">
        <is>
          <t>Freya Parker</t>
        </is>
      </c>
      <c r="B4303" s="18" t="n">
        <v>2</v>
      </c>
      <c r="C4303" s="18" t="n">
        <v>2022</v>
      </c>
      <c r="D4303" s="18" t="n">
        <v>2023</v>
      </c>
      <c r="E4303" s="18" t="inlineStr">
        <is>
          <t>Jurassic World Dominion, Wonka</t>
        </is>
      </c>
      <c r="F4303" s="18" t="inlineStr">
        <is>
          <t>F0181, F0338</t>
        </is>
      </c>
    </row>
    <row r="4304" ht="15.75" customHeight="1" s="108">
      <c r="A4304" s="18" t="inlineStr">
        <is>
          <t>Alexander Owen</t>
        </is>
      </c>
      <c r="B4304" s="18" t="n">
        <v>1</v>
      </c>
      <c r="C4304" s="18" t="n">
        <v>2022</v>
      </c>
      <c r="D4304" s="18" t="n">
        <v>2022</v>
      </c>
      <c r="E4304" s="18" t="inlineStr">
        <is>
          <t>Jurassic World Dominion</t>
        </is>
      </c>
      <c r="F4304" s="18" t="inlineStr">
        <is>
          <t>F0181</t>
        </is>
      </c>
    </row>
    <row r="4305" ht="15.75" customHeight="1" s="108">
      <c r="A4305" s="18" t="inlineStr">
        <is>
          <t>Ahir Shah</t>
        </is>
      </c>
      <c r="B4305" s="18" t="n">
        <v>1</v>
      </c>
      <c r="C4305" s="18" t="n">
        <v>2022</v>
      </c>
      <c r="D4305" s="18" t="n">
        <v>2022</v>
      </c>
      <c r="E4305" s="18" t="inlineStr">
        <is>
          <t>Jurassic World Dominion</t>
        </is>
      </c>
      <c r="F4305" s="18" t="inlineStr">
        <is>
          <t>F0181</t>
        </is>
      </c>
    </row>
    <row r="4306" ht="15.75" customHeight="1" s="108">
      <c r="A4306" s="18" t="inlineStr">
        <is>
          <t>Elva Trill</t>
        </is>
      </c>
      <c r="B4306" s="18" t="n">
        <v>1</v>
      </c>
      <c r="C4306" s="18" t="n">
        <v>2022</v>
      </c>
      <c r="D4306" s="18" t="n">
        <v>2022</v>
      </c>
      <c r="E4306" s="18" t="inlineStr">
        <is>
          <t>Jurassic World Dominion</t>
        </is>
      </c>
      <c r="F4306" s="18" t="inlineStr">
        <is>
          <t>F0181</t>
        </is>
      </c>
    </row>
    <row r="4307" ht="15.75" customHeight="1" s="108">
      <c r="A4307" s="18" t="inlineStr">
        <is>
          <t>Teresa Cendon-Garcia</t>
        </is>
      </c>
      <c r="B4307" s="18" t="n">
        <v>1</v>
      </c>
      <c r="C4307" s="18" t="n">
        <v>2022</v>
      </c>
      <c r="D4307" s="18" t="n">
        <v>2022</v>
      </c>
      <c r="E4307" s="18" t="inlineStr">
        <is>
          <t>Jurassic World Dominion</t>
        </is>
      </c>
      <c r="F4307" s="18" t="inlineStr">
        <is>
          <t>F0181</t>
        </is>
      </c>
    </row>
    <row r="4308" ht="15.75" customHeight="1" s="108">
      <c r="A4308" s="18" t="inlineStr">
        <is>
          <t>Manuela Mora</t>
        </is>
      </c>
      <c r="B4308" s="18" t="n">
        <v>1</v>
      </c>
      <c r="C4308" s="18" t="n">
        <v>2022</v>
      </c>
      <c r="D4308" s="18" t="n">
        <v>2022</v>
      </c>
      <c r="E4308" s="18" t="inlineStr">
        <is>
          <t>Jurassic World Dominion</t>
        </is>
      </c>
      <c r="F4308" s="18" t="inlineStr">
        <is>
          <t>F0181</t>
        </is>
      </c>
    </row>
    <row r="4309" ht="15.75" customHeight="1" s="108">
      <c r="A4309" s="18" t="inlineStr">
        <is>
          <t>Bastian Antonio Fuentes</t>
        </is>
      </c>
      <c r="B4309" s="18" t="n">
        <v>1</v>
      </c>
      <c r="C4309" s="18" t="n">
        <v>2022</v>
      </c>
      <c r="D4309" s="18" t="n">
        <v>2022</v>
      </c>
      <c r="E4309" s="18" t="inlineStr">
        <is>
          <t>Jurassic World Dominion</t>
        </is>
      </c>
      <c r="F4309" s="18" t="inlineStr">
        <is>
          <t>F0181</t>
        </is>
      </c>
    </row>
    <row r="4310" ht="15.75" customHeight="1" s="108">
      <c r="A4310" s="18" t="inlineStr">
        <is>
          <t>Jasmine Chiu</t>
        </is>
      </c>
      <c r="B4310" s="18" t="n">
        <v>1</v>
      </c>
      <c r="C4310" s="18" t="n">
        <v>2022</v>
      </c>
      <c r="D4310" s="18" t="n">
        <v>2022</v>
      </c>
      <c r="E4310" s="18" t="inlineStr">
        <is>
          <t>Jurassic World Dominion</t>
        </is>
      </c>
      <c r="F4310" s="18" t="inlineStr">
        <is>
          <t>F0181</t>
        </is>
      </c>
    </row>
    <row r="4311" ht="15.75" customHeight="1" s="108">
      <c r="A4311" s="18" t="inlineStr">
        <is>
          <t>Varada Sethu</t>
        </is>
      </c>
      <c r="B4311" s="18" t="n">
        <v>1</v>
      </c>
      <c r="C4311" s="18" t="n">
        <v>2022</v>
      </c>
      <c r="D4311" s="18" t="n">
        <v>2022</v>
      </c>
      <c r="E4311" s="18" t="inlineStr">
        <is>
          <t>Jurassic World Dominion</t>
        </is>
      </c>
      <c r="F4311" s="18" t="inlineStr">
        <is>
          <t>F0181</t>
        </is>
      </c>
    </row>
    <row r="4312" ht="15.75" customHeight="1" s="108">
      <c r="A4312" s="18" t="inlineStr">
        <is>
          <t>Ben Ashenden</t>
        </is>
      </c>
      <c r="B4312" s="18" t="n">
        <v>1</v>
      </c>
      <c r="C4312" s="18" t="n">
        <v>2022</v>
      </c>
      <c r="D4312" s="18" t="n">
        <v>2022</v>
      </c>
      <c r="E4312" s="18" t="inlineStr">
        <is>
          <t>Jurassic World Dominion</t>
        </is>
      </c>
      <c r="F4312" s="18" t="inlineStr">
        <is>
          <t>F0181</t>
        </is>
      </c>
    </row>
    <row r="4313" ht="15.75" customHeight="1" s="108">
      <c r="A4313" s="18" t="inlineStr">
        <is>
          <t>Enzo Squillino Jr.</t>
        </is>
      </c>
      <c r="B4313" s="18" t="n">
        <v>2</v>
      </c>
      <c r="C4313" s="18" t="n">
        <v>2008</v>
      </c>
      <c r="D4313" s="18" t="n">
        <v>2022</v>
      </c>
      <c r="E4313" s="18" t="inlineStr">
        <is>
          <t>Jurassic World Dominion, Mamma Mia!</t>
        </is>
      </c>
      <c r="F4313" s="18" t="inlineStr">
        <is>
          <t>F0181, F0209</t>
        </is>
      </c>
    </row>
    <row r="4314" ht="15.75" customHeight="1" s="108">
      <c r="A4314" s="18" t="inlineStr">
        <is>
          <t>Glynis Davies</t>
        </is>
      </c>
      <c r="B4314" s="18" t="n">
        <v>1</v>
      </c>
      <c r="C4314" s="18" t="n">
        <v>2022</v>
      </c>
      <c r="D4314" s="18" t="n">
        <v>2022</v>
      </c>
      <c r="E4314" s="18" t="inlineStr">
        <is>
          <t>Jurassic World Dominion</t>
        </is>
      </c>
      <c r="F4314" s="18" t="inlineStr">
        <is>
          <t>F0181</t>
        </is>
      </c>
    </row>
    <row r="4315" ht="15.75" customHeight="1" s="108">
      <c r="A4315" s="18" t="inlineStr">
        <is>
          <t>Mo Brings Plenty</t>
        </is>
      </c>
      <c r="B4315" s="18" t="n">
        <v>1</v>
      </c>
      <c r="C4315" s="18" t="n">
        <v>2022</v>
      </c>
      <c r="D4315" s="18" t="n">
        <v>2022</v>
      </c>
      <c r="E4315" s="18" t="inlineStr">
        <is>
          <t>Jurassic World Dominion</t>
        </is>
      </c>
      <c r="F4315" s="18" t="inlineStr">
        <is>
          <t>F0181</t>
        </is>
      </c>
    </row>
    <row r="4316" ht="15.75" customHeight="1" s="108">
      <c r="A4316" s="18" t="inlineStr">
        <is>
          <t>Luna Blaise</t>
        </is>
      </c>
      <c r="B4316" s="18" t="n">
        <v>1</v>
      </c>
      <c r="C4316" s="18" t="n">
        <v>2025</v>
      </c>
      <c r="D4316" s="18" t="n">
        <v>2025</v>
      </c>
      <c r="E4316" s="18" t="inlineStr">
        <is>
          <t>Jurassic World Rebirth</t>
        </is>
      </c>
      <c r="F4316" s="18" t="inlineStr">
        <is>
          <t>F0182</t>
        </is>
      </c>
    </row>
    <row r="4317" ht="15.75" customHeight="1" s="108">
      <c r="A4317" s="18" t="inlineStr">
        <is>
          <t>David Iacono</t>
        </is>
      </c>
      <c r="B4317" s="18" t="n">
        <v>1</v>
      </c>
      <c r="C4317" s="18" t="n">
        <v>2025</v>
      </c>
      <c r="D4317" s="18" t="n">
        <v>2025</v>
      </c>
      <c r="E4317" s="18" t="inlineStr">
        <is>
          <t>Jurassic World Rebirth</t>
        </is>
      </c>
      <c r="F4317" s="18" t="inlineStr">
        <is>
          <t>F0182</t>
        </is>
      </c>
    </row>
    <row r="4318" ht="15.75" customHeight="1" s="108">
      <c r="A4318" s="18" t="inlineStr">
        <is>
          <t>Audrina Miranda</t>
        </is>
      </c>
      <c r="B4318" s="18" t="n">
        <v>1</v>
      </c>
      <c r="C4318" s="18" t="n">
        <v>2025</v>
      </c>
      <c r="D4318" s="18" t="n">
        <v>2025</v>
      </c>
      <c r="E4318" s="18" t="inlineStr">
        <is>
          <t>Jurassic World Rebirth</t>
        </is>
      </c>
      <c r="F4318" s="18" t="inlineStr">
        <is>
          <t>F0182</t>
        </is>
      </c>
    </row>
    <row r="4319" ht="15.75" customHeight="1" s="108">
      <c r="A4319" s="18" t="inlineStr">
        <is>
          <t>Philippine Velge</t>
        </is>
      </c>
      <c r="B4319" s="18" t="n">
        <v>1</v>
      </c>
      <c r="C4319" s="18" t="n">
        <v>2025</v>
      </c>
      <c r="D4319" s="18" t="n">
        <v>2025</v>
      </c>
      <c r="E4319" s="18" t="inlineStr">
        <is>
          <t>Jurassic World Rebirth</t>
        </is>
      </c>
      <c r="F4319" s="18" t="inlineStr">
        <is>
          <t>F0182</t>
        </is>
      </c>
    </row>
    <row r="4320" ht="15.75" customHeight="1" s="108">
      <c r="A4320" s="18" t="inlineStr">
        <is>
          <t>Bechir Sylvain</t>
        </is>
      </c>
      <c r="B4320" s="18" t="n">
        <v>1</v>
      </c>
      <c r="C4320" s="18" t="n">
        <v>2025</v>
      </c>
      <c r="D4320" s="18" t="n">
        <v>2025</v>
      </c>
      <c r="E4320" s="18" t="inlineStr">
        <is>
          <t>Jurassic World Rebirth</t>
        </is>
      </c>
      <c r="F4320" s="18" t="inlineStr">
        <is>
          <t>F0182</t>
        </is>
      </c>
    </row>
    <row r="4321" ht="15.75" customHeight="1" s="108">
      <c r="A4321" s="18" t="inlineStr">
        <is>
          <t>Adam Loxley</t>
        </is>
      </c>
      <c r="B4321" s="18" t="n">
        <v>1</v>
      </c>
      <c r="C4321" s="18" t="n">
        <v>2025</v>
      </c>
      <c r="D4321" s="18" t="n">
        <v>2025</v>
      </c>
      <c r="E4321" s="18" t="inlineStr">
        <is>
          <t>Jurassic World Rebirth</t>
        </is>
      </c>
      <c r="F4321" s="18" t="inlineStr">
        <is>
          <t>F0182</t>
        </is>
      </c>
    </row>
    <row r="4322" ht="15.75" customHeight="1" s="108">
      <c r="A4322" s="18" t="inlineStr">
        <is>
          <t>Niamh Finlay</t>
        </is>
      </c>
      <c r="B4322" s="18" t="n">
        <v>1</v>
      </c>
      <c r="C4322" s="18" t="n">
        <v>2025</v>
      </c>
      <c r="D4322" s="18" t="n">
        <v>2025</v>
      </c>
      <c r="E4322" s="18" t="inlineStr">
        <is>
          <t>Jurassic World Rebirth</t>
        </is>
      </c>
      <c r="F4322" s="18" t="inlineStr">
        <is>
          <t>F0182</t>
        </is>
      </c>
    </row>
    <row r="4323" ht="15.75" customHeight="1" s="108">
      <c r="A4323" s="18" t="inlineStr">
        <is>
          <t>Julian Edgar</t>
        </is>
      </c>
      <c r="B4323" s="18" t="n">
        <v>1</v>
      </c>
      <c r="C4323" s="18" t="n">
        <v>2025</v>
      </c>
      <c r="D4323" s="18" t="n">
        <v>2025</v>
      </c>
      <c r="E4323" s="18" t="inlineStr">
        <is>
          <t>Jurassic World Rebirth</t>
        </is>
      </c>
      <c r="F4323" s="18" t="inlineStr">
        <is>
          <t>F0182</t>
        </is>
      </c>
    </row>
    <row r="4324" ht="15.75" customHeight="1" s="108">
      <c r="A4324" s="18" t="inlineStr">
        <is>
          <t>Lucy Thackeray</t>
        </is>
      </c>
      <c r="B4324" s="18" t="n">
        <v>1</v>
      </c>
      <c r="C4324" s="18" t="n">
        <v>2025</v>
      </c>
      <c r="D4324" s="18" t="n">
        <v>2025</v>
      </c>
      <c r="E4324" s="18" t="inlineStr">
        <is>
          <t>Jurassic World Rebirth</t>
        </is>
      </c>
      <c r="F4324" s="18" t="inlineStr">
        <is>
          <t>F0182</t>
        </is>
      </c>
    </row>
    <row r="4325" ht="15.75" customHeight="1" s="108">
      <c r="A4325" s="18" t="inlineStr">
        <is>
          <t>Jonny Lavelle</t>
        </is>
      </c>
      <c r="B4325" s="18" t="n">
        <v>1</v>
      </c>
      <c r="C4325" s="18" t="n">
        <v>2025</v>
      </c>
      <c r="D4325" s="18" t="n">
        <v>2025</v>
      </c>
      <c r="E4325" s="18" t="inlineStr">
        <is>
          <t>Jurassic World Rebirth</t>
        </is>
      </c>
      <c r="F4325" s="18" t="inlineStr">
        <is>
          <t>F0182</t>
        </is>
      </c>
    </row>
    <row r="4326" ht="15.75" customHeight="1" s="108">
      <c r="A4326" s="18" t="inlineStr">
        <is>
          <t>Bailee Madison</t>
        </is>
      </c>
      <c r="B4326" s="18" t="n">
        <v>1</v>
      </c>
      <c r="C4326" s="18" t="n">
        <v>2011</v>
      </c>
      <c r="D4326" s="18" t="n">
        <v>2011</v>
      </c>
      <c r="E4326" s="18" t="inlineStr">
        <is>
          <t>Just Go with It</t>
        </is>
      </c>
      <c r="F4326" s="18" t="inlineStr">
        <is>
          <t>F0183</t>
        </is>
      </c>
    </row>
    <row r="4327" ht="15.75" customHeight="1" s="108">
      <c r="A4327" s="18" t="inlineStr">
        <is>
          <t>Griffin Gluck</t>
        </is>
      </c>
      <c r="B4327" s="18" t="n">
        <v>1</v>
      </c>
      <c r="C4327" s="18" t="n">
        <v>2011</v>
      </c>
      <c r="D4327" s="18" t="n">
        <v>2011</v>
      </c>
      <c r="E4327" s="18" t="inlineStr">
        <is>
          <t>Just Go with It</t>
        </is>
      </c>
      <c r="F4327" s="18" t="inlineStr">
        <is>
          <t>F0183</t>
        </is>
      </c>
    </row>
    <row r="4328" ht="15.75" customHeight="1" s="108">
      <c r="A4328" s="18" t="inlineStr">
        <is>
          <t>Dave Matthews</t>
        </is>
      </c>
      <c r="B4328" s="18" t="n">
        <v>1</v>
      </c>
      <c r="C4328" s="18" t="n">
        <v>2011</v>
      </c>
      <c r="D4328" s="18" t="n">
        <v>2011</v>
      </c>
      <c r="E4328" s="18" t="inlineStr">
        <is>
          <t>Just Go with It</t>
        </is>
      </c>
      <c r="F4328" s="18" t="inlineStr">
        <is>
          <t>F0183</t>
        </is>
      </c>
    </row>
    <row r="4329" ht="15.75" customHeight="1" s="108">
      <c r="A4329" s="18" t="inlineStr">
        <is>
          <t>Kevin Nealon</t>
        </is>
      </c>
      <c r="B4329" s="18" t="n">
        <v>1</v>
      </c>
      <c r="C4329" s="18" t="n">
        <v>2011</v>
      </c>
      <c r="D4329" s="18" t="n">
        <v>2011</v>
      </c>
      <c r="E4329" s="18" t="inlineStr">
        <is>
          <t>Just Go with It</t>
        </is>
      </c>
      <c r="F4329" s="18" t="inlineStr">
        <is>
          <t>F0183</t>
        </is>
      </c>
    </row>
    <row r="4330" ht="15.75" customHeight="1" s="108">
      <c r="A4330" s="18" t="inlineStr">
        <is>
          <t>Rachel Dratch</t>
        </is>
      </c>
      <c r="B4330" s="18" t="n">
        <v>1</v>
      </c>
      <c r="C4330" s="18" t="n">
        <v>2011</v>
      </c>
      <c r="D4330" s="18" t="n">
        <v>2011</v>
      </c>
      <c r="E4330" s="18" t="inlineStr">
        <is>
          <t>Just Go with It</t>
        </is>
      </c>
      <c r="F4330" s="18" t="inlineStr">
        <is>
          <t>F0183</t>
        </is>
      </c>
    </row>
    <row r="4331" ht="15.75" customHeight="1" s="108">
      <c r="A4331" s="18" t="inlineStr">
        <is>
          <t>Minka Kelly</t>
        </is>
      </c>
      <c r="B4331" s="18" t="n">
        <v>1</v>
      </c>
      <c r="C4331" s="18" t="n">
        <v>2011</v>
      </c>
      <c r="D4331" s="18" t="n">
        <v>2011</v>
      </c>
      <c r="E4331" s="18" t="inlineStr">
        <is>
          <t>Just Go with It</t>
        </is>
      </c>
      <c r="F4331" s="18" t="inlineStr">
        <is>
          <t>F0183</t>
        </is>
      </c>
    </row>
    <row r="4332" ht="15.75" customHeight="1" s="108">
      <c r="A4332" s="18" t="inlineStr">
        <is>
          <t>Jackie Sandler</t>
        </is>
      </c>
      <c r="B4332" s="18" t="n">
        <v>1</v>
      </c>
      <c r="C4332" s="18" t="n">
        <v>2011</v>
      </c>
      <c r="D4332" s="18" t="n">
        <v>2011</v>
      </c>
      <c r="E4332" s="18" t="inlineStr">
        <is>
          <t>Just Go with It</t>
        </is>
      </c>
      <c r="F4332" s="18" t="inlineStr">
        <is>
          <t>F0183</t>
        </is>
      </c>
    </row>
    <row r="4333" ht="15.75" customHeight="1" s="108">
      <c r="A4333" s="18" t="inlineStr">
        <is>
          <t>Rakefet Abergel</t>
        </is>
      </c>
      <c r="B4333" s="18" t="n">
        <v>1</v>
      </c>
      <c r="C4333" s="18" t="n">
        <v>2011</v>
      </c>
      <c r="D4333" s="18" t="n">
        <v>2011</v>
      </c>
      <c r="E4333" s="18" t="inlineStr">
        <is>
          <t>Just Go with It</t>
        </is>
      </c>
      <c r="F4333" s="18" t="inlineStr">
        <is>
          <t>F0183</t>
        </is>
      </c>
    </row>
    <row r="4334" ht="15.75" customHeight="1" s="108">
      <c r="A4334" s="18" t="inlineStr">
        <is>
          <t>Dana Goodman</t>
        </is>
      </c>
      <c r="B4334" s="18" t="n">
        <v>1</v>
      </c>
      <c r="C4334" s="18" t="n">
        <v>2011</v>
      </c>
      <c r="D4334" s="18" t="n">
        <v>2011</v>
      </c>
      <c r="E4334" s="18" t="inlineStr">
        <is>
          <t>Just Go with It</t>
        </is>
      </c>
      <c r="F4334" s="18" t="inlineStr">
        <is>
          <t>F0183</t>
        </is>
      </c>
    </row>
    <row r="4335" ht="15.75" customHeight="1" s="108">
      <c r="A4335" s="18" t="inlineStr">
        <is>
          <t>Julia Lea Wolov</t>
        </is>
      </c>
      <c r="B4335" s="18" t="n">
        <v>1</v>
      </c>
      <c r="C4335" s="18" t="n">
        <v>2011</v>
      </c>
      <c r="D4335" s="18" t="n">
        <v>2011</v>
      </c>
      <c r="E4335" s="18" t="inlineStr">
        <is>
          <t>Just Go with It</t>
        </is>
      </c>
      <c r="F4335" s="18" t="inlineStr">
        <is>
          <t>F0183</t>
        </is>
      </c>
    </row>
    <row r="4336" ht="15.75" customHeight="1" s="108">
      <c r="A4336" s="18" t="inlineStr">
        <is>
          <t>Colby Kline</t>
        </is>
      </c>
      <c r="B4336" s="18" t="n">
        <v>1</v>
      </c>
      <c r="C4336" s="18" t="n">
        <v>2011</v>
      </c>
      <c r="D4336" s="18" t="n">
        <v>2011</v>
      </c>
      <c r="E4336" s="18" t="inlineStr">
        <is>
          <t>Just Go with It</t>
        </is>
      </c>
      <c r="F4336" s="18" t="inlineStr">
        <is>
          <t>F0183</t>
        </is>
      </c>
    </row>
    <row r="4337" ht="15.75" customHeight="1" s="108">
      <c r="A4337" s="18" t="inlineStr">
        <is>
          <t>Jana Sandler</t>
        </is>
      </c>
      <c r="B4337" s="18" t="n">
        <v>1</v>
      </c>
      <c r="C4337" s="18" t="n">
        <v>2011</v>
      </c>
      <c r="D4337" s="18" t="n">
        <v>2011</v>
      </c>
      <c r="E4337" s="18" t="inlineStr">
        <is>
          <t>Just Go with It</t>
        </is>
      </c>
      <c r="F4337" s="18" t="inlineStr">
        <is>
          <t>F0183</t>
        </is>
      </c>
    </row>
    <row r="4338" ht="15.75" customHeight="1" s="108">
      <c r="A4338" s="18" t="inlineStr">
        <is>
          <t>Michael Laskin</t>
        </is>
      </c>
      <c r="B4338" s="18" t="n">
        <v>1</v>
      </c>
      <c r="C4338" s="18" t="n">
        <v>2011</v>
      </c>
      <c r="D4338" s="18" t="n">
        <v>2011</v>
      </c>
      <c r="E4338" s="18" t="inlineStr">
        <is>
          <t>Just Go with It</t>
        </is>
      </c>
      <c r="F4338" s="18" t="inlineStr">
        <is>
          <t>F0183</t>
        </is>
      </c>
    </row>
    <row r="4339" ht="15.75" customHeight="1" s="108">
      <c r="A4339" s="18" t="inlineStr">
        <is>
          <t>Carol Ann Susi</t>
        </is>
      </c>
      <c r="B4339" s="18" t="n">
        <v>1</v>
      </c>
      <c r="C4339" s="18" t="n">
        <v>2011</v>
      </c>
      <c r="D4339" s="18" t="n">
        <v>2011</v>
      </c>
      <c r="E4339" s="18" t="inlineStr">
        <is>
          <t>Just Go with It</t>
        </is>
      </c>
      <c r="F4339" s="18" t="inlineStr">
        <is>
          <t>F0183</t>
        </is>
      </c>
    </row>
    <row r="4340" ht="15.75" customHeight="1" s="108">
      <c r="A4340" s="18" t="inlineStr">
        <is>
          <t>Gene Pompa</t>
        </is>
      </c>
      <c r="B4340" s="18" t="n">
        <v>1</v>
      </c>
      <c r="C4340" s="18" t="n">
        <v>2011</v>
      </c>
      <c r="D4340" s="18" t="n">
        <v>2011</v>
      </c>
      <c r="E4340" s="18" t="inlineStr">
        <is>
          <t>Just Go with It</t>
        </is>
      </c>
      <c r="F4340" s="18" t="inlineStr">
        <is>
          <t>F0183</t>
        </is>
      </c>
    </row>
    <row r="4341" ht="15.75" customHeight="1" s="108">
      <c r="A4341" s="18" t="inlineStr">
        <is>
          <t>Mario Joyner</t>
        </is>
      </c>
      <c r="B4341" s="18" t="n">
        <v>1</v>
      </c>
      <c r="C4341" s="18" t="n">
        <v>2011</v>
      </c>
      <c r="D4341" s="18" t="n">
        <v>2011</v>
      </c>
      <c r="E4341" s="18" t="inlineStr">
        <is>
          <t>Just Go with It</t>
        </is>
      </c>
      <c r="F4341" s="18" t="inlineStr">
        <is>
          <t>F0183</t>
        </is>
      </c>
    </row>
    <row r="4342" ht="15.75" customHeight="1" s="108">
      <c r="A4342" s="18" t="inlineStr">
        <is>
          <t>Heidi Montag</t>
        </is>
      </c>
      <c r="B4342" s="18" t="n">
        <v>1</v>
      </c>
      <c r="C4342" s="18" t="n">
        <v>2011</v>
      </c>
      <c r="D4342" s="18" t="n">
        <v>2011</v>
      </c>
      <c r="E4342" s="18" t="inlineStr">
        <is>
          <t>Just Go with It</t>
        </is>
      </c>
      <c r="F4342" s="18" t="inlineStr">
        <is>
          <t>F0183</t>
        </is>
      </c>
    </row>
    <row r="4343" ht="15.75" customHeight="1" s="108">
      <c r="A4343" s="18" t="inlineStr">
        <is>
          <t>Andy Roddick</t>
        </is>
      </c>
      <c r="B4343" s="18" t="n">
        <v>1</v>
      </c>
      <c r="C4343" s="18" t="n">
        <v>2011</v>
      </c>
      <c r="D4343" s="18" t="n">
        <v>2011</v>
      </c>
      <c r="E4343" s="18" t="inlineStr">
        <is>
          <t>Just Go with It</t>
        </is>
      </c>
      <c r="F4343" s="18" t="inlineStr">
        <is>
          <t>F0183</t>
        </is>
      </c>
    </row>
    <row r="4344" ht="15.75" customHeight="1" s="108">
      <c r="A4344" s="18" t="inlineStr">
        <is>
          <t>Jillian Nelson</t>
        </is>
      </c>
      <c r="B4344" s="18" t="n">
        <v>1</v>
      </c>
      <c r="C4344" s="18" t="n">
        <v>2011</v>
      </c>
      <c r="D4344" s="18" t="n">
        <v>2011</v>
      </c>
      <c r="E4344" s="18" t="inlineStr">
        <is>
          <t>Just Go with It</t>
        </is>
      </c>
      <c r="F4344" s="18" t="inlineStr">
        <is>
          <t>F0183</t>
        </is>
      </c>
    </row>
    <row r="4345" ht="15.75" customHeight="1" s="108">
      <c r="A4345" s="18" t="inlineStr">
        <is>
          <t>Lilian Tapia</t>
        </is>
      </c>
      <c r="B4345" s="18" t="n">
        <v>1</v>
      </c>
      <c r="C4345" s="18" t="n">
        <v>2011</v>
      </c>
      <c r="D4345" s="18" t="n">
        <v>2011</v>
      </c>
      <c r="E4345" s="18" t="inlineStr">
        <is>
          <t>Just Go with It</t>
        </is>
      </c>
      <c r="F4345" s="18" t="inlineStr">
        <is>
          <t>F0183</t>
        </is>
      </c>
    </row>
    <row r="4346" ht="15.75" customHeight="1" s="108">
      <c r="A4346" s="18" t="inlineStr">
        <is>
          <t>Zac Wang</t>
        </is>
      </c>
      <c r="B4346" s="18" t="n">
        <v>1</v>
      </c>
      <c r="C4346" s="18" t="n">
        <v>2010</v>
      </c>
      <c r="D4346" s="18" t="n">
        <v>2010</v>
      </c>
      <c r="E4346" s="18" t="inlineStr">
        <is>
          <t>The Karate Kid</t>
        </is>
      </c>
      <c r="F4346" s="18" t="inlineStr">
        <is>
          <t>F0184</t>
        </is>
      </c>
    </row>
    <row r="4347" ht="15.75" customHeight="1" s="108">
      <c r="A4347" s="18" t="inlineStr">
        <is>
          <t>Yu Rongguang</t>
        </is>
      </c>
      <c r="B4347" s="18" t="n">
        <v>1</v>
      </c>
      <c r="C4347" s="18" t="n">
        <v>2010</v>
      </c>
      <c r="D4347" s="18" t="n">
        <v>2010</v>
      </c>
      <c r="E4347" s="18" t="inlineStr">
        <is>
          <t>The Karate Kid</t>
        </is>
      </c>
      <c r="F4347" s="18" t="inlineStr">
        <is>
          <t>F0184</t>
        </is>
      </c>
    </row>
    <row r="4348" ht="15.75" customHeight="1" s="108">
      <c r="A4348" s="18" t="inlineStr">
        <is>
          <t>Wu Zhensu</t>
        </is>
      </c>
      <c r="B4348" s="18" t="n">
        <v>1</v>
      </c>
      <c r="C4348" s="18" t="n">
        <v>2010</v>
      </c>
      <c r="D4348" s="18" t="n">
        <v>2010</v>
      </c>
      <c r="E4348" s="18" t="inlineStr">
        <is>
          <t>The Karate Kid</t>
        </is>
      </c>
      <c r="F4348" s="18" t="inlineStr">
        <is>
          <t>F0184</t>
        </is>
      </c>
    </row>
    <row r="4349" ht="15.75" customHeight="1" s="108">
      <c r="A4349" s="18" t="inlineStr">
        <is>
          <t>Wang Ji</t>
        </is>
      </c>
      <c r="B4349" s="18" t="n">
        <v>1</v>
      </c>
      <c r="C4349" s="18" t="n">
        <v>2010</v>
      </c>
      <c r="D4349" s="18" t="n">
        <v>2010</v>
      </c>
      <c r="E4349" s="18" t="inlineStr">
        <is>
          <t>The Karate Kid</t>
        </is>
      </c>
      <c r="F4349" s="18" t="inlineStr">
        <is>
          <t>F0184</t>
        </is>
      </c>
    </row>
    <row r="4350" ht="15.75" customHeight="1" s="108">
      <c r="A4350" s="18" t="inlineStr">
        <is>
          <t>Tess Liu</t>
        </is>
      </c>
      <c r="B4350" s="18" t="n">
        <v>1</v>
      </c>
      <c r="C4350" s="18" t="n">
        <v>2010</v>
      </c>
      <c r="D4350" s="18" t="n">
        <v>2010</v>
      </c>
      <c r="E4350" s="18" t="inlineStr">
        <is>
          <t>The Karate Kid</t>
        </is>
      </c>
      <c r="F4350" s="18" t="inlineStr">
        <is>
          <t>F0184</t>
        </is>
      </c>
    </row>
    <row r="4351" ht="15.75" customHeight="1" s="108">
      <c r="A4351" s="18" t="inlineStr">
        <is>
          <t>Xu Ming</t>
        </is>
      </c>
      <c r="B4351" s="18" t="n">
        <v>1</v>
      </c>
      <c r="C4351" s="18" t="n">
        <v>2010</v>
      </c>
      <c r="D4351" s="18" t="n">
        <v>2010</v>
      </c>
      <c r="E4351" s="18" t="inlineStr">
        <is>
          <t>The Karate Kid</t>
        </is>
      </c>
      <c r="F4351" s="18" t="inlineStr">
        <is>
          <t>F0184</t>
        </is>
      </c>
    </row>
    <row r="4352" ht="15.75" customHeight="1" s="108">
      <c r="A4352" s="18" t="inlineStr">
        <is>
          <t>Zhao Yi</t>
        </is>
      </c>
      <c r="B4352" s="18" t="n">
        <v>1</v>
      </c>
      <c r="C4352" s="18" t="n">
        <v>2010</v>
      </c>
      <c r="D4352" s="18" t="n">
        <v>2010</v>
      </c>
      <c r="E4352" s="18" t="inlineStr">
        <is>
          <t>The Karate Kid</t>
        </is>
      </c>
      <c r="F4352" s="18" t="inlineStr">
        <is>
          <t>F0184</t>
        </is>
      </c>
    </row>
    <row r="4353" ht="15.75" customHeight="1" s="108">
      <c r="A4353" s="18" t="inlineStr">
        <is>
          <t>Lü Shijia</t>
        </is>
      </c>
      <c r="B4353" s="18" t="n">
        <v>1</v>
      </c>
      <c r="C4353" s="18" t="n">
        <v>2010</v>
      </c>
      <c r="D4353" s="18" t="n">
        <v>2010</v>
      </c>
      <c r="E4353" s="18" t="inlineStr">
        <is>
          <t>The Karate Kid</t>
        </is>
      </c>
      <c r="F4353" s="18" t="inlineStr">
        <is>
          <t>F0184</t>
        </is>
      </c>
    </row>
    <row r="4354" ht="15.75" customHeight="1" s="108">
      <c r="A4354" s="18" t="inlineStr">
        <is>
          <t>Luke Carberry</t>
        </is>
      </c>
      <c r="B4354" s="18" t="n">
        <v>1</v>
      </c>
      <c r="C4354" s="18" t="n">
        <v>2010</v>
      </c>
      <c r="D4354" s="18" t="n">
        <v>2010</v>
      </c>
      <c r="E4354" s="18" t="inlineStr">
        <is>
          <t>The Karate Kid</t>
        </is>
      </c>
      <c r="F4354" s="18" t="inlineStr">
        <is>
          <t>F0184</t>
        </is>
      </c>
    </row>
    <row r="4355" ht="15.75" customHeight="1" s="108">
      <c r="A4355" s="18" t="inlineStr">
        <is>
          <t>Liang Geliang</t>
        </is>
      </c>
      <c r="B4355" s="18" t="n">
        <v>1</v>
      </c>
      <c r="C4355" s="18" t="n">
        <v>2010</v>
      </c>
      <c r="D4355" s="18" t="n">
        <v>2010</v>
      </c>
      <c r="E4355" s="18" t="inlineStr">
        <is>
          <t>The Karate Kid</t>
        </is>
      </c>
      <c r="F4355" s="18" t="inlineStr">
        <is>
          <t>F0184</t>
        </is>
      </c>
    </row>
    <row r="4356" ht="15.75" customHeight="1" s="108">
      <c r="A4356" s="18" t="inlineStr">
        <is>
          <t>Zhang Bo</t>
        </is>
      </c>
      <c r="B4356" s="18" t="n">
        <v>1</v>
      </c>
      <c r="C4356" s="18" t="n">
        <v>2010</v>
      </c>
      <c r="D4356" s="18" t="n">
        <v>2010</v>
      </c>
      <c r="E4356" s="18" t="inlineStr">
        <is>
          <t>The Karate Kid</t>
        </is>
      </c>
      <c r="F4356" s="18" t="inlineStr">
        <is>
          <t>F0184</t>
        </is>
      </c>
    </row>
    <row r="4357" ht="15.75" customHeight="1" s="108">
      <c r="A4357" s="18" t="inlineStr">
        <is>
          <t>Jared Minns</t>
        </is>
      </c>
      <c r="B4357" s="18" t="n">
        <v>1</v>
      </c>
      <c r="C4357" s="18" t="n">
        <v>2010</v>
      </c>
      <c r="D4357" s="18" t="n">
        <v>2010</v>
      </c>
      <c r="E4357" s="18" t="inlineStr">
        <is>
          <t>The Karate Kid</t>
        </is>
      </c>
      <c r="F4357" s="18" t="inlineStr">
        <is>
          <t>F0184</t>
        </is>
      </c>
    </row>
    <row r="4358" ht="15.75" customHeight="1" s="108">
      <c r="A4358" s="18" t="inlineStr">
        <is>
          <t>Cameron Hillman</t>
        </is>
      </c>
      <c r="B4358" s="18" t="n">
        <v>1</v>
      </c>
      <c r="C4358" s="18" t="n">
        <v>2010</v>
      </c>
      <c r="D4358" s="18" t="n">
        <v>2010</v>
      </c>
      <c r="E4358" s="18" t="inlineStr">
        <is>
          <t>The Karate Kid</t>
        </is>
      </c>
      <c r="F4358" s="18" t="inlineStr">
        <is>
          <t>F0184</t>
        </is>
      </c>
    </row>
    <row r="4359" ht="15.75" customHeight="1" s="108">
      <c r="A4359" s="18" t="inlineStr">
        <is>
          <t>Ghye Samuel Brown</t>
        </is>
      </c>
      <c r="B4359" s="18" t="n">
        <v>1</v>
      </c>
      <c r="C4359" s="18" t="n">
        <v>2010</v>
      </c>
      <c r="D4359" s="18" t="n">
        <v>2010</v>
      </c>
      <c r="E4359" s="18" t="inlineStr">
        <is>
          <t>The Karate Kid</t>
        </is>
      </c>
      <c r="F4359" s="18" t="inlineStr">
        <is>
          <t>F0184</t>
        </is>
      </c>
    </row>
    <row r="4360" ht="15.75" customHeight="1" s="108">
      <c r="A4360" s="18" t="inlineStr">
        <is>
          <t>Zhiheng Wang</t>
        </is>
      </c>
      <c r="B4360" s="18" t="n">
        <v>1</v>
      </c>
      <c r="C4360" s="18" t="n">
        <v>2010</v>
      </c>
      <c r="D4360" s="18" t="n">
        <v>2010</v>
      </c>
      <c r="E4360" s="18" t="inlineStr">
        <is>
          <t>The Karate Kid</t>
        </is>
      </c>
      <c r="F4360" s="18" t="inlineStr">
        <is>
          <t>F0184</t>
        </is>
      </c>
    </row>
    <row r="4361" ht="15.75" customHeight="1" s="108">
      <c r="A4361" s="18" t="inlineStr">
        <is>
          <t>Deborah Twiss</t>
        </is>
      </c>
      <c r="B4361" s="18" t="n">
        <v>1</v>
      </c>
      <c r="C4361" s="18" t="n">
        <v>2010</v>
      </c>
      <c r="D4361" s="18" t="n">
        <v>2010</v>
      </c>
      <c r="E4361" s="18" t="inlineStr">
        <is>
          <t>Kick-Ass</t>
        </is>
      </c>
      <c r="F4361" s="18" t="inlineStr">
        <is>
          <t>F0185</t>
        </is>
      </c>
    </row>
    <row r="4362" ht="15.75" customHeight="1" s="108">
      <c r="A4362" s="18" t="inlineStr">
        <is>
          <t>Xander Berkeley</t>
        </is>
      </c>
      <c r="B4362" s="18" t="n">
        <v>2</v>
      </c>
      <c r="C4362" s="18" t="n">
        <v>2008</v>
      </c>
      <c r="D4362" s="18" t="n">
        <v>2010</v>
      </c>
      <c r="E4362" s="18" t="inlineStr">
        <is>
          <t>Kick-Ass, Taken</t>
        </is>
      </c>
      <c r="F4362" s="18" t="inlineStr">
        <is>
          <t>F0185, F0306</t>
        </is>
      </c>
    </row>
    <row r="4363" ht="15.75" customHeight="1" s="108">
      <c r="A4363" s="18" t="inlineStr">
        <is>
          <t>Garrett M. Brown</t>
        </is>
      </c>
      <c r="B4363" s="18" t="n">
        <v>2</v>
      </c>
      <c r="C4363" s="18" t="n">
        <v>2010</v>
      </c>
      <c r="D4363" s="18" t="n">
        <v>2013</v>
      </c>
      <c r="E4363" s="18" t="inlineStr">
        <is>
          <t>Kick-Ass, Kick-Ass 2</t>
        </is>
      </c>
      <c r="F4363" s="18" t="inlineStr">
        <is>
          <t>F0185, F0186</t>
        </is>
      </c>
    </row>
    <row r="4364" ht="15.75" customHeight="1" s="108">
      <c r="A4364" s="18" t="inlineStr">
        <is>
          <t>Evan Peters</t>
        </is>
      </c>
      <c r="B4364" s="18" t="n">
        <v>4</v>
      </c>
      <c r="C4364" s="18" t="n">
        <v>2010</v>
      </c>
      <c r="D4364" s="18" t="n">
        <v>2022</v>
      </c>
      <c r="E4364" s="18" t="inlineStr">
        <is>
          <t>Kick-Ass, X-Men: Days of Future Past, X-Men: Apocalypse, X-men dark phoenix</t>
        </is>
      </c>
      <c r="F4364" s="18" t="inlineStr">
        <is>
          <t>F0185, F0341, F0342, F0380</t>
        </is>
      </c>
    </row>
    <row r="4365" ht="15.75" customHeight="1" s="108">
      <c r="A4365" s="18" t="inlineStr">
        <is>
          <t>Sophie Wu</t>
        </is>
      </c>
      <c r="B4365" s="18" t="n">
        <v>2</v>
      </c>
      <c r="C4365" s="18" t="n">
        <v>2010</v>
      </c>
      <c r="D4365" s="18" t="n">
        <v>2013</v>
      </c>
      <c r="E4365" s="18" t="inlineStr">
        <is>
          <t>Kick-Ass, Kick-Ass 2</t>
        </is>
      </c>
      <c r="F4365" s="18" t="inlineStr">
        <is>
          <t>F0185, F0186</t>
        </is>
      </c>
    </row>
    <row r="4366" ht="15.75" customHeight="1" s="108">
      <c r="A4366" s="18" t="inlineStr">
        <is>
          <t>Stu 'Large' Riley</t>
        </is>
      </c>
      <c r="B4366" s="18" t="n">
        <v>1</v>
      </c>
      <c r="C4366" s="18" t="n">
        <v>2010</v>
      </c>
      <c r="D4366" s="18" t="n">
        <v>2010</v>
      </c>
      <c r="E4366" s="18" t="inlineStr">
        <is>
          <t>Kick-Ass</t>
        </is>
      </c>
      <c r="F4366" s="18" t="inlineStr">
        <is>
          <t>F0185</t>
        </is>
      </c>
    </row>
    <row r="4367" ht="15.75" customHeight="1" s="108">
      <c r="A4367" s="18" t="inlineStr">
        <is>
          <t>Michael Rispoli</t>
        </is>
      </c>
      <c r="B4367" s="18" t="n">
        <v>1</v>
      </c>
      <c r="C4367" s="18" t="n">
        <v>2010</v>
      </c>
      <c r="D4367" s="18" t="n">
        <v>2010</v>
      </c>
      <c r="E4367" s="18" t="inlineStr">
        <is>
          <t>Kick-Ass</t>
        </is>
      </c>
      <c r="F4367" s="18" t="inlineStr">
        <is>
          <t>F0185</t>
        </is>
      </c>
    </row>
    <row r="4368" ht="15.75" customHeight="1" s="108">
      <c r="A4368" s="18" t="inlineStr">
        <is>
          <t>Kenneth Simmons</t>
        </is>
      </c>
      <c r="B4368" s="18" t="n">
        <v>1</v>
      </c>
      <c r="C4368" s="18" t="n">
        <v>2010</v>
      </c>
      <c r="D4368" s="18" t="n">
        <v>2010</v>
      </c>
      <c r="E4368" s="18" t="inlineStr">
        <is>
          <t>Kick-Ass</t>
        </is>
      </c>
      <c r="F4368" s="18" t="inlineStr">
        <is>
          <t>F0185</t>
        </is>
      </c>
    </row>
    <row r="4369" ht="15.75" customHeight="1" s="108">
      <c r="A4369" s="18" t="inlineStr">
        <is>
          <t>Anthony Desio</t>
        </is>
      </c>
      <c r="B4369" s="18" t="n">
        <v>1</v>
      </c>
      <c r="C4369" s="18" t="n">
        <v>2010</v>
      </c>
      <c r="D4369" s="18" t="n">
        <v>2010</v>
      </c>
      <c r="E4369" s="18" t="inlineStr">
        <is>
          <t>Kick-Ass</t>
        </is>
      </c>
      <c r="F4369" s="18" t="inlineStr">
        <is>
          <t>F0185</t>
        </is>
      </c>
    </row>
    <row r="4370" ht="15.75" customHeight="1" s="108">
      <c r="A4370" s="18" t="inlineStr">
        <is>
          <t>Randall Batinkoff</t>
        </is>
      </c>
      <c r="B4370" s="18" t="n">
        <v>1</v>
      </c>
      <c r="C4370" s="18" t="n">
        <v>2010</v>
      </c>
      <c r="D4370" s="18" t="n">
        <v>2010</v>
      </c>
      <c r="E4370" s="18" t="inlineStr">
        <is>
          <t>Kick-Ass</t>
        </is>
      </c>
      <c r="F4370" s="18" t="inlineStr">
        <is>
          <t>F0185</t>
        </is>
      </c>
    </row>
    <row r="4371" ht="15.75" customHeight="1" s="108">
      <c r="A4371" s="18" t="inlineStr">
        <is>
          <t>Dexter Fletcher</t>
        </is>
      </c>
      <c r="B4371" s="18" t="n">
        <v>1</v>
      </c>
      <c r="C4371" s="18" t="n">
        <v>2010</v>
      </c>
      <c r="D4371" s="18" t="n">
        <v>2010</v>
      </c>
      <c r="E4371" s="18" t="inlineStr">
        <is>
          <t>Kick-Ass</t>
        </is>
      </c>
      <c r="F4371" s="18" t="inlineStr">
        <is>
          <t>F0185</t>
        </is>
      </c>
    </row>
    <row r="4372" ht="15.75" customHeight="1" s="108">
      <c r="A4372" s="18" t="inlineStr">
        <is>
          <t>Yancy Butler</t>
        </is>
      </c>
      <c r="B4372" s="18" t="n">
        <v>2</v>
      </c>
      <c r="C4372" s="18" t="n">
        <v>2010</v>
      </c>
      <c r="D4372" s="18" t="n">
        <v>2013</v>
      </c>
      <c r="E4372" s="18" t="inlineStr">
        <is>
          <t>Kick-Ass, Kick-Ass 2</t>
        </is>
      </c>
      <c r="F4372" s="18" t="inlineStr">
        <is>
          <t>F0185, F0186</t>
        </is>
      </c>
    </row>
    <row r="4373" ht="15.75" customHeight="1" s="108">
      <c r="A4373" s="18" t="inlineStr">
        <is>
          <t>Joe Bacino</t>
        </is>
      </c>
      <c r="B4373" s="18" t="n">
        <v>1</v>
      </c>
      <c r="C4373" s="18" t="n">
        <v>2010</v>
      </c>
      <c r="D4373" s="18" t="n">
        <v>2010</v>
      </c>
      <c r="E4373" s="18" t="inlineStr">
        <is>
          <t>Kick-Ass</t>
        </is>
      </c>
      <c r="F4373" s="18" t="inlineStr">
        <is>
          <t>F0185</t>
        </is>
      </c>
    </row>
    <row r="4374" ht="15.75" customHeight="1" s="108">
      <c r="A4374" s="18" t="inlineStr">
        <is>
          <t>Johnny Hopkins</t>
        </is>
      </c>
      <c r="B4374" s="18" t="n">
        <v>1</v>
      </c>
      <c r="C4374" s="18" t="n">
        <v>2010</v>
      </c>
      <c r="D4374" s="18" t="n">
        <v>2010</v>
      </c>
      <c r="E4374" s="18" t="inlineStr">
        <is>
          <t>Kick-Ass</t>
        </is>
      </c>
      <c r="F4374" s="18" t="inlineStr">
        <is>
          <t>F0185</t>
        </is>
      </c>
    </row>
    <row r="4375" ht="15.75" customHeight="1" s="108">
      <c r="A4375" s="18" t="inlineStr">
        <is>
          <t>Ohene Cornelius</t>
        </is>
      </c>
      <c r="B4375" s="18" t="n">
        <v>1</v>
      </c>
      <c r="C4375" s="18" t="n">
        <v>2010</v>
      </c>
      <c r="D4375" s="18" t="n">
        <v>2010</v>
      </c>
      <c r="E4375" s="18" t="inlineStr">
        <is>
          <t>Kick-Ass</t>
        </is>
      </c>
      <c r="F4375" s="18" t="inlineStr">
        <is>
          <t>F0185</t>
        </is>
      </c>
    </row>
    <row r="4376" ht="15.75" customHeight="1" s="108">
      <c r="A4376" s="18" t="inlineStr">
        <is>
          <t>Carlos Besse Peres</t>
        </is>
      </c>
      <c r="B4376" s="18" t="n">
        <v>1</v>
      </c>
      <c r="C4376" s="18" t="n">
        <v>2010</v>
      </c>
      <c r="D4376" s="18" t="n">
        <v>2010</v>
      </c>
      <c r="E4376" s="18" t="inlineStr">
        <is>
          <t>Kick-Ass</t>
        </is>
      </c>
      <c r="F4376" s="18" t="inlineStr">
        <is>
          <t>F0185</t>
        </is>
      </c>
    </row>
    <row r="4377" ht="15.75" customHeight="1" s="108">
      <c r="A4377" s="18" t="inlineStr">
        <is>
          <t>Russell Bentley</t>
        </is>
      </c>
      <c r="B4377" s="18" t="n">
        <v>1</v>
      </c>
      <c r="C4377" s="18" t="n">
        <v>2010</v>
      </c>
      <c r="D4377" s="18" t="n">
        <v>2010</v>
      </c>
      <c r="E4377" s="18" t="inlineStr">
        <is>
          <t>Kick-Ass</t>
        </is>
      </c>
      <c r="F4377" s="18" t="inlineStr">
        <is>
          <t>F0185</t>
        </is>
      </c>
    </row>
    <row r="4378" ht="15.75" customHeight="1" s="108">
      <c r="A4378" s="18" t="inlineStr">
        <is>
          <t>Iain Glen</t>
        </is>
      </c>
      <c r="B4378" s="18" t="n">
        <v>1</v>
      </c>
      <c r="C4378" s="18" t="n">
        <v>2013</v>
      </c>
      <c r="D4378" s="18" t="n">
        <v>2013</v>
      </c>
      <c r="E4378" s="18" t="inlineStr">
        <is>
          <t>Kick-Ass 2</t>
        </is>
      </c>
      <c r="F4378" s="18" t="inlineStr">
        <is>
          <t>F0186</t>
        </is>
      </c>
    </row>
    <row r="4379" ht="15.75" customHeight="1" s="108">
      <c r="A4379" s="18" t="inlineStr">
        <is>
          <t>Lindy Booth</t>
        </is>
      </c>
      <c r="B4379" s="18" t="n">
        <v>1</v>
      </c>
      <c r="C4379" s="18" t="n">
        <v>2013</v>
      </c>
      <c r="D4379" s="18" t="n">
        <v>2013</v>
      </c>
      <c r="E4379" s="18" t="inlineStr">
        <is>
          <t>Kick-Ass 2</t>
        </is>
      </c>
      <c r="F4379" s="18" t="inlineStr">
        <is>
          <t>F0186</t>
        </is>
      </c>
    </row>
    <row r="4380" ht="15.75" customHeight="1" s="108">
      <c r="A4380" s="18" t="inlineStr">
        <is>
          <t>Morris Chestnut</t>
        </is>
      </c>
      <c r="B4380" s="18" t="n">
        <v>1</v>
      </c>
      <c r="C4380" s="18" t="n">
        <v>2013</v>
      </c>
      <c r="D4380" s="18" t="n">
        <v>2013</v>
      </c>
      <c r="E4380" s="18" t="inlineStr">
        <is>
          <t>Kick-Ass 2</t>
        </is>
      </c>
      <c r="F4380" s="18" t="inlineStr">
        <is>
          <t>F0186</t>
        </is>
      </c>
    </row>
    <row r="4381" ht="15.75" customHeight="1" s="108">
      <c r="A4381" s="18" t="inlineStr">
        <is>
          <t>Donald Faison</t>
        </is>
      </c>
      <c r="B4381" s="18" t="n">
        <v>1</v>
      </c>
      <c r="C4381" s="18" t="n">
        <v>2013</v>
      </c>
      <c r="D4381" s="18" t="n">
        <v>2013</v>
      </c>
      <c r="E4381" s="18" t="inlineStr">
        <is>
          <t>Kick-Ass 2</t>
        </is>
      </c>
      <c r="F4381" s="18" t="inlineStr">
        <is>
          <t>F0186</t>
        </is>
      </c>
    </row>
    <row r="4382" ht="15.75" customHeight="1" s="108">
      <c r="A4382" s="18" t="inlineStr">
        <is>
          <t>Augustus Prew</t>
        </is>
      </c>
      <c r="B4382" s="18" t="n">
        <v>1</v>
      </c>
      <c r="C4382" s="18" t="n">
        <v>2013</v>
      </c>
      <c r="D4382" s="18" t="n">
        <v>2013</v>
      </c>
      <c r="E4382" s="18" t="inlineStr">
        <is>
          <t>Kick-Ass 2</t>
        </is>
      </c>
      <c r="F4382" s="18" t="inlineStr">
        <is>
          <t>F0186</t>
        </is>
      </c>
    </row>
    <row r="4383" ht="15.75" customHeight="1" s="108">
      <c r="A4383" s="18" t="inlineStr">
        <is>
          <t>Daniel Kaluuya</t>
        </is>
      </c>
      <c r="B4383" s="18" t="n">
        <v>1</v>
      </c>
      <c r="C4383" s="18" t="n">
        <v>2013</v>
      </c>
      <c r="D4383" s="18" t="n">
        <v>2013</v>
      </c>
      <c r="E4383" s="18" t="inlineStr">
        <is>
          <t>Kick-Ass 2</t>
        </is>
      </c>
      <c r="F4383" s="18" t="inlineStr">
        <is>
          <t>F0186</t>
        </is>
      </c>
    </row>
    <row r="4384" ht="15.75" customHeight="1" s="108">
      <c r="A4384" s="18" t="inlineStr">
        <is>
          <t>Olga Kurkulina</t>
        </is>
      </c>
      <c r="B4384" s="18" t="n">
        <v>1</v>
      </c>
      <c r="C4384" s="18" t="n">
        <v>2013</v>
      </c>
      <c r="D4384" s="18" t="n">
        <v>2013</v>
      </c>
      <c r="E4384" s="18" t="inlineStr">
        <is>
          <t>Kick-Ass 2</t>
        </is>
      </c>
      <c r="F4384" s="18" t="inlineStr">
        <is>
          <t>F0186</t>
        </is>
      </c>
    </row>
    <row r="4385" ht="15.75" customHeight="1" s="108">
      <c r="A4385" s="18" t="inlineStr">
        <is>
          <t>Claudia Lee</t>
        </is>
      </c>
      <c r="B4385" s="18" t="n">
        <v>1</v>
      </c>
      <c r="C4385" s="18" t="n">
        <v>2013</v>
      </c>
      <c r="D4385" s="18" t="n">
        <v>2013</v>
      </c>
      <c r="E4385" s="18" t="inlineStr">
        <is>
          <t>Kick-Ass 2</t>
        </is>
      </c>
      <c r="F4385" s="18" t="inlineStr">
        <is>
          <t>F0186</t>
        </is>
      </c>
    </row>
    <row r="4386" ht="15.75" customHeight="1" s="108">
      <c r="A4386" s="18" t="inlineStr">
        <is>
          <t>Ella Purnell</t>
        </is>
      </c>
      <c r="B4386" s="18" t="n">
        <v>1</v>
      </c>
      <c r="C4386" s="18" t="n">
        <v>2013</v>
      </c>
      <c r="D4386" s="18" t="n">
        <v>2013</v>
      </c>
      <c r="E4386" s="18" t="inlineStr">
        <is>
          <t>Kick-Ass 2</t>
        </is>
      </c>
      <c r="F4386" s="18" t="inlineStr">
        <is>
          <t>F0186</t>
        </is>
      </c>
    </row>
    <row r="4387" ht="15.75" customHeight="1" s="108">
      <c r="A4387" s="18" t="inlineStr">
        <is>
          <t>Tanyaradzwa Fear</t>
        </is>
      </c>
      <c r="B4387" s="18" t="n">
        <v>1</v>
      </c>
      <c r="C4387" s="18" t="n">
        <v>2013</v>
      </c>
      <c r="D4387" s="18" t="n">
        <v>2013</v>
      </c>
      <c r="E4387" s="18" t="inlineStr">
        <is>
          <t>Kick-Ass 2</t>
        </is>
      </c>
      <c r="F4387" s="18" t="inlineStr">
        <is>
          <t>F0186</t>
        </is>
      </c>
    </row>
    <row r="4388" ht="15.75" customHeight="1" s="108">
      <c r="A4388" s="18" t="inlineStr">
        <is>
          <t>Amy Anzel</t>
        </is>
      </c>
      <c r="B4388" s="18" t="n">
        <v>1</v>
      </c>
      <c r="C4388" s="18" t="n">
        <v>2013</v>
      </c>
      <c r="D4388" s="18" t="n">
        <v>2013</v>
      </c>
      <c r="E4388" s="18" t="inlineStr">
        <is>
          <t>Kick-Ass 2</t>
        </is>
      </c>
      <c r="F4388" s="18" t="inlineStr">
        <is>
          <t>F0186</t>
        </is>
      </c>
    </row>
    <row r="4389" ht="15.75" customHeight="1" s="108">
      <c r="A4389" s="18" t="inlineStr">
        <is>
          <t>Matt Steinberg</t>
        </is>
      </c>
      <c r="B4389" s="18" t="n">
        <v>1</v>
      </c>
      <c r="C4389" s="18" t="n">
        <v>2013</v>
      </c>
      <c r="D4389" s="18" t="n">
        <v>2013</v>
      </c>
      <c r="E4389" s="18" t="inlineStr">
        <is>
          <t>Kick-Ass 2</t>
        </is>
      </c>
      <c r="F4389" s="18" t="inlineStr">
        <is>
          <t>F0186</t>
        </is>
      </c>
    </row>
    <row r="4390" ht="15.75" customHeight="1" s="108">
      <c r="A4390" s="18" t="inlineStr">
        <is>
          <t>Trenyce</t>
        </is>
      </c>
      <c r="B4390" s="18" t="n">
        <v>1</v>
      </c>
      <c r="C4390" s="18" t="n">
        <v>2013</v>
      </c>
      <c r="D4390" s="18" t="n">
        <v>2013</v>
      </c>
      <c r="E4390" s="18" t="inlineStr">
        <is>
          <t>Kick-Ass 2</t>
        </is>
      </c>
      <c r="F4390" s="18" t="inlineStr">
        <is>
          <t>F0186</t>
        </is>
      </c>
    </row>
    <row r="4391" ht="15.75" customHeight="1" s="108">
      <c r="A4391" s="18" t="inlineStr">
        <is>
          <t>Angelica Jopling</t>
        </is>
      </c>
      <c r="B4391" s="18" t="n">
        <v>1</v>
      </c>
      <c r="C4391" s="18" t="n">
        <v>2013</v>
      </c>
      <c r="D4391" s="18" t="n">
        <v>2013</v>
      </c>
      <c r="E4391" s="18" t="inlineStr">
        <is>
          <t>Kick-Ass 2</t>
        </is>
      </c>
      <c r="F4391" s="18" t="inlineStr">
        <is>
          <t>F0186</t>
        </is>
      </c>
    </row>
    <row r="4392" ht="15.75" customHeight="1" s="108">
      <c r="A4392" s="18" t="inlineStr">
        <is>
          <t>Vincent Curatola</t>
        </is>
      </c>
      <c r="B4392" s="18" t="n">
        <v>1</v>
      </c>
      <c r="C4392" s="18" t="n">
        <v>2012</v>
      </c>
      <c r="D4392" s="18" t="n">
        <v>2012</v>
      </c>
      <c r="E4392" s="18" t="inlineStr">
        <is>
          <t>Killing Them Softly</t>
        </is>
      </c>
      <c r="F4392" s="18" t="inlineStr">
        <is>
          <t>F0187</t>
        </is>
      </c>
    </row>
    <row r="4393" ht="15.75" customHeight="1" s="108">
      <c r="A4393" s="18" t="inlineStr">
        <is>
          <t>George Carroll</t>
        </is>
      </c>
      <c r="B4393" s="18" t="n">
        <v>1</v>
      </c>
      <c r="C4393" s="18" t="n">
        <v>2012</v>
      </c>
      <c r="D4393" s="18" t="n">
        <v>2012</v>
      </c>
      <c r="E4393" s="18" t="inlineStr">
        <is>
          <t>Killing Them Softly</t>
        </is>
      </c>
      <c r="F4393" s="18" t="inlineStr">
        <is>
          <t>F0187</t>
        </is>
      </c>
    </row>
    <row r="4394" ht="15.75" customHeight="1" s="108">
      <c r="A4394" s="18" t="inlineStr">
        <is>
          <t>Max Casella</t>
        </is>
      </c>
      <c r="B4394" s="18" t="n">
        <v>1</v>
      </c>
      <c r="C4394" s="18" t="n">
        <v>2012</v>
      </c>
      <c r="D4394" s="18" t="n">
        <v>2012</v>
      </c>
      <c r="E4394" s="18" t="inlineStr">
        <is>
          <t>Killing Them Softly</t>
        </is>
      </c>
      <c r="F4394" s="18" t="inlineStr">
        <is>
          <t>F0187</t>
        </is>
      </c>
    </row>
    <row r="4395" ht="15.75" customHeight="1" s="108">
      <c r="A4395" s="18" t="inlineStr">
        <is>
          <t>Trevor Long</t>
        </is>
      </c>
      <c r="B4395" s="18" t="n">
        <v>1</v>
      </c>
      <c r="C4395" s="18" t="n">
        <v>2012</v>
      </c>
      <c r="D4395" s="18" t="n">
        <v>2012</v>
      </c>
      <c r="E4395" s="18" t="inlineStr">
        <is>
          <t>Killing Them Softly</t>
        </is>
      </c>
      <c r="F4395" s="18" t="inlineStr">
        <is>
          <t>F0187</t>
        </is>
      </c>
    </row>
    <row r="4396" ht="15.75" customHeight="1" s="108">
      <c r="A4396" s="18" t="inlineStr">
        <is>
          <t>Linara Washington</t>
        </is>
      </c>
      <c r="B4396" s="18" t="n">
        <v>1</v>
      </c>
      <c r="C4396" s="18" t="n">
        <v>2012</v>
      </c>
      <c r="D4396" s="18" t="n">
        <v>2012</v>
      </c>
      <c r="E4396" s="18" t="inlineStr">
        <is>
          <t>Killing Them Softly</t>
        </is>
      </c>
      <c r="F4396" s="18" t="inlineStr">
        <is>
          <t>F0187</t>
        </is>
      </c>
    </row>
    <row r="4397" ht="15.75" customHeight="1" s="108">
      <c r="A4397" s="18" t="inlineStr">
        <is>
          <t>Ross Brodar</t>
        </is>
      </c>
      <c r="B4397" s="18" t="n">
        <v>1</v>
      </c>
      <c r="C4397" s="18" t="n">
        <v>2012</v>
      </c>
      <c r="D4397" s="18" t="n">
        <v>2012</v>
      </c>
      <c r="E4397" s="18" t="inlineStr">
        <is>
          <t>Killing Them Softly</t>
        </is>
      </c>
      <c r="F4397" s="18" t="inlineStr">
        <is>
          <t>F0187</t>
        </is>
      </c>
    </row>
    <row r="4398" ht="15.75" customHeight="1" s="108">
      <c r="A4398" s="18" t="inlineStr">
        <is>
          <t>Wade Allen</t>
        </is>
      </c>
      <c r="B4398" s="18" t="n">
        <v>1</v>
      </c>
      <c r="C4398" s="18" t="n">
        <v>2012</v>
      </c>
      <c r="D4398" s="18" t="n">
        <v>2012</v>
      </c>
      <c r="E4398" s="18" t="inlineStr">
        <is>
          <t>Killing Them Softly</t>
        </is>
      </c>
      <c r="F4398" s="18" t="inlineStr">
        <is>
          <t>F0187</t>
        </is>
      </c>
    </row>
    <row r="4399" ht="15.75" customHeight="1" s="108">
      <c r="A4399" s="18" t="inlineStr">
        <is>
          <t>Christopher Berry</t>
        </is>
      </c>
      <c r="B4399" s="18" t="n">
        <v>1</v>
      </c>
      <c r="C4399" s="18" t="n">
        <v>2012</v>
      </c>
      <c r="D4399" s="18" t="n">
        <v>2012</v>
      </c>
      <c r="E4399" s="18" t="inlineStr">
        <is>
          <t>Killing Them Softly</t>
        </is>
      </c>
      <c r="F4399" s="18" t="inlineStr">
        <is>
          <t>F0187</t>
        </is>
      </c>
    </row>
    <row r="4400" ht="15.75" customHeight="1" s="108">
      <c r="A4400" s="18" t="inlineStr">
        <is>
          <t>Mustafa Harris</t>
        </is>
      </c>
      <c r="B4400" s="18" t="n">
        <v>2</v>
      </c>
      <c r="C4400" s="18" t="n">
        <v>2012</v>
      </c>
      <c r="D4400" s="18" t="n">
        <v>2014</v>
      </c>
      <c r="E4400" s="18" t="inlineStr">
        <is>
          <t>Killing Them Softly, Dawn of the Planet of the Apes</t>
        </is>
      </c>
      <c r="F4400" s="18" t="inlineStr">
        <is>
          <t>F0187, F0254</t>
        </is>
      </c>
    </row>
    <row r="4401" ht="15.75" customHeight="1" s="108">
      <c r="A4401" s="18" t="inlineStr">
        <is>
          <t>Dared Wright</t>
        </is>
      </c>
      <c r="B4401" s="18" t="n">
        <v>1</v>
      </c>
      <c r="C4401" s="18" t="n">
        <v>2012</v>
      </c>
      <c r="D4401" s="18" t="n">
        <v>2012</v>
      </c>
      <c r="E4401" s="18" t="inlineStr">
        <is>
          <t>Killing Them Softly</t>
        </is>
      </c>
      <c r="F4401" s="18" t="inlineStr">
        <is>
          <t>F0187</t>
        </is>
      </c>
    </row>
    <row r="4402" ht="15.75" customHeight="1" s="108">
      <c r="A4402" s="18" t="inlineStr">
        <is>
          <t>Elvin Yoshida</t>
        </is>
      </c>
      <c r="B4402" s="18" t="n">
        <v>1</v>
      </c>
      <c r="C4402" s="18" t="n">
        <v>2012</v>
      </c>
      <c r="D4402" s="18" t="n">
        <v>2012</v>
      </c>
      <c r="E4402" s="18" t="inlineStr">
        <is>
          <t>Killing Them Softly</t>
        </is>
      </c>
      <c r="F4402" s="18" t="inlineStr">
        <is>
          <t>F0187</t>
        </is>
      </c>
    </row>
    <row r="4403" ht="15.75" customHeight="1" s="108">
      <c r="A4403" s="18" t="inlineStr">
        <is>
          <t>Glen Warner</t>
        </is>
      </c>
      <c r="B4403" s="18" t="n">
        <v>1</v>
      </c>
      <c r="C4403" s="18" t="n">
        <v>2012</v>
      </c>
      <c r="D4403" s="18" t="n">
        <v>2012</v>
      </c>
      <c r="E4403" s="18" t="inlineStr">
        <is>
          <t>Killing Them Softly</t>
        </is>
      </c>
      <c r="F4403" s="18" t="inlineStr">
        <is>
          <t>F0187</t>
        </is>
      </c>
    </row>
    <row r="4404" ht="15.75" customHeight="1" s="108">
      <c r="A4404" s="18" t="inlineStr">
        <is>
          <t>Logan Douglas Smith</t>
        </is>
      </c>
      <c r="B4404" s="18" t="n">
        <v>1</v>
      </c>
      <c r="C4404" s="18" t="n">
        <v>2012</v>
      </c>
      <c r="D4404" s="18" t="n">
        <v>2012</v>
      </c>
      <c r="E4404" s="18" t="inlineStr">
        <is>
          <t>Killing Them Softly</t>
        </is>
      </c>
      <c r="F4404" s="18" t="inlineStr">
        <is>
          <t>F0187</t>
        </is>
      </c>
    </row>
    <row r="4405" ht="15.75" customHeight="1" s="108">
      <c r="A4405" s="18" t="inlineStr">
        <is>
          <t>Adam Sibley</t>
        </is>
      </c>
      <c r="B4405" s="18" t="n">
        <v>1</v>
      </c>
      <c r="C4405" s="18" t="n">
        <v>2012</v>
      </c>
      <c r="D4405" s="18" t="n">
        <v>2012</v>
      </c>
      <c r="E4405" s="18" t="inlineStr">
        <is>
          <t>Killing Them Softly</t>
        </is>
      </c>
      <c r="F4405" s="18" t="inlineStr">
        <is>
          <t>F0187</t>
        </is>
      </c>
    </row>
    <row r="4406" ht="15.75" customHeight="1" s="108">
      <c r="A4406" s="18" t="inlineStr">
        <is>
          <t>Henry Paulson</t>
        </is>
      </c>
      <c r="B4406" s="18" t="n">
        <v>1</v>
      </c>
      <c r="C4406" s="18" t="n">
        <v>2012</v>
      </c>
      <c r="D4406" s="18" t="n">
        <v>2012</v>
      </c>
      <c r="E4406" s="18" t="inlineStr">
        <is>
          <t>Killing Them Softly</t>
        </is>
      </c>
      <c r="F4406" s="18" t="inlineStr">
        <is>
          <t>F0187</t>
        </is>
      </c>
    </row>
    <row r="4407" ht="15.75" customHeight="1" s="108">
      <c r="A4407" s="18" t="inlineStr">
        <is>
          <t>Barack Obama</t>
        </is>
      </c>
      <c r="B4407" s="18" t="n">
        <v>1</v>
      </c>
      <c r="C4407" s="18" t="n">
        <v>2012</v>
      </c>
      <c r="D4407" s="18" t="n">
        <v>2012</v>
      </c>
      <c r="E4407" s="18" t="inlineStr">
        <is>
          <t>Killing Them Softly</t>
        </is>
      </c>
      <c r="F4407" s="18" t="inlineStr">
        <is>
          <t>F0187</t>
        </is>
      </c>
    </row>
    <row r="4408" ht="15.75" customHeight="1" s="108">
      <c r="A4408" s="18" t="inlineStr">
        <is>
          <t>John McCain</t>
        </is>
      </c>
      <c r="B4408" s="18" t="n">
        <v>1</v>
      </c>
      <c r="C4408" s="18" t="n">
        <v>2012</v>
      </c>
      <c r="D4408" s="18" t="n">
        <v>2012</v>
      </c>
      <c r="E4408" s="18" t="inlineStr">
        <is>
          <t>Killing Them Softly</t>
        </is>
      </c>
      <c r="F4408" s="18" t="inlineStr">
        <is>
          <t>F0187</t>
        </is>
      </c>
    </row>
    <row r="4409" ht="15.75" customHeight="1" s="108">
      <c r="A4409" s="18" t="inlineStr">
        <is>
          <t>David Joseph Martinez</t>
        </is>
      </c>
      <c r="B4409" s="18" t="n">
        <v>1</v>
      </c>
      <c r="C4409" s="18" t="n">
        <v>2012</v>
      </c>
      <c r="D4409" s="18" t="n">
        <v>2012</v>
      </c>
      <c r="E4409" s="18" t="inlineStr">
        <is>
          <t>Killing Them Softly</t>
        </is>
      </c>
      <c r="F4409" s="18" t="inlineStr">
        <is>
          <t>F0187</t>
        </is>
      </c>
    </row>
    <row r="4410" ht="15.75" customHeight="1" s="108">
      <c r="A4410" s="18" t="inlineStr">
        <is>
          <t>Raymond Lapino</t>
        </is>
      </c>
      <c r="B4410" s="18" t="n">
        <v>1</v>
      </c>
      <c r="C4410" s="18" t="n">
        <v>2012</v>
      </c>
      <c r="D4410" s="18" t="n">
        <v>2012</v>
      </c>
      <c r="E4410" s="18" t="inlineStr">
        <is>
          <t>Killing Them Softly</t>
        </is>
      </c>
      <c r="F4410" s="18" t="inlineStr">
        <is>
          <t>F0187</t>
        </is>
      </c>
    </row>
    <row r="4411" ht="15.75" customHeight="1" s="108">
      <c r="A4411" s="18" t="inlineStr">
        <is>
          <t>Shadoe Knight</t>
        </is>
      </c>
      <c r="B4411" s="18" t="n">
        <v>1</v>
      </c>
      <c r="C4411" s="18" t="n">
        <v>2012</v>
      </c>
      <c r="D4411" s="18" t="n">
        <v>2012</v>
      </c>
      <c r="E4411" s="18" t="inlineStr">
        <is>
          <t>Killing Them Softly</t>
        </is>
      </c>
      <c r="F4411" s="18" t="inlineStr">
        <is>
          <t>F0187</t>
        </is>
      </c>
    </row>
    <row r="4412" ht="15.75" customHeight="1" s="108">
      <c r="A4412" s="18" t="inlineStr">
        <is>
          <t>Thomas Kretschmann</t>
        </is>
      </c>
      <c r="B4412" s="18" t="n">
        <v>1</v>
      </c>
      <c r="C4412" s="18" t="n">
        <v>2005</v>
      </c>
      <c r="D4412" s="18" t="n">
        <v>2005</v>
      </c>
      <c r="E4412" s="18" t="inlineStr">
        <is>
          <t>King Kong</t>
        </is>
      </c>
      <c r="F4412" s="18" t="inlineStr">
        <is>
          <t>F0188</t>
        </is>
      </c>
    </row>
    <row r="4413" ht="15.75" customHeight="1" s="108">
      <c r="A4413" s="18" t="inlineStr">
        <is>
          <t>Evan Parke</t>
        </is>
      </c>
      <c r="B4413" s="18" t="n">
        <v>1</v>
      </c>
      <c r="C4413" s="18" t="n">
        <v>2005</v>
      </c>
      <c r="D4413" s="18" t="n">
        <v>2005</v>
      </c>
      <c r="E4413" s="18" t="inlineStr">
        <is>
          <t>King Kong</t>
        </is>
      </c>
      <c r="F4413" s="18" t="inlineStr">
        <is>
          <t>F0188</t>
        </is>
      </c>
    </row>
    <row r="4414" ht="15.75" customHeight="1" s="108">
      <c r="A4414" s="18" t="inlineStr">
        <is>
          <t>Lobo Chan</t>
        </is>
      </c>
      <c r="B4414" s="18" t="n">
        <v>1</v>
      </c>
      <c r="C4414" s="18" t="n">
        <v>2005</v>
      </c>
      <c r="D4414" s="18" t="n">
        <v>2005</v>
      </c>
      <c r="E4414" s="18" t="inlineStr">
        <is>
          <t>King Kong</t>
        </is>
      </c>
      <c r="F4414" s="18" t="inlineStr">
        <is>
          <t>F0188</t>
        </is>
      </c>
    </row>
    <row r="4415" ht="15.75" customHeight="1" s="108">
      <c r="A4415" s="18" t="inlineStr">
        <is>
          <t>Craig Hall</t>
        </is>
      </c>
      <c r="B4415" s="18" t="n">
        <v>1</v>
      </c>
      <c r="C4415" s="18" t="n">
        <v>2005</v>
      </c>
      <c r="D4415" s="18" t="n">
        <v>2005</v>
      </c>
      <c r="E4415" s="18" t="inlineStr">
        <is>
          <t>King Kong</t>
        </is>
      </c>
      <c r="F4415" s="18" t="inlineStr">
        <is>
          <t>F0188</t>
        </is>
      </c>
    </row>
    <row r="4416" ht="15.75" customHeight="1" s="108">
      <c r="A4416" s="18" t="inlineStr">
        <is>
          <t>Peter McKenzie</t>
        </is>
      </c>
      <c r="B4416" s="18" t="n">
        <v>2</v>
      </c>
      <c r="C4416" s="18" t="n">
        <v>2001</v>
      </c>
      <c r="D4416" s="18" t="n">
        <v>2005</v>
      </c>
      <c r="E4416" s="18" t="inlineStr">
        <is>
          <t>King Kong, The Lord of the Rings: The Fellowship of the Ring</t>
        </is>
      </c>
      <c r="F4416" s="18" t="inlineStr">
        <is>
          <t>F0188, F0203</t>
        </is>
      </c>
    </row>
    <row r="4417" ht="15.75" customHeight="1" s="108">
      <c r="A4417" s="18" t="inlineStr">
        <is>
          <t>William Johnson</t>
        </is>
      </c>
      <c r="B4417" s="18" t="n">
        <v>1</v>
      </c>
      <c r="C4417" s="18" t="n">
        <v>2005</v>
      </c>
      <c r="D4417" s="18" t="n">
        <v>2005</v>
      </c>
      <c r="E4417" s="18" t="inlineStr">
        <is>
          <t>King Kong</t>
        </is>
      </c>
      <c r="F4417" s="18" t="inlineStr">
        <is>
          <t>F0188</t>
        </is>
      </c>
    </row>
    <row r="4418" ht="15.75" customHeight="1" s="108">
      <c r="A4418" s="18" t="inlineStr">
        <is>
          <t>David Pittu</t>
        </is>
      </c>
      <c r="B4418" s="18" t="n">
        <v>1</v>
      </c>
      <c r="C4418" s="18" t="n">
        <v>2005</v>
      </c>
      <c r="D4418" s="18" t="n">
        <v>2005</v>
      </c>
      <c r="E4418" s="18" t="inlineStr">
        <is>
          <t>King Kong</t>
        </is>
      </c>
      <c r="F4418" s="18" t="inlineStr">
        <is>
          <t>F0188</t>
        </is>
      </c>
    </row>
    <row r="4419" ht="15.75" customHeight="1" s="108">
      <c r="A4419" s="18" t="inlineStr">
        <is>
          <t>Geraldine Brophy</t>
        </is>
      </c>
      <c r="B4419" s="18" t="n">
        <v>2</v>
      </c>
      <c r="C4419" s="18" t="n">
        <v>2005</v>
      </c>
      <c r="D4419" s="18" t="n">
        <v>2009</v>
      </c>
      <c r="E4419" s="18" t="inlineStr">
        <is>
          <t>King Kong, Underworld: Rise of the Lycans</t>
        </is>
      </c>
      <c r="F4419" s="18" t="inlineStr">
        <is>
          <t>F0188, F0327</t>
        </is>
      </c>
    </row>
    <row r="4420" ht="15.75" customHeight="1" s="108">
      <c r="A4420" s="18" t="inlineStr">
        <is>
          <t>David Dennis</t>
        </is>
      </c>
      <c r="B4420" s="18" t="n">
        <v>1</v>
      </c>
      <c r="C4420" s="18" t="n">
        <v>2005</v>
      </c>
      <c r="D4420" s="18" t="n">
        <v>2005</v>
      </c>
      <c r="E4420" s="18" t="inlineStr">
        <is>
          <t>King Kong</t>
        </is>
      </c>
      <c r="F4420" s="18" t="inlineStr">
        <is>
          <t>F0188</t>
        </is>
      </c>
    </row>
    <row r="4421" ht="15.75" customHeight="1" s="108">
      <c r="A4421" s="18" t="inlineStr">
        <is>
          <t>Pip Mushin</t>
        </is>
      </c>
      <c r="B4421" s="18" t="n">
        <v>1</v>
      </c>
      <c r="C4421" s="18" t="n">
        <v>2005</v>
      </c>
      <c r="D4421" s="18" t="n">
        <v>2005</v>
      </c>
      <c r="E4421" s="18" t="inlineStr">
        <is>
          <t>King Kong</t>
        </is>
      </c>
      <c r="F4421" s="18" t="inlineStr">
        <is>
          <t>F0188</t>
        </is>
      </c>
    </row>
    <row r="4422" ht="15.75" customHeight="1" s="108">
      <c r="A4422" s="18" t="inlineStr">
        <is>
          <t>Jim Knobeloch</t>
        </is>
      </c>
      <c r="B4422" s="18" t="n">
        <v>1</v>
      </c>
      <c r="C4422" s="18" t="n">
        <v>2005</v>
      </c>
      <c r="D4422" s="18" t="n">
        <v>2005</v>
      </c>
      <c r="E4422" s="18" t="inlineStr">
        <is>
          <t>King Kong</t>
        </is>
      </c>
      <c r="F4422" s="18" t="inlineStr">
        <is>
          <t>F0188</t>
        </is>
      </c>
    </row>
    <row r="4423" ht="15.75" customHeight="1" s="108">
      <c r="A4423" s="18" t="inlineStr">
        <is>
          <t>Ric Herbert</t>
        </is>
      </c>
      <c r="B4423" s="18" t="n">
        <v>1</v>
      </c>
      <c r="C4423" s="18" t="n">
        <v>2005</v>
      </c>
      <c r="D4423" s="18" t="n">
        <v>2005</v>
      </c>
      <c r="E4423" s="18" t="inlineStr">
        <is>
          <t>King Kong</t>
        </is>
      </c>
      <c r="F4423" s="18" t="inlineStr">
        <is>
          <t>F0188</t>
        </is>
      </c>
    </row>
    <row r="4424" ht="15.75" customHeight="1" s="108">
      <c r="A4424" s="18" t="inlineStr">
        <is>
          <t>Lee Donahue</t>
        </is>
      </c>
      <c r="B4424" s="18" t="n">
        <v>1</v>
      </c>
      <c r="C4424" s="18" t="n">
        <v>2005</v>
      </c>
      <c r="D4424" s="18" t="n">
        <v>2005</v>
      </c>
      <c r="E4424" s="18" t="inlineStr">
        <is>
          <t>King Kong</t>
        </is>
      </c>
      <c r="F4424" s="18" t="inlineStr">
        <is>
          <t>F0188</t>
        </is>
      </c>
    </row>
    <row r="4425" ht="15.75" customHeight="1" s="108">
      <c r="A4425" s="18" t="inlineStr">
        <is>
          <t>Tom Hobbs</t>
        </is>
      </c>
      <c r="B4425" s="18" t="n">
        <v>1</v>
      </c>
      <c r="C4425" s="18" t="n">
        <v>2005</v>
      </c>
      <c r="D4425" s="18" t="n">
        <v>2005</v>
      </c>
      <c r="E4425" s="18" t="inlineStr">
        <is>
          <t>King Kong</t>
        </is>
      </c>
      <c r="F4425" s="18" t="inlineStr">
        <is>
          <t>F0188</t>
        </is>
      </c>
    </row>
    <row r="4426" ht="15.75" customHeight="1" s="108">
      <c r="A4426" s="18" t="inlineStr">
        <is>
          <t>Tiriel Mora</t>
        </is>
      </c>
      <c r="B4426" s="18" t="n">
        <v>1</v>
      </c>
      <c r="C4426" s="18" t="n">
        <v>2005</v>
      </c>
      <c r="D4426" s="18" t="n">
        <v>2005</v>
      </c>
      <c r="E4426" s="18" t="inlineStr">
        <is>
          <t>King Kong</t>
        </is>
      </c>
      <c r="F4426" s="18" t="inlineStr">
        <is>
          <t>F0188</t>
        </is>
      </c>
    </row>
    <row r="4427" ht="15.75" customHeight="1" s="108">
      <c r="A4427" s="18" t="inlineStr">
        <is>
          <t>John Wraight</t>
        </is>
      </c>
      <c r="B4427" s="18" t="n">
        <v>1</v>
      </c>
      <c r="C4427" s="18" t="n">
        <v>2005</v>
      </c>
      <c r="D4427" s="18" t="n">
        <v>2005</v>
      </c>
      <c r="E4427" s="18" t="inlineStr">
        <is>
          <t>King Kong</t>
        </is>
      </c>
      <c r="F4427" s="18" t="inlineStr">
        <is>
          <t>F0188</t>
        </is>
      </c>
    </row>
    <row r="4428" ht="15.75" customHeight="1" s="108">
      <c r="A4428" s="18" t="inlineStr">
        <is>
          <t>Will Wallace</t>
        </is>
      </c>
      <c r="B4428" s="18" t="n">
        <v>2</v>
      </c>
      <c r="C4428" s="18" t="n">
        <v>2005</v>
      </c>
      <c r="D4428" s="18" t="n">
        <v>2010</v>
      </c>
      <c r="E4428" s="18" t="inlineStr">
        <is>
          <t>King Kong, Yogi Bear</t>
        </is>
      </c>
      <c r="F4428" s="18" t="inlineStr">
        <is>
          <t>F0188, F0348</t>
        </is>
      </c>
    </row>
    <row r="4429" ht="15.75" customHeight="1" s="108">
      <c r="A4429" s="18" t="inlineStr">
        <is>
          <t>Frank Edwards</t>
        </is>
      </c>
      <c r="B4429" s="18" t="n">
        <v>1</v>
      </c>
      <c r="C4429" s="18" t="n">
        <v>2005</v>
      </c>
      <c r="D4429" s="18" t="n">
        <v>2005</v>
      </c>
      <c r="E4429" s="18" t="inlineStr">
        <is>
          <t>King Kong</t>
        </is>
      </c>
      <c r="F4429" s="18" t="inlineStr">
        <is>
          <t>F0188</t>
        </is>
      </c>
    </row>
    <row r="4430" ht="15.75" customHeight="1" s="108">
      <c r="A4430" s="18" t="inlineStr">
        <is>
          <t>Crawford Thomson</t>
        </is>
      </c>
      <c r="B4430" s="18" t="n">
        <v>1</v>
      </c>
      <c r="C4430" s="18" t="n">
        <v>2005</v>
      </c>
      <c r="D4430" s="18" t="n">
        <v>2005</v>
      </c>
      <c r="E4430" s="18" t="inlineStr">
        <is>
          <t>King Kong</t>
        </is>
      </c>
      <c r="F4430" s="18" t="inlineStr">
        <is>
          <t>F0188</t>
        </is>
      </c>
    </row>
    <row r="4431" ht="15.75" customHeight="1" s="108">
      <c r="A4431" s="18" t="inlineStr">
        <is>
          <t>Richard Kavanagh</t>
        </is>
      </c>
      <c r="B4431" s="18" t="n">
        <v>1</v>
      </c>
      <c r="C4431" s="18" t="n">
        <v>2005</v>
      </c>
      <c r="D4431" s="18" t="n">
        <v>2005</v>
      </c>
      <c r="E4431" s="18" t="inlineStr">
        <is>
          <t>King Kong</t>
        </is>
      </c>
      <c r="F4431" s="18" t="inlineStr">
        <is>
          <t>F0188</t>
        </is>
      </c>
    </row>
    <row r="4432" ht="15.75" customHeight="1" s="108">
      <c r="A4432" s="18" t="inlineStr">
        <is>
          <t>Freya Wilson</t>
        </is>
      </c>
      <c r="B4432" s="18" t="n">
        <v>1</v>
      </c>
      <c r="C4432" s="18" t="n">
        <v>2010</v>
      </c>
      <c r="D4432" s="18" t="n">
        <v>2010</v>
      </c>
      <c r="E4432" s="18" t="inlineStr">
        <is>
          <t>The King's Speech</t>
        </is>
      </c>
      <c r="F4432" s="18" t="inlineStr">
        <is>
          <t>F0189</t>
        </is>
      </c>
    </row>
    <row r="4433" ht="15.75" customHeight="1" s="108">
      <c r="A4433" s="18" t="inlineStr">
        <is>
          <t>Ramona Marquez</t>
        </is>
      </c>
      <c r="B4433" s="18" t="n">
        <v>1</v>
      </c>
      <c r="C4433" s="18" t="n">
        <v>2010</v>
      </c>
      <c r="D4433" s="18" t="n">
        <v>2010</v>
      </c>
      <c r="E4433" s="18" t="inlineStr">
        <is>
          <t>The King's Speech</t>
        </is>
      </c>
      <c r="F4433" s="18" t="inlineStr">
        <is>
          <t>F0189</t>
        </is>
      </c>
    </row>
    <row r="4434" ht="15.75" customHeight="1" s="108">
      <c r="A4434" s="18" t="inlineStr">
        <is>
          <t>Richard Dixon</t>
        </is>
      </c>
      <c r="B4434" s="18" t="n">
        <v>2</v>
      </c>
      <c r="C4434" s="18" t="n">
        <v>2010</v>
      </c>
      <c r="D4434" s="18" t="n">
        <v>2012</v>
      </c>
      <c r="E4434" s="18" t="inlineStr">
        <is>
          <t>The King's Speech, Les Misérables</t>
        </is>
      </c>
      <c r="F4434" s="18" t="inlineStr">
        <is>
          <t>F0189, F0199</t>
        </is>
      </c>
    </row>
    <row r="4435" ht="15.75" customHeight="1" s="108">
      <c r="A4435" s="18" t="inlineStr">
        <is>
          <t>Robert Portal</t>
        </is>
      </c>
      <c r="B4435" s="18" t="n">
        <v>1</v>
      </c>
      <c r="C4435" s="18" t="n">
        <v>2010</v>
      </c>
      <c r="D4435" s="18" t="n">
        <v>2010</v>
      </c>
      <c r="E4435" s="18" t="inlineStr">
        <is>
          <t>The King's Speech</t>
        </is>
      </c>
      <c r="F4435" s="18" t="inlineStr">
        <is>
          <t>F0189</t>
        </is>
      </c>
    </row>
    <row r="4436" ht="15.75" customHeight="1" s="108">
      <c r="A4436" s="18" t="inlineStr">
        <is>
          <t>Eve Best</t>
        </is>
      </c>
      <c r="B4436" s="18" t="n">
        <v>1</v>
      </c>
      <c r="C4436" s="18" t="n">
        <v>2010</v>
      </c>
      <c r="D4436" s="18" t="n">
        <v>2010</v>
      </c>
      <c r="E4436" s="18" t="inlineStr">
        <is>
          <t>The King's Speech</t>
        </is>
      </c>
      <c r="F4436" s="18" t="inlineStr">
        <is>
          <t>F0189</t>
        </is>
      </c>
    </row>
    <row r="4437" ht="15.75" customHeight="1" s="108">
      <c r="A4437" s="18" t="inlineStr">
        <is>
          <t>Paul Trussell</t>
        </is>
      </c>
      <c r="B4437" s="18" t="n">
        <v>1</v>
      </c>
      <c r="C4437" s="18" t="n">
        <v>2010</v>
      </c>
      <c r="D4437" s="18" t="n">
        <v>2010</v>
      </c>
      <c r="E4437" s="18" t="inlineStr">
        <is>
          <t>The King's Speech</t>
        </is>
      </c>
      <c r="F4437" s="18" t="inlineStr">
        <is>
          <t>F0189</t>
        </is>
      </c>
    </row>
    <row r="4438" ht="15.75" customHeight="1" s="108">
      <c r="A4438" s="18" t="inlineStr">
        <is>
          <t>Adrian Scarborough</t>
        </is>
      </c>
      <c r="B4438" s="18" t="n">
        <v>2</v>
      </c>
      <c r="C4438" s="18" t="n">
        <v>2010</v>
      </c>
      <c r="D4438" s="18" t="n">
        <v>2019</v>
      </c>
      <c r="E4438" s="18" t="inlineStr">
        <is>
          <t>The King's Speech, 1917</t>
        </is>
      </c>
      <c r="F4438" s="18" t="inlineStr">
        <is>
          <t>F0189, F0356</t>
        </is>
      </c>
    </row>
    <row r="4439" ht="15.75" customHeight="1" s="108">
      <c r="A4439" s="18" t="inlineStr">
        <is>
          <t>Charles Armstrong</t>
        </is>
      </c>
      <c r="B4439" s="18" t="n">
        <v>1</v>
      </c>
      <c r="C4439" s="18" t="n">
        <v>2010</v>
      </c>
      <c r="D4439" s="18" t="n">
        <v>2010</v>
      </c>
      <c r="E4439" s="18" t="inlineStr">
        <is>
          <t>The King's Speech</t>
        </is>
      </c>
      <c r="F4439" s="18" t="inlineStr">
        <is>
          <t>F0189</t>
        </is>
      </c>
    </row>
    <row r="4440" ht="15.75" customHeight="1" s="108">
      <c r="A4440" s="18" t="inlineStr">
        <is>
          <t>Roger Hammond</t>
        </is>
      </c>
      <c r="B4440" s="18" t="n">
        <v>1</v>
      </c>
      <c r="C4440" s="18" t="n">
        <v>2010</v>
      </c>
      <c r="D4440" s="18" t="n">
        <v>2010</v>
      </c>
      <c r="E4440" s="18" t="inlineStr">
        <is>
          <t>The King's Speech</t>
        </is>
      </c>
      <c r="F4440" s="18" t="inlineStr">
        <is>
          <t>F0189</t>
        </is>
      </c>
    </row>
    <row r="4441" ht="15.75" customHeight="1" s="108">
      <c r="A4441" s="18" t="inlineStr">
        <is>
          <t>Calum Gittins</t>
        </is>
      </c>
      <c r="B4441" s="18" t="n">
        <v>2</v>
      </c>
      <c r="C4441" s="18" t="n">
        <v>2002</v>
      </c>
      <c r="D4441" s="18" t="n">
        <v>2010</v>
      </c>
      <c r="E4441" s="18" t="inlineStr">
        <is>
          <t>The King's Speech, The Lord of the Rings: The Two Towers</t>
        </is>
      </c>
      <c r="F4441" s="18" t="inlineStr">
        <is>
          <t>F0189, F0204</t>
        </is>
      </c>
    </row>
    <row r="4442" ht="15.75" customHeight="1" s="108">
      <c r="A4442" s="18" t="inlineStr">
        <is>
          <t>Dominic Applewhite</t>
        </is>
      </c>
      <c r="B4442" s="18" t="n">
        <v>1</v>
      </c>
      <c r="C4442" s="18" t="n">
        <v>2010</v>
      </c>
      <c r="D4442" s="18" t="n">
        <v>2010</v>
      </c>
      <c r="E4442" s="18" t="inlineStr">
        <is>
          <t>The King's Speech</t>
        </is>
      </c>
      <c r="F4442" s="18" t="inlineStr">
        <is>
          <t>F0189</t>
        </is>
      </c>
    </row>
    <row r="4443" ht="15.75" customHeight="1" s="108">
      <c r="A4443" s="18" t="inlineStr">
        <is>
          <t>Ben Wimsett</t>
        </is>
      </c>
      <c r="B4443" s="18" t="n">
        <v>1</v>
      </c>
      <c r="C4443" s="18" t="n">
        <v>2010</v>
      </c>
      <c r="D4443" s="18" t="n">
        <v>2010</v>
      </c>
      <c r="E4443" s="18" t="inlineStr">
        <is>
          <t>The King's Speech</t>
        </is>
      </c>
      <c r="F4443" s="18" t="inlineStr">
        <is>
          <t>F0189</t>
        </is>
      </c>
    </row>
    <row r="4444" ht="15.75" customHeight="1" s="108">
      <c r="A4444" s="18" t="inlineStr">
        <is>
          <t>Jake Hathaway</t>
        </is>
      </c>
      <c r="B4444" s="18" t="n">
        <v>1</v>
      </c>
      <c r="C4444" s="18" t="n">
        <v>2010</v>
      </c>
      <c r="D4444" s="18" t="n">
        <v>2010</v>
      </c>
      <c r="E4444" s="18" t="inlineStr">
        <is>
          <t>The King's Speech</t>
        </is>
      </c>
      <c r="F4444" s="18" t="inlineStr">
        <is>
          <t>F0189</t>
        </is>
      </c>
    </row>
    <row r="4445" ht="15.75" customHeight="1" s="108">
      <c r="A4445" s="18" t="inlineStr">
        <is>
          <t>Patrick Ryecart</t>
        </is>
      </c>
      <c r="B4445" s="18" t="n">
        <v>1</v>
      </c>
      <c r="C4445" s="18" t="n">
        <v>2010</v>
      </c>
      <c r="D4445" s="18" t="n">
        <v>2010</v>
      </c>
      <c r="E4445" s="18" t="inlineStr">
        <is>
          <t>The King's Speech</t>
        </is>
      </c>
      <c r="F4445" s="18" t="inlineStr">
        <is>
          <t>F0189</t>
        </is>
      </c>
    </row>
    <row r="4446" ht="15.75" customHeight="1" s="108">
      <c r="A4446" s="18" t="inlineStr">
        <is>
          <t>Teresa Gallagher</t>
        </is>
      </c>
      <c r="B4446" s="18" t="n">
        <v>1</v>
      </c>
      <c r="C4446" s="18" t="n">
        <v>2010</v>
      </c>
      <c r="D4446" s="18" t="n">
        <v>2010</v>
      </c>
      <c r="E4446" s="18" t="inlineStr">
        <is>
          <t>The King's Speech</t>
        </is>
      </c>
      <c r="F4446" s="18" t="inlineStr">
        <is>
          <t>F0189</t>
        </is>
      </c>
    </row>
    <row r="4447" ht="15.75" customHeight="1" s="108">
      <c r="A4447" s="18" t="inlineStr">
        <is>
          <t>Simon Chandler</t>
        </is>
      </c>
      <c r="B4447" s="18" t="n">
        <v>1</v>
      </c>
      <c r="C4447" s="18" t="n">
        <v>2010</v>
      </c>
      <c r="D4447" s="18" t="n">
        <v>2010</v>
      </c>
      <c r="E4447" s="18" t="inlineStr">
        <is>
          <t>The King's Speech</t>
        </is>
      </c>
      <c r="F4447" s="18" t="inlineStr">
        <is>
          <t>F0189</t>
        </is>
      </c>
    </row>
    <row r="4448" ht="15.75" customHeight="1" s="108">
      <c r="A4448" s="18" t="inlineStr">
        <is>
          <t>Claire Bloom</t>
        </is>
      </c>
      <c r="B4448" s="18" t="n">
        <v>1</v>
      </c>
      <c r="C4448" s="18" t="n">
        <v>2010</v>
      </c>
      <c r="D4448" s="18" t="n">
        <v>2010</v>
      </c>
      <c r="E4448" s="18" t="inlineStr">
        <is>
          <t>The King's Speech</t>
        </is>
      </c>
      <c r="F4448" s="18" t="inlineStr">
        <is>
          <t>F0189</t>
        </is>
      </c>
    </row>
    <row r="4449" ht="15.75" customHeight="1" s="108">
      <c r="A4449" s="18" t="inlineStr">
        <is>
          <t>Orlando Wells</t>
        </is>
      </c>
      <c r="B4449" s="18" t="n">
        <v>1</v>
      </c>
      <c r="C4449" s="18" t="n">
        <v>2010</v>
      </c>
      <c r="D4449" s="18" t="n">
        <v>2010</v>
      </c>
      <c r="E4449" s="18" t="inlineStr">
        <is>
          <t>The King's Speech</t>
        </is>
      </c>
      <c r="F4449" s="18" t="inlineStr">
        <is>
          <t>F0189</t>
        </is>
      </c>
    </row>
    <row r="4450" ht="15.75" customHeight="1" s="108">
      <c r="A4450" s="18" t="inlineStr">
        <is>
          <t>Tim Downie</t>
        </is>
      </c>
      <c r="B4450" s="18" t="n">
        <v>3</v>
      </c>
      <c r="C4450" s="18" t="n">
        <v>2010</v>
      </c>
      <c r="D4450" s="18" t="n">
        <v>2014</v>
      </c>
      <c r="E4450" s="18" t="inlineStr">
        <is>
          <t>The King's Speech, Les Misérables, Paddington</t>
        </is>
      </c>
      <c r="F4450" s="18" t="inlineStr">
        <is>
          <t>F0189, F0199, F0244</t>
        </is>
      </c>
    </row>
    <row r="4451" ht="15.75" customHeight="1" s="108">
      <c r="A4451" s="18" t="inlineStr">
        <is>
          <t>Dick Ward</t>
        </is>
      </c>
      <c r="B4451" s="18" t="n">
        <v>1</v>
      </c>
      <c r="C4451" s="18" t="n">
        <v>2010</v>
      </c>
      <c r="D4451" s="18" t="n">
        <v>2010</v>
      </c>
      <c r="E4451" s="18" t="inlineStr">
        <is>
          <t>The King's Speech</t>
        </is>
      </c>
      <c r="F4451" s="18" t="inlineStr">
        <is>
          <t>F0189</t>
        </is>
      </c>
    </row>
    <row r="4452" ht="15.75" customHeight="1" s="108">
      <c r="A4452" s="18" t="inlineStr">
        <is>
          <t>Thomas Mann</t>
        </is>
      </c>
      <c r="B4452" s="18" t="n">
        <v>1</v>
      </c>
      <c r="C4452" s="18" t="n">
        <v>2017</v>
      </c>
      <c r="D4452" s="18" t="n">
        <v>2017</v>
      </c>
      <c r="E4452" s="18" t="inlineStr">
        <is>
          <t>Kong: Skull Island</t>
        </is>
      </c>
      <c r="F4452" s="18" t="inlineStr">
        <is>
          <t>F0190</t>
        </is>
      </c>
    </row>
    <row r="4453" ht="15.75" customHeight="1" s="108">
      <c r="A4453" s="18" t="inlineStr">
        <is>
          <t>Eugene Cordero</t>
        </is>
      </c>
      <c r="B4453" s="18" t="n">
        <v>1</v>
      </c>
      <c r="C4453" s="18" t="n">
        <v>2017</v>
      </c>
      <c r="D4453" s="18" t="n">
        <v>2017</v>
      </c>
      <c r="E4453" s="18" t="inlineStr">
        <is>
          <t>Kong: Skull Island</t>
        </is>
      </c>
      <c r="F4453" s="18" t="inlineStr">
        <is>
          <t>F0190</t>
        </is>
      </c>
    </row>
    <row r="4454" ht="15.75" customHeight="1" s="108">
      <c r="A4454" s="18" t="inlineStr">
        <is>
          <t>MIYAVI</t>
        </is>
      </c>
      <c r="B4454" s="18" t="n">
        <v>1</v>
      </c>
      <c r="C4454" s="18" t="n">
        <v>2017</v>
      </c>
      <c r="D4454" s="18" t="n">
        <v>2017</v>
      </c>
      <c r="E4454" s="18" t="inlineStr">
        <is>
          <t>Kong: Skull Island</t>
        </is>
      </c>
      <c r="F4454" s="18" t="inlineStr">
        <is>
          <t>F0190</t>
        </is>
      </c>
    </row>
    <row r="4455" ht="15.75" customHeight="1" s="108">
      <c r="A4455" s="18" t="inlineStr">
        <is>
          <t>Will Brittain</t>
        </is>
      </c>
      <c r="B4455" s="18" t="n">
        <v>1</v>
      </c>
      <c r="C4455" s="18" t="n">
        <v>2017</v>
      </c>
      <c r="D4455" s="18" t="n">
        <v>2017</v>
      </c>
      <c r="E4455" s="18" t="inlineStr">
        <is>
          <t>Kong: Skull Island</t>
        </is>
      </c>
      <c r="F4455" s="18" t="inlineStr">
        <is>
          <t>F0190</t>
        </is>
      </c>
    </row>
    <row r="4456" ht="15.75" customHeight="1" s="108">
      <c r="A4456" s="18" t="inlineStr">
        <is>
          <t>Allyn Rachel</t>
        </is>
      </c>
      <c r="B4456" s="18" t="n">
        <v>1</v>
      </c>
      <c r="C4456" s="18" t="n">
        <v>2017</v>
      </c>
      <c r="D4456" s="18" t="n">
        <v>2017</v>
      </c>
      <c r="E4456" s="18" t="inlineStr">
        <is>
          <t>Kong: Skull Island</t>
        </is>
      </c>
      <c r="F4456" s="18" t="inlineStr">
        <is>
          <t>F0190</t>
        </is>
      </c>
    </row>
    <row r="4457" ht="15.75" customHeight="1" s="108">
      <c r="A4457" s="18" t="inlineStr">
        <is>
          <t>Robert Taylor</t>
        </is>
      </c>
      <c r="B4457" s="18" t="n">
        <v>2</v>
      </c>
      <c r="C4457" s="18" t="n">
        <v>1999</v>
      </c>
      <c r="D4457" s="18" t="n">
        <v>2017</v>
      </c>
      <c r="E4457" s="18" t="inlineStr">
        <is>
          <t>Kong: Skull Island, The Matrix</t>
        </is>
      </c>
      <c r="F4457" s="18" t="inlineStr">
        <is>
          <t>F0190, F0214</t>
        </is>
      </c>
    </row>
    <row r="4458" ht="15.75" customHeight="1" s="108">
      <c r="A4458" s="18" t="inlineStr">
        <is>
          <t>James M. Connor</t>
        </is>
      </c>
      <c r="B4458" s="18" t="n">
        <v>1</v>
      </c>
      <c r="C4458" s="18" t="n">
        <v>2017</v>
      </c>
      <c r="D4458" s="18" t="n">
        <v>2017</v>
      </c>
      <c r="E4458" s="18" t="inlineStr">
        <is>
          <t>Kong: Skull Island</t>
        </is>
      </c>
      <c r="F4458" s="18" t="inlineStr">
        <is>
          <t>F0190</t>
        </is>
      </c>
    </row>
    <row r="4459" ht="15.75" customHeight="1" s="108">
      <c r="A4459" s="18" t="inlineStr">
        <is>
          <t>Brady Novak</t>
        </is>
      </c>
      <c r="B4459" s="18" t="n">
        <v>1</v>
      </c>
      <c r="C4459" s="18" t="n">
        <v>2017</v>
      </c>
      <c r="D4459" s="18" t="n">
        <v>2017</v>
      </c>
      <c r="E4459" s="18" t="inlineStr">
        <is>
          <t>Kong: Skull Island</t>
        </is>
      </c>
      <c r="F4459" s="18" t="inlineStr">
        <is>
          <t>F0190</t>
        </is>
      </c>
    </row>
    <row r="4460" ht="15.75" customHeight="1" s="108">
      <c r="A4460" s="18" t="inlineStr">
        <is>
          <t>Peter Karinen</t>
        </is>
      </c>
      <c r="B4460" s="18" t="n">
        <v>1</v>
      </c>
      <c r="C4460" s="18" t="n">
        <v>2017</v>
      </c>
      <c r="D4460" s="18" t="n">
        <v>2017</v>
      </c>
      <c r="E4460" s="18" t="inlineStr">
        <is>
          <t>Kong: Skull Island</t>
        </is>
      </c>
      <c r="F4460" s="18" t="inlineStr">
        <is>
          <t>F0190</t>
        </is>
      </c>
    </row>
    <row r="4461" ht="15.75" customHeight="1" s="108">
      <c r="A4461" s="18" t="inlineStr">
        <is>
          <t>Brian Sacca</t>
        </is>
      </c>
      <c r="B4461" s="18" t="n">
        <v>1</v>
      </c>
      <c r="C4461" s="18" t="n">
        <v>2017</v>
      </c>
      <c r="D4461" s="18" t="n">
        <v>2017</v>
      </c>
      <c r="E4461" s="18" t="inlineStr">
        <is>
          <t>Kong: Skull Island</t>
        </is>
      </c>
      <c r="F4461" s="18" t="inlineStr">
        <is>
          <t>F0190</t>
        </is>
      </c>
    </row>
    <row r="4462" ht="15.75" customHeight="1" s="108">
      <c r="A4462" s="18" t="inlineStr">
        <is>
          <t>Joshua Funk</t>
        </is>
      </c>
      <c r="B4462" s="18" t="n">
        <v>1</v>
      </c>
      <c r="C4462" s="18" t="n">
        <v>2017</v>
      </c>
      <c r="D4462" s="18" t="n">
        <v>2017</v>
      </c>
      <c r="E4462" s="18" t="inlineStr">
        <is>
          <t>Kong: Skull Island</t>
        </is>
      </c>
      <c r="F4462" s="18" t="inlineStr">
        <is>
          <t>F0190</t>
        </is>
      </c>
    </row>
    <row r="4463" ht="15.75" customHeight="1" s="108">
      <c r="A4463" s="18" t="inlineStr">
        <is>
          <t>Daniel F. Malone</t>
        </is>
      </c>
      <c r="B4463" s="18" t="n">
        <v>1</v>
      </c>
      <c r="C4463" s="18" t="n">
        <v>2017</v>
      </c>
      <c r="D4463" s="18" t="n">
        <v>2017</v>
      </c>
      <c r="E4463" s="18" t="inlineStr">
        <is>
          <t>Kong: Skull Island</t>
        </is>
      </c>
      <c r="F4463" s="18" t="inlineStr">
        <is>
          <t>F0190</t>
        </is>
      </c>
    </row>
    <row r="4464" ht="15.75" customHeight="1" s="108">
      <c r="A4464" s="18" t="inlineStr">
        <is>
          <t>Glenn Kiwi Hall</t>
        </is>
      </c>
      <c r="B4464" s="18" t="n">
        <v>1</v>
      </c>
      <c r="C4464" s="18" t="n">
        <v>2017</v>
      </c>
      <c r="D4464" s="18" t="n">
        <v>2017</v>
      </c>
      <c r="E4464" s="18" t="inlineStr">
        <is>
          <t>Kong: Skull Island</t>
        </is>
      </c>
      <c r="F4464" s="18" t="inlineStr">
        <is>
          <t>F0190</t>
        </is>
      </c>
    </row>
    <row r="4465" ht="15.75" customHeight="1" s="108">
      <c r="A4465" s="18" t="inlineStr">
        <is>
          <t>Garreth Hadfield</t>
        </is>
      </c>
      <c r="B4465" s="18" t="n">
        <v>1</v>
      </c>
      <c r="C4465" s="18" t="n">
        <v>2017</v>
      </c>
      <c r="D4465" s="18" t="n">
        <v>2017</v>
      </c>
      <c r="E4465" s="18" t="inlineStr">
        <is>
          <t>Kong: Skull Island</t>
        </is>
      </c>
      <c r="F4465" s="18" t="inlineStr">
        <is>
          <t>F0190</t>
        </is>
      </c>
    </row>
    <row r="4466" ht="15.75" customHeight="1" s="108">
      <c r="A4466" s="18" t="inlineStr">
        <is>
          <t>Shannon Brimelow</t>
        </is>
      </c>
      <c r="B4466" s="18" t="n">
        <v>1</v>
      </c>
      <c r="C4466" s="18" t="n">
        <v>2017</v>
      </c>
      <c r="D4466" s="18" t="n">
        <v>2017</v>
      </c>
      <c r="E4466" s="18" t="inlineStr">
        <is>
          <t>Kong: Skull Island</t>
        </is>
      </c>
      <c r="F4466" s="18" t="inlineStr">
        <is>
          <t>F0190</t>
        </is>
      </c>
    </row>
    <row r="4467" ht="15.75" customHeight="1" s="108">
      <c r="A4467" s="18" t="inlineStr">
        <is>
          <t>Gregory Itzin</t>
        </is>
      </c>
      <c r="B4467" s="18" t="n">
        <v>2</v>
      </c>
      <c r="C4467" s="18" t="n">
        <v>2001</v>
      </c>
      <c r="D4467" s="18" t="n">
        <v>2009</v>
      </c>
      <c r="E4467" s="18" t="inlineStr">
        <is>
          <t>Law Abiding Citizen, Evolution</t>
        </is>
      </c>
      <c r="F4467" s="18" t="inlineStr">
        <is>
          <t>F0191, F0381</t>
        </is>
      </c>
    </row>
    <row r="4468" ht="15.75" customHeight="1" s="108">
      <c r="A4468" s="18" t="inlineStr">
        <is>
          <t>Regina Hall</t>
        </is>
      </c>
      <c r="B4468" s="18" t="n">
        <v>2</v>
      </c>
      <c r="C4468" s="18" t="n">
        <v>2009</v>
      </c>
      <c r="D4468" s="18" t="n">
        <v>2025</v>
      </c>
      <c r="E4468" s="18" t="inlineStr">
        <is>
          <t>Law Abiding Citizen, One battle after another</t>
        </is>
      </c>
      <c r="F4468" s="18" t="inlineStr">
        <is>
          <t>F0191, F0353</t>
        </is>
      </c>
    </row>
    <row r="4469" ht="15.75" customHeight="1" s="108">
      <c r="A4469" s="18" t="inlineStr">
        <is>
          <t>Emerald-Angel Young</t>
        </is>
      </c>
      <c r="B4469" s="18" t="n">
        <v>1</v>
      </c>
      <c r="C4469" s="18" t="n">
        <v>2009</v>
      </c>
      <c r="D4469" s="18" t="n">
        <v>2009</v>
      </c>
      <c r="E4469" s="18" t="inlineStr">
        <is>
          <t>Law Abiding Citizen</t>
        </is>
      </c>
      <c r="F4469" s="18" t="inlineStr">
        <is>
          <t>F0191</t>
        </is>
      </c>
    </row>
    <row r="4470" ht="15.75" customHeight="1" s="108">
      <c r="A4470" s="18" t="inlineStr">
        <is>
          <t>Brooke Stacy Mills</t>
        </is>
      </c>
      <c r="B4470" s="18" t="n">
        <v>1</v>
      </c>
      <c r="C4470" s="18" t="n">
        <v>2009</v>
      </c>
      <c r="D4470" s="18" t="n">
        <v>2009</v>
      </c>
      <c r="E4470" s="18" t="inlineStr">
        <is>
          <t>Law Abiding Citizen</t>
        </is>
      </c>
      <c r="F4470" s="18" t="inlineStr">
        <is>
          <t>F0191</t>
        </is>
      </c>
    </row>
    <row r="4471" ht="15.75" customHeight="1" s="108">
      <c r="A4471" s="18" t="inlineStr">
        <is>
          <t>Christian Stolte</t>
        </is>
      </c>
      <c r="B4471" s="18" t="n">
        <v>1</v>
      </c>
      <c r="C4471" s="18" t="n">
        <v>2009</v>
      </c>
      <c r="D4471" s="18" t="n">
        <v>2009</v>
      </c>
      <c r="E4471" s="18" t="inlineStr">
        <is>
          <t>Law Abiding Citizen</t>
        </is>
      </c>
      <c r="F4471" s="18" t="inlineStr">
        <is>
          <t>F0191</t>
        </is>
      </c>
    </row>
    <row r="4472" ht="15.75" customHeight="1" s="108">
      <c r="A4472" s="18" t="inlineStr">
        <is>
          <t>Annie Corley</t>
        </is>
      </c>
      <c r="B4472" s="18" t="n">
        <v>1</v>
      </c>
      <c r="C4472" s="18" t="n">
        <v>2009</v>
      </c>
      <c r="D4472" s="18" t="n">
        <v>2009</v>
      </c>
      <c r="E4472" s="18" t="inlineStr">
        <is>
          <t>Law Abiding Citizen</t>
        </is>
      </c>
      <c r="F4472" s="18" t="inlineStr">
        <is>
          <t>F0191</t>
        </is>
      </c>
    </row>
    <row r="4473" ht="15.75" customHeight="1" s="108">
      <c r="A4473" s="18" t="inlineStr">
        <is>
          <t>Richard Portnow</t>
        </is>
      </c>
      <c r="B4473" s="18" t="n">
        <v>2</v>
      </c>
      <c r="C4473" s="18" t="n">
        <v>1995</v>
      </c>
      <c r="D4473" s="18" t="n">
        <v>2009</v>
      </c>
      <c r="E4473" s="18" t="inlineStr">
        <is>
          <t>Law Abiding Citizen, Se7en</t>
        </is>
      </c>
      <c r="F4473" s="18" t="inlineStr">
        <is>
          <t>F0191, F0276</t>
        </is>
      </c>
    </row>
    <row r="4474" ht="15.75" customHeight="1" s="108">
      <c r="A4474" s="18" t="inlineStr">
        <is>
          <t>Michael Kelly</t>
        </is>
      </c>
      <c r="B4474" s="18" t="n">
        <v>3</v>
      </c>
      <c r="C4474" s="18" t="n">
        <v>2009</v>
      </c>
      <c r="D4474" s="18" t="n">
        <v>2023</v>
      </c>
      <c r="E4474" s="18" t="inlineStr">
        <is>
          <t>Law Abiding Citizen, Man of Steel, Transformers: Rise of the Beasts</t>
        </is>
      </c>
      <c r="F4474" s="18" t="inlineStr">
        <is>
          <t>F0191, F0211, F0321</t>
        </is>
      </c>
    </row>
    <row r="4475" ht="15.75" customHeight="1" s="108">
      <c r="A4475" s="18" t="inlineStr">
        <is>
          <t>Dan Bittner</t>
        </is>
      </c>
      <c r="B4475" s="18" t="n">
        <v>1</v>
      </c>
      <c r="C4475" s="18" t="n">
        <v>2009</v>
      </c>
      <c r="D4475" s="18" t="n">
        <v>2009</v>
      </c>
      <c r="E4475" s="18" t="inlineStr">
        <is>
          <t>Law Abiding Citizen</t>
        </is>
      </c>
      <c r="F4475" s="18" t="inlineStr">
        <is>
          <t>F0191</t>
        </is>
      </c>
    </row>
    <row r="4476" ht="15.75" customHeight="1" s="108">
      <c r="A4476" s="18" t="inlineStr">
        <is>
          <t>Patrick McDade</t>
        </is>
      </c>
      <c r="B4476" s="18" t="n">
        <v>1</v>
      </c>
      <c r="C4476" s="18" t="n">
        <v>2009</v>
      </c>
      <c r="D4476" s="18" t="n">
        <v>2009</v>
      </c>
      <c r="E4476" s="18" t="inlineStr">
        <is>
          <t>Law Abiding Citizen</t>
        </is>
      </c>
      <c r="F4476" s="18" t="inlineStr">
        <is>
          <t>F0191</t>
        </is>
      </c>
    </row>
    <row r="4477" ht="15.75" customHeight="1" s="108">
      <c r="A4477" s="18" t="inlineStr">
        <is>
          <t>Richard Barlow</t>
        </is>
      </c>
      <c r="B4477" s="18" t="n">
        <v>1</v>
      </c>
      <c r="C4477" s="18" t="n">
        <v>2009</v>
      </c>
      <c r="D4477" s="18" t="n">
        <v>2009</v>
      </c>
      <c r="E4477" s="18" t="inlineStr">
        <is>
          <t>Law Abiding Citizen</t>
        </is>
      </c>
      <c r="F4477" s="18" t="inlineStr">
        <is>
          <t>F0191</t>
        </is>
      </c>
    </row>
    <row r="4478" ht="15.75" customHeight="1" s="108">
      <c r="A4478" s="18" t="inlineStr">
        <is>
          <t>Greg Young</t>
        </is>
      </c>
      <c r="B4478" s="18" t="n">
        <v>1</v>
      </c>
      <c r="C4478" s="18" t="n">
        <v>2009</v>
      </c>
      <c r="D4478" s="18" t="n">
        <v>2009</v>
      </c>
      <c r="E4478" s="18" t="inlineStr">
        <is>
          <t>Law Abiding Citizen</t>
        </is>
      </c>
      <c r="F4478" s="18" t="inlineStr">
        <is>
          <t>F0191</t>
        </is>
      </c>
    </row>
    <row r="4479" ht="15.75" customHeight="1" s="108">
      <c r="A4479" s="18" t="inlineStr">
        <is>
          <t>Jim Gushue</t>
        </is>
      </c>
      <c r="B4479" s="18" t="n">
        <v>1</v>
      </c>
      <c r="C4479" s="18" t="n">
        <v>2009</v>
      </c>
      <c r="D4479" s="18" t="n">
        <v>2009</v>
      </c>
      <c r="E4479" s="18" t="inlineStr">
        <is>
          <t>Law Abiding Citizen</t>
        </is>
      </c>
      <c r="F4479" s="18" t="inlineStr">
        <is>
          <t>F0191</t>
        </is>
      </c>
    </row>
    <row r="4480" ht="15.75" customHeight="1" s="108">
      <c r="A4480" s="18" t="inlineStr">
        <is>
          <t>Anthony Lawton</t>
        </is>
      </c>
      <c r="B4480" s="18" t="n">
        <v>1</v>
      </c>
      <c r="C4480" s="18" t="n">
        <v>2009</v>
      </c>
      <c r="D4480" s="18" t="n">
        <v>2009</v>
      </c>
      <c r="E4480" s="18" t="inlineStr">
        <is>
          <t>Law Abiding Citizen</t>
        </is>
      </c>
      <c r="F4480" s="18" t="inlineStr">
        <is>
          <t>F0191</t>
        </is>
      </c>
    </row>
    <row r="4481" ht="15.75" customHeight="1" s="108">
      <c r="A4481" s="18" t="inlineStr">
        <is>
          <t>David Villalobos</t>
        </is>
      </c>
      <c r="B4481" s="18" t="n">
        <v>1</v>
      </c>
      <c r="C4481" s="18" t="n">
        <v>2009</v>
      </c>
      <c r="D4481" s="18" t="n">
        <v>2009</v>
      </c>
      <c r="E4481" s="18" t="inlineStr">
        <is>
          <t>Law Abiding Citizen</t>
        </is>
      </c>
      <c r="F4481" s="18" t="inlineStr">
        <is>
          <t>F0191</t>
        </is>
      </c>
    </row>
    <row r="4482" ht="15.75" customHeight="1" s="108">
      <c r="A4482" s="18" t="inlineStr">
        <is>
          <t>Ksenia Hulayev</t>
        </is>
      </c>
      <c r="B4482" s="18" t="n">
        <v>1</v>
      </c>
      <c r="C4482" s="18" t="n">
        <v>2009</v>
      </c>
      <c r="D4482" s="18" t="n">
        <v>2009</v>
      </c>
      <c r="E4482" s="18" t="inlineStr">
        <is>
          <t>Law Abiding Citizen</t>
        </is>
      </c>
      <c r="F4482" s="18" t="inlineStr">
        <is>
          <t>F0191</t>
        </is>
      </c>
    </row>
    <row r="4483" ht="15.75" customHeight="1" s="108">
      <c r="A4483" s="18" t="inlineStr">
        <is>
          <t>Todd Lewis</t>
        </is>
      </c>
      <c r="B4483" s="18" t="n">
        <v>2</v>
      </c>
      <c r="C4483" s="18" t="n">
        <v>2004</v>
      </c>
      <c r="D4483" s="18" t="n">
        <v>2009</v>
      </c>
      <c r="E4483" s="18" t="inlineStr">
        <is>
          <t>Law Abiding Citizen, The Notebook</t>
        </is>
      </c>
      <c r="F4483" s="18" t="inlineStr">
        <is>
          <t>F0191, F0237</t>
        </is>
      </c>
    </row>
    <row r="4484" ht="15.75" customHeight="1" s="108">
      <c r="A4484" s="18" t="inlineStr">
        <is>
          <t>Bijean Ngo</t>
        </is>
      </c>
      <c r="B4484" s="18" t="n">
        <v>1</v>
      </c>
      <c r="C4484" s="18" t="n">
        <v>2009</v>
      </c>
      <c r="D4484" s="18" t="n">
        <v>2009</v>
      </c>
      <c r="E4484" s="18" t="inlineStr">
        <is>
          <t>Law Abiding Citizen</t>
        </is>
      </c>
      <c r="F4484" s="18" t="inlineStr">
        <is>
          <t>F0191</t>
        </is>
      </c>
    </row>
    <row r="4485" ht="15.75" customHeight="1" s="108">
      <c r="A4485" s="18" t="inlineStr">
        <is>
          <t>Cecelia Ann Birt</t>
        </is>
      </c>
      <c r="B4485" s="18" t="n">
        <v>1</v>
      </c>
      <c r="C4485" s="18" t="n">
        <v>2009</v>
      </c>
      <c r="D4485" s="18" t="n">
        <v>2009</v>
      </c>
      <c r="E4485" s="18" t="inlineStr">
        <is>
          <t>Law Abiding Citizen</t>
        </is>
      </c>
      <c r="F4485" s="18" t="inlineStr">
        <is>
          <t>F0191</t>
        </is>
      </c>
    </row>
    <row r="4486" ht="15.75" customHeight="1" s="108">
      <c r="A4486" s="18" t="inlineStr">
        <is>
          <t>Lamont Clayton</t>
        </is>
      </c>
      <c r="B4486" s="18" t="n">
        <v>1</v>
      </c>
      <c r="C4486" s="18" t="n">
        <v>2009</v>
      </c>
      <c r="D4486" s="18" t="n">
        <v>2009</v>
      </c>
      <c r="E4486" s="18" t="inlineStr">
        <is>
          <t>Law Abiding Citizen</t>
        </is>
      </c>
      <c r="F4486" s="18" t="inlineStr">
        <is>
          <t>F0191</t>
        </is>
      </c>
    </row>
    <row r="4487" ht="15.75" customHeight="1" s="108">
      <c r="A4487" s="18" t="inlineStr">
        <is>
          <t>Dave Huddleston</t>
        </is>
      </c>
      <c r="B4487" s="18" t="n">
        <v>1</v>
      </c>
      <c r="C4487" s="18" t="n">
        <v>2009</v>
      </c>
      <c r="D4487" s="18" t="n">
        <v>2009</v>
      </c>
      <c r="E4487" s="18" t="inlineStr">
        <is>
          <t>Law Abiding Citizen</t>
        </is>
      </c>
      <c r="F4487" s="18" t="inlineStr">
        <is>
          <t>F0191</t>
        </is>
      </c>
    </row>
    <row r="4488" ht="15.75" customHeight="1" s="108">
      <c r="A4488" s="18" t="inlineStr">
        <is>
          <t>Mia Wasikowska</t>
        </is>
      </c>
      <c r="B4488" s="18" t="n">
        <v>1</v>
      </c>
      <c r="C4488" s="18" t="n">
        <v>2012</v>
      </c>
      <c r="D4488" s="18" t="n">
        <v>2012</v>
      </c>
      <c r="E4488" s="18" t="inlineStr">
        <is>
          <t>Lawless</t>
        </is>
      </c>
      <c r="F4488" s="18" t="inlineStr">
        <is>
          <t>F0192</t>
        </is>
      </c>
    </row>
    <row r="4489" ht="15.75" customHeight="1" s="108">
      <c r="A4489" s="18" t="inlineStr">
        <is>
          <t>Dane DeHaan</t>
        </is>
      </c>
      <c r="B4489" s="18" t="n">
        <v>3</v>
      </c>
      <c r="C4489" s="18" t="n">
        <v>2012</v>
      </c>
      <c r="D4489" s="18" t="n">
        <v>2023</v>
      </c>
      <c r="E4489" s="18" t="inlineStr">
        <is>
          <t>Lawless, Oppenheimer, amazing spider-man 2</t>
        </is>
      </c>
      <c r="F4489" s="18" t="inlineStr">
        <is>
          <t>F0192, F0242, F0363</t>
        </is>
      </c>
    </row>
    <row r="4490" ht="15.75" customHeight="1" s="108">
      <c r="A4490" s="18" t="inlineStr">
        <is>
          <t>Lew Temple</t>
        </is>
      </c>
      <c r="B4490" s="18" t="n">
        <v>1</v>
      </c>
      <c r="C4490" s="18" t="n">
        <v>2012</v>
      </c>
      <c r="D4490" s="18" t="n">
        <v>2012</v>
      </c>
      <c r="E4490" s="18" t="inlineStr">
        <is>
          <t>Lawless</t>
        </is>
      </c>
      <c r="F4490" s="18" t="inlineStr">
        <is>
          <t>F0192</t>
        </is>
      </c>
    </row>
    <row r="4491" ht="15.75" customHeight="1" s="108">
      <c r="A4491" s="18" t="inlineStr">
        <is>
          <t>Chris McGarry</t>
        </is>
      </c>
      <c r="B4491" s="18" t="n">
        <v>1</v>
      </c>
      <c r="C4491" s="18" t="n">
        <v>2012</v>
      </c>
      <c r="D4491" s="18" t="n">
        <v>2012</v>
      </c>
      <c r="E4491" s="18" t="inlineStr">
        <is>
          <t>Lawless</t>
        </is>
      </c>
      <c r="F4491" s="18" t="inlineStr">
        <is>
          <t>F0192</t>
        </is>
      </c>
    </row>
    <row r="4492" ht="15.75" customHeight="1" s="108">
      <c r="A4492" s="18" t="inlineStr">
        <is>
          <t>Tim Tolin</t>
        </is>
      </c>
      <c r="B4492" s="18" t="n">
        <v>1</v>
      </c>
      <c r="C4492" s="18" t="n">
        <v>2012</v>
      </c>
      <c r="D4492" s="18" t="n">
        <v>2012</v>
      </c>
      <c r="E4492" s="18" t="inlineStr">
        <is>
          <t>Lawless</t>
        </is>
      </c>
      <c r="F4492" s="18" t="inlineStr">
        <is>
          <t>F0192</t>
        </is>
      </c>
    </row>
    <row r="4493" ht="15.75" customHeight="1" s="108">
      <c r="A4493" s="18" t="inlineStr">
        <is>
          <t>Marcus Hester</t>
        </is>
      </c>
      <c r="B4493" s="18" t="n">
        <v>1</v>
      </c>
      <c r="C4493" s="18" t="n">
        <v>2012</v>
      </c>
      <c r="D4493" s="18" t="n">
        <v>2012</v>
      </c>
      <c r="E4493" s="18" t="inlineStr">
        <is>
          <t>Lawless</t>
        </is>
      </c>
      <c r="F4493" s="18" t="inlineStr">
        <is>
          <t>F0192</t>
        </is>
      </c>
    </row>
    <row r="4494" ht="15.75" customHeight="1" s="108">
      <c r="A4494" s="18" t="inlineStr">
        <is>
          <t>Bill Camp</t>
        </is>
      </c>
      <c r="B4494" s="18" t="n">
        <v>2</v>
      </c>
      <c r="C4494" s="18" t="n">
        <v>2012</v>
      </c>
      <c r="D4494" s="18" t="n">
        <v>2016</v>
      </c>
      <c r="E4494" s="18" t="inlineStr">
        <is>
          <t>Lawless, Jason bourne</t>
        </is>
      </c>
      <c r="F4494" s="18" t="inlineStr">
        <is>
          <t>F0192, F0358</t>
        </is>
      </c>
    </row>
    <row r="4495" ht="15.75" customHeight="1" s="108">
      <c r="A4495" s="18" t="inlineStr">
        <is>
          <t>Alex Van</t>
        </is>
      </c>
      <c r="B4495" s="18" t="n">
        <v>1</v>
      </c>
      <c r="C4495" s="18" t="n">
        <v>2012</v>
      </c>
      <c r="D4495" s="18" t="n">
        <v>2012</v>
      </c>
      <c r="E4495" s="18" t="inlineStr">
        <is>
          <t>Lawless</t>
        </is>
      </c>
      <c r="F4495" s="18" t="inlineStr">
        <is>
          <t>F0192</t>
        </is>
      </c>
    </row>
    <row r="4496" ht="15.75" customHeight="1" s="108">
      <c r="A4496" s="18" t="inlineStr">
        <is>
          <t>Noah Taylor</t>
        </is>
      </c>
      <c r="B4496" s="18" t="n">
        <v>1</v>
      </c>
      <c r="C4496" s="18" t="n">
        <v>2012</v>
      </c>
      <c r="D4496" s="18" t="n">
        <v>2012</v>
      </c>
      <c r="E4496" s="18" t="inlineStr">
        <is>
          <t>Lawless</t>
        </is>
      </c>
      <c r="F4496" s="18" t="inlineStr">
        <is>
          <t>F0192</t>
        </is>
      </c>
    </row>
    <row r="4497" ht="15.75" customHeight="1" s="108">
      <c r="A4497" s="18" t="inlineStr">
        <is>
          <t>Mark Ashworth</t>
        </is>
      </c>
      <c r="B4497" s="18" t="n">
        <v>2</v>
      </c>
      <c r="C4497" s="18" t="n">
        <v>2012</v>
      </c>
      <c r="D4497" s="18" t="n">
        <v>2016</v>
      </c>
      <c r="E4497" s="18" t="inlineStr">
        <is>
          <t>Lawless, The Magnificent Seven</t>
        </is>
      </c>
      <c r="F4497" s="18" t="inlineStr">
        <is>
          <t>F0192, F0207</t>
        </is>
      </c>
    </row>
    <row r="4498" ht="15.75" customHeight="1" s="108">
      <c r="A4498" s="18" t="inlineStr">
        <is>
          <t>Tom Proctor</t>
        </is>
      </c>
      <c r="B4498" s="18" t="n">
        <v>1</v>
      </c>
      <c r="C4498" s="18" t="n">
        <v>2012</v>
      </c>
      <c r="D4498" s="18" t="n">
        <v>2012</v>
      </c>
      <c r="E4498" s="18" t="inlineStr">
        <is>
          <t>Lawless</t>
        </is>
      </c>
      <c r="F4498" s="18" t="inlineStr">
        <is>
          <t>F0192</t>
        </is>
      </c>
    </row>
    <row r="4499" ht="15.75" customHeight="1" s="108">
      <c r="A4499" s="18" t="inlineStr">
        <is>
          <t>Bruce McKinnon</t>
        </is>
      </c>
      <c r="B4499" s="18" t="n">
        <v>1</v>
      </c>
      <c r="C4499" s="18" t="n">
        <v>2012</v>
      </c>
      <c r="D4499" s="18" t="n">
        <v>2012</v>
      </c>
      <c r="E4499" s="18" t="inlineStr">
        <is>
          <t>Lawless</t>
        </is>
      </c>
      <c r="F4499" s="18" t="inlineStr">
        <is>
          <t>F0192</t>
        </is>
      </c>
    </row>
    <row r="4500" ht="15.75" customHeight="1" s="108">
      <c r="A4500" s="18" t="inlineStr">
        <is>
          <t>Eric Mendenhall</t>
        </is>
      </c>
      <c r="B4500" s="18" t="n">
        <v>1</v>
      </c>
      <c r="C4500" s="18" t="n">
        <v>2012</v>
      </c>
      <c r="D4500" s="18" t="n">
        <v>2012</v>
      </c>
      <c r="E4500" s="18" t="inlineStr">
        <is>
          <t>Lawless</t>
        </is>
      </c>
      <c r="F4500" s="18" t="inlineStr">
        <is>
          <t>F0192</t>
        </is>
      </c>
    </row>
    <row r="4501" ht="15.75" customHeight="1" s="108">
      <c r="A4501" s="18" t="inlineStr">
        <is>
          <t>Toni Byrd</t>
        </is>
      </c>
      <c r="B4501" s="18" t="n">
        <v>1</v>
      </c>
      <c r="C4501" s="18" t="n">
        <v>2012</v>
      </c>
      <c r="D4501" s="18" t="n">
        <v>2012</v>
      </c>
      <c r="E4501" s="18" t="inlineStr">
        <is>
          <t>Lawless</t>
        </is>
      </c>
      <c r="F4501" s="18" t="inlineStr">
        <is>
          <t>F0192</t>
        </is>
      </c>
    </row>
    <row r="4502" ht="15.75" customHeight="1" s="108">
      <c r="A4502" s="18" t="inlineStr">
        <is>
          <t>Robert T. Smith</t>
        </is>
      </c>
      <c r="B4502" s="18" t="n">
        <v>1</v>
      </c>
      <c r="C4502" s="18" t="n">
        <v>2012</v>
      </c>
      <c r="D4502" s="18" t="n">
        <v>2012</v>
      </c>
      <c r="E4502" s="18" t="inlineStr">
        <is>
          <t>Lawless</t>
        </is>
      </c>
      <c r="F4502" s="18" t="inlineStr">
        <is>
          <t>F0192</t>
        </is>
      </c>
    </row>
    <row r="4503" ht="15.75" customHeight="1" s="108">
      <c r="A4503" s="18" t="inlineStr">
        <is>
          <t>Jake Nash</t>
        </is>
      </c>
      <c r="B4503" s="18" t="n">
        <v>1</v>
      </c>
      <c r="C4503" s="18" t="n">
        <v>2012</v>
      </c>
      <c r="D4503" s="18" t="n">
        <v>2012</v>
      </c>
      <c r="E4503" s="18" t="inlineStr">
        <is>
          <t>Lawless</t>
        </is>
      </c>
      <c r="F4503" s="18" t="inlineStr">
        <is>
          <t>F0192</t>
        </is>
      </c>
    </row>
    <row r="4504" ht="15.75" customHeight="1" s="108">
      <c r="A4504" s="18" t="inlineStr">
        <is>
          <t>William J. Harrison</t>
        </is>
      </c>
      <c r="B4504" s="18" t="n">
        <v>1</v>
      </c>
      <c r="C4504" s="18" t="n">
        <v>2012</v>
      </c>
      <c r="D4504" s="18" t="n">
        <v>2012</v>
      </c>
      <c r="E4504" s="18" t="inlineStr">
        <is>
          <t>Lawless</t>
        </is>
      </c>
      <c r="F4504" s="18" t="inlineStr">
        <is>
          <t>F0192</t>
        </is>
      </c>
    </row>
    <row r="4505" ht="15.75" customHeight="1" s="108">
      <c r="A4505" s="18" t="inlineStr">
        <is>
          <t>Joyce Baxter</t>
        </is>
      </c>
      <c r="B4505" s="18" t="n">
        <v>1</v>
      </c>
      <c r="C4505" s="18" t="n">
        <v>2012</v>
      </c>
      <c r="D4505" s="18" t="n">
        <v>2012</v>
      </c>
      <c r="E4505" s="18" t="inlineStr">
        <is>
          <t>Lawless</t>
        </is>
      </c>
      <c r="F4505" s="18" t="inlineStr">
        <is>
          <t>F0192</t>
        </is>
      </c>
    </row>
    <row r="4506" ht="15.75" customHeight="1" s="108">
      <c r="A4506" s="18" t="inlineStr">
        <is>
          <t>Jeff Braun</t>
        </is>
      </c>
      <c r="B4506" s="18" t="n">
        <v>1</v>
      </c>
      <c r="C4506" s="18" t="n">
        <v>2012</v>
      </c>
      <c r="D4506" s="18" t="n">
        <v>2012</v>
      </c>
      <c r="E4506" s="18" t="inlineStr">
        <is>
          <t>Lawless</t>
        </is>
      </c>
      <c r="F4506" s="18" t="inlineStr">
        <is>
          <t>F0192</t>
        </is>
      </c>
    </row>
    <row r="4507" ht="15.75" customHeight="1" s="108">
      <c r="A4507" s="18" t="inlineStr">
        <is>
          <t>Malinda Baker</t>
        </is>
      </c>
      <c r="B4507" s="18" t="n">
        <v>1</v>
      </c>
      <c r="C4507" s="18" t="n">
        <v>2012</v>
      </c>
      <c r="D4507" s="18" t="n">
        <v>2012</v>
      </c>
      <c r="E4507" s="18" t="inlineStr">
        <is>
          <t>Lawless</t>
        </is>
      </c>
      <c r="F4507" s="18" t="inlineStr">
        <is>
          <t>F0192</t>
        </is>
      </c>
    </row>
    <row r="4508" ht="15.75" customHeight="1" s="108">
      <c r="A4508" s="18" t="inlineStr">
        <is>
          <t>Tom Turbiville</t>
        </is>
      </c>
      <c r="B4508" s="18" t="n">
        <v>1</v>
      </c>
      <c r="C4508" s="18" t="n">
        <v>2012</v>
      </c>
      <c r="D4508" s="18" t="n">
        <v>2012</v>
      </c>
      <c r="E4508" s="18" t="inlineStr">
        <is>
          <t>Lawless</t>
        </is>
      </c>
      <c r="F4508" s="18" t="inlineStr">
        <is>
          <t>F0192</t>
        </is>
      </c>
    </row>
    <row r="4509" ht="15.75" customHeight="1" s="108">
      <c r="A4509" s="18" t="inlineStr">
        <is>
          <t>Terry Keasler</t>
        </is>
      </c>
      <c r="B4509" s="18" t="n">
        <v>1</v>
      </c>
      <c r="C4509" s="18" t="n">
        <v>2012</v>
      </c>
      <c r="D4509" s="18" t="n">
        <v>2012</v>
      </c>
      <c r="E4509" s="18" t="inlineStr">
        <is>
          <t>Lawless</t>
        </is>
      </c>
      <c r="F4509" s="18" t="inlineStr">
        <is>
          <t>F0192</t>
        </is>
      </c>
    </row>
    <row r="4510" ht="15.75" customHeight="1" s="108">
      <c r="A4510" s="18" t="inlineStr">
        <is>
          <t>Duncan Nicholson</t>
        </is>
      </c>
      <c r="B4510" s="18" t="n">
        <v>1</v>
      </c>
      <c r="C4510" s="18" t="n">
        <v>2012</v>
      </c>
      <c r="D4510" s="18" t="n">
        <v>2012</v>
      </c>
      <c r="E4510" s="18" t="inlineStr">
        <is>
          <t>Lawless</t>
        </is>
      </c>
      <c r="F4510" s="18" t="inlineStr">
        <is>
          <t>F0192</t>
        </is>
      </c>
    </row>
    <row r="4511" ht="15.75" customHeight="1" s="108">
      <c r="A4511" s="18" t="inlineStr">
        <is>
          <t>Conan O'Brien</t>
        </is>
      </c>
      <c r="B4511" s="18" t="n">
        <v>1</v>
      </c>
      <c r="C4511" s="18" t="n">
        <v>2017</v>
      </c>
      <c r="D4511" s="18" t="n">
        <v>2017</v>
      </c>
      <c r="E4511" s="18" t="inlineStr">
        <is>
          <t>The Lego Batman Movie</t>
        </is>
      </c>
      <c r="F4511" s="18" t="inlineStr">
        <is>
          <t>F0193</t>
        </is>
      </c>
    </row>
    <row r="4512" ht="15.75" customHeight="1" s="108">
      <c r="A4512" s="18" t="inlineStr">
        <is>
          <t>Doug Benson</t>
        </is>
      </c>
      <c r="B4512" s="18" t="n">
        <v>1</v>
      </c>
      <c r="C4512" s="18" t="n">
        <v>2017</v>
      </c>
      <c r="D4512" s="18" t="n">
        <v>2017</v>
      </c>
      <c r="E4512" s="18" t="inlineStr">
        <is>
          <t>The Lego Batman Movie</t>
        </is>
      </c>
      <c r="F4512" s="18" t="inlineStr">
        <is>
          <t>F0193</t>
        </is>
      </c>
    </row>
    <row r="4513" ht="15.75" customHeight="1" s="108">
      <c r="A4513" s="18" t="inlineStr">
        <is>
          <t>Kate Micucci</t>
        </is>
      </c>
      <c r="B4513" s="18" t="n">
        <v>1</v>
      </c>
      <c r="C4513" s="18" t="n">
        <v>2017</v>
      </c>
      <c r="D4513" s="18" t="n">
        <v>2017</v>
      </c>
      <c r="E4513" s="18" t="inlineStr">
        <is>
          <t>The Lego Batman Movie</t>
        </is>
      </c>
      <c r="F4513" s="18" t="inlineStr">
        <is>
          <t>F0193</t>
        </is>
      </c>
    </row>
    <row r="4514" ht="15.75" customHeight="1" s="108">
      <c r="A4514" s="18" t="inlineStr">
        <is>
          <t>Riki Lindhome</t>
        </is>
      </c>
      <c r="B4514" s="18" t="n">
        <v>1</v>
      </c>
      <c r="C4514" s="18" t="n">
        <v>2017</v>
      </c>
      <c r="D4514" s="18" t="n">
        <v>2017</v>
      </c>
      <c r="E4514" s="18" t="inlineStr">
        <is>
          <t>The Lego Batman Movie</t>
        </is>
      </c>
      <c r="F4514" s="18" t="inlineStr">
        <is>
          <t>F0193</t>
        </is>
      </c>
    </row>
    <row r="4515" ht="15.75" customHeight="1" s="108">
      <c r="A4515" s="18" t="inlineStr">
        <is>
          <t>Suzy Eddie Izzard</t>
        </is>
      </c>
      <c r="B4515" s="18" t="n">
        <v>1</v>
      </c>
      <c r="C4515" s="18" t="n">
        <v>2017</v>
      </c>
      <c r="D4515" s="18" t="n">
        <v>2017</v>
      </c>
      <c r="E4515" s="18" t="inlineStr">
        <is>
          <t>The Lego Batman Movie</t>
        </is>
      </c>
      <c r="F4515" s="18" t="inlineStr">
        <is>
          <t>F0193</t>
        </is>
      </c>
    </row>
    <row r="4516" ht="15.75" customHeight="1" s="108">
      <c r="A4516" s="18" t="inlineStr">
        <is>
          <t>Seth Green</t>
        </is>
      </c>
      <c r="B4516" s="18" t="n">
        <v>1</v>
      </c>
      <c r="C4516" s="18" t="n">
        <v>2017</v>
      </c>
      <c r="D4516" s="18" t="n">
        <v>2017</v>
      </c>
      <c r="E4516" s="18" t="inlineStr">
        <is>
          <t>The Lego Batman Movie</t>
        </is>
      </c>
      <c r="F4516" s="18" t="inlineStr">
        <is>
          <t>F0193</t>
        </is>
      </c>
    </row>
    <row r="4517" ht="15.75" customHeight="1" s="108">
      <c r="A4517" s="18" t="inlineStr">
        <is>
          <t>Adam Devine</t>
        </is>
      </c>
      <c r="B4517" s="18" t="n">
        <v>3</v>
      </c>
      <c r="C4517" s="18" t="n">
        <v>2012</v>
      </c>
      <c r="D4517" s="18" t="n">
        <v>2017</v>
      </c>
      <c r="E4517" s="18" t="inlineStr">
        <is>
          <t>The Lego Batman Movie, Pitch Perfect, Pitch Perfect 2</t>
        </is>
      </c>
      <c r="F4517" s="18" t="inlineStr">
        <is>
          <t>F0193, F0250, F0251</t>
        </is>
      </c>
    </row>
    <row r="4518" ht="15.75" customHeight="1" s="108">
      <c r="A4518" s="18" t="inlineStr">
        <is>
          <t>Héctor Elizondo</t>
        </is>
      </c>
      <c r="B4518" s="18" t="n">
        <v>1</v>
      </c>
      <c r="C4518" s="18" t="n">
        <v>2017</v>
      </c>
      <c r="D4518" s="18" t="n">
        <v>2017</v>
      </c>
      <c r="E4518" s="18" t="inlineStr">
        <is>
          <t>The Lego Batman Movie</t>
        </is>
      </c>
      <c r="F4518" s="18" t="inlineStr">
        <is>
          <t>F0193</t>
        </is>
      </c>
    </row>
    <row r="4519" ht="15.75" customHeight="1" s="108">
      <c r="A4519" s="18" t="inlineStr">
        <is>
          <t>Mariah Carey</t>
        </is>
      </c>
      <c r="B4519" s="18" t="n">
        <v>1</v>
      </c>
      <c r="C4519" s="18" t="n">
        <v>2017</v>
      </c>
      <c r="D4519" s="18" t="n">
        <v>2017</v>
      </c>
      <c r="E4519" s="18" t="inlineStr">
        <is>
          <t>The Lego Batman Movie</t>
        </is>
      </c>
      <c r="F4519" s="18" t="inlineStr">
        <is>
          <t>F0193</t>
        </is>
      </c>
    </row>
    <row r="4520" ht="15.75" customHeight="1" s="108">
      <c r="A4520" s="18" t="inlineStr">
        <is>
          <t>Lauren White</t>
        </is>
      </c>
      <c r="B4520" s="18" t="n">
        <v>1</v>
      </c>
      <c r="C4520" s="18" t="n">
        <v>2017</v>
      </c>
      <c r="D4520" s="18" t="n">
        <v>2017</v>
      </c>
      <c r="E4520" s="18" t="inlineStr">
        <is>
          <t>The Lego Batman Movie</t>
        </is>
      </c>
      <c r="F4520" s="18" t="inlineStr">
        <is>
          <t>F0193</t>
        </is>
      </c>
    </row>
    <row r="4521" ht="15.75" customHeight="1" s="108">
      <c r="A4521" s="18" t="inlineStr">
        <is>
          <t>David Burrows</t>
        </is>
      </c>
      <c r="B4521" s="18" t="n">
        <v>2</v>
      </c>
      <c r="C4521" s="18" t="n">
        <v>2014</v>
      </c>
      <c r="D4521" s="18" t="n">
        <v>2017</v>
      </c>
      <c r="E4521" s="18" t="inlineStr">
        <is>
          <t>The Lego Batman Movie, The Lego Movie</t>
        </is>
      </c>
      <c r="F4521" s="18" t="inlineStr">
        <is>
          <t>F0193, F0195</t>
        </is>
      </c>
    </row>
    <row r="4522" ht="15.75" customHeight="1" s="108">
      <c r="A4522" s="18" t="inlineStr">
        <is>
          <t>Brent Musburger</t>
        </is>
      </c>
      <c r="B4522" s="18" t="n">
        <v>1</v>
      </c>
      <c r="C4522" s="18" t="n">
        <v>2017</v>
      </c>
      <c r="D4522" s="18" t="n">
        <v>2017</v>
      </c>
      <c r="E4522" s="18" t="inlineStr">
        <is>
          <t>The Lego Batman Movie</t>
        </is>
      </c>
      <c r="F4522" s="18" t="inlineStr">
        <is>
          <t>F0193</t>
        </is>
      </c>
    </row>
    <row r="4523" ht="15.75" customHeight="1" s="108">
      <c r="A4523" s="18" t="inlineStr">
        <is>
          <t>Chris Hardwick</t>
        </is>
      </c>
      <c r="B4523" s="18" t="n">
        <v>1</v>
      </c>
      <c r="C4523" s="18" t="n">
        <v>2017</v>
      </c>
      <c r="D4523" s="18" t="n">
        <v>2017</v>
      </c>
      <c r="E4523" s="18" t="inlineStr">
        <is>
          <t>The Lego Batman Movie</t>
        </is>
      </c>
      <c r="F4523" s="18" t="inlineStr">
        <is>
          <t>F0193</t>
        </is>
      </c>
    </row>
    <row r="4524" ht="15.75" customHeight="1" s="108">
      <c r="A4524" s="18" t="inlineStr">
        <is>
          <t>Todd Hansen</t>
        </is>
      </c>
      <c r="B4524" s="18" t="n">
        <v>3</v>
      </c>
      <c r="C4524" s="18" t="n">
        <v>2014</v>
      </c>
      <c r="D4524" s="18" t="n">
        <v>2019</v>
      </c>
      <c r="E4524" s="18" t="inlineStr">
        <is>
          <t>The Lego Batman Movie, The Lego Movie, The Lego Movie 2: The Second Part</t>
        </is>
      </c>
      <c r="F4524" s="18" t="inlineStr">
        <is>
          <t>F0193, F0195, F0196</t>
        </is>
      </c>
    </row>
    <row r="4525" ht="15.75" customHeight="1" s="108">
      <c r="A4525" s="18" t="inlineStr">
        <is>
          <t>Chris McKay</t>
        </is>
      </c>
      <c r="B4525" s="18" t="n">
        <v>2</v>
      </c>
      <c r="C4525" s="18" t="n">
        <v>2014</v>
      </c>
      <c r="D4525" s="18" t="n">
        <v>2017</v>
      </c>
      <c r="E4525" s="18" t="inlineStr">
        <is>
          <t>The Lego Batman Movie, The Lego Movie</t>
        </is>
      </c>
      <c r="F4525" s="18" t="inlineStr">
        <is>
          <t>F0193, F0195</t>
        </is>
      </c>
    </row>
    <row r="4526" ht="15.75" customHeight="1" s="108">
      <c r="A4526" s="18" t="inlineStr">
        <is>
          <t>Rob Paulsen</t>
        </is>
      </c>
      <c r="B4526" s="18" t="n">
        <v>1</v>
      </c>
      <c r="C4526" s="18" t="n">
        <v>2013</v>
      </c>
      <c r="D4526" s="18" t="n">
        <v>2013</v>
      </c>
      <c r="E4526" s="18" t="inlineStr">
        <is>
          <t>Lego Batman: The Movie - DC Super Heroes Unite</t>
        </is>
      </c>
      <c r="F4526" s="18" t="inlineStr">
        <is>
          <t>F0194</t>
        </is>
      </c>
    </row>
    <row r="4527" ht="15.75" customHeight="1" s="108">
      <c r="A4527" s="18" t="inlineStr">
        <is>
          <t>Townsend Coleman</t>
        </is>
      </c>
      <c r="B4527" s="18" t="n">
        <v>1</v>
      </c>
      <c r="C4527" s="18" t="n">
        <v>2013</v>
      </c>
      <c r="D4527" s="18" t="n">
        <v>2013</v>
      </c>
      <c r="E4527" s="18" t="inlineStr">
        <is>
          <t>Lego Batman: The Movie - DC Super Heroes Unite</t>
        </is>
      </c>
      <c r="F4527" s="18" t="inlineStr">
        <is>
          <t>F0194</t>
        </is>
      </c>
    </row>
    <row r="4528" ht="15.75" customHeight="1" s="108">
      <c r="A4528" s="18" t="inlineStr">
        <is>
          <t>Laura Bailey</t>
        </is>
      </c>
      <c r="B4528" s="18" t="n">
        <v>1</v>
      </c>
      <c r="C4528" s="18" t="n">
        <v>2013</v>
      </c>
      <c r="D4528" s="18" t="n">
        <v>2013</v>
      </c>
      <c r="E4528" s="18" t="inlineStr">
        <is>
          <t>Lego Batman: The Movie - DC Super Heroes Unite</t>
        </is>
      </c>
      <c r="F4528" s="18" t="inlineStr">
        <is>
          <t>F0194</t>
        </is>
      </c>
    </row>
    <row r="4529" ht="15.75" customHeight="1" s="108">
      <c r="A4529" s="18" t="inlineStr">
        <is>
          <t>Kari Wahlgren</t>
        </is>
      </c>
      <c r="B4529" s="18" t="n">
        <v>3</v>
      </c>
      <c r="C4529" s="18" t="n">
        <v>2013</v>
      </c>
      <c r="D4529" s="18" t="n">
        <v>2016</v>
      </c>
      <c r="E4529" s="18" t="inlineStr">
        <is>
          <t>Lego Batman: The Movie - DC Super Heroes Unite, Lego DC Comics Super Heroes: Justice League vs. Bizarro League, Lego DC Comics Super Heroes: Justice League - Gotham City Breakout</t>
        </is>
      </c>
      <c r="F4529" s="18" t="inlineStr">
        <is>
          <t>F0194, F0197, F0198</t>
        </is>
      </c>
    </row>
    <row r="4530" ht="15.75" customHeight="1" s="108">
      <c r="A4530" s="18" t="inlineStr">
        <is>
          <t>Katherine Von Till</t>
        </is>
      </c>
      <c r="B4530" s="18" t="n">
        <v>1</v>
      </c>
      <c r="C4530" s="18" t="n">
        <v>2013</v>
      </c>
      <c r="D4530" s="18" t="n">
        <v>2013</v>
      </c>
      <c r="E4530" s="18" t="inlineStr">
        <is>
          <t>Lego Batman: The Movie - DC Super Heroes Unite</t>
        </is>
      </c>
      <c r="F4530" s="18" t="inlineStr">
        <is>
          <t>F0194</t>
        </is>
      </c>
    </row>
    <row r="4531" ht="15.75" customHeight="1" s="108">
      <c r="A4531" s="18" t="inlineStr">
        <is>
          <t>Steve Blum</t>
        </is>
      </c>
      <c r="B4531" s="18" t="n">
        <v>1</v>
      </c>
      <c r="C4531" s="18" t="n">
        <v>2013</v>
      </c>
      <c r="D4531" s="18" t="n">
        <v>2013</v>
      </c>
      <c r="E4531" s="18" t="inlineStr">
        <is>
          <t>Lego Batman: The Movie - DC Super Heroes Unite</t>
        </is>
      </c>
      <c r="F4531" s="18" t="inlineStr">
        <is>
          <t>F0194</t>
        </is>
      </c>
    </row>
    <row r="4532" ht="15.75" customHeight="1" s="108">
      <c r="A4532" s="18" t="inlineStr">
        <is>
          <t>Erin Shanagher</t>
        </is>
      </c>
      <c r="B4532" s="18" t="n">
        <v>1</v>
      </c>
      <c r="C4532" s="18" t="n">
        <v>2013</v>
      </c>
      <c r="D4532" s="18" t="n">
        <v>2013</v>
      </c>
      <c r="E4532" s="18" t="inlineStr">
        <is>
          <t>Lego Batman: The Movie - DC Super Heroes Unite</t>
        </is>
      </c>
      <c r="F4532" s="18" t="inlineStr">
        <is>
          <t>F0194</t>
        </is>
      </c>
    </row>
    <row r="4533" ht="15.75" customHeight="1" s="108">
      <c r="A4533" s="18" t="inlineStr">
        <is>
          <t>Alison Brie</t>
        </is>
      </c>
      <c r="B4533" s="18" t="n">
        <v>2</v>
      </c>
      <c r="C4533" s="18" t="n">
        <v>2014</v>
      </c>
      <c r="D4533" s="18" t="n">
        <v>2019</v>
      </c>
      <c r="E4533" s="18" t="inlineStr">
        <is>
          <t>The Lego Movie, The Lego Movie 2: The Second Part</t>
        </is>
      </c>
      <c r="F4533" s="18" t="inlineStr">
        <is>
          <t>F0195, F0196</t>
        </is>
      </c>
    </row>
    <row r="4534" ht="15.75" customHeight="1" s="108">
      <c r="A4534" s="18" t="inlineStr">
        <is>
          <t>Jadon Sand</t>
        </is>
      </c>
      <c r="B4534" s="18" t="n">
        <v>2</v>
      </c>
      <c r="C4534" s="18" t="n">
        <v>2014</v>
      </c>
      <c r="D4534" s="18" t="n">
        <v>2019</v>
      </c>
      <c r="E4534" s="18" t="inlineStr">
        <is>
          <t>The Lego Movie, The Lego Movie 2: The Second Part</t>
        </is>
      </c>
      <c r="F4534" s="18" t="inlineStr">
        <is>
          <t>F0195, F0196</t>
        </is>
      </c>
    </row>
    <row r="4535" ht="15.75" customHeight="1" s="108">
      <c r="A4535" s="18" t="inlineStr">
        <is>
          <t>Keith Ferguson</t>
        </is>
      </c>
      <c r="B4535" s="18" t="n">
        <v>2</v>
      </c>
      <c r="C4535" s="18" t="n">
        <v>2014</v>
      </c>
      <c r="D4535" s="18" t="n">
        <v>2015</v>
      </c>
      <c r="E4535" s="18" t="inlineStr">
        <is>
          <t>The Lego Movie, Minions</t>
        </is>
      </c>
      <c r="F4535" s="18" t="inlineStr">
        <is>
          <t>F0195, F0220</t>
        </is>
      </c>
    </row>
    <row r="4536" ht="15.75" customHeight="1" s="108">
      <c r="A4536" s="18" t="inlineStr">
        <is>
          <t>Jorma Taccone</t>
        </is>
      </c>
      <c r="B4536" s="18" t="n">
        <v>3</v>
      </c>
      <c r="C4536" s="18" t="n">
        <v>2014</v>
      </c>
      <c r="D4536" s="18" t="n">
        <v>2025</v>
      </c>
      <c r="E4536" s="18" t="inlineStr">
        <is>
          <t>The Lego Movie, The Lego Movie 2: The Second Part, sonic the hedgehog 3</t>
        </is>
      </c>
      <c r="F4536" s="18" t="inlineStr">
        <is>
          <t>F0195, F0196, F0379</t>
        </is>
      </c>
    </row>
    <row r="4537" ht="15.75" customHeight="1" s="108">
      <c r="A4537" s="18" t="inlineStr">
        <is>
          <t>Christopher Miller</t>
        </is>
      </c>
      <c r="B4537" s="18" t="n">
        <v>1</v>
      </c>
      <c r="C4537" s="18" t="n">
        <v>2014</v>
      </c>
      <c r="D4537" s="18" t="n">
        <v>2014</v>
      </c>
      <c r="E4537" s="18" t="inlineStr">
        <is>
          <t>The Lego Movie</t>
        </is>
      </c>
      <c r="F4537" s="18" t="inlineStr">
        <is>
          <t>F0195</t>
        </is>
      </c>
    </row>
    <row r="4538" ht="15.75" customHeight="1" s="108">
      <c r="A4538" s="18" t="inlineStr">
        <is>
          <t>Chris Romano</t>
        </is>
      </c>
      <c r="B4538" s="18" t="n">
        <v>1</v>
      </c>
      <c r="C4538" s="18" t="n">
        <v>2014</v>
      </c>
      <c r="D4538" s="18" t="n">
        <v>2014</v>
      </c>
      <c r="E4538" s="18" t="inlineStr">
        <is>
          <t>The Lego Movie</t>
        </is>
      </c>
      <c r="F4538" s="18" t="inlineStr">
        <is>
          <t>F0195</t>
        </is>
      </c>
    </row>
    <row r="4539" ht="15.75" customHeight="1" s="108">
      <c r="A4539" s="18" t="inlineStr">
        <is>
          <t>Kelly Lafferty</t>
        </is>
      </c>
      <c r="B4539" s="18" t="n">
        <v>1</v>
      </c>
      <c r="C4539" s="18" t="n">
        <v>2014</v>
      </c>
      <c r="D4539" s="18" t="n">
        <v>2014</v>
      </c>
      <c r="E4539" s="18" t="inlineStr">
        <is>
          <t>The Lego Movie</t>
        </is>
      </c>
      <c r="F4539" s="18" t="inlineStr">
        <is>
          <t>F0195</t>
        </is>
      </c>
    </row>
    <row r="4540" ht="15.75" customHeight="1" s="108">
      <c r="A4540" s="18" t="inlineStr">
        <is>
          <t>Amanda Farinos</t>
        </is>
      </c>
      <c r="B4540" s="18" t="n">
        <v>1</v>
      </c>
      <c r="C4540" s="18" t="n">
        <v>2014</v>
      </c>
      <c r="D4540" s="18" t="n">
        <v>2014</v>
      </c>
      <c r="E4540" s="18" t="inlineStr">
        <is>
          <t>The Lego Movie</t>
        </is>
      </c>
      <c r="F4540" s="18" t="inlineStr">
        <is>
          <t>F0195</t>
        </is>
      </c>
    </row>
    <row r="4541" ht="15.75" customHeight="1" s="108">
      <c r="A4541" s="18" t="inlineStr">
        <is>
          <t>Craig Berry</t>
        </is>
      </c>
      <c r="B4541" s="18" t="n">
        <v>1</v>
      </c>
      <c r="C4541" s="18" t="n">
        <v>2014</v>
      </c>
      <c r="D4541" s="18" t="n">
        <v>2014</v>
      </c>
      <c r="E4541" s="18" t="inlineStr">
        <is>
          <t>The Lego Movie</t>
        </is>
      </c>
      <c r="F4541" s="18" t="inlineStr">
        <is>
          <t>F0195</t>
        </is>
      </c>
    </row>
    <row r="4542" ht="15.75" customHeight="1" s="108">
      <c r="A4542" s="18" t="inlineStr">
        <is>
          <t>Brooklynn Prince</t>
        </is>
      </c>
      <c r="B4542" s="18" t="n">
        <v>1</v>
      </c>
      <c r="C4542" s="18" t="n">
        <v>2019</v>
      </c>
      <c r="D4542" s="18" t="n">
        <v>2019</v>
      </c>
      <c r="E4542" s="18" t="inlineStr">
        <is>
          <t>The Lego Movie 2: The Second Part</t>
        </is>
      </c>
      <c r="F4542" s="18" t="inlineStr">
        <is>
          <t>F0196</t>
        </is>
      </c>
    </row>
    <row r="4543" ht="15.75" customHeight="1" s="108">
      <c r="A4543" s="18" t="inlineStr">
        <is>
          <t>Richard Ayoade</t>
        </is>
      </c>
      <c r="B4543" s="18" t="n">
        <v>1</v>
      </c>
      <c r="C4543" s="18" t="n">
        <v>2019</v>
      </c>
      <c r="D4543" s="18" t="n">
        <v>2019</v>
      </c>
      <c r="E4543" s="18" t="inlineStr">
        <is>
          <t>The Lego Movie 2: The Second Part</t>
        </is>
      </c>
      <c r="F4543" s="18" t="inlineStr">
        <is>
          <t>F0196</t>
        </is>
      </c>
    </row>
    <row r="4544" ht="15.75" customHeight="1" s="108">
      <c r="A4544" s="18" t="inlineStr">
        <is>
          <t>Ben Schwartz</t>
        </is>
      </c>
      <c r="B4544" s="18" t="n">
        <v>3</v>
      </c>
      <c r="C4544" s="18" t="n">
        <v>2019</v>
      </c>
      <c r="D4544" s="18" t="n">
        <v>2025</v>
      </c>
      <c r="E4544" s="18" t="inlineStr">
        <is>
          <t>The Lego Movie 2: The Second Part, sonic the hedgehog, sonic the hedgehog 3</t>
        </is>
      </c>
      <c r="F4544" s="18" t="inlineStr">
        <is>
          <t>F0196, F0378, F0379</t>
        </is>
      </c>
    </row>
    <row r="4545" ht="15.75" customHeight="1" s="108">
      <c r="A4545" s="18" t="inlineStr">
        <is>
          <t>Noel Fielding</t>
        </is>
      </c>
      <c r="B4545" s="18" t="n">
        <v>1</v>
      </c>
      <c r="C4545" s="18" t="n">
        <v>2019</v>
      </c>
      <c r="D4545" s="18" t="n">
        <v>2019</v>
      </c>
      <c r="E4545" s="18" t="inlineStr">
        <is>
          <t>The Lego Movie 2: The Second Part</t>
        </is>
      </c>
      <c r="F4545" s="18" t="inlineStr">
        <is>
          <t>F0196</t>
        </is>
      </c>
    </row>
    <row r="4546" ht="15.75" customHeight="1" s="108">
      <c r="A4546" s="18" t="inlineStr">
        <is>
          <t>Ike Barinholtz</t>
        </is>
      </c>
      <c r="B4546" s="18" t="n">
        <v>3</v>
      </c>
      <c r="C4546" s="18" t="n">
        <v>2019</v>
      </c>
      <c r="D4546" s="18" t="n">
        <v>2022</v>
      </c>
      <c r="E4546" s="18" t="inlineStr">
        <is>
          <t xml:space="preserve">The Lego Movie 2: The Second Part, Unbearable weight of massive talent, Unbearable weight of massive talent </t>
        </is>
      </c>
      <c r="F4546" s="18" t="inlineStr">
        <is>
          <t>F0196, F0388</t>
        </is>
      </c>
    </row>
    <row r="4547" ht="15.75" customHeight="1" s="108">
      <c r="A4547" s="18" t="inlineStr">
        <is>
          <t>Jimmy O. Yang</t>
        </is>
      </c>
      <c r="B4547" s="18" t="n">
        <v>1</v>
      </c>
      <c r="C4547" s="18" t="n">
        <v>2019</v>
      </c>
      <c r="D4547" s="18" t="n">
        <v>2019</v>
      </c>
      <c r="E4547" s="18" t="inlineStr">
        <is>
          <t>The Lego Movie 2: The Second Part</t>
        </is>
      </c>
      <c r="F4547" s="18" t="inlineStr">
        <is>
          <t>F0196</t>
        </is>
      </c>
    </row>
    <row r="4548" ht="15.75" customHeight="1" s="108">
      <c r="A4548" s="18" t="inlineStr">
        <is>
          <t>Gary Payton</t>
        </is>
      </c>
      <c r="B4548" s="18" t="n">
        <v>1</v>
      </c>
      <c r="C4548" s="18" t="n">
        <v>2019</v>
      </c>
      <c r="D4548" s="18" t="n">
        <v>2019</v>
      </c>
      <c r="E4548" s="18" t="inlineStr">
        <is>
          <t>The Lego Movie 2: The Second Part</t>
        </is>
      </c>
      <c r="F4548" s="18" t="inlineStr">
        <is>
          <t>F0196</t>
        </is>
      </c>
    </row>
    <row r="4549" ht="15.75" customHeight="1" s="108">
      <c r="A4549" s="18" t="inlineStr">
        <is>
          <t>Sheryl Swoopes</t>
        </is>
      </c>
      <c r="B4549" s="18" t="n">
        <v>1</v>
      </c>
      <c r="C4549" s="18" t="n">
        <v>2019</v>
      </c>
      <c r="D4549" s="18" t="n">
        <v>2019</v>
      </c>
      <c r="E4549" s="18" t="inlineStr">
        <is>
          <t>The Lego Movie 2: The Second Part</t>
        </is>
      </c>
      <c r="F4549" s="18" t="inlineStr">
        <is>
          <t>F0196</t>
        </is>
      </c>
    </row>
    <row r="4550" ht="15.75" customHeight="1" s="108">
      <c r="A4550" s="18" t="inlineStr">
        <is>
          <t>Doug Nicholas</t>
        </is>
      </c>
      <c r="B4550" s="18" t="n">
        <v>1</v>
      </c>
      <c r="C4550" s="18" t="n">
        <v>2019</v>
      </c>
      <c r="D4550" s="18" t="n">
        <v>2019</v>
      </c>
      <c r="E4550" s="18" t="inlineStr">
        <is>
          <t>The Lego Movie 2: The Second Part</t>
        </is>
      </c>
      <c r="F4550" s="18" t="inlineStr">
        <is>
          <t>F0196</t>
        </is>
      </c>
    </row>
    <row r="4551" ht="15.75" customHeight="1" s="108">
      <c r="A4551" s="18" t="inlineStr">
        <is>
          <t>Liam Knight</t>
        </is>
      </c>
      <c r="B4551" s="18" t="n">
        <v>1</v>
      </c>
      <c r="C4551" s="18" t="n">
        <v>2019</v>
      </c>
      <c r="D4551" s="18" t="n">
        <v>2019</v>
      </c>
      <c r="E4551" s="18" t="inlineStr">
        <is>
          <t>The Lego Movie 2: The Second Part</t>
        </is>
      </c>
      <c r="F4551" s="18" t="inlineStr">
        <is>
          <t>F0196</t>
        </is>
      </c>
    </row>
    <row r="4552" ht="15.75" customHeight="1" s="108">
      <c r="A4552" s="18" t="inlineStr">
        <is>
          <t>Tom Kenny</t>
        </is>
      </c>
      <c r="B4552" s="18" t="n">
        <v>2</v>
      </c>
      <c r="C4552" s="18" t="n">
        <v>2015</v>
      </c>
      <c r="D4552" s="18" t="n">
        <v>2016</v>
      </c>
      <c r="E4552" s="18" t="inlineStr">
        <is>
          <t>Lego DC Comics Super Heroes: Justice League vs. Bizarro League, Lego DC Comics Super Heroes: Justice League - Gotham City Breakout</t>
        </is>
      </c>
      <c r="F4552" s="18" t="inlineStr">
        <is>
          <t>F0197, F0198</t>
        </is>
      </c>
    </row>
    <row r="4553" ht="15.75" customHeight="1" s="108">
      <c r="A4553" s="18" t="inlineStr">
        <is>
          <t>Phil Morris</t>
        </is>
      </c>
      <c r="B4553" s="18" t="n">
        <v>2</v>
      </c>
      <c r="C4553" s="18" t="n">
        <v>2015</v>
      </c>
      <c r="D4553" s="18" t="n">
        <v>2016</v>
      </c>
      <c r="E4553" s="18" t="inlineStr">
        <is>
          <t>Lego DC Comics Super Heroes: Justice League vs. Bizarro League, Lego DC Comics Super Heroes: Justice League - Gotham City Breakout</t>
        </is>
      </c>
      <c r="F4553" s="18" t="inlineStr">
        <is>
          <t>F0197, F0198</t>
        </is>
      </c>
    </row>
    <row r="4554" ht="15.75" customHeight="1" s="108">
      <c r="A4554" s="18" t="inlineStr">
        <is>
          <t>Kevin Michael Richardson</t>
        </is>
      </c>
      <c r="B4554" s="18" t="n">
        <v>2</v>
      </c>
      <c r="C4554" s="18" t="n">
        <v>2015</v>
      </c>
      <c r="D4554" s="18" t="n">
        <v>2023</v>
      </c>
      <c r="E4554" s="18" t="inlineStr">
        <is>
          <t>Lego DC Comics Super Heroes: Justice League vs. Bizarro League, The Super Mario Bros. Movie</t>
        </is>
      </c>
      <c r="F4554" s="18" t="inlineStr">
        <is>
          <t>F0197, F0212</t>
        </is>
      </c>
    </row>
    <row r="4555" ht="15.75" customHeight="1" s="108">
      <c r="A4555" s="18" t="inlineStr">
        <is>
          <t>Grey DeLisle</t>
        </is>
      </c>
      <c r="B4555" s="18" t="n">
        <v>1</v>
      </c>
      <c r="C4555" s="18" t="n">
        <v>2016</v>
      </c>
      <c r="D4555" s="18" t="n">
        <v>2016</v>
      </c>
      <c r="E4555" s="18" t="inlineStr">
        <is>
          <t>Lego DC Comics Super Heroes: Justice League - Gotham City Breakout</t>
        </is>
      </c>
      <c r="F4555" s="18" t="inlineStr">
        <is>
          <t>F0198</t>
        </is>
      </c>
    </row>
    <row r="4556" ht="15.75" customHeight="1" s="108">
      <c r="A4556" s="18" t="inlineStr">
        <is>
          <t>Phil LaMarr</t>
        </is>
      </c>
      <c r="B4556" s="18" t="n">
        <v>2</v>
      </c>
      <c r="C4556" s="18" t="n">
        <v>2016</v>
      </c>
      <c r="D4556" s="18" t="n">
        <v>2023</v>
      </c>
      <c r="E4556" s="18" t="inlineStr">
        <is>
          <t>Lego DC Comics Super Heroes: Justice League - Gotham City Breakout, The Super Mario Bros. Movie</t>
        </is>
      </c>
      <c r="F4556" s="18" t="inlineStr">
        <is>
          <t>F0198, F0212</t>
        </is>
      </c>
    </row>
    <row r="4557" ht="15.75" customHeight="1" s="108">
      <c r="A4557" s="18" t="inlineStr">
        <is>
          <t>Andy Milder</t>
        </is>
      </c>
      <c r="B4557" s="18" t="n">
        <v>1</v>
      </c>
      <c r="C4557" s="18" t="n">
        <v>2016</v>
      </c>
      <c r="D4557" s="18" t="n">
        <v>2016</v>
      </c>
      <c r="E4557" s="18" t="inlineStr">
        <is>
          <t>Lego DC Comics Super Heroes: Justice League - Gotham City Breakout</t>
        </is>
      </c>
      <c r="F4557" s="18" t="inlineStr">
        <is>
          <t>F0198</t>
        </is>
      </c>
    </row>
    <row r="4558" ht="15.75" customHeight="1" s="108">
      <c r="A4558" s="18" t="inlineStr">
        <is>
          <t>Jessica DiCicco</t>
        </is>
      </c>
      <c r="B4558" s="18" t="n">
        <v>2</v>
      </c>
      <c r="C4558" s="18" t="n">
        <v>2016</v>
      </c>
      <c r="D4558" s="18" t="n">
        <v>2023</v>
      </c>
      <c r="E4558" s="18" t="inlineStr">
        <is>
          <t>Lego DC Comics Super Heroes: Justice League - Gotham City Breakout, The Super Mario Bros. Movie</t>
        </is>
      </c>
      <c r="F4558" s="18" t="inlineStr">
        <is>
          <t>F0198, F0212</t>
        </is>
      </c>
    </row>
    <row r="4559" ht="15.75" customHeight="1" s="108">
      <c r="A4559" s="18" t="inlineStr">
        <is>
          <t>Jason Spisak</t>
        </is>
      </c>
      <c r="B4559" s="18" t="n">
        <v>1</v>
      </c>
      <c r="C4559" s="18" t="n">
        <v>2016</v>
      </c>
      <c r="D4559" s="18" t="n">
        <v>2016</v>
      </c>
      <c r="E4559" s="18" t="inlineStr">
        <is>
          <t>Lego DC Comics Super Heroes: Justice League - Gotham City Breakout</t>
        </is>
      </c>
      <c r="F4559" s="18" t="inlineStr">
        <is>
          <t>F0198</t>
        </is>
      </c>
    </row>
    <row r="4560" ht="15.75" customHeight="1" s="108">
      <c r="A4560" s="18" t="inlineStr">
        <is>
          <t>Aaron Tveit</t>
        </is>
      </c>
      <c r="B4560" s="18" t="n">
        <v>1</v>
      </c>
      <c r="C4560" s="18" t="n">
        <v>2012</v>
      </c>
      <c r="D4560" s="18" t="n">
        <v>2012</v>
      </c>
      <c r="E4560" s="18" t="inlineStr">
        <is>
          <t>Les Misérables</t>
        </is>
      </c>
      <c r="F4560" s="18" t="inlineStr">
        <is>
          <t>F0199</t>
        </is>
      </c>
    </row>
    <row r="4561" ht="15.75" customHeight="1" s="108">
      <c r="A4561" s="18" t="inlineStr">
        <is>
          <t>Samantha Barks</t>
        </is>
      </c>
      <c r="B4561" s="18" t="n">
        <v>1</v>
      </c>
      <c r="C4561" s="18" t="n">
        <v>2012</v>
      </c>
      <c r="D4561" s="18" t="n">
        <v>2012</v>
      </c>
      <c r="E4561" s="18" t="inlineStr">
        <is>
          <t>Les Misérables</t>
        </is>
      </c>
      <c r="F4561" s="18" t="inlineStr">
        <is>
          <t>F0199</t>
        </is>
      </c>
    </row>
    <row r="4562" ht="15.75" customHeight="1" s="108">
      <c r="A4562" s="18" t="inlineStr">
        <is>
          <t>Daniel Huttlestone</t>
        </is>
      </c>
      <c r="B4562" s="18" t="n">
        <v>1</v>
      </c>
      <c r="C4562" s="18" t="n">
        <v>2012</v>
      </c>
      <c r="D4562" s="18" t="n">
        <v>2012</v>
      </c>
      <c r="E4562" s="18" t="inlineStr">
        <is>
          <t>Les Misérables</t>
        </is>
      </c>
      <c r="F4562" s="18" t="inlineStr">
        <is>
          <t>F0199</t>
        </is>
      </c>
    </row>
    <row r="4563" ht="15.75" customHeight="1" s="108">
      <c r="A4563" s="18" t="inlineStr">
        <is>
          <t>Fra Fee</t>
        </is>
      </c>
      <c r="B4563" s="18" t="n">
        <v>1</v>
      </c>
      <c r="C4563" s="18" t="n">
        <v>2012</v>
      </c>
      <c r="D4563" s="18" t="n">
        <v>2012</v>
      </c>
      <c r="E4563" s="18" t="inlineStr">
        <is>
          <t>Les Misérables</t>
        </is>
      </c>
      <c r="F4563" s="18" t="inlineStr">
        <is>
          <t>F0199</t>
        </is>
      </c>
    </row>
    <row r="4564" ht="15.75" customHeight="1" s="108">
      <c r="A4564" s="18" t="inlineStr">
        <is>
          <t>Hugh Skinner</t>
        </is>
      </c>
      <c r="B4564" s="18" t="n">
        <v>1</v>
      </c>
      <c r="C4564" s="18" t="n">
        <v>2012</v>
      </c>
      <c r="D4564" s="18" t="n">
        <v>2012</v>
      </c>
      <c r="E4564" s="18" t="inlineStr">
        <is>
          <t>Les Misérables</t>
        </is>
      </c>
      <c r="F4564" s="18" t="inlineStr">
        <is>
          <t>F0199</t>
        </is>
      </c>
    </row>
    <row r="4565" ht="15.75" customHeight="1" s="108">
      <c r="A4565" s="18" t="inlineStr">
        <is>
          <t>Alistair Brammer</t>
        </is>
      </c>
      <c r="B4565" s="18" t="n">
        <v>1</v>
      </c>
      <c r="C4565" s="18" t="n">
        <v>2012</v>
      </c>
      <c r="D4565" s="18" t="n">
        <v>2012</v>
      </c>
      <c r="E4565" s="18" t="inlineStr">
        <is>
          <t>Les Misérables</t>
        </is>
      </c>
      <c r="F4565" s="18" t="inlineStr">
        <is>
          <t>F0199</t>
        </is>
      </c>
    </row>
    <row r="4566" ht="15.75" customHeight="1" s="108">
      <c r="A4566" s="18" t="inlineStr">
        <is>
          <t>Killian Donnelly</t>
        </is>
      </c>
      <c r="B4566" s="18" t="n">
        <v>1</v>
      </c>
      <c r="C4566" s="18" t="n">
        <v>2012</v>
      </c>
      <c r="D4566" s="18" t="n">
        <v>2012</v>
      </c>
      <c r="E4566" s="18" t="inlineStr">
        <is>
          <t>Les Misérables</t>
        </is>
      </c>
      <c r="F4566" s="18" t="inlineStr">
        <is>
          <t>F0199</t>
        </is>
      </c>
    </row>
    <row r="4567" ht="15.75" customHeight="1" s="108">
      <c r="A4567" s="18" t="inlineStr">
        <is>
          <t>Adam Pearce</t>
        </is>
      </c>
      <c r="B4567" s="18" t="n">
        <v>1</v>
      </c>
      <c r="C4567" s="18" t="n">
        <v>2012</v>
      </c>
      <c r="D4567" s="18" t="n">
        <v>2012</v>
      </c>
      <c r="E4567" s="18" t="inlineStr">
        <is>
          <t>Les Misérables</t>
        </is>
      </c>
      <c r="F4567" s="18" t="inlineStr">
        <is>
          <t>F0199</t>
        </is>
      </c>
    </row>
    <row r="4568" ht="15.75" customHeight="1" s="108">
      <c r="A4568" s="18" t="inlineStr">
        <is>
          <t>Bertie Carvel</t>
        </is>
      </c>
      <c r="B4568" s="18" t="n">
        <v>1</v>
      </c>
      <c r="C4568" s="18" t="n">
        <v>2012</v>
      </c>
      <c r="D4568" s="18" t="n">
        <v>2012</v>
      </c>
      <c r="E4568" s="18" t="inlineStr">
        <is>
          <t>Les Misérables</t>
        </is>
      </c>
      <c r="F4568" s="18" t="inlineStr">
        <is>
          <t>F0199</t>
        </is>
      </c>
    </row>
    <row r="4569" ht="15.75" customHeight="1" s="108">
      <c r="A4569" s="18" t="inlineStr">
        <is>
          <t>Colm Wilkinson</t>
        </is>
      </c>
      <c r="B4569" s="18" t="n">
        <v>1</v>
      </c>
      <c r="C4569" s="18" t="n">
        <v>2012</v>
      </c>
      <c r="D4569" s="18" t="n">
        <v>2012</v>
      </c>
      <c r="E4569" s="18" t="inlineStr">
        <is>
          <t>Les Misérables</t>
        </is>
      </c>
      <c r="F4569" s="18" t="inlineStr">
        <is>
          <t>F0199</t>
        </is>
      </c>
    </row>
    <row r="4570" ht="15.75" customHeight="1" s="108">
      <c r="A4570" s="18" t="inlineStr">
        <is>
          <t>Isabelle Allen</t>
        </is>
      </c>
      <c r="B4570" s="18" t="n">
        <v>1</v>
      </c>
      <c r="C4570" s="18" t="n">
        <v>2012</v>
      </c>
      <c r="D4570" s="18" t="n">
        <v>2012</v>
      </c>
      <c r="E4570" s="18" t="inlineStr">
        <is>
          <t>Les Misérables</t>
        </is>
      </c>
      <c r="F4570" s="18" t="inlineStr">
        <is>
          <t>F0199</t>
        </is>
      </c>
    </row>
    <row r="4571" ht="15.75" customHeight="1" s="108">
      <c r="A4571" s="18" t="inlineStr">
        <is>
          <t>Natalya Wallace</t>
        </is>
      </c>
      <c r="B4571" s="18" t="n">
        <v>1</v>
      </c>
      <c r="C4571" s="18" t="n">
        <v>2012</v>
      </c>
      <c r="D4571" s="18" t="n">
        <v>2012</v>
      </c>
      <c r="E4571" s="18" t="inlineStr">
        <is>
          <t>Les Misérables</t>
        </is>
      </c>
      <c r="F4571" s="18" t="inlineStr">
        <is>
          <t>F0199</t>
        </is>
      </c>
    </row>
    <row r="4572" ht="15.75" customHeight="1" s="108">
      <c r="A4572" s="18" t="inlineStr">
        <is>
          <t>Tony Rohr</t>
        </is>
      </c>
      <c r="B4572" s="18" t="n">
        <v>1</v>
      </c>
      <c r="C4572" s="18" t="n">
        <v>2012</v>
      </c>
      <c r="D4572" s="18" t="n">
        <v>2012</v>
      </c>
      <c r="E4572" s="18" t="inlineStr">
        <is>
          <t>Les Misérables</t>
        </is>
      </c>
      <c r="F4572" s="18" t="inlineStr">
        <is>
          <t>F0199</t>
        </is>
      </c>
    </row>
    <row r="4573" ht="15.75" customHeight="1" s="108">
      <c r="A4573" s="18" t="inlineStr">
        <is>
          <t>Andy Beckwith</t>
        </is>
      </c>
      <c r="B4573" s="18" t="n">
        <v>1</v>
      </c>
      <c r="C4573" s="18" t="n">
        <v>2012</v>
      </c>
      <c r="D4573" s="18" t="n">
        <v>2012</v>
      </c>
      <c r="E4573" s="18" t="inlineStr">
        <is>
          <t>Les Misérables</t>
        </is>
      </c>
      <c r="F4573" s="18" t="inlineStr">
        <is>
          <t>F0199</t>
        </is>
      </c>
    </row>
    <row r="4574" ht="15.75" customHeight="1" s="108">
      <c r="A4574" s="18" t="inlineStr">
        <is>
          <t>Stephen Bent</t>
        </is>
      </c>
      <c r="B4574" s="18" t="n">
        <v>1</v>
      </c>
      <c r="C4574" s="18" t="n">
        <v>2012</v>
      </c>
      <c r="D4574" s="18" t="n">
        <v>2012</v>
      </c>
      <c r="E4574" s="18" t="inlineStr">
        <is>
          <t>Les Misérables</t>
        </is>
      </c>
      <c r="F4574" s="18" t="inlineStr">
        <is>
          <t>F0199</t>
        </is>
      </c>
    </row>
    <row r="4575" ht="15.75" customHeight="1" s="108">
      <c r="A4575" s="18" t="inlineStr">
        <is>
          <t>Heather Chasen</t>
        </is>
      </c>
      <c r="B4575" s="18" t="n">
        <v>1</v>
      </c>
      <c r="C4575" s="18" t="n">
        <v>2012</v>
      </c>
      <c r="D4575" s="18" t="n">
        <v>2012</v>
      </c>
      <c r="E4575" s="18" t="inlineStr">
        <is>
          <t>Les Misérables</t>
        </is>
      </c>
      <c r="F4575" s="18" t="inlineStr">
        <is>
          <t>F0199</t>
        </is>
      </c>
    </row>
    <row r="4576" ht="15.75" customHeight="1" s="108">
      <c r="A4576" s="18" t="inlineStr">
        <is>
          <t>Stephen Tate</t>
        </is>
      </c>
      <c r="B4576" s="18" t="n">
        <v>1</v>
      </c>
      <c r="C4576" s="18" t="n">
        <v>2012</v>
      </c>
      <c r="D4576" s="18" t="n">
        <v>2012</v>
      </c>
      <c r="E4576" s="18" t="inlineStr">
        <is>
          <t>Les Misérables</t>
        </is>
      </c>
      <c r="F4576" s="18" t="inlineStr">
        <is>
          <t>F0199</t>
        </is>
      </c>
    </row>
    <row r="4577" ht="15.75" customHeight="1" s="108">
      <c r="A4577" s="18" t="inlineStr">
        <is>
          <t>Jeremy Irons</t>
        </is>
      </c>
      <c r="B4577" s="18" t="n">
        <v>1</v>
      </c>
      <c r="C4577" s="18" t="n">
        <v>1994</v>
      </c>
      <c r="D4577" s="18" t="n">
        <v>1994</v>
      </c>
      <c r="E4577" s="18" t="inlineStr">
        <is>
          <t>The Lion King</t>
        </is>
      </c>
      <c r="F4577" s="18" t="inlineStr">
        <is>
          <t>F0200</t>
        </is>
      </c>
    </row>
    <row r="4578" ht="15.75" customHeight="1" s="108">
      <c r="A4578" s="18" t="inlineStr">
        <is>
          <t>Robert Guillaume</t>
        </is>
      </c>
      <c r="B4578" s="18" t="n">
        <v>1</v>
      </c>
      <c r="C4578" s="18" t="n">
        <v>1994</v>
      </c>
      <c r="D4578" s="18" t="n">
        <v>1994</v>
      </c>
      <c r="E4578" s="18" t="inlineStr">
        <is>
          <t>The Lion King</t>
        </is>
      </c>
      <c r="F4578" s="18" t="inlineStr">
        <is>
          <t>F0200</t>
        </is>
      </c>
    </row>
    <row r="4579" ht="15.75" customHeight="1" s="108">
      <c r="A4579" s="18" t="inlineStr">
        <is>
          <t>Rowan Atkinson</t>
        </is>
      </c>
      <c r="B4579" s="18" t="n">
        <v>2</v>
      </c>
      <c r="C4579" s="18" t="n">
        <v>1994</v>
      </c>
      <c r="D4579" s="18" t="n">
        <v>2023</v>
      </c>
      <c r="E4579" s="18" t="inlineStr">
        <is>
          <t>The Lion King, Wonka</t>
        </is>
      </c>
      <c r="F4579" s="18" t="inlineStr">
        <is>
          <t>F0200, F0338</t>
        </is>
      </c>
    </row>
    <row r="4580" ht="15.75" customHeight="1" s="108">
      <c r="A4580" s="18" t="inlineStr">
        <is>
          <t>Whoopi Goldberg</t>
        </is>
      </c>
      <c r="B4580" s="18" t="n">
        <v>3</v>
      </c>
      <c r="C4580" s="18" t="n">
        <v>1994</v>
      </c>
      <c r="D4580" s="18" t="n">
        <v>2014</v>
      </c>
      <c r="E4580" s="18" t="inlineStr">
        <is>
          <t>The Lion King, Teenage Mutant Ninja Turtles, Toy Story 3</t>
        </is>
      </c>
      <c r="F4580" s="18" t="inlineStr">
        <is>
          <t>F0200, F0309, F0314</t>
        </is>
      </c>
    </row>
    <row r="4581" ht="15.75" customHeight="1" s="108">
      <c r="A4581" s="18" t="inlineStr">
        <is>
          <t>Cheech Marin</t>
        </is>
      </c>
      <c r="B4581" s="18" t="n">
        <v>1</v>
      </c>
      <c r="C4581" s="18" t="n">
        <v>1994</v>
      </c>
      <c r="D4581" s="18" t="n">
        <v>1994</v>
      </c>
      <c r="E4581" s="18" t="inlineStr">
        <is>
          <t>The Lion King</t>
        </is>
      </c>
      <c r="F4581" s="18" t="inlineStr">
        <is>
          <t>F0200</t>
        </is>
      </c>
    </row>
    <row r="4582" ht="15.75" customHeight="1" s="108">
      <c r="A4582" s="18" t="inlineStr">
        <is>
          <t>Jonathan Taylor Thomas</t>
        </is>
      </c>
      <c r="B4582" s="18" t="n">
        <v>1</v>
      </c>
      <c r="C4582" s="18" t="n">
        <v>1994</v>
      </c>
      <c r="D4582" s="18" t="n">
        <v>1994</v>
      </c>
      <c r="E4582" s="18" t="inlineStr">
        <is>
          <t>The Lion King</t>
        </is>
      </c>
      <c r="F4582" s="18" t="inlineStr">
        <is>
          <t>F0200</t>
        </is>
      </c>
    </row>
    <row r="4583" ht="15.75" customHeight="1" s="108">
      <c r="A4583" s="18" t="inlineStr">
        <is>
          <t>Niketa Calame-Harris</t>
        </is>
      </c>
      <c r="B4583" s="18" t="n">
        <v>1</v>
      </c>
      <c r="C4583" s="18" t="n">
        <v>1994</v>
      </c>
      <c r="D4583" s="18" t="n">
        <v>1994</v>
      </c>
      <c r="E4583" s="18" t="inlineStr">
        <is>
          <t>The Lion King</t>
        </is>
      </c>
      <c r="F4583" s="18" t="inlineStr">
        <is>
          <t>F0200</t>
        </is>
      </c>
    </row>
    <row r="4584" ht="15.75" customHeight="1" s="108">
      <c r="A4584" s="18" t="inlineStr">
        <is>
          <t>Madge Sinclair</t>
        </is>
      </c>
      <c r="B4584" s="18" t="n">
        <v>1</v>
      </c>
      <c r="C4584" s="18" t="n">
        <v>1994</v>
      </c>
      <c r="D4584" s="18" t="n">
        <v>1994</v>
      </c>
      <c r="E4584" s="18" t="inlineStr">
        <is>
          <t>The Lion King</t>
        </is>
      </c>
      <c r="F4584" s="18" t="inlineStr">
        <is>
          <t>F0200</t>
        </is>
      </c>
    </row>
    <row r="4585" ht="15.75" customHeight="1" s="108">
      <c r="A4585" s="18" t="inlineStr">
        <is>
          <t>Zoe Leader</t>
        </is>
      </c>
      <c r="B4585" s="18" t="n">
        <v>1</v>
      </c>
      <c r="C4585" s="18" t="n">
        <v>1994</v>
      </c>
      <c r="D4585" s="18" t="n">
        <v>1994</v>
      </c>
      <c r="E4585" s="18" t="inlineStr">
        <is>
          <t>The Lion King</t>
        </is>
      </c>
      <c r="F4585" s="18" t="inlineStr">
        <is>
          <t>F0200</t>
        </is>
      </c>
    </row>
    <row r="4586" ht="15.75" customHeight="1" s="108">
      <c r="A4586" s="18" t="inlineStr">
        <is>
          <t>Cathy Cavadini</t>
        </is>
      </c>
      <c r="B4586" s="18" t="n">
        <v>2</v>
      </c>
      <c r="C4586" s="18" t="n">
        <v>1994</v>
      </c>
      <c r="D4586" s="18" t="n">
        <v>2023</v>
      </c>
      <c r="E4586" s="18" t="inlineStr">
        <is>
          <t>The Lion King, The Super Mario Bros. Movie</t>
        </is>
      </c>
      <c r="F4586" s="18" t="inlineStr">
        <is>
          <t>F0200, F0212</t>
        </is>
      </c>
    </row>
    <row r="4587" ht="15.75" customHeight="1" s="108">
      <c r="A4587" s="18" t="inlineStr">
        <is>
          <t>Judi Durand</t>
        </is>
      </c>
      <c r="B4587" s="18" t="n">
        <v>1</v>
      </c>
      <c r="C4587" s="18" t="n">
        <v>1994</v>
      </c>
      <c r="D4587" s="18" t="n">
        <v>1994</v>
      </c>
      <c r="E4587" s="18" t="inlineStr">
        <is>
          <t>The Lion King</t>
        </is>
      </c>
      <c r="F4587" s="18" t="inlineStr">
        <is>
          <t>F0200</t>
        </is>
      </c>
    </row>
    <row r="4588" ht="15.75" customHeight="1" s="108">
      <c r="A4588" s="18" t="inlineStr">
        <is>
          <t>Daamen J. Krall</t>
        </is>
      </c>
      <c r="B4588" s="18" t="n">
        <v>1</v>
      </c>
      <c r="C4588" s="18" t="n">
        <v>1994</v>
      </c>
      <c r="D4588" s="18" t="n">
        <v>1994</v>
      </c>
      <c r="E4588" s="18" t="inlineStr">
        <is>
          <t>The Lion King</t>
        </is>
      </c>
      <c r="F4588" s="18" t="inlineStr">
        <is>
          <t>F0200</t>
        </is>
      </c>
    </row>
    <row r="4589" ht="15.75" customHeight="1" s="108">
      <c r="A4589" s="18" t="inlineStr">
        <is>
          <t>David McCharen</t>
        </is>
      </c>
      <c r="B4589" s="18" t="n">
        <v>1</v>
      </c>
      <c r="C4589" s="18" t="n">
        <v>1994</v>
      </c>
      <c r="D4589" s="18" t="n">
        <v>1994</v>
      </c>
      <c r="E4589" s="18" t="inlineStr">
        <is>
          <t>The Lion King</t>
        </is>
      </c>
      <c r="F4589" s="18" t="inlineStr">
        <is>
          <t>F0200</t>
        </is>
      </c>
    </row>
    <row r="4590" ht="15.75" customHeight="1" s="108">
      <c r="A4590" s="18" t="inlineStr">
        <is>
          <t>Mary Linda Phillips</t>
        </is>
      </c>
      <c r="B4590" s="18" t="n">
        <v>1</v>
      </c>
      <c r="C4590" s="18" t="n">
        <v>1994</v>
      </c>
      <c r="D4590" s="18" t="n">
        <v>1994</v>
      </c>
      <c r="E4590" s="18" t="inlineStr">
        <is>
          <t>The Lion King</t>
        </is>
      </c>
      <c r="F4590" s="18" t="inlineStr">
        <is>
          <t>F0200</t>
        </is>
      </c>
    </row>
    <row r="4591" ht="15.75" customHeight="1" s="108">
      <c r="A4591" s="18" t="inlineStr">
        <is>
          <t>Phil Proctor</t>
        </is>
      </c>
      <c r="B4591" s="18" t="n">
        <v>1</v>
      </c>
      <c r="C4591" s="18" t="n">
        <v>1994</v>
      </c>
      <c r="D4591" s="18" t="n">
        <v>1994</v>
      </c>
      <c r="E4591" s="18" t="inlineStr">
        <is>
          <t>The Lion King</t>
        </is>
      </c>
      <c r="F4591" s="18" t="inlineStr">
        <is>
          <t>F0200</t>
        </is>
      </c>
    </row>
    <row r="4592" ht="15.75" customHeight="1" s="108">
      <c r="A4592" s="18" t="inlineStr">
        <is>
          <t>David J. Randolph</t>
        </is>
      </c>
      <c r="B4592" s="18" t="n">
        <v>1</v>
      </c>
      <c r="C4592" s="18" t="n">
        <v>1994</v>
      </c>
      <c r="D4592" s="18" t="n">
        <v>1994</v>
      </c>
      <c r="E4592" s="18" t="inlineStr">
        <is>
          <t>The Lion King</t>
        </is>
      </c>
      <c r="F4592" s="18" t="inlineStr">
        <is>
          <t>F0200</t>
        </is>
      </c>
    </row>
    <row r="4593" ht="15.75" customHeight="1" s="108">
      <c r="A4593" s="18" t="inlineStr">
        <is>
          <t>Brian Tochi</t>
        </is>
      </c>
      <c r="B4593" s="18" t="n">
        <v>1</v>
      </c>
      <c r="C4593" s="18" t="n">
        <v>1994</v>
      </c>
      <c r="D4593" s="18" t="n">
        <v>1994</v>
      </c>
      <c r="E4593" s="18" t="inlineStr">
        <is>
          <t>The Lion King</t>
        </is>
      </c>
      <c r="F4593" s="18" t="inlineStr">
        <is>
          <t>F0200</t>
        </is>
      </c>
    </row>
    <row r="4594" ht="15.75" customHeight="1" s="108">
      <c r="A4594" s="18" t="inlineStr">
        <is>
          <t>Roger Allers</t>
        </is>
      </c>
      <c r="B4594" s="18" t="n">
        <v>1</v>
      </c>
      <c r="C4594" s="18" t="n">
        <v>1994</v>
      </c>
      <c r="D4594" s="18" t="n">
        <v>1994</v>
      </c>
      <c r="E4594" s="18" t="inlineStr">
        <is>
          <t>The Lion King</t>
        </is>
      </c>
      <c r="F4594" s="18" t="inlineStr">
        <is>
          <t>F0200</t>
        </is>
      </c>
    </row>
    <row r="4595" ht="15.75" customHeight="1" s="108">
      <c r="A4595" s="18" t="inlineStr">
        <is>
          <t>Rob Minkoff</t>
        </is>
      </c>
      <c r="B4595" s="18" t="n">
        <v>1</v>
      </c>
      <c r="C4595" s="18" t="n">
        <v>1994</v>
      </c>
      <c r="D4595" s="18" t="n">
        <v>1994</v>
      </c>
      <c r="E4595" s="18" t="inlineStr">
        <is>
          <t>The Lion King</t>
        </is>
      </c>
      <c r="F4595" s="18" t="inlineStr">
        <is>
          <t>F0200</t>
        </is>
      </c>
    </row>
    <row r="4596" ht="15.75" customHeight="1" s="108">
      <c r="A4596" s="18" t="inlineStr">
        <is>
          <t>Jason Weaver</t>
        </is>
      </c>
      <c r="B4596" s="18" t="n">
        <v>1</v>
      </c>
      <c r="C4596" s="18" t="n">
        <v>1994</v>
      </c>
      <c r="D4596" s="18" t="n">
        <v>1994</v>
      </c>
      <c r="E4596" s="18" t="inlineStr">
        <is>
          <t>The Lion King</t>
        </is>
      </c>
      <c r="F4596" s="18" t="inlineStr">
        <is>
          <t>F0200</t>
        </is>
      </c>
    </row>
    <row r="4597" ht="15.75" customHeight="1" s="108">
      <c r="A4597" s="18" t="inlineStr">
        <is>
          <t>Stephen Dunlevy</t>
        </is>
      </c>
      <c r="B4597" s="18" t="n">
        <v>3</v>
      </c>
      <c r="C4597" s="18" t="n">
        <v>2015</v>
      </c>
      <c r="D4597" s="18" t="n">
        <v>2017</v>
      </c>
      <c r="E4597" s="18" t="inlineStr">
        <is>
          <t>Logan, Mad max fury road, Jumanji welcome to the jungle</t>
        </is>
      </c>
      <c r="F4597" s="18" t="inlineStr">
        <is>
          <t>F0201, F0354, F0359</t>
        </is>
      </c>
    </row>
    <row r="4598" ht="15.75" customHeight="1" s="108">
      <c r="A4598" s="18" t="inlineStr">
        <is>
          <t>Eriq La Salle</t>
        </is>
      </c>
      <c r="B4598" s="18" t="n">
        <v>1</v>
      </c>
      <c r="C4598" s="18" t="n">
        <v>2017</v>
      </c>
      <c r="D4598" s="18" t="n">
        <v>2017</v>
      </c>
      <c r="E4598" s="18" t="inlineStr">
        <is>
          <t>Logan</t>
        </is>
      </c>
      <c r="F4598" s="18" t="inlineStr">
        <is>
          <t>F0201</t>
        </is>
      </c>
    </row>
    <row r="4599" ht="15.75" customHeight="1" s="108">
      <c r="A4599" s="18" t="inlineStr">
        <is>
          <t>Elise Neal</t>
        </is>
      </c>
      <c r="B4599" s="18" t="n">
        <v>1</v>
      </c>
      <c r="C4599" s="18" t="n">
        <v>2017</v>
      </c>
      <c r="D4599" s="18" t="n">
        <v>2017</v>
      </c>
      <c r="E4599" s="18" t="inlineStr">
        <is>
          <t>Logan</t>
        </is>
      </c>
      <c r="F4599" s="18" t="inlineStr">
        <is>
          <t>F0201</t>
        </is>
      </c>
    </row>
    <row r="4600" ht="15.75" customHeight="1" s="108">
      <c r="A4600" s="18" t="inlineStr">
        <is>
          <t>Quincy Fouse</t>
        </is>
      </c>
      <c r="B4600" s="18" t="n">
        <v>1</v>
      </c>
      <c r="C4600" s="18" t="n">
        <v>2017</v>
      </c>
      <c r="D4600" s="18" t="n">
        <v>2017</v>
      </c>
      <c r="E4600" s="18" t="inlineStr">
        <is>
          <t>Logan</t>
        </is>
      </c>
      <c r="F4600" s="18" t="inlineStr">
        <is>
          <t>F0201</t>
        </is>
      </c>
    </row>
    <row r="4601" ht="15.75" customHeight="1" s="108">
      <c r="A4601" s="18" t="inlineStr">
        <is>
          <t>Al Coronel</t>
        </is>
      </c>
      <c r="B4601" s="18" t="n">
        <v>1</v>
      </c>
      <c r="C4601" s="18" t="n">
        <v>2017</v>
      </c>
      <c r="D4601" s="18" t="n">
        <v>2017</v>
      </c>
      <c r="E4601" s="18" t="inlineStr">
        <is>
          <t>Logan</t>
        </is>
      </c>
      <c r="F4601" s="18" t="inlineStr">
        <is>
          <t>F0201</t>
        </is>
      </c>
    </row>
    <row r="4602" ht="15.75" customHeight="1" s="108">
      <c r="A4602" s="18" t="inlineStr">
        <is>
          <t>Frank Gallegos</t>
        </is>
      </c>
      <c r="B4602" s="18" t="n">
        <v>1</v>
      </c>
      <c r="C4602" s="18" t="n">
        <v>2017</v>
      </c>
      <c r="D4602" s="18" t="n">
        <v>2017</v>
      </c>
      <c r="E4602" s="18" t="inlineStr">
        <is>
          <t>Logan</t>
        </is>
      </c>
      <c r="F4602" s="18" t="inlineStr">
        <is>
          <t>F0201</t>
        </is>
      </c>
    </row>
    <row r="4603" ht="15.75" customHeight="1" s="108">
      <c r="A4603" s="18" t="inlineStr">
        <is>
          <t>Anthony Escobar</t>
        </is>
      </c>
      <c r="B4603" s="18" t="n">
        <v>1</v>
      </c>
      <c r="C4603" s="18" t="n">
        <v>2017</v>
      </c>
      <c r="D4603" s="18" t="n">
        <v>2017</v>
      </c>
      <c r="E4603" s="18" t="inlineStr">
        <is>
          <t>Logan</t>
        </is>
      </c>
      <c r="F4603" s="18" t="inlineStr">
        <is>
          <t>F0201</t>
        </is>
      </c>
    </row>
    <row r="4604" ht="15.75" customHeight="1" s="108">
      <c r="A4604" s="18" t="inlineStr">
        <is>
          <t>Krzysztof Soszynski</t>
        </is>
      </c>
      <c r="B4604" s="18" t="n">
        <v>1</v>
      </c>
      <c r="C4604" s="18" t="n">
        <v>2017</v>
      </c>
      <c r="D4604" s="18" t="n">
        <v>2017</v>
      </c>
      <c r="E4604" s="18" t="inlineStr">
        <is>
          <t>Logan</t>
        </is>
      </c>
      <c r="F4604" s="18" t="inlineStr">
        <is>
          <t>F0201</t>
        </is>
      </c>
    </row>
    <row r="4605" ht="15.75" customHeight="1" s="108">
      <c r="A4605" s="18" t="inlineStr">
        <is>
          <t>Daniel Bernhardt</t>
        </is>
      </c>
      <c r="B4605" s="18" t="n">
        <v>3</v>
      </c>
      <c r="C4605" s="18" t="n">
        <v>2003</v>
      </c>
      <c r="D4605" s="18" t="n">
        <v>2017</v>
      </c>
      <c r="E4605" s="18" t="inlineStr">
        <is>
          <t>Logan, The Matrix Reloaded, john wick</t>
        </is>
      </c>
      <c r="F4605" s="18" t="inlineStr">
        <is>
          <t>F0201, F0215, F0374</t>
        </is>
      </c>
    </row>
    <row r="4606" ht="15.75" customHeight="1" s="108">
      <c r="A4606" s="18" t="inlineStr">
        <is>
          <t>Ryan Sturz</t>
        </is>
      </c>
      <c r="B4606" s="18" t="n">
        <v>1</v>
      </c>
      <c r="C4606" s="18" t="n">
        <v>2017</v>
      </c>
      <c r="D4606" s="18" t="n">
        <v>2017</v>
      </c>
      <c r="E4606" s="18" t="inlineStr">
        <is>
          <t>Logan</t>
        </is>
      </c>
      <c r="F4606" s="18" t="inlineStr">
        <is>
          <t>F0201</t>
        </is>
      </c>
    </row>
    <row r="4607" ht="15.75" customHeight="1" s="108">
      <c r="A4607" s="18" t="inlineStr">
        <is>
          <t>Jef Groff</t>
        </is>
      </c>
      <c r="B4607" s="18" t="n">
        <v>1</v>
      </c>
      <c r="C4607" s="18" t="n">
        <v>2017</v>
      </c>
      <c r="D4607" s="18" t="n">
        <v>2017</v>
      </c>
      <c r="E4607" s="18" t="inlineStr">
        <is>
          <t>Logan</t>
        </is>
      </c>
      <c r="F4607" s="18" t="inlineStr">
        <is>
          <t>F0201</t>
        </is>
      </c>
    </row>
    <row r="4608" ht="15.75" customHeight="1" s="108">
      <c r="A4608" s="18" t="inlineStr">
        <is>
          <t>Brandon Melendy</t>
        </is>
      </c>
      <c r="B4608" s="18" t="n">
        <v>1</v>
      </c>
      <c r="C4608" s="18" t="n">
        <v>2017</v>
      </c>
      <c r="D4608" s="18" t="n">
        <v>2017</v>
      </c>
      <c r="E4608" s="18" t="inlineStr">
        <is>
          <t>Logan</t>
        </is>
      </c>
      <c r="F4608" s="18" t="inlineStr">
        <is>
          <t>F0201</t>
        </is>
      </c>
    </row>
    <row r="4609" ht="15.75" customHeight="1" s="108">
      <c r="A4609" s="18" t="inlineStr">
        <is>
          <t>Jeremy Fitzgerald</t>
        </is>
      </c>
      <c r="B4609" s="18" t="n">
        <v>1</v>
      </c>
      <c r="C4609" s="18" t="n">
        <v>2017</v>
      </c>
      <c r="D4609" s="18" t="n">
        <v>2017</v>
      </c>
      <c r="E4609" s="18" t="inlineStr">
        <is>
          <t>Logan</t>
        </is>
      </c>
      <c r="F4609" s="18" t="inlineStr">
        <is>
          <t>F0201</t>
        </is>
      </c>
    </row>
    <row r="4610" ht="15.75" customHeight="1" s="108">
      <c r="A4610" s="18" t="inlineStr">
        <is>
          <t>Paul O'Connor</t>
        </is>
      </c>
      <c r="B4610" s="18" t="n">
        <v>1</v>
      </c>
      <c r="C4610" s="18" t="n">
        <v>2017</v>
      </c>
      <c r="D4610" s="18" t="n">
        <v>2017</v>
      </c>
      <c r="E4610" s="18" t="inlineStr">
        <is>
          <t>Logan</t>
        </is>
      </c>
      <c r="F4610" s="18" t="inlineStr">
        <is>
          <t>F0201</t>
        </is>
      </c>
    </row>
    <row r="4611" ht="15.75" customHeight="1" s="108">
      <c r="A4611" s="18" t="inlineStr">
        <is>
          <t>Clinton Roberts</t>
        </is>
      </c>
      <c r="B4611" s="18" t="n">
        <v>1</v>
      </c>
      <c r="C4611" s="18" t="n">
        <v>2017</v>
      </c>
      <c r="D4611" s="18" t="n">
        <v>2017</v>
      </c>
      <c r="E4611" s="18" t="inlineStr">
        <is>
          <t>Logan</t>
        </is>
      </c>
      <c r="F4611" s="18" t="inlineStr">
        <is>
          <t>F0201</t>
        </is>
      </c>
    </row>
    <row r="4612" ht="15.75" customHeight="1" s="108">
      <c r="A4612" s="18" t="inlineStr">
        <is>
          <t>Rocky Abou-Sakher</t>
        </is>
      </c>
      <c r="B4612" s="18" t="n">
        <v>1</v>
      </c>
      <c r="C4612" s="18" t="n">
        <v>2017</v>
      </c>
      <c r="D4612" s="18" t="n">
        <v>2017</v>
      </c>
      <c r="E4612" s="18" t="inlineStr">
        <is>
          <t>Logan</t>
        </is>
      </c>
      <c r="F4612" s="18" t="inlineStr">
        <is>
          <t>F0201</t>
        </is>
      </c>
    </row>
    <row r="4613" ht="15.75" customHeight="1" s="108">
      <c r="A4613" s="18" t="inlineStr">
        <is>
          <t>Keith Jardine</t>
        </is>
      </c>
      <c r="B4613" s="18" t="n">
        <v>2</v>
      </c>
      <c r="C4613" s="18" t="n">
        <v>2014</v>
      </c>
      <c r="D4613" s="18" t="n">
        <v>2017</v>
      </c>
      <c r="E4613" s="18" t="inlineStr">
        <is>
          <t>Logan, john wick</t>
        </is>
      </c>
      <c r="F4613" s="18" t="inlineStr">
        <is>
          <t>F0201, F0374</t>
        </is>
      </c>
    </row>
    <row r="4614" ht="15.75" customHeight="1" s="108">
      <c r="A4614" s="18" t="inlineStr">
        <is>
          <t>Jean Claude Leuyer</t>
        </is>
      </c>
      <c r="B4614" s="18" t="n">
        <v>1</v>
      </c>
      <c r="C4614" s="18" t="n">
        <v>2017</v>
      </c>
      <c r="D4614" s="18" t="n">
        <v>2017</v>
      </c>
      <c r="E4614" s="18" t="inlineStr">
        <is>
          <t>Logan</t>
        </is>
      </c>
      <c r="F4614" s="18" t="inlineStr">
        <is>
          <t>F0201</t>
        </is>
      </c>
    </row>
    <row r="4615" ht="15.75" customHeight="1" s="108">
      <c r="A4615" s="18" t="inlineStr">
        <is>
          <t>Andrew Arrabito</t>
        </is>
      </c>
      <c r="B4615" s="18" t="n">
        <v>2</v>
      </c>
      <c r="C4615" s="18" t="n">
        <v>2017</v>
      </c>
      <c r="D4615" s="18" t="n">
        <v>2022</v>
      </c>
      <c r="E4615" s="18" t="inlineStr">
        <is>
          <t>Logan, avatar way of water</t>
        </is>
      </c>
      <c r="F4615" s="18" t="inlineStr">
        <is>
          <t>F0201, F0364</t>
        </is>
      </c>
    </row>
    <row r="4616" ht="15.75" customHeight="1" s="108">
      <c r="A4616" s="18" t="inlineStr">
        <is>
          <t>Sebastian James</t>
        </is>
      </c>
      <c r="B4616" s="18" t="n">
        <v>1</v>
      </c>
      <c r="C4616" s="18" t="n">
        <v>2017</v>
      </c>
      <c r="D4616" s="18" t="n">
        <v>2017</v>
      </c>
      <c r="E4616" s="18" t="inlineStr">
        <is>
          <t>Logan</t>
        </is>
      </c>
      <c r="F4616" s="18" t="inlineStr">
        <is>
          <t>F0201</t>
        </is>
      </c>
    </row>
    <row r="4617" ht="15.75" customHeight="1" s="108">
      <c r="A4617" s="18" t="inlineStr">
        <is>
          <t>Jerry Ferrara</t>
        </is>
      </c>
      <c r="B4617" s="18" t="n">
        <v>1</v>
      </c>
      <c r="C4617" s="18" t="n">
        <v>2013</v>
      </c>
      <c r="D4617" s="18" t="n">
        <v>2013</v>
      </c>
      <c r="E4617" s="18" t="inlineStr">
        <is>
          <t>Lone Survivor</t>
        </is>
      </c>
      <c r="F4617" s="18" t="inlineStr">
        <is>
          <t>F0202</t>
        </is>
      </c>
    </row>
    <row r="4618" ht="15.75" customHeight="1" s="108">
      <c r="A4618" s="18" t="inlineStr">
        <is>
          <t>Scott Elrod</t>
        </is>
      </c>
      <c r="B4618" s="18" t="n">
        <v>1</v>
      </c>
      <c r="C4618" s="18" t="n">
        <v>2013</v>
      </c>
      <c r="D4618" s="18" t="n">
        <v>2013</v>
      </c>
      <c r="E4618" s="18" t="inlineStr">
        <is>
          <t>Lone Survivor</t>
        </is>
      </c>
      <c r="F4618" s="18" t="inlineStr">
        <is>
          <t>F0202</t>
        </is>
      </c>
    </row>
    <row r="4619" ht="15.75" customHeight="1" s="108">
      <c r="A4619" s="18" t="inlineStr">
        <is>
          <t>Josh Berry</t>
        </is>
      </c>
      <c r="B4619" s="18" t="n">
        <v>1</v>
      </c>
      <c r="C4619" s="18" t="n">
        <v>2013</v>
      </c>
      <c r="D4619" s="18" t="n">
        <v>2013</v>
      </c>
      <c r="E4619" s="18" t="inlineStr">
        <is>
          <t>Lone Survivor</t>
        </is>
      </c>
      <c r="F4619" s="18" t="inlineStr">
        <is>
          <t>F0202</t>
        </is>
      </c>
    </row>
    <row r="4620" ht="15.75" customHeight="1" s="108">
      <c r="A4620" s="18" t="inlineStr">
        <is>
          <t>Yousuf Azami</t>
        </is>
      </c>
      <c r="B4620" s="18" t="n">
        <v>1</v>
      </c>
      <c r="C4620" s="18" t="n">
        <v>2013</v>
      </c>
      <c r="D4620" s="18" t="n">
        <v>2013</v>
      </c>
      <c r="E4620" s="18" t="inlineStr">
        <is>
          <t>Lone Survivor</t>
        </is>
      </c>
      <c r="F4620" s="18" t="inlineStr">
        <is>
          <t>F0202</t>
        </is>
      </c>
    </row>
    <row r="4621" ht="15.75" customHeight="1" s="108">
      <c r="A4621" s="18" t="inlineStr">
        <is>
          <t>Sammy Sheik</t>
        </is>
      </c>
      <c r="B4621" s="18" t="n">
        <v>1</v>
      </c>
      <c r="C4621" s="18" t="n">
        <v>2013</v>
      </c>
      <c r="D4621" s="18" t="n">
        <v>2013</v>
      </c>
      <c r="E4621" s="18" t="inlineStr">
        <is>
          <t>Lone Survivor</t>
        </is>
      </c>
      <c r="F4621" s="18" t="inlineStr">
        <is>
          <t>F0202</t>
        </is>
      </c>
    </row>
    <row r="4622" ht="15.75" customHeight="1" s="108">
      <c r="A4622" s="18" t="inlineStr">
        <is>
          <t>Rich Ting</t>
        </is>
      </c>
      <c r="B4622" s="18" t="n">
        <v>1</v>
      </c>
      <c r="C4622" s="18" t="n">
        <v>2013</v>
      </c>
      <c r="D4622" s="18" t="n">
        <v>2013</v>
      </c>
      <c r="E4622" s="18" t="inlineStr">
        <is>
          <t>Lone Survivor</t>
        </is>
      </c>
      <c r="F4622" s="18" t="inlineStr">
        <is>
          <t>F0202</t>
        </is>
      </c>
    </row>
    <row r="4623" ht="15.75" customHeight="1" s="108">
      <c r="A4623" s="18" t="inlineStr">
        <is>
          <t>Dan Bilzerian</t>
        </is>
      </c>
      <c r="B4623" s="18" t="n">
        <v>1</v>
      </c>
      <c r="C4623" s="18" t="n">
        <v>2013</v>
      </c>
      <c r="D4623" s="18" t="n">
        <v>2013</v>
      </c>
      <c r="E4623" s="18" t="inlineStr">
        <is>
          <t>Lone Survivor</t>
        </is>
      </c>
      <c r="F4623" s="18" t="inlineStr">
        <is>
          <t>F0202</t>
        </is>
      </c>
    </row>
    <row r="4624" ht="15.75" customHeight="1" s="108">
      <c r="A4624" s="18" t="inlineStr">
        <is>
          <t>Rick Vargas</t>
        </is>
      </c>
      <c r="B4624" s="18" t="n">
        <v>1</v>
      </c>
      <c r="C4624" s="18" t="n">
        <v>2013</v>
      </c>
      <c r="D4624" s="18" t="n">
        <v>2013</v>
      </c>
      <c r="E4624" s="18" t="inlineStr">
        <is>
          <t>Lone Survivor</t>
        </is>
      </c>
      <c r="F4624" s="18" t="inlineStr">
        <is>
          <t>F0202</t>
        </is>
      </c>
    </row>
    <row r="4625" ht="15.75" customHeight="1" s="108">
      <c r="A4625" s="18" t="inlineStr">
        <is>
          <t>Gregory Rockwood</t>
        </is>
      </c>
      <c r="B4625" s="18" t="n">
        <v>1</v>
      </c>
      <c r="C4625" s="18" t="n">
        <v>2013</v>
      </c>
      <c r="D4625" s="18" t="n">
        <v>2013</v>
      </c>
      <c r="E4625" s="18" t="inlineStr">
        <is>
          <t>Lone Survivor</t>
        </is>
      </c>
      <c r="F4625" s="18" t="inlineStr">
        <is>
          <t>F0202</t>
        </is>
      </c>
    </row>
    <row r="4626" ht="15.75" customHeight="1" s="108">
      <c r="A4626" s="18" t="inlineStr">
        <is>
          <t>Ryan Kay</t>
        </is>
      </c>
      <c r="B4626" s="18" t="n">
        <v>1</v>
      </c>
      <c r="C4626" s="18" t="n">
        <v>2013</v>
      </c>
      <c r="D4626" s="18" t="n">
        <v>2013</v>
      </c>
      <c r="E4626" s="18" t="inlineStr">
        <is>
          <t>Lone Survivor</t>
        </is>
      </c>
      <c r="F4626" s="18" t="inlineStr">
        <is>
          <t>F0202</t>
        </is>
      </c>
    </row>
    <row r="4627" ht="15.75" customHeight="1" s="108">
      <c r="A4627" s="18" t="inlineStr">
        <is>
          <t>Patrick Griffin</t>
        </is>
      </c>
      <c r="B4627" s="18" t="n">
        <v>1</v>
      </c>
      <c r="C4627" s="18" t="n">
        <v>2013</v>
      </c>
      <c r="D4627" s="18" t="n">
        <v>2013</v>
      </c>
      <c r="E4627" s="18" t="inlineStr">
        <is>
          <t>Lone Survivor</t>
        </is>
      </c>
      <c r="F4627" s="18" t="inlineStr">
        <is>
          <t>F0202</t>
        </is>
      </c>
    </row>
    <row r="4628" ht="15.75" customHeight="1" s="108">
      <c r="A4628" s="18" t="inlineStr">
        <is>
          <t>Eric Steinig</t>
        </is>
      </c>
      <c r="B4628" s="18" t="n">
        <v>1</v>
      </c>
      <c r="C4628" s="18" t="n">
        <v>2013</v>
      </c>
      <c r="D4628" s="18" t="n">
        <v>2013</v>
      </c>
      <c r="E4628" s="18" t="inlineStr">
        <is>
          <t>Lone Survivor</t>
        </is>
      </c>
      <c r="F4628" s="18" t="inlineStr">
        <is>
          <t>F0202</t>
        </is>
      </c>
    </row>
    <row r="4629" ht="15.75" customHeight="1" s="108">
      <c r="A4629" s="18" t="inlineStr">
        <is>
          <t>Justin Tade</t>
        </is>
      </c>
      <c r="B4629" s="18" t="n">
        <v>1</v>
      </c>
      <c r="C4629" s="18" t="n">
        <v>2013</v>
      </c>
      <c r="D4629" s="18" t="n">
        <v>2013</v>
      </c>
      <c r="E4629" s="18" t="inlineStr">
        <is>
          <t>Lone Survivor</t>
        </is>
      </c>
      <c r="F4629" s="18" t="inlineStr">
        <is>
          <t>F0202</t>
        </is>
      </c>
    </row>
    <row r="4630" ht="15.75" customHeight="1" s="108">
      <c r="A4630" s="18" t="inlineStr">
        <is>
          <t>Sterling Jones</t>
        </is>
      </c>
      <c r="B4630" s="18" t="n">
        <v>1</v>
      </c>
      <c r="C4630" s="18" t="n">
        <v>2013</v>
      </c>
      <c r="D4630" s="18" t="n">
        <v>2013</v>
      </c>
      <c r="E4630" s="18" t="inlineStr">
        <is>
          <t>Lone Survivor</t>
        </is>
      </c>
      <c r="F4630" s="18" t="inlineStr">
        <is>
          <t>F0202</t>
        </is>
      </c>
    </row>
    <row r="4631" ht="15.75" customHeight="1" s="108">
      <c r="A4631" s="18" t="inlineStr">
        <is>
          <t>Jason Riggins</t>
        </is>
      </c>
      <c r="B4631" s="18" t="n">
        <v>1</v>
      </c>
      <c r="C4631" s="18" t="n">
        <v>2013</v>
      </c>
      <c r="D4631" s="18" t="n">
        <v>2013</v>
      </c>
      <c r="E4631" s="18" t="inlineStr">
        <is>
          <t>Lone Survivor</t>
        </is>
      </c>
      <c r="F4631" s="18" t="inlineStr">
        <is>
          <t>F0202</t>
        </is>
      </c>
    </row>
    <row r="4632" ht="15.75" customHeight="1" s="108">
      <c r="A4632" s="18" t="inlineStr">
        <is>
          <t>Matthew Page</t>
        </is>
      </c>
      <c r="B4632" s="18" t="n">
        <v>1</v>
      </c>
      <c r="C4632" s="18" t="n">
        <v>2013</v>
      </c>
      <c r="D4632" s="18" t="n">
        <v>2013</v>
      </c>
      <c r="E4632" s="18" t="inlineStr">
        <is>
          <t>Lone Survivor</t>
        </is>
      </c>
      <c r="F4632" s="18" t="inlineStr">
        <is>
          <t>F0202</t>
        </is>
      </c>
    </row>
    <row r="4633" ht="15.75" customHeight="1" s="108">
      <c r="A4633" s="18" t="inlineStr">
        <is>
          <t>Nicholas Patel</t>
        </is>
      </c>
      <c r="B4633" s="18" t="n">
        <v>1</v>
      </c>
      <c r="C4633" s="18" t="n">
        <v>2013</v>
      </c>
      <c r="D4633" s="18" t="n">
        <v>2013</v>
      </c>
      <c r="E4633" s="18" t="inlineStr">
        <is>
          <t>Lone Survivor</t>
        </is>
      </c>
      <c r="F4633" s="18" t="inlineStr">
        <is>
          <t>F0202</t>
        </is>
      </c>
    </row>
    <row r="4634" ht="15.75" customHeight="1" s="108">
      <c r="A4634" s="18" t="inlineStr">
        <is>
          <t>Daniel Arroyo</t>
        </is>
      </c>
      <c r="B4634" s="18" t="n">
        <v>1</v>
      </c>
      <c r="C4634" s="18" t="n">
        <v>2013</v>
      </c>
      <c r="D4634" s="18" t="n">
        <v>2013</v>
      </c>
      <c r="E4634" s="18" t="inlineStr">
        <is>
          <t>Lone Survivor</t>
        </is>
      </c>
      <c r="F4634" s="18" t="inlineStr">
        <is>
          <t>F0202</t>
        </is>
      </c>
    </row>
    <row r="4635" ht="15.75" customHeight="1" s="108">
      <c r="A4635" s="18" t="inlineStr">
        <is>
          <t>Zarin Rahimi</t>
        </is>
      </c>
      <c r="B4635" s="18" t="n">
        <v>1</v>
      </c>
      <c r="C4635" s="18" t="n">
        <v>2013</v>
      </c>
      <c r="D4635" s="18" t="n">
        <v>2013</v>
      </c>
      <c r="E4635" s="18" t="inlineStr">
        <is>
          <t>Lone Survivor</t>
        </is>
      </c>
      <c r="F4635" s="18" t="inlineStr">
        <is>
          <t>F0202</t>
        </is>
      </c>
    </row>
    <row r="4636" ht="15.75" customHeight="1" s="108">
      <c r="A4636" s="18" t="inlineStr">
        <is>
          <t>Rohan Chand</t>
        </is>
      </c>
      <c r="B4636" s="18" t="n">
        <v>2</v>
      </c>
      <c r="C4636" s="18" t="n">
        <v>2013</v>
      </c>
      <c r="D4636" s="18" t="n">
        <v>2017</v>
      </c>
      <c r="E4636" s="18" t="inlineStr">
        <is>
          <t>Lone Survivor, Jumanji welcome to the jungle</t>
        </is>
      </c>
      <c r="F4636" s="18" t="inlineStr">
        <is>
          <t>F0202, F0359</t>
        </is>
      </c>
    </row>
    <row r="4637" ht="15.75" customHeight="1" s="108">
      <c r="A4637" s="18" t="inlineStr">
        <is>
          <t>Anthony McKenzie</t>
        </is>
      </c>
      <c r="B4637" s="18" t="n">
        <v>1</v>
      </c>
      <c r="C4637" s="18" t="n">
        <v>2013</v>
      </c>
      <c r="D4637" s="18" t="n">
        <v>2013</v>
      </c>
      <c r="E4637" s="18" t="inlineStr">
        <is>
          <t>Lone Survivor</t>
        </is>
      </c>
      <c r="F4637" s="18" t="inlineStr">
        <is>
          <t>F0202</t>
        </is>
      </c>
    </row>
    <row r="4638" ht="15.75" customHeight="1" s="108">
      <c r="A4638" s="18" t="inlineStr">
        <is>
          <t>Brian Call</t>
        </is>
      </c>
      <c r="B4638" s="18" t="n">
        <v>2</v>
      </c>
      <c r="C4638" s="18" t="n">
        <v>2011</v>
      </c>
      <c r="D4638" s="18" t="n">
        <v>2013</v>
      </c>
      <c r="E4638" s="18" t="inlineStr">
        <is>
          <t>Lone Survivor, Transformers: Dark of the Moon</t>
        </is>
      </c>
      <c r="F4638" s="18" t="inlineStr">
        <is>
          <t>F0202, F0318</t>
        </is>
      </c>
    </row>
    <row r="4639" ht="15.75" customHeight="1" s="108">
      <c r="A4639" s="18" t="inlineStr">
        <is>
          <t>Ishmael Antonio</t>
        </is>
      </c>
      <c r="B4639" s="18" t="n">
        <v>1</v>
      </c>
      <c r="C4639" s="18" t="n">
        <v>2013</v>
      </c>
      <c r="D4639" s="18" t="n">
        <v>2013</v>
      </c>
      <c r="E4639" s="18" t="inlineStr">
        <is>
          <t>Lone Survivor</t>
        </is>
      </c>
      <c r="F4639" s="18" t="inlineStr">
        <is>
          <t>F0202</t>
        </is>
      </c>
    </row>
    <row r="4640" ht="15.75" customHeight="1" s="108">
      <c r="A4640" s="18" t="inlineStr">
        <is>
          <t>Liv Tyler</t>
        </is>
      </c>
      <c r="B4640" s="18" t="n">
        <v>3</v>
      </c>
      <c r="C4640" s="18" t="n">
        <v>2001</v>
      </c>
      <c r="D4640" s="18" t="n">
        <v>2003</v>
      </c>
      <c r="E4640" s="18" t="inlineStr">
        <is>
          <t>The Lord of the Rings: The Fellowship of the Ring, The Lord of the Rings: The Two Towers, The Lord of the Rings: The Return of the King</t>
        </is>
      </c>
      <c r="F4640" s="18" t="inlineStr">
        <is>
          <t>F0203, F0204, F0205</t>
        </is>
      </c>
    </row>
    <row r="4641" ht="15.75" customHeight="1" s="108">
      <c r="A4641" s="18" t="inlineStr">
        <is>
          <t>Sean Bean</t>
        </is>
      </c>
      <c r="B4641" s="18" t="n">
        <v>3</v>
      </c>
      <c r="C4641" s="18" t="n">
        <v>2001</v>
      </c>
      <c r="D4641" s="18" t="n">
        <v>2015</v>
      </c>
      <c r="E4641" s="18" t="inlineStr">
        <is>
          <t>The Lord of the Rings: The Fellowship of the Ring, The Lord of the Rings: The Return of the King, The Martian</t>
        </is>
      </c>
      <c r="F4641" s="18" t="inlineStr">
        <is>
          <t>F0203, F0205, F0213</t>
        </is>
      </c>
    </row>
    <row r="4642" ht="15.75" customHeight="1" s="108">
      <c r="A4642" s="18" t="inlineStr">
        <is>
          <t>Billy Boyd</t>
        </is>
      </c>
      <c r="B4642" s="18" t="n">
        <v>3</v>
      </c>
      <c r="C4642" s="18" t="n">
        <v>2001</v>
      </c>
      <c r="D4642" s="18" t="n">
        <v>2003</v>
      </c>
      <c r="E4642" s="18" t="inlineStr">
        <is>
          <t>The Lord of the Rings: The Fellowship of the Ring, The Lord of the Rings: The Two Towers, The Lord of the Rings: The Return of the King</t>
        </is>
      </c>
      <c r="F4642" s="18" t="inlineStr">
        <is>
          <t>F0203, F0204, F0205</t>
        </is>
      </c>
    </row>
    <row r="4643" ht="15.75" customHeight="1" s="108">
      <c r="A4643" s="18" t="inlineStr">
        <is>
          <t>Dominic Monaghan</t>
        </is>
      </c>
      <c r="B4643" s="18" t="n">
        <v>5</v>
      </c>
      <c r="C4643" s="18" t="n">
        <v>2001</v>
      </c>
      <c r="D4643" s="18" t="n">
        <v>2019</v>
      </c>
      <c r="E4643" s="18" t="inlineStr">
        <is>
          <t>The Lord of the Rings: The Fellowship of the Ring, The Lord of the Rings: The Two Towers, The Lord of the Rings: The Return of the King, Star Wars: The Rise of Skywalker, X-Men Origins: Wolverine</t>
        </is>
      </c>
      <c r="F4643" s="18" t="inlineStr">
        <is>
          <t>F0203, F0204, F0205, F0300, F0343</t>
        </is>
      </c>
    </row>
    <row r="4644" ht="15.75" customHeight="1" s="108">
      <c r="A4644" s="18" t="inlineStr">
        <is>
          <t>John Rhys-Davies</t>
        </is>
      </c>
      <c r="B4644" s="18" t="n">
        <v>3</v>
      </c>
      <c r="C4644" s="18" t="n">
        <v>2001</v>
      </c>
      <c r="D4644" s="18" t="n">
        <v>2003</v>
      </c>
      <c r="E4644" s="18" t="inlineStr">
        <is>
          <t>The Lord of the Rings: The Fellowship of the Ring, The Lord of the Rings: The Two Towers, The Lord of the Rings: The Return of the King</t>
        </is>
      </c>
      <c r="F4644" s="18" t="inlineStr">
        <is>
          <t>F0203, F0204, F0205</t>
        </is>
      </c>
    </row>
    <row r="4645" ht="15.75" customHeight="1" s="108">
      <c r="A4645" s="18" t="inlineStr">
        <is>
          <t>Craig Parker</t>
        </is>
      </c>
      <c r="B4645" s="18" t="n">
        <v>3</v>
      </c>
      <c r="C4645" s="18" t="n">
        <v>2001</v>
      </c>
      <c r="D4645" s="18" t="n">
        <v>2009</v>
      </c>
      <c r="E4645" s="18" t="inlineStr">
        <is>
          <t>The Lord of the Rings: The Fellowship of the Ring, The Lord of the Rings: The Two Towers, Underworld: Rise of the Lycans</t>
        </is>
      </c>
      <c r="F4645" s="18" t="inlineStr">
        <is>
          <t>F0203, F0204, F0327</t>
        </is>
      </c>
    </row>
    <row r="4646" ht="15.75" customHeight="1" s="108">
      <c r="A4646" s="18" t="inlineStr">
        <is>
          <t>Brent McIntyre</t>
        </is>
      </c>
      <c r="B4646" s="18" t="n">
        <v>1</v>
      </c>
      <c r="C4646" s="18" t="n">
        <v>2001</v>
      </c>
      <c r="D4646" s="18" t="n">
        <v>2001</v>
      </c>
      <c r="E4646" s="18" t="inlineStr">
        <is>
          <t>The Lord of the Rings: The Fellowship of the Ring</t>
        </is>
      </c>
      <c r="F4646" s="18" t="inlineStr">
        <is>
          <t>F0203</t>
        </is>
      </c>
    </row>
    <row r="4647" ht="15.75" customHeight="1" s="108">
      <c r="A4647" s="18" t="inlineStr">
        <is>
          <t>Sala Baker</t>
        </is>
      </c>
      <c r="B4647" s="18" t="n">
        <v>2</v>
      </c>
      <c r="C4647" s="18" t="n">
        <v>2001</v>
      </c>
      <c r="D4647" s="18" t="n">
        <v>2002</v>
      </c>
      <c r="E4647" s="18" t="inlineStr">
        <is>
          <t>The Lord of the Rings: The Fellowship of the Ring, The Lord of the Rings: The Two Towers</t>
        </is>
      </c>
      <c r="F4647" s="18" t="inlineStr">
        <is>
          <t>F0203, F0204</t>
        </is>
      </c>
    </row>
    <row r="4648" ht="15.75" customHeight="1" s="108">
      <c r="A4648" s="18" t="inlineStr">
        <is>
          <t>Mark Ferguson</t>
        </is>
      </c>
      <c r="B4648" s="18" t="n">
        <v>1</v>
      </c>
      <c r="C4648" s="18" t="n">
        <v>2001</v>
      </c>
      <c r="D4648" s="18" t="n">
        <v>2001</v>
      </c>
      <c r="E4648" s="18" t="inlineStr">
        <is>
          <t>The Lord of the Rings: The Fellowship of the Ring</t>
        </is>
      </c>
      <c r="F4648" s="18" t="inlineStr">
        <is>
          <t>F0203</t>
        </is>
      </c>
    </row>
    <row r="4649" ht="15.75" customHeight="1" s="108">
      <c r="A4649" s="18" t="inlineStr">
        <is>
          <t>Harry Sinclair</t>
        </is>
      </c>
      <c r="B4649" s="18" t="n">
        <v>1</v>
      </c>
      <c r="C4649" s="18" t="n">
        <v>2001</v>
      </c>
      <c r="D4649" s="18" t="n">
        <v>2001</v>
      </c>
      <c r="E4649" s="18" t="inlineStr">
        <is>
          <t>The Lord of the Rings: The Fellowship of the Ring</t>
        </is>
      </c>
      <c r="F4649" s="18" t="inlineStr">
        <is>
          <t>F0203</t>
        </is>
      </c>
    </row>
    <row r="4650" ht="15.75" customHeight="1" s="108">
      <c r="A4650" s="18" t="inlineStr">
        <is>
          <t>Noel Appleby</t>
        </is>
      </c>
      <c r="B4650" s="18" t="n">
        <v>2</v>
      </c>
      <c r="C4650" s="18" t="n">
        <v>2001</v>
      </c>
      <c r="D4650" s="18" t="n">
        <v>2003</v>
      </c>
      <c r="E4650" s="18" t="inlineStr">
        <is>
          <t>The Lord of the Rings: The Fellowship of the Ring, The Lord of the Rings: The Return of the King</t>
        </is>
      </c>
      <c r="F4650" s="18" t="inlineStr">
        <is>
          <t>F0203, F0205</t>
        </is>
      </c>
    </row>
    <row r="4651" ht="15.75" customHeight="1" s="108">
      <c r="A4651" s="18" t="inlineStr">
        <is>
          <t>Megan Edwards</t>
        </is>
      </c>
      <c r="B4651" s="18" t="n">
        <v>1</v>
      </c>
      <c r="C4651" s="18" t="n">
        <v>2001</v>
      </c>
      <c r="D4651" s="18" t="n">
        <v>2001</v>
      </c>
      <c r="E4651" s="18" t="inlineStr">
        <is>
          <t>The Lord of the Rings: The Fellowship of the Ring</t>
        </is>
      </c>
      <c r="F4651" s="18" t="inlineStr">
        <is>
          <t>F0203</t>
        </is>
      </c>
    </row>
    <row r="4652" ht="15.75" customHeight="1" s="108">
      <c r="A4652" s="18" t="inlineStr">
        <is>
          <t>Sarah McLeod</t>
        </is>
      </c>
      <c r="B4652" s="18" t="n">
        <v>2</v>
      </c>
      <c r="C4652" s="18" t="n">
        <v>2001</v>
      </c>
      <c r="D4652" s="18" t="n">
        <v>2003</v>
      </c>
      <c r="E4652" s="18" t="inlineStr">
        <is>
          <t>The Lord of the Rings: The Fellowship of the Ring, The Lord of the Rings: The Return of the King</t>
        </is>
      </c>
      <c r="F4652" s="18" t="inlineStr">
        <is>
          <t>F0203, F0205</t>
        </is>
      </c>
    </row>
    <row r="4653" ht="15.75" customHeight="1" s="108">
      <c r="A4653" s="18" t="inlineStr">
        <is>
          <t>David Weatherley</t>
        </is>
      </c>
      <c r="B4653" s="18" t="n">
        <v>1</v>
      </c>
      <c r="C4653" s="18" t="n">
        <v>2001</v>
      </c>
      <c r="D4653" s="18" t="n">
        <v>2001</v>
      </c>
      <c r="E4653" s="18" t="inlineStr">
        <is>
          <t>The Lord of the Rings: The Fellowship of the Ring</t>
        </is>
      </c>
      <c r="F4653" s="18" t="inlineStr">
        <is>
          <t>F0203</t>
        </is>
      </c>
    </row>
    <row r="4654" ht="15.75" customHeight="1" s="108">
      <c r="A4654" s="18" t="inlineStr">
        <is>
          <t>Ian Mune</t>
        </is>
      </c>
      <c r="B4654" s="18" t="n">
        <v>1</v>
      </c>
      <c r="C4654" s="18" t="n">
        <v>2001</v>
      </c>
      <c r="D4654" s="18" t="n">
        <v>2001</v>
      </c>
      <c r="E4654" s="18" t="inlineStr">
        <is>
          <t>The Lord of the Rings: The Fellowship of the Ring</t>
        </is>
      </c>
      <c r="F4654" s="18" t="inlineStr">
        <is>
          <t>F0203</t>
        </is>
      </c>
    </row>
    <row r="4655" ht="15.75" customHeight="1" s="108">
      <c r="A4655" s="18" t="inlineStr">
        <is>
          <t>Michael Elsworth</t>
        </is>
      </c>
      <c r="B4655" s="18" t="n">
        <v>1</v>
      </c>
      <c r="C4655" s="18" t="n">
        <v>2001</v>
      </c>
      <c r="D4655" s="18" t="n">
        <v>2001</v>
      </c>
      <c r="E4655" s="18" t="inlineStr">
        <is>
          <t>The Lord of the Rings: The Fellowship of the Ring</t>
        </is>
      </c>
      <c r="F4655" s="18" t="inlineStr">
        <is>
          <t>F0203</t>
        </is>
      </c>
    </row>
    <row r="4656" ht="15.75" customHeight="1" s="108">
      <c r="A4656" s="18" t="inlineStr">
        <is>
          <t>Cameron Rhodes</t>
        </is>
      </c>
      <c r="B4656" s="18" t="n">
        <v>1</v>
      </c>
      <c r="C4656" s="18" t="n">
        <v>2001</v>
      </c>
      <c r="D4656" s="18" t="n">
        <v>2001</v>
      </c>
      <c r="E4656" s="18" t="inlineStr">
        <is>
          <t>The Lord of the Rings: The Fellowship of the Ring</t>
        </is>
      </c>
      <c r="F4656" s="18" t="inlineStr">
        <is>
          <t>F0203</t>
        </is>
      </c>
    </row>
    <row r="4657" ht="15.75" customHeight="1" s="108">
      <c r="A4657" s="18" t="inlineStr">
        <is>
          <t>Bernard Hill</t>
        </is>
      </c>
      <c r="B4657" s="18" t="n">
        <v>2</v>
      </c>
      <c r="C4657" s="18" t="n">
        <v>2002</v>
      </c>
      <c r="D4657" s="18" t="n">
        <v>2003</v>
      </c>
      <c r="E4657" s="18" t="inlineStr">
        <is>
          <t>The Lord of the Rings: The Two Towers, The Lord of the Rings: The Return of the King</t>
        </is>
      </c>
      <c r="F4657" s="18" t="inlineStr">
        <is>
          <t>F0204, F0205</t>
        </is>
      </c>
    </row>
    <row r="4658" ht="15.75" customHeight="1" s="108">
      <c r="A4658" s="18" t="inlineStr">
        <is>
          <t>David Wenham</t>
        </is>
      </c>
      <c r="B4658" s="18" t="n">
        <v>2</v>
      </c>
      <c r="C4658" s="18" t="n">
        <v>2002</v>
      </c>
      <c r="D4658" s="18" t="n">
        <v>2003</v>
      </c>
      <c r="E4658" s="18" t="inlineStr">
        <is>
          <t>The Lord of the Rings: The Two Towers, The Lord of the Rings: The Return of the King</t>
        </is>
      </c>
      <c r="F4658" s="18" t="inlineStr">
        <is>
          <t>F0204, F0205</t>
        </is>
      </c>
    </row>
    <row r="4659" ht="15.75" customHeight="1" s="108">
      <c r="A4659" s="18" t="inlineStr">
        <is>
          <t>Bruce Allpress</t>
        </is>
      </c>
      <c r="B4659" s="18" t="n">
        <v>1</v>
      </c>
      <c r="C4659" s="18" t="n">
        <v>2002</v>
      </c>
      <c r="D4659" s="18" t="n">
        <v>2002</v>
      </c>
      <c r="E4659" s="18" t="inlineStr">
        <is>
          <t>The Lord of the Rings: The Two Towers</t>
        </is>
      </c>
      <c r="F4659" s="18" t="inlineStr">
        <is>
          <t>F0204</t>
        </is>
      </c>
    </row>
    <row r="4660" ht="15.75" customHeight="1" s="108">
      <c r="A4660" s="18" t="inlineStr">
        <is>
          <t>John Bach</t>
        </is>
      </c>
      <c r="B4660" s="18" t="n">
        <v>2</v>
      </c>
      <c r="C4660" s="18" t="n">
        <v>2002</v>
      </c>
      <c r="D4660" s="18" t="n">
        <v>2003</v>
      </c>
      <c r="E4660" s="18" t="inlineStr">
        <is>
          <t>The Lord of the Rings: The Two Towers, The Lord of the Rings: The Return of the King</t>
        </is>
      </c>
      <c r="F4660" s="18" t="inlineStr">
        <is>
          <t>F0204, F0205</t>
        </is>
      </c>
    </row>
    <row r="4661" ht="15.75" customHeight="1" s="108">
      <c r="A4661" s="18" t="inlineStr">
        <is>
          <t>Sam Comery</t>
        </is>
      </c>
      <c r="B4661" s="18" t="n">
        <v>1</v>
      </c>
      <c r="C4661" s="18" t="n">
        <v>2002</v>
      </c>
      <c r="D4661" s="18" t="n">
        <v>2002</v>
      </c>
      <c r="E4661" s="18" t="inlineStr">
        <is>
          <t>The Lord of the Rings: The Two Towers</t>
        </is>
      </c>
      <c r="F4661" s="18" t="inlineStr">
        <is>
          <t>F0204</t>
        </is>
      </c>
    </row>
    <row r="4662" ht="15.75" customHeight="1" s="108">
      <c r="A4662" s="18" t="inlineStr">
        <is>
          <t>Phil Grieve</t>
        </is>
      </c>
      <c r="B4662" s="18" t="n">
        <v>1</v>
      </c>
      <c r="C4662" s="18" t="n">
        <v>2002</v>
      </c>
      <c r="D4662" s="18" t="n">
        <v>2002</v>
      </c>
      <c r="E4662" s="18" t="inlineStr">
        <is>
          <t>The Lord of the Rings: The Two Towers</t>
        </is>
      </c>
      <c r="F4662" s="18" t="inlineStr">
        <is>
          <t>F0204</t>
        </is>
      </c>
    </row>
    <row r="4663" ht="15.75" customHeight="1" s="108">
      <c r="A4663" s="18" t="inlineStr">
        <is>
          <t>Bruce Hopkins</t>
        </is>
      </c>
      <c r="B4663" s="18" t="n">
        <v>1</v>
      </c>
      <c r="C4663" s="18" t="n">
        <v>2002</v>
      </c>
      <c r="D4663" s="18" t="n">
        <v>2002</v>
      </c>
      <c r="E4663" s="18" t="inlineStr">
        <is>
          <t>The Lord of the Rings: The Two Towers</t>
        </is>
      </c>
      <c r="F4663" s="18" t="inlineStr">
        <is>
          <t>F0204</t>
        </is>
      </c>
    </row>
    <row r="4664" ht="15.75" customHeight="1" s="108">
      <c r="A4664" s="18" t="inlineStr">
        <is>
          <t>Paris Howe Strewe</t>
        </is>
      </c>
      <c r="B4664" s="18" t="n">
        <v>1</v>
      </c>
      <c r="C4664" s="18" t="n">
        <v>2002</v>
      </c>
      <c r="D4664" s="18" t="n">
        <v>2002</v>
      </c>
      <c r="E4664" s="18" t="inlineStr">
        <is>
          <t>The Lord of the Rings: The Two Towers</t>
        </is>
      </c>
      <c r="F4664" s="18" t="inlineStr">
        <is>
          <t>F0204</t>
        </is>
      </c>
    </row>
    <row r="4665" ht="15.75" customHeight="1" s="108">
      <c r="A4665" s="18" t="inlineStr">
        <is>
          <t>Nathaniel Lees</t>
        </is>
      </c>
      <c r="B4665" s="18" t="n">
        <v>2</v>
      </c>
      <c r="C4665" s="18" t="n">
        <v>2002</v>
      </c>
      <c r="D4665" s="18" t="n">
        <v>2003</v>
      </c>
      <c r="E4665" s="18" t="inlineStr">
        <is>
          <t>The Lord of the Rings: The Two Towers, The Matrix Revolutions</t>
        </is>
      </c>
      <c r="F4665" s="18" t="inlineStr">
        <is>
          <t>F0204, F0216</t>
        </is>
      </c>
    </row>
    <row r="4666" ht="15.75" customHeight="1" s="108">
      <c r="A4666" s="18" t="inlineStr">
        <is>
          <t>John Leigh</t>
        </is>
      </c>
      <c r="B4666" s="18" t="n">
        <v>1</v>
      </c>
      <c r="C4666" s="18" t="n">
        <v>2002</v>
      </c>
      <c r="D4666" s="18" t="n">
        <v>2002</v>
      </c>
      <c r="E4666" s="18" t="inlineStr">
        <is>
          <t>The Lord of the Rings: The Two Towers</t>
        </is>
      </c>
      <c r="F4666" s="18" t="inlineStr">
        <is>
          <t>F0204</t>
        </is>
      </c>
    </row>
    <row r="4667" ht="15.75" customHeight="1" s="108">
      <c r="A4667" s="18" t="inlineStr">
        <is>
          <t>John Noble</t>
        </is>
      </c>
      <c r="B4667" s="18" t="n">
        <v>1</v>
      </c>
      <c r="C4667" s="18" t="n">
        <v>2003</v>
      </c>
      <c r="D4667" s="18" t="n">
        <v>2003</v>
      </c>
      <c r="E4667" s="18" t="inlineStr">
        <is>
          <t>The Lord of the Rings: The Return of the King</t>
        </is>
      </c>
      <c r="F4667" s="18" t="inlineStr">
        <is>
          <t>F0205</t>
        </is>
      </c>
    </row>
    <row r="4668" ht="15.75" customHeight="1" s="108">
      <c r="A4668" s="18" t="inlineStr">
        <is>
          <t>Paul Norell</t>
        </is>
      </c>
      <c r="B4668" s="18" t="n">
        <v>1</v>
      </c>
      <c r="C4668" s="18" t="n">
        <v>2003</v>
      </c>
      <c r="D4668" s="18" t="n">
        <v>2003</v>
      </c>
      <c r="E4668" s="18" t="inlineStr">
        <is>
          <t>The Lord of the Rings: The Return of the King</t>
        </is>
      </c>
      <c r="F4668" s="18" t="inlineStr">
        <is>
          <t>F0205</t>
        </is>
      </c>
    </row>
    <row r="4669" ht="15.75" customHeight="1" s="108">
      <c r="A4669" s="18" t="inlineStr">
        <is>
          <t>Ali Astin</t>
        </is>
      </c>
      <c r="B4669" s="18" t="n">
        <v>1</v>
      </c>
      <c r="C4669" s="18" t="n">
        <v>2003</v>
      </c>
      <c r="D4669" s="18" t="n">
        <v>2003</v>
      </c>
      <c r="E4669" s="18" t="inlineStr">
        <is>
          <t>The Lord of the Rings: The Return of the King</t>
        </is>
      </c>
      <c r="F4669" s="18" t="inlineStr">
        <is>
          <t>F0205</t>
        </is>
      </c>
    </row>
    <row r="4670" ht="15.75" customHeight="1" s="108">
      <c r="A4670" s="18" t="inlineStr">
        <is>
          <t>Maisy McLeod-Riera</t>
        </is>
      </c>
      <c r="B4670" s="18" t="n">
        <v>1</v>
      </c>
      <c r="C4670" s="18" t="n">
        <v>2003</v>
      </c>
      <c r="D4670" s="18" t="n">
        <v>2003</v>
      </c>
      <c r="E4670" s="18" t="inlineStr">
        <is>
          <t>The Lord of the Rings: The Return of the King</t>
        </is>
      </c>
      <c r="F4670" s="18" t="inlineStr">
        <is>
          <t>F0205</t>
        </is>
      </c>
    </row>
    <row r="4671" ht="15.75" customHeight="1" s="108">
      <c r="A4671" s="18" t="inlineStr">
        <is>
          <t>David Aston</t>
        </is>
      </c>
      <c r="B4671" s="18" t="n">
        <v>3</v>
      </c>
      <c r="C4671" s="18" t="n">
        <v>1999</v>
      </c>
      <c r="D4671" s="18" t="n">
        <v>2009</v>
      </c>
      <c r="E4671" s="18" t="inlineStr">
        <is>
          <t>The Lord of the Rings: The Return of the King, The Matrix, Underworld: Rise of the Lycans</t>
        </is>
      </c>
      <c r="F4671" s="18" t="inlineStr">
        <is>
          <t>F0205, F0214, F0327</t>
        </is>
      </c>
    </row>
    <row r="4672" ht="15.75" customHeight="1" s="108">
      <c r="A4672" s="18" t="inlineStr">
        <is>
          <t>Sadwyn Brophy</t>
        </is>
      </c>
      <c r="B4672" s="18" t="n">
        <v>1</v>
      </c>
      <c r="C4672" s="18" t="n">
        <v>2003</v>
      </c>
      <c r="D4672" s="18" t="n">
        <v>2003</v>
      </c>
      <c r="E4672" s="18" t="inlineStr">
        <is>
          <t>The Lord of the Rings: The Return of the King</t>
        </is>
      </c>
      <c r="F4672" s="18" t="inlineStr">
        <is>
          <t>F0205</t>
        </is>
      </c>
    </row>
    <row r="4673" ht="15.75" customHeight="1" s="108">
      <c r="A4673" s="18" t="inlineStr">
        <is>
          <t>Alistair Browning</t>
        </is>
      </c>
      <c r="B4673" s="18" t="n">
        <v>1</v>
      </c>
      <c r="C4673" s="18" t="n">
        <v>2003</v>
      </c>
      <c r="D4673" s="18" t="n">
        <v>2003</v>
      </c>
      <c r="E4673" s="18" t="inlineStr">
        <is>
          <t>The Lord of the Rings: The Return of the King</t>
        </is>
      </c>
      <c r="F4673" s="18" t="inlineStr">
        <is>
          <t>F0205</t>
        </is>
      </c>
    </row>
    <row r="4674" ht="15.75" customHeight="1" s="108">
      <c r="A4674" s="18" t="inlineStr">
        <is>
          <t>Joe Manganiello</t>
        </is>
      </c>
      <c r="B4674" s="18" t="n">
        <v>3</v>
      </c>
      <c r="C4674" s="18" t="n">
        <v>2002</v>
      </c>
      <c r="D4674" s="18" t="n">
        <v>2012</v>
      </c>
      <c r="E4674" s="18" t="inlineStr">
        <is>
          <t>Magic Mike, Spider-Man, Spider-Man 3</t>
        </is>
      </c>
      <c r="F4674" s="18" t="inlineStr">
        <is>
          <t>F0206, F0287, F0289</t>
        </is>
      </c>
    </row>
    <row r="4675" ht="15.75" customHeight="1" s="108">
      <c r="A4675" s="18" t="inlineStr">
        <is>
          <t>Reid Carolin</t>
        </is>
      </c>
      <c r="B4675" s="18" t="n">
        <v>1</v>
      </c>
      <c r="C4675" s="18" t="n">
        <v>2012</v>
      </c>
      <c r="D4675" s="18" t="n">
        <v>2012</v>
      </c>
      <c r="E4675" s="18" t="inlineStr">
        <is>
          <t>Magic Mike</t>
        </is>
      </c>
      <c r="F4675" s="18" t="inlineStr">
        <is>
          <t>F0206</t>
        </is>
      </c>
    </row>
    <row r="4676" ht="15.75" customHeight="1" s="108">
      <c r="A4676" s="18" t="inlineStr">
        <is>
          <t>Adam Rodriguez</t>
        </is>
      </c>
      <c r="B4676" s="18" t="n">
        <v>1</v>
      </c>
      <c r="C4676" s="18" t="n">
        <v>2012</v>
      </c>
      <c r="D4676" s="18" t="n">
        <v>2012</v>
      </c>
      <c r="E4676" s="18" t="inlineStr">
        <is>
          <t>Magic Mike</t>
        </is>
      </c>
      <c r="F4676" s="18" t="inlineStr">
        <is>
          <t>F0206</t>
        </is>
      </c>
    </row>
    <row r="4677" ht="15.75" customHeight="1" s="108">
      <c r="A4677" s="18" t="inlineStr">
        <is>
          <t>Kevin Nash</t>
        </is>
      </c>
      <c r="B4677" s="18" t="n">
        <v>2</v>
      </c>
      <c r="C4677" s="18" t="n">
        <v>2012</v>
      </c>
      <c r="D4677" s="18" t="n">
        <v>2014</v>
      </c>
      <c r="E4677" s="18" t="inlineStr">
        <is>
          <t>Magic Mike, john wick</t>
        </is>
      </c>
      <c r="F4677" s="18" t="inlineStr">
        <is>
          <t>F0206, F0374</t>
        </is>
      </c>
    </row>
    <row r="4678" ht="15.75" customHeight="1" s="108">
      <c r="A4678" s="18" t="inlineStr">
        <is>
          <t>Gabriel Iglesias</t>
        </is>
      </c>
      <c r="B4678" s="18" t="n">
        <v>1</v>
      </c>
      <c r="C4678" s="18" t="n">
        <v>2012</v>
      </c>
      <c r="D4678" s="18" t="n">
        <v>2012</v>
      </c>
      <c r="E4678" s="18" t="inlineStr">
        <is>
          <t>Magic Mike</t>
        </is>
      </c>
      <c r="F4678" s="18" t="inlineStr">
        <is>
          <t>F0206</t>
        </is>
      </c>
    </row>
    <row r="4679" ht="15.75" customHeight="1" s="108">
      <c r="A4679" s="18" t="inlineStr">
        <is>
          <t>Riley Keough</t>
        </is>
      </c>
      <c r="B4679" s="18" t="n">
        <v>2</v>
      </c>
      <c r="C4679" s="18" t="n">
        <v>2012</v>
      </c>
      <c r="D4679" s="18" t="n">
        <v>2015</v>
      </c>
      <c r="E4679" s="18" t="inlineStr">
        <is>
          <t>Magic Mike, Mad max fury road</t>
        </is>
      </c>
      <c r="F4679" s="18" t="inlineStr">
        <is>
          <t>F0206, F0354</t>
        </is>
      </c>
    </row>
    <row r="4680" ht="15.75" customHeight="1" s="108">
      <c r="A4680" s="18" t="inlineStr">
        <is>
          <t>Michael Roark</t>
        </is>
      </c>
      <c r="B4680" s="18" t="n">
        <v>1</v>
      </c>
      <c r="C4680" s="18" t="n">
        <v>2012</v>
      </c>
      <c r="D4680" s="18" t="n">
        <v>2012</v>
      </c>
      <c r="E4680" s="18" t="inlineStr">
        <is>
          <t>Magic Mike</t>
        </is>
      </c>
      <c r="F4680" s="18" t="inlineStr">
        <is>
          <t>F0206</t>
        </is>
      </c>
    </row>
    <row r="4681" ht="15.75" customHeight="1" s="108">
      <c r="A4681" s="18" t="inlineStr">
        <is>
          <t>Betsy Brandt</t>
        </is>
      </c>
      <c r="B4681" s="18" t="n">
        <v>1</v>
      </c>
      <c r="C4681" s="18" t="n">
        <v>2012</v>
      </c>
      <c r="D4681" s="18" t="n">
        <v>2012</v>
      </c>
      <c r="E4681" s="18" t="inlineStr">
        <is>
          <t>Magic Mike</t>
        </is>
      </c>
      <c r="F4681" s="18" t="inlineStr">
        <is>
          <t>F0206</t>
        </is>
      </c>
    </row>
    <row r="4682" ht="15.75" customHeight="1" s="108">
      <c r="A4682" s="18" t="inlineStr">
        <is>
          <t>Mircea Monroe</t>
        </is>
      </c>
      <c r="B4682" s="18" t="n">
        <v>1</v>
      </c>
      <c r="C4682" s="18" t="n">
        <v>2012</v>
      </c>
      <c r="D4682" s="18" t="n">
        <v>2012</v>
      </c>
      <c r="E4682" s="18" t="inlineStr">
        <is>
          <t>Magic Mike</t>
        </is>
      </c>
      <c r="F4682" s="18" t="inlineStr">
        <is>
          <t>F0206</t>
        </is>
      </c>
    </row>
    <row r="4683" ht="15.75" customHeight="1" s="108">
      <c r="A4683" s="18" t="inlineStr">
        <is>
          <t>Avery Bigelow</t>
        </is>
      </c>
      <c r="B4683" s="18" t="n">
        <v>1</v>
      </c>
      <c r="C4683" s="18" t="n">
        <v>2012</v>
      </c>
      <c r="D4683" s="18" t="n">
        <v>2012</v>
      </c>
      <c r="E4683" s="18" t="inlineStr">
        <is>
          <t>Magic Mike</t>
        </is>
      </c>
      <c r="F4683" s="18" t="inlineStr">
        <is>
          <t>F0206</t>
        </is>
      </c>
    </row>
    <row r="4684" ht="15.75" customHeight="1" s="108">
      <c r="A4684" s="18" t="inlineStr">
        <is>
          <t>George A. Sack</t>
        </is>
      </c>
      <c r="B4684" s="18" t="n">
        <v>1</v>
      </c>
      <c r="C4684" s="18" t="n">
        <v>2012</v>
      </c>
      <c r="D4684" s="18" t="n">
        <v>2012</v>
      </c>
      <c r="E4684" s="18" t="inlineStr">
        <is>
          <t>Magic Mike</t>
        </is>
      </c>
      <c r="F4684" s="18" t="inlineStr">
        <is>
          <t>F0206</t>
        </is>
      </c>
    </row>
    <row r="4685" ht="15.75" customHeight="1" s="108">
      <c r="A4685" s="18" t="inlineStr">
        <is>
          <t>Micaela Johnson</t>
        </is>
      </c>
      <c r="B4685" s="18" t="n">
        <v>1</v>
      </c>
      <c r="C4685" s="18" t="n">
        <v>2012</v>
      </c>
      <c r="D4685" s="18" t="n">
        <v>2012</v>
      </c>
      <c r="E4685" s="18" t="inlineStr">
        <is>
          <t>Magic Mike</t>
        </is>
      </c>
      <c r="F4685" s="18" t="inlineStr">
        <is>
          <t>F0206</t>
        </is>
      </c>
    </row>
    <row r="4686" ht="15.75" customHeight="1" s="108">
      <c r="A4686" s="18" t="inlineStr">
        <is>
          <t>Denise Vasi</t>
        </is>
      </c>
      <c r="B4686" s="18" t="n">
        <v>1</v>
      </c>
      <c r="C4686" s="18" t="n">
        <v>2012</v>
      </c>
      <c r="D4686" s="18" t="n">
        <v>2012</v>
      </c>
      <c r="E4686" s="18" t="inlineStr">
        <is>
          <t>Magic Mike</t>
        </is>
      </c>
      <c r="F4686" s="18" t="inlineStr">
        <is>
          <t>F0206</t>
        </is>
      </c>
    </row>
    <row r="4687" ht="15.75" customHeight="1" s="108">
      <c r="A4687" s="18" t="inlineStr">
        <is>
          <t>Camryn Grimes</t>
        </is>
      </c>
      <c r="B4687" s="18" t="n">
        <v>1</v>
      </c>
      <c r="C4687" s="18" t="n">
        <v>2012</v>
      </c>
      <c r="D4687" s="18" t="n">
        <v>2012</v>
      </c>
      <c r="E4687" s="18" t="inlineStr">
        <is>
          <t>Magic Mike</t>
        </is>
      </c>
      <c r="F4687" s="18" t="inlineStr">
        <is>
          <t>F0206</t>
        </is>
      </c>
    </row>
    <row r="4688" ht="15.75" customHeight="1" s="108">
      <c r="A4688" s="18" t="inlineStr">
        <is>
          <t>Kate Easton</t>
        </is>
      </c>
      <c r="B4688" s="18" t="n">
        <v>1</v>
      </c>
      <c r="C4688" s="18" t="n">
        <v>2012</v>
      </c>
      <c r="D4688" s="18" t="n">
        <v>2012</v>
      </c>
      <c r="E4688" s="18" t="inlineStr">
        <is>
          <t>Magic Mike</t>
        </is>
      </c>
      <c r="F4688" s="18" t="inlineStr">
        <is>
          <t>F0206</t>
        </is>
      </c>
    </row>
    <row r="4689" ht="15.75" customHeight="1" s="108">
      <c r="A4689" s="18" t="inlineStr">
        <is>
          <t>Asher Wallis</t>
        </is>
      </c>
      <c r="B4689" s="18" t="n">
        <v>1</v>
      </c>
      <c r="C4689" s="18" t="n">
        <v>2012</v>
      </c>
      <c r="D4689" s="18" t="n">
        <v>2012</v>
      </c>
      <c r="E4689" s="18" t="inlineStr">
        <is>
          <t>Magic Mike</t>
        </is>
      </c>
      <c r="F4689" s="18" t="inlineStr">
        <is>
          <t>F0206</t>
        </is>
      </c>
    </row>
    <row r="4690" ht="15.75" customHeight="1" s="108">
      <c r="A4690" s="18" t="inlineStr">
        <is>
          <t>Alison Faulk</t>
        </is>
      </c>
      <c r="B4690" s="18" t="n">
        <v>1</v>
      </c>
      <c r="C4690" s="18" t="n">
        <v>2012</v>
      </c>
      <c r="D4690" s="18" t="n">
        <v>2012</v>
      </c>
      <c r="E4690" s="18" t="inlineStr">
        <is>
          <t>Magic Mike</t>
        </is>
      </c>
      <c r="F4690" s="18" t="inlineStr">
        <is>
          <t>F0206</t>
        </is>
      </c>
    </row>
    <row r="4691" ht="15.75" customHeight="1" s="108">
      <c r="A4691" s="18" t="inlineStr">
        <is>
          <t>Catherine Lynn Stone</t>
        </is>
      </c>
      <c r="B4691" s="18" t="n">
        <v>1</v>
      </c>
      <c r="C4691" s="18" t="n">
        <v>2012</v>
      </c>
      <c r="D4691" s="18" t="n">
        <v>2012</v>
      </c>
      <c r="E4691" s="18" t="inlineStr">
        <is>
          <t>Magic Mike</t>
        </is>
      </c>
      <c r="F4691" s="18" t="inlineStr">
        <is>
          <t>F0206</t>
        </is>
      </c>
    </row>
    <row r="4692" ht="15.75" customHeight="1" s="108">
      <c r="A4692" s="18" t="inlineStr">
        <is>
          <t>Jennifer Skinner</t>
        </is>
      </c>
      <c r="B4692" s="18" t="n">
        <v>1</v>
      </c>
      <c r="C4692" s="18" t="n">
        <v>2012</v>
      </c>
      <c r="D4692" s="18" t="n">
        <v>2012</v>
      </c>
      <c r="E4692" s="18" t="inlineStr">
        <is>
          <t>Magic Mike</t>
        </is>
      </c>
      <c r="F4692" s="18" t="inlineStr">
        <is>
          <t>F0206</t>
        </is>
      </c>
    </row>
    <row r="4693" ht="15.75" customHeight="1" s="108">
      <c r="A4693" s="18" t="inlineStr">
        <is>
          <t>Vanessa Ryan</t>
        </is>
      </c>
      <c r="B4693" s="18" t="n">
        <v>1</v>
      </c>
      <c r="C4693" s="18" t="n">
        <v>2012</v>
      </c>
      <c r="D4693" s="18" t="n">
        <v>2012</v>
      </c>
      <c r="E4693" s="18" t="inlineStr">
        <is>
          <t>Magic Mike</t>
        </is>
      </c>
      <c r="F4693" s="18" t="inlineStr">
        <is>
          <t>F0206</t>
        </is>
      </c>
    </row>
    <row r="4694" ht="15.75" customHeight="1" s="108">
      <c r="A4694" s="18" t="inlineStr">
        <is>
          <t>Teresa Espinosa</t>
        </is>
      </c>
      <c r="B4694" s="18" t="n">
        <v>1</v>
      </c>
      <c r="C4694" s="18" t="n">
        <v>2012</v>
      </c>
      <c r="D4694" s="18" t="n">
        <v>2012</v>
      </c>
      <c r="E4694" s="18" t="inlineStr">
        <is>
          <t>Magic Mike</t>
        </is>
      </c>
      <c r="F4694" s="18" t="inlineStr">
        <is>
          <t>F0206</t>
        </is>
      </c>
    </row>
    <row r="4695" ht="15.75" customHeight="1" s="108">
      <c r="A4695" s="18" t="inlineStr">
        <is>
          <t>Monica Garcia Pérez</t>
        </is>
      </c>
      <c r="B4695" s="18" t="n">
        <v>1</v>
      </c>
      <c r="C4695" s="18" t="n">
        <v>2012</v>
      </c>
      <c r="D4695" s="18" t="n">
        <v>2012</v>
      </c>
      <c r="E4695" s="18" t="inlineStr">
        <is>
          <t>Magic Mike</t>
        </is>
      </c>
      <c r="F4695" s="18" t="inlineStr">
        <is>
          <t>F0206</t>
        </is>
      </c>
    </row>
    <row r="4696" ht="15.75" customHeight="1" s="108">
      <c r="A4696" s="18" t="inlineStr">
        <is>
          <t>Annette Houlihan Verdolino</t>
        </is>
      </c>
      <c r="B4696" s="18" t="n">
        <v>1</v>
      </c>
      <c r="C4696" s="18" t="n">
        <v>2012</v>
      </c>
      <c r="D4696" s="18" t="n">
        <v>2012</v>
      </c>
      <c r="E4696" s="18" t="inlineStr">
        <is>
          <t>Magic Mike</t>
        </is>
      </c>
      <c r="F4696" s="18" t="inlineStr">
        <is>
          <t>F0206</t>
        </is>
      </c>
    </row>
    <row r="4697" ht="15.75" customHeight="1" s="108">
      <c r="A4697" s="18" t="inlineStr">
        <is>
          <t>Martin Sensmeier</t>
        </is>
      </c>
      <c r="B4697" s="18" t="n">
        <v>1</v>
      </c>
      <c r="C4697" s="18" t="n">
        <v>2016</v>
      </c>
      <c r="D4697" s="18" t="n">
        <v>2016</v>
      </c>
      <c r="E4697" s="18" t="inlineStr">
        <is>
          <t>The Magnificent Seven</t>
        </is>
      </c>
      <c r="F4697" s="18" t="inlineStr">
        <is>
          <t>F0207</t>
        </is>
      </c>
    </row>
    <row r="4698" ht="15.75" customHeight="1" s="108">
      <c r="A4698" s="18" t="inlineStr">
        <is>
          <t>Haley Bennett</t>
        </is>
      </c>
      <c r="B4698" s="18" t="n">
        <v>1</v>
      </c>
      <c r="C4698" s="18" t="n">
        <v>2016</v>
      </c>
      <c r="D4698" s="18" t="n">
        <v>2016</v>
      </c>
      <c r="E4698" s="18" t="inlineStr">
        <is>
          <t>The Magnificent Seven</t>
        </is>
      </c>
      <c r="F4698" s="18" t="inlineStr">
        <is>
          <t>F0207</t>
        </is>
      </c>
    </row>
    <row r="4699" ht="15.75" customHeight="1" s="108">
      <c r="A4699" s="18" t="inlineStr">
        <is>
          <t>Luke Grimes</t>
        </is>
      </c>
      <c r="B4699" s="18" t="n">
        <v>2</v>
      </c>
      <c r="C4699" s="18" t="n">
        <v>2012</v>
      </c>
      <c r="D4699" s="18" t="n">
        <v>2016</v>
      </c>
      <c r="E4699" s="18" t="inlineStr">
        <is>
          <t>The Magnificent Seven, Taken 2</t>
        </is>
      </c>
      <c r="F4699" s="18" t="inlineStr">
        <is>
          <t>F0207, F0307</t>
        </is>
      </c>
    </row>
    <row r="4700" ht="15.75" customHeight="1" s="108">
      <c r="A4700" s="18" t="inlineStr">
        <is>
          <t>Jonathan Joss</t>
        </is>
      </c>
      <c r="B4700" s="18" t="n">
        <v>2</v>
      </c>
      <c r="C4700" s="18" t="n">
        <v>2010</v>
      </c>
      <c r="D4700" s="18" t="n">
        <v>2016</v>
      </c>
      <c r="E4700" s="18" t="inlineStr">
        <is>
          <t>The Magnificent Seven, True Grit</t>
        </is>
      </c>
      <c r="F4700" s="18" t="inlineStr">
        <is>
          <t>F0207, F0325</t>
        </is>
      </c>
    </row>
    <row r="4701" ht="15.75" customHeight="1" s="108">
      <c r="A4701" s="18" t="inlineStr">
        <is>
          <t>Cam Gigandet</t>
        </is>
      </c>
      <c r="B4701" s="18" t="n">
        <v>1</v>
      </c>
      <c r="C4701" s="18" t="n">
        <v>2016</v>
      </c>
      <c r="D4701" s="18" t="n">
        <v>2016</v>
      </c>
      <c r="E4701" s="18" t="inlineStr">
        <is>
          <t>The Magnificent Seven</t>
        </is>
      </c>
      <c r="F4701" s="18" t="inlineStr">
        <is>
          <t>F0207</t>
        </is>
      </c>
    </row>
    <row r="4702" ht="15.75" customHeight="1" s="108">
      <c r="A4702" s="18" t="inlineStr">
        <is>
          <t>Emil Beheshti</t>
        </is>
      </c>
      <c r="B4702" s="18" t="n">
        <v>2</v>
      </c>
      <c r="C4702" s="18" t="n">
        <v>2016</v>
      </c>
      <c r="D4702" s="18" t="n">
        <v>2019</v>
      </c>
      <c r="E4702" s="18" t="inlineStr">
        <is>
          <t>The Magnificent Seven, Le Mans ‘66</t>
        </is>
      </c>
      <c r="F4702" s="18" t="inlineStr">
        <is>
          <t>F0207, F0393</t>
        </is>
      </c>
    </row>
    <row r="4703" ht="15.75" customHeight="1" s="108">
      <c r="A4703" s="18" t="inlineStr">
        <is>
          <t>Billy Slaughter</t>
        </is>
      </c>
      <c r="B4703" s="18" t="n">
        <v>1</v>
      </c>
      <c r="C4703" s="18" t="n">
        <v>2016</v>
      </c>
      <c r="D4703" s="18" t="n">
        <v>2016</v>
      </c>
      <c r="E4703" s="18" t="inlineStr">
        <is>
          <t>The Magnificent Seven</t>
        </is>
      </c>
      <c r="F4703" s="18" t="inlineStr">
        <is>
          <t>F0207</t>
        </is>
      </c>
    </row>
    <row r="4704" ht="15.75" customHeight="1" s="108">
      <c r="A4704" s="18" t="inlineStr">
        <is>
          <t>Dodge Prince</t>
        </is>
      </c>
      <c r="B4704" s="18" t="n">
        <v>1</v>
      </c>
      <c r="C4704" s="18" t="n">
        <v>2016</v>
      </c>
      <c r="D4704" s="18" t="n">
        <v>2016</v>
      </c>
      <c r="E4704" s="18" t="inlineStr">
        <is>
          <t>The Magnificent Seven</t>
        </is>
      </c>
      <c r="F4704" s="18" t="inlineStr">
        <is>
          <t>F0207</t>
        </is>
      </c>
    </row>
    <row r="4705" ht="15.75" customHeight="1" s="108">
      <c r="A4705" s="18" t="inlineStr">
        <is>
          <t>Matthew Posey</t>
        </is>
      </c>
      <c r="B4705" s="18" t="n">
        <v>1</v>
      </c>
      <c r="C4705" s="18" t="n">
        <v>2016</v>
      </c>
      <c r="D4705" s="18" t="n">
        <v>2016</v>
      </c>
      <c r="E4705" s="18" t="inlineStr">
        <is>
          <t>The Magnificent Seven</t>
        </is>
      </c>
      <c r="F4705" s="18" t="inlineStr">
        <is>
          <t>F0207</t>
        </is>
      </c>
    </row>
    <row r="4706" ht="15.75" customHeight="1" s="108">
      <c r="A4706" s="18" t="inlineStr">
        <is>
          <t>Carrie Lazar</t>
        </is>
      </c>
      <c r="B4706" s="18" t="n">
        <v>1</v>
      </c>
      <c r="C4706" s="18" t="n">
        <v>2016</v>
      </c>
      <c r="D4706" s="18" t="n">
        <v>2016</v>
      </c>
      <c r="E4706" s="18" t="inlineStr">
        <is>
          <t>The Magnificent Seven</t>
        </is>
      </c>
      <c r="F4706" s="18" t="inlineStr">
        <is>
          <t>F0207</t>
        </is>
      </c>
    </row>
    <row r="4707" ht="15.75" customHeight="1" s="108">
      <c r="A4707" s="18" t="inlineStr">
        <is>
          <t>Jody Mullins</t>
        </is>
      </c>
      <c r="B4707" s="18" t="n">
        <v>1</v>
      </c>
      <c r="C4707" s="18" t="n">
        <v>2016</v>
      </c>
      <c r="D4707" s="18" t="n">
        <v>2016</v>
      </c>
      <c r="E4707" s="18" t="inlineStr">
        <is>
          <t>The Magnificent Seven</t>
        </is>
      </c>
      <c r="F4707" s="18" t="inlineStr">
        <is>
          <t>F0207</t>
        </is>
      </c>
    </row>
    <row r="4708" ht="15.75" customHeight="1" s="108">
      <c r="A4708" s="18" t="inlineStr">
        <is>
          <t>Clint James</t>
        </is>
      </c>
      <c r="B4708" s="18" t="n">
        <v>1</v>
      </c>
      <c r="C4708" s="18" t="n">
        <v>2016</v>
      </c>
      <c r="D4708" s="18" t="n">
        <v>2016</v>
      </c>
      <c r="E4708" s="18" t="inlineStr">
        <is>
          <t>The Magnificent Seven</t>
        </is>
      </c>
      <c r="F4708" s="18" t="inlineStr">
        <is>
          <t>F0207</t>
        </is>
      </c>
    </row>
    <row r="4709" ht="15.75" customHeight="1" s="108">
      <c r="A4709" s="18" t="inlineStr">
        <is>
          <t>Dane Rhodes</t>
        </is>
      </c>
      <c r="B4709" s="18" t="n">
        <v>2</v>
      </c>
      <c r="C4709" s="18" t="n">
        <v>2011</v>
      </c>
      <c r="D4709" s="18" t="n">
        <v>2016</v>
      </c>
      <c r="E4709" s="18" t="inlineStr">
        <is>
          <t>The Magnificent Seven, Green Lantern</t>
        </is>
      </c>
      <c r="F4709" s="18" t="inlineStr">
        <is>
          <t>F0207, F0128</t>
        </is>
      </c>
    </row>
    <row r="4710" ht="15.75" customHeight="1" s="108">
      <c r="A4710" s="18" t="inlineStr">
        <is>
          <t>Ritchie Montgomery</t>
        </is>
      </c>
      <c r="B4710" s="18" t="n">
        <v>3</v>
      </c>
      <c r="C4710" s="18" t="n">
        <v>2011</v>
      </c>
      <c r="D4710" s="18" t="n">
        <v>2016</v>
      </c>
      <c r="E4710" s="18" t="inlineStr">
        <is>
          <t>The Magnificent Seven, 2 guns, Green Lantern</t>
        </is>
      </c>
      <c r="F4710" s="18" t="inlineStr">
        <is>
          <t>F0207, F0355, F0128</t>
        </is>
      </c>
    </row>
    <row r="4711" ht="15.75" customHeight="1" s="108">
      <c r="A4711" s="18" t="inlineStr">
        <is>
          <t>Sean Bridgers</t>
        </is>
      </c>
      <c r="B4711" s="18" t="n">
        <v>1</v>
      </c>
      <c r="C4711" s="18" t="n">
        <v>2016</v>
      </c>
      <c r="D4711" s="18" t="n">
        <v>2016</v>
      </c>
      <c r="E4711" s="18" t="inlineStr">
        <is>
          <t>The Magnificent Seven</t>
        </is>
      </c>
      <c r="F4711" s="18" t="inlineStr">
        <is>
          <t>F0207</t>
        </is>
      </c>
    </row>
    <row r="4712" ht="15.75" customHeight="1" s="108">
      <c r="A4712" s="18" t="inlineStr">
        <is>
          <t>William Lee Scott</t>
        </is>
      </c>
      <c r="B4712" s="18" t="n">
        <v>2</v>
      </c>
      <c r="C4712" s="18" t="n">
        <v>2001</v>
      </c>
      <c r="D4712" s="18" t="n">
        <v>2016</v>
      </c>
      <c r="E4712" s="18" t="inlineStr">
        <is>
          <t>The Magnificent Seven, Pearl Harbor</t>
        </is>
      </c>
      <c r="F4712" s="18" t="inlineStr">
        <is>
          <t>F0207, F0246</t>
        </is>
      </c>
    </row>
    <row r="4713" ht="15.75" customHeight="1" s="108">
      <c r="A4713" s="18" t="inlineStr">
        <is>
          <t>David Kallaway</t>
        </is>
      </c>
      <c r="B4713" s="18" t="n">
        <v>3</v>
      </c>
      <c r="C4713" s="18" t="n">
        <v>2016</v>
      </c>
      <c r="D4713" s="18" t="n">
        <v>2018</v>
      </c>
      <c r="E4713" s="18" t="inlineStr">
        <is>
          <t xml:space="preserve">The Magnificent Seven, green book, green book </t>
        </is>
      </c>
      <c r="F4713" s="18" t="inlineStr">
        <is>
          <t>F0207, F0371</t>
        </is>
      </c>
    </row>
    <row r="4714" ht="15.75" customHeight="1" s="108">
      <c r="A4714" s="18" t="inlineStr">
        <is>
          <t>Griff Furst</t>
        </is>
      </c>
      <c r="B4714" s="18" t="n">
        <v>2</v>
      </c>
      <c r="C4714" s="18" t="n">
        <v>2011</v>
      </c>
      <c r="D4714" s="18" t="n">
        <v>2016</v>
      </c>
      <c r="E4714" s="18" t="inlineStr">
        <is>
          <t>The Magnificent Seven, Green Lantern</t>
        </is>
      </c>
      <c r="F4714" s="18" t="inlineStr">
        <is>
          <t>F0207, F0128</t>
        </is>
      </c>
    </row>
    <row r="4715" ht="15.75" customHeight="1" s="108">
      <c r="A4715" s="18" t="inlineStr">
        <is>
          <t>Alix Angelis</t>
        </is>
      </c>
      <c r="B4715" s="18" t="n">
        <v>1</v>
      </c>
      <c r="C4715" s="18" t="n">
        <v>2016</v>
      </c>
      <c r="D4715" s="18" t="n">
        <v>2016</v>
      </c>
      <c r="E4715" s="18" t="inlineStr">
        <is>
          <t>The Magnificent Seven</t>
        </is>
      </c>
      <c r="F4715" s="18" t="inlineStr">
        <is>
          <t>F0207</t>
        </is>
      </c>
    </row>
    <row r="4716" ht="15.75" customHeight="1" s="108">
      <c r="A4716" s="18" t="inlineStr">
        <is>
          <t>Rob Mello</t>
        </is>
      </c>
      <c r="B4716" s="18" t="n">
        <v>1</v>
      </c>
      <c r="C4716" s="18" t="n">
        <v>2016</v>
      </c>
      <c r="D4716" s="18" t="n">
        <v>2016</v>
      </c>
      <c r="E4716" s="18" t="inlineStr">
        <is>
          <t>The Magnificent Seven</t>
        </is>
      </c>
      <c r="F4716" s="18" t="inlineStr">
        <is>
          <t>F0207</t>
        </is>
      </c>
    </row>
    <row r="4717" ht="15.75" customHeight="1" s="108">
      <c r="A4717" s="18" t="inlineStr">
        <is>
          <t>Sam Riley</t>
        </is>
      </c>
      <c r="B4717" s="18" t="n">
        <v>1</v>
      </c>
      <c r="C4717" s="18" t="n">
        <v>2014</v>
      </c>
      <c r="D4717" s="18" t="n">
        <v>2014</v>
      </c>
      <c r="E4717" s="18" t="inlineStr">
        <is>
          <t>Maleficent</t>
        </is>
      </c>
      <c r="F4717" s="18" t="inlineStr">
        <is>
          <t>F0208</t>
        </is>
      </c>
    </row>
    <row r="4718" ht="15.75" customHeight="1" s="108">
      <c r="A4718" s="18" t="inlineStr">
        <is>
          <t>Brenton Thwaites</t>
        </is>
      </c>
      <c r="B4718" s="18" t="n">
        <v>1</v>
      </c>
      <c r="C4718" s="18" t="n">
        <v>2014</v>
      </c>
      <c r="D4718" s="18" t="n">
        <v>2014</v>
      </c>
      <c r="E4718" s="18" t="inlineStr">
        <is>
          <t>Maleficent</t>
        </is>
      </c>
      <c r="F4718" s="18" t="inlineStr">
        <is>
          <t>F0208</t>
        </is>
      </c>
    </row>
    <row r="4719" ht="15.75" customHeight="1" s="108">
      <c r="A4719" s="18" t="inlineStr">
        <is>
          <t>Sarah Flind</t>
        </is>
      </c>
      <c r="B4719" s="18" t="n">
        <v>1</v>
      </c>
      <c r="C4719" s="18" t="n">
        <v>2014</v>
      </c>
      <c r="D4719" s="18" t="n">
        <v>2014</v>
      </c>
      <c r="E4719" s="18" t="inlineStr">
        <is>
          <t>Maleficent</t>
        </is>
      </c>
      <c r="F4719" s="18" t="inlineStr">
        <is>
          <t>F0208</t>
        </is>
      </c>
    </row>
    <row r="4720" ht="15.75" customHeight="1" s="108">
      <c r="A4720" s="18" t="inlineStr">
        <is>
          <t>Michael Higgins</t>
        </is>
      </c>
      <c r="B4720" s="18" t="n">
        <v>1</v>
      </c>
      <c r="C4720" s="18" t="n">
        <v>2014</v>
      </c>
      <c r="D4720" s="18" t="n">
        <v>2014</v>
      </c>
      <c r="E4720" s="18" t="inlineStr">
        <is>
          <t>Maleficent</t>
        </is>
      </c>
      <c r="F4720" s="18" t="inlineStr">
        <is>
          <t>F0208</t>
        </is>
      </c>
    </row>
    <row r="4721" ht="15.75" customHeight="1" s="108">
      <c r="A4721" s="18" t="inlineStr">
        <is>
          <t>Isobelle Molloy</t>
        </is>
      </c>
      <c r="B4721" s="18" t="n">
        <v>1</v>
      </c>
      <c r="C4721" s="18" t="n">
        <v>2014</v>
      </c>
      <c r="D4721" s="18" t="n">
        <v>2014</v>
      </c>
      <c r="E4721" s="18" t="inlineStr">
        <is>
          <t>Maleficent</t>
        </is>
      </c>
      <c r="F4721" s="18" t="inlineStr">
        <is>
          <t>F0208</t>
        </is>
      </c>
    </row>
    <row r="4722" ht="15.75" customHeight="1" s="108">
      <c r="A4722" s="18" t="inlineStr">
        <is>
          <t>Jackson Bews</t>
        </is>
      </c>
      <c r="B4722" s="18" t="n">
        <v>1</v>
      </c>
      <c r="C4722" s="18" t="n">
        <v>2014</v>
      </c>
      <c r="D4722" s="18" t="n">
        <v>2014</v>
      </c>
      <c r="E4722" s="18" t="inlineStr">
        <is>
          <t>Maleficent</t>
        </is>
      </c>
      <c r="F4722" s="18" t="inlineStr">
        <is>
          <t>F0208</t>
        </is>
      </c>
    </row>
    <row r="4723" ht="15.75" customHeight="1" s="108">
      <c r="A4723" s="18" t="inlineStr">
        <is>
          <t>Jamie Sives</t>
        </is>
      </c>
      <c r="B4723" s="18" t="n">
        <v>2</v>
      </c>
      <c r="C4723" s="18" t="n">
        <v>2013</v>
      </c>
      <c r="D4723" s="18" t="n">
        <v>2014</v>
      </c>
      <c r="E4723" s="18" t="inlineStr">
        <is>
          <t>Maleficent, Rush</t>
        </is>
      </c>
      <c r="F4723" s="18" t="inlineStr">
        <is>
          <t>F0208, F0270</t>
        </is>
      </c>
    </row>
    <row r="4724" ht="15.75" customHeight="1" s="108">
      <c r="A4724" s="18" t="inlineStr">
        <is>
          <t>Hannah New</t>
        </is>
      </c>
      <c r="B4724" s="18" t="n">
        <v>1</v>
      </c>
      <c r="C4724" s="18" t="n">
        <v>2014</v>
      </c>
      <c r="D4724" s="18" t="n">
        <v>2014</v>
      </c>
      <c r="E4724" s="18" t="inlineStr">
        <is>
          <t>Maleficent</t>
        </is>
      </c>
      <c r="F4724" s="18" t="inlineStr">
        <is>
          <t>F0208</t>
        </is>
      </c>
    </row>
    <row r="4725" ht="15.75" customHeight="1" s="108">
      <c r="A4725" s="18" t="inlineStr">
        <is>
          <t>Oliver Maltman</t>
        </is>
      </c>
      <c r="B4725" s="18" t="n">
        <v>1</v>
      </c>
      <c r="C4725" s="18" t="n">
        <v>2014</v>
      </c>
      <c r="D4725" s="18" t="n">
        <v>2014</v>
      </c>
      <c r="E4725" s="18" t="inlineStr">
        <is>
          <t>Maleficent</t>
        </is>
      </c>
      <c r="F4725" s="18" t="inlineStr">
        <is>
          <t>F0208</t>
        </is>
      </c>
    </row>
    <row r="4726" ht="15.75" customHeight="1" s="108">
      <c r="A4726" s="18" t="inlineStr">
        <is>
          <t>Gary Cargill</t>
        </is>
      </c>
      <c r="B4726" s="18" t="n">
        <v>1</v>
      </c>
      <c r="C4726" s="18" t="n">
        <v>2014</v>
      </c>
      <c r="D4726" s="18" t="n">
        <v>2014</v>
      </c>
      <c r="E4726" s="18" t="inlineStr">
        <is>
          <t>Maleficent</t>
        </is>
      </c>
      <c r="F4726" s="18" t="inlineStr">
        <is>
          <t>F0208</t>
        </is>
      </c>
    </row>
    <row r="4727" ht="15.75" customHeight="1" s="108">
      <c r="A4727" s="18" t="inlineStr">
        <is>
          <t>John O'Toole</t>
        </is>
      </c>
      <c r="B4727" s="18" t="n">
        <v>1</v>
      </c>
      <c r="C4727" s="18" t="n">
        <v>2014</v>
      </c>
      <c r="D4727" s="18" t="n">
        <v>2014</v>
      </c>
      <c r="E4727" s="18" t="inlineStr">
        <is>
          <t>Maleficent</t>
        </is>
      </c>
      <c r="F4727" s="18" t="inlineStr">
        <is>
          <t>F0208</t>
        </is>
      </c>
    </row>
    <row r="4728" ht="15.75" customHeight="1" s="108">
      <c r="A4728" s="18" t="inlineStr">
        <is>
          <t>Janet McTeer</t>
        </is>
      </c>
      <c r="B4728" s="18" t="n">
        <v>2</v>
      </c>
      <c r="C4728" s="18" t="n">
        <v>2014</v>
      </c>
      <c r="D4728" s="18" t="n">
        <v>2025</v>
      </c>
      <c r="E4728" s="18" t="inlineStr">
        <is>
          <t>Maleficent, Mission: Impossible - The Final Reckoning</t>
        </is>
      </c>
      <c r="F4728" s="18" t="inlineStr">
        <is>
          <t>F0208, F0228</t>
        </is>
      </c>
    </row>
    <row r="4729" ht="15.75" customHeight="1" s="108">
      <c r="A4729" s="18" t="inlineStr">
        <is>
          <t>Harry Attwell</t>
        </is>
      </c>
      <c r="B4729" s="18" t="n">
        <v>1</v>
      </c>
      <c r="C4729" s="18" t="n">
        <v>2014</v>
      </c>
      <c r="D4729" s="18" t="n">
        <v>2014</v>
      </c>
      <c r="E4729" s="18" t="inlineStr">
        <is>
          <t>Maleficent</t>
        </is>
      </c>
      <c r="F4729" s="18" t="inlineStr">
        <is>
          <t>F0208</t>
        </is>
      </c>
    </row>
    <row r="4730" ht="15.75" customHeight="1" s="108">
      <c r="A4730" s="18" t="inlineStr">
        <is>
          <t>Mark Caven</t>
        </is>
      </c>
      <c r="B4730" s="18" t="n">
        <v>1</v>
      </c>
      <c r="C4730" s="18" t="n">
        <v>2014</v>
      </c>
      <c r="D4730" s="18" t="n">
        <v>2014</v>
      </c>
      <c r="E4730" s="18" t="inlineStr">
        <is>
          <t>Maleficent</t>
        </is>
      </c>
      <c r="F4730" s="18" t="inlineStr">
        <is>
          <t>F0208</t>
        </is>
      </c>
    </row>
    <row r="4731" ht="15.75" customHeight="1" s="108">
      <c r="A4731" s="18" t="inlineStr">
        <is>
          <t>James Hicks</t>
        </is>
      </c>
      <c r="B4731" s="18" t="n">
        <v>1</v>
      </c>
      <c r="C4731" s="18" t="n">
        <v>2014</v>
      </c>
      <c r="D4731" s="18" t="n">
        <v>2014</v>
      </c>
      <c r="E4731" s="18" t="inlineStr">
        <is>
          <t>Maleficent</t>
        </is>
      </c>
      <c r="F4731" s="18" t="inlineStr">
        <is>
          <t>F0208</t>
        </is>
      </c>
    </row>
    <row r="4732" ht="15.75" customHeight="1" s="108">
      <c r="A4732" s="18" t="inlineStr">
        <is>
          <t>Anthony May</t>
        </is>
      </c>
      <c r="B4732" s="18" t="n">
        <v>1</v>
      </c>
      <c r="C4732" s="18" t="n">
        <v>2014</v>
      </c>
      <c r="D4732" s="18" t="n">
        <v>2014</v>
      </c>
      <c r="E4732" s="18" t="inlineStr">
        <is>
          <t>Maleficent</t>
        </is>
      </c>
      <c r="F4732" s="18" t="inlineStr">
        <is>
          <t>F0208</t>
        </is>
      </c>
    </row>
    <row r="4733" ht="15.75" customHeight="1" s="108">
      <c r="A4733" s="18" t="inlineStr">
        <is>
          <t>Stephan Chase</t>
        </is>
      </c>
      <c r="B4733" s="18" t="n">
        <v>1</v>
      </c>
      <c r="C4733" s="18" t="n">
        <v>2014</v>
      </c>
      <c r="D4733" s="18" t="n">
        <v>2014</v>
      </c>
      <c r="E4733" s="18" t="inlineStr">
        <is>
          <t>Maleficent</t>
        </is>
      </c>
      <c r="F4733" s="18" t="inlineStr">
        <is>
          <t>F0208</t>
        </is>
      </c>
    </row>
    <row r="4734" ht="15.75" customHeight="1" s="108">
      <c r="A4734" s="18" t="inlineStr">
        <is>
          <t>Chris Leaney</t>
        </is>
      </c>
      <c r="B4734" s="18" t="n">
        <v>1</v>
      </c>
      <c r="C4734" s="18" t="n">
        <v>2014</v>
      </c>
      <c r="D4734" s="18" t="n">
        <v>2014</v>
      </c>
      <c r="E4734" s="18" t="inlineStr">
        <is>
          <t>Maleficent</t>
        </is>
      </c>
      <c r="F4734" s="18" t="inlineStr">
        <is>
          <t>F0208</t>
        </is>
      </c>
    </row>
    <row r="4735" ht="15.75" customHeight="1" s="108">
      <c r="A4735" s="18" t="inlineStr">
        <is>
          <t>Jamie Maclachlan</t>
        </is>
      </c>
      <c r="B4735" s="18" t="n">
        <v>1</v>
      </c>
      <c r="C4735" s="18" t="n">
        <v>2014</v>
      </c>
      <c r="D4735" s="18" t="n">
        <v>2014</v>
      </c>
      <c r="E4735" s="18" t="inlineStr">
        <is>
          <t>Maleficent</t>
        </is>
      </c>
      <c r="F4735" s="18" t="inlineStr">
        <is>
          <t>F0208</t>
        </is>
      </c>
    </row>
    <row r="4736" ht="15.75" customHeight="1" s="108">
      <c r="A4736" s="18" t="inlineStr">
        <is>
          <t>Vivienne Jolie</t>
        </is>
      </c>
      <c r="B4736" s="18" t="n">
        <v>1</v>
      </c>
      <c r="C4736" s="18" t="n">
        <v>2014</v>
      </c>
      <c r="D4736" s="18" t="n">
        <v>2014</v>
      </c>
      <c r="E4736" s="18" t="inlineStr">
        <is>
          <t>Maleficent</t>
        </is>
      </c>
      <c r="F4736" s="18" t="inlineStr">
        <is>
          <t>F0208</t>
        </is>
      </c>
    </row>
    <row r="4737" ht="15.75" customHeight="1" s="108">
      <c r="A4737" s="18" t="inlineStr">
        <is>
          <t>Eleanor Worthington-Cox</t>
        </is>
      </c>
      <c r="B4737" s="18" t="n">
        <v>1</v>
      </c>
      <c r="C4737" s="18" t="n">
        <v>2014</v>
      </c>
      <c r="D4737" s="18" t="n">
        <v>2014</v>
      </c>
      <c r="E4737" s="18" t="inlineStr">
        <is>
          <t>Maleficent</t>
        </is>
      </c>
      <c r="F4737" s="18" t="inlineStr">
        <is>
          <t>F0208</t>
        </is>
      </c>
    </row>
    <row r="4738" ht="15.75" customHeight="1" s="108">
      <c r="A4738" s="18" t="inlineStr">
        <is>
          <t>Christine Baranski</t>
        </is>
      </c>
      <c r="B4738" s="18" t="n">
        <v>1</v>
      </c>
      <c r="C4738" s="18" t="n">
        <v>2008</v>
      </c>
      <c r="D4738" s="18" t="n">
        <v>2008</v>
      </c>
      <c r="E4738" s="18" t="inlineStr">
        <is>
          <t>Mamma Mia!</t>
        </is>
      </c>
      <c r="F4738" s="18" t="inlineStr">
        <is>
          <t>F0209</t>
        </is>
      </c>
    </row>
    <row r="4739" ht="15.75" customHeight="1" s="108">
      <c r="A4739" s="18" t="inlineStr">
        <is>
          <t>Ashley Lilley</t>
        </is>
      </c>
      <c r="B4739" s="18" t="n">
        <v>1</v>
      </c>
      <c r="C4739" s="18" t="n">
        <v>2008</v>
      </c>
      <c r="D4739" s="18" t="n">
        <v>2008</v>
      </c>
      <c r="E4739" s="18" t="inlineStr">
        <is>
          <t>Mamma Mia!</t>
        </is>
      </c>
      <c r="F4739" s="18" t="inlineStr">
        <is>
          <t>F0209</t>
        </is>
      </c>
    </row>
    <row r="4740" ht="15.75" customHeight="1" s="108">
      <c r="A4740" s="18" t="inlineStr">
        <is>
          <t>Rachel McDowall</t>
        </is>
      </c>
      <c r="B4740" s="18" t="n">
        <v>1</v>
      </c>
      <c r="C4740" s="18" t="n">
        <v>2008</v>
      </c>
      <c r="D4740" s="18" t="n">
        <v>2008</v>
      </c>
      <c r="E4740" s="18" t="inlineStr">
        <is>
          <t>Mamma Mia!</t>
        </is>
      </c>
      <c r="F4740" s="18" t="inlineStr">
        <is>
          <t>F0209</t>
        </is>
      </c>
    </row>
    <row r="4741" ht="15.75" customHeight="1" s="108">
      <c r="A4741" s="18" t="inlineStr">
        <is>
          <t>Chris Jarvis</t>
        </is>
      </c>
      <c r="B4741" s="18" t="n">
        <v>1</v>
      </c>
      <c r="C4741" s="18" t="n">
        <v>2008</v>
      </c>
      <c r="D4741" s="18" t="n">
        <v>2008</v>
      </c>
      <c r="E4741" s="18" t="inlineStr">
        <is>
          <t>Mamma Mia!</t>
        </is>
      </c>
      <c r="F4741" s="18" t="inlineStr">
        <is>
          <t>F0209</t>
        </is>
      </c>
    </row>
    <row r="4742" ht="15.75" customHeight="1" s="108">
      <c r="A4742" s="18" t="inlineStr">
        <is>
          <t>Philip Michael</t>
        </is>
      </c>
      <c r="B4742" s="18" t="n">
        <v>1</v>
      </c>
      <c r="C4742" s="18" t="n">
        <v>2008</v>
      </c>
      <c r="D4742" s="18" t="n">
        <v>2008</v>
      </c>
      <c r="E4742" s="18" t="inlineStr">
        <is>
          <t>Mamma Mia!</t>
        </is>
      </c>
      <c r="F4742" s="18" t="inlineStr">
        <is>
          <t>F0209</t>
        </is>
      </c>
    </row>
    <row r="4743" ht="15.75" customHeight="1" s="108">
      <c r="A4743" s="18" t="inlineStr">
        <is>
          <t>Juan Pablo Di Pace</t>
        </is>
      </c>
      <c r="B4743" s="18" t="n">
        <v>1</v>
      </c>
      <c r="C4743" s="18" t="n">
        <v>2008</v>
      </c>
      <c r="D4743" s="18" t="n">
        <v>2008</v>
      </c>
      <c r="E4743" s="18" t="inlineStr">
        <is>
          <t>Mamma Mia!</t>
        </is>
      </c>
      <c r="F4743" s="18" t="inlineStr">
        <is>
          <t>F0209</t>
        </is>
      </c>
    </row>
    <row r="4744" ht="15.75" customHeight="1" s="108">
      <c r="A4744" s="18" t="inlineStr">
        <is>
          <t>Ricardo Montez</t>
        </is>
      </c>
      <c r="B4744" s="18" t="n">
        <v>1</v>
      </c>
      <c r="C4744" s="18" t="n">
        <v>2008</v>
      </c>
      <c r="D4744" s="18" t="n">
        <v>2008</v>
      </c>
      <c r="E4744" s="18" t="inlineStr">
        <is>
          <t>Mamma Mia!</t>
        </is>
      </c>
      <c r="F4744" s="18" t="inlineStr">
        <is>
          <t>F0209</t>
        </is>
      </c>
    </row>
    <row r="4745" ht="15.75" customHeight="1" s="108">
      <c r="A4745" s="18" t="inlineStr">
        <is>
          <t>Benny Andersson</t>
        </is>
      </c>
      <c r="B4745" s="18" t="n">
        <v>1</v>
      </c>
      <c r="C4745" s="18" t="n">
        <v>2008</v>
      </c>
      <c r="D4745" s="18" t="n">
        <v>2008</v>
      </c>
      <c r="E4745" s="18" t="inlineStr">
        <is>
          <t>Mamma Mia!</t>
        </is>
      </c>
      <c r="F4745" s="18" t="inlineStr">
        <is>
          <t>F0209</t>
        </is>
      </c>
    </row>
    <row r="4746" ht="15.75" customHeight="1" s="108">
      <c r="A4746" s="18" t="inlineStr">
        <is>
          <t>Spencer Kayden</t>
        </is>
      </c>
      <c r="B4746" s="18" t="n">
        <v>1</v>
      </c>
      <c r="C4746" s="18" t="n">
        <v>2008</v>
      </c>
      <c r="D4746" s="18" t="n">
        <v>2008</v>
      </c>
      <c r="E4746" s="18" t="inlineStr">
        <is>
          <t>Mamma Mia!</t>
        </is>
      </c>
      <c r="F4746" s="18" t="inlineStr">
        <is>
          <t>F0209</t>
        </is>
      </c>
    </row>
    <row r="4747" ht="15.75" customHeight="1" s="108">
      <c r="A4747" s="18" t="inlineStr">
        <is>
          <t>Björn Ulvaeus</t>
        </is>
      </c>
      <c r="B4747" s="18" t="n">
        <v>1</v>
      </c>
      <c r="C4747" s="18" t="n">
        <v>2008</v>
      </c>
      <c r="D4747" s="18" t="n">
        <v>2008</v>
      </c>
      <c r="E4747" s="18" t="inlineStr">
        <is>
          <t>Mamma Mia!</t>
        </is>
      </c>
      <c r="F4747" s="18" t="inlineStr">
        <is>
          <t>F0209</t>
        </is>
      </c>
    </row>
    <row r="4748" ht="15.75" customHeight="1" s="108">
      <c r="A4748" s="18" t="inlineStr">
        <is>
          <t>Rita Wilson</t>
        </is>
      </c>
      <c r="B4748" s="18" t="n">
        <v>1</v>
      </c>
      <c r="C4748" s="18" t="n">
        <v>2008</v>
      </c>
      <c r="D4748" s="18" t="n">
        <v>2008</v>
      </c>
      <c r="E4748" s="18" t="inlineStr">
        <is>
          <t>Mamma Mia!</t>
        </is>
      </c>
      <c r="F4748" s="18" t="inlineStr">
        <is>
          <t>F0209</t>
        </is>
      </c>
    </row>
    <row r="4749" ht="15.75" customHeight="1" s="108">
      <c r="A4749" s="18" t="inlineStr">
        <is>
          <t>Nancy Baldwin</t>
        </is>
      </c>
      <c r="B4749" s="18" t="n">
        <v>1</v>
      </c>
      <c r="C4749" s="18" t="n">
        <v>2008</v>
      </c>
      <c r="D4749" s="18" t="n">
        <v>2008</v>
      </c>
      <c r="E4749" s="18" t="inlineStr">
        <is>
          <t>Mamma Mia!</t>
        </is>
      </c>
      <c r="F4749" s="18" t="inlineStr">
        <is>
          <t>F0209</t>
        </is>
      </c>
    </row>
    <row r="4750" ht="15.75" customHeight="1" s="108">
      <c r="A4750" s="18" t="inlineStr">
        <is>
          <t>Heather Emmanuel</t>
        </is>
      </c>
      <c r="B4750" s="18" t="n">
        <v>1</v>
      </c>
      <c r="C4750" s="18" t="n">
        <v>2008</v>
      </c>
      <c r="D4750" s="18" t="n">
        <v>2008</v>
      </c>
      <c r="E4750" s="18" t="inlineStr">
        <is>
          <t>Mamma Mia!</t>
        </is>
      </c>
      <c r="F4750" s="18" t="inlineStr">
        <is>
          <t>F0209</t>
        </is>
      </c>
    </row>
    <row r="4751" ht="15.75" customHeight="1" s="108">
      <c r="A4751" s="18" t="inlineStr">
        <is>
          <t>Colin Davis</t>
        </is>
      </c>
      <c r="B4751" s="18" t="n">
        <v>1</v>
      </c>
      <c r="C4751" s="18" t="n">
        <v>2008</v>
      </c>
      <c r="D4751" s="18" t="n">
        <v>2008</v>
      </c>
      <c r="E4751" s="18" t="inlineStr">
        <is>
          <t>Mamma Mia!</t>
        </is>
      </c>
      <c r="F4751" s="18" t="inlineStr">
        <is>
          <t>F0209</t>
        </is>
      </c>
    </row>
    <row r="4752" ht="15.75" customHeight="1" s="108">
      <c r="A4752" s="18" t="inlineStr">
        <is>
          <t>Mia Soteriou</t>
        </is>
      </c>
      <c r="B4752" s="18" t="n">
        <v>1</v>
      </c>
      <c r="C4752" s="18" t="n">
        <v>2008</v>
      </c>
      <c r="D4752" s="18" t="n">
        <v>2008</v>
      </c>
      <c r="E4752" s="18" t="inlineStr">
        <is>
          <t>Mamma Mia!</t>
        </is>
      </c>
      <c r="F4752" s="18" t="inlineStr">
        <is>
          <t>F0209</t>
        </is>
      </c>
    </row>
    <row r="4753" ht="15.75" customHeight="1" s="108">
      <c r="A4753" s="18" t="inlineStr">
        <is>
          <t>George Georgiou</t>
        </is>
      </c>
      <c r="B4753" s="18" t="n">
        <v>2</v>
      </c>
      <c r="C4753" s="18" t="n">
        <v>2008</v>
      </c>
      <c r="D4753" s="18" t="n">
        <v>2023</v>
      </c>
      <c r="E4753" s="18" t="inlineStr">
        <is>
          <t>Mamma Mia!, John wick chapter 4</t>
        </is>
      </c>
      <c r="F4753" s="18" t="inlineStr">
        <is>
          <t>F0209, F0392</t>
        </is>
      </c>
    </row>
    <row r="4754" ht="15.75" customHeight="1" s="108">
      <c r="A4754" s="18" t="inlineStr">
        <is>
          <t>Hemi Yeroham</t>
        </is>
      </c>
      <c r="B4754" s="18" t="n">
        <v>1</v>
      </c>
      <c r="C4754" s="18" t="n">
        <v>2008</v>
      </c>
      <c r="D4754" s="18" t="n">
        <v>2008</v>
      </c>
      <c r="E4754" s="18" t="inlineStr">
        <is>
          <t>Mamma Mia!</t>
        </is>
      </c>
      <c r="F4754" s="18" t="inlineStr">
        <is>
          <t>F0209</t>
        </is>
      </c>
    </row>
    <row r="4755" ht="15.75" customHeight="1" s="108">
      <c r="A4755" s="18" t="inlineStr">
        <is>
          <t>Maria Lopiano</t>
        </is>
      </c>
      <c r="B4755" s="18" t="n">
        <v>1</v>
      </c>
      <c r="C4755" s="18" t="n">
        <v>2008</v>
      </c>
      <c r="D4755" s="18" t="n">
        <v>2008</v>
      </c>
      <c r="E4755" s="18" t="inlineStr">
        <is>
          <t>Mamma Mia!</t>
        </is>
      </c>
      <c r="F4755" s="18" t="inlineStr">
        <is>
          <t>F0209</t>
        </is>
      </c>
    </row>
    <row r="4756" ht="15.75" customHeight="1" s="108">
      <c r="A4756" s="18" t="inlineStr">
        <is>
          <t>Norma Atallah</t>
        </is>
      </c>
      <c r="B4756" s="18" t="n">
        <v>1</v>
      </c>
      <c r="C4756" s="18" t="n">
        <v>2008</v>
      </c>
      <c r="D4756" s="18" t="n">
        <v>2008</v>
      </c>
      <c r="E4756" s="18" t="inlineStr">
        <is>
          <t>Mamma Mia!</t>
        </is>
      </c>
      <c r="F4756" s="18" t="inlineStr">
        <is>
          <t>F0209</t>
        </is>
      </c>
    </row>
    <row r="4757" ht="15.75" customHeight="1" s="108">
      <c r="A4757" s="18" t="inlineStr">
        <is>
          <t>Myra McFadyen</t>
        </is>
      </c>
      <c r="B4757" s="18" t="n">
        <v>1</v>
      </c>
      <c r="C4757" s="18" t="n">
        <v>2008</v>
      </c>
      <c r="D4757" s="18" t="n">
        <v>2008</v>
      </c>
      <c r="E4757" s="18" t="inlineStr">
        <is>
          <t>Mamma Mia!</t>
        </is>
      </c>
      <c r="F4757" s="18" t="inlineStr">
        <is>
          <t>F0209</t>
        </is>
      </c>
    </row>
    <row r="4758" ht="15.75" customHeight="1" s="108">
      <c r="A4758" s="18" t="inlineStr">
        <is>
          <t>Leonie Hill</t>
        </is>
      </c>
      <c r="B4758" s="18" t="n">
        <v>1</v>
      </c>
      <c r="C4758" s="18" t="n">
        <v>2008</v>
      </c>
      <c r="D4758" s="18" t="n">
        <v>2008</v>
      </c>
      <c r="E4758" s="18" t="inlineStr">
        <is>
          <t>Mamma Mia!</t>
        </is>
      </c>
      <c r="F4758" s="18" t="inlineStr">
        <is>
          <t>F0209</t>
        </is>
      </c>
    </row>
    <row r="4759" ht="15.75" customHeight="1" s="108">
      <c r="A4759" s="18" t="inlineStr">
        <is>
          <t>Kyra Sedgwick</t>
        </is>
      </c>
      <c r="B4759" s="18" t="n">
        <v>1</v>
      </c>
      <c r="C4759" s="18" t="n">
        <v>2012</v>
      </c>
      <c r="D4759" s="18" t="n">
        <v>2012</v>
      </c>
      <c r="E4759" s="18" t="inlineStr">
        <is>
          <t>Man on a Ledge</t>
        </is>
      </c>
      <c r="F4759" s="18" t="inlineStr">
        <is>
          <t>F0210</t>
        </is>
      </c>
    </row>
    <row r="4760" ht="15.75" customHeight="1" s="108">
      <c r="A4760" s="18" t="inlineStr">
        <is>
          <t>J. Smith-Cameron</t>
        </is>
      </c>
      <c r="B4760" s="18" t="n">
        <v>1</v>
      </c>
      <c r="C4760" s="18" t="n">
        <v>2012</v>
      </c>
      <c r="D4760" s="18" t="n">
        <v>2012</v>
      </c>
      <c r="E4760" s="18" t="inlineStr">
        <is>
          <t>Man on a Ledge</t>
        </is>
      </c>
      <c r="F4760" s="18" t="inlineStr">
        <is>
          <t>F0210</t>
        </is>
      </c>
    </row>
    <row r="4761" ht="15.75" customHeight="1" s="108">
      <c r="A4761" s="18" t="inlineStr">
        <is>
          <t>Robert Clohessy</t>
        </is>
      </c>
      <c r="B4761" s="18" t="n">
        <v>1</v>
      </c>
      <c r="C4761" s="18" t="n">
        <v>2012</v>
      </c>
      <c r="D4761" s="18" t="n">
        <v>2012</v>
      </c>
      <c r="E4761" s="18" t="inlineStr">
        <is>
          <t>Man on a Ledge</t>
        </is>
      </c>
      <c r="F4761" s="18" t="inlineStr">
        <is>
          <t>F0210</t>
        </is>
      </c>
    </row>
    <row r="4762" ht="15.75" customHeight="1" s="108">
      <c r="A4762" s="18" t="inlineStr">
        <is>
          <t>Mandy Gonzalez</t>
        </is>
      </c>
      <c r="B4762" s="18" t="n">
        <v>1</v>
      </c>
      <c r="C4762" s="18" t="n">
        <v>2012</v>
      </c>
      <c r="D4762" s="18" t="n">
        <v>2012</v>
      </c>
      <c r="E4762" s="18" t="inlineStr">
        <is>
          <t>Man on a Ledge</t>
        </is>
      </c>
      <c r="F4762" s="18" t="inlineStr">
        <is>
          <t>F0210</t>
        </is>
      </c>
    </row>
    <row r="4763" ht="15.75" customHeight="1" s="108">
      <c r="A4763" s="18" t="inlineStr">
        <is>
          <t>Afton Williamson</t>
        </is>
      </c>
      <c r="B4763" s="18" t="n">
        <v>1</v>
      </c>
      <c r="C4763" s="18" t="n">
        <v>2012</v>
      </c>
      <c r="D4763" s="18" t="n">
        <v>2012</v>
      </c>
      <c r="E4763" s="18" t="inlineStr">
        <is>
          <t>Man on a Ledge</t>
        </is>
      </c>
      <c r="F4763" s="18" t="inlineStr">
        <is>
          <t>F0210</t>
        </is>
      </c>
    </row>
    <row r="4764" ht="15.75" customHeight="1" s="108">
      <c r="A4764" s="18" t="inlineStr">
        <is>
          <t>Jonathan Walker</t>
        </is>
      </c>
      <c r="B4764" s="18" t="n">
        <v>1</v>
      </c>
      <c r="C4764" s="18" t="n">
        <v>2012</v>
      </c>
      <c r="D4764" s="18" t="n">
        <v>2012</v>
      </c>
      <c r="E4764" s="18" t="inlineStr">
        <is>
          <t>Man on a Ledge</t>
        </is>
      </c>
      <c r="F4764" s="18" t="inlineStr">
        <is>
          <t>F0210</t>
        </is>
      </c>
    </row>
    <row r="4765" ht="15.75" customHeight="1" s="108">
      <c r="A4765" s="18" t="inlineStr">
        <is>
          <t>Daniel Sauli</t>
        </is>
      </c>
      <c r="B4765" s="18" t="n">
        <v>1</v>
      </c>
      <c r="C4765" s="18" t="n">
        <v>2012</v>
      </c>
      <c r="D4765" s="18" t="n">
        <v>2012</v>
      </c>
      <c r="E4765" s="18" t="inlineStr">
        <is>
          <t>Man on a Ledge</t>
        </is>
      </c>
      <c r="F4765" s="18" t="inlineStr">
        <is>
          <t>F0210</t>
        </is>
      </c>
    </row>
    <row r="4766" ht="15.75" customHeight="1" s="108">
      <c r="A4766" s="18" t="inlineStr">
        <is>
          <t>Barbara Marineau</t>
        </is>
      </c>
      <c r="B4766" s="18" t="n">
        <v>1</v>
      </c>
      <c r="C4766" s="18" t="n">
        <v>2012</v>
      </c>
      <c r="D4766" s="18" t="n">
        <v>2012</v>
      </c>
      <c r="E4766" s="18" t="inlineStr">
        <is>
          <t>Man on a Ledge</t>
        </is>
      </c>
      <c r="F4766" s="18" t="inlineStr">
        <is>
          <t>F0210</t>
        </is>
      </c>
    </row>
    <row r="4767" ht="15.75" customHeight="1" s="108">
      <c r="A4767" s="18" t="inlineStr">
        <is>
          <t>Patrick Collins</t>
        </is>
      </c>
      <c r="B4767" s="18" t="n">
        <v>1</v>
      </c>
      <c r="C4767" s="18" t="n">
        <v>2012</v>
      </c>
      <c r="D4767" s="18" t="n">
        <v>2012</v>
      </c>
      <c r="E4767" s="18" t="inlineStr">
        <is>
          <t>Man on a Ledge</t>
        </is>
      </c>
      <c r="F4767" s="18" t="inlineStr">
        <is>
          <t>F0210</t>
        </is>
      </c>
    </row>
    <row r="4768" ht="15.75" customHeight="1" s="108">
      <c r="A4768" s="18" t="inlineStr">
        <is>
          <t>Joe Lisi</t>
        </is>
      </c>
      <c r="B4768" s="18" t="n">
        <v>1</v>
      </c>
      <c r="C4768" s="18" t="n">
        <v>2012</v>
      </c>
      <c r="D4768" s="18" t="n">
        <v>2012</v>
      </c>
      <c r="E4768" s="18" t="inlineStr">
        <is>
          <t>Man on a Ledge</t>
        </is>
      </c>
      <c r="F4768" s="18" t="inlineStr">
        <is>
          <t>F0210</t>
        </is>
      </c>
    </row>
    <row r="4769" ht="15.75" customHeight="1" s="108">
      <c r="A4769" s="18" t="inlineStr">
        <is>
          <t>Candice McKoy</t>
        </is>
      </c>
      <c r="B4769" s="18" t="n">
        <v>1</v>
      </c>
      <c r="C4769" s="18" t="n">
        <v>2012</v>
      </c>
      <c r="D4769" s="18" t="n">
        <v>2012</v>
      </c>
      <c r="E4769" s="18" t="inlineStr">
        <is>
          <t>Man on a Ledge</t>
        </is>
      </c>
      <c r="F4769" s="18" t="inlineStr">
        <is>
          <t>F0210</t>
        </is>
      </c>
    </row>
    <row r="4770" ht="15.75" customHeight="1" s="108">
      <c r="A4770" s="18" t="inlineStr">
        <is>
          <t>Johnny Solo</t>
        </is>
      </c>
      <c r="B4770" s="18" t="n">
        <v>1</v>
      </c>
      <c r="C4770" s="18" t="n">
        <v>2012</v>
      </c>
      <c r="D4770" s="18" t="n">
        <v>2012</v>
      </c>
      <c r="E4770" s="18" t="inlineStr">
        <is>
          <t>Man on a Ledge</t>
        </is>
      </c>
      <c r="F4770" s="18" t="inlineStr">
        <is>
          <t>F0210</t>
        </is>
      </c>
    </row>
    <row r="4771" ht="15.75" customHeight="1" s="108">
      <c r="A4771" s="18" t="inlineStr">
        <is>
          <t>James Yaegashi</t>
        </is>
      </c>
      <c r="B4771" s="18" t="n">
        <v>1</v>
      </c>
      <c r="C4771" s="18" t="n">
        <v>2012</v>
      </c>
      <c r="D4771" s="18" t="n">
        <v>2012</v>
      </c>
      <c r="E4771" s="18" t="inlineStr">
        <is>
          <t>Man on a Ledge</t>
        </is>
      </c>
      <c r="F4771" s="18" t="inlineStr">
        <is>
          <t>F0210</t>
        </is>
      </c>
    </row>
    <row r="4772" ht="15.75" customHeight="1" s="108">
      <c r="A4772" s="18" t="inlineStr">
        <is>
          <t>Frank Pando</t>
        </is>
      </c>
      <c r="B4772" s="18" t="n">
        <v>1</v>
      </c>
      <c r="C4772" s="18" t="n">
        <v>2012</v>
      </c>
      <c r="D4772" s="18" t="n">
        <v>2012</v>
      </c>
      <c r="E4772" s="18" t="inlineStr">
        <is>
          <t>Man on a Ledge</t>
        </is>
      </c>
      <c r="F4772" s="18" t="inlineStr">
        <is>
          <t>F0210</t>
        </is>
      </c>
    </row>
    <row r="4773" ht="15.75" customHeight="1" s="108">
      <c r="A4773" s="18" t="inlineStr">
        <is>
          <t>Jason Kolotouros</t>
        </is>
      </c>
      <c r="B4773" s="18" t="n">
        <v>1</v>
      </c>
      <c r="C4773" s="18" t="n">
        <v>2012</v>
      </c>
      <c r="D4773" s="18" t="n">
        <v>2012</v>
      </c>
      <c r="E4773" s="18" t="inlineStr">
        <is>
          <t>Man on a Ledge</t>
        </is>
      </c>
      <c r="F4773" s="18" t="inlineStr">
        <is>
          <t>F0210</t>
        </is>
      </c>
    </row>
    <row r="4774" ht="15.75" customHeight="1" s="108">
      <c r="A4774" s="18" t="inlineStr">
        <is>
          <t>Michael Laurence</t>
        </is>
      </c>
      <c r="B4774" s="18" t="n">
        <v>1</v>
      </c>
      <c r="C4774" s="18" t="n">
        <v>2012</v>
      </c>
      <c r="D4774" s="18" t="n">
        <v>2012</v>
      </c>
      <c r="E4774" s="18" t="inlineStr">
        <is>
          <t>Man on a Ledge</t>
        </is>
      </c>
      <c r="F4774" s="18" t="inlineStr">
        <is>
          <t>F0210</t>
        </is>
      </c>
    </row>
    <row r="4775" ht="15.75" customHeight="1" s="108">
      <c r="A4775" s="18" t="inlineStr">
        <is>
          <t>Don Castro</t>
        </is>
      </c>
      <c r="B4775" s="18" t="n">
        <v>1</v>
      </c>
      <c r="C4775" s="18" t="n">
        <v>2012</v>
      </c>
      <c r="D4775" s="18" t="n">
        <v>2012</v>
      </c>
      <c r="E4775" s="18" t="inlineStr">
        <is>
          <t>Man on a Ledge</t>
        </is>
      </c>
      <c r="F4775" s="18" t="inlineStr">
        <is>
          <t>F0210</t>
        </is>
      </c>
    </row>
    <row r="4776" ht="15.75" customHeight="1" s="108">
      <c r="A4776" s="18" t="inlineStr">
        <is>
          <t>Pooja Kumar</t>
        </is>
      </c>
      <c r="B4776" s="18" t="n">
        <v>1</v>
      </c>
      <c r="C4776" s="18" t="n">
        <v>2012</v>
      </c>
      <c r="D4776" s="18" t="n">
        <v>2012</v>
      </c>
      <c r="E4776" s="18" t="inlineStr">
        <is>
          <t>Man on a Ledge</t>
        </is>
      </c>
      <c r="F4776" s="18" t="inlineStr">
        <is>
          <t>F0210</t>
        </is>
      </c>
    </row>
    <row r="4777" ht="15.75" customHeight="1" s="108">
      <c r="A4777" s="18" t="inlineStr">
        <is>
          <t>John Dossett</t>
        </is>
      </c>
      <c r="B4777" s="18" t="n">
        <v>1</v>
      </c>
      <c r="C4777" s="18" t="n">
        <v>2012</v>
      </c>
      <c r="D4777" s="18" t="n">
        <v>2012</v>
      </c>
      <c r="E4777" s="18" t="inlineStr">
        <is>
          <t>Man on a Ledge</t>
        </is>
      </c>
      <c r="F4777" s="18" t="inlineStr">
        <is>
          <t>F0210</t>
        </is>
      </c>
    </row>
    <row r="4778" ht="15.75" customHeight="1" s="108">
      <c r="A4778" s="18" t="inlineStr">
        <is>
          <t>Sylvia Kauders</t>
        </is>
      </c>
      <c r="B4778" s="18" t="n">
        <v>1</v>
      </c>
      <c r="C4778" s="18" t="n">
        <v>2012</v>
      </c>
      <c r="D4778" s="18" t="n">
        <v>2012</v>
      </c>
      <c r="E4778" s="18" t="inlineStr">
        <is>
          <t>Man on a Ledge</t>
        </is>
      </c>
      <c r="F4778" s="18" t="inlineStr">
        <is>
          <t>F0210</t>
        </is>
      </c>
    </row>
    <row r="4779" ht="15.75" customHeight="1" s="108">
      <c r="A4779" s="18" t="inlineStr">
        <is>
          <t>Felix Solis</t>
        </is>
      </c>
      <c r="B4779" s="18" t="n">
        <v>1</v>
      </c>
      <c r="C4779" s="18" t="n">
        <v>2012</v>
      </c>
      <c r="D4779" s="18" t="n">
        <v>2012</v>
      </c>
      <c r="E4779" s="18" t="inlineStr">
        <is>
          <t>Man on a Ledge</t>
        </is>
      </c>
      <c r="F4779" s="18" t="inlineStr">
        <is>
          <t>F0210</t>
        </is>
      </c>
    </row>
    <row r="4780" ht="15.75" customHeight="1" s="108">
      <c r="A4780" s="18" t="inlineStr">
        <is>
          <t>Antje Traue</t>
        </is>
      </c>
      <c r="B4780" s="18" t="n">
        <v>1</v>
      </c>
      <c r="C4780" s="18" t="n">
        <v>2013</v>
      </c>
      <c r="D4780" s="18" t="n">
        <v>2013</v>
      </c>
      <c r="E4780" s="18" t="inlineStr">
        <is>
          <t>Man of Steel</t>
        </is>
      </c>
      <c r="F4780" s="18" t="inlineStr">
        <is>
          <t>F0211</t>
        </is>
      </c>
    </row>
    <row r="4781" ht="15.75" customHeight="1" s="108">
      <c r="A4781" s="18" t="inlineStr">
        <is>
          <t>Harry Lennix</t>
        </is>
      </c>
      <c r="B4781" s="18" t="n">
        <v>3</v>
      </c>
      <c r="C4781" s="18" t="n">
        <v>2003</v>
      </c>
      <c r="D4781" s="18" t="n">
        <v>2013</v>
      </c>
      <c r="E4781" s="18" t="inlineStr">
        <is>
          <t>Man of Steel, The Matrix Reloaded, The Matrix Revolutions</t>
        </is>
      </c>
      <c r="F4781" s="18" t="inlineStr">
        <is>
          <t>F0211, F0215, F0216</t>
        </is>
      </c>
    </row>
    <row r="4782" ht="15.75" customHeight="1" s="108">
      <c r="A4782" s="18" t="inlineStr">
        <is>
          <t>Christopher Meloni</t>
        </is>
      </c>
      <c r="B4782" s="18" t="n">
        <v>1</v>
      </c>
      <c r="C4782" s="18" t="n">
        <v>2013</v>
      </c>
      <c r="D4782" s="18" t="n">
        <v>2013</v>
      </c>
      <c r="E4782" s="18" t="inlineStr">
        <is>
          <t>Man of Steel</t>
        </is>
      </c>
      <c r="F4782" s="18" t="inlineStr">
        <is>
          <t>F0211</t>
        </is>
      </c>
    </row>
    <row r="4783" ht="15.75" customHeight="1" s="108">
      <c r="A4783" s="18" t="inlineStr">
        <is>
          <t>Kevin Costner</t>
        </is>
      </c>
      <c r="B4783" s="18" t="n">
        <v>1</v>
      </c>
      <c r="C4783" s="18" t="n">
        <v>2013</v>
      </c>
      <c r="D4783" s="18" t="n">
        <v>2013</v>
      </c>
      <c r="E4783" s="18" t="inlineStr">
        <is>
          <t>Man of Steel</t>
        </is>
      </c>
      <c r="F4783" s="18" t="inlineStr">
        <is>
          <t>F0211</t>
        </is>
      </c>
    </row>
    <row r="4784" ht="15.75" customHeight="1" s="108">
      <c r="A4784" s="18" t="inlineStr">
        <is>
          <t>Dylan Sprayberry</t>
        </is>
      </c>
      <c r="B4784" s="18" t="n">
        <v>1</v>
      </c>
      <c r="C4784" s="18" t="n">
        <v>2013</v>
      </c>
      <c r="D4784" s="18" t="n">
        <v>2013</v>
      </c>
      <c r="E4784" s="18" t="inlineStr">
        <is>
          <t>Man of Steel</t>
        </is>
      </c>
      <c r="F4784" s="18" t="inlineStr">
        <is>
          <t>F0211</t>
        </is>
      </c>
    </row>
    <row r="4785" ht="15.75" customHeight="1" s="108">
      <c r="A4785" s="18" t="inlineStr">
        <is>
          <t>Cooper Timberline</t>
        </is>
      </c>
      <c r="B4785" s="18" t="n">
        <v>1</v>
      </c>
      <c r="C4785" s="18" t="n">
        <v>2013</v>
      </c>
      <c r="D4785" s="18" t="n">
        <v>2013</v>
      </c>
      <c r="E4785" s="18" t="inlineStr">
        <is>
          <t>Man of Steel</t>
        </is>
      </c>
      <c r="F4785" s="18" t="inlineStr">
        <is>
          <t>F0211</t>
        </is>
      </c>
    </row>
    <row r="4786" ht="15.75" customHeight="1" s="108">
      <c r="A4786" s="18" t="inlineStr">
        <is>
          <t>Richard Cetrone</t>
        </is>
      </c>
      <c r="B4786" s="18" t="n">
        <v>6</v>
      </c>
      <c r="C4786" s="18" t="n">
        <v>2003</v>
      </c>
      <c r="D4786" s="18" t="n">
        <v>2013</v>
      </c>
      <c r="E4786" s="18" t="inlineStr">
        <is>
          <t xml:space="preserve">Man of Steel, Underworld: Evolution, Underworld: Awakening, Underworld, Underworld awakening, Underworld </t>
        </is>
      </c>
      <c r="F4786" s="18" t="inlineStr">
        <is>
          <t>F0211, F0326, F0328, F0389, F0390</t>
        </is>
      </c>
    </row>
    <row r="4787" ht="15.75" customHeight="1" s="108">
      <c r="A4787" s="18" t="inlineStr">
        <is>
          <t>Mackenzie Gray</t>
        </is>
      </c>
      <c r="B4787" s="18" t="n">
        <v>1</v>
      </c>
      <c r="C4787" s="18" t="n">
        <v>2013</v>
      </c>
      <c r="D4787" s="18" t="n">
        <v>2013</v>
      </c>
      <c r="E4787" s="18" t="inlineStr">
        <is>
          <t>Man of Steel</t>
        </is>
      </c>
      <c r="F4787" s="18" t="inlineStr">
        <is>
          <t>F0211</t>
        </is>
      </c>
    </row>
    <row r="4788" ht="15.75" customHeight="1" s="108">
      <c r="A4788" s="18" t="inlineStr">
        <is>
          <t>Julian Richings</t>
        </is>
      </c>
      <c r="B4788" s="18" t="n">
        <v>1</v>
      </c>
      <c r="C4788" s="18" t="n">
        <v>2013</v>
      </c>
      <c r="D4788" s="18" t="n">
        <v>2013</v>
      </c>
      <c r="E4788" s="18" t="inlineStr">
        <is>
          <t>Man of Steel</t>
        </is>
      </c>
      <c r="F4788" s="18" t="inlineStr">
        <is>
          <t>F0211</t>
        </is>
      </c>
    </row>
    <row r="4789" ht="15.75" customHeight="1" s="108">
      <c r="A4789" s="18" t="inlineStr">
        <is>
          <t>Mary Black</t>
        </is>
      </c>
      <c r="B4789" s="18" t="n">
        <v>1</v>
      </c>
      <c r="C4789" s="18" t="n">
        <v>2013</v>
      </c>
      <c r="D4789" s="18" t="n">
        <v>2013</v>
      </c>
      <c r="E4789" s="18" t="inlineStr">
        <is>
          <t>Man of Steel</t>
        </is>
      </c>
      <c r="F4789" s="18" t="inlineStr">
        <is>
          <t>F0211</t>
        </is>
      </c>
    </row>
    <row r="4790" ht="15.75" customHeight="1" s="108">
      <c r="A4790" s="18" t="inlineStr">
        <is>
          <t>Samantha Win</t>
        </is>
      </c>
      <c r="B4790" s="18" t="n">
        <v>1</v>
      </c>
      <c r="C4790" s="18" t="n">
        <v>2013</v>
      </c>
      <c r="D4790" s="18" t="n">
        <v>2013</v>
      </c>
      <c r="E4790" s="18" t="inlineStr">
        <is>
          <t>Man of Steel</t>
        </is>
      </c>
      <c r="F4790" s="18" t="inlineStr">
        <is>
          <t>F0211</t>
        </is>
      </c>
    </row>
    <row r="4791" ht="15.75" customHeight="1" s="108">
      <c r="A4791" s="18" t="inlineStr">
        <is>
          <t>Rebecca Buller</t>
        </is>
      </c>
      <c r="B4791" s="18" t="n">
        <v>1</v>
      </c>
      <c r="C4791" s="18" t="n">
        <v>2013</v>
      </c>
      <c r="D4791" s="18" t="n">
        <v>2013</v>
      </c>
      <c r="E4791" s="18" t="inlineStr">
        <is>
          <t>Man of Steel</t>
        </is>
      </c>
      <c r="F4791" s="18" t="inlineStr">
        <is>
          <t>F0211</t>
        </is>
      </c>
    </row>
    <row r="4792" ht="15.75" customHeight="1" s="108">
      <c r="A4792" s="18" t="inlineStr">
        <is>
          <t>Christina Wren</t>
        </is>
      </c>
      <c r="B4792" s="18" t="n">
        <v>1</v>
      </c>
      <c r="C4792" s="18" t="n">
        <v>2013</v>
      </c>
      <c r="D4792" s="18" t="n">
        <v>2013</v>
      </c>
      <c r="E4792" s="18" t="inlineStr">
        <is>
          <t>Man of Steel</t>
        </is>
      </c>
      <c r="F4792" s="18" t="inlineStr">
        <is>
          <t>F0211</t>
        </is>
      </c>
    </row>
    <row r="4793" ht="15.75" customHeight="1" s="108">
      <c r="A4793" s="18" t="inlineStr">
        <is>
          <t>Tahmoh Penikett</t>
        </is>
      </c>
      <c r="B4793" s="18" t="n">
        <v>1</v>
      </c>
      <c r="C4793" s="18" t="n">
        <v>2013</v>
      </c>
      <c r="D4793" s="18" t="n">
        <v>2013</v>
      </c>
      <c r="E4793" s="18" t="inlineStr">
        <is>
          <t>Man of Steel</t>
        </is>
      </c>
      <c r="F4793" s="18" t="inlineStr">
        <is>
          <t>F0211</t>
        </is>
      </c>
    </row>
    <row r="4794" ht="15.75" customHeight="1" s="108">
      <c r="A4794" s="18" t="inlineStr">
        <is>
          <t>Doug Abrahams</t>
        </is>
      </c>
      <c r="B4794" s="18" t="n">
        <v>1</v>
      </c>
      <c r="C4794" s="18" t="n">
        <v>2013</v>
      </c>
      <c r="D4794" s="18" t="n">
        <v>2013</v>
      </c>
      <c r="E4794" s="18" t="inlineStr">
        <is>
          <t>Man of Steel</t>
        </is>
      </c>
      <c r="F4794" s="18" t="inlineStr">
        <is>
          <t>F0211</t>
        </is>
      </c>
    </row>
    <row r="4795" ht="15.75" customHeight="1" s="108">
      <c r="A4795" s="18" t="inlineStr">
        <is>
          <t>Brad Kelly</t>
        </is>
      </c>
      <c r="B4795" s="18" t="n">
        <v>2</v>
      </c>
      <c r="C4795" s="18" t="n">
        <v>2013</v>
      </c>
      <c r="D4795" s="18" t="n">
        <v>2020</v>
      </c>
      <c r="E4795" s="18" t="inlineStr">
        <is>
          <t>Man of Steel, sonic the hedgehog</t>
        </is>
      </c>
      <c r="F4795" s="18" t="inlineStr">
        <is>
          <t>F0211, F0378</t>
        </is>
      </c>
    </row>
    <row r="4796" ht="15.75" customHeight="1" s="108">
      <c r="A4796" s="18" t="inlineStr">
        <is>
          <t>David Paetkau</t>
        </is>
      </c>
      <c r="B4796" s="18" t="n">
        <v>1</v>
      </c>
      <c r="C4796" s="18" t="n">
        <v>2013</v>
      </c>
      <c r="D4796" s="18" t="n">
        <v>2013</v>
      </c>
      <c r="E4796" s="18" t="inlineStr">
        <is>
          <t>Man of Steel</t>
        </is>
      </c>
      <c r="F4796" s="18" t="inlineStr">
        <is>
          <t>F0211</t>
        </is>
      </c>
    </row>
    <row r="4797" ht="15.75" customHeight="1" s="108">
      <c r="A4797" s="18" t="inlineStr">
        <is>
          <t>Ian Rozylo</t>
        </is>
      </c>
      <c r="B4797" s="18" t="n">
        <v>3</v>
      </c>
      <c r="C4797" s="18" t="n">
        <v>2012</v>
      </c>
      <c r="D4797" s="18" t="n">
        <v>2013</v>
      </c>
      <c r="E4797" s="18" t="inlineStr">
        <is>
          <t>Man of Steel, Underworld: Awakening, Underworld awakening</t>
        </is>
      </c>
      <c r="F4797" s="18" t="inlineStr">
        <is>
          <t>F0211, F0328, F0390</t>
        </is>
      </c>
    </row>
    <row r="4798" ht="15.75" customHeight="1" s="108">
      <c r="A4798" s="18" t="inlineStr">
        <is>
          <t>Sebastian Maniscalco</t>
        </is>
      </c>
      <c r="B4798" s="18" t="n">
        <v>3</v>
      </c>
      <c r="C4798" s="18" t="n">
        <v>2018</v>
      </c>
      <c r="D4798" s="18" t="n">
        <v>2023</v>
      </c>
      <c r="E4798" s="18" t="inlineStr">
        <is>
          <t xml:space="preserve">The Super Mario Bros. Movie, green book, green book </t>
        </is>
      </c>
      <c r="F4798" s="18" t="inlineStr">
        <is>
          <t>F0212, F0371</t>
        </is>
      </c>
    </row>
    <row r="4799" ht="15.75" customHeight="1" s="108">
      <c r="A4799" s="18" t="inlineStr">
        <is>
          <t>Charles Martinet</t>
        </is>
      </c>
      <c r="B4799" s="18" t="n">
        <v>1</v>
      </c>
      <c r="C4799" s="18" t="n">
        <v>2023</v>
      </c>
      <c r="D4799" s="18" t="n">
        <v>2023</v>
      </c>
      <c r="E4799" s="18" t="inlineStr">
        <is>
          <t>The Super Mario Bros. Movie</t>
        </is>
      </c>
      <c r="F4799" s="18" t="inlineStr">
        <is>
          <t>F0212</t>
        </is>
      </c>
    </row>
    <row r="4800" ht="15.75" customHeight="1" s="108">
      <c r="A4800" s="18" t="inlineStr">
        <is>
          <t>Rino Romano</t>
        </is>
      </c>
      <c r="B4800" s="18" t="n">
        <v>1</v>
      </c>
      <c r="C4800" s="18" t="n">
        <v>2023</v>
      </c>
      <c r="D4800" s="18" t="n">
        <v>2023</v>
      </c>
      <c r="E4800" s="18" t="inlineStr">
        <is>
          <t>The Super Mario Bros. Movie</t>
        </is>
      </c>
      <c r="F4800" s="18" t="inlineStr">
        <is>
          <t>F0212</t>
        </is>
      </c>
    </row>
    <row r="4801" ht="15.75" customHeight="1" s="108">
      <c r="A4801" s="18" t="inlineStr">
        <is>
          <t>Juliet Jelenic</t>
        </is>
      </c>
      <c r="B4801" s="18" t="n">
        <v>1</v>
      </c>
      <c r="C4801" s="18" t="n">
        <v>2023</v>
      </c>
      <c r="D4801" s="18" t="n">
        <v>2023</v>
      </c>
      <c r="E4801" s="18" t="inlineStr">
        <is>
          <t>The Super Mario Bros. Movie</t>
        </is>
      </c>
      <c r="F4801" s="18" t="inlineStr">
        <is>
          <t>F0212</t>
        </is>
      </c>
    </row>
    <row r="4802" ht="15.75" customHeight="1" s="108">
      <c r="A4802" s="18" t="inlineStr">
        <is>
          <t>Jason Broad</t>
        </is>
      </c>
      <c r="B4802" s="18" t="n">
        <v>1</v>
      </c>
      <c r="C4802" s="18" t="n">
        <v>2023</v>
      </c>
      <c r="D4802" s="18" t="n">
        <v>2023</v>
      </c>
      <c r="E4802" s="18" t="inlineStr">
        <is>
          <t>The Super Mario Bros. Movie</t>
        </is>
      </c>
      <c r="F4802" s="18" t="inlineStr">
        <is>
          <t>F0212</t>
        </is>
      </c>
    </row>
    <row r="4803" ht="15.75" customHeight="1" s="108">
      <c r="A4803" s="18" t="inlineStr">
        <is>
          <t>Ashly Burch</t>
        </is>
      </c>
      <c r="B4803" s="18" t="n">
        <v>1</v>
      </c>
      <c r="C4803" s="18" t="n">
        <v>2023</v>
      </c>
      <c r="D4803" s="18" t="n">
        <v>2023</v>
      </c>
      <c r="E4803" s="18" t="inlineStr">
        <is>
          <t>The Super Mario Bros. Movie</t>
        </is>
      </c>
      <c r="F4803" s="18" t="inlineStr">
        <is>
          <t>F0212</t>
        </is>
      </c>
    </row>
    <row r="4804" ht="15.75" customHeight="1" s="108">
      <c r="A4804" s="18" t="inlineStr">
        <is>
          <t>Rachel Butera</t>
        </is>
      </c>
      <c r="B4804" s="18" t="n">
        <v>1</v>
      </c>
      <c r="C4804" s="18" t="n">
        <v>2023</v>
      </c>
      <c r="D4804" s="18" t="n">
        <v>2023</v>
      </c>
      <c r="E4804" s="18" t="inlineStr">
        <is>
          <t>The Super Mario Bros. Movie</t>
        </is>
      </c>
      <c r="F4804" s="18" t="inlineStr">
        <is>
          <t>F0212</t>
        </is>
      </c>
    </row>
    <row r="4805" ht="15.75" customHeight="1" s="108">
      <c r="A4805" s="18" t="inlineStr">
        <is>
          <t>Will Collyer</t>
        </is>
      </c>
      <c r="B4805" s="18" t="n">
        <v>1</v>
      </c>
      <c r="C4805" s="18" t="n">
        <v>2023</v>
      </c>
      <c r="D4805" s="18" t="n">
        <v>2023</v>
      </c>
      <c r="E4805" s="18" t="inlineStr">
        <is>
          <t>The Super Mario Bros. Movie</t>
        </is>
      </c>
      <c r="F4805" s="18" t="inlineStr">
        <is>
          <t>F0212</t>
        </is>
      </c>
    </row>
    <row r="4806" ht="15.75" customHeight="1" s="108">
      <c r="A4806" s="18" t="inlineStr">
        <is>
          <t>Django Craig</t>
        </is>
      </c>
      <c r="B4806" s="18" t="n">
        <v>1</v>
      </c>
      <c r="C4806" s="18" t="n">
        <v>2023</v>
      </c>
      <c r="D4806" s="18" t="n">
        <v>2023</v>
      </c>
      <c r="E4806" s="18" t="inlineStr">
        <is>
          <t>The Super Mario Bros. Movie</t>
        </is>
      </c>
      <c r="F4806" s="18" t="inlineStr">
        <is>
          <t>F0212</t>
        </is>
      </c>
    </row>
    <row r="4807" ht="15.75" customHeight="1" s="108">
      <c r="A4807" s="18" t="inlineStr">
        <is>
          <t>Willow Geer</t>
        </is>
      </c>
      <c r="B4807" s="18" t="n">
        <v>1</v>
      </c>
      <c r="C4807" s="18" t="n">
        <v>2023</v>
      </c>
      <c r="D4807" s="18" t="n">
        <v>2023</v>
      </c>
      <c r="E4807" s="18" t="inlineStr">
        <is>
          <t>The Super Mario Bros. Movie</t>
        </is>
      </c>
      <c r="F4807" s="18" t="inlineStr">
        <is>
          <t>F0212</t>
        </is>
      </c>
    </row>
    <row r="4808" ht="15.75" customHeight="1" s="108">
      <c r="A4808" s="18" t="inlineStr">
        <is>
          <t>Aaron Hendry</t>
        </is>
      </c>
      <c r="B4808" s="18" t="n">
        <v>1</v>
      </c>
      <c r="C4808" s="18" t="n">
        <v>2023</v>
      </c>
      <c r="D4808" s="18" t="n">
        <v>2023</v>
      </c>
      <c r="E4808" s="18" t="inlineStr">
        <is>
          <t>The Super Mario Bros. Movie</t>
        </is>
      </c>
      <c r="F4808" s="18" t="inlineStr">
        <is>
          <t>F0212</t>
        </is>
      </c>
    </row>
    <row r="4809" ht="15.75" customHeight="1" s="108">
      <c r="A4809" s="18" t="inlineStr">
        <is>
          <t>Andy Hirsch</t>
        </is>
      </c>
      <c r="B4809" s="18" t="n">
        <v>1</v>
      </c>
      <c r="C4809" s="18" t="n">
        <v>2023</v>
      </c>
      <c r="D4809" s="18" t="n">
        <v>2023</v>
      </c>
      <c r="E4809" s="18" t="inlineStr">
        <is>
          <t>The Super Mario Bros. Movie</t>
        </is>
      </c>
      <c r="F4809" s="18" t="inlineStr">
        <is>
          <t>F0212</t>
        </is>
      </c>
    </row>
    <row r="4810" ht="15.75" customHeight="1" s="108">
      <c r="A4810" s="18" t="inlineStr">
        <is>
          <t>Barbara Harris</t>
        </is>
      </c>
      <c r="B4810" s="18" t="n">
        <v>1</v>
      </c>
      <c r="C4810" s="18" t="n">
        <v>2023</v>
      </c>
      <c r="D4810" s="18" t="n">
        <v>2023</v>
      </c>
      <c r="E4810" s="18" t="inlineStr">
        <is>
          <t>The Super Mario Bros. Movie</t>
        </is>
      </c>
      <c r="F4810" s="18" t="inlineStr">
        <is>
          <t>F0212</t>
        </is>
      </c>
    </row>
    <row r="4811" ht="15.75" customHeight="1" s="108">
      <c r="A4811" s="18" t="inlineStr">
        <is>
          <t>Jeremy Maxwell</t>
        </is>
      </c>
      <c r="B4811" s="18" t="n">
        <v>1</v>
      </c>
      <c r="C4811" s="18" t="n">
        <v>2023</v>
      </c>
      <c r="D4811" s="18" t="n">
        <v>2023</v>
      </c>
      <c r="E4811" s="18" t="inlineStr">
        <is>
          <t>The Super Mario Bros. Movie</t>
        </is>
      </c>
      <c r="F4811" s="18" t="inlineStr">
        <is>
          <t>F0212</t>
        </is>
      </c>
    </row>
    <row r="4812" ht="15.75" customHeight="1" s="108">
      <c r="A4812" s="18" t="inlineStr">
        <is>
          <t>Kate Mara</t>
        </is>
      </c>
      <c r="B4812" s="18" t="n">
        <v>1</v>
      </c>
      <c r="C4812" s="18" t="n">
        <v>2015</v>
      </c>
      <c r="D4812" s="18" t="n">
        <v>2015</v>
      </c>
      <c r="E4812" s="18" t="inlineStr">
        <is>
          <t>The Martian</t>
        </is>
      </c>
      <c r="F4812" s="18" t="inlineStr">
        <is>
          <t>F0213</t>
        </is>
      </c>
    </row>
    <row r="4813" ht="15.75" customHeight="1" s="108">
      <c r="A4813" s="18" t="inlineStr">
        <is>
          <t>Mackenzie Davis</t>
        </is>
      </c>
      <c r="B4813" s="18" t="n">
        <v>2</v>
      </c>
      <c r="C4813" s="18" t="n">
        <v>2015</v>
      </c>
      <c r="D4813" s="18" t="n">
        <v>2018</v>
      </c>
      <c r="E4813" s="18" t="inlineStr">
        <is>
          <t>The Martian, blade runner 2049</t>
        </is>
      </c>
      <c r="F4813" s="18" t="inlineStr">
        <is>
          <t>F0213, F0366</t>
        </is>
      </c>
    </row>
    <row r="4814" ht="15.75" customHeight="1" s="108">
      <c r="A4814" s="18" t="inlineStr">
        <is>
          <t>Donald Glover</t>
        </is>
      </c>
      <c r="B4814" s="18" t="n">
        <v>2</v>
      </c>
      <c r="C4814" s="18" t="n">
        <v>2015</v>
      </c>
      <c r="D4814" s="18" t="n">
        <v>2018</v>
      </c>
      <c r="E4814" s="18" t="inlineStr">
        <is>
          <t>The Martian, Solo a star wars story</t>
        </is>
      </c>
      <c r="F4814" s="18" t="inlineStr">
        <is>
          <t>F0213, F0386</t>
        </is>
      </c>
    </row>
    <row r="4815" ht="15.75" customHeight="1" s="108">
      <c r="A4815" s="18" t="inlineStr">
        <is>
          <t>Nick Mohammed</t>
        </is>
      </c>
      <c r="B4815" s="18" t="n">
        <v>1</v>
      </c>
      <c r="C4815" s="18" t="n">
        <v>2015</v>
      </c>
      <c r="D4815" s="18" t="n">
        <v>2015</v>
      </c>
      <c r="E4815" s="18" t="inlineStr">
        <is>
          <t>The Martian</t>
        </is>
      </c>
      <c r="F4815" s="18" t="inlineStr">
        <is>
          <t>F0213</t>
        </is>
      </c>
    </row>
    <row r="4816" ht="15.75" customHeight="1" s="108">
      <c r="A4816" s="18" t="inlineStr">
        <is>
          <t>Chen Shu</t>
        </is>
      </c>
      <c r="B4816" s="18" t="n">
        <v>1</v>
      </c>
      <c r="C4816" s="18" t="n">
        <v>2015</v>
      </c>
      <c r="D4816" s="18" t="n">
        <v>2015</v>
      </c>
      <c r="E4816" s="18" t="inlineStr">
        <is>
          <t>The Martian</t>
        </is>
      </c>
      <c r="F4816" s="18" t="inlineStr">
        <is>
          <t>F0213</t>
        </is>
      </c>
    </row>
    <row r="4817" ht="15.75" customHeight="1" s="108">
      <c r="A4817" s="18" t="inlineStr">
        <is>
          <t>Eddy Ko Hung</t>
        </is>
      </c>
      <c r="B4817" s="18" t="n">
        <v>1</v>
      </c>
      <c r="C4817" s="18" t="n">
        <v>2015</v>
      </c>
      <c r="D4817" s="18" t="n">
        <v>2015</v>
      </c>
      <c r="E4817" s="18" t="inlineStr">
        <is>
          <t>The Martian</t>
        </is>
      </c>
      <c r="F4817" s="18" t="inlineStr">
        <is>
          <t>F0213</t>
        </is>
      </c>
    </row>
    <row r="4818" ht="15.75" customHeight="1" s="108">
      <c r="A4818" s="18" t="inlineStr">
        <is>
          <t>Enzo Cilenti</t>
        </is>
      </c>
      <c r="B4818" s="18" t="n">
        <v>2</v>
      </c>
      <c r="C4818" s="18" t="n">
        <v>2014</v>
      </c>
      <c r="D4818" s="18" t="n">
        <v>2015</v>
      </c>
      <c r="E4818" s="18" t="inlineStr">
        <is>
          <t>The Martian, The Theory of Everything</t>
        </is>
      </c>
      <c r="F4818" s="18" t="inlineStr">
        <is>
          <t>F0213, F0311</t>
        </is>
      </c>
    </row>
    <row r="4819" ht="15.75" customHeight="1" s="108">
      <c r="A4819" s="18" t="inlineStr">
        <is>
          <t>Gruffudd Glyn</t>
        </is>
      </c>
      <c r="B4819" s="18" t="n">
        <v>2</v>
      </c>
      <c r="C4819" s="18" t="n">
        <v>2014</v>
      </c>
      <c r="D4819" s="18" t="n">
        <v>2015</v>
      </c>
      <c r="E4819" s="18" t="inlineStr">
        <is>
          <t>The Martian, The Theory of Everything</t>
        </is>
      </c>
      <c r="F4819" s="18" t="inlineStr">
        <is>
          <t>F0213, F0311</t>
        </is>
      </c>
    </row>
    <row r="4820" ht="15.75" customHeight="1" s="108">
      <c r="A4820" s="18" t="inlineStr">
        <is>
          <t>Geoffrey Thomas</t>
        </is>
      </c>
      <c r="B4820" s="18" t="n">
        <v>1</v>
      </c>
      <c r="C4820" s="18" t="n">
        <v>2015</v>
      </c>
      <c r="D4820" s="18" t="n">
        <v>2015</v>
      </c>
      <c r="E4820" s="18" t="inlineStr">
        <is>
          <t>The Martian</t>
        </is>
      </c>
      <c r="F4820" s="18" t="inlineStr">
        <is>
          <t>F0213</t>
        </is>
      </c>
    </row>
    <row r="4821" ht="15.75" customHeight="1" s="108">
      <c r="A4821" s="18" t="inlineStr">
        <is>
          <t>Yang Haiwen</t>
        </is>
      </c>
      <c r="B4821" s="18" t="n">
        <v>1</v>
      </c>
      <c r="C4821" s="18" t="n">
        <v>2015</v>
      </c>
      <c r="D4821" s="18" t="n">
        <v>2015</v>
      </c>
      <c r="E4821" s="18" t="inlineStr">
        <is>
          <t>The Martian</t>
        </is>
      </c>
      <c r="F4821" s="18" t="inlineStr">
        <is>
          <t>F0213</t>
        </is>
      </c>
    </row>
    <row r="4822" ht="15.75" customHeight="1" s="108">
      <c r="A4822" s="18" t="inlineStr">
        <is>
          <t>Narantsogt Tsogtsaikhan</t>
        </is>
      </c>
      <c r="B4822" s="18" t="n">
        <v>1</v>
      </c>
      <c r="C4822" s="18" t="n">
        <v>2015</v>
      </c>
      <c r="D4822" s="18" t="n">
        <v>2015</v>
      </c>
      <c r="E4822" s="18" t="inlineStr">
        <is>
          <t>The Martian</t>
        </is>
      </c>
      <c r="F4822" s="18" t="inlineStr">
        <is>
          <t>F0213</t>
        </is>
      </c>
    </row>
    <row r="4823" ht="15.75" customHeight="1" s="108">
      <c r="A4823" s="18" t="inlineStr">
        <is>
          <t>Szonja Oroszlán</t>
        </is>
      </c>
      <c r="B4823" s="18" t="n">
        <v>1</v>
      </c>
      <c r="C4823" s="18" t="n">
        <v>2015</v>
      </c>
      <c r="D4823" s="18" t="n">
        <v>2015</v>
      </c>
      <c r="E4823" s="18" t="inlineStr">
        <is>
          <t>The Martian</t>
        </is>
      </c>
      <c r="F4823" s="18" t="inlineStr">
        <is>
          <t>F0213</t>
        </is>
      </c>
    </row>
    <row r="4824" ht="15.75" customHeight="1" s="108">
      <c r="A4824" s="18" t="inlineStr">
        <is>
          <t>Mark O'Neal</t>
        </is>
      </c>
      <c r="B4824" s="18" t="n">
        <v>1</v>
      </c>
      <c r="C4824" s="18" t="n">
        <v>2015</v>
      </c>
      <c r="D4824" s="18" t="n">
        <v>2015</v>
      </c>
      <c r="E4824" s="18" t="inlineStr">
        <is>
          <t>The Martian</t>
        </is>
      </c>
      <c r="F4824" s="18" t="inlineStr">
        <is>
          <t>F0213</t>
        </is>
      </c>
    </row>
    <row r="4825" ht="15.75" customHeight="1" s="108">
      <c r="A4825" s="18" t="inlineStr">
        <is>
          <t>Karen Gagnon</t>
        </is>
      </c>
      <c r="B4825" s="18" t="n">
        <v>1</v>
      </c>
      <c r="C4825" s="18" t="n">
        <v>2015</v>
      </c>
      <c r="D4825" s="18" t="n">
        <v>2015</v>
      </c>
      <c r="E4825" s="18" t="inlineStr">
        <is>
          <t>The Martian</t>
        </is>
      </c>
      <c r="F4825" s="18" t="inlineStr">
        <is>
          <t>F0213</t>
        </is>
      </c>
    </row>
    <row r="4826" ht="15.75" customHeight="1" s="108">
      <c r="A4826" s="18" t="inlineStr">
        <is>
          <t>Lili Bordán</t>
        </is>
      </c>
      <c r="B4826" s="18" t="n">
        <v>1</v>
      </c>
      <c r="C4826" s="18" t="n">
        <v>2015</v>
      </c>
      <c r="D4826" s="18" t="n">
        <v>2015</v>
      </c>
      <c r="E4826" s="18" t="inlineStr">
        <is>
          <t>The Martian</t>
        </is>
      </c>
      <c r="F4826" s="18" t="inlineStr">
        <is>
          <t>F0213</t>
        </is>
      </c>
    </row>
    <row r="4827" ht="15.75" customHeight="1" s="108">
      <c r="A4827" s="18" t="inlineStr">
        <is>
          <t>Nikolett Barabas</t>
        </is>
      </c>
      <c r="B4827" s="18" t="n">
        <v>1</v>
      </c>
      <c r="C4827" s="18" t="n">
        <v>2015</v>
      </c>
      <c r="D4827" s="18" t="n">
        <v>2015</v>
      </c>
      <c r="E4827" s="18" t="inlineStr">
        <is>
          <t>The Martian</t>
        </is>
      </c>
      <c r="F4827" s="18" t="inlineStr">
        <is>
          <t>F0213</t>
        </is>
      </c>
    </row>
    <row r="4828" ht="15.75" customHeight="1" s="108">
      <c r="A4828" s="18" t="inlineStr">
        <is>
          <t>Dilyana Bouklieva</t>
        </is>
      </c>
      <c r="B4828" s="18" t="n">
        <v>1</v>
      </c>
      <c r="C4828" s="18" t="n">
        <v>2015</v>
      </c>
      <c r="D4828" s="18" t="n">
        <v>2015</v>
      </c>
      <c r="E4828" s="18" t="inlineStr">
        <is>
          <t>The Martian</t>
        </is>
      </c>
      <c r="F4828" s="18" t="inlineStr">
        <is>
          <t>F0213</t>
        </is>
      </c>
    </row>
    <row r="4829" ht="15.75" customHeight="1" s="108">
      <c r="A4829" s="18" t="inlineStr">
        <is>
          <t>Björn Freiberg</t>
        </is>
      </c>
      <c r="B4829" s="18" t="n">
        <v>1</v>
      </c>
      <c r="C4829" s="18" t="n">
        <v>2015</v>
      </c>
      <c r="D4829" s="18" t="n">
        <v>2015</v>
      </c>
      <c r="E4829" s="18" t="inlineStr">
        <is>
          <t>The Martian</t>
        </is>
      </c>
      <c r="F4829" s="18" t="inlineStr">
        <is>
          <t>F0213</t>
        </is>
      </c>
    </row>
    <row r="4830" ht="15.75" customHeight="1" s="108">
      <c r="A4830" s="18" t="inlineStr">
        <is>
          <t>Marcus Chong</t>
        </is>
      </c>
      <c r="B4830" s="18" t="n">
        <v>1</v>
      </c>
      <c r="C4830" s="18" t="n">
        <v>1999</v>
      </c>
      <c r="D4830" s="18" t="n">
        <v>1999</v>
      </c>
      <c r="E4830" s="18" t="inlineStr">
        <is>
          <t>The Matrix</t>
        </is>
      </c>
      <c r="F4830" s="18" t="inlineStr">
        <is>
          <t>F0214</t>
        </is>
      </c>
    </row>
    <row r="4831" ht="15.75" customHeight="1" s="108">
      <c r="A4831" s="18" t="inlineStr">
        <is>
          <t>Julian Arahanga</t>
        </is>
      </c>
      <c r="B4831" s="18" t="n">
        <v>1</v>
      </c>
      <c r="C4831" s="18" t="n">
        <v>1999</v>
      </c>
      <c r="D4831" s="18" t="n">
        <v>1999</v>
      </c>
      <c r="E4831" s="18" t="inlineStr">
        <is>
          <t>The Matrix</t>
        </is>
      </c>
      <c r="F4831" s="18" t="inlineStr">
        <is>
          <t>F0214</t>
        </is>
      </c>
    </row>
    <row r="4832" ht="15.75" customHeight="1" s="108">
      <c r="A4832" s="18" t="inlineStr">
        <is>
          <t>Matt Doran</t>
        </is>
      </c>
      <c r="B4832" s="18" t="n">
        <v>2</v>
      </c>
      <c r="C4832" s="18" t="n">
        <v>1999</v>
      </c>
      <c r="D4832" s="18" t="n">
        <v>2002</v>
      </c>
      <c r="E4832" s="18" t="inlineStr">
        <is>
          <t>The Matrix, Star Wars: Episode II – Attack of the Clones</t>
        </is>
      </c>
      <c r="F4832" s="18" t="inlineStr">
        <is>
          <t>F0214, F0293</t>
        </is>
      </c>
    </row>
    <row r="4833" ht="15.75" customHeight="1" s="108">
      <c r="A4833" s="18" t="inlineStr">
        <is>
          <t>Belinda McClory</t>
        </is>
      </c>
      <c r="B4833" s="18" t="n">
        <v>1</v>
      </c>
      <c r="C4833" s="18" t="n">
        <v>1999</v>
      </c>
      <c r="D4833" s="18" t="n">
        <v>1999</v>
      </c>
      <c r="E4833" s="18" t="inlineStr">
        <is>
          <t>The Matrix</t>
        </is>
      </c>
      <c r="F4833" s="18" t="inlineStr">
        <is>
          <t>F0214</t>
        </is>
      </c>
    </row>
    <row r="4834" ht="15.75" customHeight="1" s="108">
      <c r="A4834" s="18" t="inlineStr">
        <is>
          <t>Anthony Ray Parker</t>
        </is>
      </c>
      <c r="B4834" s="18" t="n">
        <v>1</v>
      </c>
      <c r="C4834" s="18" t="n">
        <v>1999</v>
      </c>
      <c r="D4834" s="18" t="n">
        <v>1999</v>
      </c>
      <c r="E4834" s="18" t="inlineStr">
        <is>
          <t>The Matrix</t>
        </is>
      </c>
      <c r="F4834" s="18" t="inlineStr">
        <is>
          <t>F0214</t>
        </is>
      </c>
    </row>
    <row r="4835" ht="15.75" customHeight="1" s="108">
      <c r="A4835" s="18" t="inlineStr">
        <is>
          <t>Paul Goddard</t>
        </is>
      </c>
      <c r="B4835" s="18" t="n">
        <v>1</v>
      </c>
      <c r="C4835" s="18" t="n">
        <v>1999</v>
      </c>
      <c r="D4835" s="18" t="n">
        <v>1999</v>
      </c>
      <c r="E4835" s="18" t="inlineStr">
        <is>
          <t>The Matrix</t>
        </is>
      </c>
      <c r="F4835" s="18" t="inlineStr">
        <is>
          <t>F0214</t>
        </is>
      </c>
    </row>
    <row r="4836" ht="15.75" customHeight="1" s="108">
      <c r="A4836" s="18" t="inlineStr">
        <is>
          <t>Marc Aden Gray</t>
        </is>
      </c>
      <c r="B4836" s="18" t="n">
        <v>1</v>
      </c>
      <c r="C4836" s="18" t="n">
        <v>1999</v>
      </c>
      <c r="D4836" s="18" t="n">
        <v>1999</v>
      </c>
      <c r="E4836" s="18" t="inlineStr">
        <is>
          <t>The Matrix</t>
        </is>
      </c>
      <c r="F4836" s="18" t="inlineStr">
        <is>
          <t>F0214</t>
        </is>
      </c>
    </row>
    <row r="4837" ht="15.75" customHeight="1" s="108">
      <c r="A4837" s="18" t="inlineStr">
        <is>
          <t>Ada Nicodemou</t>
        </is>
      </c>
      <c r="B4837" s="18" t="n">
        <v>1</v>
      </c>
      <c r="C4837" s="18" t="n">
        <v>1999</v>
      </c>
      <c r="D4837" s="18" t="n">
        <v>1999</v>
      </c>
      <c r="E4837" s="18" t="inlineStr">
        <is>
          <t>The Matrix</t>
        </is>
      </c>
      <c r="F4837" s="18" t="inlineStr">
        <is>
          <t>F0214</t>
        </is>
      </c>
    </row>
    <row r="4838" ht="15.75" customHeight="1" s="108">
      <c r="A4838" s="18" t="inlineStr">
        <is>
          <t>Deni Gordon</t>
        </is>
      </c>
      <c r="B4838" s="18" t="n">
        <v>1</v>
      </c>
      <c r="C4838" s="18" t="n">
        <v>1999</v>
      </c>
      <c r="D4838" s="18" t="n">
        <v>1999</v>
      </c>
      <c r="E4838" s="18" t="inlineStr">
        <is>
          <t>The Matrix</t>
        </is>
      </c>
      <c r="F4838" s="18" t="inlineStr">
        <is>
          <t>F0214</t>
        </is>
      </c>
    </row>
    <row r="4839" ht="15.75" customHeight="1" s="108">
      <c r="A4839" s="18" t="inlineStr">
        <is>
          <t>Rowan Witt</t>
        </is>
      </c>
      <c r="B4839" s="18" t="n">
        <v>1</v>
      </c>
      <c r="C4839" s="18" t="n">
        <v>1999</v>
      </c>
      <c r="D4839" s="18" t="n">
        <v>1999</v>
      </c>
      <c r="E4839" s="18" t="inlineStr">
        <is>
          <t>The Matrix</t>
        </is>
      </c>
      <c r="F4839" s="18" t="inlineStr">
        <is>
          <t>F0214</t>
        </is>
      </c>
    </row>
    <row r="4840" ht="15.75" customHeight="1" s="108">
      <c r="A4840" s="18" t="inlineStr">
        <is>
          <t>Eleanor Witt</t>
        </is>
      </c>
      <c r="B4840" s="18" t="n">
        <v>1</v>
      </c>
      <c r="C4840" s="18" t="n">
        <v>1999</v>
      </c>
      <c r="D4840" s="18" t="n">
        <v>1999</v>
      </c>
      <c r="E4840" s="18" t="inlineStr">
        <is>
          <t>The Matrix</t>
        </is>
      </c>
      <c r="F4840" s="18" t="inlineStr">
        <is>
          <t>F0214</t>
        </is>
      </c>
    </row>
    <row r="4841" ht="15.75" customHeight="1" s="108">
      <c r="A4841" s="18" t="inlineStr">
        <is>
          <t>Tamara Brown</t>
        </is>
      </c>
      <c r="B4841" s="18" t="n">
        <v>1</v>
      </c>
      <c r="C4841" s="18" t="n">
        <v>1999</v>
      </c>
      <c r="D4841" s="18" t="n">
        <v>1999</v>
      </c>
      <c r="E4841" s="18" t="inlineStr">
        <is>
          <t>The Matrix</t>
        </is>
      </c>
      <c r="F4841" s="18" t="inlineStr">
        <is>
          <t>F0214</t>
        </is>
      </c>
    </row>
    <row r="4842" ht="15.75" customHeight="1" s="108">
      <c r="A4842" s="18" t="inlineStr">
        <is>
          <t>Janaya Pender</t>
        </is>
      </c>
      <c r="B4842" s="18" t="n">
        <v>1</v>
      </c>
      <c r="C4842" s="18" t="n">
        <v>1999</v>
      </c>
      <c r="D4842" s="18" t="n">
        <v>1999</v>
      </c>
      <c r="E4842" s="18" t="inlineStr">
        <is>
          <t>The Matrix</t>
        </is>
      </c>
      <c r="F4842" s="18" t="inlineStr">
        <is>
          <t>F0214</t>
        </is>
      </c>
    </row>
    <row r="4843" ht="15.75" customHeight="1" s="108">
      <c r="A4843" s="18" t="inlineStr">
        <is>
          <t>Adryn White</t>
        </is>
      </c>
      <c r="B4843" s="18" t="n">
        <v>1</v>
      </c>
      <c r="C4843" s="18" t="n">
        <v>1999</v>
      </c>
      <c r="D4843" s="18" t="n">
        <v>1999</v>
      </c>
      <c r="E4843" s="18" t="inlineStr">
        <is>
          <t>The Matrix</t>
        </is>
      </c>
      <c r="F4843" s="18" t="inlineStr">
        <is>
          <t>F0214</t>
        </is>
      </c>
    </row>
    <row r="4844" ht="15.75" customHeight="1" s="108">
      <c r="A4844" s="18" t="inlineStr">
        <is>
          <t>Natalie Tjen</t>
        </is>
      </c>
      <c r="B4844" s="18" t="n">
        <v>1</v>
      </c>
      <c r="C4844" s="18" t="n">
        <v>1999</v>
      </c>
      <c r="D4844" s="18" t="n">
        <v>1999</v>
      </c>
      <c r="E4844" s="18" t="inlineStr">
        <is>
          <t>The Matrix</t>
        </is>
      </c>
      <c r="F4844" s="18" t="inlineStr">
        <is>
          <t>F0214</t>
        </is>
      </c>
    </row>
    <row r="4845" ht="15.75" customHeight="1" s="108">
      <c r="A4845" s="18" t="inlineStr">
        <is>
          <t>Bill Young</t>
        </is>
      </c>
      <c r="B4845" s="18" t="n">
        <v>1</v>
      </c>
      <c r="C4845" s="18" t="n">
        <v>1999</v>
      </c>
      <c r="D4845" s="18" t="n">
        <v>1999</v>
      </c>
      <c r="E4845" s="18" t="inlineStr">
        <is>
          <t>The Matrix</t>
        </is>
      </c>
      <c r="F4845" s="18" t="inlineStr">
        <is>
          <t>F0214</t>
        </is>
      </c>
    </row>
    <row r="4846" ht="15.75" customHeight="1" s="108">
      <c r="A4846" s="18" t="inlineStr">
        <is>
          <t>David O'Connor</t>
        </is>
      </c>
      <c r="B4846" s="18" t="n">
        <v>1</v>
      </c>
      <c r="C4846" s="18" t="n">
        <v>1999</v>
      </c>
      <c r="D4846" s="18" t="n">
        <v>1999</v>
      </c>
      <c r="E4846" s="18" t="inlineStr">
        <is>
          <t>The Matrix</t>
        </is>
      </c>
      <c r="F4846" s="18" t="inlineStr">
        <is>
          <t>F0214</t>
        </is>
      </c>
    </row>
    <row r="4847" ht="15.75" customHeight="1" s="108">
      <c r="A4847" s="18" t="inlineStr">
        <is>
          <t>Jeremy Ball</t>
        </is>
      </c>
      <c r="B4847" s="18" t="n">
        <v>1</v>
      </c>
      <c r="C4847" s="18" t="n">
        <v>1999</v>
      </c>
      <c r="D4847" s="18" t="n">
        <v>1999</v>
      </c>
      <c r="E4847" s="18" t="inlineStr">
        <is>
          <t>The Matrix</t>
        </is>
      </c>
      <c r="F4847" s="18" t="inlineStr">
        <is>
          <t>F0214</t>
        </is>
      </c>
    </row>
    <row r="4848" ht="15.75" customHeight="1" s="108">
      <c r="A4848" s="18" t="inlineStr">
        <is>
          <t>Fiona Johnson</t>
        </is>
      </c>
      <c r="B4848" s="18" t="n">
        <v>1</v>
      </c>
      <c r="C4848" s="18" t="n">
        <v>1999</v>
      </c>
      <c r="D4848" s="18" t="n">
        <v>1999</v>
      </c>
      <c r="E4848" s="18" t="inlineStr">
        <is>
          <t>The Matrix</t>
        </is>
      </c>
      <c r="F4848" s="18" t="inlineStr">
        <is>
          <t>F0214</t>
        </is>
      </c>
    </row>
    <row r="4849" ht="15.75" customHeight="1" s="108">
      <c r="A4849" s="18" t="inlineStr">
        <is>
          <t>Harry Lawrence</t>
        </is>
      </c>
      <c r="B4849" s="18" t="n">
        <v>1</v>
      </c>
      <c r="C4849" s="18" t="n">
        <v>1999</v>
      </c>
      <c r="D4849" s="18" t="n">
        <v>1999</v>
      </c>
      <c r="E4849" s="18" t="inlineStr">
        <is>
          <t>The Matrix</t>
        </is>
      </c>
      <c r="F4849" s="18" t="inlineStr">
        <is>
          <t>F0214</t>
        </is>
      </c>
    </row>
    <row r="4850" ht="15.75" customHeight="1" s="108">
      <c r="A4850" s="18" t="inlineStr">
        <is>
          <t>Steve Dodd</t>
        </is>
      </c>
      <c r="B4850" s="18" t="n">
        <v>1</v>
      </c>
      <c r="C4850" s="18" t="n">
        <v>1999</v>
      </c>
      <c r="D4850" s="18" t="n">
        <v>1999</v>
      </c>
      <c r="E4850" s="18" t="inlineStr">
        <is>
          <t>The Matrix</t>
        </is>
      </c>
      <c r="F4850" s="18" t="inlineStr">
        <is>
          <t>F0214</t>
        </is>
      </c>
    </row>
    <row r="4851" ht="15.75" customHeight="1" s="108">
      <c r="A4851" s="18" t="inlineStr">
        <is>
          <t>Luke Quinton</t>
        </is>
      </c>
      <c r="B4851" s="18" t="n">
        <v>1</v>
      </c>
      <c r="C4851" s="18" t="n">
        <v>1999</v>
      </c>
      <c r="D4851" s="18" t="n">
        <v>1999</v>
      </c>
      <c r="E4851" s="18" t="inlineStr">
        <is>
          <t>The Matrix</t>
        </is>
      </c>
      <c r="F4851" s="18" t="inlineStr">
        <is>
          <t>F0214</t>
        </is>
      </c>
    </row>
    <row r="4852" ht="15.75" customHeight="1" s="108">
      <c r="A4852" s="18" t="inlineStr">
        <is>
          <t>Harold Perrineau</t>
        </is>
      </c>
      <c r="B4852" s="18" t="n">
        <v>3</v>
      </c>
      <c r="C4852" s="18" t="n">
        <v>2003</v>
      </c>
      <c r="D4852" s="18" t="n">
        <v>2012</v>
      </c>
      <c r="E4852" s="18" t="inlineStr">
        <is>
          <t>The Matrix Reloaded, The Matrix Revolutions, Zero Dark Thirty</t>
        </is>
      </c>
      <c r="F4852" s="18" t="inlineStr">
        <is>
          <t>F0215, F0216, F0349</t>
        </is>
      </c>
    </row>
    <row r="4853" ht="15.75" customHeight="1" s="108">
      <c r="A4853" s="18" t="inlineStr">
        <is>
          <t>Lambert Wilson</t>
        </is>
      </c>
      <c r="B4853" s="18" t="n">
        <v>2</v>
      </c>
      <c r="C4853" s="18" t="n">
        <v>2003</v>
      </c>
      <c r="D4853" s="18" t="n">
        <v>2003</v>
      </c>
      <c r="E4853" s="18" t="inlineStr">
        <is>
          <t>The Matrix Reloaded, The Matrix Revolutions</t>
        </is>
      </c>
      <c r="F4853" s="18" t="inlineStr">
        <is>
          <t>F0215, F0216</t>
        </is>
      </c>
    </row>
    <row r="4854" ht="15.75" customHeight="1" s="108">
      <c r="A4854" s="18" t="inlineStr">
        <is>
          <t>Randall Duk Kim</t>
        </is>
      </c>
      <c r="B4854" s="18" t="n">
        <v>3</v>
      </c>
      <c r="C4854" s="18" t="n">
        <v>2003</v>
      </c>
      <c r="D4854" s="18" t="n">
        <v>2019</v>
      </c>
      <c r="E4854" s="18" t="inlineStr">
        <is>
          <t>The Matrix Reloaded, john wick, John wick chapter 3</t>
        </is>
      </c>
      <c r="F4854" s="18" t="inlineStr">
        <is>
          <t>F0215, F0374, F0391</t>
        </is>
      </c>
    </row>
    <row r="4855" ht="15.75" customHeight="1" s="108">
      <c r="A4855" s="18" t="inlineStr">
        <is>
          <t>Nona Gaye</t>
        </is>
      </c>
      <c r="B4855" s="18" t="n">
        <v>2</v>
      </c>
      <c r="C4855" s="18" t="n">
        <v>2003</v>
      </c>
      <c r="D4855" s="18" t="n">
        <v>2003</v>
      </c>
      <c r="E4855" s="18" t="inlineStr">
        <is>
          <t>The Matrix Reloaded, The Matrix Revolutions</t>
        </is>
      </c>
      <c r="F4855" s="18" t="inlineStr">
        <is>
          <t>F0215, F0216</t>
        </is>
      </c>
    </row>
    <row r="4856" ht="15.75" customHeight="1" s="108">
      <c r="A4856" s="18" t="inlineStr">
        <is>
          <t>Helmut Bakaitis</t>
        </is>
      </c>
      <c r="B4856" s="18" t="n">
        <v>2</v>
      </c>
      <c r="C4856" s="18" t="n">
        <v>2003</v>
      </c>
      <c r="D4856" s="18" t="n">
        <v>2003</v>
      </c>
      <c r="E4856" s="18" t="inlineStr">
        <is>
          <t>The Matrix Reloaded, The Matrix Revolutions</t>
        </is>
      </c>
      <c r="F4856" s="18" t="inlineStr">
        <is>
          <t>F0215, F0216</t>
        </is>
      </c>
    </row>
    <row r="4857" ht="15.75" customHeight="1" s="108">
      <c r="A4857" s="18" t="inlineStr">
        <is>
          <t>David Kilde</t>
        </is>
      </c>
      <c r="B4857" s="18" t="n">
        <v>1</v>
      </c>
      <c r="C4857" s="18" t="n">
        <v>2003</v>
      </c>
      <c r="D4857" s="18" t="n">
        <v>2003</v>
      </c>
      <c r="E4857" s="18" t="inlineStr">
        <is>
          <t>The Matrix Reloaded</t>
        </is>
      </c>
      <c r="F4857" s="18" t="inlineStr">
        <is>
          <t>F0215</t>
        </is>
      </c>
    </row>
    <row r="4858" ht="15.75" customHeight="1" s="108">
      <c r="A4858" s="18" t="inlineStr">
        <is>
          <t>Matt McColm</t>
        </is>
      </c>
      <c r="B4858" s="18" t="n">
        <v>2</v>
      </c>
      <c r="C4858" s="18" t="n">
        <v>2003</v>
      </c>
      <c r="D4858" s="18" t="n">
        <v>2014</v>
      </c>
      <c r="E4858" s="18" t="inlineStr">
        <is>
          <t>The Matrix Reloaded, john wick</t>
        </is>
      </c>
      <c r="F4858" s="18" t="inlineStr">
        <is>
          <t>F0215, F0374</t>
        </is>
      </c>
    </row>
    <row r="4859" ht="15.75" customHeight="1" s="108">
      <c r="A4859" s="18" t="inlineStr">
        <is>
          <t>Collin Chou</t>
        </is>
      </c>
      <c r="B4859" s="18" t="n">
        <v>2</v>
      </c>
      <c r="C4859" s="18" t="n">
        <v>2003</v>
      </c>
      <c r="D4859" s="18" t="n">
        <v>2003</v>
      </c>
      <c r="E4859" s="18" t="inlineStr">
        <is>
          <t>The Matrix Reloaded, The Matrix Revolutions</t>
        </is>
      </c>
      <c r="F4859" s="18" t="inlineStr">
        <is>
          <t>F0215, F0216</t>
        </is>
      </c>
    </row>
    <row r="4860" ht="15.75" customHeight="1" s="108">
      <c r="A4860" s="18" t="inlineStr">
        <is>
          <t>Neil Rayment</t>
        </is>
      </c>
      <c r="B4860" s="18" t="n">
        <v>1</v>
      </c>
      <c r="C4860" s="18" t="n">
        <v>2003</v>
      </c>
      <c r="D4860" s="18" t="n">
        <v>2003</v>
      </c>
      <c r="E4860" s="18" t="inlineStr">
        <is>
          <t>The Matrix Reloaded</t>
        </is>
      </c>
      <c r="F4860" s="18" t="inlineStr">
        <is>
          <t>F0215</t>
        </is>
      </c>
    </row>
    <row r="4861" ht="15.75" customHeight="1" s="108">
      <c r="A4861" s="18" t="inlineStr">
        <is>
          <t>Adrian Rayment</t>
        </is>
      </c>
      <c r="B4861" s="18" t="n">
        <v>1</v>
      </c>
      <c r="C4861" s="18" t="n">
        <v>2003</v>
      </c>
      <c r="D4861" s="18" t="n">
        <v>2003</v>
      </c>
      <c r="E4861" s="18" t="inlineStr">
        <is>
          <t>The Matrix Reloaded</t>
        </is>
      </c>
      <c r="F4861" s="18" t="inlineStr">
        <is>
          <t>F0215</t>
        </is>
      </c>
    </row>
    <row r="4862" ht="15.75" customHeight="1" s="108">
      <c r="A4862" s="18" t="inlineStr">
        <is>
          <t>Don Battee</t>
        </is>
      </c>
      <c r="B4862" s="18" t="n">
        <v>1</v>
      </c>
      <c r="C4862" s="18" t="n">
        <v>2003</v>
      </c>
      <c r="D4862" s="18" t="n">
        <v>2003</v>
      </c>
      <c r="E4862" s="18" t="inlineStr">
        <is>
          <t>The Matrix Reloaded</t>
        </is>
      </c>
      <c r="F4862" s="18" t="inlineStr">
        <is>
          <t>F0215</t>
        </is>
      </c>
    </row>
    <row r="4863" ht="15.75" customHeight="1" s="108">
      <c r="A4863" s="18" t="inlineStr">
        <is>
          <t>Valerie Berry</t>
        </is>
      </c>
      <c r="B4863" s="18" t="n">
        <v>1</v>
      </c>
      <c r="C4863" s="18" t="n">
        <v>2003</v>
      </c>
      <c r="D4863" s="18" t="n">
        <v>2003</v>
      </c>
      <c r="E4863" s="18" t="inlineStr">
        <is>
          <t>The Matrix Reloaded</t>
        </is>
      </c>
      <c r="F4863" s="18" t="inlineStr">
        <is>
          <t>F0215</t>
        </is>
      </c>
    </row>
    <row r="4864" ht="15.75" customHeight="1" s="108">
      <c r="A4864" s="18" t="inlineStr">
        <is>
          <t>Steve Bastoni</t>
        </is>
      </c>
      <c r="B4864" s="18" t="n">
        <v>1</v>
      </c>
      <c r="C4864" s="18" t="n">
        <v>2003</v>
      </c>
      <c r="D4864" s="18" t="n">
        <v>2003</v>
      </c>
      <c r="E4864" s="18" t="inlineStr">
        <is>
          <t>The Matrix Reloaded</t>
        </is>
      </c>
      <c r="F4864" s="18" t="inlineStr">
        <is>
          <t>F0215</t>
        </is>
      </c>
    </row>
    <row r="4865" ht="15.75" customHeight="1" s="108">
      <c r="A4865" s="18" t="inlineStr">
        <is>
          <t>Ian Bliss</t>
        </is>
      </c>
      <c r="B4865" s="18" t="n">
        <v>2</v>
      </c>
      <c r="C4865" s="18" t="n">
        <v>2003</v>
      </c>
      <c r="D4865" s="18" t="n">
        <v>2003</v>
      </c>
      <c r="E4865" s="18" t="inlineStr">
        <is>
          <t>The Matrix Reloaded, The Matrix Revolutions</t>
        </is>
      </c>
      <c r="F4865" s="18" t="inlineStr">
        <is>
          <t>F0215, F0216</t>
        </is>
      </c>
    </row>
    <row r="4866" ht="15.75" customHeight="1" s="108">
      <c r="A4866" s="18" t="inlineStr">
        <is>
          <t>Liliana Bogatko</t>
        </is>
      </c>
      <c r="B4866" s="18" t="n">
        <v>1</v>
      </c>
      <c r="C4866" s="18" t="n">
        <v>2003</v>
      </c>
      <c r="D4866" s="18" t="n">
        <v>2003</v>
      </c>
      <c r="E4866" s="18" t="inlineStr">
        <is>
          <t>The Matrix Reloaded</t>
        </is>
      </c>
      <c r="F4866" s="18" t="inlineStr">
        <is>
          <t>F0215</t>
        </is>
      </c>
    </row>
    <row r="4867" ht="15.75" customHeight="1" s="108">
      <c r="A4867" s="18" t="inlineStr">
        <is>
          <t>Michael Budd</t>
        </is>
      </c>
      <c r="B4867" s="18" t="n">
        <v>1</v>
      </c>
      <c r="C4867" s="18" t="n">
        <v>2003</v>
      </c>
      <c r="D4867" s="18" t="n">
        <v>2003</v>
      </c>
      <c r="E4867" s="18" t="inlineStr">
        <is>
          <t>The Matrix Reloaded</t>
        </is>
      </c>
      <c r="F4867" s="18" t="inlineStr">
        <is>
          <t>F0215</t>
        </is>
      </c>
    </row>
    <row r="4868" ht="15.75" customHeight="1" s="108">
      <c r="A4868" s="18" t="inlineStr">
        <is>
          <t>Stoney Burke</t>
        </is>
      </c>
      <c r="B4868" s="18" t="n">
        <v>1</v>
      </c>
      <c r="C4868" s="18" t="n">
        <v>2003</v>
      </c>
      <c r="D4868" s="18" t="n">
        <v>2003</v>
      </c>
      <c r="E4868" s="18" t="inlineStr">
        <is>
          <t>The Matrix Reloaded</t>
        </is>
      </c>
      <c r="F4868" s="18" t="inlineStr">
        <is>
          <t>F0215</t>
        </is>
      </c>
    </row>
    <row r="4869" ht="15.75" customHeight="1" s="108">
      <c r="A4869" s="18" t="inlineStr">
        <is>
          <t>Kelly Butler</t>
        </is>
      </c>
      <c r="B4869" s="18" t="n">
        <v>1</v>
      </c>
      <c r="C4869" s="18" t="n">
        <v>2003</v>
      </c>
      <c r="D4869" s="18" t="n">
        <v>2003</v>
      </c>
      <c r="E4869" s="18" t="inlineStr">
        <is>
          <t>The Matrix Reloaded</t>
        </is>
      </c>
      <c r="F4869" s="18" t="inlineStr">
        <is>
          <t>F0215</t>
        </is>
      </c>
    </row>
    <row r="4870" ht="15.75" customHeight="1" s="108">
      <c r="A4870" s="18" t="inlineStr">
        <is>
          <t>Josephine Byrnes</t>
        </is>
      </c>
      <c r="B4870" s="18" t="n">
        <v>1</v>
      </c>
      <c r="C4870" s="18" t="n">
        <v>2003</v>
      </c>
      <c r="D4870" s="18" t="n">
        <v>2003</v>
      </c>
      <c r="E4870" s="18" t="inlineStr">
        <is>
          <t>The Matrix Reloaded</t>
        </is>
      </c>
      <c r="F4870" s="18" t="inlineStr">
        <is>
          <t>F0215</t>
        </is>
      </c>
    </row>
    <row r="4871" ht="15.75" customHeight="1" s="108">
      <c r="A4871" s="18" t="inlineStr">
        <is>
          <t>Noris Campos</t>
        </is>
      </c>
      <c r="B4871" s="18" t="n">
        <v>1</v>
      </c>
      <c r="C4871" s="18" t="n">
        <v>2003</v>
      </c>
      <c r="D4871" s="18" t="n">
        <v>2003</v>
      </c>
      <c r="E4871" s="18" t="inlineStr">
        <is>
          <t>The Matrix Reloaded</t>
        </is>
      </c>
      <c r="F4871" s="18" t="inlineStr">
        <is>
          <t>F0215</t>
        </is>
      </c>
    </row>
    <row r="4872" ht="15.75" customHeight="1" s="108">
      <c r="A4872" s="18" t="inlineStr">
        <is>
          <t>Mary Alice</t>
        </is>
      </c>
      <c r="B4872" s="18" t="n">
        <v>1</v>
      </c>
      <c r="C4872" s="18" t="n">
        <v>2003</v>
      </c>
      <c r="D4872" s="18" t="n">
        <v>2003</v>
      </c>
      <c r="E4872" s="18" t="inlineStr">
        <is>
          <t>The Matrix Revolutions</t>
        </is>
      </c>
      <c r="F4872" s="18" t="inlineStr">
        <is>
          <t>F0216</t>
        </is>
      </c>
    </row>
    <row r="4873" ht="15.75" customHeight="1" s="108">
      <c r="A4873" s="18" t="inlineStr">
        <is>
          <t>Tanveer K. Atwal</t>
        </is>
      </c>
      <c r="B4873" s="18" t="n">
        <v>1</v>
      </c>
      <c r="C4873" s="18" t="n">
        <v>2003</v>
      </c>
      <c r="D4873" s="18" t="n">
        <v>2003</v>
      </c>
      <c r="E4873" s="18" t="inlineStr">
        <is>
          <t>The Matrix Revolutions</t>
        </is>
      </c>
      <c r="F4873" s="18" t="inlineStr">
        <is>
          <t>F0216</t>
        </is>
      </c>
    </row>
    <row r="4874" ht="15.75" customHeight="1" s="108">
      <c r="A4874" s="18" t="inlineStr">
        <is>
          <t>Kate Beahan</t>
        </is>
      </c>
      <c r="B4874" s="18" t="n">
        <v>1</v>
      </c>
      <c r="C4874" s="18" t="n">
        <v>2003</v>
      </c>
      <c r="D4874" s="18" t="n">
        <v>2003</v>
      </c>
      <c r="E4874" s="18" t="inlineStr">
        <is>
          <t>The Matrix Revolutions</t>
        </is>
      </c>
      <c r="F4874" s="18" t="inlineStr">
        <is>
          <t>F0216</t>
        </is>
      </c>
    </row>
    <row r="4875" ht="15.75" customHeight="1" s="108">
      <c r="A4875" s="18" t="inlineStr">
        <is>
          <t>Francine Bell</t>
        </is>
      </c>
      <c r="B4875" s="18" t="n">
        <v>1</v>
      </c>
      <c r="C4875" s="18" t="n">
        <v>2003</v>
      </c>
      <c r="D4875" s="18" t="n">
        <v>2003</v>
      </c>
      <c r="E4875" s="18" t="inlineStr">
        <is>
          <t>The Matrix Revolutions</t>
        </is>
      </c>
      <c r="F4875" s="18" t="inlineStr">
        <is>
          <t>F0216</t>
        </is>
      </c>
    </row>
    <row r="4876" ht="15.75" customHeight="1" s="108">
      <c r="A4876" s="18" t="inlineStr">
        <is>
          <t>Rachel Blackman</t>
        </is>
      </c>
      <c r="B4876" s="18" t="n">
        <v>1</v>
      </c>
      <c r="C4876" s="18" t="n">
        <v>2003</v>
      </c>
      <c r="D4876" s="18" t="n">
        <v>2003</v>
      </c>
      <c r="E4876" s="18" t="inlineStr">
        <is>
          <t>The Matrix Revolutions</t>
        </is>
      </c>
      <c r="F4876" s="18" t="inlineStr">
        <is>
          <t>F0216</t>
        </is>
      </c>
    </row>
    <row r="4877" ht="15.75" customHeight="1" s="108">
      <c r="A4877" s="18" t="inlineStr">
        <is>
          <t>Henry Blasingame</t>
        </is>
      </c>
      <c r="B4877" s="18" t="n">
        <v>1</v>
      </c>
      <c r="C4877" s="18" t="n">
        <v>2003</v>
      </c>
      <c r="D4877" s="18" t="n">
        <v>2003</v>
      </c>
      <c r="E4877" s="18" t="inlineStr">
        <is>
          <t>The Matrix Revolutions</t>
        </is>
      </c>
      <c r="F4877" s="18" t="inlineStr">
        <is>
          <t>F0216</t>
        </is>
      </c>
    </row>
    <row r="4878" ht="15.75" customHeight="1" s="108">
      <c r="A4878" s="18" t="inlineStr">
        <is>
          <t>Matt Castelli</t>
        </is>
      </c>
      <c r="B4878" s="18" t="n">
        <v>1</v>
      </c>
      <c r="C4878" s="18" t="n">
        <v>2003</v>
      </c>
      <c r="D4878" s="18" t="n">
        <v>2003</v>
      </c>
      <c r="E4878" s="18" t="inlineStr">
        <is>
          <t>The Matrix Revolutions</t>
        </is>
      </c>
      <c r="F4878" s="18" t="inlineStr">
        <is>
          <t>F0216</t>
        </is>
      </c>
    </row>
    <row r="4879" ht="15.75" customHeight="1" s="108">
      <c r="A4879" s="18" t="inlineStr">
        <is>
          <t>Essie Davis</t>
        </is>
      </c>
      <c r="B4879" s="18" t="n">
        <v>1</v>
      </c>
      <c r="C4879" s="18" t="n">
        <v>2003</v>
      </c>
      <c r="D4879" s="18" t="n">
        <v>2003</v>
      </c>
      <c r="E4879" s="18" t="inlineStr">
        <is>
          <t>The Matrix Revolutions</t>
        </is>
      </c>
      <c r="F4879" s="18" t="inlineStr">
        <is>
          <t>F0216</t>
        </is>
      </c>
    </row>
    <row r="4880" ht="15.75" customHeight="1" s="108">
      <c r="A4880" s="18" t="inlineStr">
        <is>
          <t>David Bowers</t>
        </is>
      </c>
      <c r="B4880" s="18" t="n">
        <v>2</v>
      </c>
      <c r="C4880" s="18" t="n">
        <v>2003</v>
      </c>
      <c r="D4880" s="18" t="n">
        <v>2005</v>
      </c>
      <c r="E4880" s="18" t="inlineStr">
        <is>
          <t>The Matrix Revolutions, Star Wars: Episode III – Revenge of the Sith</t>
        </is>
      </c>
      <c r="F4880" s="18" t="inlineStr">
        <is>
          <t>F0216, F0294</t>
        </is>
      </c>
    </row>
    <row r="4881" ht="15.75" customHeight="1" s="108">
      <c r="A4881" s="18" t="inlineStr">
        <is>
          <t>Dion Horstmans</t>
        </is>
      </c>
      <c r="B4881" s="18" t="n">
        <v>1</v>
      </c>
      <c r="C4881" s="18" t="n">
        <v>2003</v>
      </c>
      <c r="D4881" s="18" t="n">
        <v>2003</v>
      </c>
      <c r="E4881" s="18" t="inlineStr">
        <is>
          <t>The Matrix Revolutions</t>
        </is>
      </c>
      <c r="F4881" s="18" t="inlineStr">
        <is>
          <t>F0216</t>
        </is>
      </c>
    </row>
    <row r="4882" ht="15.75" customHeight="1" s="108">
      <c r="A4882" s="18" t="inlineStr">
        <is>
          <t>Lachy Hulme</t>
        </is>
      </c>
      <c r="B4882" s="18" t="n">
        <v>3</v>
      </c>
      <c r="C4882" s="18" t="n">
        <v>2003</v>
      </c>
      <c r="D4882" s="18" t="n">
        <v>2025</v>
      </c>
      <c r="E4882" s="18" t="inlineStr">
        <is>
          <t xml:space="preserve">The Matrix Revolutions, furiosa, furiosa </t>
        </is>
      </c>
      <c r="F4882" s="18" t="inlineStr">
        <is>
          <t>F0216, F0370</t>
        </is>
      </c>
    </row>
    <row r="4883" ht="15.75" customHeight="1" s="108">
      <c r="A4883" s="18" t="inlineStr">
        <is>
          <t>Christopher Kirby</t>
        </is>
      </c>
      <c r="B4883" s="18" t="n">
        <v>1</v>
      </c>
      <c r="C4883" s="18" t="n">
        <v>2003</v>
      </c>
      <c r="D4883" s="18" t="n">
        <v>2003</v>
      </c>
      <c r="E4883" s="18" t="inlineStr">
        <is>
          <t>The Matrix Revolutions</t>
        </is>
      </c>
      <c r="F4883" s="18" t="inlineStr">
        <is>
          <t>F0216</t>
        </is>
      </c>
    </row>
    <row r="4884" ht="15.75" customHeight="1" s="108">
      <c r="A4884" s="18" t="inlineStr">
        <is>
          <t>Peter Lamb</t>
        </is>
      </c>
      <c r="B4884" s="18" t="n">
        <v>1</v>
      </c>
      <c r="C4884" s="18" t="n">
        <v>2003</v>
      </c>
      <c r="D4884" s="18" t="n">
        <v>2003</v>
      </c>
      <c r="E4884" s="18" t="inlineStr">
        <is>
          <t>The Matrix Revolutions</t>
        </is>
      </c>
      <c r="F4884" s="18" t="inlineStr">
        <is>
          <t>F0216</t>
        </is>
      </c>
    </row>
    <row r="4885" ht="15.75" customHeight="1" s="108">
      <c r="A4885" s="18" t="inlineStr">
        <is>
          <t>Robert Mammone</t>
        </is>
      </c>
      <c r="B4885" s="18" t="n">
        <v>1</v>
      </c>
      <c r="C4885" s="18" t="n">
        <v>2003</v>
      </c>
      <c r="D4885" s="18" t="n">
        <v>2003</v>
      </c>
      <c r="E4885" s="18" t="inlineStr">
        <is>
          <t>The Matrix Revolutions</t>
        </is>
      </c>
      <c r="F4885" s="18" t="inlineStr">
        <is>
          <t>F0216</t>
        </is>
      </c>
    </row>
    <row r="4886" ht="15.75" customHeight="1" s="108">
      <c r="A4886" s="18" t="inlineStr">
        <is>
          <t>Will Poulter</t>
        </is>
      </c>
      <c r="B4886" s="18" t="n">
        <v>1</v>
      </c>
      <c r="C4886" s="18" t="n">
        <v>2014</v>
      </c>
      <c r="D4886" s="18" t="n">
        <v>2014</v>
      </c>
      <c r="E4886" s="18" t="inlineStr">
        <is>
          <t>The Maze Runner</t>
        </is>
      </c>
      <c r="F4886" s="18" t="inlineStr">
        <is>
          <t>F0217</t>
        </is>
      </c>
    </row>
    <row r="4887" ht="15.75" customHeight="1" s="108">
      <c r="A4887" s="18" t="inlineStr">
        <is>
          <t>Patricia Clarkson</t>
        </is>
      </c>
      <c r="B4887" s="18" t="n">
        <v>1</v>
      </c>
      <c r="C4887" s="18" t="n">
        <v>2014</v>
      </c>
      <c r="D4887" s="18" t="n">
        <v>2014</v>
      </c>
      <c r="E4887" s="18" t="inlineStr">
        <is>
          <t>The Maze Runner</t>
        </is>
      </c>
      <c r="F4887" s="18" t="inlineStr">
        <is>
          <t>F0217</t>
        </is>
      </c>
    </row>
    <row r="4888" ht="15.75" customHeight="1" s="108">
      <c r="A4888" s="18" t="inlineStr">
        <is>
          <t>Blake Cooper</t>
        </is>
      </c>
      <c r="B4888" s="18" t="n">
        <v>1</v>
      </c>
      <c r="C4888" s="18" t="n">
        <v>2014</v>
      </c>
      <c r="D4888" s="18" t="n">
        <v>2014</v>
      </c>
      <c r="E4888" s="18" t="inlineStr">
        <is>
          <t>The Maze Runner</t>
        </is>
      </c>
      <c r="F4888" s="18" t="inlineStr">
        <is>
          <t>F0217</t>
        </is>
      </c>
    </row>
    <row r="4889" ht="15.75" customHeight="1" s="108">
      <c r="A4889" s="18" t="inlineStr">
        <is>
          <t>Dexter Darden</t>
        </is>
      </c>
      <c r="B4889" s="18" t="n">
        <v>1</v>
      </c>
      <c r="C4889" s="18" t="n">
        <v>2014</v>
      </c>
      <c r="D4889" s="18" t="n">
        <v>2014</v>
      </c>
      <c r="E4889" s="18" t="inlineStr">
        <is>
          <t>The Maze Runner</t>
        </is>
      </c>
      <c r="F4889" s="18" t="inlineStr">
        <is>
          <t>F0217</t>
        </is>
      </c>
    </row>
    <row r="4890" ht="15.75" customHeight="1" s="108">
      <c r="A4890" s="18" t="inlineStr">
        <is>
          <t>Jacob Latimore</t>
        </is>
      </c>
      <c r="B4890" s="18" t="n">
        <v>1</v>
      </c>
      <c r="C4890" s="18" t="n">
        <v>2014</v>
      </c>
      <c r="D4890" s="18" t="n">
        <v>2014</v>
      </c>
      <c r="E4890" s="18" t="inlineStr">
        <is>
          <t>The Maze Runner</t>
        </is>
      </c>
      <c r="F4890" s="18" t="inlineStr">
        <is>
          <t>F0217</t>
        </is>
      </c>
    </row>
    <row r="4891" ht="15.75" customHeight="1" s="108">
      <c r="A4891" s="18" t="inlineStr">
        <is>
          <t>Chris Sheffield</t>
        </is>
      </c>
      <c r="B4891" s="18" t="n">
        <v>1</v>
      </c>
      <c r="C4891" s="18" t="n">
        <v>2014</v>
      </c>
      <c r="D4891" s="18" t="n">
        <v>2014</v>
      </c>
      <c r="E4891" s="18" t="inlineStr">
        <is>
          <t>The Maze Runner</t>
        </is>
      </c>
      <c r="F4891" s="18" t="inlineStr">
        <is>
          <t>F0217</t>
        </is>
      </c>
    </row>
    <row r="4892" ht="15.75" customHeight="1" s="108">
      <c r="A4892" s="18" t="inlineStr">
        <is>
          <t>Joe Adler</t>
        </is>
      </c>
      <c r="B4892" s="18" t="n">
        <v>1</v>
      </c>
      <c r="C4892" s="18" t="n">
        <v>2014</v>
      </c>
      <c r="D4892" s="18" t="n">
        <v>2014</v>
      </c>
      <c r="E4892" s="18" t="inlineStr">
        <is>
          <t>The Maze Runner</t>
        </is>
      </c>
      <c r="F4892" s="18" t="inlineStr">
        <is>
          <t>F0217</t>
        </is>
      </c>
    </row>
    <row r="4893" ht="15.75" customHeight="1" s="108">
      <c r="A4893" s="18" t="inlineStr">
        <is>
          <t>Randall D. Cunningham</t>
        </is>
      </c>
      <c r="B4893" s="18" t="n">
        <v>1</v>
      </c>
      <c r="C4893" s="18" t="n">
        <v>2014</v>
      </c>
      <c r="D4893" s="18" t="n">
        <v>2014</v>
      </c>
      <c r="E4893" s="18" t="inlineStr">
        <is>
          <t>The Maze Runner</t>
        </is>
      </c>
      <c r="F4893" s="18" t="inlineStr">
        <is>
          <t>F0217</t>
        </is>
      </c>
    </row>
    <row r="4894" ht="15.75" customHeight="1" s="108">
      <c r="A4894" s="18" t="inlineStr">
        <is>
          <t>Alexander Flores</t>
        </is>
      </c>
      <c r="B4894" s="18" t="n">
        <v>1</v>
      </c>
      <c r="C4894" s="18" t="n">
        <v>2014</v>
      </c>
      <c r="D4894" s="18" t="n">
        <v>2014</v>
      </c>
      <c r="E4894" s="18" t="inlineStr">
        <is>
          <t>The Maze Runner</t>
        </is>
      </c>
      <c r="F4894" s="18" t="inlineStr">
        <is>
          <t>F0217</t>
        </is>
      </c>
    </row>
    <row r="4895" ht="15.75" customHeight="1" s="108">
      <c r="A4895" s="18" t="inlineStr">
        <is>
          <t>Don McManus</t>
        </is>
      </c>
      <c r="B4895" s="18" t="n">
        <v>1</v>
      </c>
      <c r="C4895" s="18" t="n">
        <v>2014</v>
      </c>
      <c r="D4895" s="18" t="n">
        <v>2014</v>
      </c>
      <c r="E4895" s="18" t="inlineStr">
        <is>
          <t>The Maze Runner</t>
        </is>
      </c>
      <c r="F4895" s="18" t="inlineStr">
        <is>
          <t>F0217</t>
        </is>
      </c>
    </row>
    <row r="4896" ht="15.75" customHeight="1" s="108">
      <c r="A4896" s="18" t="inlineStr">
        <is>
          <t>Michael Bow</t>
        </is>
      </c>
      <c r="B4896" s="18" t="n">
        <v>1</v>
      </c>
      <c r="C4896" s="18" t="n">
        <v>2014</v>
      </c>
      <c r="D4896" s="18" t="n">
        <v>2014</v>
      </c>
      <c r="E4896" s="18" t="inlineStr">
        <is>
          <t>The Maze Runner</t>
        </is>
      </c>
      <c r="F4896" s="18" t="inlineStr">
        <is>
          <t>F0217</t>
        </is>
      </c>
    </row>
    <row r="4897" ht="15.75" customHeight="1" s="108">
      <c r="A4897" s="18" t="inlineStr">
        <is>
          <t>Jerry Clark</t>
        </is>
      </c>
      <c r="B4897" s="18" t="n">
        <v>1</v>
      </c>
      <c r="C4897" s="18" t="n">
        <v>2014</v>
      </c>
      <c r="D4897" s="18" t="n">
        <v>2014</v>
      </c>
      <c r="E4897" s="18" t="inlineStr">
        <is>
          <t>The Maze Runner</t>
        </is>
      </c>
      <c r="F4897" s="18" t="inlineStr">
        <is>
          <t>F0217</t>
        </is>
      </c>
    </row>
    <row r="4898" ht="15.75" customHeight="1" s="108">
      <c r="A4898" s="18" t="inlineStr">
        <is>
          <t>Michael Deville</t>
        </is>
      </c>
      <c r="B4898" s="18" t="n">
        <v>1</v>
      </c>
      <c r="C4898" s="18" t="n">
        <v>2014</v>
      </c>
      <c r="D4898" s="18" t="n">
        <v>2014</v>
      </c>
      <c r="E4898" s="18" t="inlineStr">
        <is>
          <t>The Maze Runner</t>
        </is>
      </c>
      <c r="F4898" s="18" t="inlineStr">
        <is>
          <t>F0217</t>
        </is>
      </c>
    </row>
    <row r="4899" ht="15.75" customHeight="1" s="108">
      <c r="A4899" s="18" t="inlineStr">
        <is>
          <t>Dylan Gaspard</t>
        </is>
      </c>
      <c r="B4899" s="18" t="n">
        <v>1</v>
      </c>
      <c r="C4899" s="18" t="n">
        <v>2014</v>
      </c>
      <c r="D4899" s="18" t="n">
        <v>2014</v>
      </c>
      <c r="E4899" s="18" t="inlineStr">
        <is>
          <t>The Maze Runner</t>
        </is>
      </c>
      <c r="F4899" s="18" t="inlineStr">
        <is>
          <t>F0217</t>
        </is>
      </c>
    </row>
    <row r="4900" ht="15.75" customHeight="1" s="108">
      <c r="A4900" s="18" t="inlineStr">
        <is>
          <t>Cory Gooding</t>
        </is>
      </c>
      <c r="B4900" s="18" t="n">
        <v>1</v>
      </c>
      <c r="C4900" s="18" t="n">
        <v>2014</v>
      </c>
      <c r="D4900" s="18" t="n">
        <v>2014</v>
      </c>
      <c r="E4900" s="18" t="inlineStr">
        <is>
          <t>The Maze Runner</t>
        </is>
      </c>
      <c r="F4900" s="18" t="inlineStr">
        <is>
          <t>F0217</t>
        </is>
      </c>
    </row>
    <row r="4901" ht="15.75" customHeight="1" s="108">
      <c r="A4901" s="18" t="inlineStr">
        <is>
          <t>Cazi Greene</t>
        </is>
      </c>
      <c r="B4901" s="18" t="n">
        <v>1</v>
      </c>
      <c r="C4901" s="18" t="n">
        <v>2014</v>
      </c>
      <c r="D4901" s="18" t="n">
        <v>2014</v>
      </c>
      <c r="E4901" s="18" t="inlineStr">
        <is>
          <t>The Maze Runner</t>
        </is>
      </c>
      <c r="F4901" s="18" t="inlineStr">
        <is>
          <t>F0217</t>
        </is>
      </c>
    </row>
    <row r="4902" ht="15.75" customHeight="1" s="108">
      <c r="A4902" s="18" t="inlineStr">
        <is>
          <t>Dustin Guitreau</t>
        </is>
      </c>
      <c r="B4902" s="18" t="n">
        <v>1</v>
      </c>
      <c r="C4902" s="18" t="n">
        <v>2014</v>
      </c>
      <c r="D4902" s="18" t="n">
        <v>2014</v>
      </c>
      <c r="E4902" s="18" t="inlineStr">
        <is>
          <t>The Maze Runner</t>
        </is>
      </c>
      <c r="F4902" s="18" t="inlineStr">
        <is>
          <t>F0217</t>
        </is>
      </c>
    </row>
    <row r="4903" ht="15.75" customHeight="1" s="108">
      <c r="A4903" s="18" t="inlineStr">
        <is>
          <t>Tyler Harrison</t>
        </is>
      </c>
      <c r="B4903" s="18" t="n">
        <v>1</v>
      </c>
      <c r="C4903" s="18" t="n">
        <v>2014</v>
      </c>
      <c r="D4903" s="18" t="n">
        <v>2014</v>
      </c>
      <c r="E4903" s="18" t="inlineStr">
        <is>
          <t>The Maze Runner</t>
        </is>
      </c>
      <c r="F4903" s="18" t="inlineStr">
        <is>
          <t>F0217</t>
        </is>
      </c>
    </row>
    <row r="4904" ht="15.75" customHeight="1" s="108">
      <c r="A4904" s="18" t="inlineStr">
        <is>
          <t>Landon Hazel</t>
        </is>
      </c>
      <c r="B4904" s="18" t="n">
        <v>1</v>
      </c>
      <c r="C4904" s="18" t="n">
        <v>2014</v>
      </c>
      <c r="D4904" s="18" t="n">
        <v>2014</v>
      </c>
      <c r="E4904" s="18" t="inlineStr">
        <is>
          <t>The Maze Runner</t>
        </is>
      </c>
      <c r="F4904" s="18" t="inlineStr">
        <is>
          <t>F0217</t>
        </is>
      </c>
    </row>
    <row r="4905" ht="15.75" customHeight="1" s="108">
      <c r="A4905" s="18" t="inlineStr">
        <is>
          <t>Gary Hood</t>
        </is>
      </c>
      <c r="B4905" s="18" t="n">
        <v>1</v>
      </c>
      <c r="C4905" s="18" t="n">
        <v>2014</v>
      </c>
      <c r="D4905" s="18" t="n">
        <v>2014</v>
      </c>
      <c r="E4905" s="18" t="inlineStr">
        <is>
          <t>The Maze Runner</t>
        </is>
      </c>
      <c r="F4905" s="18" t="inlineStr">
        <is>
          <t>F0217</t>
        </is>
      </c>
    </row>
    <row r="4906" ht="15.75" customHeight="1" s="108">
      <c r="A4906" s="18" t="inlineStr">
        <is>
          <t>Nick Killebrew</t>
        </is>
      </c>
      <c r="B4906" s="18" t="n">
        <v>1</v>
      </c>
      <c r="C4906" s="18" t="n">
        <v>2014</v>
      </c>
      <c r="D4906" s="18" t="n">
        <v>2014</v>
      </c>
      <c r="E4906" s="18" t="inlineStr">
        <is>
          <t>The Maze Runner</t>
        </is>
      </c>
      <c r="F4906" s="18" t="inlineStr">
        <is>
          <t>F0217</t>
        </is>
      </c>
    </row>
    <row r="4907" ht="15.75" customHeight="1" s="108">
      <c r="A4907" s="18" t="inlineStr">
        <is>
          <t>John Langston</t>
        </is>
      </c>
      <c r="B4907" s="18" t="n">
        <v>1</v>
      </c>
      <c r="C4907" s="18" t="n">
        <v>2014</v>
      </c>
      <c r="D4907" s="18" t="n">
        <v>2014</v>
      </c>
      <c r="E4907" s="18" t="inlineStr">
        <is>
          <t>The Maze Runner</t>
        </is>
      </c>
      <c r="F4907" s="18" t="inlineStr">
        <is>
          <t>F0217</t>
        </is>
      </c>
    </row>
    <row r="4908" ht="15.75" customHeight="1" s="108">
      <c r="A4908" s="18" t="inlineStr">
        <is>
          <t>Chad Martinez</t>
        </is>
      </c>
      <c r="B4908" s="18" t="n">
        <v>1</v>
      </c>
      <c r="C4908" s="18" t="n">
        <v>2014</v>
      </c>
      <c r="D4908" s="18" t="n">
        <v>2014</v>
      </c>
      <c r="E4908" s="18" t="inlineStr">
        <is>
          <t>The Maze Runner</t>
        </is>
      </c>
      <c r="F4908" s="18" t="inlineStr">
        <is>
          <t>F0217</t>
        </is>
      </c>
    </row>
    <row r="4909" ht="15.75" customHeight="1" s="108">
      <c r="A4909" s="18" t="inlineStr">
        <is>
          <t>Lester Millet</t>
        </is>
      </c>
      <c r="B4909" s="18" t="n">
        <v>1</v>
      </c>
      <c r="C4909" s="18" t="n">
        <v>2014</v>
      </c>
      <c r="D4909" s="18" t="n">
        <v>2014</v>
      </c>
      <c r="E4909" s="18" t="inlineStr">
        <is>
          <t>The Maze Runner</t>
        </is>
      </c>
      <c r="F4909" s="18" t="inlineStr">
        <is>
          <t>F0217</t>
        </is>
      </c>
    </row>
    <row r="4910" ht="15.75" customHeight="1" s="108">
      <c r="A4910" s="18" t="inlineStr">
        <is>
          <t>Sawyer Pierce</t>
        </is>
      </c>
      <c r="B4910" s="18" t="n">
        <v>1</v>
      </c>
      <c r="C4910" s="18" t="n">
        <v>2014</v>
      </c>
      <c r="D4910" s="18" t="n">
        <v>2014</v>
      </c>
      <c r="E4910" s="18" t="inlineStr">
        <is>
          <t>The Maze Runner</t>
        </is>
      </c>
      <c r="F4910" s="18" t="inlineStr">
        <is>
          <t>F0217</t>
        </is>
      </c>
    </row>
    <row r="4911" ht="15.75" customHeight="1" s="108">
      <c r="A4911" s="18" t="inlineStr">
        <is>
          <t>Tony Shalhoub</t>
        </is>
      </c>
      <c r="B4911" s="18" t="n">
        <v>2</v>
      </c>
      <c r="C4911" s="18" t="n">
        <v>1997</v>
      </c>
      <c r="D4911" s="18" t="n">
        <v>2014</v>
      </c>
      <c r="E4911" s="18" t="inlineStr">
        <is>
          <t>Men in Black, Teenage Mutant Ninja Turtles</t>
        </is>
      </c>
      <c r="F4911" s="18" t="inlineStr">
        <is>
          <t>F0218, F0309</t>
        </is>
      </c>
    </row>
    <row r="4912" ht="15.75" customHeight="1" s="108">
      <c r="A4912" s="18" t="inlineStr">
        <is>
          <t>Siobhan Fallon Hogan</t>
        </is>
      </c>
      <c r="B4912" s="18" t="n">
        <v>1</v>
      </c>
      <c r="C4912" s="18" t="n">
        <v>1997</v>
      </c>
      <c r="D4912" s="18" t="n">
        <v>1997</v>
      </c>
      <c r="E4912" s="18" t="inlineStr">
        <is>
          <t>Men in Black</t>
        </is>
      </c>
      <c r="F4912" s="18" t="inlineStr">
        <is>
          <t>F0218</t>
        </is>
      </c>
    </row>
    <row r="4913" ht="15.75" customHeight="1" s="108">
      <c r="A4913" s="18" t="inlineStr">
        <is>
          <t>Mike Nussbaum</t>
        </is>
      </c>
      <c r="B4913" s="18" t="n">
        <v>1</v>
      </c>
      <c r="C4913" s="18" t="n">
        <v>1997</v>
      </c>
      <c r="D4913" s="18" t="n">
        <v>1997</v>
      </c>
      <c r="E4913" s="18" t="inlineStr">
        <is>
          <t>Men in Black</t>
        </is>
      </c>
      <c r="F4913" s="18" t="inlineStr">
        <is>
          <t>F0218</t>
        </is>
      </c>
    </row>
    <row r="4914" ht="15.75" customHeight="1" s="108">
      <c r="A4914" s="18" t="inlineStr">
        <is>
          <t>Sergio Calderón</t>
        </is>
      </c>
      <c r="B4914" s="18" t="n">
        <v>1</v>
      </c>
      <c r="C4914" s="18" t="n">
        <v>1997</v>
      </c>
      <c r="D4914" s="18" t="n">
        <v>1997</v>
      </c>
      <c r="E4914" s="18" t="inlineStr">
        <is>
          <t>Men in Black</t>
        </is>
      </c>
      <c r="F4914" s="18" t="inlineStr">
        <is>
          <t>F0218</t>
        </is>
      </c>
    </row>
    <row r="4915" ht="15.75" customHeight="1" s="108">
      <c r="A4915" s="18" t="inlineStr">
        <is>
          <t>Carel Struycken</t>
        </is>
      </c>
      <c r="B4915" s="18" t="n">
        <v>1</v>
      </c>
      <c r="C4915" s="18" t="n">
        <v>1997</v>
      </c>
      <c r="D4915" s="18" t="n">
        <v>1997</v>
      </c>
      <c r="E4915" s="18" t="inlineStr">
        <is>
          <t>Men in Black</t>
        </is>
      </c>
      <c r="F4915" s="18" t="inlineStr">
        <is>
          <t>F0218</t>
        </is>
      </c>
    </row>
    <row r="4916" ht="15.75" customHeight="1" s="108">
      <c r="A4916" s="18" t="inlineStr">
        <is>
          <t>Richard Hamilton</t>
        </is>
      </c>
      <c r="B4916" s="18" t="n">
        <v>1</v>
      </c>
      <c r="C4916" s="18" t="n">
        <v>1997</v>
      </c>
      <c r="D4916" s="18" t="n">
        <v>1997</v>
      </c>
      <c r="E4916" s="18" t="inlineStr">
        <is>
          <t>Men in Black</t>
        </is>
      </c>
      <c r="F4916" s="18" t="inlineStr">
        <is>
          <t>F0218</t>
        </is>
      </c>
    </row>
    <row r="4917" ht="15.75" customHeight="1" s="108">
      <c r="A4917" s="18" t="inlineStr">
        <is>
          <t>Kent Faulcon</t>
        </is>
      </c>
      <c r="B4917" s="18" t="n">
        <v>1</v>
      </c>
      <c r="C4917" s="18" t="n">
        <v>1997</v>
      </c>
      <c r="D4917" s="18" t="n">
        <v>1997</v>
      </c>
      <c r="E4917" s="18" t="inlineStr">
        <is>
          <t>Men in Black</t>
        </is>
      </c>
      <c r="F4917" s="18" t="inlineStr">
        <is>
          <t>F0218</t>
        </is>
      </c>
    </row>
    <row r="4918" ht="15.75" customHeight="1" s="108">
      <c r="A4918" s="18" t="inlineStr">
        <is>
          <t>John Alexander</t>
        </is>
      </c>
      <c r="B4918" s="18" t="n">
        <v>1</v>
      </c>
      <c r="C4918" s="18" t="n">
        <v>1997</v>
      </c>
      <c r="D4918" s="18" t="n">
        <v>1997</v>
      </c>
      <c r="E4918" s="18" t="inlineStr">
        <is>
          <t>Men in Black</t>
        </is>
      </c>
      <c r="F4918" s="18" t="inlineStr">
        <is>
          <t>F0218</t>
        </is>
      </c>
    </row>
    <row r="4919" ht="15.75" customHeight="1" s="108">
      <c r="A4919" s="18" t="inlineStr">
        <is>
          <t>Ken Thorley</t>
        </is>
      </c>
      <c r="B4919" s="18" t="n">
        <v>1</v>
      </c>
      <c r="C4919" s="18" t="n">
        <v>1997</v>
      </c>
      <c r="D4919" s="18" t="n">
        <v>1997</v>
      </c>
      <c r="E4919" s="18" t="inlineStr">
        <is>
          <t>Men in Black</t>
        </is>
      </c>
      <c r="F4919" s="18" t="inlineStr">
        <is>
          <t>F0218</t>
        </is>
      </c>
    </row>
    <row r="4920" ht="15.75" customHeight="1" s="108">
      <c r="A4920" s="18" t="inlineStr">
        <is>
          <t>Patrick Breen</t>
        </is>
      </c>
      <c r="B4920" s="18" t="n">
        <v>1</v>
      </c>
      <c r="C4920" s="18" t="n">
        <v>1997</v>
      </c>
      <c r="D4920" s="18" t="n">
        <v>1997</v>
      </c>
      <c r="E4920" s="18" t="inlineStr">
        <is>
          <t>Men in Black</t>
        </is>
      </c>
      <c r="F4920" s="18" t="inlineStr">
        <is>
          <t>F0218</t>
        </is>
      </c>
    </row>
    <row r="4921" ht="15.75" customHeight="1" s="108">
      <c r="A4921" s="18" t="inlineStr">
        <is>
          <t>Becky Ann Baker</t>
        </is>
      </c>
      <c r="B4921" s="18" t="n">
        <v>2</v>
      </c>
      <c r="C4921" s="18" t="n">
        <v>1997</v>
      </c>
      <c r="D4921" s="18" t="n">
        <v>2007</v>
      </c>
      <c r="E4921" s="18" t="inlineStr">
        <is>
          <t>Men in Black, Spider-Man 3</t>
        </is>
      </c>
      <c r="F4921" s="18" t="inlineStr">
        <is>
          <t>F0218, F0289</t>
        </is>
      </c>
    </row>
    <row r="4922" ht="15.75" customHeight="1" s="108">
      <c r="A4922" s="18" t="inlineStr">
        <is>
          <t>Sean Whalen</t>
        </is>
      </c>
      <c r="B4922" s="18" t="n">
        <v>1</v>
      </c>
      <c r="C4922" s="18" t="n">
        <v>1997</v>
      </c>
      <c r="D4922" s="18" t="n">
        <v>1997</v>
      </c>
      <c r="E4922" s="18" t="inlineStr">
        <is>
          <t>Men in Black</t>
        </is>
      </c>
      <c r="F4922" s="18" t="inlineStr">
        <is>
          <t>F0218</t>
        </is>
      </c>
    </row>
    <row r="4923" ht="15.75" customHeight="1" s="108">
      <c r="A4923" s="18" t="inlineStr">
        <is>
          <t>Harsh Nayyar</t>
        </is>
      </c>
      <c r="B4923" s="18" t="n">
        <v>1</v>
      </c>
      <c r="C4923" s="18" t="n">
        <v>1997</v>
      </c>
      <c r="D4923" s="18" t="n">
        <v>1997</v>
      </c>
      <c r="E4923" s="18" t="inlineStr">
        <is>
          <t>Men in Black</t>
        </is>
      </c>
      <c r="F4923" s="18" t="inlineStr">
        <is>
          <t>F0218</t>
        </is>
      </c>
    </row>
    <row r="4924" ht="15.75" customHeight="1" s="108">
      <c r="A4924" s="18" t="inlineStr">
        <is>
          <t>Michael Willis</t>
        </is>
      </c>
      <c r="B4924" s="18" t="n">
        <v>1</v>
      </c>
      <c r="C4924" s="18" t="n">
        <v>1997</v>
      </c>
      <c r="D4924" s="18" t="n">
        <v>1997</v>
      </c>
      <c r="E4924" s="18" t="inlineStr">
        <is>
          <t>Men in Black</t>
        </is>
      </c>
      <c r="F4924" s="18" t="inlineStr">
        <is>
          <t>F0218</t>
        </is>
      </c>
    </row>
    <row r="4925" ht="15.75" customHeight="1" s="108">
      <c r="A4925" s="18" t="inlineStr">
        <is>
          <t>Willie C. Carpenter</t>
        </is>
      </c>
      <c r="B4925" s="18" t="n">
        <v>1</v>
      </c>
      <c r="C4925" s="18" t="n">
        <v>1997</v>
      </c>
      <c r="D4925" s="18" t="n">
        <v>1997</v>
      </c>
      <c r="E4925" s="18" t="inlineStr">
        <is>
          <t>Men in Black</t>
        </is>
      </c>
      <c r="F4925" s="18" t="inlineStr">
        <is>
          <t>F0218</t>
        </is>
      </c>
    </row>
    <row r="4926" ht="15.75" customHeight="1" s="108">
      <c r="A4926" s="18" t="inlineStr">
        <is>
          <t>Peter Linari</t>
        </is>
      </c>
      <c r="B4926" s="18" t="n">
        <v>1</v>
      </c>
      <c r="C4926" s="18" t="n">
        <v>1997</v>
      </c>
      <c r="D4926" s="18" t="n">
        <v>1997</v>
      </c>
      <c r="E4926" s="18" t="inlineStr">
        <is>
          <t>Men in Black</t>
        </is>
      </c>
      <c r="F4926" s="18" t="inlineStr">
        <is>
          <t>F0218</t>
        </is>
      </c>
    </row>
    <row r="4927" ht="15.75" customHeight="1" s="108">
      <c r="A4927" s="18" t="inlineStr">
        <is>
          <t>David Cross</t>
        </is>
      </c>
      <c r="B4927" s="18" t="n">
        <v>2</v>
      </c>
      <c r="C4927" s="18" t="n">
        <v>1997</v>
      </c>
      <c r="D4927" s="18" t="n">
        <v>2015</v>
      </c>
      <c r="E4927" s="18" t="inlineStr">
        <is>
          <t>Men in Black, Pitch Perfect 2</t>
        </is>
      </c>
      <c r="F4927" s="18" t="inlineStr">
        <is>
          <t>F0218, F0251</t>
        </is>
      </c>
    </row>
    <row r="4928" ht="15.75" customHeight="1" s="108">
      <c r="A4928" s="18" t="inlineStr">
        <is>
          <t>Charles C. Stevenson Jr.</t>
        </is>
      </c>
      <c r="B4928" s="18" t="n">
        <v>1</v>
      </c>
      <c r="C4928" s="18" t="n">
        <v>1997</v>
      </c>
      <c r="D4928" s="18" t="n">
        <v>1997</v>
      </c>
      <c r="E4928" s="18" t="inlineStr">
        <is>
          <t>Men in Black</t>
        </is>
      </c>
      <c r="F4928" s="18" t="inlineStr">
        <is>
          <t>F0218</t>
        </is>
      </c>
    </row>
    <row r="4929" ht="15.75" customHeight="1" s="108">
      <c r="A4929" s="18" t="inlineStr">
        <is>
          <t>Boris Lyoskin</t>
        </is>
      </c>
      <c r="B4929" s="18" t="n">
        <v>1</v>
      </c>
      <c r="C4929" s="18" t="n">
        <v>1997</v>
      </c>
      <c r="D4929" s="18" t="n">
        <v>1997</v>
      </c>
      <c r="E4929" s="18" t="inlineStr">
        <is>
          <t>Men in Black</t>
        </is>
      </c>
      <c r="F4929" s="18" t="inlineStr">
        <is>
          <t>F0218</t>
        </is>
      </c>
    </row>
    <row r="4930" ht="15.75" customHeight="1" s="108">
      <c r="A4930" s="18" t="inlineStr">
        <is>
          <t>Steve Rankin</t>
        </is>
      </c>
      <c r="B4930" s="18" t="n">
        <v>2</v>
      </c>
      <c r="C4930" s="18" t="n">
        <v>1997</v>
      </c>
      <c r="D4930" s="18" t="n">
        <v>2001</v>
      </c>
      <c r="E4930" s="18" t="inlineStr">
        <is>
          <t>Men in Black, Pearl Harbor</t>
        </is>
      </c>
      <c r="F4930" s="18" t="inlineStr">
        <is>
          <t>F0218, F0246</t>
        </is>
      </c>
    </row>
    <row r="4931" ht="15.75" customHeight="1" s="108">
      <c r="A4931" s="18" t="inlineStr">
        <is>
          <t>Andy Prosky</t>
        </is>
      </c>
      <c r="B4931" s="18" t="n">
        <v>1</v>
      </c>
      <c r="C4931" s="18" t="n">
        <v>1997</v>
      </c>
      <c r="D4931" s="18" t="n">
        <v>1997</v>
      </c>
      <c r="E4931" s="18" t="inlineStr">
        <is>
          <t>Men in Black</t>
        </is>
      </c>
      <c r="F4931" s="18" t="inlineStr">
        <is>
          <t>F0218</t>
        </is>
      </c>
    </row>
    <row r="4932" ht="15.75" customHeight="1" s="108">
      <c r="A4932" s="18" t="inlineStr">
        <is>
          <t>Michael Goldfinger</t>
        </is>
      </c>
      <c r="B4932" s="18" t="n">
        <v>1</v>
      </c>
      <c r="C4932" s="18" t="n">
        <v>1997</v>
      </c>
      <c r="D4932" s="18" t="n">
        <v>1997</v>
      </c>
      <c r="E4932" s="18" t="inlineStr">
        <is>
          <t>Men in Black</t>
        </is>
      </c>
      <c r="F4932" s="18" t="inlineStr">
        <is>
          <t>F0218</t>
        </is>
      </c>
    </row>
    <row r="4933" ht="15.75" customHeight="1" s="108">
      <c r="A4933" s="18" t="inlineStr">
        <is>
          <t>Mike Colter</t>
        </is>
      </c>
      <c r="B4933" s="18" t="n">
        <v>2</v>
      </c>
      <c r="C4933" s="18" t="n">
        <v>2012</v>
      </c>
      <c r="D4933" s="18" t="n">
        <v>2012</v>
      </c>
      <c r="E4933" s="18" t="inlineStr">
        <is>
          <t>Men in Black 3, Zero Dark Thirty</t>
        </is>
      </c>
      <c r="F4933" s="18" t="inlineStr">
        <is>
          <t>F0219, F0349</t>
        </is>
      </c>
    </row>
    <row r="4934" ht="15.75" customHeight="1" s="108">
      <c r="A4934" s="18" t="inlineStr">
        <is>
          <t>Nicole Scherzinger</t>
        </is>
      </c>
      <c r="B4934" s="18" t="n">
        <v>1</v>
      </c>
      <c r="C4934" s="18" t="n">
        <v>2012</v>
      </c>
      <c r="D4934" s="18" t="n">
        <v>2012</v>
      </c>
      <c r="E4934" s="18" t="inlineStr">
        <is>
          <t>Men in Black 3</t>
        </is>
      </c>
      <c r="F4934" s="18" t="inlineStr">
        <is>
          <t>F0219</t>
        </is>
      </c>
    </row>
    <row r="4935" ht="15.75" customHeight="1" s="108">
      <c r="A4935" s="18" t="inlineStr">
        <is>
          <t>Alice Eve</t>
        </is>
      </c>
      <c r="B4935" s="18" t="n">
        <v>1</v>
      </c>
      <c r="C4935" s="18" t="n">
        <v>2012</v>
      </c>
      <c r="D4935" s="18" t="n">
        <v>2012</v>
      </c>
      <c r="E4935" s="18" t="inlineStr">
        <is>
          <t>Men in Black 3</t>
        </is>
      </c>
      <c r="F4935" s="18" t="inlineStr">
        <is>
          <t>F0219</t>
        </is>
      </c>
    </row>
    <row r="4936" ht="15.75" customHeight="1" s="108">
      <c r="A4936" s="18" t="inlineStr">
        <is>
          <t>David Rasche</t>
        </is>
      </c>
      <c r="B4936" s="18" t="n">
        <v>1</v>
      </c>
      <c r="C4936" s="18" t="n">
        <v>2012</v>
      </c>
      <c r="D4936" s="18" t="n">
        <v>2012</v>
      </c>
      <c r="E4936" s="18" t="inlineStr">
        <is>
          <t>Men in Black 3</t>
        </is>
      </c>
      <c r="F4936" s="18" t="inlineStr">
        <is>
          <t>F0219</t>
        </is>
      </c>
    </row>
    <row r="4937" ht="15.75" customHeight="1" s="108">
      <c r="A4937" s="18" t="inlineStr">
        <is>
          <t>Keone Young</t>
        </is>
      </c>
      <c r="B4937" s="18" t="n">
        <v>1</v>
      </c>
      <c r="C4937" s="18" t="n">
        <v>2012</v>
      </c>
      <c r="D4937" s="18" t="n">
        <v>2012</v>
      </c>
      <c r="E4937" s="18" t="inlineStr">
        <is>
          <t>Men in Black 3</t>
        </is>
      </c>
      <c r="F4937" s="18" t="inlineStr">
        <is>
          <t>F0219</t>
        </is>
      </c>
    </row>
    <row r="4938" ht="15.75" customHeight="1" s="108">
      <c r="A4938" s="18" t="inlineStr">
        <is>
          <t>Cayen Martin</t>
        </is>
      </c>
      <c r="B4938" s="18" t="n">
        <v>1</v>
      </c>
      <c r="C4938" s="18" t="n">
        <v>2012</v>
      </c>
      <c r="D4938" s="18" t="n">
        <v>2012</v>
      </c>
      <c r="E4938" s="18" t="inlineStr">
        <is>
          <t>Men in Black 3</t>
        </is>
      </c>
      <c r="F4938" s="18" t="inlineStr">
        <is>
          <t>F0219</t>
        </is>
      </c>
    </row>
    <row r="4939" ht="15.75" customHeight="1" s="108">
      <c r="A4939" s="18" t="inlineStr">
        <is>
          <t>Clarke Thorell</t>
        </is>
      </c>
      <c r="B4939" s="18" t="n">
        <v>1</v>
      </c>
      <c r="C4939" s="18" t="n">
        <v>2012</v>
      </c>
      <c r="D4939" s="18" t="n">
        <v>2012</v>
      </c>
      <c r="E4939" s="18" t="inlineStr">
        <is>
          <t>Men in Black 3</t>
        </is>
      </c>
      <c r="F4939" s="18" t="inlineStr">
        <is>
          <t>F0219</t>
        </is>
      </c>
    </row>
    <row r="4940" ht="15.75" customHeight="1" s="108">
      <c r="A4940" s="18" t="inlineStr">
        <is>
          <t>Adam Mucci</t>
        </is>
      </c>
      <c r="B4940" s="18" t="n">
        <v>1</v>
      </c>
      <c r="C4940" s="18" t="n">
        <v>2012</v>
      </c>
      <c r="D4940" s="18" t="n">
        <v>2012</v>
      </c>
      <c r="E4940" s="18" t="inlineStr">
        <is>
          <t>Men in Black 3</t>
        </is>
      </c>
      <c r="F4940" s="18" t="inlineStr">
        <is>
          <t>F0219</t>
        </is>
      </c>
    </row>
    <row r="4941" ht="15.75" customHeight="1" s="108">
      <c r="A4941" s="18" t="inlineStr">
        <is>
          <t>Tom McComas</t>
        </is>
      </c>
      <c r="B4941" s="18" t="n">
        <v>1</v>
      </c>
      <c r="C4941" s="18" t="n">
        <v>2012</v>
      </c>
      <c r="D4941" s="18" t="n">
        <v>2012</v>
      </c>
      <c r="E4941" s="18" t="inlineStr">
        <is>
          <t>Men in Black 3</t>
        </is>
      </c>
      <c r="F4941" s="18" t="inlineStr">
        <is>
          <t>F0219</t>
        </is>
      </c>
    </row>
    <row r="4942" ht="15.75" customHeight="1" s="108">
      <c r="A4942" s="18" t="inlineStr">
        <is>
          <t>Douglas Crosby</t>
        </is>
      </c>
      <c r="B4942" s="18" t="n">
        <v>1</v>
      </c>
      <c r="C4942" s="18" t="n">
        <v>2012</v>
      </c>
      <c r="D4942" s="18" t="n">
        <v>2012</v>
      </c>
      <c r="E4942" s="18" t="inlineStr">
        <is>
          <t>Men in Black 3</t>
        </is>
      </c>
      <c r="F4942" s="18" t="inlineStr">
        <is>
          <t>F0219</t>
        </is>
      </c>
    </row>
    <row r="4943" ht="15.75" customHeight="1" s="108">
      <c r="A4943" s="18" t="inlineStr">
        <is>
          <t>Woodie King Jr.</t>
        </is>
      </c>
      <c r="B4943" s="18" t="n">
        <v>1</v>
      </c>
      <c r="C4943" s="18" t="n">
        <v>2012</v>
      </c>
      <c r="D4943" s="18" t="n">
        <v>2012</v>
      </c>
      <c r="E4943" s="18" t="inlineStr">
        <is>
          <t>Men in Black 3</t>
        </is>
      </c>
      <c r="F4943" s="18" t="inlineStr">
        <is>
          <t>F0219</t>
        </is>
      </c>
    </row>
    <row r="4944" ht="15.75" customHeight="1" s="108">
      <c r="A4944" s="18" t="inlineStr">
        <is>
          <t>Jack A. O'Connell</t>
        </is>
      </c>
      <c r="B4944" s="18" t="n">
        <v>1</v>
      </c>
      <c r="C4944" s="18" t="n">
        <v>2012</v>
      </c>
      <c r="D4944" s="18" t="n">
        <v>2012</v>
      </c>
      <c r="E4944" s="18" t="inlineStr">
        <is>
          <t>Men in Black 3</t>
        </is>
      </c>
      <c r="F4944" s="18" t="inlineStr">
        <is>
          <t>F0219</t>
        </is>
      </c>
    </row>
    <row r="4945" ht="15.75" customHeight="1" s="108">
      <c r="A4945" s="18" t="inlineStr">
        <is>
          <t>Tobias Segal</t>
        </is>
      </c>
      <c r="B4945" s="18" t="n">
        <v>3</v>
      </c>
      <c r="C4945" s="18" t="n">
        <v>2012</v>
      </c>
      <c r="D4945" s="18" t="n">
        <v>2017</v>
      </c>
      <c r="E4945" s="18" t="inlineStr">
        <is>
          <t xml:space="preserve">Men in Black 3, john wick chapter 2, john wick chapter 2 </t>
        </is>
      </c>
      <c r="F4945" s="18" t="inlineStr">
        <is>
          <t>F0219, F0375</t>
        </is>
      </c>
    </row>
    <row r="4946" ht="15.75" customHeight="1" s="108">
      <c r="A4946" s="18" t="inlineStr">
        <is>
          <t>Jon Shaver</t>
        </is>
      </c>
      <c r="B4946" s="18" t="n">
        <v>1</v>
      </c>
      <c r="C4946" s="18" t="n">
        <v>2012</v>
      </c>
      <c r="D4946" s="18" t="n">
        <v>2012</v>
      </c>
      <c r="E4946" s="18" t="inlineStr">
        <is>
          <t>Men in Black 3</t>
        </is>
      </c>
      <c r="F4946" s="18" t="inlineStr">
        <is>
          <t>F0219</t>
        </is>
      </c>
    </row>
    <row r="4947" ht="15.75" customHeight="1" s="108">
      <c r="A4947" s="18" t="inlineStr">
        <is>
          <t>Gerritt Vandermeer</t>
        </is>
      </c>
      <c r="B4947" s="18" t="n">
        <v>1</v>
      </c>
      <c r="C4947" s="18" t="n">
        <v>2012</v>
      </c>
      <c r="D4947" s="18" t="n">
        <v>2012</v>
      </c>
      <c r="E4947" s="18" t="inlineStr">
        <is>
          <t>Men in Black 3</t>
        </is>
      </c>
      <c r="F4947" s="18" t="inlineStr">
        <is>
          <t>F0219</t>
        </is>
      </c>
    </row>
    <row r="4948" ht="15.75" customHeight="1" s="108">
      <c r="A4948" s="18" t="inlineStr">
        <is>
          <t>Alexandra O'Hara</t>
        </is>
      </c>
      <c r="B4948" s="18" t="n">
        <v>1</v>
      </c>
      <c r="C4948" s="18" t="n">
        <v>2012</v>
      </c>
      <c r="D4948" s="18" t="n">
        <v>2012</v>
      </c>
      <c r="E4948" s="18" t="inlineStr">
        <is>
          <t>Men in Black 3</t>
        </is>
      </c>
      <c r="F4948" s="18" t="inlineStr">
        <is>
          <t>F0219</t>
        </is>
      </c>
    </row>
    <row r="4949" ht="15.75" customHeight="1" s="108">
      <c r="A4949" s="18" t="inlineStr">
        <is>
          <t>Violet O'Hara</t>
        </is>
      </c>
      <c r="B4949" s="18" t="n">
        <v>1</v>
      </c>
      <c r="C4949" s="18" t="n">
        <v>2012</v>
      </c>
      <c r="D4949" s="18" t="n">
        <v>2012</v>
      </c>
      <c r="E4949" s="18" t="inlineStr">
        <is>
          <t>Men in Black 3</t>
        </is>
      </c>
      <c r="F4949" s="18" t="inlineStr">
        <is>
          <t>F0219</t>
        </is>
      </c>
    </row>
    <row r="4950" ht="15.75" customHeight="1" s="108">
      <c r="A4950" s="18" t="inlineStr">
        <is>
          <t>Valence Thomas</t>
        </is>
      </c>
      <c r="B4950" s="18" t="n">
        <v>1</v>
      </c>
      <c r="C4950" s="18" t="n">
        <v>2012</v>
      </c>
      <c r="D4950" s="18" t="n">
        <v>2012</v>
      </c>
      <c r="E4950" s="18" t="inlineStr">
        <is>
          <t>Men in Black 3</t>
        </is>
      </c>
      <c r="F4950" s="18" t="inlineStr">
        <is>
          <t>F0219</t>
        </is>
      </c>
    </row>
    <row r="4951" ht="15.75" customHeight="1" s="108">
      <c r="A4951" s="18" t="inlineStr">
        <is>
          <t>Chloe Sonnenfeld</t>
        </is>
      </c>
      <c r="B4951" s="18" t="n">
        <v>1</v>
      </c>
      <c r="C4951" s="18" t="n">
        <v>2012</v>
      </c>
      <c r="D4951" s="18" t="n">
        <v>2012</v>
      </c>
      <c r="E4951" s="18" t="inlineStr">
        <is>
          <t>Men in Black 3</t>
        </is>
      </c>
      <c r="F4951" s="18" t="inlineStr">
        <is>
          <t>F0219</t>
        </is>
      </c>
    </row>
    <row r="4952" ht="15.75" customHeight="1" s="108">
      <c r="A4952" s="18" t="inlineStr">
        <is>
          <t>Lanny Flaherty</t>
        </is>
      </c>
      <c r="B4952" s="18" t="n">
        <v>1</v>
      </c>
      <c r="C4952" s="18" t="n">
        <v>2012</v>
      </c>
      <c r="D4952" s="18" t="n">
        <v>2012</v>
      </c>
      <c r="E4952" s="18" t="inlineStr">
        <is>
          <t>Men in Black 3</t>
        </is>
      </c>
      <c r="F4952" s="18" t="inlineStr">
        <is>
          <t>F0219</t>
        </is>
      </c>
    </row>
    <row r="4953" ht="15.75" customHeight="1" s="108">
      <c r="A4953" s="18" t="inlineStr">
        <is>
          <t>Jonathan O'Hara</t>
        </is>
      </c>
      <c r="B4953" s="18" t="n">
        <v>1</v>
      </c>
      <c r="C4953" s="18" t="n">
        <v>2012</v>
      </c>
      <c r="D4953" s="18" t="n">
        <v>2012</v>
      </c>
      <c r="E4953" s="18" t="inlineStr">
        <is>
          <t>Men in Black 3</t>
        </is>
      </c>
      <c r="F4953" s="18" t="inlineStr">
        <is>
          <t>F0219</t>
        </is>
      </c>
    </row>
    <row r="4954" ht="15.75" customHeight="1" s="108">
      <c r="A4954" s="18" t="inlineStr">
        <is>
          <t>Rick Baker</t>
        </is>
      </c>
      <c r="B4954" s="18" t="n">
        <v>1</v>
      </c>
      <c r="C4954" s="18" t="n">
        <v>2012</v>
      </c>
      <c r="D4954" s="18" t="n">
        <v>2012</v>
      </c>
      <c r="E4954" s="18" t="inlineStr">
        <is>
          <t>Men in Black 3</t>
        </is>
      </c>
      <c r="F4954" s="18" t="inlineStr">
        <is>
          <t>F0219</t>
        </is>
      </c>
    </row>
    <row r="4955" ht="15.75" customHeight="1" s="108">
      <c r="A4955" s="18" t="inlineStr">
        <is>
          <t>Jennifer Saunders</t>
        </is>
      </c>
      <c r="B4955" s="18" t="n">
        <v>2</v>
      </c>
      <c r="C4955" s="18" t="n">
        <v>2015</v>
      </c>
      <c r="D4955" s="18" t="n">
        <v>2016</v>
      </c>
      <c r="E4955" s="18" t="inlineStr">
        <is>
          <t>Minions, Sing</t>
        </is>
      </c>
      <c r="F4955" s="18" t="inlineStr">
        <is>
          <t>F0220, F0280</t>
        </is>
      </c>
    </row>
    <row r="4956" ht="15.75" customHeight="1" s="108">
      <c r="A4956" s="18" t="inlineStr">
        <is>
          <t>Katy Mixon</t>
        </is>
      </c>
      <c r="B4956" s="18" t="n">
        <v>1</v>
      </c>
      <c r="C4956" s="18" t="n">
        <v>2015</v>
      </c>
      <c r="D4956" s="18" t="n">
        <v>2015</v>
      </c>
      <c r="E4956" s="18" t="inlineStr">
        <is>
          <t>Minions</t>
        </is>
      </c>
      <c r="F4956" s="18" t="inlineStr">
        <is>
          <t>F0220</t>
        </is>
      </c>
    </row>
    <row r="4957" ht="15.75" customHeight="1" s="108">
      <c r="A4957" s="18" t="inlineStr">
        <is>
          <t>Dave Rosenbaum</t>
        </is>
      </c>
      <c r="B4957" s="18" t="n">
        <v>1</v>
      </c>
      <c r="C4957" s="18" t="n">
        <v>2015</v>
      </c>
      <c r="D4957" s="18" t="n">
        <v>2015</v>
      </c>
      <c r="E4957" s="18" t="inlineStr">
        <is>
          <t>Minions</t>
        </is>
      </c>
      <c r="F4957" s="18" t="inlineStr">
        <is>
          <t>F0220</t>
        </is>
      </c>
    </row>
    <row r="4958" ht="15.75" customHeight="1" s="108">
      <c r="A4958" s="18" t="inlineStr">
        <is>
          <t>Alex Dowding</t>
        </is>
      </c>
      <c r="B4958" s="18" t="n">
        <v>1</v>
      </c>
      <c r="C4958" s="18" t="n">
        <v>2015</v>
      </c>
      <c r="D4958" s="18" t="n">
        <v>2015</v>
      </c>
      <c r="E4958" s="18" t="inlineStr">
        <is>
          <t>Minions</t>
        </is>
      </c>
      <c r="F4958" s="18" t="inlineStr">
        <is>
          <t>F0220</t>
        </is>
      </c>
    </row>
    <row r="4959" ht="15.75" customHeight="1" s="108">
      <c r="A4959" s="18" t="inlineStr">
        <is>
          <t>Paul Thornley</t>
        </is>
      </c>
      <c r="B4959" s="18" t="n">
        <v>1</v>
      </c>
      <c r="C4959" s="18" t="n">
        <v>2015</v>
      </c>
      <c r="D4959" s="18" t="n">
        <v>2015</v>
      </c>
      <c r="E4959" s="18" t="inlineStr">
        <is>
          <t>Minions</t>
        </is>
      </c>
      <c r="F4959" s="18" t="inlineStr">
        <is>
          <t>F0220</t>
        </is>
      </c>
    </row>
    <row r="4960" ht="15.75" customHeight="1" s="108">
      <c r="A4960" s="18" t="inlineStr">
        <is>
          <t>Daniel Barker</t>
        </is>
      </c>
      <c r="B4960" s="18" t="n">
        <v>1</v>
      </c>
      <c r="C4960" s="18" t="n">
        <v>2015</v>
      </c>
      <c r="D4960" s="18" t="n">
        <v>2015</v>
      </c>
      <c r="E4960" s="18" t="inlineStr">
        <is>
          <t>Minions</t>
        </is>
      </c>
      <c r="F4960" s="18" t="inlineStr">
        <is>
          <t>F0220</t>
        </is>
      </c>
    </row>
    <row r="4961" ht="15.75" customHeight="1" s="108">
      <c r="A4961" s="18" t="inlineStr">
        <is>
          <t>Eve Karpf</t>
        </is>
      </c>
      <c r="B4961" s="18" t="n">
        <v>1</v>
      </c>
      <c r="C4961" s="18" t="n">
        <v>2015</v>
      </c>
      <c r="D4961" s="18" t="n">
        <v>2015</v>
      </c>
      <c r="E4961" s="18" t="inlineStr">
        <is>
          <t>Minions</t>
        </is>
      </c>
      <c r="F4961" s="18" t="inlineStr">
        <is>
          <t>F0220</t>
        </is>
      </c>
    </row>
    <row r="4962" ht="15.75" customHeight="1" s="108">
      <c r="A4962" s="18" t="inlineStr">
        <is>
          <t>Kristin Scott Thomas</t>
        </is>
      </c>
      <c r="B4962" s="18" t="n">
        <v>1</v>
      </c>
      <c r="C4962" s="18" t="n">
        <v>1996</v>
      </c>
      <c r="D4962" s="18" t="n">
        <v>1996</v>
      </c>
      <c r="E4962" s="18" t="inlineStr">
        <is>
          <t>Mission: Impossible</t>
        </is>
      </c>
      <c r="F4962" s="18" t="inlineStr">
        <is>
          <t>F0221</t>
        </is>
      </c>
    </row>
    <row r="4963" ht="15.75" customHeight="1" s="108">
      <c r="A4963" s="18" t="inlineStr">
        <is>
          <t>Vanessa Redgrave</t>
        </is>
      </c>
      <c r="B4963" s="18" t="n">
        <v>1</v>
      </c>
      <c r="C4963" s="18" t="n">
        <v>1996</v>
      </c>
      <c r="D4963" s="18" t="n">
        <v>1996</v>
      </c>
      <c r="E4963" s="18" t="inlineStr">
        <is>
          <t>Mission: Impossible</t>
        </is>
      </c>
      <c r="F4963" s="18" t="inlineStr">
        <is>
          <t>F0221</t>
        </is>
      </c>
    </row>
    <row r="4964" ht="15.75" customHeight="1" s="108">
      <c r="A4964" s="18" t="inlineStr">
        <is>
          <t>Ingeborga Dapkūnaitė</t>
        </is>
      </c>
      <c r="B4964" s="18" t="n">
        <v>1</v>
      </c>
      <c r="C4964" s="18" t="n">
        <v>1996</v>
      </c>
      <c r="D4964" s="18" t="n">
        <v>1996</v>
      </c>
      <c r="E4964" s="18" t="inlineStr">
        <is>
          <t>Mission: Impossible</t>
        </is>
      </c>
      <c r="F4964" s="18" t="inlineStr">
        <is>
          <t>F0221</t>
        </is>
      </c>
    </row>
    <row r="4965" ht="15.75" customHeight="1" s="108">
      <c r="A4965" s="18" t="inlineStr">
        <is>
          <t>Valentina Yakunina</t>
        </is>
      </c>
      <c r="B4965" s="18" t="n">
        <v>1</v>
      </c>
      <c r="C4965" s="18" t="n">
        <v>1996</v>
      </c>
      <c r="D4965" s="18" t="n">
        <v>1996</v>
      </c>
      <c r="E4965" s="18" t="inlineStr">
        <is>
          <t>Mission: Impossible</t>
        </is>
      </c>
      <c r="F4965" s="18" t="inlineStr">
        <is>
          <t>F0221</t>
        </is>
      </c>
    </row>
    <row r="4966" ht="15.75" customHeight="1" s="108">
      <c r="A4966" s="18" t="inlineStr">
        <is>
          <t>Marek Vašut</t>
        </is>
      </c>
      <c r="B4966" s="18" t="n">
        <v>1</v>
      </c>
      <c r="C4966" s="18" t="n">
        <v>1996</v>
      </c>
      <c r="D4966" s="18" t="n">
        <v>1996</v>
      </c>
      <c r="E4966" s="18" t="inlineStr">
        <is>
          <t>Mission: Impossible</t>
        </is>
      </c>
      <c r="F4966" s="18" t="inlineStr">
        <is>
          <t>F0221</t>
        </is>
      </c>
    </row>
    <row r="4967" ht="15.75" customHeight="1" s="108">
      <c r="A4967" s="18" t="inlineStr">
        <is>
          <t>Nathan Osgood</t>
        </is>
      </c>
      <c r="B4967" s="18" t="n">
        <v>1</v>
      </c>
      <c r="C4967" s="18" t="n">
        <v>1996</v>
      </c>
      <c r="D4967" s="18" t="n">
        <v>1996</v>
      </c>
      <c r="E4967" s="18" t="inlineStr">
        <is>
          <t>Mission: Impossible</t>
        </is>
      </c>
      <c r="F4967" s="18" t="inlineStr">
        <is>
          <t>F0221</t>
        </is>
      </c>
    </row>
    <row r="4968" ht="15.75" customHeight="1" s="108">
      <c r="A4968" s="18" t="inlineStr">
        <is>
          <t>John McLaughlin</t>
        </is>
      </c>
      <c r="B4968" s="18" t="n">
        <v>1</v>
      </c>
      <c r="C4968" s="18" t="n">
        <v>1996</v>
      </c>
      <c r="D4968" s="18" t="n">
        <v>1996</v>
      </c>
      <c r="E4968" s="18" t="inlineStr">
        <is>
          <t>Mission: Impossible</t>
        </is>
      </c>
      <c r="F4968" s="18" t="inlineStr">
        <is>
          <t>F0221</t>
        </is>
      </c>
    </row>
    <row r="4969" ht="15.75" customHeight="1" s="108">
      <c r="A4969" s="18" t="inlineStr">
        <is>
          <t>Rolf Saxon</t>
        </is>
      </c>
      <c r="B4969" s="18" t="n">
        <v>2</v>
      </c>
      <c r="C4969" s="18" t="n">
        <v>1996</v>
      </c>
      <c r="D4969" s="18" t="n">
        <v>2025</v>
      </c>
      <c r="E4969" s="18" t="inlineStr">
        <is>
          <t>Mission: Impossible, Mission: Impossible - The Final Reckoning</t>
        </is>
      </c>
      <c r="F4969" s="18" t="inlineStr">
        <is>
          <t>F0221, F0228</t>
        </is>
      </c>
    </row>
    <row r="4970" ht="15.75" customHeight="1" s="108">
      <c r="A4970" s="18" t="inlineStr">
        <is>
          <t>Karel Dobrý</t>
        </is>
      </c>
      <c r="B4970" s="18" t="n">
        <v>1</v>
      </c>
      <c r="C4970" s="18" t="n">
        <v>1996</v>
      </c>
      <c r="D4970" s="18" t="n">
        <v>1996</v>
      </c>
      <c r="E4970" s="18" t="inlineStr">
        <is>
          <t>Mission: Impossible</t>
        </is>
      </c>
      <c r="F4970" s="18" t="inlineStr">
        <is>
          <t>F0221</t>
        </is>
      </c>
    </row>
    <row r="4971" ht="15.75" customHeight="1" s="108">
      <c r="A4971" s="18" t="inlineStr">
        <is>
          <t>Andreas Wisniewski</t>
        </is>
      </c>
      <c r="B4971" s="18" t="n">
        <v>1</v>
      </c>
      <c r="C4971" s="18" t="n">
        <v>1996</v>
      </c>
      <c r="D4971" s="18" t="n">
        <v>1996</v>
      </c>
      <c r="E4971" s="18" t="inlineStr">
        <is>
          <t>Mission: Impossible</t>
        </is>
      </c>
      <c r="F4971" s="18" t="inlineStr">
        <is>
          <t>F0221</t>
        </is>
      </c>
    </row>
    <row r="4972" ht="15.75" customHeight="1" s="108">
      <c r="A4972" s="18" t="inlineStr">
        <is>
          <t>David Shaeffer</t>
        </is>
      </c>
      <c r="B4972" s="18" t="n">
        <v>1</v>
      </c>
      <c r="C4972" s="18" t="n">
        <v>1996</v>
      </c>
      <c r="D4972" s="18" t="n">
        <v>1996</v>
      </c>
      <c r="E4972" s="18" t="inlineStr">
        <is>
          <t>Mission: Impossible</t>
        </is>
      </c>
      <c r="F4972" s="18" t="inlineStr">
        <is>
          <t>F0221</t>
        </is>
      </c>
    </row>
    <row r="4973" ht="15.75" customHeight="1" s="108">
      <c r="A4973" s="18" t="inlineStr">
        <is>
          <t>Rudolf Pechan</t>
        </is>
      </c>
      <c r="B4973" s="18" t="n">
        <v>1</v>
      </c>
      <c r="C4973" s="18" t="n">
        <v>1996</v>
      </c>
      <c r="D4973" s="18" t="n">
        <v>1996</v>
      </c>
      <c r="E4973" s="18" t="inlineStr">
        <is>
          <t>Mission: Impossible</t>
        </is>
      </c>
      <c r="F4973" s="18" t="inlineStr">
        <is>
          <t>F0221</t>
        </is>
      </c>
    </row>
    <row r="4974" ht="15.75" customHeight="1" s="108">
      <c r="A4974" s="18" t="inlineStr">
        <is>
          <t>Gaston Šubert</t>
        </is>
      </c>
      <c r="B4974" s="18" t="n">
        <v>1</v>
      </c>
      <c r="C4974" s="18" t="n">
        <v>1996</v>
      </c>
      <c r="D4974" s="18" t="n">
        <v>1996</v>
      </c>
      <c r="E4974" s="18" t="inlineStr">
        <is>
          <t>Mission: Impossible</t>
        </is>
      </c>
      <c r="F4974" s="18" t="inlineStr">
        <is>
          <t>F0221</t>
        </is>
      </c>
    </row>
    <row r="4975" ht="15.75" customHeight="1" s="108">
      <c r="A4975" s="18" t="inlineStr">
        <is>
          <t>Mark Houghton</t>
        </is>
      </c>
      <c r="B4975" s="18" t="n">
        <v>1</v>
      </c>
      <c r="C4975" s="18" t="n">
        <v>1996</v>
      </c>
      <c r="D4975" s="18" t="n">
        <v>1996</v>
      </c>
      <c r="E4975" s="18" t="inlineStr">
        <is>
          <t>Mission: Impossible</t>
        </is>
      </c>
      <c r="F4975" s="18" t="inlineStr">
        <is>
          <t>F0221</t>
        </is>
      </c>
    </row>
    <row r="4976" ht="15.75" customHeight="1" s="108">
      <c r="A4976" s="18" t="inlineStr">
        <is>
          <t>Bob Friend</t>
        </is>
      </c>
      <c r="B4976" s="18" t="n">
        <v>1</v>
      </c>
      <c r="C4976" s="18" t="n">
        <v>1996</v>
      </c>
      <c r="D4976" s="18" t="n">
        <v>1996</v>
      </c>
      <c r="E4976" s="18" t="inlineStr">
        <is>
          <t>Mission: Impossible</t>
        </is>
      </c>
      <c r="F4976" s="18" t="inlineStr">
        <is>
          <t>F0221</t>
        </is>
      </c>
    </row>
    <row r="4977" ht="15.75" customHeight="1" s="108">
      <c r="A4977" s="18" t="inlineStr">
        <is>
          <t>Annabel Mullion</t>
        </is>
      </c>
      <c r="B4977" s="18" t="n">
        <v>1</v>
      </c>
      <c r="C4977" s="18" t="n">
        <v>1996</v>
      </c>
      <c r="D4977" s="18" t="n">
        <v>1996</v>
      </c>
      <c r="E4977" s="18" t="inlineStr">
        <is>
          <t>Mission: Impossible</t>
        </is>
      </c>
      <c r="F4977" s="18" t="inlineStr">
        <is>
          <t>F0221</t>
        </is>
      </c>
    </row>
    <row r="4978" ht="15.75" customHeight="1" s="108">
      <c r="A4978" s="18" t="inlineStr">
        <is>
          <t>Garrick Hagon</t>
        </is>
      </c>
      <c r="B4978" s="18" t="n">
        <v>2</v>
      </c>
      <c r="C4978" s="18" t="n">
        <v>1977</v>
      </c>
      <c r="D4978" s="18" t="n">
        <v>1996</v>
      </c>
      <c r="E4978" s="18" t="inlineStr">
        <is>
          <t>Mission: Impossible, Star Wars: Episode IV – A New Hope</t>
        </is>
      </c>
      <c r="F4978" s="18" t="inlineStr">
        <is>
          <t>F0221, F0295</t>
        </is>
      </c>
    </row>
    <row r="4979" ht="15.75" customHeight="1" s="108">
      <c r="A4979" s="18" t="inlineStr">
        <is>
          <t>Jiřina Třebická</t>
        </is>
      </c>
      <c r="B4979" s="18" t="n">
        <v>1</v>
      </c>
      <c r="C4979" s="18" t="n">
        <v>1996</v>
      </c>
      <c r="D4979" s="18" t="n">
        <v>1996</v>
      </c>
      <c r="E4979" s="18" t="inlineStr">
        <is>
          <t>Mission: Impossible</t>
        </is>
      </c>
      <c r="F4979" s="18" t="inlineStr">
        <is>
          <t>F0221</t>
        </is>
      </c>
    </row>
    <row r="4980" ht="15.75" customHeight="1" s="108">
      <c r="A4980" s="18" t="inlineStr">
        <is>
          <t>Andrzej Borkowski</t>
        </is>
      </c>
      <c r="B4980" s="18" t="n">
        <v>1</v>
      </c>
      <c r="C4980" s="18" t="n">
        <v>1996</v>
      </c>
      <c r="D4980" s="18" t="n">
        <v>1996</v>
      </c>
      <c r="E4980" s="18" t="inlineStr">
        <is>
          <t>Mission: Impossible</t>
        </is>
      </c>
      <c r="F4980" s="18" t="inlineStr">
        <is>
          <t>F0221</t>
        </is>
      </c>
    </row>
    <row r="4981" ht="15.75" customHeight="1" s="108">
      <c r="A4981" s="18" t="inlineStr">
        <is>
          <t>Maya Dokic</t>
        </is>
      </c>
      <c r="B4981" s="18" t="n">
        <v>1</v>
      </c>
      <c r="C4981" s="18" t="n">
        <v>1996</v>
      </c>
      <c r="D4981" s="18" t="n">
        <v>1996</v>
      </c>
      <c r="E4981" s="18" t="inlineStr">
        <is>
          <t>Mission: Impossible</t>
        </is>
      </c>
      <c r="F4981" s="18" t="inlineStr">
        <is>
          <t>F0221</t>
        </is>
      </c>
    </row>
    <row r="4982" ht="15.75" customHeight="1" s="108">
      <c r="A4982" s="18" t="inlineStr">
        <is>
          <t>Sam Douglas</t>
        </is>
      </c>
      <c r="B4982" s="18" t="n">
        <v>1</v>
      </c>
      <c r="C4982" s="18" t="n">
        <v>1996</v>
      </c>
      <c r="D4982" s="18" t="n">
        <v>1996</v>
      </c>
      <c r="E4982" s="18" t="inlineStr">
        <is>
          <t>Mission: Impossible</t>
        </is>
      </c>
      <c r="F4982" s="18" t="inlineStr">
        <is>
          <t>F0221</t>
        </is>
      </c>
    </row>
    <row r="4983" ht="15.75" customHeight="1" s="108">
      <c r="A4983" s="18" t="inlineStr">
        <is>
          <t>Olegar Fedoro</t>
        </is>
      </c>
      <c r="B4983" s="18" t="n">
        <v>1</v>
      </c>
      <c r="C4983" s="18" t="n">
        <v>1996</v>
      </c>
      <c r="D4983" s="18" t="n">
        <v>1996</v>
      </c>
      <c r="E4983" s="18" t="inlineStr">
        <is>
          <t>Mission: Impossible</t>
        </is>
      </c>
      <c r="F4983" s="18" t="inlineStr">
        <is>
          <t>F0221</t>
        </is>
      </c>
    </row>
    <row r="4984" ht="15.75" customHeight="1" s="108">
      <c r="A4984" s="18" t="inlineStr">
        <is>
          <t>Carmela Marner</t>
        </is>
      </c>
      <c r="B4984" s="18" t="n">
        <v>1</v>
      </c>
      <c r="C4984" s="18" t="n">
        <v>1996</v>
      </c>
      <c r="D4984" s="18" t="n">
        <v>1996</v>
      </c>
      <c r="E4984" s="18" t="inlineStr">
        <is>
          <t>Mission: Impossible</t>
        </is>
      </c>
      <c r="F4984" s="18" t="inlineStr">
        <is>
          <t>F0221</t>
        </is>
      </c>
    </row>
    <row r="4985" ht="15.75" customHeight="1" s="108">
      <c r="A4985" s="18" t="inlineStr">
        <is>
          <t>John Polson</t>
        </is>
      </c>
      <c r="B4985" s="18" t="n">
        <v>1</v>
      </c>
      <c r="C4985" s="18" t="n">
        <v>2000</v>
      </c>
      <c r="D4985" s="18" t="n">
        <v>2000</v>
      </c>
      <c r="E4985" s="18" t="inlineStr">
        <is>
          <t>Mission: Impossible II</t>
        </is>
      </c>
      <c r="F4985" s="18" t="inlineStr">
        <is>
          <t>F0222</t>
        </is>
      </c>
    </row>
    <row r="4986" ht="15.75" customHeight="1" s="108">
      <c r="A4986" s="18" t="inlineStr">
        <is>
          <t>William Mapother</t>
        </is>
      </c>
      <c r="B4986" s="18" t="n">
        <v>1</v>
      </c>
      <c r="C4986" s="18" t="n">
        <v>2000</v>
      </c>
      <c r="D4986" s="18" t="n">
        <v>2000</v>
      </c>
      <c r="E4986" s="18" t="inlineStr">
        <is>
          <t>Mission: Impossible II</t>
        </is>
      </c>
      <c r="F4986" s="18" t="inlineStr">
        <is>
          <t>F0222</t>
        </is>
      </c>
    </row>
    <row r="4987" ht="15.75" customHeight="1" s="108">
      <c r="A4987" s="18" t="inlineStr">
        <is>
          <t>Dominic Purcell</t>
        </is>
      </c>
      <c r="B4987" s="18" t="n">
        <v>1</v>
      </c>
      <c r="C4987" s="18" t="n">
        <v>2000</v>
      </c>
      <c r="D4987" s="18" t="n">
        <v>2000</v>
      </c>
      <c r="E4987" s="18" t="inlineStr">
        <is>
          <t>Mission: Impossible II</t>
        </is>
      </c>
      <c r="F4987" s="18" t="inlineStr">
        <is>
          <t>F0222</t>
        </is>
      </c>
    </row>
    <row r="4988" ht="15.75" customHeight="1" s="108">
      <c r="A4988" s="18" t="inlineStr">
        <is>
          <t>Mathew Wilkinson</t>
        </is>
      </c>
      <c r="B4988" s="18" t="n">
        <v>1</v>
      </c>
      <c r="C4988" s="18" t="n">
        <v>2000</v>
      </c>
      <c r="D4988" s="18" t="n">
        <v>2000</v>
      </c>
      <c r="E4988" s="18" t="inlineStr">
        <is>
          <t>Mission: Impossible II</t>
        </is>
      </c>
      <c r="F4988" s="18" t="inlineStr">
        <is>
          <t>F0222</t>
        </is>
      </c>
    </row>
    <row r="4989" ht="15.75" customHeight="1" s="108">
      <c r="A4989" s="18" t="inlineStr">
        <is>
          <t>Cristina Brogeras</t>
        </is>
      </c>
      <c r="B4989" s="18" t="n">
        <v>1</v>
      </c>
      <c r="C4989" s="18" t="n">
        <v>2000</v>
      </c>
      <c r="D4989" s="18" t="n">
        <v>2000</v>
      </c>
      <c r="E4989" s="18" t="inlineStr">
        <is>
          <t>Mission: Impossible II</t>
        </is>
      </c>
      <c r="F4989" s="18" t="inlineStr">
        <is>
          <t>F0222</t>
        </is>
      </c>
    </row>
    <row r="4990" ht="15.75" customHeight="1" s="108">
      <c r="A4990" s="18" t="inlineStr">
        <is>
          <t>Kee Chan</t>
        </is>
      </c>
      <c r="B4990" s="18" t="n">
        <v>1</v>
      </c>
      <c r="C4990" s="18" t="n">
        <v>2000</v>
      </c>
      <c r="D4990" s="18" t="n">
        <v>2000</v>
      </c>
      <c r="E4990" s="18" t="inlineStr">
        <is>
          <t>Mission: Impossible II</t>
        </is>
      </c>
      <c r="F4990" s="18" t="inlineStr">
        <is>
          <t>F0222</t>
        </is>
      </c>
    </row>
    <row r="4991" ht="15.75" customHeight="1" s="108">
      <c r="A4991" s="18" t="inlineStr">
        <is>
          <t>Kim Fleming</t>
        </is>
      </c>
      <c r="B4991" s="18" t="n">
        <v>1</v>
      </c>
      <c r="C4991" s="18" t="n">
        <v>2000</v>
      </c>
      <c r="D4991" s="18" t="n">
        <v>2000</v>
      </c>
      <c r="E4991" s="18" t="inlineStr">
        <is>
          <t>Mission: Impossible II</t>
        </is>
      </c>
      <c r="F4991" s="18" t="inlineStr">
        <is>
          <t>F0222</t>
        </is>
      </c>
    </row>
    <row r="4992" ht="15.75" customHeight="1" s="108">
      <c r="A4992" s="18" t="inlineStr">
        <is>
          <t>Alan Lovell</t>
        </is>
      </c>
      <c r="B4992" s="18" t="n">
        <v>1</v>
      </c>
      <c r="C4992" s="18" t="n">
        <v>2000</v>
      </c>
      <c r="D4992" s="18" t="n">
        <v>2000</v>
      </c>
      <c r="E4992" s="18" t="inlineStr">
        <is>
          <t>Mission: Impossible II</t>
        </is>
      </c>
      <c r="F4992" s="18" t="inlineStr">
        <is>
          <t>F0222</t>
        </is>
      </c>
    </row>
    <row r="4993" ht="15.75" customHeight="1" s="108">
      <c r="A4993" s="18" t="inlineStr">
        <is>
          <t>Dan Luxton</t>
        </is>
      </c>
      <c r="B4993" s="18" t="n">
        <v>1</v>
      </c>
      <c r="C4993" s="18" t="n">
        <v>2000</v>
      </c>
      <c r="D4993" s="18" t="n">
        <v>2000</v>
      </c>
      <c r="E4993" s="18" t="inlineStr">
        <is>
          <t>Mission: Impossible II</t>
        </is>
      </c>
      <c r="F4993" s="18" t="inlineStr">
        <is>
          <t>F0222</t>
        </is>
      </c>
    </row>
    <row r="4994" ht="15.75" customHeight="1" s="108">
      <c r="A4994" s="18" t="inlineStr">
        <is>
          <t>Christian Manon</t>
        </is>
      </c>
      <c r="B4994" s="18" t="n">
        <v>1</v>
      </c>
      <c r="C4994" s="18" t="n">
        <v>2000</v>
      </c>
      <c r="D4994" s="18" t="n">
        <v>2000</v>
      </c>
      <c r="E4994" s="18" t="inlineStr">
        <is>
          <t>Mission: Impossible II</t>
        </is>
      </c>
      <c r="F4994" s="18" t="inlineStr">
        <is>
          <t>F0222</t>
        </is>
      </c>
    </row>
    <row r="4995" ht="15.75" customHeight="1" s="108">
      <c r="A4995" s="18" t="inlineStr">
        <is>
          <t>Karl McMillan</t>
        </is>
      </c>
      <c r="B4995" s="18" t="n">
        <v>1</v>
      </c>
      <c r="C4995" s="18" t="n">
        <v>2000</v>
      </c>
      <c r="D4995" s="18" t="n">
        <v>2000</v>
      </c>
      <c r="E4995" s="18" t="inlineStr">
        <is>
          <t>Mission: Impossible II</t>
        </is>
      </c>
      <c r="F4995" s="18" t="inlineStr">
        <is>
          <t>F0222</t>
        </is>
      </c>
    </row>
    <row r="4996" ht="15.75" customHeight="1" s="108">
      <c r="A4996" s="18" t="inlineStr">
        <is>
          <t>Lester Morris</t>
        </is>
      </c>
      <c r="B4996" s="18" t="n">
        <v>1</v>
      </c>
      <c r="C4996" s="18" t="n">
        <v>2000</v>
      </c>
      <c r="D4996" s="18" t="n">
        <v>2000</v>
      </c>
      <c r="E4996" s="18" t="inlineStr">
        <is>
          <t>Mission: Impossible II</t>
        </is>
      </c>
      <c r="F4996" s="18" t="inlineStr">
        <is>
          <t>F0222</t>
        </is>
      </c>
    </row>
    <row r="4997" ht="15.75" customHeight="1" s="108">
      <c r="A4997" s="18" t="inlineStr">
        <is>
          <t>Kelly Ons</t>
        </is>
      </c>
      <c r="B4997" s="18" t="n">
        <v>1</v>
      </c>
      <c r="C4997" s="18" t="n">
        <v>2000</v>
      </c>
      <c r="D4997" s="18" t="n">
        <v>2000</v>
      </c>
      <c r="E4997" s="18" t="inlineStr">
        <is>
          <t>Mission: Impossible II</t>
        </is>
      </c>
      <c r="F4997" s="18" t="inlineStr">
        <is>
          <t>F0222</t>
        </is>
      </c>
    </row>
    <row r="4998" ht="15.75" customHeight="1" s="108">
      <c r="A4998" s="18" t="inlineStr">
        <is>
          <t>Nicholas Papademetriou</t>
        </is>
      </c>
      <c r="B4998" s="18" t="n">
        <v>1</v>
      </c>
      <c r="C4998" s="18" t="n">
        <v>2000</v>
      </c>
      <c r="D4998" s="18" t="n">
        <v>2000</v>
      </c>
      <c r="E4998" s="18" t="inlineStr">
        <is>
          <t>Mission: Impossible II</t>
        </is>
      </c>
      <c r="F4998" s="18" t="inlineStr">
        <is>
          <t>F0222</t>
        </is>
      </c>
    </row>
    <row r="4999" ht="15.75" customHeight="1" s="108">
      <c r="A4999" s="18" t="inlineStr">
        <is>
          <t>Brett Partridge</t>
        </is>
      </c>
      <c r="B4999" s="18" t="n">
        <v>1</v>
      </c>
      <c r="C4999" s="18" t="n">
        <v>2000</v>
      </c>
      <c r="D4999" s="18" t="n">
        <v>2000</v>
      </c>
      <c r="E4999" s="18" t="inlineStr">
        <is>
          <t>Mission: Impossible II</t>
        </is>
      </c>
      <c r="F4999" s="18" t="inlineStr">
        <is>
          <t>F0222</t>
        </is>
      </c>
    </row>
    <row r="5000" ht="15.75" customHeight="1" s="108">
      <c r="A5000" s="18" t="inlineStr">
        <is>
          <t>Candice Partridge</t>
        </is>
      </c>
      <c r="B5000" s="18" t="n">
        <v>1</v>
      </c>
      <c r="C5000" s="18" t="n">
        <v>2000</v>
      </c>
      <c r="D5000" s="18" t="n">
        <v>2000</v>
      </c>
      <c r="E5000" s="18" t="inlineStr">
        <is>
          <t>Mission: Impossible II</t>
        </is>
      </c>
      <c r="F5000" s="18" t="inlineStr">
        <is>
          <t>F0222</t>
        </is>
      </c>
    </row>
    <row r="5001" ht="15.75" customHeight="1" s="108">
      <c r="A5001" s="18" t="inlineStr">
        <is>
          <t>Natalie Reis</t>
        </is>
      </c>
      <c r="B5001" s="18" t="n">
        <v>1</v>
      </c>
      <c r="C5001" s="18" t="n">
        <v>2000</v>
      </c>
      <c r="D5001" s="18" t="n">
        <v>2000</v>
      </c>
      <c r="E5001" s="18" t="inlineStr">
        <is>
          <t>Mission: Impossible II</t>
        </is>
      </c>
      <c r="F5001" s="18" t="inlineStr">
        <is>
          <t>F0222</t>
        </is>
      </c>
    </row>
    <row r="5002" ht="15.75" customHeight="1" s="108">
      <c r="A5002" s="18" t="inlineStr">
        <is>
          <t>Daniel Roberts</t>
        </is>
      </c>
      <c r="B5002" s="18" t="n">
        <v>1</v>
      </c>
      <c r="C5002" s="18" t="n">
        <v>2000</v>
      </c>
      <c r="D5002" s="18" t="n">
        <v>2000</v>
      </c>
      <c r="E5002" s="18" t="inlineStr">
        <is>
          <t>Mission: Impossible II</t>
        </is>
      </c>
      <c r="F5002" s="18" t="inlineStr">
        <is>
          <t>F0222</t>
        </is>
      </c>
    </row>
    <row r="5003" ht="15.75" customHeight="1" s="108">
      <c r="A5003" s="18" t="inlineStr">
        <is>
          <t>Adriana Rodríguez</t>
        </is>
      </c>
      <c r="B5003" s="18" t="n">
        <v>1</v>
      </c>
      <c r="C5003" s="18" t="n">
        <v>2000</v>
      </c>
      <c r="D5003" s="18" t="n">
        <v>2000</v>
      </c>
      <c r="E5003" s="18" t="inlineStr">
        <is>
          <t>Mission: Impossible II</t>
        </is>
      </c>
      <c r="F5003" s="18" t="inlineStr">
        <is>
          <t>F0222</t>
        </is>
      </c>
    </row>
    <row r="5004" ht="15.75" customHeight="1" s="108">
      <c r="A5004" s="18" t="inlineStr">
        <is>
          <t>Sandra Rodríguez</t>
        </is>
      </c>
      <c r="B5004" s="18" t="n">
        <v>1</v>
      </c>
      <c r="C5004" s="18" t="n">
        <v>2000</v>
      </c>
      <c r="D5004" s="18" t="n">
        <v>2000</v>
      </c>
      <c r="E5004" s="18" t="inlineStr">
        <is>
          <t>Mission: Impossible II</t>
        </is>
      </c>
      <c r="F5004" s="18" t="inlineStr">
        <is>
          <t>F0222</t>
        </is>
      </c>
    </row>
    <row r="5005" ht="15.75" customHeight="1" s="108">
      <c r="A5005" s="18" t="inlineStr">
        <is>
          <t>Nada Rogic</t>
        </is>
      </c>
      <c r="B5005" s="18" t="n">
        <v>1</v>
      </c>
      <c r="C5005" s="18" t="n">
        <v>2000</v>
      </c>
      <c r="D5005" s="18" t="n">
        <v>2000</v>
      </c>
      <c r="E5005" s="18" t="inlineStr">
        <is>
          <t>Mission: Impossible II</t>
        </is>
      </c>
      <c r="F5005" s="18" t="inlineStr">
        <is>
          <t>F0222</t>
        </is>
      </c>
    </row>
    <row r="5006" ht="15.75" customHeight="1" s="108">
      <c r="A5006" s="18" t="inlineStr">
        <is>
          <t>Antonio Vargas</t>
        </is>
      </c>
      <c r="B5006" s="18" t="n">
        <v>1</v>
      </c>
      <c r="C5006" s="18" t="n">
        <v>2000</v>
      </c>
      <c r="D5006" s="18" t="n">
        <v>2000</v>
      </c>
      <c r="E5006" s="18" t="inlineStr">
        <is>
          <t>Mission: Impossible II</t>
        </is>
      </c>
      <c r="F5006" s="18" t="inlineStr">
        <is>
          <t>F0222</t>
        </is>
      </c>
    </row>
    <row r="5007" ht="15.75" customHeight="1" s="108">
      <c r="A5007" s="18" t="inlineStr">
        <is>
          <t>Jonathan Rhys Meyers</t>
        </is>
      </c>
      <c r="B5007" s="18" t="n">
        <v>1</v>
      </c>
      <c r="C5007" s="18" t="n">
        <v>2006</v>
      </c>
      <c r="D5007" s="18" t="n">
        <v>2006</v>
      </c>
      <c r="E5007" s="18" t="inlineStr">
        <is>
          <t>Mission: Impossible III</t>
        </is>
      </c>
      <c r="F5007" s="18" t="inlineStr">
        <is>
          <t>F0223</t>
        </is>
      </c>
    </row>
    <row r="5008" ht="15.75" customHeight="1" s="108">
      <c r="A5008" s="18" t="inlineStr">
        <is>
          <t>Bahar Soomekh</t>
        </is>
      </c>
      <c r="B5008" s="18" t="n">
        <v>1</v>
      </c>
      <c r="C5008" s="18" t="n">
        <v>2006</v>
      </c>
      <c r="D5008" s="18" t="n">
        <v>2006</v>
      </c>
      <c r="E5008" s="18" t="inlineStr">
        <is>
          <t>Mission: Impossible III</t>
        </is>
      </c>
      <c r="F5008" s="18" t="inlineStr">
        <is>
          <t>F0223</t>
        </is>
      </c>
    </row>
    <row r="5009" ht="15.75" customHeight="1" s="108">
      <c r="A5009" s="18" t="inlineStr">
        <is>
          <t>Jeff Chase</t>
        </is>
      </c>
      <c r="B5009" s="18" t="n">
        <v>1</v>
      </c>
      <c r="C5009" s="18" t="n">
        <v>2006</v>
      </c>
      <c r="D5009" s="18" t="n">
        <v>2006</v>
      </c>
      <c r="E5009" s="18" t="inlineStr">
        <is>
          <t>Mission: Impossible III</t>
        </is>
      </c>
      <c r="F5009" s="18" t="inlineStr">
        <is>
          <t>F0223</t>
        </is>
      </c>
    </row>
    <row r="5010" ht="15.75" customHeight="1" s="108">
      <c r="A5010" s="18" t="inlineStr">
        <is>
          <t>Bellamy Young</t>
        </is>
      </c>
      <c r="B5010" s="18" t="n">
        <v>1</v>
      </c>
      <c r="C5010" s="18" t="n">
        <v>2006</v>
      </c>
      <c r="D5010" s="18" t="n">
        <v>2006</v>
      </c>
      <c r="E5010" s="18" t="inlineStr">
        <is>
          <t>Mission: Impossible III</t>
        </is>
      </c>
      <c r="F5010" s="18" t="inlineStr">
        <is>
          <t>F0223</t>
        </is>
      </c>
    </row>
    <row r="5011" ht="15.75" customHeight="1" s="108">
      <c r="A5011" s="18" t="inlineStr">
        <is>
          <t>Paul Keeley</t>
        </is>
      </c>
      <c r="B5011" s="18" t="n">
        <v>1</v>
      </c>
      <c r="C5011" s="18" t="n">
        <v>2006</v>
      </c>
      <c r="D5011" s="18" t="n">
        <v>2006</v>
      </c>
      <c r="E5011" s="18" t="inlineStr">
        <is>
          <t>Mission: Impossible III</t>
        </is>
      </c>
      <c r="F5011" s="18" t="inlineStr">
        <is>
          <t>F0223</t>
        </is>
      </c>
    </row>
    <row r="5012" ht="15.75" customHeight="1" s="108">
      <c r="A5012" s="18" t="inlineStr">
        <is>
          <t>Jane Daly</t>
        </is>
      </c>
      <c r="B5012" s="18" t="n">
        <v>1</v>
      </c>
      <c r="C5012" s="18" t="n">
        <v>2006</v>
      </c>
      <c r="D5012" s="18" t="n">
        <v>2006</v>
      </c>
      <c r="E5012" s="18" t="inlineStr">
        <is>
          <t>Mission: Impossible III</t>
        </is>
      </c>
      <c r="F5012" s="18" t="inlineStr">
        <is>
          <t>F0223</t>
        </is>
      </c>
    </row>
    <row r="5013" ht="15.75" customHeight="1" s="108">
      <c r="A5013" s="18" t="inlineStr">
        <is>
          <t>Greg Grunberg</t>
        </is>
      </c>
      <c r="B5013" s="18" t="n">
        <v>4</v>
      </c>
      <c r="C5013" s="18" t="n">
        <v>2006</v>
      </c>
      <c r="D5013" s="18" t="n">
        <v>2019</v>
      </c>
      <c r="E5013" s="18" t="inlineStr">
        <is>
          <t>Mission: Impossible III, Star Wars: The Force Awakens, Star Wars: The Rise of Skywalker, Super 8</t>
        </is>
      </c>
      <c r="F5013" s="18" t="inlineStr">
        <is>
          <t>F0223, F0298, F0300, F0302</t>
        </is>
      </c>
    </row>
    <row r="5014" ht="15.75" customHeight="1" s="108">
      <c r="A5014" s="18" t="inlineStr">
        <is>
          <t>Sabra Williams</t>
        </is>
      </c>
      <c r="B5014" s="18" t="n">
        <v>1</v>
      </c>
      <c r="C5014" s="18" t="n">
        <v>2006</v>
      </c>
      <c r="D5014" s="18" t="n">
        <v>2006</v>
      </c>
      <c r="E5014" s="18" t="inlineStr">
        <is>
          <t>Mission: Impossible III</t>
        </is>
      </c>
      <c r="F5014" s="18" t="inlineStr">
        <is>
          <t>F0223</t>
        </is>
      </c>
    </row>
    <row r="5015" ht="15.75" customHeight="1" s="108">
      <c r="A5015" s="18" t="inlineStr">
        <is>
          <t>Rose Rollins</t>
        </is>
      </c>
      <c r="B5015" s="18" t="n">
        <v>1</v>
      </c>
      <c r="C5015" s="18" t="n">
        <v>2006</v>
      </c>
      <c r="D5015" s="18" t="n">
        <v>2006</v>
      </c>
      <c r="E5015" s="18" t="inlineStr">
        <is>
          <t>Mission: Impossible III</t>
        </is>
      </c>
      <c r="F5015" s="18" t="inlineStr">
        <is>
          <t>F0223</t>
        </is>
      </c>
    </row>
    <row r="5016" ht="15.75" customHeight="1" s="108">
      <c r="A5016" s="18" t="inlineStr">
        <is>
          <t>Sasha Alexander</t>
        </is>
      </c>
      <c r="B5016" s="18" t="n">
        <v>1</v>
      </c>
      <c r="C5016" s="18" t="n">
        <v>2006</v>
      </c>
      <c r="D5016" s="18" t="n">
        <v>2006</v>
      </c>
      <c r="E5016" s="18" t="inlineStr">
        <is>
          <t>Mission: Impossible III</t>
        </is>
      </c>
      <c r="F5016" s="18" t="inlineStr">
        <is>
          <t>F0223</t>
        </is>
      </c>
    </row>
    <row r="5017" ht="15.75" customHeight="1" s="108">
      <c r="A5017" s="18" t="inlineStr">
        <is>
          <t>Tracy Middendorf</t>
        </is>
      </c>
      <c r="B5017" s="18" t="n">
        <v>1</v>
      </c>
      <c r="C5017" s="18" t="n">
        <v>2006</v>
      </c>
      <c r="D5017" s="18" t="n">
        <v>2006</v>
      </c>
      <c r="E5017" s="18" t="inlineStr">
        <is>
          <t>Mission: Impossible III</t>
        </is>
      </c>
      <c r="F5017" s="18" t="inlineStr">
        <is>
          <t>F0223</t>
        </is>
      </c>
    </row>
    <row r="5018" ht="15.75" customHeight="1" s="108">
      <c r="A5018" s="18" t="inlineStr">
        <is>
          <t>Kathryn Fiore</t>
        </is>
      </c>
      <c r="B5018" s="18" t="n">
        <v>1</v>
      </c>
      <c r="C5018" s="18" t="n">
        <v>2006</v>
      </c>
      <c r="D5018" s="18" t="n">
        <v>2006</v>
      </c>
      <c r="E5018" s="18" t="inlineStr">
        <is>
          <t>Mission: Impossible III</t>
        </is>
      </c>
      <c r="F5018" s="18" t="inlineStr">
        <is>
          <t>F0223</t>
        </is>
      </c>
    </row>
    <row r="5019" ht="15.75" customHeight="1" s="108">
      <c r="A5019" s="18" t="inlineStr">
        <is>
          <t>Colleen Crozier</t>
        </is>
      </c>
      <c r="B5019" s="18" t="n">
        <v>1</v>
      </c>
      <c r="C5019" s="18" t="n">
        <v>2006</v>
      </c>
      <c r="D5019" s="18" t="n">
        <v>2006</v>
      </c>
      <c r="E5019" s="18" t="inlineStr">
        <is>
          <t>Mission: Impossible III</t>
        </is>
      </c>
      <c r="F5019" s="18" t="inlineStr">
        <is>
          <t>F0223</t>
        </is>
      </c>
    </row>
    <row r="5020" ht="15.75" customHeight="1" s="108">
      <c r="A5020" s="18" t="inlineStr">
        <is>
          <t>Sean O'Bryan</t>
        </is>
      </c>
      <c r="B5020" s="18" t="n">
        <v>2</v>
      </c>
      <c r="C5020" s="18" t="n">
        <v>2006</v>
      </c>
      <c r="D5020" s="18" t="n">
        <v>2013</v>
      </c>
      <c r="E5020" s="18" t="inlineStr">
        <is>
          <t>Mission: Impossible III, Olympus Has Fallen</t>
        </is>
      </c>
      <c r="F5020" s="18" t="inlineStr">
        <is>
          <t>F0223, F0240</t>
        </is>
      </c>
    </row>
    <row r="5021" ht="15.75" customHeight="1" s="108">
      <c r="A5021" s="18" t="inlineStr">
        <is>
          <t>Ellen Bry</t>
        </is>
      </c>
      <c r="B5021" s="18" t="n">
        <v>1</v>
      </c>
      <c r="C5021" s="18" t="n">
        <v>2006</v>
      </c>
      <c r="D5021" s="18" t="n">
        <v>2006</v>
      </c>
      <c r="E5021" s="18" t="inlineStr">
        <is>
          <t>Mission: Impossible III</t>
        </is>
      </c>
      <c r="F5021" s="18" t="inlineStr">
        <is>
          <t>F0223</t>
        </is>
      </c>
    </row>
    <row r="5022" ht="15.75" customHeight="1" s="108">
      <c r="A5022" s="18" t="inlineStr">
        <is>
          <t>Patrick Pankhurst</t>
        </is>
      </c>
      <c r="B5022" s="18" t="n">
        <v>1</v>
      </c>
      <c r="C5022" s="18" t="n">
        <v>2006</v>
      </c>
      <c r="D5022" s="18" t="n">
        <v>2006</v>
      </c>
      <c r="E5022" s="18" t="inlineStr">
        <is>
          <t>Mission: Impossible III</t>
        </is>
      </c>
      <c r="F5022" s="18" t="inlineStr">
        <is>
          <t>F0223</t>
        </is>
      </c>
    </row>
    <row r="5023" ht="15.75" customHeight="1" s="108">
      <c r="A5023" s="18" t="inlineStr">
        <is>
          <t>Vladimir Mashkov</t>
        </is>
      </c>
      <c r="B5023" s="18" t="n">
        <v>1</v>
      </c>
      <c r="C5023" s="18" t="n">
        <v>2011</v>
      </c>
      <c r="D5023" s="18" t="n">
        <v>2011</v>
      </c>
      <c r="E5023" s="18" t="inlineStr">
        <is>
          <t>Mission: Impossible - Ghost Protocol</t>
        </is>
      </c>
      <c r="F5023" s="18" t="inlineStr">
        <is>
          <t>F0224</t>
        </is>
      </c>
    </row>
    <row r="5024" ht="15.75" customHeight="1" s="108">
      <c r="A5024" s="18" t="inlineStr">
        <is>
          <t>Samuli Edelmann</t>
        </is>
      </c>
      <c r="B5024" s="18" t="n">
        <v>1</v>
      </c>
      <c r="C5024" s="18" t="n">
        <v>2011</v>
      </c>
      <c r="D5024" s="18" t="n">
        <v>2011</v>
      </c>
      <c r="E5024" s="18" t="inlineStr">
        <is>
          <t>Mission: Impossible - Ghost Protocol</t>
        </is>
      </c>
      <c r="F5024" s="18" t="inlineStr">
        <is>
          <t>F0224</t>
        </is>
      </c>
    </row>
    <row r="5025" ht="15.75" customHeight="1" s="108">
      <c r="A5025" s="18" t="inlineStr">
        <is>
          <t>Ivan Shvedoff</t>
        </is>
      </c>
      <c r="B5025" s="18" t="n">
        <v>1</v>
      </c>
      <c r="C5025" s="18" t="n">
        <v>2011</v>
      </c>
      <c r="D5025" s="18" t="n">
        <v>2011</v>
      </c>
      <c r="E5025" s="18" t="inlineStr">
        <is>
          <t>Mission: Impossible - Ghost Protocol</t>
        </is>
      </c>
      <c r="F5025" s="18" t="inlineStr">
        <is>
          <t>F0224</t>
        </is>
      </c>
    </row>
    <row r="5026" ht="15.75" customHeight="1" s="108">
      <c r="A5026" s="18" t="inlineStr">
        <is>
          <t>Josh Holloway</t>
        </is>
      </c>
      <c r="B5026" s="18" t="n">
        <v>1</v>
      </c>
      <c r="C5026" s="18" t="n">
        <v>2011</v>
      </c>
      <c r="D5026" s="18" t="n">
        <v>2011</v>
      </c>
      <c r="E5026" s="18" t="inlineStr">
        <is>
          <t>Mission: Impossible - Ghost Protocol</t>
        </is>
      </c>
      <c r="F5026" s="18" t="inlineStr">
        <is>
          <t>F0224</t>
        </is>
      </c>
    </row>
    <row r="5027" ht="15.75" customHeight="1" s="108">
      <c r="A5027" s="18" t="inlineStr">
        <is>
          <t>Pavel Kříž</t>
        </is>
      </c>
      <c r="B5027" s="18" t="n">
        <v>1</v>
      </c>
      <c r="C5027" s="18" t="n">
        <v>2011</v>
      </c>
      <c r="D5027" s="18" t="n">
        <v>2011</v>
      </c>
      <c r="E5027" s="18" t="inlineStr">
        <is>
          <t>Mission: Impossible - Ghost Protocol</t>
        </is>
      </c>
      <c r="F5027" s="18" t="inlineStr">
        <is>
          <t>F0224</t>
        </is>
      </c>
    </row>
    <row r="5028" ht="15.75" customHeight="1" s="108">
      <c r="A5028" s="18" t="inlineStr">
        <is>
          <t>Ilia Volok</t>
        </is>
      </c>
      <c r="B5028" s="18" t="n">
        <v>1</v>
      </c>
      <c r="C5028" s="18" t="n">
        <v>2011</v>
      </c>
      <c r="D5028" s="18" t="n">
        <v>2011</v>
      </c>
      <c r="E5028" s="18" t="inlineStr">
        <is>
          <t>Mission: Impossible - Ghost Protocol</t>
        </is>
      </c>
      <c r="F5028" s="18" t="inlineStr">
        <is>
          <t>F0224</t>
        </is>
      </c>
    </row>
    <row r="5029" ht="15.75" customHeight="1" s="108">
      <c r="A5029" s="18" t="inlineStr">
        <is>
          <t>Goran Navojec</t>
        </is>
      </c>
      <c r="B5029" s="18" t="n">
        <v>1</v>
      </c>
      <c r="C5029" s="18" t="n">
        <v>2011</v>
      </c>
      <c r="D5029" s="18" t="n">
        <v>2011</v>
      </c>
      <c r="E5029" s="18" t="inlineStr">
        <is>
          <t>Mission: Impossible - Ghost Protocol</t>
        </is>
      </c>
      <c r="F5029" s="18" t="inlineStr">
        <is>
          <t>F0224</t>
        </is>
      </c>
    </row>
    <row r="5030" ht="15.75" customHeight="1" s="108">
      <c r="A5030" s="18" t="inlineStr">
        <is>
          <t>Pavel Bezděk</t>
        </is>
      </c>
      <c r="B5030" s="18" t="n">
        <v>1</v>
      </c>
      <c r="C5030" s="18" t="n">
        <v>2011</v>
      </c>
      <c r="D5030" s="18" t="n">
        <v>2011</v>
      </c>
      <c r="E5030" s="18" t="inlineStr">
        <is>
          <t>Mission: Impossible - Ghost Protocol</t>
        </is>
      </c>
      <c r="F5030" s="18" t="inlineStr">
        <is>
          <t>F0224</t>
        </is>
      </c>
    </row>
    <row r="5031" ht="15.75" customHeight="1" s="108">
      <c r="A5031" s="18" t="inlineStr">
        <is>
          <t>Ladislav Beran</t>
        </is>
      </c>
      <c r="B5031" s="18" t="n">
        <v>2</v>
      </c>
      <c r="C5031" s="18" t="n">
        <v>2004</v>
      </c>
      <c r="D5031" s="18" t="n">
        <v>2011</v>
      </c>
      <c r="E5031" s="18" t="inlineStr">
        <is>
          <t>Mission: Impossible - Ghost Protocol, hellboy</t>
        </is>
      </c>
      <c r="F5031" s="18" t="inlineStr">
        <is>
          <t>F0224, F0373</t>
        </is>
      </c>
    </row>
    <row r="5032" ht="15.75" customHeight="1" s="108">
      <c r="A5032" s="18" t="inlineStr">
        <is>
          <t>Jan Filipenský</t>
        </is>
      </c>
      <c r="B5032" s="18" t="n">
        <v>1</v>
      </c>
      <c r="C5032" s="18" t="n">
        <v>2011</v>
      </c>
      <c r="D5032" s="18" t="n">
        <v>2011</v>
      </c>
      <c r="E5032" s="18" t="inlineStr">
        <is>
          <t>Mission: Impossible - Ghost Protocol</t>
        </is>
      </c>
      <c r="F5032" s="18" t="inlineStr">
        <is>
          <t>F0224</t>
        </is>
      </c>
    </row>
    <row r="5033" ht="15.75" customHeight="1" s="108">
      <c r="A5033" s="18" t="inlineStr">
        <is>
          <t>Jiří Kraus</t>
        </is>
      </c>
      <c r="B5033" s="18" t="n">
        <v>1</v>
      </c>
      <c r="C5033" s="18" t="n">
        <v>2011</v>
      </c>
      <c r="D5033" s="18" t="n">
        <v>2011</v>
      </c>
      <c r="E5033" s="18" t="inlineStr">
        <is>
          <t>Mission: Impossible - Ghost Protocol</t>
        </is>
      </c>
      <c r="F5033" s="18" t="inlineStr">
        <is>
          <t>F0224</t>
        </is>
      </c>
    </row>
    <row r="5034" ht="15.75" customHeight="1" s="108">
      <c r="A5034" s="18" t="inlineStr">
        <is>
          <t>Ales Putik</t>
        </is>
      </c>
      <c r="B5034" s="18" t="n">
        <v>1</v>
      </c>
      <c r="C5034" s="18" t="n">
        <v>2011</v>
      </c>
      <c r="D5034" s="18" t="n">
        <v>2011</v>
      </c>
      <c r="E5034" s="18" t="inlineStr">
        <is>
          <t>Mission: Impossible - Ghost Protocol</t>
        </is>
      </c>
      <c r="F5034" s="18" t="inlineStr">
        <is>
          <t>F0224</t>
        </is>
      </c>
    </row>
    <row r="5035" ht="15.75" customHeight="1" s="108">
      <c r="A5035" s="18" t="inlineStr">
        <is>
          <t>Tomáš Valík</t>
        </is>
      </c>
      <c r="B5035" s="18" t="n">
        <v>1</v>
      </c>
      <c r="C5035" s="18" t="n">
        <v>2011</v>
      </c>
      <c r="D5035" s="18" t="n">
        <v>2011</v>
      </c>
      <c r="E5035" s="18" t="inlineStr">
        <is>
          <t>Mission: Impossible - Ghost Protocol</t>
        </is>
      </c>
      <c r="F5035" s="18" t="inlineStr">
        <is>
          <t>F0224</t>
        </is>
      </c>
    </row>
    <row r="5036" ht="15.75" customHeight="1" s="108">
      <c r="A5036" s="18" t="inlineStr">
        <is>
          <t>Pavel Cajzl</t>
        </is>
      </c>
      <c r="B5036" s="18" t="n">
        <v>1</v>
      </c>
      <c r="C5036" s="18" t="n">
        <v>2011</v>
      </c>
      <c r="D5036" s="18" t="n">
        <v>2011</v>
      </c>
      <c r="E5036" s="18" t="inlineStr">
        <is>
          <t>Mission: Impossible - Ghost Protocol</t>
        </is>
      </c>
      <c r="F5036" s="18" t="inlineStr">
        <is>
          <t>F0224</t>
        </is>
      </c>
    </row>
    <row r="5037" ht="15.75" customHeight="1" s="108">
      <c r="A5037" s="18" t="inlineStr">
        <is>
          <t>Randy Hall</t>
        </is>
      </c>
      <c r="B5037" s="18" t="n">
        <v>1</v>
      </c>
      <c r="C5037" s="18" t="n">
        <v>2011</v>
      </c>
      <c r="D5037" s="18" t="n">
        <v>2011</v>
      </c>
      <c r="E5037" s="18" t="inlineStr">
        <is>
          <t>Mission: Impossible - Ghost Protocol</t>
        </is>
      </c>
      <c r="F5037" s="18" t="inlineStr">
        <is>
          <t>F0224</t>
        </is>
      </c>
    </row>
    <row r="5038" ht="15.75" customHeight="1" s="108">
      <c r="A5038" s="18" t="inlineStr">
        <is>
          <t>Vitaly Kravchenko</t>
        </is>
      </c>
      <c r="B5038" s="18" t="n">
        <v>1</v>
      </c>
      <c r="C5038" s="18" t="n">
        <v>2011</v>
      </c>
      <c r="D5038" s="18" t="n">
        <v>2011</v>
      </c>
      <c r="E5038" s="18" t="inlineStr">
        <is>
          <t>Mission: Impossible - Ghost Protocol</t>
        </is>
      </c>
      <c r="F5038" s="18" t="inlineStr">
        <is>
          <t>F0224</t>
        </is>
      </c>
    </row>
    <row r="5039" ht="15.75" customHeight="1" s="108">
      <c r="A5039" s="18" t="inlineStr">
        <is>
          <t>Andrej Bestchastny</t>
        </is>
      </c>
      <c r="B5039" s="18" t="n">
        <v>1</v>
      </c>
      <c r="C5039" s="18" t="n">
        <v>2011</v>
      </c>
      <c r="D5039" s="18" t="n">
        <v>2011</v>
      </c>
      <c r="E5039" s="18" t="inlineStr">
        <is>
          <t>Mission: Impossible - Ghost Protocol</t>
        </is>
      </c>
      <c r="F5039" s="18" t="inlineStr">
        <is>
          <t>F0224</t>
        </is>
      </c>
    </row>
    <row r="5040" ht="15.75" customHeight="1" s="108">
      <c r="A5040" s="18" t="inlineStr">
        <is>
          <t>Mike Dopud</t>
        </is>
      </c>
      <c r="B5040" s="18" t="n">
        <v>2</v>
      </c>
      <c r="C5040" s="18" t="n">
        <v>2011</v>
      </c>
      <c r="D5040" s="18" t="n">
        <v>2014</v>
      </c>
      <c r="E5040" s="18" t="inlineStr">
        <is>
          <t>Mission: Impossible - Ghost Protocol, X-Men: Days of Future Past</t>
        </is>
      </c>
      <c r="F5040" s="18" t="inlineStr">
        <is>
          <t>F0224, F0341</t>
        </is>
      </c>
    </row>
    <row r="5041" ht="15.75" customHeight="1" s="108">
      <c r="A5041" s="18" t="inlineStr">
        <is>
          <t>Martin Hub</t>
        </is>
      </c>
      <c r="B5041" s="18" t="n">
        <v>1</v>
      </c>
      <c r="C5041" s="18" t="n">
        <v>2011</v>
      </c>
      <c r="D5041" s="18" t="n">
        <v>2011</v>
      </c>
      <c r="E5041" s="18" t="inlineStr">
        <is>
          <t>Mission: Impossible - Ghost Protocol</t>
        </is>
      </c>
      <c r="F5041" s="18" t="inlineStr">
        <is>
          <t>F0224</t>
        </is>
      </c>
    </row>
    <row r="5042" ht="15.75" customHeight="1" s="108">
      <c r="A5042" s="18" t="inlineStr">
        <is>
          <t>Ivo Novák</t>
        </is>
      </c>
      <c r="B5042" s="18" t="n">
        <v>1</v>
      </c>
      <c r="C5042" s="18" t="n">
        <v>2011</v>
      </c>
      <c r="D5042" s="18" t="n">
        <v>2011</v>
      </c>
      <c r="E5042" s="18" t="inlineStr">
        <is>
          <t>Mission: Impossible - Ghost Protocol</t>
        </is>
      </c>
      <c r="F5042" s="18" t="inlineStr">
        <is>
          <t>F0224</t>
        </is>
      </c>
    </row>
    <row r="5043" ht="15.75" customHeight="1" s="108">
      <c r="A5043" s="18" t="inlineStr">
        <is>
          <t>Anastasiya Novikova</t>
        </is>
      </c>
      <c r="B5043" s="18" t="n">
        <v>1</v>
      </c>
      <c r="C5043" s="18" t="n">
        <v>2011</v>
      </c>
      <c r="D5043" s="18" t="n">
        <v>2011</v>
      </c>
      <c r="E5043" s="18" t="inlineStr">
        <is>
          <t>Mission: Impossible - Ghost Protocol</t>
        </is>
      </c>
      <c r="F5043" s="18" t="inlineStr">
        <is>
          <t>F0224</t>
        </is>
      </c>
    </row>
    <row r="5044" ht="15.75" customHeight="1" s="108">
      <c r="A5044" s="18" t="inlineStr">
        <is>
          <t>Marek Dobeš</t>
        </is>
      </c>
      <c r="B5044" s="18" t="n">
        <v>1</v>
      </c>
      <c r="C5044" s="18" t="n">
        <v>2011</v>
      </c>
      <c r="D5044" s="18" t="n">
        <v>2011</v>
      </c>
      <c r="E5044" s="18" t="inlineStr">
        <is>
          <t>Mission: Impossible - Ghost Protocol</t>
        </is>
      </c>
      <c r="F5044" s="18" t="inlineStr">
        <is>
          <t>F0224</t>
        </is>
      </c>
    </row>
    <row r="5045" ht="15.75" customHeight="1" s="108">
      <c r="A5045" s="18" t="inlineStr">
        <is>
          <t>Sean Harris</t>
        </is>
      </c>
      <c r="B5045" s="18" t="n">
        <v>3</v>
      </c>
      <c r="C5045" s="18" t="n">
        <v>2012</v>
      </c>
      <c r="D5045" s="18" t="n">
        <v>2018</v>
      </c>
      <c r="E5045" s="18" t="inlineStr">
        <is>
          <t>Mission: Impossible - Rogue Nation, Mission: Impossible - Fallout, Prometheus</t>
        </is>
      </c>
      <c r="F5045" s="18" t="inlineStr">
        <is>
          <t>F0225, F0226, F0259</t>
        </is>
      </c>
    </row>
    <row r="5046" ht="15.75" customHeight="1" s="108">
      <c r="A5046" s="18" t="inlineStr">
        <is>
          <t>Zhang Jingchu</t>
        </is>
      </c>
      <c r="B5046" s="18" t="n">
        <v>2</v>
      </c>
      <c r="C5046" s="18" t="n">
        <v>2007</v>
      </c>
      <c r="D5046" s="18" t="n">
        <v>2015</v>
      </c>
      <c r="E5046" s="18" t="inlineStr">
        <is>
          <t>Mission: Impossible - Rogue Nation, Rush Hour 3</t>
        </is>
      </c>
      <c r="F5046" s="18" t="inlineStr">
        <is>
          <t>F0225, F0271</t>
        </is>
      </c>
    </row>
    <row r="5047" ht="15.75" customHeight="1" s="108">
      <c r="A5047" s="18" t="inlineStr">
        <is>
          <t>Jens Hultén</t>
        </is>
      </c>
      <c r="B5047" s="18" t="n">
        <v>1</v>
      </c>
      <c r="C5047" s="18" t="n">
        <v>2015</v>
      </c>
      <c r="D5047" s="18" t="n">
        <v>2015</v>
      </c>
      <c r="E5047" s="18" t="inlineStr">
        <is>
          <t>Mission: Impossible - Rogue Nation</t>
        </is>
      </c>
      <c r="F5047" s="18" t="inlineStr">
        <is>
          <t>F0225</t>
        </is>
      </c>
    </row>
    <row r="5048" ht="15.75" customHeight="1" s="108">
      <c r="A5048" s="18" t="inlineStr">
        <is>
          <t>Mateo Rufino</t>
        </is>
      </c>
      <c r="B5048" s="18" t="n">
        <v>1</v>
      </c>
      <c r="C5048" s="18" t="n">
        <v>2015</v>
      </c>
      <c r="D5048" s="18" t="n">
        <v>2015</v>
      </c>
      <c r="E5048" s="18" t="inlineStr">
        <is>
          <t>Mission: Impossible - Rogue Nation</t>
        </is>
      </c>
      <c r="F5048" s="18" t="inlineStr">
        <is>
          <t>F0225</t>
        </is>
      </c>
    </row>
    <row r="5049" ht="15.75" customHeight="1" s="108">
      <c r="A5049" s="18" t="inlineStr">
        <is>
          <t>Fernando Abadie</t>
        </is>
      </c>
      <c r="B5049" s="18" t="n">
        <v>1</v>
      </c>
      <c r="C5049" s="18" t="n">
        <v>2015</v>
      </c>
      <c r="D5049" s="18" t="n">
        <v>2015</v>
      </c>
      <c r="E5049" s="18" t="inlineStr">
        <is>
          <t>Mission: Impossible - Rogue Nation</t>
        </is>
      </c>
      <c r="F5049" s="18" t="inlineStr">
        <is>
          <t>F0225</t>
        </is>
      </c>
    </row>
    <row r="5050" ht="15.75" customHeight="1" s="108">
      <c r="A5050" s="18" t="inlineStr">
        <is>
          <t>Alec Utgoff</t>
        </is>
      </c>
      <c r="B5050" s="18" t="n">
        <v>1</v>
      </c>
      <c r="C5050" s="18" t="n">
        <v>2015</v>
      </c>
      <c r="D5050" s="18" t="n">
        <v>2015</v>
      </c>
      <c r="E5050" s="18" t="inlineStr">
        <is>
          <t>Mission: Impossible - Rogue Nation</t>
        </is>
      </c>
      <c r="F5050" s="18" t="inlineStr">
        <is>
          <t>F0225</t>
        </is>
      </c>
    </row>
    <row r="5051" ht="15.75" customHeight="1" s="108">
      <c r="A5051" s="18" t="inlineStr">
        <is>
          <t>Hermione Corfield</t>
        </is>
      </c>
      <c r="B5051" s="18" t="n">
        <v>2</v>
      </c>
      <c r="C5051" s="18" t="n">
        <v>2015</v>
      </c>
      <c r="D5051" s="18" t="n">
        <v>2017</v>
      </c>
      <c r="E5051" s="18" t="inlineStr">
        <is>
          <t>Mission: Impossible - Rogue Nation, Star Wars: The Last Jedi</t>
        </is>
      </c>
      <c r="F5051" s="18" t="inlineStr">
        <is>
          <t>F0225, F0299</t>
        </is>
      </c>
    </row>
    <row r="5052" ht="15.75" customHeight="1" s="108">
      <c r="A5052" s="18" t="inlineStr">
        <is>
          <t>Nigel Barber</t>
        </is>
      </c>
      <c r="B5052" s="18" t="n">
        <v>1</v>
      </c>
      <c r="C5052" s="18" t="n">
        <v>2015</v>
      </c>
      <c r="D5052" s="18" t="n">
        <v>2015</v>
      </c>
      <c r="E5052" s="18" t="inlineStr">
        <is>
          <t>Mission: Impossible - Rogue Nation</t>
        </is>
      </c>
      <c r="F5052" s="18" t="inlineStr">
        <is>
          <t>F0225</t>
        </is>
      </c>
    </row>
    <row r="5053" ht="15.75" customHeight="1" s="108">
      <c r="A5053" s="18" t="inlineStr">
        <is>
          <t>William Roberts</t>
        </is>
      </c>
      <c r="B5053" s="18" t="n">
        <v>1</v>
      </c>
      <c r="C5053" s="18" t="n">
        <v>2015</v>
      </c>
      <c r="D5053" s="18" t="n">
        <v>2015</v>
      </c>
      <c r="E5053" s="18" t="inlineStr">
        <is>
          <t>Mission: Impossible - Rogue Nation</t>
        </is>
      </c>
      <c r="F5053" s="18" t="inlineStr">
        <is>
          <t>F0225</t>
        </is>
      </c>
    </row>
    <row r="5054" ht="15.75" customHeight="1" s="108">
      <c r="A5054" s="18" t="inlineStr">
        <is>
          <t>Patrick Poletti</t>
        </is>
      </c>
      <c r="B5054" s="18" t="n">
        <v>1</v>
      </c>
      <c r="C5054" s="18" t="n">
        <v>2015</v>
      </c>
      <c r="D5054" s="18" t="n">
        <v>2015</v>
      </c>
      <c r="E5054" s="18" t="inlineStr">
        <is>
          <t>Mission: Impossible - Rogue Nation</t>
        </is>
      </c>
      <c r="F5054" s="18" t="inlineStr">
        <is>
          <t>F0225</t>
        </is>
      </c>
    </row>
    <row r="5055" ht="15.75" customHeight="1" s="108">
      <c r="A5055" s="18" t="inlineStr">
        <is>
          <t>Martin Cochrane</t>
        </is>
      </c>
      <c r="B5055" s="18" t="n">
        <v>1</v>
      </c>
      <c r="C5055" s="18" t="n">
        <v>2015</v>
      </c>
      <c r="D5055" s="18" t="n">
        <v>2015</v>
      </c>
      <c r="E5055" s="18" t="inlineStr">
        <is>
          <t>Mission: Impossible - Rogue Nation</t>
        </is>
      </c>
      <c r="F5055" s="18" t="inlineStr">
        <is>
          <t>F0225</t>
        </is>
      </c>
    </row>
    <row r="5056" ht="15.75" customHeight="1" s="108">
      <c r="A5056" s="18" t="inlineStr">
        <is>
          <t>David Peart</t>
        </is>
      </c>
      <c r="B5056" s="18" t="n">
        <v>1</v>
      </c>
      <c r="C5056" s="18" t="n">
        <v>2015</v>
      </c>
      <c r="D5056" s="18" t="n">
        <v>2015</v>
      </c>
      <c r="E5056" s="18" t="inlineStr">
        <is>
          <t>Mission: Impossible - Rogue Nation</t>
        </is>
      </c>
      <c r="F5056" s="18" t="inlineStr">
        <is>
          <t>F0225</t>
        </is>
      </c>
    </row>
    <row r="5057" ht="15.75" customHeight="1" s="108">
      <c r="A5057" s="18" t="inlineStr">
        <is>
          <t>Barnabás Réti</t>
        </is>
      </c>
      <c r="B5057" s="18" t="n">
        <v>1</v>
      </c>
      <c r="C5057" s="18" t="n">
        <v>2015</v>
      </c>
      <c r="D5057" s="18" t="n">
        <v>2015</v>
      </c>
      <c r="E5057" s="18" t="inlineStr">
        <is>
          <t>Mission: Impossible - Rogue Nation</t>
        </is>
      </c>
      <c r="F5057" s="18" t="inlineStr">
        <is>
          <t>F0225</t>
        </is>
      </c>
    </row>
    <row r="5058" ht="15.75" customHeight="1" s="108">
      <c r="A5058" s="18" t="inlineStr">
        <is>
          <t>Ash Merat</t>
        </is>
      </c>
      <c r="B5058" s="18" t="n">
        <v>1</v>
      </c>
      <c r="C5058" s="18" t="n">
        <v>2015</v>
      </c>
      <c r="D5058" s="18" t="n">
        <v>2015</v>
      </c>
      <c r="E5058" s="18" t="inlineStr">
        <is>
          <t>Mission: Impossible - Rogue Nation</t>
        </is>
      </c>
      <c r="F5058" s="18" t="inlineStr">
        <is>
          <t>F0225</t>
        </is>
      </c>
    </row>
    <row r="5059" ht="15.75" customHeight="1" s="108">
      <c r="A5059" s="18" t="inlineStr">
        <is>
          <t>James Weber Brown</t>
        </is>
      </c>
      <c r="B5059" s="18" t="n">
        <v>1</v>
      </c>
      <c r="C5059" s="18" t="n">
        <v>2015</v>
      </c>
      <c r="D5059" s="18" t="n">
        <v>2015</v>
      </c>
      <c r="E5059" s="18" t="inlineStr">
        <is>
          <t>Mission: Impossible - Rogue Nation</t>
        </is>
      </c>
      <c r="F5059" s="18" t="inlineStr">
        <is>
          <t>F0225</t>
        </is>
      </c>
    </row>
    <row r="5060" ht="15.75" customHeight="1" s="108">
      <c r="A5060" s="18" t="inlineStr">
        <is>
          <t>Robert Maaser</t>
        </is>
      </c>
      <c r="B5060" s="18" t="n">
        <v>2</v>
      </c>
      <c r="C5060" s="18" t="n">
        <v>2015</v>
      </c>
      <c r="D5060" s="18" t="n">
        <v>2019</v>
      </c>
      <c r="E5060" s="18" t="inlineStr">
        <is>
          <t>Mission: Impossible - Rogue Nation, 1917</t>
        </is>
      </c>
      <c r="F5060" s="18" t="inlineStr">
        <is>
          <t>F0225, F0356</t>
        </is>
      </c>
    </row>
    <row r="5061" ht="15.75" customHeight="1" s="108">
      <c r="A5061" s="18" t="inlineStr">
        <is>
          <t>Wolfgang Stegemann</t>
        </is>
      </c>
      <c r="B5061" s="18" t="n">
        <v>1</v>
      </c>
      <c r="C5061" s="18" t="n">
        <v>2015</v>
      </c>
      <c r="D5061" s="18" t="n">
        <v>2015</v>
      </c>
      <c r="E5061" s="18" t="inlineStr">
        <is>
          <t>Mission: Impossible - Rogue Nation</t>
        </is>
      </c>
      <c r="F5061" s="18" t="inlineStr">
        <is>
          <t>F0225</t>
        </is>
      </c>
    </row>
    <row r="5062" ht="15.75" customHeight="1" s="108">
      <c r="A5062" s="18" t="inlineStr">
        <is>
          <t>Eva-Marie Becker</t>
        </is>
      </c>
      <c r="B5062" s="18" t="n">
        <v>1</v>
      </c>
      <c r="C5062" s="18" t="n">
        <v>2015</v>
      </c>
      <c r="D5062" s="18" t="n">
        <v>2015</v>
      </c>
      <c r="E5062" s="18" t="inlineStr">
        <is>
          <t>Mission: Impossible - Rogue Nation</t>
        </is>
      </c>
      <c r="F5062" s="18" t="inlineStr">
        <is>
          <t>F0225</t>
        </is>
      </c>
    </row>
    <row r="5063" ht="15.75" customHeight="1" s="108">
      <c r="A5063" s="18" t="inlineStr">
        <is>
          <t>Jesus Alvarez</t>
        </is>
      </c>
      <c r="B5063" s="18" t="n">
        <v>1</v>
      </c>
      <c r="C5063" s="18" t="n">
        <v>2015</v>
      </c>
      <c r="D5063" s="18" t="n">
        <v>2015</v>
      </c>
      <c r="E5063" s="18" t="inlineStr">
        <is>
          <t>Mission: Impossible - Rogue Nation</t>
        </is>
      </c>
      <c r="F5063" s="18" t="inlineStr">
        <is>
          <t>F0225</t>
        </is>
      </c>
    </row>
    <row r="5064" ht="15.75" customHeight="1" s="108">
      <c r="A5064" s="18" t="inlineStr">
        <is>
          <t>America Olivo</t>
        </is>
      </c>
      <c r="B5064" s="18" t="n">
        <v>2</v>
      </c>
      <c r="C5064" s="18" t="n">
        <v>2009</v>
      </c>
      <c r="D5064" s="18" t="n">
        <v>2015</v>
      </c>
      <c r="E5064" s="18" t="inlineStr">
        <is>
          <t>Mission: Impossible - Rogue Nation, Transformers: Revenge of the Fallen</t>
        </is>
      </c>
      <c r="F5064" s="18" t="inlineStr">
        <is>
          <t>F0225, F0317</t>
        </is>
      </c>
    </row>
    <row r="5065" ht="15.75" customHeight="1" s="108">
      <c r="A5065" s="18" t="inlineStr">
        <is>
          <t>James Cleverton</t>
        </is>
      </c>
      <c r="B5065" s="18" t="n">
        <v>1</v>
      </c>
      <c r="C5065" s="18" t="n">
        <v>2015</v>
      </c>
      <c r="D5065" s="18" t="n">
        <v>2015</v>
      </c>
      <c r="E5065" s="18" t="inlineStr">
        <is>
          <t>Mission: Impossible - Rogue Nation</t>
        </is>
      </c>
      <c r="F5065" s="18" t="inlineStr">
        <is>
          <t>F0225</t>
        </is>
      </c>
    </row>
    <row r="5066" ht="15.75" customHeight="1" s="108">
      <c r="A5066" s="18" t="inlineStr">
        <is>
          <t>Frederick Schmidt</t>
        </is>
      </c>
      <c r="B5066" s="18" t="n">
        <v>2</v>
      </c>
      <c r="C5066" s="18" t="n">
        <v>2018</v>
      </c>
      <c r="D5066" s="18" t="n">
        <v>2023</v>
      </c>
      <c r="E5066" s="18" t="inlineStr">
        <is>
          <t>Mission: Impossible - Fallout, Mission: Impossible - Dead Reckoning Part One</t>
        </is>
      </c>
      <c r="F5066" s="18" t="inlineStr">
        <is>
          <t>F0226, F0227</t>
        </is>
      </c>
    </row>
    <row r="5067" ht="15.75" customHeight="1" s="108">
      <c r="A5067" s="18" t="inlineStr">
        <is>
          <t>Kristoffer Joner</t>
        </is>
      </c>
      <c r="B5067" s="18" t="n">
        <v>1</v>
      </c>
      <c r="C5067" s="18" t="n">
        <v>2018</v>
      </c>
      <c r="D5067" s="18" t="n">
        <v>2018</v>
      </c>
      <c r="E5067" s="18" t="inlineStr">
        <is>
          <t>Mission: Impossible - Fallout</t>
        </is>
      </c>
      <c r="F5067" s="18" t="inlineStr">
        <is>
          <t>F0226</t>
        </is>
      </c>
    </row>
    <row r="5068" ht="15.75" customHeight="1" s="108">
      <c r="A5068" s="18" t="inlineStr">
        <is>
          <t>Raphael Acloque</t>
        </is>
      </c>
      <c r="B5068" s="18" t="n">
        <v>1</v>
      </c>
      <c r="C5068" s="18" t="n">
        <v>2018</v>
      </c>
      <c r="D5068" s="18" t="n">
        <v>2018</v>
      </c>
      <c r="E5068" s="18" t="inlineStr">
        <is>
          <t>Mission: Impossible - Fallout</t>
        </is>
      </c>
      <c r="F5068" s="18" t="inlineStr">
        <is>
          <t>F0226</t>
        </is>
      </c>
    </row>
    <row r="5069" ht="15.75" customHeight="1" s="108">
      <c r="A5069" s="18" t="inlineStr">
        <is>
          <t>Andrew Cazanave Pin</t>
        </is>
      </c>
      <c r="B5069" s="18" t="n">
        <v>1</v>
      </c>
      <c r="C5069" s="18" t="n">
        <v>2018</v>
      </c>
      <c r="D5069" s="18" t="n">
        <v>2018</v>
      </c>
      <c r="E5069" s="18" t="inlineStr">
        <is>
          <t>Mission: Impossible - Fallout</t>
        </is>
      </c>
      <c r="F5069" s="18" t="inlineStr">
        <is>
          <t>F0226</t>
        </is>
      </c>
    </row>
    <row r="5070" ht="15.75" customHeight="1" s="108">
      <c r="A5070" s="18" t="inlineStr">
        <is>
          <t>Christophe de Choisy</t>
        </is>
      </c>
      <c r="B5070" s="18" t="n">
        <v>1</v>
      </c>
      <c r="C5070" s="18" t="n">
        <v>2018</v>
      </c>
      <c r="D5070" s="18" t="n">
        <v>2018</v>
      </c>
      <c r="E5070" s="18" t="inlineStr">
        <is>
          <t>Mission: Impossible - Fallout</t>
        </is>
      </c>
      <c r="F5070" s="18" t="inlineStr">
        <is>
          <t>F0226</t>
        </is>
      </c>
    </row>
    <row r="5071" ht="15.75" customHeight="1" s="108">
      <c r="A5071" s="18" t="inlineStr">
        <is>
          <t>Raphael Desprez</t>
        </is>
      </c>
      <c r="B5071" s="18" t="n">
        <v>1</v>
      </c>
      <c r="C5071" s="18" t="n">
        <v>2018</v>
      </c>
      <c r="D5071" s="18" t="n">
        <v>2018</v>
      </c>
      <c r="E5071" s="18" t="inlineStr">
        <is>
          <t>Mission: Impossible - Fallout</t>
        </is>
      </c>
      <c r="F5071" s="18" t="inlineStr">
        <is>
          <t>F0226</t>
        </is>
      </c>
    </row>
    <row r="5072" ht="15.75" customHeight="1" s="108">
      <c r="A5072" s="18" t="inlineStr">
        <is>
          <t>Jean Baptiste Fillon</t>
        </is>
      </c>
      <c r="B5072" s="18" t="n">
        <v>1</v>
      </c>
      <c r="C5072" s="18" t="n">
        <v>2018</v>
      </c>
      <c r="D5072" s="18" t="n">
        <v>2018</v>
      </c>
      <c r="E5072" s="18" t="inlineStr">
        <is>
          <t>Mission: Impossible - Fallout</t>
        </is>
      </c>
      <c r="F5072" s="18" t="inlineStr">
        <is>
          <t>F0226</t>
        </is>
      </c>
    </row>
    <row r="5073" ht="15.75" customHeight="1" s="108">
      <c r="A5073" s="18" t="inlineStr">
        <is>
          <t>Maximilian Geller</t>
        </is>
      </c>
      <c r="B5073" s="18" t="n">
        <v>1</v>
      </c>
      <c r="C5073" s="18" t="n">
        <v>2018</v>
      </c>
      <c r="D5073" s="18" t="n">
        <v>2018</v>
      </c>
      <c r="E5073" s="18" t="inlineStr">
        <is>
          <t>Mission: Impossible - Fallout</t>
        </is>
      </c>
      <c r="F5073" s="18" t="inlineStr">
        <is>
          <t>F0226</t>
        </is>
      </c>
    </row>
    <row r="5074" ht="15.75" customHeight="1" s="108">
      <c r="A5074" s="18" t="inlineStr">
        <is>
          <t>Olivier Huband</t>
        </is>
      </c>
      <c r="B5074" s="18" t="n">
        <v>1</v>
      </c>
      <c r="C5074" s="18" t="n">
        <v>2018</v>
      </c>
      <c r="D5074" s="18" t="n">
        <v>2018</v>
      </c>
      <c r="E5074" s="18" t="inlineStr">
        <is>
          <t>Mission: Impossible - Fallout</t>
        </is>
      </c>
      <c r="F5074" s="18" t="inlineStr">
        <is>
          <t>F0226</t>
        </is>
      </c>
    </row>
    <row r="5075" ht="15.75" customHeight="1" s="108">
      <c r="A5075" s="18" t="inlineStr">
        <is>
          <t>Vincent Latorre</t>
        </is>
      </c>
      <c r="B5075" s="18" t="n">
        <v>1</v>
      </c>
      <c r="C5075" s="18" t="n">
        <v>2018</v>
      </c>
      <c r="D5075" s="18" t="n">
        <v>2018</v>
      </c>
      <c r="E5075" s="18" t="inlineStr">
        <is>
          <t>Mission: Impossible - Fallout</t>
        </is>
      </c>
      <c r="F5075" s="18" t="inlineStr">
        <is>
          <t>F0226</t>
        </is>
      </c>
    </row>
    <row r="5076" ht="15.75" customHeight="1" s="108">
      <c r="A5076" s="18" t="inlineStr">
        <is>
          <t>Thierry Picaut</t>
        </is>
      </c>
      <c r="B5076" s="18" t="n">
        <v>1</v>
      </c>
      <c r="C5076" s="18" t="n">
        <v>2018</v>
      </c>
      <c r="D5076" s="18" t="n">
        <v>2018</v>
      </c>
      <c r="E5076" s="18" t="inlineStr">
        <is>
          <t>Mission: Impossible - Fallout</t>
        </is>
      </c>
      <c r="F5076" s="18" t="inlineStr">
        <is>
          <t>F0226</t>
        </is>
      </c>
    </row>
    <row r="5077" ht="15.75" customHeight="1" s="108">
      <c r="A5077" s="18" t="inlineStr">
        <is>
          <t>Alexandre Poole</t>
        </is>
      </c>
      <c r="B5077" s="18" t="n">
        <v>1</v>
      </c>
      <c r="C5077" s="18" t="n">
        <v>2018</v>
      </c>
      <c r="D5077" s="18" t="n">
        <v>2018</v>
      </c>
      <c r="E5077" s="18" t="inlineStr">
        <is>
          <t>Mission: Impossible - Fallout</t>
        </is>
      </c>
      <c r="F5077" s="18" t="inlineStr">
        <is>
          <t>F0226</t>
        </is>
      </c>
    </row>
    <row r="5078" ht="15.75" customHeight="1" s="108">
      <c r="A5078" s="18" t="inlineStr">
        <is>
          <t>Guy Remy</t>
        </is>
      </c>
      <c r="B5078" s="18" t="n">
        <v>1</v>
      </c>
      <c r="C5078" s="18" t="n">
        <v>2018</v>
      </c>
      <c r="D5078" s="18" t="n">
        <v>2018</v>
      </c>
      <c r="E5078" s="18" t="inlineStr">
        <is>
          <t>Mission: Impossible - Fallout</t>
        </is>
      </c>
      <c r="F5078" s="18" t="inlineStr">
        <is>
          <t>F0226</t>
        </is>
      </c>
    </row>
    <row r="5079" ht="15.75" customHeight="1" s="108">
      <c r="A5079" s="18" t="inlineStr">
        <is>
          <t>Alix Bénézech</t>
        </is>
      </c>
      <c r="B5079" s="18" t="n">
        <v>1</v>
      </c>
      <c r="C5079" s="18" t="n">
        <v>2018</v>
      </c>
      <c r="D5079" s="18" t="n">
        <v>2018</v>
      </c>
      <c r="E5079" s="18" t="inlineStr">
        <is>
          <t>Mission: Impossible - Fallout</t>
        </is>
      </c>
      <c r="F5079" s="18" t="inlineStr">
        <is>
          <t>F0226</t>
        </is>
      </c>
    </row>
    <row r="5080" ht="15.75" customHeight="1" s="108">
      <c r="A5080" s="18" t="inlineStr">
        <is>
          <t>Velibor Topic</t>
        </is>
      </c>
      <c r="B5080" s="18" t="n">
        <v>2</v>
      </c>
      <c r="C5080" s="18" t="n">
        <v>2010</v>
      </c>
      <c r="D5080" s="18" t="n">
        <v>2018</v>
      </c>
      <c r="E5080" s="18" t="inlineStr">
        <is>
          <t>Mission: Impossible - Fallout, Robin Hood</t>
        </is>
      </c>
      <c r="F5080" s="18" t="inlineStr">
        <is>
          <t>F0226, F0267</t>
        </is>
      </c>
    </row>
    <row r="5081" ht="15.75" customHeight="1" s="108">
      <c r="A5081" s="18" t="inlineStr">
        <is>
          <t>Dean Ashton</t>
        </is>
      </c>
      <c r="B5081" s="18" t="n">
        <v>1</v>
      </c>
      <c r="C5081" s="18" t="n">
        <v>2018</v>
      </c>
      <c r="D5081" s="18" t="n">
        <v>2018</v>
      </c>
      <c r="E5081" s="18" t="inlineStr">
        <is>
          <t>Mission: Impossible - Fallout</t>
        </is>
      </c>
      <c r="F5081" s="18" t="inlineStr">
        <is>
          <t>F0226</t>
        </is>
      </c>
    </row>
    <row r="5082" ht="15.75" customHeight="1" s="108">
      <c r="A5082" s="18" t="inlineStr">
        <is>
          <t>Greg Tarzan Davis</t>
        </is>
      </c>
      <c r="B5082" s="18" t="n">
        <v>2</v>
      </c>
      <c r="C5082" s="18" t="n">
        <v>2023</v>
      </c>
      <c r="D5082" s="18" t="n">
        <v>2025</v>
      </c>
      <c r="E5082" s="18" t="inlineStr">
        <is>
          <t>Mission: Impossible - Dead Reckoning Part One, Mission: Impossible - The Final Reckoning</t>
        </is>
      </c>
      <c r="F5082" s="18" t="inlineStr">
        <is>
          <t>F0227, F0228</t>
        </is>
      </c>
    </row>
    <row r="5083" ht="15.75" customHeight="1" s="108">
      <c r="A5083" s="18" t="inlineStr">
        <is>
          <t>Mariela Garriga</t>
        </is>
      </c>
      <c r="B5083" s="18" t="n">
        <v>1</v>
      </c>
      <c r="C5083" s="18" t="n">
        <v>2023</v>
      </c>
      <c r="D5083" s="18" t="n">
        <v>2023</v>
      </c>
      <c r="E5083" s="18" t="inlineStr">
        <is>
          <t>Mission: Impossible - Dead Reckoning Part One</t>
        </is>
      </c>
      <c r="F5083" s="18" t="inlineStr">
        <is>
          <t>F0227</t>
        </is>
      </c>
    </row>
    <row r="5084" ht="15.75" customHeight="1" s="108">
      <c r="A5084" s="18" t="inlineStr">
        <is>
          <t>Cary Elwes</t>
        </is>
      </c>
      <c r="B5084" s="18" t="n">
        <v>2</v>
      </c>
      <c r="C5084" s="18" t="n">
        <v>2023</v>
      </c>
      <c r="D5084" s="18" t="n">
        <v>2025</v>
      </c>
      <c r="E5084" s="18" t="inlineStr">
        <is>
          <t>Mission: Impossible - Dead Reckoning Part One, Mission: Impossible - The Final Reckoning</t>
        </is>
      </c>
      <c r="F5084" s="18" t="inlineStr">
        <is>
          <t>F0227, F0228</t>
        </is>
      </c>
    </row>
    <row r="5085" ht="15.75" customHeight="1" s="108">
      <c r="A5085" s="18" t="inlineStr">
        <is>
          <t>Charles Parnell</t>
        </is>
      </c>
      <c r="B5085" s="18" t="n">
        <v>3</v>
      </c>
      <c r="C5085" s="18" t="n">
        <v>2014</v>
      </c>
      <c r="D5085" s="18" t="n">
        <v>2025</v>
      </c>
      <c r="E5085" s="18" t="inlineStr">
        <is>
          <t>Mission: Impossible - Dead Reckoning Part One, Mission: Impossible - The Final Reckoning, Transformers: Age of Extinction</t>
        </is>
      </c>
      <c r="F5085" s="18" t="inlineStr">
        <is>
          <t>F0227, F0228, F0319</t>
        </is>
      </c>
    </row>
    <row r="5086" ht="15.75" customHeight="1" s="108">
      <c r="A5086" s="18" t="inlineStr">
        <is>
          <t>Mark Gatiss</t>
        </is>
      </c>
      <c r="B5086" s="18" t="n">
        <v>2</v>
      </c>
      <c r="C5086" s="18" t="n">
        <v>2023</v>
      </c>
      <c r="D5086" s="18" t="n">
        <v>2025</v>
      </c>
      <c r="E5086" s="18" t="inlineStr">
        <is>
          <t>Mission: Impossible - Dead Reckoning Part One, Mission: Impossible - The Final Reckoning</t>
        </is>
      </c>
      <c r="F5086" s="18" t="inlineStr">
        <is>
          <t>F0227, F0228</t>
        </is>
      </c>
    </row>
    <row r="5087" ht="15.75" customHeight="1" s="108">
      <c r="A5087" s="18" t="inlineStr">
        <is>
          <t>Indira Varma</t>
        </is>
      </c>
      <c r="B5087" s="18" t="n">
        <v>1</v>
      </c>
      <c r="C5087" s="18" t="n">
        <v>2023</v>
      </c>
      <c r="D5087" s="18" t="n">
        <v>2023</v>
      </c>
      <c r="E5087" s="18" t="inlineStr">
        <is>
          <t>Mission: Impossible - Dead Reckoning Part One</t>
        </is>
      </c>
      <c r="F5087" s="18" t="inlineStr">
        <is>
          <t>F0227</t>
        </is>
      </c>
    </row>
    <row r="5088" ht="15.75" customHeight="1" s="108">
      <c r="A5088" s="18" t="inlineStr">
        <is>
          <t>Marcello Walton</t>
        </is>
      </c>
      <c r="B5088" s="18" t="n">
        <v>1</v>
      </c>
      <c r="C5088" s="18" t="n">
        <v>2023</v>
      </c>
      <c r="D5088" s="18" t="n">
        <v>2023</v>
      </c>
      <c r="E5088" s="18" t="inlineStr">
        <is>
          <t>Mission: Impossible - Dead Reckoning Part One</t>
        </is>
      </c>
      <c r="F5088" s="18" t="inlineStr">
        <is>
          <t>F0227</t>
        </is>
      </c>
    </row>
    <row r="5089" ht="15.75" customHeight="1" s="108">
      <c r="A5089" s="18" t="inlineStr">
        <is>
          <t>Brian Law</t>
        </is>
      </c>
      <c r="B5089" s="18" t="n">
        <v>1</v>
      </c>
      <c r="C5089" s="18" t="n">
        <v>2023</v>
      </c>
      <c r="D5089" s="18" t="n">
        <v>2023</v>
      </c>
      <c r="E5089" s="18" t="inlineStr">
        <is>
          <t>Mission: Impossible - Dead Reckoning Part One</t>
        </is>
      </c>
      <c r="F5089" s="18" t="inlineStr">
        <is>
          <t>F0227</t>
        </is>
      </c>
    </row>
    <row r="5090" ht="15.75" customHeight="1" s="108">
      <c r="A5090" s="18" t="inlineStr">
        <is>
          <t>Lincoln Conway</t>
        </is>
      </c>
      <c r="B5090" s="18" t="n">
        <v>1</v>
      </c>
      <c r="C5090" s="18" t="n">
        <v>2023</v>
      </c>
      <c r="D5090" s="18" t="n">
        <v>2023</v>
      </c>
      <c r="E5090" s="18" t="inlineStr">
        <is>
          <t>Mission: Impossible - Dead Reckoning Part One</t>
        </is>
      </c>
      <c r="F5090" s="18" t="inlineStr">
        <is>
          <t>F0227</t>
        </is>
      </c>
    </row>
    <row r="5091" ht="15.75" customHeight="1" s="108">
      <c r="A5091" s="18" t="inlineStr">
        <is>
          <t>Alex James-Phelps</t>
        </is>
      </c>
      <c r="B5091" s="18" t="n">
        <v>1</v>
      </c>
      <c r="C5091" s="18" t="n">
        <v>2023</v>
      </c>
      <c r="D5091" s="18" t="n">
        <v>2023</v>
      </c>
      <c r="E5091" s="18" t="inlineStr">
        <is>
          <t>Mission: Impossible - Dead Reckoning Part One</t>
        </is>
      </c>
      <c r="F5091" s="18" t="inlineStr">
        <is>
          <t>F0227</t>
        </is>
      </c>
    </row>
    <row r="5092" ht="15.75" customHeight="1" s="108">
      <c r="A5092" s="18" t="inlineStr">
        <is>
          <t>Marcin Dorociński</t>
        </is>
      </c>
      <c r="B5092" s="18" t="n">
        <v>1</v>
      </c>
      <c r="C5092" s="18" t="n">
        <v>2023</v>
      </c>
      <c r="D5092" s="18" t="n">
        <v>2023</v>
      </c>
      <c r="E5092" s="18" t="inlineStr">
        <is>
          <t>Mission: Impossible - Dead Reckoning Part One</t>
        </is>
      </c>
      <c r="F5092" s="18" t="inlineStr">
        <is>
          <t>F0227</t>
        </is>
      </c>
    </row>
    <row r="5093" ht="15.75" customHeight="1" s="108">
      <c r="A5093" s="18" t="inlineStr">
        <is>
          <t>Ivan Ivashkin</t>
        </is>
      </c>
      <c r="B5093" s="18" t="n">
        <v>1</v>
      </c>
      <c r="C5093" s="18" t="n">
        <v>2023</v>
      </c>
      <c r="D5093" s="18" t="n">
        <v>2023</v>
      </c>
      <c r="E5093" s="18" t="inlineStr">
        <is>
          <t>Mission: Impossible - Dead Reckoning Part One</t>
        </is>
      </c>
      <c r="F5093" s="18" t="inlineStr">
        <is>
          <t>F0227</t>
        </is>
      </c>
    </row>
    <row r="5094" ht="15.75" customHeight="1" s="108">
      <c r="A5094" s="18" t="inlineStr">
        <is>
          <t>Zahari Baharov</t>
        </is>
      </c>
      <c r="B5094" s="18" t="n">
        <v>1</v>
      </c>
      <c r="C5094" s="18" t="n">
        <v>2023</v>
      </c>
      <c r="D5094" s="18" t="n">
        <v>2023</v>
      </c>
      <c r="E5094" s="18" t="inlineStr">
        <is>
          <t>Mission: Impossible - Dead Reckoning Part One</t>
        </is>
      </c>
      <c r="F5094" s="18" t="inlineStr">
        <is>
          <t>F0227</t>
        </is>
      </c>
    </row>
    <row r="5095" ht="15.75" customHeight="1" s="108">
      <c r="A5095" s="18" t="inlineStr">
        <is>
          <t>Adrian Bouchet</t>
        </is>
      </c>
      <c r="B5095" s="18" t="n">
        <v>1</v>
      </c>
      <c r="C5095" s="18" t="n">
        <v>2023</v>
      </c>
      <c r="D5095" s="18" t="n">
        <v>2023</v>
      </c>
      <c r="E5095" s="18" t="inlineStr">
        <is>
          <t>Mission: Impossible - Dead Reckoning Part One</t>
        </is>
      </c>
      <c r="F5095" s="18" t="inlineStr">
        <is>
          <t>F0227</t>
        </is>
      </c>
    </row>
    <row r="5096" ht="15.75" customHeight="1" s="108">
      <c r="A5096" s="18" t="inlineStr">
        <is>
          <t>Sam Barrett</t>
        </is>
      </c>
      <c r="B5096" s="18" t="n">
        <v>1</v>
      </c>
      <c r="C5096" s="18" t="n">
        <v>2023</v>
      </c>
      <c r="D5096" s="18" t="n">
        <v>2023</v>
      </c>
      <c r="E5096" s="18" t="inlineStr">
        <is>
          <t>Mission: Impossible - Dead Reckoning Part One</t>
        </is>
      </c>
      <c r="F5096" s="18" t="inlineStr">
        <is>
          <t>F0227</t>
        </is>
      </c>
    </row>
    <row r="5097" ht="15.75" customHeight="1" s="108">
      <c r="A5097" s="18" t="inlineStr">
        <is>
          <t>Louis Vaughan</t>
        </is>
      </c>
      <c r="B5097" s="18" t="n">
        <v>1</v>
      </c>
      <c r="C5097" s="18" t="n">
        <v>2023</v>
      </c>
      <c r="D5097" s="18" t="n">
        <v>2023</v>
      </c>
      <c r="E5097" s="18" t="inlineStr">
        <is>
          <t>Mission: Impossible - Dead Reckoning Part One</t>
        </is>
      </c>
      <c r="F5097" s="18" t="inlineStr">
        <is>
          <t>F0227</t>
        </is>
      </c>
    </row>
    <row r="5098" ht="15.75" customHeight="1" s="108">
      <c r="A5098" s="18" t="inlineStr">
        <is>
          <t>Jean Kartal</t>
        </is>
      </c>
      <c r="B5098" s="18" t="n">
        <v>1</v>
      </c>
      <c r="C5098" s="18" t="n">
        <v>2023</v>
      </c>
      <c r="D5098" s="18" t="n">
        <v>2023</v>
      </c>
      <c r="E5098" s="18" t="inlineStr">
        <is>
          <t>Mission: Impossible - Dead Reckoning Part One</t>
        </is>
      </c>
      <c r="F5098" s="18" t="inlineStr">
        <is>
          <t>F0227</t>
        </is>
      </c>
    </row>
    <row r="5099" ht="15.75" customHeight="1" s="108">
      <c r="A5099" s="18" t="inlineStr">
        <is>
          <t>Os Leanse</t>
        </is>
      </c>
      <c r="B5099" s="18" t="n">
        <v>1</v>
      </c>
      <c r="C5099" s="18" t="n">
        <v>2023</v>
      </c>
      <c r="D5099" s="18" t="n">
        <v>2023</v>
      </c>
      <c r="E5099" s="18" t="inlineStr">
        <is>
          <t>Mission: Impossible - Dead Reckoning Part One</t>
        </is>
      </c>
      <c r="F5099" s="18" t="inlineStr">
        <is>
          <t>F0227</t>
        </is>
      </c>
    </row>
    <row r="5100" ht="15.75" customHeight="1" s="108">
      <c r="A5100" s="18" t="inlineStr">
        <is>
          <t>Tramell Tillman</t>
        </is>
      </c>
      <c r="B5100" s="18" t="n">
        <v>1</v>
      </c>
      <c r="C5100" s="18" t="n">
        <v>2025</v>
      </c>
      <c r="D5100" s="18" t="n">
        <v>2025</v>
      </c>
      <c r="E5100" s="18" t="inlineStr">
        <is>
          <t>Mission: Impossible - The Final Reckoning</t>
        </is>
      </c>
      <c r="F5100" s="18" t="inlineStr">
        <is>
          <t>F0228</t>
        </is>
      </c>
    </row>
    <row r="5101" ht="15.75" customHeight="1" s="108">
      <c r="A5101" s="18" t="inlineStr">
        <is>
          <t>Lucy Tulugarjuk</t>
        </is>
      </c>
      <c r="B5101" s="18" t="n">
        <v>1</v>
      </c>
      <c r="C5101" s="18" t="n">
        <v>2025</v>
      </c>
      <c r="D5101" s="18" t="n">
        <v>2025</v>
      </c>
      <c r="E5101" s="18" t="inlineStr">
        <is>
          <t>Mission: Impossible - The Final Reckoning</t>
        </is>
      </c>
      <c r="F5101" s="18" t="inlineStr">
        <is>
          <t>F0228</t>
        </is>
      </c>
    </row>
    <row r="5102" ht="15.75" customHeight="1" s="108">
      <c r="A5102" s="18" t="inlineStr">
        <is>
          <t>Katy O'Brian</t>
        </is>
      </c>
      <c r="B5102" s="18" t="n">
        <v>1</v>
      </c>
      <c r="C5102" s="18" t="n">
        <v>2025</v>
      </c>
      <c r="D5102" s="18" t="n">
        <v>2025</v>
      </c>
      <c r="E5102" s="18" t="inlineStr">
        <is>
          <t>Mission: Impossible - The Final Reckoning</t>
        </is>
      </c>
      <c r="F5102" s="18" t="inlineStr">
        <is>
          <t>F0228</t>
        </is>
      </c>
    </row>
    <row r="5103" ht="15.75" customHeight="1" s="108">
      <c r="A5103" s="18" t="inlineStr">
        <is>
          <t>Stephen Oyoung</t>
        </is>
      </c>
      <c r="B5103" s="18" t="n">
        <v>1</v>
      </c>
      <c r="C5103" s="18" t="n">
        <v>2025</v>
      </c>
      <c r="D5103" s="18" t="n">
        <v>2025</v>
      </c>
      <c r="E5103" s="18" t="inlineStr">
        <is>
          <t>Mission: Impossible - The Final Reckoning</t>
        </is>
      </c>
      <c r="F5103" s="18" t="inlineStr">
        <is>
          <t>F0228</t>
        </is>
      </c>
    </row>
    <row r="5104" ht="15.75" customHeight="1" s="108">
      <c r="A5104" s="18" t="inlineStr">
        <is>
          <t>Tomás Paredes</t>
        </is>
      </c>
      <c r="B5104" s="18" t="n">
        <v>1</v>
      </c>
      <c r="C5104" s="18" t="n">
        <v>2025</v>
      </c>
      <c r="D5104" s="18" t="n">
        <v>2025</v>
      </c>
      <c r="E5104" s="18" t="inlineStr">
        <is>
          <t>Mission: Impossible - The Final Reckoning</t>
        </is>
      </c>
      <c r="F5104" s="18" t="inlineStr">
        <is>
          <t>F0228</t>
        </is>
      </c>
    </row>
    <row r="5105" ht="15.75" customHeight="1" s="108">
      <c r="A5105" s="18" t="inlineStr">
        <is>
          <t>Paul Bullion</t>
        </is>
      </c>
      <c r="B5105" s="18" t="n">
        <v>1</v>
      </c>
      <c r="C5105" s="18" t="n">
        <v>2025</v>
      </c>
      <c r="D5105" s="18" t="n">
        <v>2025</v>
      </c>
      <c r="E5105" s="18" t="inlineStr">
        <is>
          <t>Mission: Impossible - The Final Reckoning</t>
        </is>
      </c>
      <c r="F5105" s="18" t="inlineStr">
        <is>
          <t>F0228</t>
        </is>
      </c>
    </row>
    <row r="5106" ht="15.75" customHeight="1" s="108">
      <c r="A5106" s="18" t="inlineStr">
        <is>
          <t>Pasha D. Lychnikoff</t>
        </is>
      </c>
      <c r="B5106" s="18" t="n">
        <v>1</v>
      </c>
      <c r="C5106" s="18" t="n">
        <v>2025</v>
      </c>
      <c r="D5106" s="18" t="n">
        <v>2025</v>
      </c>
      <c r="E5106" s="18" t="inlineStr">
        <is>
          <t>Mission: Impossible - The Final Reckoning</t>
        </is>
      </c>
      <c r="F5106" s="18" t="inlineStr">
        <is>
          <t>F0228</t>
        </is>
      </c>
    </row>
    <row r="5107" ht="15.75" customHeight="1" s="108">
      <c r="A5107" s="18" t="inlineStr">
        <is>
          <t>Kwabena Ansah</t>
        </is>
      </c>
      <c r="B5107" s="18" t="n">
        <v>1</v>
      </c>
      <c r="C5107" s="18" t="n">
        <v>2025</v>
      </c>
      <c r="D5107" s="18" t="n">
        <v>2025</v>
      </c>
      <c r="E5107" s="18" t="inlineStr">
        <is>
          <t>Mission: Impossible - The Final Reckoning</t>
        </is>
      </c>
      <c r="F5107" s="18" t="inlineStr">
        <is>
          <t>F0228</t>
        </is>
      </c>
    </row>
    <row r="5108" ht="15.75" customHeight="1" s="108">
      <c r="A5108" s="18" t="inlineStr">
        <is>
          <t>Ryn Alleyne</t>
        </is>
      </c>
      <c r="B5108" s="18" t="n">
        <v>1</v>
      </c>
      <c r="C5108" s="18" t="n">
        <v>2025</v>
      </c>
      <c r="D5108" s="18" t="n">
        <v>2025</v>
      </c>
      <c r="E5108" s="18" t="inlineStr">
        <is>
          <t>Mission: Impossible - The Final Reckoning</t>
        </is>
      </c>
      <c r="F5108" s="18" t="inlineStr">
        <is>
          <t>F0228</t>
        </is>
      </c>
    </row>
    <row r="5109" ht="15.75" customHeight="1" s="108">
      <c r="A5109" s="18" t="inlineStr">
        <is>
          <t>Ned Campbell</t>
        </is>
      </c>
      <c r="B5109" s="18" t="n">
        <v>1</v>
      </c>
      <c r="C5109" s="18" t="n">
        <v>2025</v>
      </c>
      <c r="D5109" s="18" t="n">
        <v>2025</v>
      </c>
      <c r="E5109" s="18" t="inlineStr">
        <is>
          <t>Mission: Impossible - The Final Reckoning</t>
        </is>
      </c>
      <c r="F5109" s="18" t="inlineStr">
        <is>
          <t>F0228</t>
        </is>
      </c>
    </row>
    <row r="5110" ht="15.75" customHeight="1" s="108">
      <c r="A5110" s="18" t="inlineStr">
        <is>
          <t>Charlie Carter</t>
        </is>
      </c>
      <c r="B5110" s="18" t="n">
        <v>1</v>
      </c>
      <c r="C5110" s="18" t="n">
        <v>2025</v>
      </c>
      <c r="D5110" s="18" t="n">
        <v>2025</v>
      </c>
      <c r="E5110" s="18" t="inlineStr">
        <is>
          <t>Mission: Impossible - The Final Reckoning</t>
        </is>
      </c>
      <c r="F5110" s="18" t="inlineStr">
        <is>
          <t>F0228</t>
        </is>
      </c>
    </row>
    <row r="5111" ht="15.75" customHeight="1" s="108">
      <c r="A5111" s="18" t="inlineStr">
        <is>
          <t>Chantelle Roman</t>
        </is>
      </c>
      <c r="B5111" s="18" t="n">
        <v>1</v>
      </c>
      <c r="C5111" s="18" t="n">
        <v>2025</v>
      </c>
      <c r="D5111" s="18" t="n">
        <v>2025</v>
      </c>
      <c r="E5111" s="18" t="inlineStr">
        <is>
          <t>Mission: Impossible - The Final Reckoning</t>
        </is>
      </c>
      <c r="F5111" s="18" t="inlineStr">
        <is>
          <t>F0228</t>
        </is>
      </c>
    </row>
    <row r="5112" ht="15.75" customHeight="1" s="108">
      <c r="A5112" s="18" t="inlineStr">
        <is>
          <t>Jennifer Tilly</t>
        </is>
      </c>
      <c r="B5112" s="18" t="n">
        <v>4</v>
      </c>
      <c r="C5112" s="18" t="n">
        <v>2001</v>
      </c>
      <c r="D5112" s="18" t="n">
        <v>2001</v>
      </c>
      <c r="E5112" s="18" t="inlineStr">
        <is>
          <t>Monsters, Inc., Monsters, Inc., Monsters, Inc., Monsters, Inc.</t>
        </is>
      </c>
      <c r="F5112" s="18" t="inlineStr">
        <is>
          <t>F0229</t>
        </is>
      </c>
    </row>
    <row r="5113" ht="15.75" customHeight="1" s="108">
      <c r="A5113" s="18" t="inlineStr">
        <is>
          <t>Steve Susskind</t>
        </is>
      </c>
      <c r="B5113" s="18" t="n">
        <v>4</v>
      </c>
      <c r="C5113" s="18" t="n">
        <v>2001</v>
      </c>
      <c r="D5113" s="18" t="n">
        <v>2001</v>
      </c>
      <c r="E5113" s="18" t="inlineStr">
        <is>
          <t>Monsters, Inc., Monsters, Inc., Monsters, Inc., Monsters, Inc.</t>
        </is>
      </c>
      <c r="F5113" s="18" t="inlineStr">
        <is>
          <t>F0229</t>
        </is>
      </c>
    </row>
    <row r="5114" ht="15.75" customHeight="1" s="108">
      <c r="A5114" s="18" t="inlineStr">
        <is>
          <t>Jeff Pidgeon</t>
        </is>
      </c>
      <c r="B5114" s="18" t="n">
        <v>8</v>
      </c>
      <c r="C5114" s="18" t="n">
        <v>1999</v>
      </c>
      <c r="D5114" s="18" t="n">
        <v>2010</v>
      </c>
      <c r="E5114" s="18" t="inlineStr">
        <is>
          <t>Monsters, Inc., Toy Story 2, Toy Story 3, Up, WALL·E, Monsters, Inc., Monsters, Inc., Monsters, Inc.</t>
        </is>
      </c>
      <c r="F5114" s="18" t="inlineStr">
        <is>
          <t>F0229, F0313, F0314, F0330, F0331</t>
        </is>
      </c>
    </row>
    <row r="5115" ht="15.75" customHeight="1" s="108">
      <c r="A5115" s="18" t="inlineStr">
        <is>
          <t>Samuel Lord Black</t>
        </is>
      </c>
      <c r="B5115" s="18" t="n">
        <v>4</v>
      </c>
      <c r="C5115" s="18" t="n">
        <v>2001</v>
      </c>
      <c r="D5115" s="18" t="n">
        <v>2001</v>
      </c>
      <c r="E5115" s="18" t="inlineStr">
        <is>
          <t>Monsters, Inc., Monsters, Inc., Monsters, Inc., Monsters, Inc.</t>
        </is>
      </c>
      <c r="F5115" s="18" t="inlineStr">
        <is>
          <t>F0229</t>
        </is>
      </c>
    </row>
    <row r="5116" ht="15.75" customHeight="1" s="108">
      <c r="A5116" s="18" t="inlineStr">
        <is>
          <t>Patti Deutsch</t>
        </is>
      </c>
      <c r="B5116" s="18" t="n">
        <v>4</v>
      </c>
      <c r="C5116" s="18" t="n">
        <v>2001</v>
      </c>
      <c r="D5116" s="18" t="n">
        <v>2001</v>
      </c>
      <c r="E5116" s="18" t="inlineStr">
        <is>
          <t>Monsters, Inc., Monsters, Inc., Monsters, Inc., Monsters, Inc.</t>
        </is>
      </c>
      <c r="F5116" s="18" t="inlineStr">
        <is>
          <t>F0229</t>
        </is>
      </c>
    </row>
    <row r="5117" ht="15.75" customHeight="1" s="108">
      <c r="A5117" s="18" t="inlineStr">
        <is>
          <t>Bobby Edner</t>
        </is>
      </c>
      <c r="B5117" s="18" t="n">
        <v>4</v>
      </c>
      <c r="C5117" s="18" t="n">
        <v>2001</v>
      </c>
      <c r="D5117" s="18" t="n">
        <v>2001</v>
      </c>
      <c r="E5117" s="18" t="inlineStr">
        <is>
          <t>Monsters, Inc., Monsters, Inc., Monsters, Inc., Monsters, Inc.</t>
        </is>
      </c>
      <c r="F5117" s="18" t="inlineStr">
        <is>
          <t>F0229</t>
        </is>
      </c>
    </row>
    <row r="5118" ht="15.75" customHeight="1" s="108">
      <c r="A5118" s="18" t="inlineStr">
        <is>
          <t>Ashley Edner</t>
        </is>
      </c>
      <c r="B5118" s="18" t="n">
        <v>4</v>
      </c>
      <c r="C5118" s="18" t="n">
        <v>2001</v>
      </c>
      <c r="D5118" s="18" t="n">
        <v>2001</v>
      </c>
      <c r="E5118" s="18" t="inlineStr">
        <is>
          <t>Monsters, Inc., Monsters, Inc., Monsters, Inc., Monsters, Inc.</t>
        </is>
      </c>
      <c r="F5118" s="18" t="inlineStr">
        <is>
          <t>F0229</t>
        </is>
      </c>
    </row>
    <row r="5119" ht="15.75" customHeight="1" s="108">
      <c r="A5119" s="18" t="inlineStr">
        <is>
          <t>Katie Scarlett</t>
        </is>
      </c>
      <c r="B5119" s="18" t="n">
        <v>4</v>
      </c>
      <c r="C5119" s="18" t="n">
        <v>2001</v>
      </c>
      <c r="D5119" s="18" t="n">
        <v>2001</v>
      </c>
      <c r="E5119" s="18" t="inlineStr">
        <is>
          <t>Monsters, Inc., Monsters, Inc., Monsters, Inc., Monsters, Inc.</t>
        </is>
      </c>
      <c r="F5119" s="18" t="inlineStr">
        <is>
          <t>F0229</t>
        </is>
      </c>
    </row>
    <row r="5120" ht="15.75" customHeight="1" s="108">
      <c r="A5120" s="18" t="inlineStr">
        <is>
          <t>Keegan Farrell</t>
        </is>
      </c>
      <c r="B5120" s="18" t="n">
        <v>4</v>
      </c>
      <c r="C5120" s="18" t="n">
        <v>2001</v>
      </c>
      <c r="D5120" s="18" t="n">
        <v>2001</v>
      </c>
      <c r="E5120" s="18" t="inlineStr">
        <is>
          <t>Monsters, Inc., Monsters, Inc., Monsters, Inc., Monsters, Inc.</t>
        </is>
      </c>
      <c r="F5120" s="18" t="inlineStr">
        <is>
          <t>F0229</t>
        </is>
      </c>
    </row>
    <row r="5121" ht="15.75" customHeight="1" s="108">
      <c r="A5121" s="18" t="inlineStr">
        <is>
          <t>Pat Fraley</t>
        </is>
      </c>
      <c r="B5121" s="18" t="n">
        <v>5</v>
      </c>
      <c r="C5121" s="18" t="n">
        <v>1999</v>
      </c>
      <c r="D5121" s="18" t="n">
        <v>2001</v>
      </c>
      <c r="E5121" s="18" t="inlineStr">
        <is>
          <t>Monsters, Inc., Toy Story 2, Monsters, Inc., Monsters, Inc., Monsters, Inc.</t>
        </is>
      </c>
      <c r="F5121" s="18" t="inlineStr">
        <is>
          <t>F0229, F0313</t>
        </is>
      </c>
    </row>
    <row r="5122" ht="15.75" customHeight="1" s="108">
      <c r="A5122" s="18" t="inlineStr">
        <is>
          <t>Taylor Gifaldi</t>
        </is>
      </c>
      <c r="B5122" s="18" t="n">
        <v>4</v>
      </c>
      <c r="C5122" s="18" t="n">
        <v>2001</v>
      </c>
      <c r="D5122" s="18" t="n">
        <v>2001</v>
      </c>
      <c r="E5122" s="18" t="inlineStr">
        <is>
          <t>Monsters, Inc., Monsters, Inc., Monsters, Inc., Monsters, Inc.</t>
        </is>
      </c>
      <c r="F5122" s="18" t="inlineStr">
        <is>
          <t>F0229</t>
        </is>
      </c>
    </row>
    <row r="5123" ht="15.75" customHeight="1" s="108">
      <c r="A5123" s="18" t="inlineStr">
        <is>
          <t>Joel Murray</t>
        </is>
      </c>
      <c r="B5123" s="18" t="n">
        <v>1</v>
      </c>
      <c r="C5123" s="18" t="n">
        <v>2013</v>
      </c>
      <c r="D5123" s="18" t="n">
        <v>2013</v>
      </c>
      <c r="E5123" s="18" t="inlineStr">
        <is>
          <t>Monsters University</t>
        </is>
      </c>
      <c r="F5123" s="18" t="inlineStr">
        <is>
          <t>F0230</t>
        </is>
      </c>
    </row>
    <row r="5124" ht="15.75" customHeight="1" s="108">
      <c r="A5124" s="18" t="inlineStr">
        <is>
          <t>Tyler Labine</t>
        </is>
      </c>
      <c r="B5124" s="18" t="n">
        <v>2</v>
      </c>
      <c r="C5124" s="18" t="n">
        <v>2011</v>
      </c>
      <c r="D5124" s="18" t="n">
        <v>2013</v>
      </c>
      <c r="E5124" s="18" t="inlineStr">
        <is>
          <t>Monsters University, Rise of the Planet of the Apes</t>
        </is>
      </c>
      <c r="F5124" s="18" t="inlineStr">
        <is>
          <t>F0230, F0253</t>
        </is>
      </c>
    </row>
    <row r="5125" ht="15.75" customHeight="1" s="108">
      <c r="A5125" s="18" t="inlineStr">
        <is>
          <t>Nathan Fillion</t>
        </is>
      </c>
      <c r="B5125" s="18" t="n">
        <v>2</v>
      </c>
      <c r="C5125" s="18" t="n">
        <v>2013</v>
      </c>
      <c r="D5125" s="18" t="n">
        <v>2025</v>
      </c>
      <c r="E5125" s="18" t="inlineStr">
        <is>
          <t>Monsters University, Superman</t>
        </is>
      </c>
      <c r="F5125" s="18" t="inlineStr">
        <is>
          <t>F0230, F0304</t>
        </is>
      </c>
    </row>
    <row r="5126" ht="15.75" customHeight="1" s="108">
      <c r="A5126" s="18" t="inlineStr">
        <is>
          <t>Noah Johnston</t>
        </is>
      </c>
      <c r="B5126" s="18" t="n">
        <v>1</v>
      </c>
      <c r="C5126" s="18" t="n">
        <v>2013</v>
      </c>
      <c r="D5126" s="18" t="n">
        <v>2013</v>
      </c>
      <c r="E5126" s="18" t="inlineStr">
        <is>
          <t>Monsters University</t>
        </is>
      </c>
      <c r="F5126" s="18" t="inlineStr">
        <is>
          <t>F0230</t>
        </is>
      </c>
    </row>
    <row r="5127" ht="15.75" customHeight="1" s="108">
      <c r="A5127" s="18" t="inlineStr">
        <is>
          <t>Julia Sweeney</t>
        </is>
      </c>
      <c r="B5127" s="18" t="n">
        <v>1</v>
      </c>
      <c r="C5127" s="18" t="n">
        <v>2013</v>
      </c>
      <c r="D5127" s="18" t="n">
        <v>2013</v>
      </c>
      <c r="E5127" s="18" t="inlineStr">
        <is>
          <t>Monsters University</t>
        </is>
      </c>
      <c r="F5127" s="18" t="inlineStr">
        <is>
          <t>F0230</t>
        </is>
      </c>
    </row>
    <row r="5128" ht="15.75" customHeight="1" s="108">
      <c r="A5128" s="18" t="inlineStr">
        <is>
          <t>John Krasinski</t>
        </is>
      </c>
      <c r="B5128" s="18" t="n">
        <v>1</v>
      </c>
      <c r="C5128" s="18" t="n">
        <v>2013</v>
      </c>
      <c r="D5128" s="18" t="n">
        <v>2013</v>
      </c>
      <c r="E5128" s="18" t="inlineStr">
        <is>
          <t>Monsters University</t>
        </is>
      </c>
      <c r="F5128" s="18" t="inlineStr">
        <is>
          <t>F0230</t>
        </is>
      </c>
    </row>
    <row r="5129" ht="15.75" customHeight="1" s="108">
      <c r="A5129" s="18" t="inlineStr">
        <is>
          <t>Beth Behrs</t>
        </is>
      </c>
      <c r="B5129" s="18" t="n">
        <v>1</v>
      </c>
      <c r="C5129" s="18" t="n">
        <v>2013</v>
      </c>
      <c r="D5129" s="18" t="n">
        <v>2013</v>
      </c>
      <c r="E5129" s="18" t="inlineStr">
        <is>
          <t>Monsters University</t>
        </is>
      </c>
      <c r="F5129" s="18" t="inlineStr">
        <is>
          <t>F0230</t>
        </is>
      </c>
    </row>
    <row r="5130" ht="15.75" customHeight="1" s="108">
      <c r="A5130" s="18" t="inlineStr">
        <is>
          <t>Neil Campbell</t>
        </is>
      </c>
      <c r="B5130" s="18" t="n">
        <v>1</v>
      </c>
      <c r="C5130" s="18" t="n">
        <v>2013</v>
      </c>
      <c r="D5130" s="18" t="n">
        <v>2013</v>
      </c>
      <c r="E5130" s="18" t="inlineStr">
        <is>
          <t>Monsters University</t>
        </is>
      </c>
      <c r="F5130" s="18" t="inlineStr">
        <is>
          <t>F0230</t>
        </is>
      </c>
    </row>
    <row r="5131" ht="15.75" customHeight="1" s="108">
      <c r="A5131" s="18" t="inlineStr">
        <is>
          <t>Patrick Carlyle</t>
        </is>
      </c>
      <c r="B5131" s="18" t="n">
        <v>1</v>
      </c>
      <c r="C5131" s="18" t="n">
        <v>2013</v>
      </c>
      <c r="D5131" s="18" t="n">
        <v>2013</v>
      </c>
      <c r="E5131" s="18" t="inlineStr">
        <is>
          <t>Monsters University</t>
        </is>
      </c>
      <c r="F5131" s="18" t="inlineStr">
        <is>
          <t>F0230</t>
        </is>
      </c>
    </row>
    <row r="5132" ht="15.75" customHeight="1" s="108">
      <c r="A5132" s="18" t="inlineStr">
        <is>
          <t>Chris Weitz</t>
        </is>
      </c>
      <c r="B5132" s="18" t="n">
        <v>1</v>
      </c>
      <c r="C5132" s="18" t="n">
        <v>2005</v>
      </c>
      <c r="D5132" s="18" t="n">
        <v>2005</v>
      </c>
      <c r="E5132" s="18" t="inlineStr">
        <is>
          <t>Mr. &amp; Mrs. Smith</t>
        </is>
      </c>
      <c r="F5132" s="18" t="inlineStr">
        <is>
          <t>F0231</t>
        </is>
      </c>
    </row>
    <row r="5133" ht="15.75" customHeight="1" s="108">
      <c r="A5133" s="18" t="inlineStr">
        <is>
          <t>Rachael Huntley</t>
        </is>
      </c>
      <c r="B5133" s="18" t="n">
        <v>1</v>
      </c>
      <c r="C5133" s="18" t="n">
        <v>2005</v>
      </c>
      <c r="D5133" s="18" t="n">
        <v>2005</v>
      </c>
      <c r="E5133" s="18" t="inlineStr">
        <is>
          <t>Mr. &amp; Mrs. Smith</t>
        </is>
      </c>
      <c r="F5133" s="18" t="inlineStr">
        <is>
          <t>F0231</t>
        </is>
      </c>
    </row>
    <row r="5134" ht="15.75" customHeight="1" s="108">
      <c r="A5134" s="18" t="inlineStr">
        <is>
          <t>Stephanie March</t>
        </is>
      </c>
      <c r="B5134" s="18" t="n">
        <v>1</v>
      </c>
      <c r="C5134" s="18" t="n">
        <v>2005</v>
      </c>
      <c r="D5134" s="18" t="n">
        <v>2005</v>
      </c>
      <c r="E5134" s="18" t="inlineStr">
        <is>
          <t>Mr. &amp; Mrs. Smith</t>
        </is>
      </c>
      <c r="F5134" s="18" t="inlineStr">
        <is>
          <t>F0231</t>
        </is>
      </c>
    </row>
    <row r="5135" ht="15.75" customHeight="1" s="108">
      <c r="A5135" s="18" t="inlineStr">
        <is>
          <t>Theresa Barrera</t>
        </is>
      </c>
      <c r="B5135" s="18" t="n">
        <v>1</v>
      </c>
      <c r="C5135" s="18" t="n">
        <v>2005</v>
      </c>
      <c r="D5135" s="18" t="n">
        <v>2005</v>
      </c>
      <c r="E5135" s="18" t="inlineStr">
        <is>
          <t>Mr. &amp; Mrs. Smith</t>
        </is>
      </c>
      <c r="F5135" s="18" t="inlineStr">
        <is>
          <t>F0231</t>
        </is>
      </c>
    </row>
    <row r="5136" ht="15.75" customHeight="1" s="108">
      <c r="A5136" s="18" t="inlineStr">
        <is>
          <t>Perrey Reeves</t>
        </is>
      </c>
      <c r="B5136" s="18" t="n">
        <v>1</v>
      </c>
      <c r="C5136" s="18" t="n">
        <v>2005</v>
      </c>
      <c r="D5136" s="18" t="n">
        <v>2005</v>
      </c>
      <c r="E5136" s="18" t="inlineStr">
        <is>
          <t>Mr. &amp; Mrs. Smith</t>
        </is>
      </c>
      <c r="F5136" s="18" t="inlineStr">
        <is>
          <t>F0231</t>
        </is>
      </c>
    </row>
    <row r="5137" ht="15.75" customHeight="1" s="108">
      <c r="A5137" s="18" t="inlineStr">
        <is>
          <t>Melanie Tolbert</t>
        </is>
      </c>
      <c r="B5137" s="18" t="n">
        <v>1</v>
      </c>
      <c r="C5137" s="18" t="n">
        <v>2005</v>
      </c>
      <c r="D5137" s="18" t="n">
        <v>2005</v>
      </c>
      <c r="E5137" s="18" t="inlineStr">
        <is>
          <t>Mr. &amp; Mrs. Smith</t>
        </is>
      </c>
      <c r="F5137" s="18" t="inlineStr">
        <is>
          <t>F0231</t>
        </is>
      </c>
    </row>
    <row r="5138" ht="15.75" customHeight="1" s="108">
      <c r="A5138" s="18" t="inlineStr">
        <is>
          <t>Jerry T. Adams</t>
        </is>
      </c>
      <c r="B5138" s="18" t="n">
        <v>1</v>
      </c>
      <c r="C5138" s="18" t="n">
        <v>2005</v>
      </c>
      <c r="D5138" s="18" t="n">
        <v>2005</v>
      </c>
      <c r="E5138" s="18" t="inlineStr">
        <is>
          <t>Mr. &amp; Mrs. Smith</t>
        </is>
      </c>
      <c r="F5138" s="18" t="inlineStr">
        <is>
          <t>F0231</t>
        </is>
      </c>
    </row>
    <row r="5139" ht="15.75" customHeight="1" s="108">
      <c r="A5139" s="18" t="inlineStr">
        <is>
          <t>Elijah Alexander</t>
        </is>
      </c>
      <c r="B5139" s="18" t="n">
        <v>1</v>
      </c>
      <c r="C5139" s="18" t="n">
        <v>2005</v>
      </c>
      <c r="D5139" s="18" t="n">
        <v>2005</v>
      </c>
      <c r="E5139" s="18" t="inlineStr">
        <is>
          <t>Mr. &amp; Mrs. Smith</t>
        </is>
      </c>
      <c r="F5139" s="18" t="inlineStr">
        <is>
          <t>F0231</t>
        </is>
      </c>
    </row>
    <row r="5140" ht="15.75" customHeight="1" s="108">
      <c r="A5140" s="18" t="inlineStr">
        <is>
          <t>Hans F. Alexander</t>
        </is>
      </c>
      <c r="B5140" s="18" t="n">
        <v>1</v>
      </c>
      <c r="C5140" s="18" t="n">
        <v>2005</v>
      </c>
      <c r="D5140" s="18" t="n">
        <v>2005</v>
      </c>
      <c r="E5140" s="18" t="inlineStr">
        <is>
          <t>Mr. &amp; Mrs. Smith</t>
        </is>
      </c>
      <c r="F5140" s="18" t="inlineStr">
        <is>
          <t>F0231</t>
        </is>
      </c>
    </row>
    <row r="5141" ht="15.75" customHeight="1" s="108">
      <c r="A5141" s="18" t="inlineStr">
        <is>
          <t>Lauryn Alvarez</t>
        </is>
      </c>
      <c r="B5141" s="18" t="n">
        <v>1</v>
      </c>
      <c r="C5141" s="18" t="n">
        <v>2005</v>
      </c>
      <c r="D5141" s="18" t="n">
        <v>2005</v>
      </c>
      <c r="E5141" s="18" t="inlineStr">
        <is>
          <t>Mr. &amp; Mrs. Smith</t>
        </is>
      </c>
      <c r="F5141" s="18" t="inlineStr">
        <is>
          <t>F0231</t>
        </is>
      </c>
    </row>
    <row r="5142" ht="15.75" customHeight="1" s="108">
      <c r="A5142" s="18" t="inlineStr">
        <is>
          <t>Burke Armstrong</t>
        </is>
      </c>
      <c r="B5142" s="18" t="n">
        <v>1</v>
      </c>
      <c r="C5142" s="18" t="n">
        <v>2005</v>
      </c>
      <c r="D5142" s="18" t="n">
        <v>2005</v>
      </c>
      <c r="E5142" s="18" t="inlineStr">
        <is>
          <t>Mr. &amp; Mrs. Smith</t>
        </is>
      </c>
      <c r="F5142" s="18" t="inlineStr">
        <is>
          <t>F0231</t>
        </is>
      </c>
    </row>
    <row r="5143" ht="15.75" customHeight="1" s="108">
      <c r="A5143" s="18" t="inlineStr">
        <is>
          <t>Ron Bottitta</t>
        </is>
      </c>
      <c r="B5143" s="18" t="n">
        <v>1</v>
      </c>
      <c r="C5143" s="18" t="n">
        <v>2005</v>
      </c>
      <c r="D5143" s="18" t="n">
        <v>2005</v>
      </c>
      <c r="E5143" s="18" t="inlineStr">
        <is>
          <t>Mr. &amp; Mrs. Smith</t>
        </is>
      </c>
      <c r="F5143" s="18" t="inlineStr">
        <is>
          <t>F0231</t>
        </is>
      </c>
    </row>
    <row r="5144" ht="15.75" customHeight="1" s="108">
      <c r="A5144" s="18" t="inlineStr">
        <is>
          <t>Earl H. Bullock</t>
        </is>
      </c>
      <c r="B5144" s="18" t="n">
        <v>1</v>
      </c>
      <c r="C5144" s="18" t="n">
        <v>2005</v>
      </c>
      <c r="D5144" s="18" t="n">
        <v>2005</v>
      </c>
      <c r="E5144" s="18" t="inlineStr">
        <is>
          <t>Mr. &amp; Mrs. Smith</t>
        </is>
      </c>
      <c r="F5144" s="18" t="inlineStr">
        <is>
          <t>F0231</t>
        </is>
      </c>
    </row>
    <row r="5145" ht="15.75" customHeight="1" s="108">
      <c r="A5145" s="18" t="inlineStr">
        <is>
          <t>Miguel Angel Caballero</t>
        </is>
      </c>
      <c r="B5145" s="18" t="n">
        <v>1</v>
      </c>
      <c r="C5145" s="18" t="n">
        <v>2005</v>
      </c>
      <c r="D5145" s="18" t="n">
        <v>2005</v>
      </c>
      <c r="E5145" s="18" t="inlineStr">
        <is>
          <t>Mr. &amp; Mrs. Smith</t>
        </is>
      </c>
      <c r="F5145" s="18" t="inlineStr">
        <is>
          <t>F0231</t>
        </is>
      </c>
    </row>
    <row r="5146" ht="15.75" customHeight="1" s="108">
      <c r="A5146" s="18" t="inlineStr">
        <is>
          <t>Victor A. Chapa</t>
        </is>
      </c>
      <c r="B5146" s="18" t="n">
        <v>1</v>
      </c>
      <c r="C5146" s="18" t="n">
        <v>2005</v>
      </c>
      <c r="D5146" s="18" t="n">
        <v>2005</v>
      </c>
      <c r="E5146" s="18" t="inlineStr">
        <is>
          <t>Mr. &amp; Mrs. Smith</t>
        </is>
      </c>
      <c r="F5146" s="18" t="inlineStr">
        <is>
          <t>F0231</t>
        </is>
      </c>
    </row>
    <row r="5147" ht="15.75" customHeight="1" s="108">
      <c r="A5147" s="18" t="inlineStr">
        <is>
          <t>Maree Cheatham</t>
        </is>
      </c>
      <c r="B5147" s="18" t="n">
        <v>1</v>
      </c>
      <c r="C5147" s="18" t="n">
        <v>2005</v>
      </c>
      <c r="D5147" s="18" t="n">
        <v>2005</v>
      </c>
      <c r="E5147" s="18" t="inlineStr">
        <is>
          <t>Mr. &amp; Mrs. Smith</t>
        </is>
      </c>
      <c r="F5147" s="18" t="inlineStr">
        <is>
          <t>F0231</t>
        </is>
      </c>
    </row>
    <row r="5148" ht="15.75" customHeight="1" s="108">
      <c r="A5148" s="18" t="inlineStr">
        <is>
          <t>Laine Collins</t>
        </is>
      </c>
      <c r="B5148" s="18" t="n">
        <v>1</v>
      </c>
      <c r="C5148" s="18" t="n">
        <v>2005</v>
      </c>
      <c r="D5148" s="18" t="n">
        <v>2005</v>
      </c>
      <c r="E5148" s="18" t="inlineStr">
        <is>
          <t>Mr. &amp; Mrs. Smith</t>
        </is>
      </c>
      <c r="F5148" s="18" t="inlineStr">
        <is>
          <t>F0231</t>
        </is>
      </c>
    </row>
    <row r="5149" ht="15.75" customHeight="1" s="108">
      <c r="A5149" s="18" t="inlineStr">
        <is>
          <t>Noah Dahl</t>
        </is>
      </c>
      <c r="B5149" s="18" t="n">
        <v>1</v>
      </c>
      <c r="C5149" s="18" t="n">
        <v>2005</v>
      </c>
      <c r="D5149" s="18" t="n">
        <v>2005</v>
      </c>
      <c r="E5149" s="18" t="inlineStr">
        <is>
          <t>Mr. &amp; Mrs. Smith</t>
        </is>
      </c>
      <c r="F5149" s="18" t="inlineStr">
        <is>
          <t>F0231</t>
        </is>
      </c>
    </row>
    <row r="5150" ht="15.75" customHeight="1" s="108">
      <c r="A5150" s="18" t="inlineStr">
        <is>
          <t>Merrilee Dale</t>
        </is>
      </c>
      <c r="B5150" s="18" t="n">
        <v>1</v>
      </c>
      <c r="C5150" s="18" t="n">
        <v>2005</v>
      </c>
      <c r="D5150" s="18" t="n">
        <v>2005</v>
      </c>
      <c r="E5150" s="18" t="inlineStr">
        <is>
          <t>Mr. &amp; Mrs. Smith</t>
        </is>
      </c>
      <c r="F5150" s="18" t="inlineStr">
        <is>
          <t>F0231</t>
        </is>
      </c>
    </row>
    <row r="5151" ht="15.75" customHeight="1" s="108">
      <c r="A5151" s="18" t="inlineStr">
        <is>
          <t>Chris Daniels</t>
        </is>
      </c>
      <c r="B5151" s="18" t="n">
        <v>1</v>
      </c>
      <c r="C5151" s="18" t="n">
        <v>2005</v>
      </c>
      <c r="D5151" s="18" t="n">
        <v>2005</v>
      </c>
      <c r="E5151" s="18" t="inlineStr">
        <is>
          <t>Mr. &amp; Mrs. Smith</t>
        </is>
      </c>
      <c r="F5151" s="18" t="inlineStr">
        <is>
          <t>F0231</t>
        </is>
      </c>
    </row>
    <row r="5152" ht="15.75" customHeight="1" s="108">
      <c r="A5152" s="18" t="inlineStr">
        <is>
          <t>Patrika Darbo</t>
        </is>
      </c>
      <c r="B5152" s="18" t="n">
        <v>1</v>
      </c>
      <c r="C5152" s="18" t="n">
        <v>2005</v>
      </c>
      <c r="D5152" s="18" t="n">
        <v>2005</v>
      </c>
      <c r="E5152" s="18" t="inlineStr">
        <is>
          <t>Mr. &amp; Mrs. Smith</t>
        </is>
      </c>
      <c r="F5152" s="18" t="inlineStr">
        <is>
          <t>F0231</t>
        </is>
      </c>
    </row>
    <row r="5153" ht="15.75" customHeight="1" s="108">
      <c r="A5153" s="18" t="inlineStr">
        <is>
          <t>Jennifer DeMille</t>
        </is>
      </c>
      <c r="B5153" s="18" t="n">
        <v>1</v>
      </c>
      <c r="C5153" s="18" t="n">
        <v>2005</v>
      </c>
      <c r="D5153" s="18" t="n">
        <v>2005</v>
      </c>
      <c r="E5153" s="18" t="inlineStr">
        <is>
          <t>Mr. &amp; Mrs. Smith</t>
        </is>
      </c>
      <c r="F5153" s="18" t="inlineStr">
        <is>
          <t>F0231</t>
        </is>
      </c>
    </row>
    <row r="5154" ht="15.75" customHeight="1" s="108">
      <c r="A5154" s="18" t="inlineStr">
        <is>
          <t>Bill Barretta</t>
        </is>
      </c>
      <c r="B5154" s="18" t="n">
        <v>1</v>
      </c>
      <c r="C5154" s="18" t="n">
        <v>2014</v>
      </c>
      <c r="D5154" s="18" t="n">
        <v>2014</v>
      </c>
      <c r="E5154" s="18" t="inlineStr">
        <is>
          <t>Muppets Most Wanted</t>
        </is>
      </c>
      <c r="F5154" s="18" t="inlineStr">
        <is>
          <t>F0232</t>
        </is>
      </c>
    </row>
    <row r="5155" ht="15.75" customHeight="1" s="108">
      <c r="A5155" s="18" t="inlineStr">
        <is>
          <t>David Rudman</t>
        </is>
      </c>
      <c r="B5155" s="18" t="n">
        <v>1</v>
      </c>
      <c r="C5155" s="18" t="n">
        <v>2014</v>
      </c>
      <c r="D5155" s="18" t="n">
        <v>2014</v>
      </c>
      <c r="E5155" s="18" t="inlineStr">
        <is>
          <t>Muppets Most Wanted</t>
        </is>
      </c>
      <c r="F5155" s="18" t="inlineStr">
        <is>
          <t>F0232</t>
        </is>
      </c>
    </row>
    <row r="5156" ht="15.75" customHeight="1" s="108">
      <c r="A5156" s="18" t="inlineStr">
        <is>
          <t>Matt Vogel</t>
        </is>
      </c>
      <c r="B5156" s="18" t="n">
        <v>1</v>
      </c>
      <c r="C5156" s="18" t="n">
        <v>2014</v>
      </c>
      <c r="D5156" s="18" t="n">
        <v>2014</v>
      </c>
      <c r="E5156" s="18" t="inlineStr">
        <is>
          <t>Muppets Most Wanted</t>
        </is>
      </c>
      <c r="F5156" s="18" t="inlineStr">
        <is>
          <t>F0232</t>
        </is>
      </c>
    </row>
    <row r="5157" ht="15.75" customHeight="1" s="108">
      <c r="A5157" s="18" t="inlineStr">
        <is>
          <t>Peter Linz</t>
        </is>
      </c>
      <c r="B5157" s="18" t="n">
        <v>1</v>
      </c>
      <c r="C5157" s="18" t="n">
        <v>2014</v>
      </c>
      <c r="D5157" s="18" t="n">
        <v>2014</v>
      </c>
      <c r="E5157" s="18" t="inlineStr">
        <is>
          <t>Muppets Most Wanted</t>
        </is>
      </c>
      <c r="F5157" s="18" t="inlineStr">
        <is>
          <t>F0232</t>
        </is>
      </c>
    </row>
    <row r="5158" ht="15.75" customHeight="1" s="108">
      <c r="A5158" s="18" t="inlineStr">
        <is>
          <t>Tony Bennett</t>
        </is>
      </c>
      <c r="B5158" s="18" t="n">
        <v>1</v>
      </c>
      <c r="C5158" s="18" t="n">
        <v>2014</v>
      </c>
      <c r="D5158" s="18" t="n">
        <v>2014</v>
      </c>
      <c r="E5158" s="18" t="inlineStr">
        <is>
          <t>Muppets Most Wanted</t>
        </is>
      </c>
      <c r="F5158" s="18" t="inlineStr">
        <is>
          <t>F0232</t>
        </is>
      </c>
    </row>
    <row r="5159" ht="15.75" customHeight="1" s="108">
      <c r="A5159" s="18" t="inlineStr">
        <is>
          <t>Ross Lynch</t>
        </is>
      </c>
      <c r="B5159" s="18" t="n">
        <v>1</v>
      </c>
      <c r="C5159" s="18" t="n">
        <v>2014</v>
      </c>
      <c r="D5159" s="18" t="n">
        <v>2014</v>
      </c>
      <c r="E5159" s="18" t="inlineStr">
        <is>
          <t>Muppets Most Wanted</t>
        </is>
      </c>
      <c r="F5159" s="18" t="inlineStr">
        <is>
          <t>F0232</t>
        </is>
      </c>
    </row>
    <row r="5160" ht="15.75" customHeight="1" s="108">
      <c r="A5160" s="18" t="inlineStr">
        <is>
          <t>James Pasierbowicz</t>
        </is>
      </c>
      <c r="B5160" s="18" t="n">
        <v>1</v>
      </c>
      <c r="C5160" s="18" t="n">
        <v>2014</v>
      </c>
      <c r="D5160" s="18" t="n">
        <v>2014</v>
      </c>
      <c r="E5160" s="18" t="inlineStr">
        <is>
          <t>Muppets Most Wanted</t>
        </is>
      </c>
      <c r="F5160" s="18" t="inlineStr">
        <is>
          <t>F0232</t>
        </is>
      </c>
    </row>
    <row r="5161" ht="15.75" customHeight="1" s="108">
      <c r="A5161" s="18" t="inlineStr">
        <is>
          <t>Richard Herdman</t>
        </is>
      </c>
      <c r="B5161" s="18" t="n">
        <v>1</v>
      </c>
      <c r="C5161" s="18" t="n">
        <v>2014</v>
      </c>
      <c r="D5161" s="18" t="n">
        <v>2014</v>
      </c>
      <c r="E5161" s="18" t="inlineStr">
        <is>
          <t>Muppets Most Wanted</t>
        </is>
      </c>
      <c r="F5161" s="18" t="inlineStr">
        <is>
          <t>F0232</t>
        </is>
      </c>
    </row>
    <row r="5162" ht="15.75" customHeight="1" s="108">
      <c r="A5162" s="18" t="inlineStr">
        <is>
          <t>Luke Howard</t>
        </is>
      </c>
      <c r="B5162" s="18" t="n">
        <v>1</v>
      </c>
      <c r="C5162" s="18" t="n">
        <v>2014</v>
      </c>
      <c r="D5162" s="18" t="n">
        <v>2014</v>
      </c>
      <c r="E5162" s="18" t="inlineStr">
        <is>
          <t>Muppets Most Wanted</t>
        </is>
      </c>
      <c r="F5162" s="18" t="inlineStr">
        <is>
          <t>F0232</t>
        </is>
      </c>
    </row>
    <row r="5163" ht="15.75" customHeight="1" s="108">
      <c r="A5163" s="18" t="inlineStr">
        <is>
          <t>Pete Meads</t>
        </is>
      </c>
      <c r="B5163" s="18" t="n">
        <v>1</v>
      </c>
      <c r="C5163" s="18" t="n">
        <v>2014</v>
      </c>
      <c r="D5163" s="18" t="n">
        <v>2014</v>
      </c>
      <c r="E5163" s="18" t="inlineStr">
        <is>
          <t>Muppets Most Wanted</t>
        </is>
      </c>
      <c r="F5163" s="18" t="inlineStr">
        <is>
          <t>F0232</t>
        </is>
      </c>
    </row>
    <row r="5164" ht="15.75" customHeight="1" s="108">
      <c r="A5164" s="18" t="inlineStr">
        <is>
          <t>Ricky Rajpal</t>
        </is>
      </c>
      <c r="B5164" s="18" t="n">
        <v>1</v>
      </c>
      <c r="C5164" s="18" t="n">
        <v>2014</v>
      </c>
      <c r="D5164" s="18" t="n">
        <v>2014</v>
      </c>
      <c r="E5164" s="18" t="inlineStr">
        <is>
          <t>Muppets Most Wanted</t>
        </is>
      </c>
      <c r="F5164" s="18" t="inlineStr">
        <is>
          <t>F0232</t>
        </is>
      </c>
    </row>
    <row r="5165" ht="15.75" customHeight="1" s="108">
      <c r="A5165" s="18" t="inlineStr">
        <is>
          <t>Frank Langella</t>
        </is>
      </c>
      <c r="B5165" s="18" t="n">
        <v>2</v>
      </c>
      <c r="C5165" s="18" t="n">
        <v>2011</v>
      </c>
      <c r="D5165" s="18" t="n">
        <v>2014</v>
      </c>
      <c r="E5165" s="18" t="inlineStr">
        <is>
          <t>Muppets Most Wanted, Unknown</t>
        </is>
      </c>
      <c r="F5165" s="18" t="inlineStr">
        <is>
          <t>F0232, F0329</t>
        </is>
      </c>
    </row>
    <row r="5166" ht="15.75" customHeight="1" s="108">
      <c r="A5166" s="18" t="inlineStr">
        <is>
          <t>Harvey Keitel</t>
        </is>
      </c>
      <c r="B5166" s="18" t="n">
        <v>1</v>
      </c>
      <c r="C5166" s="18" t="n">
        <v>2007</v>
      </c>
      <c r="D5166" s="18" t="n">
        <v>2007</v>
      </c>
      <c r="E5166" s="18" t="inlineStr">
        <is>
          <t>National Treasure: Book of Secrets</t>
        </is>
      </c>
      <c r="F5166" s="18" t="inlineStr">
        <is>
          <t>F0233</t>
        </is>
      </c>
    </row>
    <row r="5167" ht="15.75" customHeight="1" s="108">
      <c r="A5167" s="18" t="inlineStr">
        <is>
          <t>Michael Maize</t>
        </is>
      </c>
      <c r="B5167" s="18" t="n">
        <v>1</v>
      </c>
      <c r="C5167" s="18" t="n">
        <v>2007</v>
      </c>
      <c r="D5167" s="18" t="n">
        <v>2007</v>
      </c>
      <c r="E5167" s="18" t="inlineStr">
        <is>
          <t>National Treasure: Book of Secrets</t>
        </is>
      </c>
      <c r="F5167" s="18" t="inlineStr">
        <is>
          <t>F0233</t>
        </is>
      </c>
    </row>
    <row r="5168" ht="15.75" customHeight="1" s="108">
      <c r="A5168" s="18" t="inlineStr">
        <is>
          <t>Timothy V. Murphy</t>
        </is>
      </c>
      <c r="B5168" s="18" t="n">
        <v>1</v>
      </c>
      <c r="C5168" s="18" t="n">
        <v>2007</v>
      </c>
      <c r="D5168" s="18" t="n">
        <v>2007</v>
      </c>
      <c r="E5168" s="18" t="inlineStr">
        <is>
          <t>National Treasure: Book of Secrets</t>
        </is>
      </c>
      <c r="F5168" s="18" t="inlineStr">
        <is>
          <t>F0233</t>
        </is>
      </c>
    </row>
    <row r="5169" ht="15.75" customHeight="1" s="108">
      <c r="A5169" s="18" t="inlineStr">
        <is>
          <t>Alicia Coppola</t>
        </is>
      </c>
      <c r="B5169" s="18" t="n">
        <v>1</v>
      </c>
      <c r="C5169" s="18" t="n">
        <v>2007</v>
      </c>
      <c r="D5169" s="18" t="n">
        <v>2007</v>
      </c>
      <c r="E5169" s="18" t="inlineStr">
        <is>
          <t>National Treasure: Book of Secrets</t>
        </is>
      </c>
      <c r="F5169" s="18" t="inlineStr">
        <is>
          <t>F0233</t>
        </is>
      </c>
    </row>
    <row r="5170" ht="15.75" customHeight="1" s="108">
      <c r="A5170" s="18" t="inlineStr">
        <is>
          <t>Armando Riesco</t>
        </is>
      </c>
      <c r="B5170" s="18" t="n">
        <v>1</v>
      </c>
      <c r="C5170" s="18" t="n">
        <v>2007</v>
      </c>
      <c r="D5170" s="18" t="n">
        <v>2007</v>
      </c>
      <c r="E5170" s="18" t="inlineStr">
        <is>
          <t>National Treasure: Book of Secrets</t>
        </is>
      </c>
      <c r="F5170" s="18" t="inlineStr">
        <is>
          <t>F0233</t>
        </is>
      </c>
    </row>
    <row r="5171" ht="15.75" customHeight="1" s="108">
      <c r="A5171" s="18" t="inlineStr">
        <is>
          <t>Albert Hall</t>
        </is>
      </c>
      <c r="B5171" s="18" t="n">
        <v>1</v>
      </c>
      <c r="C5171" s="18" t="n">
        <v>2007</v>
      </c>
      <c r="D5171" s="18" t="n">
        <v>2007</v>
      </c>
      <c r="E5171" s="18" t="inlineStr">
        <is>
          <t>National Treasure: Book of Secrets</t>
        </is>
      </c>
      <c r="F5171" s="18" t="inlineStr">
        <is>
          <t>F0233</t>
        </is>
      </c>
    </row>
    <row r="5172" ht="15.75" customHeight="1" s="108">
      <c r="A5172" s="18" t="inlineStr">
        <is>
          <t>Joel Gretsch</t>
        </is>
      </c>
      <c r="B5172" s="18" t="n">
        <v>1</v>
      </c>
      <c r="C5172" s="18" t="n">
        <v>2007</v>
      </c>
      <c r="D5172" s="18" t="n">
        <v>2007</v>
      </c>
      <c r="E5172" s="18" t="inlineStr">
        <is>
          <t>National Treasure: Book of Secrets</t>
        </is>
      </c>
      <c r="F5172" s="18" t="inlineStr">
        <is>
          <t>F0233</t>
        </is>
      </c>
    </row>
    <row r="5173" ht="15.75" customHeight="1" s="108">
      <c r="A5173" s="18" t="inlineStr">
        <is>
          <t>Christian Camargo</t>
        </is>
      </c>
      <c r="B5173" s="18" t="n">
        <v>1</v>
      </c>
      <c r="C5173" s="18" t="n">
        <v>2007</v>
      </c>
      <c r="D5173" s="18" t="n">
        <v>2007</v>
      </c>
      <c r="E5173" s="18" t="inlineStr">
        <is>
          <t>National Treasure: Book of Secrets</t>
        </is>
      </c>
      <c r="F5173" s="18" t="inlineStr">
        <is>
          <t>F0233</t>
        </is>
      </c>
    </row>
    <row r="5174" ht="15.75" customHeight="1" s="108">
      <c r="A5174" s="18" t="inlineStr">
        <is>
          <t>Brent Briscoe</t>
        </is>
      </c>
      <c r="B5174" s="18" t="n">
        <v>2</v>
      </c>
      <c r="C5174" s="18" t="n">
        <v>2004</v>
      </c>
      <c r="D5174" s="18" t="n">
        <v>2007</v>
      </c>
      <c r="E5174" s="18" t="inlineStr">
        <is>
          <t>National Treasure: Book of Secrets, Spider-Man 2</t>
        </is>
      </c>
      <c r="F5174" s="18" t="inlineStr">
        <is>
          <t>F0233, F0288</t>
        </is>
      </c>
    </row>
    <row r="5175" ht="15.75" customHeight="1" s="108">
      <c r="A5175" s="18" t="inlineStr">
        <is>
          <t>William Brent</t>
        </is>
      </c>
      <c r="B5175" s="18" t="n">
        <v>1</v>
      </c>
      <c r="C5175" s="18" t="n">
        <v>2007</v>
      </c>
      <c r="D5175" s="18" t="n">
        <v>2007</v>
      </c>
      <c r="E5175" s="18" t="inlineStr">
        <is>
          <t>National Treasure: Book of Secrets</t>
        </is>
      </c>
      <c r="F5175" s="18" t="inlineStr">
        <is>
          <t>F0233</t>
        </is>
      </c>
    </row>
    <row r="5176" ht="15.75" customHeight="1" s="108">
      <c r="A5176" s="18" t="inlineStr">
        <is>
          <t>Michael Manuel</t>
        </is>
      </c>
      <c r="B5176" s="18" t="n">
        <v>1</v>
      </c>
      <c r="C5176" s="18" t="n">
        <v>2007</v>
      </c>
      <c r="D5176" s="18" t="n">
        <v>2007</v>
      </c>
      <c r="E5176" s="18" t="inlineStr">
        <is>
          <t>National Treasure: Book of Secrets</t>
        </is>
      </c>
      <c r="F5176" s="18" t="inlineStr">
        <is>
          <t>F0233</t>
        </is>
      </c>
    </row>
    <row r="5177" ht="15.75" customHeight="1" s="108">
      <c r="A5177" s="18" t="inlineStr">
        <is>
          <t>Brad Rowe</t>
        </is>
      </c>
      <c r="B5177" s="18" t="n">
        <v>1</v>
      </c>
      <c r="C5177" s="18" t="n">
        <v>2007</v>
      </c>
      <c r="D5177" s="18" t="n">
        <v>2007</v>
      </c>
      <c r="E5177" s="18" t="inlineStr">
        <is>
          <t>National Treasure: Book of Secrets</t>
        </is>
      </c>
      <c r="F5177" s="18" t="inlineStr">
        <is>
          <t>F0233</t>
        </is>
      </c>
    </row>
    <row r="5178" ht="15.75" customHeight="1" s="108">
      <c r="A5178" s="18" t="inlineStr">
        <is>
          <t>Zachary Gordon</t>
        </is>
      </c>
      <c r="B5178" s="18" t="n">
        <v>1</v>
      </c>
      <c r="C5178" s="18" t="n">
        <v>2007</v>
      </c>
      <c r="D5178" s="18" t="n">
        <v>2007</v>
      </c>
      <c r="E5178" s="18" t="inlineStr">
        <is>
          <t>National Treasure: Book of Secrets</t>
        </is>
      </c>
      <c r="F5178" s="18" t="inlineStr">
        <is>
          <t>F0233</t>
        </is>
      </c>
    </row>
    <row r="5179" ht="15.75" customHeight="1" s="108">
      <c r="A5179" s="18" t="inlineStr">
        <is>
          <t>Peter Woodward</t>
        </is>
      </c>
      <c r="B5179" s="18" t="n">
        <v>1</v>
      </c>
      <c r="C5179" s="18" t="n">
        <v>2007</v>
      </c>
      <c r="D5179" s="18" t="n">
        <v>2007</v>
      </c>
      <c r="E5179" s="18" t="inlineStr">
        <is>
          <t>National Treasure: Book of Secrets</t>
        </is>
      </c>
      <c r="F5179" s="18" t="inlineStr">
        <is>
          <t>F0233</t>
        </is>
      </c>
    </row>
    <row r="5180" ht="15.75" customHeight="1" s="108">
      <c r="A5180" s="18" t="inlineStr">
        <is>
          <t>Oliver Muirhead</t>
        </is>
      </c>
      <c r="B5180" s="18" t="n">
        <v>1</v>
      </c>
      <c r="C5180" s="18" t="n">
        <v>2007</v>
      </c>
      <c r="D5180" s="18" t="n">
        <v>2007</v>
      </c>
      <c r="E5180" s="18" t="inlineStr">
        <is>
          <t>National Treasure: Book of Secrets</t>
        </is>
      </c>
      <c r="F5180" s="18" t="inlineStr">
        <is>
          <t>F0233</t>
        </is>
      </c>
    </row>
    <row r="5181" ht="15.75" customHeight="1" s="108">
      <c r="A5181" s="18" t="inlineStr">
        <is>
          <t>Larry Cedar</t>
        </is>
      </c>
      <c r="B5181" s="18" t="n">
        <v>1</v>
      </c>
      <c r="C5181" s="18" t="n">
        <v>2007</v>
      </c>
      <c r="D5181" s="18" t="n">
        <v>2007</v>
      </c>
      <c r="E5181" s="18" t="inlineStr">
        <is>
          <t>National Treasure: Book of Secrets</t>
        </is>
      </c>
      <c r="F5181" s="18" t="inlineStr">
        <is>
          <t>F0233</t>
        </is>
      </c>
    </row>
    <row r="5182" ht="15.75" customHeight="1" s="108">
      <c r="A5182" s="18" t="inlineStr">
        <is>
          <t>Troy Winbush</t>
        </is>
      </c>
      <c r="B5182" s="18" t="n">
        <v>1</v>
      </c>
      <c r="C5182" s="18" t="n">
        <v>2007</v>
      </c>
      <c r="D5182" s="18" t="n">
        <v>2007</v>
      </c>
      <c r="E5182" s="18" t="inlineStr">
        <is>
          <t>National Treasure: Book of Secrets</t>
        </is>
      </c>
      <c r="F5182" s="18" t="inlineStr">
        <is>
          <t>F0233</t>
        </is>
      </c>
    </row>
    <row r="5183" ht="15.75" customHeight="1" s="108">
      <c r="A5183" s="18" t="inlineStr">
        <is>
          <t>Billy Devlin</t>
        </is>
      </c>
      <c r="B5183" s="18" t="n">
        <v>1</v>
      </c>
      <c r="C5183" s="18" t="n">
        <v>2007</v>
      </c>
      <c r="D5183" s="18" t="n">
        <v>2007</v>
      </c>
      <c r="E5183" s="18" t="inlineStr">
        <is>
          <t>National Treasure: Book of Secrets</t>
        </is>
      </c>
      <c r="F5183" s="18" t="inlineStr">
        <is>
          <t>F0233</t>
        </is>
      </c>
    </row>
    <row r="5184" ht="15.75" customHeight="1" s="108">
      <c r="A5184" s="18" t="inlineStr">
        <is>
          <t>William R. Johnson</t>
        </is>
      </c>
      <c r="B5184" s="18" t="n">
        <v>1</v>
      </c>
      <c r="C5184" s="18" t="n">
        <v>2007</v>
      </c>
      <c r="D5184" s="18" t="n">
        <v>2007</v>
      </c>
      <c r="E5184" s="18" t="inlineStr">
        <is>
          <t>National Treasure: Book of Secrets</t>
        </is>
      </c>
      <c r="F5184" s="18" t="inlineStr">
        <is>
          <t>F0233</t>
        </is>
      </c>
    </row>
    <row r="5185" ht="15.75" customHeight="1" s="108">
      <c r="A5185" s="18" t="inlineStr">
        <is>
          <t>Richard Cutting</t>
        </is>
      </c>
      <c r="B5185" s="18" t="n">
        <v>1</v>
      </c>
      <c r="C5185" s="18" t="n">
        <v>2007</v>
      </c>
      <c r="D5185" s="18" t="n">
        <v>2007</v>
      </c>
      <c r="E5185" s="18" t="inlineStr">
        <is>
          <t>National Treasure: Book of Secrets</t>
        </is>
      </c>
      <c r="F5185" s="18" t="inlineStr">
        <is>
          <t>F0233</t>
        </is>
      </c>
    </row>
    <row r="5186" ht="15.75" customHeight="1" s="108">
      <c r="A5186" s="18" t="inlineStr">
        <is>
          <t>Alicia Leigh Willis</t>
        </is>
      </c>
      <c r="B5186" s="18" t="n">
        <v>1</v>
      </c>
      <c r="C5186" s="18" t="n">
        <v>2007</v>
      </c>
      <c r="D5186" s="18" t="n">
        <v>2007</v>
      </c>
      <c r="E5186" s="18" t="inlineStr">
        <is>
          <t>National Treasure: Book of Secrets</t>
        </is>
      </c>
      <c r="F5186" s="18" t="inlineStr">
        <is>
          <t>F0233</t>
        </is>
      </c>
    </row>
    <row r="5187" ht="15.75" customHeight="1" s="108">
      <c r="A5187" s="18" t="inlineStr">
        <is>
          <t>Rachel Cora Wood</t>
        </is>
      </c>
      <c r="B5187" s="18" t="n">
        <v>1</v>
      </c>
      <c r="C5187" s="18" t="n">
        <v>2007</v>
      </c>
      <c r="D5187" s="18" t="n">
        <v>2007</v>
      </c>
      <c r="E5187" s="18" t="inlineStr">
        <is>
          <t>National Treasure: Book of Secrets</t>
        </is>
      </c>
      <c r="F5187" s="18" t="inlineStr">
        <is>
          <t>F0233</t>
        </is>
      </c>
    </row>
    <row r="5188" ht="15.75" customHeight="1" s="108">
      <c r="A5188" s="18" t="inlineStr">
        <is>
          <t>Harrison Gilbertson</t>
        </is>
      </c>
      <c r="B5188" s="18" t="n">
        <v>1</v>
      </c>
      <c r="C5188" s="18" t="n">
        <v>2014</v>
      </c>
      <c r="D5188" s="18" t="n">
        <v>2014</v>
      </c>
      <c r="E5188" s="18" t="inlineStr">
        <is>
          <t>Need for Speed</t>
        </is>
      </c>
      <c r="F5188" s="18" t="inlineStr">
        <is>
          <t>F0234</t>
        </is>
      </c>
    </row>
    <row r="5189" ht="15.75" customHeight="1" s="108">
      <c r="A5189" s="18" t="inlineStr">
        <is>
          <t>Stevie Ray Dallimore</t>
        </is>
      </c>
      <c r="B5189" s="18" t="n">
        <v>1</v>
      </c>
      <c r="C5189" s="18" t="n">
        <v>2014</v>
      </c>
      <c r="D5189" s="18" t="n">
        <v>2014</v>
      </c>
      <c r="E5189" s="18" t="inlineStr">
        <is>
          <t>Need for Speed</t>
        </is>
      </c>
      <c r="F5189" s="18" t="inlineStr">
        <is>
          <t>F0234</t>
        </is>
      </c>
    </row>
    <row r="5190" ht="15.75" customHeight="1" s="108">
      <c r="A5190" s="18" t="inlineStr">
        <is>
          <t>Alan Pflueger</t>
        </is>
      </c>
      <c r="B5190" s="18" t="n">
        <v>1</v>
      </c>
      <c r="C5190" s="18" t="n">
        <v>2014</v>
      </c>
      <c r="D5190" s="18" t="n">
        <v>2014</v>
      </c>
      <c r="E5190" s="18" t="inlineStr">
        <is>
          <t>Need for Speed</t>
        </is>
      </c>
      <c r="F5190" s="18" t="inlineStr">
        <is>
          <t>F0234</t>
        </is>
      </c>
    </row>
    <row r="5191" ht="15.75" customHeight="1" s="108">
      <c r="A5191" s="18" t="inlineStr">
        <is>
          <t>Brian Keaulana</t>
        </is>
      </c>
      <c r="B5191" s="18" t="n">
        <v>1</v>
      </c>
      <c r="C5191" s="18" t="n">
        <v>2014</v>
      </c>
      <c r="D5191" s="18" t="n">
        <v>2014</v>
      </c>
      <c r="E5191" s="18" t="inlineStr">
        <is>
          <t>Need for Speed</t>
        </is>
      </c>
      <c r="F5191" s="18" t="inlineStr">
        <is>
          <t>F0234</t>
        </is>
      </c>
    </row>
    <row r="5192" ht="15.75" customHeight="1" s="108">
      <c r="A5192" s="18" t="inlineStr">
        <is>
          <t>Logan Holladay</t>
        </is>
      </c>
      <c r="B5192" s="18" t="n">
        <v>1</v>
      </c>
      <c r="C5192" s="18" t="n">
        <v>2014</v>
      </c>
      <c r="D5192" s="18" t="n">
        <v>2014</v>
      </c>
      <c r="E5192" s="18" t="inlineStr">
        <is>
          <t>Need for Speed</t>
        </is>
      </c>
      <c r="F5192" s="18" t="inlineStr">
        <is>
          <t>F0234</t>
        </is>
      </c>
    </row>
    <row r="5193" ht="15.75" customHeight="1" s="108">
      <c r="A5193" s="18" t="inlineStr">
        <is>
          <t>Carmela Zumbado</t>
        </is>
      </c>
      <c r="B5193" s="18" t="n">
        <v>1</v>
      </c>
      <c r="C5193" s="18" t="n">
        <v>2014</v>
      </c>
      <c r="D5193" s="18" t="n">
        <v>2014</v>
      </c>
      <c r="E5193" s="18" t="inlineStr">
        <is>
          <t>Need for Speed</t>
        </is>
      </c>
      <c r="F5193" s="18" t="inlineStr">
        <is>
          <t>F0234</t>
        </is>
      </c>
    </row>
    <row r="5194" ht="15.75" customHeight="1" s="108">
      <c r="A5194" s="18" t="inlineStr">
        <is>
          <t>Jalil Jay Lynch</t>
        </is>
      </c>
      <c r="B5194" s="18" t="n">
        <v>1</v>
      </c>
      <c r="C5194" s="18" t="n">
        <v>2014</v>
      </c>
      <c r="D5194" s="18" t="n">
        <v>2014</v>
      </c>
      <c r="E5194" s="18" t="inlineStr">
        <is>
          <t>Need for Speed</t>
        </is>
      </c>
      <c r="F5194" s="18" t="inlineStr">
        <is>
          <t>F0234</t>
        </is>
      </c>
    </row>
    <row r="5195" ht="15.75" customHeight="1" s="108">
      <c r="A5195" s="18" t="inlineStr">
        <is>
          <t>Buddy Joe Hooker</t>
        </is>
      </c>
      <c r="B5195" s="18" t="n">
        <v>1</v>
      </c>
      <c r="C5195" s="18" t="n">
        <v>2014</v>
      </c>
      <c r="D5195" s="18" t="n">
        <v>2014</v>
      </c>
      <c r="E5195" s="18" t="inlineStr">
        <is>
          <t>Need for Speed</t>
        </is>
      </c>
      <c r="F5195" s="18" t="inlineStr">
        <is>
          <t>F0234</t>
        </is>
      </c>
    </row>
    <row r="5196" ht="15.75" customHeight="1" s="108">
      <c r="A5196" s="18" t="inlineStr">
        <is>
          <t>Rich Rutherford</t>
        </is>
      </c>
      <c r="B5196" s="18" t="n">
        <v>1</v>
      </c>
      <c r="C5196" s="18" t="n">
        <v>2014</v>
      </c>
      <c r="D5196" s="18" t="n">
        <v>2014</v>
      </c>
      <c r="E5196" s="18" t="inlineStr">
        <is>
          <t>Need for Speed</t>
        </is>
      </c>
      <c r="F5196" s="18" t="inlineStr">
        <is>
          <t>F0234</t>
        </is>
      </c>
    </row>
    <row r="5197" ht="15.75" customHeight="1" s="108">
      <c r="A5197" s="18" t="inlineStr">
        <is>
          <t>Tony Brakohiapa</t>
        </is>
      </c>
      <c r="B5197" s="18" t="n">
        <v>1</v>
      </c>
      <c r="C5197" s="18" t="n">
        <v>2014</v>
      </c>
      <c r="D5197" s="18" t="n">
        <v>2014</v>
      </c>
      <c r="E5197" s="18" t="inlineStr">
        <is>
          <t>Need for Speed</t>
        </is>
      </c>
      <c r="F5197" s="18" t="inlineStr">
        <is>
          <t>F0234</t>
        </is>
      </c>
    </row>
    <row r="5198" ht="15.75" customHeight="1" s="108">
      <c r="A5198" s="18" t="inlineStr">
        <is>
          <t>Brent Fletcher</t>
        </is>
      </c>
      <c r="B5198" s="18" t="n">
        <v>1</v>
      </c>
      <c r="C5198" s="18" t="n">
        <v>2014</v>
      </c>
      <c r="D5198" s="18" t="n">
        <v>2014</v>
      </c>
      <c r="E5198" s="18" t="inlineStr">
        <is>
          <t>Need for Speed</t>
        </is>
      </c>
      <c r="F5198" s="18" t="inlineStr">
        <is>
          <t>F0234</t>
        </is>
      </c>
    </row>
    <row r="5199" ht="15.75" customHeight="1" s="108">
      <c r="A5199" s="18" t="inlineStr">
        <is>
          <t>Paul Dallenbach</t>
        </is>
      </c>
      <c r="B5199" s="18" t="n">
        <v>1</v>
      </c>
      <c r="C5199" s="18" t="n">
        <v>2014</v>
      </c>
      <c r="D5199" s="18" t="n">
        <v>2014</v>
      </c>
      <c r="E5199" s="18" t="inlineStr">
        <is>
          <t>Need for Speed</t>
        </is>
      </c>
      <c r="F5199" s="18" t="inlineStr">
        <is>
          <t>F0234</t>
        </is>
      </c>
    </row>
    <row r="5200" ht="15.75" customHeight="1" s="108">
      <c r="A5200" s="18" t="inlineStr">
        <is>
          <t>Kanin Howell</t>
        </is>
      </c>
      <c r="B5200" s="18" t="n">
        <v>1</v>
      </c>
      <c r="C5200" s="18" t="n">
        <v>2014</v>
      </c>
      <c r="D5200" s="18" t="n">
        <v>2014</v>
      </c>
      <c r="E5200" s="18" t="inlineStr">
        <is>
          <t>Need for Speed</t>
        </is>
      </c>
      <c r="F5200" s="18" t="inlineStr">
        <is>
          <t>F0234</t>
        </is>
      </c>
    </row>
    <row r="5201" ht="15.75" customHeight="1" s="108">
      <c r="A5201" s="18" t="inlineStr">
        <is>
          <t>Michael Rose</t>
        </is>
      </c>
      <c r="B5201" s="18" t="n">
        <v>1</v>
      </c>
      <c r="C5201" s="18" t="n">
        <v>2014</v>
      </c>
      <c r="D5201" s="18" t="n">
        <v>2014</v>
      </c>
      <c r="E5201" s="18" t="inlineStr">
        <is>
          <t>Need for Speed</t>
        </is>
      </c>
      <c r="F5201" s="18" t="inlineStr">
        <is>
          <t>F0234</t>
        </is>
      </c>
    </row>
    <row r="5202" ht="15.75" customHeight="1" s="108">
      <c r="A5202" s="18" t="inlineStr">
        <is>
          <t>Beth Waugh</t>
        </is>
      </c>
      <c r="B5202" s="18" t="n">
        <v>1</v>
      </c>
      <c r="C5202" s="18" t="n">
        <v>2014</v>
      </c>
      <c r="D5202" s="18" t="n">
        <v>2014</v>
      </c>
      <c r="E5202" s="18" t="inlineStr">
        <is>
          <t>Need for Speed</t>
        </is>
      </c>
      <c r="F5202" s="18" t="inlineStr">
        <is>
          <t>F0234</t>
        </is>
      </c>
    </row>
    <row r="5203" ht="15.75" customHeight="1" s="108">
      <c r="A5203" s="18" t="inlineStr">
        <is>
          <t>Frank Brennan</t>
        </is>
      </c>
      <c r="B5203" s="18" t="n">
        <v>1</v>
      </c>
      <c r="C5203" s="18" t="n">
        <v>2014</v>
      </c>
      <c r="D5203" s="18" t="n">
        <v>2014</v>
      </c>
      <c r="E5203" s="18" t="inlineStr">
        <is>
          <t>Need for Speed</t>
        </is>
      </c>
      <c r="F5203" s="18" t="inlineStr">
        <is>
          <t>F0234</t>
        </is>
      </c>
    </row>
    <row r="5204" ht="15.75" customHeight="1" s="108">
      <c r="A5204" s="18" t="inlineStr">
        <is>
          <t>Tara Jones</t>
        </is>
      </c>
      <c r="B5204" s="18" t="n">
        <v>1</v>
      </c>
      <c r="C5204" s="18" t="n">
        <v>2014</v>
      </c>
      <c r="D5204" s="18" t="n">
        <v>2014</v>
      </c>
      <c r="E5204" s="18" t="inlineStr">
        <is>
          <t>Need for Speed</t>
        </is>
      </c>
      <c r="F5204" s="18" t="inlineStr">
        <is>
          <t>F0234</t>
        </is>
      </c>
    </row>
    <row r="5205" ht="15.75" customHeight="1" s="108">
      <c r="A5205" s="18" t="inlineStr">
        <is>
          <t>Han Soto</t>
        </is>
      </c>
      <c r="B5205" s="18" t="n">
        <v>1</v>
      </c>
      <c r="C5205" s="18" t="n">
        <v>2014</v>
      </c>
      <c r="D5205" s="18" t="n">
        <v>2014</v>
      </c>
      <c r="E5205" s="18" t="inlineStr">
        <is>
          <t>Need for Speed</t>
        </is>
      </c>
      <c r="F5205" s="18" t="inlineStr">
        <is>
          <t>F0234</t>
        </is>
      </c>
    </row>
    <row r="5206" ht="15.75" customHeight="1" s="108">
      <c r="A5206" s="18" t="inlineStr">
        <is>
          <t>Yaya DaCosta</t>
        </is>
      </c>
      <c r="B5206" s="18" t="n">
        <v>1</v>
      </c>
      <c r="C5206" s="18" t="n">
        <v>2016</v>
      </c>
      <c r="D5206" s="18" t="n">
        <v>2016</v>
      </c>
      <c r="E5206" s="18" t="inlineStr">
        <is>
          <t>The Nice Guys</t>
        </is>
      </c>
      <c r="F5206" s="18" t="inlineStr">
        <is>
          <t>F0235</t>
        </is>
      </c>
    </row>
    <row r="5207" ht="15.75" customHeight="1" s="108">
      <c r="A5207" s="18" t="inlineStr">
        <is>
          <t>Beau Knapp</t>
        </is>
      </c>
      <c r="B5207" s="18" t="n">
        <v>3</v>
      </c>
      <c r="C5207" s="18" t="n">
        <v>2011</v>
      </c>
      <c r="D5207" s="18" t="n">
        <v>2016</v>
      </c>
      <c r="E5207" s="18" t="inlineStr">
        <is>
          <t>The Nice Guys, Southpaw, Super 8</t>
        </is>
      </c>
      <c r="F5207" s="18" t="inlineStr">
        <is>
          <t>F0235, F0286, F0302</t>
        </is>
      </c>
    </row>
    <row r="5208" ht="15.75" customHeight="1" s="108">
      <c r="A5208" s="18" t="inlineStr">
        <is>
          <t>Lois Smith</t>
        </is>
      </c>
      <c r="B5208" s="18" t="n">
        <v>1</v>
      </c>
      <c r="C5208" s="18" t="n">
        <v>2016</v>
      </c>
      <c r="D5208" s="18" t="n">
        <v>2016</v>
      </c>
      <c r="E5208" s="18" t="inlineStr">
        <is>
          <t>The Nice Guys</t>
        </is>
      </c>
      <c r="F5208" s="18" t="inlineStr">
        <is>
          <t>F0235</t>
        </is>
      </c>
    </row>
    <row r="5209" ht="15.75" customHeight="1" s="108">
      <c r="A5209" s="18" t="inlineStr">
        <is>
          <t>Murielle Telio</t>
        </is>
      </c>
      <c r="B5209" s="18" t="n">
        <v>1</v>
      </c>
      <c r="C5209" s="18" t="n">
        <v>2016</v>
      </c>
      <c r="D5209" s="18" t="n">
        <v>2016</v>
      </c>
      <c r="E5209" s="18" t="inlineStr">
        <is>
          <t>The Nice Guys</t>
        </is>
      </c>
      <c r="F5209" s="18" t="inlineStr">
        <is>
          <t>F0235</t>
        </is>
      </c>
    </row>
    <row r="5210" ht="15.75" customHeight="1" s="108">
      <c r="A5210" s="18" t="inlineStr">
        <is>
          <t>Gil Gerard</t>
        </is>
      </c>
      <c r="B5210" s="18" t="n">
        <v>1</v>
      </c>
      <c r="C5210" s="18" t="n">
        <v>2016</v>
      </c>
      <c r="D5210" s="18" t="n">
        <v>2016</v>
      </c>
      <c r="E5210" s="18" t="inlineStr">
        <is>
          <t>The Nice Guys</t>
        </is>
      </c>
      <c r="F5210" s="18" t="inlineStr">
        <is>
          <t>F0235</t>
        </is>
      </c>
    </row>
    <row r="5211" ht="15.75" customHeight="1" s="108">
      <c r="A5211" s="18" t="inlineStr">
        <is>
          <t>Daisy Tahan</t>
        </is>
      </c>
      <c r="B5211" s="18" t="n">
        <v>1</v>
      </c>
      <c r="C5211" s="18" t="n">
        <v>2016</v>
      </c>
      <c r="D5211" s="18" t="n">
        <v>2016</v>
      </c>
      <c r="E5211" s="18" t="inlineStr">
        <is>
          <t>The Nice Guys</t>
        </is>
      </c>
      <c r="F5211" s="18" t="inlineStr">
        <is>
          <t>F0235</t>
        </is>
      </c>
    </row>
    <row r="5212" ht="15.75" customHeight="1" s="108">
      <c r="A5212" s="18" t="inlineStr">
        <is>
          <t>Kim Basinger</t>
        </is>
      </c>
      <c r="B5212" s="18" t="n">
        <v>1</v>
      </c>
      <c r="C5212" s="18" t="n">
        <v>2016</v>
      </c>
      <c r="D5212" s="18" t="n">
        <v>2016</v>
      </c>
      <c r="E5212" s="18" t="inlineStr">
        <is>
          <t>The Nice Guys</t>
        </is>
      </c>
      <c r="F5212" s="18" t="inlineStr">
        <is>
          <t>F0235</t>
        </is>
      </c>
    </row>
    <row r="5213" ht="15.75" customHeight="1" s="108">
      <c r="A5213" s="18" t="inlineStr">
        <is>
          <t>Jack Kilmer</t>
        </is>
      </c>
      <c r="B5213" s="18" t="n">
        <v>1</v>
      </c>
      <c r="C5213" s="18" t="n">
        <v>2016</v>
      </c>
      <c r="D5213" s="18" t="n">
        <v>2016</v>
      </c>
      <c r="E5213" s="18" t="inlineStr">
        <is>
          <t>The Nice Guys</t>
        </is>
      </c>
      <c r="F5213" s="18" t="inlineStr">
        <is>
          <t>F0235</t>
        </is>
      </c>
    </row>
    <row r="5214" ht="15.75" customHeight="1" s="108">
      <c r="A5214" s="18" t="inlineStr">
        <is>
          <t>Lance Valentine Butler</t>
        </is>
      </c>
      <c r="B5214" s="18" t="n">
        <v>1</v>
      </c>
      <c r="C5214" s="18" t="n">
        <v>2016</v>
      </c>
      <c r="D5214" s="18" t="n">
        <v>2016</v>
      </c>
      <c r="E5214" s="18" t="inlineStr">
        <is>
          <t>The Nice Guys</t>
        </is>
      </c>
      <c r="F5214" s="18" t="inlineStr">
        <is>
          <t>F0235</t>
        </is>
      </c>
    </row>
    <row r="5215" ht="15.75" customHeight="1" s="108">
      <c r="A5215" s="18" t="inlineStr">
        <is>
          <t>Cayla Brady</t>
        </is>
      </c>
      <c r="B5215" s="18" t="n">
        <v>1</v>
      </c>
      <c r="C5215" s="18" t="n">
        <v>2016</v>
      </c>
      <c r="D5215" s="18" t="n">
        <v>2016</v>
      </c>
      <c r="E5215" s="18" t="inlineStr">
        <is>
          <t>The Nice Guys</t>
        </is>
      </c>
      <c r="F5215" s="18" t="inlineStr">
        <is>
          <t>F0235</t>
        </is>
      </c>
    </row>
    <row r="5216" ht="15.75" customHeight="1" s="108">
      <c r="A5216" s="18" t="inlineStr">
        <is>
          <t>Tammi Arender</t>
        </is>
      </c>
      <c r="B5216" s="18" t="n">
        <v>1</v>
      </c>
      <c r="C5216" s="18" t="n">
        <v>2016</v>
      </c>
      <c r="D5216" s="18" t="n">
        <v>2016</v>
      </c>
      <c r="E5216" s="18" t="inlineStr">
        <is>
          <t>The Nice Guys</t>
        </is>
      </c>
      <c r="F5216" s="18" t="inlineStr">
        <is>
          <t>F0235</t>
        </is>
      </c>
    </row>
    <row r="5217" ht="15.75" customHeight="1" s="108">
      <c r="A5217" s="18" t="inlineStr">
        <is>
          <t>Rebecca Dalton Rusk</t>
        </is>
      </c>
      <c r="B5217" s="18" t="n">
        <v>1</v>
      </c>
      <c r="C5217" s="18" t="n">
        <v>2016</v>
      </c>
      <c r="D5217" s="18" t="n">
        <v>2016</v>
      </c>
      <c r="E5217" s="18" t="inlineStr">
        <is>
          <t>The Nice Guys</t>
        </is>
      </c>
      <c r="F5217" s="18" t="inlineStr">
        <is>
          <t>F0235</t>
        </is>
      </c>
    </row>
    <row r="5218" ht="15.75" customHeight="1" s="108">
      <c r="A5218" s="18" t="inlineStr">
        <is>
          <t>Terence Rosemore</t>
        </is>
      </c>
      <c r="B5218" s="18" t="n">
        <v>2</v>
      </c>
      <c r="C5218" s="18" t="n">
        <v>2016</v>
      </c>
      <c r="D5218" s="18" t="n">
        <v>2025</v>
      </c>
      <c r="E5218" s="18" t="inlineStr">
        <is>
          <t>The Nice Guys, Superman</t>
        </is>
      </c>
      <c r="F5218" s="18" t="inlineStr">
        <is>
          <t>F0235, F0304</t>
        </is>
      </c>
    </row>
    <row r="5219" ht="15.75" customHeight="1" s="108">
      <c r="A5219" s="18" t="inlineStr">
        <is>
          <t>John L. Morris</t>
        </is>
      </c>
      <c r="B5219" s="18" t="n">
        <v>1</v>
      </c>
      <c r="C5219" s="18" t="n">
        <v>2016</v>
      </c>
      <c r="D5219" s="18" t="n">
        <v>2016</v>
      </c>
      <c r="E5219" s="18" t="inlineStr">
        <is>
          <t>The Nice Guys</t>
        </is>
      </c>
      <c r="F5219" s="18" t="inlineStr">
        <is>
          <t>F0235</t>
        </is>
      </c>
    </row>
    <row r="5220" ht="15.75" customHeight="1" s="108">
      <c r="A5220" s="18" t="inlineStr">
        <is>
          <t>Michelle Rivera Huckaby</t>
        </is>
      </c>
      <c r="B5220" s="18" t="n">
        <v>1</v>
      </c>
      <c r="C5220" s="18" t="n">
        <v>2016</v>
      </c>
      <c r="D5220" s="18" t="n">
        <v>2016</v>
      </c>
      <c r="E5220" s="18" t="inlineStr">
        <is>
          <t>The Nice Guys</t>
        </is>
      </c>
      <c r="F5220" s="18" t="inlineStr">
        <is>
          <t>F0235</t>
        </is>
      </c>
    </row>
    <row r="5221" ht="15.75" customHeight="1" s="108">
      <c r="A5221" s="18" t="inlineStr">
        <is>
          <t>Nathaniel 'Nate' Scott</t>
        </is>
      </c>
      <c r="B5221" s="18" t="n">
        <v>1</v>
      </c>
      <c r="C5221" s="18" t="n">
        <v>2016</v>
      </c>
      <c r="D5221" s="18" t="n">
        <v>2016</v>
      </c>
      <c r="E5221" s="18" t="inlineStr">
        <is>
          <t>The Nice Guys</t>
        </is>
      </c>
      <c r="F5221" s="18" t="inlineStr">
        <is>
          <t>F0235</t>
        </is>
      </c>
    </row>
    <row r="5222" ht="15.75" customHeight="1" s="108">
      <c r="A5222" s="18" t="inlineStr">
        <is>
          <t>Amy Goddard</t>
        </is>
      </c>
      <c r="B5222" s="18" t="n">
        <v>1</v>
      </c>
      <c r="C5222" s="18" t="n">
        <v>2016</v>
      </c>
      <c r="D5222" s="18" t="n">
        <v>2016</v>
      </c>
      <c r="E5222" s="18" t="inlineStr">
        <is>
          <t>The Nice Guys</t>
        </is>
      </c>
      <c r="F5222" s="18" t="inlineStr">
        <is>
          <t>F0235</t>
        </is>
      </c>
    </row>
    <row r="5223" ht="15.75" customHeight="1" s="108">
      <c r="A5223" s="18" t="inlineStr">
        <is>
          <t>Frank Mottek</t>
        </is>
      </c>
      <c r="B5223" s="18" t="n">
        <v>1</v>
      </c>
      <c r="C5223" s="18" t="n">
        <v>2016</v>
      </c>
      <c r="D5223" s="18" t="n">
        <v>2016</v>
      </c>
      <c r="E5223" s="18" t="inlineStr">
        <is>
          <t>The Nice Guys</t>
        </is>
      </c>
      <c r="F5223" s="18" t="inlineStr">
        <is>
          <t>F0235</t>
        </is>
      </c>
    </row>
    <row r="5224" ht="15.75" customHeight="1" s="108">
      <c r="A5224" s="18" t="inlineStr">
        <is>
          <t>Joanne Spracklen</t>
        </is>
      </c>
      <c r="B5224" s="18" t="n">
        <v>1</v>
      </c>
      <c r="C5224" s="18" t="n">
        <v>2016</v>
      </c>
      <c r="D5224" s="18" t="n">
        <v>2016</v>
      </c>
      <c r="E5224" s="18" t="inlineStr">
        <is>
          <t>The Nice Guys</t>
        </is>
      </c>
      <c r="F5224" s="18" t="inlineStr">
        <is>
          <t>F0235</t>
        </is>
      </c>
    </row>
    <row r="5225" ht="15.75" customHeight="1" s="108">
      <c r="A5225" s="18" t="inlineStr">
        <is>
          <t>Greg Lindsay</t>
        </is>
      </c>
      <c r="B5225" s="18" t="n">
        <v>1</v>
      </c>
      <c r="C5225" s="18" t="n">
        <v>2016</v>
      </c>
      <c r="D5225" s="18" t="n">
        <v>2016</v>
      </c>
      <c r="E5225" s="18" t="inlineStr">
        <is>
          <t>The Nice Guys</t>
        </is>
      </c>
      <c r="F5225" s="18" t="inlineStr">
        <is>
          <t>F0235</t>
        </is>
      </c>
    </row>
    <row r="5226" ht="15.75" customHeight="1" s="108">
      <c r="A5226" s="18" t="inlineStr">
        <is>
          <t>Maddie Compton</t>
        </is>
      </c>
      <c r="B5226" s="18" t="n">
        <v>1</v>
      </c>
      <c r="C5226" s="18" t="n">
        <v>2016</v>
      </c>
      <c r="D5226" s="18" t="n">
        <v>2016</v>
      </c>
      <c r="E5226" s="18" t="inlineStr">
        <is>
          <t>The Nice Guys</t>
        </is>
      </c>
      <c r="F5226" s="18" t="inlineStr">
        <is>
          <t>F0235</t>
        </is>
      </c>
    </row>
    <row r="5227" ht="15.75" customHeight="1" s="108">
      <c r="A5227" s="18" t="inlineStr">
        <is>
          <t>J. Todd Anderson</t>
        </is>
      </c>
      <c r="B5227" s="18" t="n">
        <v>1</v>
      </c>
      <c r="C5227" s="18" t="n">
        <v>2016</v>
      </c>
      <c r="D5227" s="18" t="n">
        <v>2016</v>
      </c>
      <c r="E5227" s="18" t="inlineStr">
        <is>
          <t>The Nice Guys</t>
        </is>
      </c>
      <c r="F5227" s="18" t="inlineStr">
        <is>
          <t>F0235</t>
        </is>
      </c>
    </row>
    <row r="5228" ht="15.75" customHeight="1" s="108">
      <c r="A5228" s="18" t="inlineStr">
        <is>
          <t>Meredith Berg</t>
        </is>
      </c>
      <c r="B5228" s="18" t="n">
        <v>1</v>
      </c>
      <c r="C5228" s="18" t="n">
        <v>2016</v>
      </c>
      <c r="D5228" s="18" t="n">
        <v>2016</v>
      </c>
      <c r="E5228" s="18" t="inlineStr">
        <is>
          <t>The Nice Guys</t>
        </is>
      </c>
      <c r="F5228" s="18" t="inlineStr">
        <is>
          <t>F0235</t>
        </is>
      </c>
    </row>
    <row r="5229" ht="15.75" customHeight="1" s="108">
      <c r="A5229" s="18" t="inlineStr">
        <is>
          <t>Christopher Guest</t>
        </is>
      </c>
      <c r="B5229" s="18" t="n">
        <v>1</v>
      </c>
      <c r="C5229" s="18" t="n">
        <v>2009</v>
      </c>
      <c r="D5229" s="18" t="n">
        <v>2009</v>
      </c>
      <c r="E5229" s="18" t="inlineStr">
        <is>
          <t>Night at the Museum: Battle of the Smithsonian</t>
        </is>
      </c>
      <c r="F5229" s="18" t="inlineStr">
        <is>
          <t>F0236</t>
        </is>
      </c>
    </row>
    <row r="5230" ht="15.75" customHeight="1" s="108">
      <c r="A5230" s="18" t="inlineStr">
        <is>
          <t>Alain Chabat</t>
        </is>
      </c>
      <c r="B5230" s="18" t="n">
        <v>1</v>
      </c>
      <c r="C5230" s="18" t="n">
        <v>2009</v>
      </c>
      <c r="D5230" s="18" t="n">
        <v>2009</v>
      </c>
      <c r="E5230" s="18" t="inlineStr">
        <is>
          <t>Night at the Museum: Battle of the Smithsonian</t>
        </is>
      </c>
      <c r="F5230" s="18" t="inlineStr">
        <is>
          <t>F0236</t>
        </is>
      </c>
    </row>
    <row r="5231" ht="15.75" customHeight="1" s="108">
      <c r="A5231" s="18" t="inlineStr">
        <is>
          <t>Patrick Gallagher</t>
        </is>
      </c>
      <c r="B5231" s="18" t="n">
        <v>2</v>
      </c>
      <c r="C5231" s="18" t="n">
        <v>2006</v>
      </c>
      <c r="D5231" s="18" t="n">
        <v>2009</v>
      </c>
      <c r="E5231" s="18" t="inlineStr">
        <is>
          <t>Night at the Museum: Battle of the Smithsonian, night at the museum</t>
        </is>
      </c>
      <c r="F5231" s="18" t="inlineStr">
        <is>
          <t>F0236, F0377</t>
        </is>
      </c>
    </row>
    <row r="5232" ht="15.75" customHeight="1" s="108">
      <c r="A5232" s="18" t="inlineStr">
        <is>
          <t>Jake Cherry</t>
        </is>
      </c>
      <c r="B5232" s="18" t="n">
        <v>2</v>
      </c>
      <c r="C5232" s="18" t="n">
        <v>2006</v>
      </c>
      <c r="D5232" s="18" t="n">
        <v>2009</v>
      </c>
      <c r="E5232" s="18" t="inlineStr">
        <is>
          <t>Night at the Museum: Battle of the Smithsonian, night at the museum</t>
        </is>
      </c>
      <c r="F5232" s="18" t="inlineStr">
        <is>
          <t>F0236, F0377</t>
        </is>
      </c>
    </row>
    <row r="5233" ht="15.75" customHeight="1" s="108">
      <c r="A5233" s="18" t="inlineStr">
        <is>
          <t>Mizuo Peck</t>
        </is>
      </c>
      <c r="B5233" s="18" t="n">
        <v>2</v>
      </c>
      <c r="C5233" s="18" t="n">
        <v>2006</v>
      </c>
      <c r="D5233" s="18" t="n">
        <v>2009</v>
      </c>
      <c r="E5233" s="18" t="inlineStr">
        <is>
          <t>Night at the Museum: Battle of the Smithsonian, night at the museum</t>
        </is>
      </c>
      <c r="F5233" s="18" t="inlineStr">
        <is>
          <t>F0236, F0377</t>
        </is>
      </c>
    </row>
    <row r="5234" ht="15.75" customHeight="1" s="108">
      <c r="A5234" s="18" t="inlineStr">
        <is>
          <t>Kerry van der Griend</t>
        </is>
      </c>
      <c r="B5234" s="18" t="n">
        <v>2</v>
      </c>
      <c r="C5234" s="18" t="n">
        <v>2006</v>
      </c>
      <c r="D5234" s="18" t="n">
        <v>2009</v>
      </c>
      <c r="E5234" s="18" t="inlineStr">
        <is>
          <t>Night at the Museum: Battle of the Smithsonian, night at the museum</t>
        </is>
      </c>
      <c r="F5234" s="18" t="inlineStr">
        <is>
          <t>F0236, F0377</t>
        </is>
      </c>
    </row>
    <row r="5235" ht="15.75" customHeight="1" s="108">
      <c r="A5235" s="18" t="inlineStr">
        <is>
          <t>Matthew Harrison</t>
        </is>
      </c>
      <c r="B5235" s="18" t="n">
        <v>2</v>
      </c>
      <c r="C5235" s="18" t="n">
        <v>2006</v>
      </c>
      <c r="D5235" s="18" t="n">
        <v>2009</v>
      </c>
      <c r="E5235" s="18" t="inlineStr">
        <is>
          <t>Night at the Museum: Battle of the Smithsonian, night at the museum</t>
        </is>
      </c>
      <c r="F5235" s="18" t="inlineStr">
        <is>
          <t>F0236, F0377</t>
        </is>
      </c>
    </row>
    <row r="5236" ht="15.75" customHeight="1" s="108">
      <c r="A5236" s="18" t="inlineStr">
        <is>
          <t>Rick Dobran</t>
        </is>
      </c>
      <c r="B5236" s="18" t="n">
        <v>1</v>
      </c>
      <c r="C5236" s="18" t="n">
        <v>2009</v>
      </c>
      <c r="D5236" s="18" t="n">
        <v>2009</v>
      </c>
      <c r="E5236" s="18" t="inlineStr">
        <is>
          <t>Night at the Museum: Battle of the Smithsonian</t>
        </is>
      </c>
      <c r="F5236" s="18" t="inlineStr">
        <is>
          <t>F0236</t>
        </is>
      </c>
    </row>
    <row r="5237" ht="15.75" customHeight="1" s="108">
      <c r="A5237" s="18" t="inlineStr">
        <is>
          <t>Randy Lee</t>
        </is>
      </c>
      <c r="B5237" s="18" t="n">
        <v>2</v>
      </c>
      <c r="C5237" s="18" t="n">
        <v>2006</v>
      </c>
      <c r="D5237" s="18" t="n">
        <v>2009</v>
      </c>
      <c r="E5237" s="18" t="inlineStr">
        <is>
          <t>Night at the Museum: Battle of the Smithsonian, night at the museum</t>
        </is>
      </c>
      <c r="F5237" s="18" t="inlineStr">
        <is>
          <t>F0236, F0377</t>
        </is>
      </c>
    </row>
    <row r="5238" ht="15.75" customHeight="1" s="108">
      <c r="A5238" s="18" t="inlineStr">
        <is>
          <t>Darryl Quon</t>
        </is>
      </c>
      <c r="B5238" s="18" t="n">
        <v>2</v>
      </c>
      <c r="C5238" s="18" t="n">
        <v>2006</v>
      </c>
      <c r="D5238" s="18" t="n">
        <v>2009</v>
      </c>
      <c r="E5238" s="18" t="inlineStr">
        <is>
          <t>Night at the Museum: Battle of the Smithsonian, night at the museum</t>
        </is>
      </c>
      <c r="F5238" s="18" t="inlineStr">
        <is>
          <t>F0236, F0377</t>
        </is>
      </c>
    </row>
    <row r="5239" ht="15.75" customHeight="1" s="108">
      <c r="A5239" s="18" t="inlineStr">
        <is>
          <t>Gerald Wong</t>
        </is>
      </c>
      <c r="B5239" s="18" t="n">
        <v>2</v>
      </c>
      <c r="C5239" s="18" t="n">
        <v>2006</v>
      </c>
      <c r="D5239" s="18" t="n">
        <v>2009</v>
      </c>
      <c r="E5239" s="18" t="inlineStr">
        <is>
          <t>Night at the Museum: Battle of the Smithsonian, night at the museum</t>
        </is>
      </c>
      <c r="F5239" s="18" t="inlineStr">
        <is>
          <t>F0236, F0377</t>
        </is>
      </c>
    </row>
    <row r="5240" ht="15.75" customHeight="1" s="108">
      <c r="A5240" s="18" t="inlineStr">
        <is>
          <t>Paul Cheng</t>
        </is>
      </c>
      <c r="B5240" s="18" t="n">
        <v>2</v>
      </c>
      <c r="C5240" s="18" t="n">
        <v>2006</v>
      </c>
      <c r="D5240" s="18" t="n">
        <v>2009</v>
      </c>
      <c r="E5240" s="18" t="inlineStr">
        <is>
          <t>Night at the Museum: Battle of the Smithsonian, night at the museum</t>
        </is>
      </c>
      <c r="F5240" s="18" t="inlineStr">
        <is>
          <t>F0236, F0377</t>
        </is>
      </c>
    </row>
    <row r="5241" ht="15.75" customHeight="1" s="108">
      <c r="A5241" s="18" t="inlineStr">
        <is>
          <t>Keith Powell</t>
        </is>
      </c>
      <c r="B5241" s="18" t="n">
        <v>1</v>
      </c>
      <c r="C5241" s="18" t="n">
        <v>2009</v>
      </c>
      <c r="D5241" s="18" t="n">
        <v>2009</v>
      </c>
      <c r="E5241" s="18" t="inlineStr">
        <is>
          <t>Night at the Museum: Battle of the Smithsonian</t>
        </is>
      </c>
      <c r="F5241" s="18" t="inlineStr">
        <is>
          <t>F0236</t>
        </is>
      </c>
    </row>
    <row r="5242" ht="15.75" customHeight="1" s="108">
      <c r="A5242" s="18" t="inlineStr">
        <is>
          <t>Craig Robinson</t>
        </is>
      </c>
      <c r="B5242" s="18" t="n">
        <v>2</v>
      </c>
      <c r="C5242" s="18" t="n">
        <v>2008</v>
      </c>
      <c r="D5242" s="18" t="n">
        <v>2009</v>
      </c>
      <c r="E5242" s="18" t="inlineStr">
        <is>
          <t>Night at the Museum: Battle of the Smithsonian, Pineapple Express</t>
        </is>
      </c>
      <c r="F5242" s="18" t="inlineStr">
        <is>
          <t>F0236, F0247</t>
        </is>
      </c>
    </row>
    <row r="5243" ht="15.75" customHeight="1" s="108">
      <c r="A5243" s="18" t="inlineStr">
        <is>
          <t>Samuel Patrick Chu</t>
        </is>
      </c>
      <c r="B5243" s="18" t="n">
        <v>1</v>
      </c>
      <c r="C5243" s="18" t="n">
        <v>2009</v>
      </c>
      <c r="D5243" s="18" t="n">
        <v>2009</v>
      </c>
      <c r="E5243" s="18" t="inlineStr">
        <is>
          <t>Night at the Museum: Battle of the Smithsonian</t>
        </is>
      </c>
      <c r="F5243" s="18" t="inlineStr">
        <is>
          <t>F0236</t>
        </is>
      </c>
    </row>
    <row r="5244" ht="15.75" customHeight="1" s="108">
      <c r="A5244" s="18" t="inlineStr">
        <is>
          <t>Augustus Oicle</t>
        </is>
      </c>
      <c r="B5244" s="18" t="n">
        <v>1</v>
      </c>
      <c r="C5244" s="18" t="n">
        <v>2009</v>
      </c>
      <c r="D5244" s="18" t="n">
        <v>2009</v>
      </c>
      <c r="E5244" s="18" t="inlineStr">
        <is>
          <t>Night at the Museum: Battle of the Smithsonian</t>
        </is>
      </c>
      <c r="F5244" s="18" t="inlineStr">
        <is>
          <t>F0236</t>
        </is>
      </c>
    </row>
    <row r="5245" ht="15.75" customHeight="1" s="108">
      <c r="A5245" s="18" t="inlineStr">
        <is>
          <t>Kai James</t>
        </is>
      </c>
      <c r="B5245" s="18" t="n">
        <v>1</v>
      </c>
      <c r="C5245" s="18" t="n">
        <v>2009</v>
      </c>
      <c r="D5245" s="18" t="n">
        <v>2009</v>
      </c>
      <c r="E5245" s="18" t="inlineStr">
        <is>
          <t>Night at the Museum: Battle of the Smithsonian</t>
        </is>
      </c>
      <c r="F5245" s="18" t="inlineStr">
        <is>
          <t>F0236</t>
        </is>
      </c>
    </row>
    <row r="5246" ht="15.75" customHeight="1" s="108">
      <c r="A5246" s="18" t="inlineStr">
        <is>
          <t>Clint Howard</t>
        </is>
      </c>
      <c r="B5246" s="18" t="n">
        <v>2</v>
      </c>
      <c r="C5246" s="18" t="n">
        <v>2009</v>
      </c>
      <c r="D5246" s="18" t="n">
        <v>2018</v>
      </c>
      <c r="E5246" s="18" t="inlineStr">
        <is>
          <t>Night at the Museum: Battle of the Smithsonian, Solo a star wars story</t>
        </is>
      </c>
      <c r="F5246" s="18" t="inlineStr">
        <is>
          <t>F0236, F0386</t>
        </is>
      </c>
    </row>
    <row r="5247" ht="15.75" customHeight="1" s="108">
      <c r="A5247" s="18" t="inlineStr">
        <is>
          <t>David Thornton</t>
        </is>
      </c>
      <c r="B5247" s="18" t="n">
        <v>1</v>
      </c>
      <c r="C5247" s="18" t="n">
        <v>2004</v>
      </c>
      <c r="D5247" s="18" t="n">
        <v>2004</v>
      </c>
      <c r="E5247" s="18" t="inlineStr">
        <is>
          <t>The Notebook</t>
        </is>
      </c>
      <c r="F5247" s="18" t="inlineStr">
        <is>
          <t>F0237</t>
        </is>
      </c>
    </row>
    <row r="5248" ht="15.75" customHeight="1" s="108">
      <c r="A5248" s="18" t="inlineStr">
        <is>
          <t>Kevin Connolly</t>
        </is>
      </c>
      <c r="B5248" s="18" t="n">
        <v>1</v>
      </c>
      <c r="C5248" s="18" t="n">
        <v>2004</v>
      </c>
      <c r="D5248" s="18" t="n">
        <v>2004</v>
      </c>
      <c r="E5248" s="18" t="inlineStr">
        <is>
          <t>The Notebook</t>
        </is>
      </c>
      <c r="F5248" s="18" t="inlineStr">
        <is>
          <t>F0237</t>
        </is>
      </c>
    </row>
    <row r="5249" ht="15.75" customHeight="1" s="108">
      <c r="A5249" s="18" t="inlineStr">
        <is>
          <t>Starletta DuPois</t>
        </is>
      </c>
      <c r="B5249" s="18" t="n">
        <v>2</v>
      </c>
      <c r="C5249" s="18" t="n">
        <v>2004</v>
      </c>
      <c r="D5249" s="18" t="n">
        <v>2025</v>
      </c>
      <c r="E5249" s="18" t="inlineStr">
        <is>
          <t>The Notebook, One battle after another</t>
        </is>
      </c>
      <c r="F5249" s="18" t="inlineStr">
        <is>
          <t>F0237, F0353</t>
        </is>
      </c>
    </row>
    <row r="5250" ht="15.75" customHeight="1" s="108">
      <c r="A5250" s="18" t="inlineStr">
        <is>
          <t>Ed Grady</t>
        </is>
      </c>
      <c r="B5250" s="18" t="n">
        <v>1</v>
      </c>
      <c r="C5250" s="18" t="n">
        <v>2004</v>
      </c>
      <c r="D5250" s="18" t="n">
        <v>2004</v>
      </c>
      <c r="E5250" s="18" t="inlineStr">
        <is>
          <t>The Notebook</t>
        </is>
      </c>
      <c r="F5250" s="18" t="inlineStr">
        <is>
          <t>F0237</t>
        </is>
      </c>
    </row>
    <row r="5251" ht="15.75" customHeight="1" s="108">
      <c r="A5251" s="18" t="inlineStr">
        <is>
          <t>Jennifer Echols</t>
        </is>
      </c>
      <c r="B5251" s="18" t="n">
        <v>1</v>
      </c>
      <c r="C5251" s="18" t="n">
        <v>2004</v>
      </c>
      <c r="D5251" s="18" t="n">
        <v>2004</v>
      </c>
      <c r="E5251" s="18" t="inlineStr">
        <is>
          <t>The Notebook</t>
        </is>
      </c>
      <c r="F5251" s="18" t="inlineStr">
        <is>
          <t>F0237</t>
        </is>
      </c>
    </row>
    <row r="5252" ht="15.75" customHeight="1" s="108">
      <c r="A5252" s="18" t="inlineStr">
        <is>
          <t>Heather Wahlquist</t>
        </is>
      </c>
      <c r="B5252" s="18" t="n">
        <v>1</v>
      </c>
      <c r="C5252" s="18" t="n">
        <v>2004</v>
      </c>
      <c r="D5252" s="18" t="n">
        <v>2004</v>
      </c>
      <c r="E5252" s="18" t="inlineStr">
        <is>
          <t>The Notebook</t>
        </is>
      </c>
      <c r="F5252" s="18" t="inlineStr">
        <is>
          <t>F0237</t>
        </is>
      </c>
    </row>
    <row r="5253" ht="15.75" customHeight="1" s="108">
      <c r="A5253" s="18" t="inlineStr">
        <is>
          <t>Thunderbird Dinwiddie</t>
        </is>
      </c>
      <c r="B5253" s="18" t="n">
        <v>1</v>
      </c>
      <c r="C5253" s="18" t="n">
        <v>2004</v>
      </c>
      <c r="D5253" s="18" t="n">
        <v>2004</v>
      </c>
      <c r="E5253" s="18" t="inlineStr">
        <is>
          <t>The Notebook</t>
        </is>
      </c>
      <c r="F5253" s="18" t="inlineStr">
        <is>
          <t>F0237</t>
        </is>
      </c>
    </row>
    <row r="5254" ht="15.75" customHeight="1" s="108">
      <c r="A5254" s="18" t="inlineStr">
        <is>
          <t>James Middleton</t>
        </is>
      </c>
      <c r="B5254" s="18" t="n">
        <v>1</v>
      </c>
      <c r="C5254" s="18" t="n">
        <v>2004</v>
      </c>
      <c r="D5254" s="18" t="n">
        <v>2004</v>
      </c>
      <c r="E5254" s="18" t="inlineStr">
        <is>
          <t>The Notebook</t>
        </is>
      </c>
      <c r="F5254" s="18" t="inlineStr">
        <is>
          <t>F0237</t>
        </is>
      </c>
    </row>
    <row r="5255" ht="15.75" customHeight="1" s="108">
      <c r="A5255" s="18" t="inlineStr">
        <is>
          <t>Peter Rosenfeld</t>
        </is>
      </c>
      <c r="B5255" s="18" t="n">
        <v>1</v>
      </c>
      <c r="C5255" s="18" t="n">
        <v>2004</v>
      </c>
      <c r="D5255" s="18" t="n">
        <v>2004</v>
      </c>
      <c r="E5255" s="18" t="inlineStr">
        <is>
          <t>The Notebook</t>
        </is>
      </c>
      <c r="F5255" s="18" t="inlineStr">
        <is>
          <t>F0237</t>
        </is>
      </c>
    </row>
    <row r="5256" ht="15.75" customHeight="1" s="108">
      <c r="A5256" s="18" t="inlineStr">
        <is>
          <t>Obba Babatundé</t>
        </is>
      </c>
      <c r="B5256" s="18" t="n">
        <v>1</v>
      </c>
      <c r="C5256" s="18" t="n">
        <v>2004</v>
      </c>
      <c r="D5256" s="18" t="n">
        <v>2004</v>
      </c>
      <c r="E5256" s="18" t="inlineStr">
        <is>
          <t>The Notebook</t>
        </is>
      </c>
      <c r="F5256" s="18" t="inlineStr">
        <is>
          <t>F0237</t>
        </is>
      </c>
    </row>
    <row r="5257" ht="15.75" customHeight="1" s="108">
      <c r="A5257" s="18" t="inlineStr">
        <is>
          <t>Mark Johnson</t>
        </is>
      </c>
      <c r="B5257" s="18" t="n">
        <v>1</v>
      </c>
      <c r="C5257" s="18" t="n">
        <v>2004</v>
      </c>
      <c r="D5257" s="18" t="n">
        <v>2004</v>
      </c>
      <c r="E5257" s="18" t="inlineStr">
        <is>
          <t>The Notebook</t>
        </is>
      </c>
      <c r="F5257" s="18" t="inlineStr">
        <is>
          <t>F0237</t>
        </is>
      </c>
    </row>
    <row r="5258" ht="15.75" customHeight="1" s="108">
      <c r="A5258" s="18" t="inlineStr">
        <is>
          <t>Robert Fraisse</t>
        </is>
      </c>
      <c r="B5258" s="18" t="n">
        <v>1</v>
      </c>
      <c r="C5258" s="18" t="n">
        <v>2004</v>
      </c>
      <c r="D5258" s="18" t="n">
        <v>2004</v>
      </c>
      <c r="E5258" s="18" t="inlineStr">
        <is>
          <t>The Notebook</t>
        </is>
      </c>
      <c r="F5258" s="18" t="inlineStr">
        <is>
          <t>F0237</t>
        </is>
      </c>
    </row>
    <row r="5259" ht="15.75" customHeight="1" s="108">
      <c r="A5259" s="18" t="inlineStr">
        <is>
          <t>Barbara Weetman</t>
        </is>
      </c>
      <c r="B5259" s="18" t="n">
        <v>1</v>
      </c>
      <c r="C5259" s="18" t="n">
        <v>2004</v>
      </c>
      <c r="D5259" s="18" t="n">
        <v>2004</v>
      </c>
      <c r="E5259" s="18" t="inlineStr">
        <is>
          <t>The Notebook</t>
        </is>
      </c>
      <c r="F5259" s="18" t="inlineStr">
        <is>
          <t>F0237</t>
        </is>
      </c>
    </row>
    <row r="5260" ht="15.75" customHeight="1" s="108">
      <c r="A5260" s="18" t="inlineStr">
        <is>
          <t>Daniel Chamblin</t>
        </is>
      </c>
      <c r="B5260" s="18" t="n">
        <v>1</v>
      </c>
      <c r="C5260" s="18" t="n">
        <v>2004</v>
      </c>
      <c r="D5260" s="18" t="n">
        <v>2004</v>
      </c>
      <c r="E5260" s="18" t="inlineStr">
        <is>
          <t>The Notebook</t>
        </is>
      </c>
      <c r="F5260" s="18" t="inlineStr">
        <is>
          <t>F0237</t>
        </is>
      </c>
    </row>
    <row r="5261" ht="15.75" customHeight="1" s="108">
      <c r="A5261" s="18" t="inlineStr">
        <is>
          <t>Sasha Azevedo</t>
        </is>
      </c>
      <c r="B5261" s="18" t="n">
        <v>1</v>
      </c>
      <c r="C5261" s="18" t="n">
        <v>2004</v>
      </c>
      <c r="D5261" s="18" t="n">
        <v>2004</v>
      </c>
      <c r="E5261" s="18" t="inlineStr">
        <is>
          <t>The Notebook</t>
        </is>
      </c>
      <c r="F5261" s="18" t="inlineStr">
        <is>
          <t>F0237</t>
        </is>
      </c>
    </row>
    <row r="5262" ht="15.75" customHeight="1" s="108">
      <c r="A5262" s="18" t="inlineStr">
        <is>
          <t>Jamie Anne Allman</t>
        </is>
      </c>
      <c r="B5262" s="18" t="n">
        <v>1</v>
      </c>
      <c r="C5262" s="18" t="n">
        <v>2004</v>
      </c>
      <c r="D5262" s="18" t="n">
        <v>2004</v>
      </c>
      <c r="E5262" s="18" t="inlineStr">
        <is>
          <t>The Notebook</t>
        </is>
      </c>
      <c r="F5262" s="18" t="inlineStr">
        <is>
          <t>F0237</t>
        </is>
      </c>
    </row>
    <row r="5263" ht="15.75" customHeight="1" s="108">
      <c r="A5263" s="18" t="inlineStr">
        <is>
          <t>Rebecca Koon</t>
        </is>
      </c>
      <c r="B5263" s="18" t="n">
        <v>1</v>
      </c>
      <c r="C5263" s="18" t="n">
        <v>2004</v>
      </c>
      <c r="D5263" s="18" t="n">
        <v>2004</v>
      </c>
      <c r="E5263" s="18" t="inlineStr">
        <is>
          <t>The Notebook</t>
        </is>
      </c>
      <c r="F5263" s="18" t="inlineStr">
        <is>
          <t>F0237</t>
        </is>
      </c>
    </row>
    <row r="5264" ht="15.75" customHeight="1" s="108">
      <c r="A5264" s="18" t="inlineStr">
        <is>
          <t>Sandra Elise Williams</t>
        </is>
      </c>
      <c r="B5264" s="18" t="n">
        <v>1</v>
      </c>
      <c r="C5264" s="18" t="n">
        <v>2004</v>
      </c>
      <c r="D5264" s="18" t="n">
        <v>2004</v>
      </c>
      <c r="E5264" s="18" t="inlineStr">
        <is>
          <t>The Notebook</t>
        </is>
      </c>
      <c r="F5264" s="18" t="inlineStr">
        <is>
          <t>F0237</t>
        </is>
      </c>
    </row>
    <row r="5265" ht="15.75" customHeight="1" s="108">
      <c r="A5265" s="18" t="inlineStr">
        <is>
          <t>Deborah Hobart</t>
        </is>
      </c>
      <c r="B5265" s="18" t="n">
        <v>1</v>
      </c>
      <c r="C5265" s="18" t="n">
        <v>2004</v>
      </c>
      <c r="D5265" s="18" t="n">
        <v>2004</v>
      </c>
      <c r="E5265" s="18" t="inlineStr">
        <is>
          <t>The Notebook</t>
        </is>
      </c>
      <c r="F5265" s="18" t="inlineStr">
        <is>
          <t>F0237</t>
        </is>
      </c>
    </row>
    <row r="5266" ht="15.75" customHeight="1" s="108">
      <c r="A5266" s="18" t="inlineStr">
        <is>
          <t>Sylvia Jefferies</t>
        </is>
      </c>
      <c r="B5266" s="18" t="n">
        <v>1</v>
      </c>
      <c r="C5266" s="18" t="n">
        <v>2004</v>
      </c>
      <c r="D5266" s="18" t="n">
        <v>2004</v>
      </c>
      <c r="E5266" s="18" t="inlineStr">
        <is>
          <t>The Notebook</t>
        </is>
      </c>
      <c r="F5266" s="18" t="inlineStr">
        <is>
          <t>F0237</t>
        </is>
      </c>
    </row>
    <row r="5267" ht="15.75" customHeight="1" s="108">
      <c r="A5267" s="18" t="inlineStr">
        <is>
          <t>Douglas Booth</t>
        </is>
      </c>
      <c r="B5267" s="18" t="n">
        <v>1</v>
      </c>
      <c r="C5267" s="18" t="n">
        <v>2014</v>
      </c>
      <c r="D5267" s="18" t="n">
        <v>2014</v>
      </c>
      <c r="E5267" s="18" t="inlineStr">
        <is>
          <t>Noah</t>
        </is>
      </c>
      <c r="F5267" s="18" t="inlineStr">
        <is>
          <t>F0238</t>
        </is>
      </c>
    </row>
    <row r="5268" ht="15.75" customHeight="1" s="108">
      <c r="A5268" s="18" t="inlineStr">
        <is>
          <t>Mark Margolis</t>
        </is>
      </c>
      <c r="B5268" s="18" t="n">
        <v>1</v>
      </c>
      <c r="C5268" s="18" t="n">
        <v>2014</v>
      </c>
      <c r="D5268" s="18" t="n">
        <v>2014</v>
      </c>
      <c r="E5268" s="18" t="inlineStr">
        <is>
          <t>Noah</t>
        </is>
      </c>
      <c r="F5268" s="18" t="inlineStr">
        <is>
          <t>F0238</t>
        </is>
      </c>
    </row>
    <row r="5269" ht="15.75" customHeight="1" s="108">
      <c r="A5269" s="18" t="inlineStr">
        <is>
          <t>Leo McHugh Carroll</t>
        </is>
      </c>
      <c r="B5269" s="18" t="n">
        <v>1</v>
      </c>
      <c r="C5269" s="18" t="n">
        <v>2014</v>
      </c>
      <c r="D5269" s="18" t="n">
        <v>2014</v>
      </c>
      <c r="E5269" s="18" t="inlineStr">
        <is>
          <t>Noah</t>
        </is>
      </c>
      <c r="F5269" s="18" t="inlineStr">
        <is>
          <t>F0238</t>
        </is>
      </c>
    </row>
    <row r="5270" ht="15.75" customHeight="1" s="108">
      <c r="A5270" s="18" t="inlineStr">
        <is>
          <t>Finn Wittrock</t>
        </is>
      </c>
      <c r="B5270" s="18" t="n">
        <v>1</v>
      </c>
      <c r="C5270" s="18" t="n">
        <v>2014</v>
      </c>
      <c r="D5270" s="18" t="n">
        <v>2014</v>
      </c>
      <c r="E5270" s="18" t="inlineStr">
        <is>
          <t>Noah</t>
        </is>
      </c>
      <c r="F5270" s="18" t="inlineStr">
        <is>
          <t>F0238</t>
        </is>
      </c>
    </row>
    <row r="5271" ht="15.75" customHeight="1" s="108">
      <c r="A5271" s="18" t="inlineStr">
        <is>
          <t>Madison Davenport</t>
        </is>
      </c>
      <c r="B5271" s="18" t="n">
        <v>1</v>
      </c>
      <c r="C5271" s="18" t="n">
        <v>2014</v>
      </c>
      <c r="D5271" s="18" t="n">
        <v>2014</v>
      </c>
      <c r="E5271" s="18" t="inlineStr">
        <is>
          <t>Noah</t>
        </is>
      </c>
      <c r="F5271" s="18" t="inlineStr">
        <is>
          <t>F0238</t>
        </is>
      </c>
    </row>
    <row r="5272" ht="15.75" customHeight="1" s="108">
      <c r="A5272" s="18" t="inlineStr">
        <is>
          <t>Gavin Casalegno</t>
        </is>
      </c>
      <c r="B5272" s="18" t="n">
        <v>1</v>
      </c>
      <c r="C5272" s="18" t="n">
        <v>2014</v>
      </c>
      <c r="D5272" s="18" t="n">
        <v>2014</v>
      </c>
      <c r="E5272" s="18" t="inlineStr">
        <is>
          <t>Noah</t>
        </is>
      </c>
      <c r="F5272" s="18" t="inlineStr">
        <is>
          <t>F0238</t>
        </is>
      </c>
    </row>
    <row r="5273" ht="15.75" customHeight="1" s="108">
      <c r="A5273" s="18" t="inlineStr">
        <is>
          <t>Nolan Gross</t>
        </is>
      </c>
      <c r="B5273" s="18" t="n">
        <v>1</v>
      </c>
      <c r="C5273" s="18" t="n">
        <v>2014</v>
      </c>
      <c r="D5273" s="18" t="n">
        <v>2014</v>
      </c>
      <c r="E5273" s="18" t="inlineStr">
        <is>
          <t>Noah</t>
        </is>
      </c>
      <c r="F5273" s="18" t="inlineStr">
        <is>
          <t>F0238</t>
        </is>
      </c>
    </row>
    <row r="5274" ht="15.75" customHeight="1" s="108">
      <c r="A5274" s="18" t="inlineStr">
        <is>
          <t>Skylar Burke</t>
        </is>
      </c>
      <c r="B5274" s="18" t="n">
        <v>1</v>
      </c>
      <c r="C5274" s="18" t="n">
        <v>2014</v>
      </c>
      <c r="D5274" s="18" t="n">
        <v>2014</v>
      </c>
      <c r="E5274" s="18" t="inlineStr">
        <is>
          <t>Noah</t>
        </is>
      </c>
      <c r="F5274" s="18" t="inlineStr">
        <is>
          <t>F0238</t>
        </is>
      </c>
    </row>
    <row r="5275" ht="15.75" customHeight="1" s="108">
      <c r="A5275" s="18" t="inlineStr">
        <is>
          <t>Dakota Goyo</t>
        </is>
      </c>
      <c r="B5275" s="18" t="n">
        <v>1</v>
      </c>
      <c r="C5275" s="18" t="n">
        <v>2014</v>
      </c>
      <c r="D5275" s="18" t="n">
        <v>2014</v>
      </c>
      <c r="E5275" s="18" t="inlineStr">
        <is>
          <t>Noah</t>
        </is>
      </c>
      <c r="F5275" s="18" t="inlineStr">
        <is>
          <t>F0238</t>
        </is>
      </c>
    </row>
    <row r="5276" ht="15.75" customHeight="1" s="108">
      <c r="A5276" s="18" t="inlineStr">
        <is>
          <t>Ariane Rinehart</t>
        </is>
      </c>
      <c r="B5276" s="18" t="n">
        <v>1</v>
      </c>
      <c r="C5276" s="18" t="n">
        <v>2014</v>
      </c>
      <c r="D5276" s="18" t="n">
        <v>2014</v>
      </c>
      <c r="E5276" s="18" t="inlineStr">
        <is>
          <t>Noah</t>
        </is>
      </c>
      <c r="F5276" s="18" t="inlineStr">
        <is>
          <t>F0238</t>
        </is>
      </c>
    </row>
    <row r="5277" ht="15.75" customHeight="1" s="108">
      <c r="A5277" s="18" t="inlineStr">
        <is>
          <t>Adam M. Griffith</t>
        </is>
      </c>
      <c r="B5277" s="18" t="n">
        <v>1</v>
      </c>
      <c r="C5277" s="18" t="n">
        <v>2014</v>
      </c>
      <c r="D5277" s="18" t="n">
        <v>2014</v>
      </c>
      <c r="E5277" s="18" t="inlineStr">
        <is>
          <t>Noah</t>
        </is>
      </c>
      <c r="F5277" s="18" t="inlineStr">
        <is>
          <t>F0238</t>
        </is>
      </c>
    </row>
    <row r="5278" ht="15.75" customHeight="1" s="108">
      <c r="A5278" s="18" t="inlineStr">
        <is>
          <t>Don Harvey</t>
        </is>
      </c>
      <c r="B5278" s="18" t="n">
        <v>1</v>
      </c>
      <c r="C5278" s="18" t="n">
        <v>2014</v>
      </c>
      <c r="D5278" s="18" t="n">
        <v>2014</v>
      </c>
      <c r="E5278" s="18" t="inlineStr">
        <is>
          <t>Noah</t>
        </is>
      </c>
      <c r="F5278" s="18" t="inlineStr">
        <is>
          <t>F0238</t>
        </is>
      </c>
    </row>
    <row r="5279" ht="15.75" customHeight="1" s="108">
      <c r="A5279" s="18" t="inlineStr">
        <is>
          <t>Sami Gayle</t>
        </is>
      </c>
      <c r="B5279" s="18" t="n">
        <v>1</v>
      </c>
      <c r="C5279" s="18" t="n">
        <v>2014</v>
      </c>
      <c r="D5279" s="18" t="n">
        <v>2014</v>
      </c>
      <c r="E5279" s="18" t="inlineStr">
        <is>
          <t>Noah</t>
        </is>
      </c>
      <c r="F5279" s="18" t="inlineStr">
        <is>
          <t>F0238</t>
        </is>
      </c>
    </row>
    <row r="5280" ht="15.75" customHeight="1" s="108">
      <c r="A5280" s="18" t="inlineStr">
        <is>
          <t>Sophie Nyweide</t>
        </is>
      </c>
      <c r="B5280" s="18" t="n">
        <v>1</v>
      </c>
      <c r="C5280" s="18" t="n">
        <v>2014</v>
      </c>
      <c r="D5280" s="18" t="n">
        <v>2014</v>
      </c>
      <c r="E5280" s="18" t="inlineStr">
        <is>
          <t>Noah</t>
        </is>
      </c>
      <c r="F5280" s="18" t="inlineStr">
        <is>
          <t>F0238</t>
        </is>
      </c>
    </row>
    <row r="5281" ht="15.75" customHeight="1" s="108">
      <c r="A5281" s="18" t="inlineStr">
        <is>
          <t>Ezra Barnes</t>
        </is>
      </c>
      <c r="B5281" s="18" t="n">
        <v>1</v>
      </c>
      <c r="C5281" s="18" t="n">
        <v>2014</v>
      </c>
      <c r="D5281" s="18" t="n">
        <v>2014</v>
      </c>
      <c r="E5281" s="18" t="inlineStr">
        <is>
          <t>Noah</t>
        </is>
      </c>
      <c r="F5281" s="18" t="inlineStr">
        <is>
          <t>F0238</t>
        </is>
      </c>
    </row>
    <row r="5282" ht="15.75" customHeight="1" s="108">
      <c r="A5282" s="18" t="inlineStr">
        <is>
          <t>Nurit Monacelli</t>
        </is>
      </c>
      <c r="B5282" s="18" t="n">
        <v>1</v>
      </c>
      <c r="C5282" s="18" t="n">
        <v>2014</v>
      </c>
      <c r="D5282" s="18" t="n">
        <v>2014</v>
      </c>
      <c r="E5282" s="18" t="inlineStr">
        <is>
          <t>Noah</t>
        </is>
      </c>
      <c r="F5282" s="18" t="inlineStr">
        <is>
          <t>F0238</t>
        </is>
      </c>
    </row>
    <row r="5283" ht="15.75" customHeight="1" s="108">
      <c r="A5283" s="18" t="inlineStr">
        <is>
          <t>Barry Sloane</t>
        </is>
      </c>
      <c r="B5283" s="18" t="n">
        <v>1</v>
      </c>
      <c r="C5283" s="18" t="n">
        <v>2014</v>
      </c>
      <c r="D5283" s="18" t="n">
        <v>2014</v>
      </c>
      <c r="E5283" s="18" t="inlineStr">
        <is>
          <t>Noah</t>
        </is>
      </c>
      <c r="F5283" s="18" t="inlineStr">
        <is>
          <t>F0238</t>
        </is>
      </c>
    </row>
    <row r="5284" ht="15.75" customHeight="1" s="108">
      <c r="A5284" s="18" t="inlineStr">
        <is>
          <t>Arna Magnea Danks</t>
        </is>
      </c>
      <c r="B5284" s="18" t="n">
        <v>1</v>
      </c>
      <c r="C5284" s="18" t="n">
        <v>2014</v>
      </c>
      <c r="D5284" s="18" t="n">
        <v>2014</v>
      </c>
      <c r="E5284" s="18" t="inlineStr">
        <is>
          <t>Noah</t>
        </is>
      </c>
      <c r="F5284" s="18" t="inlineStr">
        <is>
          <t>F0238</t>
        </is>
      </c>
    </row>
    <row r="5285" ht="15.75" customHeight="1" s="108">
      <c r="A5285" s="18" t="inlineStr">
        <is>
          <t>Vera Fried</t>
        </is>
      </c>
      <c r="B5285" s="18" t="n">
        <v>1</v>
      </c>
      <c r="C5285" s="18" t="n">
        <v>2014</v>
      </c>
      <c r="D5285" s="18" t="n">
        <v>2014</v>
      </c>
      <c r="E5285" s="18" t="inlineStr">
        <is>
          <t>Noah</t>
        </is>
      </c>
      <c r="F5285" s="18" t="inlineStr">
        <is>
          <t>F0238</t>
        </is>
      </c>
    </row>
    <row r="5286" ht="15.75" customHeight="1" s="108">
      <c r="A5286" s="18" t="inlineStr">
        <is>
          <t>Thor Kjartansson</t>
        </is>
      </c>
      <c r="B5286" s="18" t="n">
        <v>1</v>
      </c>
      <c r="C5286" s="18" t="n">
        <v>2014</v>
      </c>
      <c r="D5286" s="18" t="n">
        <v>2014</v>
      </c>
      <c r="E5286" s="18" t="inlineStr">
        <is>
          <t>Noah</t>
        </is>
      </c>
      <c r="F5286" s="18" t="inlineStr">
        <is>
          <t>F0238</t>
        </is>
      </c>
    </row>
    <row r="5287" ht="15.75" customHeight="1" s="108">
      <c r="A5287" s="18" t="inlineStr">
        <is>
          <t>Gregg Bello</t>
        </is>
      </c>
      <c r="B5287" s="18" t="n">
        <v>1</v>
      </c>
      <c r="C5287" s="18" t="n">
        <v>2014</v>
      </c>
      <c r="D5287" s="18" t="n">
        <v>2014</v>
      </c>
      <c r="E5287" s="18" t="inlineStr">
        <is>
          <t>Noah</t>
        </is>
      </c>
      <c r="F5287" s="18" t="inlineStr">
        <is>
          <t>F0238</t>
        </is>
      </c>
    </row>
    <row r="5288" ht="15.75" customHeight="1" s="108">
      <c r="A5288" s="18" t="inlineStr">
        <is>
          <t>Melissa Leo</t>
        </is>
      </c>
      <c r="B5288" s="18" t="n">
        <v>3</v>
      </c>
      <c r="C5288" s="18" t="n">
        <v>2013</v>
      </c>
      <c r="D5288" s="18" t="n">
        <v>2013</v>
      </c>
      <c r="E5288" s="18" t="inlineStr">
        <is>
          <t>Oblivion, Olympus Has Fallen, Prisoners</t>
        </is>
      </c>
      <c r="F5288" s="18" t="inlineStr">
        <is>
          <t>F0239, F0240, F0258</t>
        </is>
      </c>
    </row>
    <row r="5289" ht="15.75" customHeight="1" s="108">
      <c r="A5289" s="18" t="inlineStr">
        <is>
          <t>Zoë Bell</t>
        </is>
      </c>
      <c r="B5289" s="18" t="n">
        <v>1</v>
      </c>
      <c r="C5289" s="18" t="n">
        <v>2013</v>
      </c>
      <c r="D5289" s="18" t="n">
        <v>2013</v>
      </c>
      <c r="E5289" s="18" t="inlineStr">
        <is>
          <t>Oblivion</t>
        </is>
      </c>
      <c r="F5289" s="18" t="inlineStr">
        <is>
          <t>F0239</t>
        </is>
      </c>
    </row>
    <row r="5290" ht="15.75" customHeight="1" s="108">
      <c r="A5290" s="18" t="inlineStr">
        <is>
          <t>Abigail Lowe</t>
        </is>
      </c>
      <c r="B5290" s="18" t="n">
        <v>1</v>
      </c>
      <c r="C5290" s="18" t="n">
        <v>2013</v>
      </c>
      <c r="D5290" s="18" t="n">
        <v>2013</v>
      </c>
      <c r="E5290" s="18" t="inlineStr">
        <is>
          <t>Oblivion</t>
        </is>
      </c>
      <c r="F5290" s="18" t="inlineStr">
        <is>
          <t>F0239</t>
        </is>
      </c>
    </row>
    <row r="5291" ht="15.75" customHeight="1" s="108">
      <c r="A5291" s="18" t="inlineStr">
        <is>
          <t>Isabelle Lowe</t>
        </is>
      </c>
      <c r="B5291" s="18" t="n">
        <v>1</v>
      </c>
      <c r="C5291" s="18" t="n">
        <v>2013</v>
      </c>
      <c r="D5291" s="18" t="n">
        <v>2013</v>
      </c>
      <c r="E5291" s="18" t="inlineStr">
        <is>
          <t>Oblivion</t>
        </is>
      </c>
      <c r="F5291" s="18" t="inlineStr">
        <is>
          <t>F0239</t>
        </is>
      </c>
    </row>
    <row r="5292" ht="15.75" customHeight="1" s="108">
      <c r="A5292" s="18" t="inlineStr">
        <is>
          <t>Booch O'Connell</t>
        </is>
      </c>
      <c r="B5292" s="18" t="n">
        <v>1</v>
      </c>
      <c r="C5292" s="18" t="n">
        <v>2013</v>
      </c>
      <c r="D5292" s="18" t="n">
        <v>2013</v>
      </c>
      <c r="E5292" s="18" t="inlineStr">
        <is>
          <t>Oblivion</t>
        </is>
      </c>
      <c r="F5292" s="18" t="inlineStr">
        <is>
          <t>F0239</t>
        </is>
      </c>
    </row>
    <row r="5293" ht="15.75" customHeight="1" s="108">
      <c r="A5293" s="18" t="inlineStr">
        <is>
          <t>Radha Mitchell</t>
        </is>
      </c>
      <c r="B5293" s="18" t="n">
        <v>1</v>
      </c>
      <c r="C5293" s="18" t="n">
        <v>2013</v>
      </c>
      <c r="D5293" s="18" t="n">
        <v>2013</v>
      </c>
      <c r="E5293" s="18" t="inlineStr">
        <is>
          <t>Olympus Has Fallen</t>
        </is>
      </c>
      <c r="F5293" s="18" t="inlineStr">
        <is>
          <t>F0240</t>
        </is>
      </c>
    </row>
    <row r="5294" ht="15.75" customHeight="1" s="108">
      <c r="A5294" s="18" t="inlineStr">
        <is>
          <t>Phil Austin</t>
        </is>
      </c>
      <c r="B5294" s="18" t="n">
        <v>1</v>
      </c>
      <c r="C5294" s="18" t="n">
        <v>2013</v>
      </c>
      <c r="D5294" s="18" t="n">
        <v>2013</v>
      </c>
      <c r="E5294" s="18" t="inlineStr">
        <is>
          <t>Olympus Has Fallen</t>
        </is>
      </c>
      <c r="F5294" s="18" t="inlineStr">
        <is>
          <t>F0240</t>
        </is>
      </c>
    </row>
    <row r="5295" ht="15.75" customHeight="1" s="108">
      <c r="A5295" s="18" t="inlineStr">
        <is>
          <t>James Ingersoll</t>
        </is>
      </c>
      <c r="B5295" s="18" t="n">
        <v>1</v>
      </c>
      <c r="C5295" s="18" t="n">
        <v>2013</v>
      </c>
      <c r="D5295" s="18" t="n">
        <v>2013</v>
      </c>
      <c r="E5295" s="18" t="inlineStr">
        <is>
          <t>Olympus Has Fallen</t>
        </is>
      </c>
      <c r="F5295" s="18" t="inlineStr">
        <is>
          <t>F0240</t>
        </is>
      </c>
    </row>
    <row r="5296" ht="15.75" customHeight="1" s="108">
      <c r="A5296" s="18" t="inlineStr">
        <is>
          <t>Freddy Bosche</t>
        </is>
      </c>
      <c r="B5296" s="18" t="n">
        <v>1</v>
      </c>
      <c r="C5296" s="18" t="n">
        <v>2013</v>
      </c>
      <c r="D5296" s="18" t="n">
        <v>2013</v>
      </c>
      <c r="E5296" s="18" t="inlineStr">
        <is>
          <t>Olympus Has Fallen</t>
        </is>
      </c>
      <c r="F5296" s="18" t="inlineStr">
        <is>
          <t>F0240</t>
        </is>
      </c>
    </row>
    <row r="5297" ht="15.75" customHeight="1" s="108">
      <c r="A5297" s="18" t="inlineStr">
        <is>
          <t>Lance Broadway</t>
        </is>
      </c>
      <c r="B5297" s="18" t="n">
        <v>1</v>
      </c>
      <c r="C5297" s="18" t="n">
        <v>2013</v>
      </c>
      <c r="D5297" s="18" t="n">
        <v>2013</v>
      </c>
      <c r="E5297" s="18" t="inlineStr">
        <is>
          <t>Olympus Has Fallen</t>
        </is>
      </c>
      <c r="F5297" s="18" t="inlineStr">
        <is>
          <t>F0240</t>
        </is>
      </c>
    </row>
    <row r="5298" ht="15.75" customHeight="1" s="108">
      <c r="A5298" s="18" t="inlineStr">
        <is>
          <t>Keong Sim</t>
        </is>
      </c>
      <c r="B5298" s="18" t="n">
        <v>1</v>
      </c>
      <c r="C5298" s="18" t="n">
        <v>2013</v>
      </c>
      <c r="D5298" s="18" t="n">
        <v>2013</v>
      </c>
      <c r="E5298" s="18" t="inlineStr">
        <is>
          <t>Olympus Has Fallen</t>
        </is>
      </c>
      <c r="F5298" s="18" t="inlineStr">
        <is>
          <t>F0240</t>
        </is>
      </c>
    </row>
    <row r="5299" ht="15.75" customHeight="1" s="108">
      <c r="A5299" s="18" t="inlineStr">
        <is>
          <t>Kevin Moon</t>
        </is>
      </c>
      <c r="B5299" s="18" t="n">
        <v>1</v>
      </c>
      <c r="C5299" s="18" t="n">
        <v>2013</v>
      </c>
      <c r="D5299" s="18" t="n">
        <v>2013</v>
      </c>
      <c r="E5299" s="18" t="inlineStr">
        <is>
          <t>Olympus Has Fallen</t>
        </is>
      </c>
      <c r="F5299" s="18" t="inlineStr">
        <is>
          <t>F0240</t>
        </is>
      </c>
    </row>
    <row r="5300" ht="15.75" customHeight="1" s="108">
      <c r="A5300" s="18" t="inlineStr">
        <is>
          <t>Malana Lea</t>
        </is>
      </c>
      <c r="B5300" s="18" t="n">
        <v>1</v>
      </c>
      <c r="C5300" s="18" t="n">
        <v>2013</v>
      </c>
      <c r="D5300" s="18" t="n">
        <v>2013</v>
      </c>
      <c r="E5300" s="18" t="inlineStr">
        <is>
          <t>Olympus Has Fallen</t>
        </is>
      </c>
      <c r="F5300" s="18" t="inlineStr">
        <is>
          <t>F0240</t>
        </is>
      </c>
    </row>
    <row r="5301" ht="15.75" customHeight="1" s="108">
      <c r="A5301" s="18" t="inlineStr">
        <is>
          <t>Sam Medina</t>
        </is>
      </c>
      <c r="B5301" s="18" t="n">
        <v>1</v>
      </c>
      <c r="C5301" s="18" t="n">
        <v>2013</v>
      </c>
      <c r="D5301" s="18" t="n">
        <v>2013</v>
      </c>
      <c r="E5301" s="18" t="inlineStr">
        <is>
          <t>Olympus Has Fallen</t>
        </is>
      </c>
      <c r="F5301" s="18" t="inlineStr">
        <is>
          <t>F0240</t>
        </is>
      </c>
    </row>
    <row r="5302" ht="15.75" customHeight="1" s="108">
      <c r="A5302" s="18" t="inlineStr">
        <is>
          <t>Mike Snyder</t>
        </is>
      </c>
      <c r="B5302" s="18" t="n">
        <v>1</v>
      </c>
      <c r="C5302" s="18" t="n">
        <v>2013</v>
      </c>
      <c r="D5302" s="18" t="n">
        <v>2013</v>
      </c>
      <c r="E5302" s="18" t="inlineStr">
        <is>
          <t>Olympus Has Fallen</t>
        </is>
      </c>
      <c r="F5302" s="18" t="inlineStr">
        <is>
          <t>F0240</t>
        </is>
      </c>
    </row>
    <row r="5303" ht="15.75" customHeight="1" s="108">
      <c r="A5303" s="18" t="inlineStr">
        <is>
          <t>Josiah D. Lee</t>
        </is>
      </c>
      <c r="B5303" s="18" t="n">
        <v>1</v>
      </c>
      <c r="C5303" s="18" t="n">
        <v>2013</v>
      </c>
      <c r="D5303" s="18" t="n">
        <v>2013</v>
      </c>
      <c r="E5303" s="18" t="inlineStr">
        <is>
          <t>Olympus Has Fallen</t>
        </is>
      </c>
      <c r="F5303" s="18" t="inlineStr">
        <is>
          <t>F0240</t>
        </is>
      </c>
    </row>
    <row r="5304" ht="15.75" customHeight="1" s="108">
      <c r="A5304" s="18" t="inlineStr">
        <is>
          <t>Hunter Burke</t>
        </is>
      </c>
      <c r="B5304" s="18" t="n">
        <v>1</v>
      </c>
      <c r="C5304" s="18" t="n">
        <v>2013</v>
      </c>
      <c r="D5304" s="18" t="n">
        <v>2013</v>
      </c>
      <c r="E5304" s="18" t="inlineStr">
        <is>
          <t>Olympus Has Fallen</t>
        </is>
      </c>
      <c r="F5304" s="18" t="inlineStr">
        <is>
          <t>F0240</t>
        </is>
      </c>
    </row>
    <row r="5305" ht="15.75" customHeight="1" s="108">
      <c r="A5305" s="18" t="inlineStr">
        <is>
          <t>Aonika Laurent</t>
        </is>
      </c>
      <c r="B5305" s="18" t="n">
        <v>1</v>
      </c>
      <c r="C5305" s="18" t="n">
        <v>2013</v>
      </c>
      <c r="D5305" s="18" t="n">
        <v>2013</v>
      </c>
      <c r="E5305" s="18" t="inlineStr">
        <is>
          <t>Olympus Has Fallen</t>
        </is>
      </c>
      <c r="F5305" s="18" t="inlineStr">
        <is>
          <t>F0240</t>
        </is>
      </c>
    </row>
    <row r="5306" ht="15.75" customHeight="1" s="108">
      <c r="A5306" s="18" t="inlineStr">
        <is>
          <t>Jace Jeanes</t>
        </is>
      </c>
      <c r="B5306" s="18" t="n">
        <v>1</v>
      </c>
      <c r="C5306" s="18" t="n">
        <v>2013</v>
      </c>
      <c r="D5306" s="18" t="n">
        <v>2013</v>
      </c>
      <c r="E5306" s="18" t="inlineStr">
        <is>
          <t>Olympus Has Fallen</t>
        </is>
      </c>
      <c r="F5306" s="18" t="inlineStr">
        <is>
          <t>F0240</t>
        </is>
      </c>
    </row>
    <row r="5307" ht="15.75" customHeight="1" s="108">
      <c r="A5307" s="18" t="inlineStr">
        <is>
          <t>Sione Ma'umalanga</t>
        </is>
      </c>
      <c r="B5307" s="18" t="n">
        <v>1</v>
      </c>
      <c r="C5307" s="18" t="n">
        <v>2013</v>
      </c>
      <c r="D5307" s="18" t="n">
        <v>2013</v>
      </c>
      <c r="E5307" s="18" t="inlineStr">
        <is>
          <t>Olympus Has Fallen</t>
        </is>
      </c>
      <c r="F5307" s="18" t="inlineStr">
        <is>
          <t>F0240</t>
        </is>
      </c>
    </row>
    <row r="5308" ht="15.75" customHeight="1" s="108">
      <c r="A5308" s="18" t="inlineStr">
        <is>
          <t>Tory Kittles</t>
        </is>
      </c>
      <c r="B5308" s="18" t="n">
        <v>1</v>
      </c>
      <c r="C5308" s="18" t="n">
        <v>2013</v>
      </c>
      <c r="D5308" s="18" t="n">
        <v>2013</v>
      </c>
      <c r="E5308" s="18" t="inlineStr">
        <is>
          <t>Olympus Has Fallen</t>
        </is>
      </c>
      <c r="F5308" s="18" t="inlineStr">
        <is>
          <t>F0240</t>
        </is>
      </c>
    </row>
    <row r="5309" ht="15.75" customHeight="1" s="108">
      <c r="A5309" s="18" t="inlineStr">
        <is>
          <t>Julia Butters</t>
        </is>
      </c>
      <c r="B5309" s="18" t="n">
        <v>1</v>
      </c>
      <c r="C5309" s="18" t="n">
        <v>2019</v>
      </c>
      <c r="D5309" s="18" t="n">
        <v>2019</v>
      </c>
      <c r="E5309" s="18" t="inlineStr">
        <is>
          <t>Once Upon a Time… in Hollywood</t>
        </is>
      </c>
      <c r="F5309" s="18" t="inlineStr">
        <is>
          <t>F0241</t>
        </is>
      </c>
    </row>
    <row r="5310" ht="15.75" customHeight="1" s="108">
      <c r="A5310" s="18" t="inlineStr">
        <is>
          <t>Austin Butler</t>
        </is>
      </c>
      <c r="B5310" s="18" t="n">
        <v>2</v>
      </c>
      <c r="C5310" s="18" t="n">
        <v>2019</v>
      </c>
      <c r="D5310" s="18" t="n">
        <v>2024</v>
      </c>
      <c r="E5310" s="18" t="inlineStr">
        <is>
          <t>Once Upon a Time… in Hollywood, dune  part two</t>
        </is>
      </c>
      <c r="F5310" s="18" t="inlineStr">
        <is>
          <t>F0241, F0368</t>
        </is>
      </c>
    </row>
    <row r="5311" ht="15.75" customHeight="1" s="108">
      <c r="A5311" s="18" t="inlineStr">
        <is>
          <t>Mike Moh</t>
        </is>
      </c>
      <c r="B5311" s="18" t="n">
        <v>1</v>
      </c>
      <c r="C5311" s="18" t="n">
        <v>2019</v>
      </c>
      <c r="D5311" s="18" t="n">
        <v>2019</v>
      </c>
      <c r="E5311" s="18" t="inlineStr">
        <is>
          <t>Once Upon a Time… in Hollywood</t>
        </is>
      </c>
      <c r="F5311" s="18" t="inlineStr">
        <is>
          <t>F0241</t>
        </is>
      </c>
    </row>
    <row r="5312" ht="15.75" customHeight="1" s="108">
      <c r="A5312" s="18" t="inlineStr">
        <is>
          <t>Luke Perry</t>
        </is>
      </c>
      <c r="B5312" s="18" t="n">
        <v>1</v>
      </c>
      <c r="C5312" s="18" t="n">
        <v>2019</v>
      </c>
      <c r="D5312" s="18" t="n">
        <v>2019</v>
      </c>
      <c r="E5312" s="18" t="inlineStr">
        <is>
          <t>Once Upon a Time… in Hollywood</t>
        </is>
      </c>
      <c r="F5312" s="18" t="inlineStr">
        <is>
          <t>F0241</t>
        </is>
      </c>
    </row>
    <row r="5313" ht="15.75" customHeight="1" s="108">
      <c r="A5313" s="18" t="inlineStr">
        <is>
          <t>Al Pacino</t>
        </is>
      </c>
      <c r="B5313" s="18" t="n">
        <v>1</v>
      </c>
      <c r="C5313" s="18" t="n">
        <v>2019</v>
      </c>
      <c r="D5313" s="18" t="n">
        <v>2019</v>
      </c>
      <c r="E5313" s="18" t="inlineStr">
        <is>
          <t>Once Upon a Time… in Hollywood</t>
        </is>
      </c>
      <c r="F5313" s="18" t="inlineStr">
        <is>
          <t>F0241</t>
        </is>
      </c>
    </row>
    <row r="5314" ht="15.75" customHeight="1" s="108">
      <c r="A5314" s="18" t="inlineStr">
        <is>
          <t>Nicholas Hammond</t>
        </is>
      </c>
      <c r="B5314" s="18" t="n">
        <v>1</v>
      </c>
      <c r="C5314" s="18" t="n">
        <v>2019</v>
      </c>
      <c r="D5314" s="18" t="n">
        <v>2019</v>
      </c>
      <c r="E5314" s="18" t="inlineStr">
        <is>
          <t>Once Upon a Time… in Hollywood</t>
        </is>
      </c>
      <c r="F5314" s="18" t="inlineStr">
        <is>
          <t>F0241</t>
        </is>
      </c>
    </row>
    <row r="5315" ht="15.75" customHeight="1" s="108">
      <c r="A5315" s="18" t="inlineStr">
        <is>
          <t>Samantha Robinson</t>
        </is>
      </c>
      <c r="B5315" s="18" t="n">
        <v>1</v>
      </c>
      <c r="C5315" s="18" t="n">
        <v>2019</v>
      </c>
      <c r="D5315" s="18" t="n">
        <v>2019</v>
      </c>
      <c r="E5315" s="18" t="inlineStr">
        <is>
          <t>Once Upon a Time… in Hollywood</t>
        </is>
      </c>
      <c r="F5315" s="18" t="inlineStr">
        <is>
          <t>F0241</t>
        </is>
      </c>
    </row>
    <row r="5316" ht="15.75" customHeight="1" s="108">
      <c r="A5316" s="18" t="inlineStr">
        <is>
          <t>Rafał Zawierucha</t>
        </is>
      </c>
      <c r="B5316" s="18" t="n">
        <v>1</v>
      </c>
      <c r="C5316" s="18" t="n">
        <v>2019</v>
      </c>
      <c r="D5316" s="18" t="n">
        <v>2019</v>
      </c>
      <c r="E5316" s="18" t="inlineStr">
        <is>
          <t>Once Upon a Time… in Hollywood</t>
        </is>
      </c>
      <c r="F5316" s="18" t="inlineStr">
        <is>
          <t>F0241</t>
        </is>
      </c>
    </row>
    <row r="5317" ht="15.75" customHeight="1" s="108">
      <c r="A5317" s="18" t="inlineStr">
        <is>
          <t>Lorenza Izzo</t>
        </is>
      </c>
      <c r="B5317" s="18" t="n">
        <v>1</v>
      </c>
      <c r="C5317" s="18" t="n">
        <v>2019</v>
      </c>
      <c r="D5317" s="18" t="n">
        <v>2019</v>
      </c>
      <c r="E5317" s="18" t="inlineStr">
        <is>
          <t>Once Upon a Time… in Hollywood</t>
        </is>
      </c>
      <c r="F5317" s="18" t="inlineStr">
        <is>
          <t>F0241</t>
        </is>
      </c>
    </row>
    <row r="5318" ht="15.75" customHeight="1" s="108">
      <c r="A5318" s="18" t="inlineStr">
        <is>
          <t>Costa Ronin</t>
        </is>
      </c>
      <c r="B5318" s="18" t="n">
        <v>1</v>
      </c>
      <c r="C5318" s="18" t="n">
        <v>2019</v>
      </c>
      <c r="D5318" s="18" t="n">
        <v>2019</v>
      </c>
      <c r="E5318" s="18" t="inlineStr">
        <is>
          <t>Once Upon a Time… in Hollywood</t>
        </is>
      </c>
      <c r="F5318" s="18" t="inlineStr">
        <is>
          <t>F0241</t>
        </is>
      </c>
    </row>
    <row r="5319" ht="15.75" customHeight="1" s="108">
      <c r="A5319" s="18" t="inlineStr">
        <is>
          <t>Damon Herriman</t>
        </is>
      </c>
      <c r="B5319" s="18" t="n">
        <v>1</v>
      </c>
      <c r="C5319" s="18" t="n">
        <v>2019</v>
      </c>
      <c r="D5319" s="18" t="n">
        <v>2019</v>
      </c>
      <c r="E5319" s="18" t="inlineStr">
        <is>
          <t>Once Upon a Time… in Hollywood</t>
        </is>
      </c>
      <c r="F5319" s="18" t="inlineStr">
        <is>
          <t>F0241</t>
        </is>
      </c>
    </row>
    <row r="5320" ht="15.75" customHeight="1" s="108">
      <c r="A5320" s="18" t="inlineStr">
        <is>
          <t>Lena Dunham</t>
        </is>
      </c>
      <c r="B5320" s="18" t="n">
        <v>1</v>
      </c>
      <c r="C5320" s="18" t="n">
        <v>2019</v>
      </c>
      <c r="D5320" s="18" t="n">
        <v>2019</v>
      </c>
      <c r="E5320" s="18" t="inlineStr">
        <is>
          <t>Once Upon a Time… in Hollywood</t>
        </is>
      </c>
      <c r="F5320" s="18" t="inlineStr">
        <is>
          <t>F0241</t>
        </is>
      </c>
    </row>
    <row r="5321" ht="15.75" customHeight="1" s="108">
      <c r="A5321" s="18" t="inlineStr">
        <is>
          <t>Madisen Beaty</t>
        </is>
      </c>
      <c r="B5321" s="18" t="n">
        <v>1</v>
      </c>
      <c r="C5321" s="18" t="n">
        <v>2019</v>
      </c>
      <c r="D5321" s="18" t="n">
        <v>2019</v>
      </c>
      <c r="E5321" s="18" t="inlineStr">
        <is>
          <t>Once Upon a Time… in Hollywood</t>
        </is>
      </c>
      <c r="F5321" s="18" t="inlineStr">
        <is>
          <t>F0241</t>
        </is>
      </c>
    </row>
    <row r="5322" ht="15.75" customHeight="1" s="108">
      <c r="A5322" s="18" t="inlineStr">
        <is>
          <t>Mikey Madison</t>
        </is>
      </c>
      <c r="B5322" s="18" t="n">
        <v>1</v>
      </c>
      <c r="C5322" s="18" t="n">
        <v>2019</v>
      </c>
      <c r="D5322" s="18" t="n">
        <v>2019</v>
      </c>
      <c r="E5322" s="18" t="inlineStr">
        <is>
          <t>Once Upon a Time… in Hollywood</t>
        </is>
      </c>
      <c r="F5322" s="18" t="inlineStr">
        <is>
          <t>F0241</t>
        </is>
      </c>
    </row>
    <row r="5323" ht="15.75" customHeight="1" s="108">
      <c r="A5323" s="18" t="inlineStr">
        <is>
          <t>James Landry Hébert</t>
        </is>
      </c>
      <c r="B5323" s="18" t="n">
        <v>1</v>
      </c>
      <c r="C5323" s="18" t="n">
        <v>2019</v>
      </c>
      <c r="D5323" s="18" t="n">
        <v>2019</v>
      </c>
      <c r="E5323" s="18" t="inlineStr">
        <is>
          <t>Once Upon a Time… in Hollywood</t>
        </is>
      </c>
      <c r="F5323" s="18" t="inlineStr">
        <is>
          <t>F0241</t>
        </is>
      </c>
    </row>
    <row r="5324" ht="15.75" customHeight="1" s="108">
      <c r="A5324" s="18" t="inlineStr">
        <is>
          <t>Maya Hawke</t>
        </is>
      </c>
      <c r="B5324" s="18" t="n">
        <v>1</v>
      </c>
      <c r="C5324" s="18" t="n">
        <v>2019</v>
      </c>
      <c r="D5324" s="18" t="n">
        <v>2019</v>
      </c>
      <c r="E5324" s="18" t="inlineStr">
        <is>
          <t>Once Upon a Time… in Hollywood</t>
        </is>
      </c>
      <c r="F5324" s="18" t="inlineStr">
        <is>
          <t>F0241</t>
        </is>
      </c>
    </row>
    <row r="5325" ht="15.75" customHeight="1" s="108">
      <c r="A5325" s="18" t="inlineStr">
        <is>
          <t>Victoria Pedretti</t>
        </is>
      </c>
      <c r="B5325" s="18" t="n">
        <v>1</v>
      </c>
      <c r="C5325" s="18" t="n">
        <v>2019</v>
      </c>
      <c r="D5325" s="18" t="n">
        <v>2019</v>
      </c>
      <c r="E5325" s="18" t="inlineStr">
        <is>
          <t>Once Upon a Time… in Hollywood</t>
        </is>
      </c>
      <c r="F5325" s="18" t="inlineStr">
        <is>
          <t>F0241</t>
        </is>
      </c>
    </row>
    <row r="5326" ht="15.75" customHeight="1" s="108">
      <c r="A5326" s="18" t="inlineStr">
        <is>
          <t>Sydney Sweeney</t>
        </is>
      </c>
      <c r="B5326" s="18" t="n">
        <v>1</v>
      </c>
      <c r="C5326" s="18" t="n">
        <v>2019</v>
      </c>
      <c r="D5326" s="18" t="n">
        <v>2019</v>
      </c>
      <c r="E5326" s="18" t="inlineStr">
        <is>
          <t>Once Upon a Time… in Hollywood</t>
        </is>
      </c>
      <c r="F5326" s="18" t="inlineStr">
        <is>
          <t>F0241</t>
        </is>
      </c>
    </row>
    <row r="5327" ht="15.75" customHeight="1" s="108">
      <c r="A5327" s="18" t="inlineStr">
        <is>
          <t>Harley Quinn Smith</t>
        </is>
      </c>
      <c r="B5327" s="18" t="n">
        <v>1</v>
      </c>
      <c r="C5327" s="18" t="n">
        <v>2019</v>
      </c>
      <c r="D5327" s="18" t="n">
        <v>2019</v>
      </c>
      <c r="E5327" s="18" t="inlineStr">
        <is>
          <t>Once Upon a Time… in Hollywood</t>
        </is>
      </c>
      <c r="F5327" s="18" t="inlineStr">
        <is>
          <t>F0241</t>
        </is>
      </c>
    </row>
    <row r="5328" ht="15.75" customHeight="1" s="108">
      <c r="A5328" s="18" t="inlineStr">
        <is>
          <t>Dallas Jay Hunter</t>
        </is>
      </c>
      <c r="B5328" s="18" t="n">
        <v>1</v>
      </c>
      <c r="C5328" s="18" t="n">
        <v>2019</v>
      </c>
      <c r="D5328" s="18" t="n">
        <v>2019</v>
      </c>
      <c r="E5328" s="18" t="inlineStr">
        <is>
          <t>Once Upon a Time… in Hollywood</t>
        </is>
      </c>
      <c r="F5328" s="18" t="inlineStr">
        <is>
          <t>F0241</t>
        </is>
      </c>
    </row>
    <row r="5329" ht="15.75" customHeight="1" s="108">
      <c r="A5329" s="18" t="inlineStr">
        <is>
          <t>Kansas Bowling</t>
        </is>
      </c>
      <c r="B5329" s="18" t="n">
        <v>1</v>
      </c>
      <c r="C5329" s="18" t="n">
        <v>2019</v>
      </c>
      <c r="D5329" s="18" t="n">
        <v>2019</v>
      </c>
      <c r="E5329" s="18" t="inlineStr">
        <is>
          <t>Once Upon a Time… in Hollywood</t>
        </is>
      </c>
      <c r="F5329" s="18" t="inlineStr">
        <is>
          <t>F0241</t>
        </is>
      </c>
    </row>
    <row r="5330" ht="15.75" customHeight="1" s="108">
      <c r="A5330" s="18" t="inlineStr">
        <is>
          <t>Benny Safdie</t>
        </is>
      </c>
      <c r="B5330" s="18" t="n">
        <v>1</v>
      </c>
      <c r="C5330" s="18" t="n">
        <v>2023</v>
      </c>
      <c r="D5330" s="18" t="n">
        <v>2023</v>
      </c>
      <c r="E5330" s="18" t="inlineStr">
        <is>
          <t>Oppenheimer</t>
        </is>
      </c>
      <c r="F5330" s="18" t="inlineStr">
        <is>
          <t>F0242</t>
        </is>
      </c>
    </row>
    <row r="5331" ht="15.75" customHeight="1" s="108">
      <c r="A5331" s="18" t="inlineStr">
        <is>
          <t>Dylan Arnold</t>
        </is>
      </c>
      <c r="B5331" s="18" t="n">
        <v>1</v>
      </c>
      <c r="C5331" s="18" t="n">
        <v>2023</v>
      </c>
      <c r="D5331" s="18" t="n">
        <v>2023</v>
      </c>
      <c r="E5331" s="18" t="inlineStr">
        <is>
          <t>Oppenheimer</t>
        </is>
      </c>
      <c r="F5331" s="18" t="inlineStr">
        <is>
          <t>F0242</t>
        </is>
      </c>
    </row>
    <row r="5332" ht="15.75" customHeight="1" s="108">
      <c r="A5332" s="18" t="inlineStr">
        <is>
          <t>Tom Conti</t>
        </is>
      </c>
      <c r="B5332" s="18" t="n">
        <v>1</v>
      </c>
      <c r="C5332" s="18" t="n">
        <v>2023</v>
      </c>
      <c r="D5332" s="18" t="n">
        <v>2023</v>
      </c>
      <c r="E5332" s="18" t="inlineStr">
        <is>
          <t>Oppenheimer</t>
        </is>
      </c>
      <c r="F5332" s="18" t="inlineStr">
        <is>
          <t>F0242</t>
        </is>
      </c>
    </row>
    <row r="5333" ht="15.75" customHeight="1" s="108">
      <c r="A5333" s="18" t="inlineStr">
        <is>
          <t>James D'Arcy</t>
        </is>
      </c>
      <c r="B5333" s="18" t="n">
        <v>1</v>
      </c>
      <c r="C5333" s="18" t="n">
        <v>2023</v>
      </c>
      <c r="D5333" s="18" t="n">
        <v>2023</v>
      </c>
      <c r="E5333" s="18" t="inlineStr">
        <is>
          <t>Oppenheimer</t>
        </is>
      </c>
      <c r="F5333" s="18" t="inlineStr">
        <is>
          <t>F0242</t>
        </is>
      </c>
    </row>
    <row r="5334" ht="15.75" customHeight="1" s="108">
      <c r="A5334" s="18" t="inlineStr">
        <is>
          <t>David Dastmalchian</t>
        </is>
      </c>
      <c r="B5334" s="18" t="n">
        <v>5</v>
      </c>
      <c r="C5334" s="18" t="n">
        <v>2013</v>
      </c>
      <c r="D5334" s="18" t="n">
        <v>2023</v>
      </c>
      <c r="E5334" s="18" t="inlineStr">
        <is>
          <t xml:space="preserve">Oppenheimer, Prisoners, blade runner 2049, dune, dune </t>
        </is>
      </c>
      <c r="F5334" s="18" t="inlineStr">
        <is>
          <t>F0242, F0258, F0366, F0367</t>
        </is>
      </c>
    </row>
    <row r="5335" ht="15.75" customHeight="1" s="108">
      <c r="A5335" s="18" t="inlineStr">
        <is>
          <t>Alden Ehrenreich</t>
        </is>
      </c>
      <c r="B5335" s="18" t="n">
        <v>2</v>
      </c>
      <c r="C5335" s="18" t="n">
        <v>2018</v>
      </c>
      <c r="D5335" s="18" t="n">
        <v>2023</v>
      </c>
      <c r="E5335" s="18" t="inlineStr">
        <is>
          <t>Oppenheimer, Solo a star wars story</t>
        </is>
      </c>
      <c r="F5335" s="18" t="inlineStr">
        <is>
          <t>F0242, F0386</t>
        </is>
      </c>
    </row>
    <row r="5336" ht="15.75" customHeight="1" s="108">
      <c r="A5336" s="18" t="inlineStr">
        <is>
          <t>Jefferson Hall</t>
        </is>
      </c>
      <c r="B5336" s="18" t="n">
        <v>3</v>
      </c>
      <c r="C5336" s="18" t="n">
        <v>2009</v>
      </c>
      <c r="D5336" s="18" t="n">
        <v>2023</v>
      </c>
      <c r="E5336" s="18" t="inlineStr">
        <is>
          <t>Oppenheimer, Sherlock Holmes, Tenet</t>
        </is>
      </c>
      <c r="F5336" s="18" t="inlineStr">
        <is>
          <t>F0242, F0278, F0387</t>
        </is>
      </c>
    </row>
    <row r="5337" ht="15.75" customHeight="1" s="108">
      <c r="A5337" s="18" t="inlineStr">
        <is>
          <t>David Krumholtz</t>
        </is>
      </c>
      <c r="B5337" s="18" t="n">
        <v>2</v>
      </c>
      <c r="C5337" s="18" t="n">
        <v>2007</v>
      </c>
      <c r="D5337" s="18" t="n">
        <v>2023</v>
      </c>
      <c r="E5337" s="18" t="inlineStr">
        <is>
          <t>Oppenheimer, Superbad</t>
        </is>
      </c>
      <c r="F5337" s="18" t="inlineStr">
        <is>
          <t>F0242, F0303</t>
        </is>
      </c>
    </row>
    <row r="5338" ht="15.75" customHeight="1" s="108">
      <c r="A5338" s="18" t="inlineStr">
        <is>
          <t>Scott Grimes</t>
        </is>
      </c>
      <c r="B5338" s="18" t="n">
        <v>2</v>
      </c>
      <c r="C5338" s="18" t="n">
        <v>2010</v>
      </c>
      <c r="D5338" s="18" t="n">
        <v>2023</v>
      </c>
      <c r="E5338" s="18" t="inlineStr">
        <is>
          <t>Oppenheimer, Robin Hood</t>
        </is>
      </c>
      <c r="F5338" s="18" t="inlineStr">
        <is>
          <t>F0242, F0267</t>
        </is>
      </c>
    </row>
    <row r="5339" ht="15.75" customHeight="1" s="108">
      <c r="A5339" s="18" t="inlineStr">
        <is>
          <t>Kurt Koehler</t>
        </is>
      </c>
      <c r="B5339" s="18" t="n">
        <v>1</v>
      </c>
      <c r="C5339" s="18" t="n">
        <v>2023</v>
      </c>
      <c r="D5339" s="18" t="n">
        <v>2023</v>
      </c>
      <c r="E5339" s="18" t="inlineStr">
        <is>
          <t>Oppenheimer</t>
        </is>
      </c>
      <c r="F5339" s="18" t="inlineStr">
        <is>
          <t>F0242</t>
        </is>
      </c>
    </row>
    <row r="5340" ht="15.75" customHeight="1" s="108">
      <c r="A5340" s="18" t="inlineStr">
        <is>
          <t>John Gowans</t>
        </is>
      </c>
      <c r="B5340" s="18" t="n">
        <v>1</v>
      </c>
      <c r="C5340" s="18" t="n">
        <v>2023</v>
      </c>
      <c r="D5340" s="18" t="n">
        <v>2023</v>
      </c>
      <c r="E5340" s="18" t="inlineStr">
        <is>
          <t>Oppenheimer</t>
        </is>
      </c>
      <c r="F5340" s="18" t="inlineStr">
        <is>
          <t>F0242</t>
        </is>
      </c>
    </row>
    <row r="5341" ht="15.75" customHeight="1" s="108">
      <c r="A5341" s="18" t="inlineStr">
        <is>
          <t>Macon Blair</t>
        </is>
      </c>
      <c r="B5341" s="18" t="n">
        <v>1</v>
      </c>
      <c r="C5341" s="18" t="n">
        <v>2023</v>
      </c>
      <c r="D5341" s="18" t="n">
        <v>2023</v>
      </c>
      <c r="E5341" s="18" t="inlineStr">
        <is>
          <t>Oppenheimer</t>
        </is>
      </c>
      <c r="F5341" s="18" t="inlineStr">
        <is>
          <t>F0242</t>
        </is>
      </c>
    </row>
    <row r="5342" ht="15.75" customHeight="1" s="108">
      <c r="A5342" s="18" t="inlineStr">
        <is>
          <t>Harry Groener</t>
        </is>
      </c>
      <c r="B5342" s="18" t="n">
        <v>1</v>
      </c>
      <c r="C5342" s="18" t="n">
        <v>2023</v>
      </c>
      <c r="D5342" s="18" t="n">
        <v>2023</v>
      </c>
      <c r="E5342" s="18" t="inlineStr">
        <is>
          <t>Oppenheimer</t>
        </is>
      </c>
      <c r="F5342" s="18" t="inlineStr">
        <is>
          <t>F0242</t>
        </is>
      </c>
    </row>
    <row r="5343" ht="15.75" customHeight="1" s="108">
      <c r="A5343" s="18" t="inlineStr">
        <is>
          <t>Gregory Jbara</t>
        </is>
      </c>
      <c r="B5343" s="18" t="n">
        <v>1</v>
      </c>
      <c r="C5343" s="18" t="n">
        <v>2023</v>
      </c>
      <c r="D5343" s="18" t="n">
        <v>2023</v>
      </c>
      <c r="E5343" s="18" t="inlineStr">
        <is>
          <t>Oppenheimer</t>
        </is>
      </c>
      <c r="F5343" s="18" t="inlineStr">
        <is>
          <t>F0242</t>
        </is>
      </c>
    </row>
    <row r="5344" ht="15.75" customHeight="1" s="108">
      <c r="A5344" s="18" t="inlineStr">
        <is>
          <t>Ted King</t>
        </is>
      </c>
      <c r="B5344" s="18" t="n">
        <v>1</v>
      </c>
      <c r="C5344" s="18" t="n">
        <v>2023</v>
      </c>
      <c r="D5344" s="18" t="n">
        <v>2023</v>
      </c>
      <c r="E5344" s="18" t="inlineStr">
        <is>
          <t>Oppenheimer</t>
        </is>
      </c>
      <c r="F5344" s="18" t="inlineStr">
        <is>
          <t>F0242</t>
        </is>
      </c>
    </row>
    <row r="5345" ht="15.75" customHeight="1" s="108">
      <c r="A5345" s="18" t="inlineStr">
        <is>
          <t>Tim DeKay</t>
        </is>
      </c>
      <c r="B5345" s="18" t="n">
        <v>1</v>
      </c>
      <c r="C5345" s="18" t="n">
        <v>2023</v>
      </c>
      <c r="D5345" s="18" t="n">
        <v>2023</v>
      </c>
      <c r="E5345" s="18" t="inlineStr">
        <is>
          <t>Oppenheimer</t>
        </is>
      </c>
      <c r="F5345" s="18" t="inlineStr">
        <is>
          <t>F0242</t>
        </is>
      </c>
    </row>
    <row r="5346" ht="15.75" customHeight="1" s="108">
      <c r="A5346" s="18" t="inlineStr">
        <is>
          <t>Steven Houska</t>
        </is>
      </c>
      <c r="B5346" s="18" t="n">
        <v>1</v>
      </c>
      <c r="C5346" s="18" t="n">
        <v>2023</v>
      </c>
      <c r="D5346" s="18" t="n">
        <v>2023</v>
      </c>
      <c r="E5346" s="18" t="inlineStr">
        <is>
          <t>Oppenheimer</t>
        </is>
      </c>
      <c r="F5346" s="18" t="inlineStr">
        <is>
          <t>F0242</t>
        </is>
      </c>
    </row>
    <row r="5347" ht="15.75" customHeight="1" s="108">
      <c r="A5347" s="18" t="inlineStr">
        <is>
          <t>Robert Kazinsky</t>
        </is>
      </c>
      <c r="B5347" s="18" t="n">
        <v>1</v>
      </c>
      <c r="C5347" s="18" t="n">
        <v>2013</v>
      </c>
      <c r="D5347" s="18" t="n">
        <v>2013</v>
      </c>
      <c r="E5347" s="18" t="inlineStr">
        <is>
          <t>Pacific Rim</t>
        </is>
      </c>
      <c r="F5347" s="18" t="inlineStr">
        <is>
          <t>F0243</t>
        </is>
      </c>
    </row>
    <row r="5348" ht="15.75" customHeight="1" s="108">
      <c r="A5348" s="18" t="inlineStr">
        <is>
          <t>Heather Doerksen</t>
        </is>
      </c>
      <c r="B5348" s="18" t="n">
        <v>1</v>
      </c>
      <c r="C5348" s="18" t="n">
        <v>2013</v>
      </c>
      <c r="D5348" s="18" t="n">
        <v>2013</v>
      </c>
      <c r="E5348" s="18" t="inlineStr">
        <is>
          <t>Pacific Rim</t>
        </is>
      </c>
      <c r="F5348" s="18" t="inlineStr">
        <is>
          <t>F0243</t>
        </is>
      </c>
    </row>
    <row r="5349" ht="15.75" customHeight="1" s="108">
      <c r="A5349" s="18" t="inlineStr">
        <is>
          <t>Larry Joe Campbell</t>
        </is>
      </c>
      <c r="B5349" s="18" t="n">
        <v>1</v>
      </c>
      <c r="C5349" s="18" t="n">
        <v>2013</v>
      </c>
      <c r="D5349" s="18" t="n">
        <v>2013</v>
      </c>
      <c r="E5349" s="18" t="inlineStr">
        <is>
          <t>Pacific Rim</t>
        </is>
      </c>
      <c r="F5349" s="18" t="inlineStr">
        <is>
          <t>F0243</t>
        </is>
      </c>
    </row>
    <row r="5350" ht="15.75" customHeight="1" s="108">
      <c r="A5350" s="18" t="inlineStr">
        <is>
          <t>Diego Klattenhoff</t>
        </is>
      </c>
      <c r="B5350" s="18" t="n">
        <v>1</v>
      </c>
      <c r="C5350" s="18" t="n">
        <v>2013</v>
      </c>
      <c r="D5350" s="18" t="n">
        <v>2013</v>
      </c>
      <c r="E5350" s="18" t="inlineStr">
        <is>
          <t>Pacific Rim</t>
        </is>
      </c>
      <c r="F5350" s="18" t="inlineStr">
        <is>
          <t>F0243</t>
        </is>
      </c>
    </row>
    <row r="5351" ht="15.75" customHeight="1" s="108">
      <c r="A5351" s="18" t="inlineStr">
        <is>
          <t>Santiago Segura</t>
        </is>
      </c>
      <c r="B5351" s="18" t="n">
        <v>1</v>
      </c>
      <c r="C5351" s="18" t="n">
        <v>2013</v>
      </c>
      <c r="D5351" s="18" t="n">
        <v>2013</v>
      </c>
      <c r="E5351" s="18" t="inlineStr">
        <is>
          <t>Pacific Rim</t>
        </is>
      </c>
      <c r="F5351" s="18" t="inlineStr">
        <is>
          <t>F0243</t>
        </is>
      </c>
    </row>
    <row r="5352" ht="15.75" customHeight="1" s="108">
      <c r="A5352" s="18" t="inlineStr">
        <is>
          <t>Jane Watson</t>
        </is>
      </c>
      <c r="B5352" s="18" t="n">
        <v>1</v>
      </c>
      <c r="C5352" s="18" t="n">
        <v>2013</v>
      </c>
      <c r="D5352" s="18" t="n">
        <v>2013</v>
      </c>
      <c r="E5352" s="18" t="inlineStr">
        <is>
          <t>Pacific Rim</t>
        </is>
      </c>
      <c r="F5352" s="18" t="inlineStr">
        <is>
          <t>F0243</t>
        </is>
      </c>
    </row>
    <row r="5353" ht="15.75" customHeight="1" s="108">
      <c r="A5353" s="18" t="inlineStr">
        <is>
          <t>Jung-Yul Kim</t>
        </is>
      </c>
      <c r="B5353" s="18" t="n">
        <v>1</v>
      </c>
      <c r="C5353" s="18" t="n">
        <v>2013</v>
      </c>
      <c r="D5353" s="18" t="n">
        <v>2013</v>
      </c>
      <c r="E5353" s="18" t="inlineStr">
        <is>
          <t>Pacific Rim</t>
        </is>
      </c>
      <c r="F5353" s="18" t="inlineStr">
        <is>
          <t>F0243</t>
        </is>
      </c>
    </row>
    <row r="5354" ht="15.75" customHeight="1" s="108">
      <c r="A5354" s="18" t="inlineStr">
        <is>
          <t>Joshua Peace</t>
        </is>
      </c>
      <c r="B5354" s="18" t="n">
        <v>1</v>
      </c>
      <c r="C5354" s="18" t="n">
        <v>2013</v>
      </c>
      <c r="D5354" s="18" t="n">
        <v>2013</v>
      </c>
      <c r="E5354" s="18" t="inlineStr">
        <is>
          <t>Pacific Rim</t>
        </is>
      </c>
      <c r="F5354" s="18" t="inlineStr">
        <is>
          <t>F0243</t>
        </is>
      </c>
    </row>
    <row r="5355" ht="15.75" customHeight="1" s="108">
      <c r="A5355" s="18" t="inlineStr">
        <is>
          <t>Mana Ashida</t>
        </is>
      </c>
      <c r="B5355" s="18" t="n">
        <v>1</v>
      </c>
      <c r="C5355" s="18" t="n">
        <v>2013</v>
      </c>
      <c r="D5355" s="18" t="n">
        <v>2013</v>
      </c>
      <c r="E5355" s="18" t="inlineStr">
        <is>
          <t>Pacific Rim</t>
        </is>
      </c>
      <c r="F5355" s="18" t="inlineStr">
        <is>
          <t>F0243</t>
        </is>
      </c>
    </row>
    <row r="5356" ht="15.75" customHeight="1" s="108">
      <c r="A5356" s="18" t="inlineStr">
        <is>
          <t>Joe Pingue</t>
        </is>
      </c>
      <c r="B5356" s="18" t="n">
        <v>1</v>
      </c>
      <c r="C5356" s="18" t="n">
        <v>2013</v>
      </c>
      <c r="D5356" s="18" t="n">
        <v>2013</v>
      </c>
      <c r="E5356" s="18" t="inlineStr">
        <is>
          <t>Pacific Rim</t>
        </is>
      </c>
      <c r="F5356" s="18" t="inlineStr">
        <is>
          <t>F0243</t>
        </is>
      </c>
    </row>
    <row r="5357" ht="15.75" customHeight="1" s="108">
      <c r="A5357" s="18" t="inlineStr">
        <is>
          <t>Milton Barnes</t>
        </is>
      </c>
      <c r="B5357" s="18" t="n">
        <v>1</v>
      </c>
      <c r="C5357" s="18" t="n">
        <v>2013</v>
      </c>
      <c r="D5357" s="18" t="n">
        <v>2013</v>
      </c>
      <c r="E5357" s="18" t="inlineStr">
        <is>
          <t>Pacific Rim</t>
        </is>
      </c>
      <c r="F5357" s="18" t="inlineStr">
        <is>
          <t>F0243</t>
        </is>
      </c>
    </row>
    <row r="5358" ht="15.75" customHeight="1" s="108">
      <c r="A5358" s="18" t="inlineStr">
        <is>
          <t>Brian Frank</t>
        </is>
      </c>
      <c r="B5358" s="18" t="n">
        <v>1</v>
      </c>
      <c r="C5358" s="18" t="n">
        <v>2013</v>
      </c>
      <c r="D5358" s="18" t="n">
        <v>2013</v>
      </c>
      <c r="E5358" s="18" t="inlineStr">
        <is>
          <t>Pacific Rim</t>
        </is>
      </c>
      <c r="F5358" s="18" t="inlineStr">
        <is>
          <t>F0243</t>
        </is>
      </c>
    </row>
    <row r="5359" ht="15.75" customHeight="1" s="108">
      <c r="A5359" s="18" t="inlineStr">
        <is>
          <t>Ellen McLain</t>
        </is>
      </c>
      <c r="B5359" s="18" t="n">
        <v>1</v>
      </c>
      <c r="C5359" s="18" t="n">
        <v>2013</v>
      </c>
      <c r="D5359" s="18" t="n">
        <v>2013</v>
      </c>
      <c r="E5359" s="18" t="inlineStr">
        <is>
          <t>Pacific Rim</t>
        </is>
      </c>
      <c r="F5359" s="18" t="inlineStr">
        <is>
          <t>F0243</t>
        </is>
      </c>
    </row>
    <row r="5360" ht="15.75" customHeight="1" s="108">
      <c r="A5360" s="18" t="inlineStr">
        <is>
          <t>David Fox</t>
        </is>
      </c>
      <c r="B5360" s="18" t="n">
        <v>1</v>
      </c>
      <c r="C5360" s="18" t="n">
        <v>2013</v>
      </c>
      <c r="D5360" s="18" t="n">
        <v>2013</v>
      </c>
      <c r="E5360" s="18" t="inlineStr">
        <is>
          <t>Pacific Rim</t>
        </is>
      </c>
      <c r="F5360" s="18" t="inlineStr">
        <is>
          <t>F0243</t>
        </is>
      </c>
    </row>
    <row r="5361" ht="15.75" customHeight="1" s="108">
      <c r="A5361" s="18" t="inlineStr">
        <is>
          <t>Jake Goodman</t>
        </is>
      </c>
      <c r="B5361" s="18" t="n">
        <v>1</v>
      </c>
      <c r="C5361" s="18" t="n">
        <v>2013</v>
      </c>
      <c r="D5361" s="18" t="n">
        <v>2013</v>
      </c>
      <c r="E5361" s="18" t="inlineStr">
        <is>
          <t>Pacific Rim</t>
        </is>
      </c>
      <c r="F5361" s="18" t="inlineStr">
        <is>
          <t>F0243</t>
        </is>
      </c>
    </row>
    <row r="5362" ht="15.75" customHeight="1" s="108">
      <c r="A5362" s="18" t="inlineStr">
        <is>
          <t>Robin Thomas</t>
        </is>
      </c>
      <c r="B5362" s="18" t="n">
        <v>1</v>
      </c>
      <c r="C5362" s="18" t="n">
        <v>2013</v>
      </c>
      <c r="D5362" s="18" t="n">
        <v>2013</v>
      </c>
      <c r="E5362" s="18" t="inlineStr">
        <is>
          <t>Pacific Rim</t>
        </is>
      </c>
      <c r="F5362" s="18" t="inlineStr">
        <is>
          <t>F0243</t>
        </is>
      </c>
    </row>
    <row r="5363" ht="15.75" customHeight="1" s="108">
      <c r="A5363" s="18" t="inlineStr">
        <is>
          <t>Julian Barnes</t>
        </is>
      </c>
      <c r="B5363" s="18" t="n">
        <v>1</v>
      </c>
      <c r="C5363" s="18" t="n">
        <v>2013</v>
      </c>
      <c r="D5363" s="18" t="n">
        <v>2013</v>
      </c>
      <c r="E5363" s="18" t="inlineStr">
        <is>
          <t>Pacific Rim</t>
        </is>
      </c>
      <c r="F5363" s="18" t="inlineStr">
        <is>
          <t>F0243</t>
        </is>
      </c>
    </row>
    <row r="5364" ht="15.75" customHeight="1" s="108">
      <c r="A5364" s="18" t="inlineStr">
        <is>
          <t>David Richmond-Peck</t>
        </is>
      </c>
      <c r="B5364" s="18" t="n">
        <v>1</v>
      </c>
      <c r="C5364" s="18" t="n">
        <v>2013</v>
      </c>
      <c r="D5364" s="18" t="n">
        <v>2013</v>
      </c>
      <c r="E5364" s="18" t="inlineStr">
        <is>
          <t>Pacific Rim</t>
        </is>
      </c>
      <c r="F5364" s="18" t="inlineStr">
        <is>
          <t>F0243</t>
        </is>
      </c>
    </row>
    <row r="5365" ht="15.75" customHeight="1" s="108">
      <c r="A5365" s="18" t="inlineStr">
        <is>
          <t>Sebastian Pigott</t>
        </is>
      </c>
      <c r="B5365" s="18" t="n">
        <v>1</v>
      </c>
      <c r="C5365" s="18" t="n">
        <v>2013</v>
      </c>
      <c r="D5365" s="18" t="n">
        <v>2013</v>
      </c>
      <c r="E5365" s="18" t="inlineStr">
        <is>
          <t>Pacific Rim</t>
        </is>
      </c>
      <c r="F5365" s="18" t="inlineStr">
        <is>
          <t>F0243</t>
        </is>
      </c>
    </row>
    <row r="5366" ht="15.75" customHeight="1" s="108">
      <c r="A5366" s="18" t="inlineStr">
        <is>
          <t>J.C. Kenny</t>
        </is>
      </c>
      <c r="B5366" s="18" t="n">
        <v>1</v>
      </c>
      <c r="C5366" s="18" t="n">
        <v>2013</v>
      </c>
      <c r="D5366" s="18" t="n">
        <v>2013</v>
      </c>
      <c r="E5366" s="18" t="inlineStr">
        <is>
          <t>Pacific Rim</t>
        </is>
      </c>
      <c r="F5366" s="18" t="inlineStr">
        <is>
          <t>F0243</t>
        </is>
      </c>
    </row>
    <row r="5367" ht="15.75" customHeight="1" s="108">
      <c r="A5367" s="18" t="inlineStr">
        <is>
          <t>Peter Capaldi</t>
        </is>
      </c>
      <c r="B5367" s="18" t="n">
        <v>1</v>
      </c>
      <c r="C5367" s="18" t="n">
        <v>2014</v>
      </c>
      <c r="D5367" s="18" t="n">
        <v>2014</v>
      </c>
      <c r="E5367" s="18" t="inlineStr">
        <is>
          <t>Paddington</t>
        </is>
      </c>
      <c r="F5367" s="18" t="inlineStr">
        <is>
          <t>F0244</t>
        </is>
      </c>
    </row>
    <row r="5368" ht="15.75" customHeight="1" s="108">
      <c r="A5368" s="18" t="inlineStr">
        <is>
          <t>Madeleine Worrall</t>
        </is>
      </c>
      <c r="B5368" s="18" t="n">
        <v>1</v>
      </c>
      <c r="C5368" s="18" t="n">
        <v>2014</v>
      </c>
      <c r="D5368" s="18" t="n">
        <v>2014</v>
      </c>
      <c r="E5368" s="18" t="inlineStr">
        <is>
          <t>Paddington</t>
        </is>
      </c>
      <c r="F5368" s="18" t="inlineStr">
        <is>
          <t>F0244</t>
        </is>
      </c>
    </row>
    <row r="5369" ht="15.75" customHeight="1" s="108">
      <c r="A5369" s="18" t="inlineStr">
        <is>
          <t>Matt King</t>
        </is>
      </c>
      <c r="B5369" s="18" t="n">
        <v>1</v>
      </c>
      <c r="C5369" s="18" t="n">
        <v>2014</v>
      </c>
      <c r="D5369" s="18" t="n">
        <v>2014</v>
      </c>
      <c r="E5369" s="18" t="inlineStr">
        <is>
          <t>Paddington</t>
        </is>
      </c>
      <c r="F5369" s="18" t="inlineStr">
        <is>
          <t>F0244</t>
        </is>
      </c>
    </row>
    <row r="5370" ht="15.75" customHeight="1" s="108">
      <c r="A5370" s="18" t="inlineStr">
        <is>
          <t>Simon Farnaby</t>
        </is>
      </c>
      <c r="B5370" s="18" t="n">
        <v>2</v>
      </c>
      <c r="C5370" s="18" t="n">
        <v>2014</v>
      </c>
      <c r="D5370" s="18" t="n">
        <v>2023</v>
      </c>
      <c r="E5370" s="18" t="inlineStr">
        <is>
          <t>Paddington, Wonka</t>
        </is>
      </c>
      <c r="F5370" s="18" t="inlineStr">
        <is>
          <t>F0244, F0338</t>
        </is>
      </c>
    </row>
    <row r="5371" ht="15.75" customHeight="1" s="108">
      <c r="A5371" s="18" t="inlineStr">
        <is>
          <t>Kayvan Novak</t>
        </is>
      </c>
      <c r="B5371" s="18" t="n">
        <v>1</v>
      </c>
      <c r="C5371" s="18" t="n">
        <v>2014</v>
      </c>
      <c r="D5371" s="18" t="n">
        <v>2014</v>
      </c>
      <c r="E5371" s="18" t="inlineStr">
        <is>
          <t>Paddington</t>
        </is>
      </c>
      <c r="F5371" s="18" t="inlineStr">
        <is>
          <t>F0244</t>
        </is>
      </c>
    </row>
    <row r="5372" ht="15.75" customHeight="1" s="108">
      <c r="A5372" s="18" t="inlineStr">
        <is>
          <t>Jonathan Derbyshire</t>
        </is>
      </c>
      <c r="B5372" s="18" t="n">
        <v>1</v>
      </c>
      <c r="C5372" s="18" t="n">
        <v>2014</v>
      </c>
      <c r="D5372" s="18" t="n">
        <v>2014</v>
      </c>
      <c r="E5372" s="18" t="inlineStr">
        <is>
          <t>Paddington</t>
        </is>
      </c>
      <c r="F5372" s="18" t="inlineStr">
        <is>
          <t>F0244</t>
        </is>
      </c>
    </row>
    <row r="5373" ht="15.75" customHeight="1" s="108">
      <c r="A5373" s="18" t="inlineStr">
        <is>
          <t>Mary Roscoe</t>
        </is>
      </c>
      <c r="B5373" s="18" t="n">
        <v>1</v>
      </c>
      <c r="C5373" s="18" t="n">
        <v>2014</v>
      </c>
      <c r="D5373" s="18" t="n">
        <v>2014</v>
      </c>
      <c r="E5373" s="18" t="inlineStr">
        <is>
          <t>Paddington</t>
        </is>
      </c>
      <c r="F5373" s="18" t="inlineStr">
        <is>
          <t>F0244</t>
        </is>
      </c>
    </row>
    <row r="5374" ht="15.75" customHeight="1" s="108">
      <c r="A5374" s="18" t="inlineStr">
        <is>
          <t>Jude Wright</t>
        </is>
      </c>
      <c r="B5374" s="18" t="n">
        <v>1</v>
      </c>
      <c r="C5374" s="18" t="n">
        <v>2014</v>
      </c>
      <c r="D5374" s="18" t="n">
        <v>2014</v>
      </c>
      <c r="E5374" s="18" t="inlineStr">
        <is>
          <t>Paddington</t>
        </is>
      </c>
      <c r="F5374" s="18" t="inlineStr">
        <is>
          <t>F0244</t>
        </is>
      </c>
    </row>
    <row r="5375" ht="15.75" customHeight="1" s="108">
      <c r="A5375" s="18" t="inlineStr">
        <is>
          <t>Lottie Steer</t>
        </is>
      </c>
      <c r="B5375" s="18" t="n">
        <v>1</v>
      </c>
      <c r="C5375" s="18" t="n">
        <v>2014</v>
      </c>
      <c r="D5375" s="18" t="n">
        <v>2014</v>
      </c>
      <c r="E5375" s="18" t="inlineStr">
        <is>
          <t>Paddington</t>
        </is>
      </c>
      <c r="F5375" s="18" t="inlineStr">
        <is>
          <t>F0244</t>
        </is>
      </c>
    </row>
    <row r="5376" ht="15.75" customHeight="1" s="108">
      <c r="A5376" s="18" t="inlineStr">
        <is>
          <t>Alice Lowe</t>
        </is>
      </c>
      <c r="B5376" s="18" t="n">
        <v>1</v>
      </c>
      <c r="C5376" s="18" t="n">
        <v>2014</v>
      </c>
      <c r="D5376" s="18" t="n">
        <v>2014</v>
      </c>
      <c r="E5376" s="18" t="inlineStr">
        <is>
          <t>Paddington</t>
        </is>
      </c>
      <c r="F5376" s="18" t="inlineStr">
        <is>
          <t>F0244</t>
        </is>
      </c>
    </row>
    <row r="5377" ht="15.75" customHeight="1" s="108">
      <c r="A5377" s="18" t="inlineStr">
        <is>
          <t>Toby Williams</t>
        </is>
      </c>
      <c r="B5377" s="18" t="n">
        <v>1</v>
      </c>
      <c r="C5377" s="18" t="n">
        <v>2014</v>
      </c>
      <c r="D5377" s="18" t="n">
        <v>2014</v>
      </c>
      <c r="E5377" s="18" t="inlineStr">
        <is>
          <t>Paddington</t>
        </is>
      </c>
      <c r="F5377" s="18" t="inlineStr">
        <is>
          <t>F0244</t>
        </is>
      </c>
    </row>
    <row r="5378" ht="15.75" customHeight="1" s="108">
      <c r="A5378" s="18" t="inlineStr">
        <is>
          <t>Catherine Shepherd</t>
        </is>
      </c>
      <c r="B5378" s="18" t="n">
        <v>1</v>
      </c>
      <c r="C5378" s="18" t="n">
        <v>2014</v>
      </c>
      <c r="D5378" s="18" t="n">
        <v>2014</v>
      </c>
      <c r="E5378" s="18" t="inlineStr">
        <is>
          <t>Paddington</t>
        </is>
      </c>
      <c r="F5378" s="18" t="inlineStr">
        <is>
          <t>F0244</t>
        </is>
      </c>
    </row>
    <row r="5379" ht="15.75" customHeight="1" s="108">
      <c r="A5379" s="18" t="inlineStr">
        <is>
          <t>Sean Bridgeman</t>
        </is>
      </c>
      <c r="B5379" s="18" t="n">
        <v>1</v>
      </c>
      <c r="C5379" s="18" t="n">
        <v>2014</v>
      </c>
      <c r="D5379" s="18" t="n">
        <v>2014</v>
      </c>
      <c r="E5379" s="18" t="inlineStr">
        <is>
          <t>Paddington</t>
        </is>
      </c>
      <c r="F5379" s="18" t="inlineStr">
        <is>
          <t>F0244</t>
        </is>
      </c>
    </row>
    <row r="5380" ht="15.75" customHeight="1" s="108">
      <c r="A5380" s="18" t="inlineStr">
        <is>
          <t>Cleo Sylvestre</t>
        </is>
      </c>
      <c r="B5380" s="18" t="n">
        <v>1</v>
      </c>
      <c r="C5380" s="18" t="n">
        <v>2014</v>
      </c>
      <c r="D5380" s="18" t="n">
        <v>2014</v>
      </c>
      <c r="E5380" s="18" t="inlineStr">
        <is>
          <t>Paddington</t>
        </is>
      </c>
      <c r="F5380" s="18" t="inlineStr">
        <is>
          <t>F0244</t>
        </is>
      </c>
    </row>
    <row r="5381" ht="15.75" customHeight="1" s="108">
      <c r="A5381" s="18" t="inlineStr">
        <is>
          <t>Geoffrey Palmer</t>
        </is>
      </c>
      <c r="B5381" s="18" t="n">
        <v>1</v>
      </c>
      <c r="C5381" s="18" t="n">
        <v>2014</v>
      </c>
      <c r="D5381" s="18" t="n">
        <v>2014</v>
      </c>
      <c r="E5381" s="18" t="inlineStr">
        <is>
          <t>Paddington</t>
        </is>
      </c>
      <c r="F5381" s="18" t="inlineStr">
        <is>
          <t>F0244</t>
        </is>
      </c>
    </row>
    <row r="5382" ht="15.75" customHeight="1" s="108">
      <c r="A5382" s="18" t="inlineStr">
        <is>
          <t>Gus Brown</t>
        </is>
      </c>
      <c r="B5382" s="18" t="n">
        <v>1</v>
      </c>
      <c r="C5382" s="18" t="n">
        <v>2014</v>
      </c>
      <c r="D5382" s="18" t="n">
        <v>2014</v>
      </c>
      <c r="E5382" s="18" t="inlineStr">
        <is>
          <t>Paddington</t>
        </is>
      </c>
      <c r="F5382" s="18" t="inlineStr">
        <is>
          <t>F0244</t>
        </is>
      </c>
    </row>
    <row r="5383" ht="15.75" customHeight="1" s="108">
      <c r="A5383" s="18" t="inlineStr">
        <is>
          <t>Rufus Jones</t>
        </is>
      </c>
      <c r="B5383" s="18" t="n">
        <v>2</v>
      </c>
      <c r="C5383" s="18" t="n">
        <v>2014</v>
      </c>
      <c r="D5383" s="18" t="n">
        <v>2023</v>
      </c>
      <c r="E5383" s="18" t="inlineStr">
        <is>
          <t>Paddington, Wonka</t>
        </is>
      </c>
      <c r="F5383" s="18" t="inlineStr">
        <is>
          <t>F0244, F0338</t>
        </is>
      </c>
    </row>
    <row r="5384" ht="15.75" customHeight="1" s="108">
      <c r="A5384" s="18" t="inlineStr">
        <is>
          <t>Blythe Danner</t>
        </is>
      </c>
      <c r="B5384" s="18" t="n">
        <v>1</v>
      </c>
      <c r="C5384" s="18" t="n">
        <v>2011</v>
      </c>
      <c r="D5384" s="18" t="n">
        <v>2011</v>
      </c>
      <c r="E5384" s="18" t="inlineStr">
        <is>
          <t>Paul</t>
        </is>
      </c>
      <c r="F5384" s="18" t="inlineStr">
        <is>
          <t>F0245</t>
        </is>
      </c>
    </row>
    <row r="5385" ht="15.75" customHeight="1" s="108">
      <c r="A5385" s="18" t="inlineStr">
        <is>
          <t>Joe Lo Truglio</t>
        </is>
      </c>
      <c r="B5385" s="18" t="n">
        <v>5</v>
      </c>
      <c r="C5385" s="18" t="n">
        <v>2007</v>
      </c>
      <c r="D5385" s="18" t="n">
        <v>2015</v>
      </c>
      <c r="E5385" s="18" t="inlineStr">
        <is>
          <t>Paul, Pineapple Express, Pitch Perfect 2, Superbad, Wreck-It Ralph</t>
        </is>
      </c>
      <c r="F5385" s="18" t="inlineStr">
        <is>
          <t>F0245, F0247, F0251, F0303, F0336</t>
        </is>
      </c>
    </row>
    <row r="5386" ht="15.75" customHeight="1" s="108">
      <c r="A5386" s="18" t="inlineStr">
        <is>
          <t>Jesse Plemons</t>
        </is>
      </c>
      <c r="B5386" s="18" t="n">
        <v>1</v>
      </c>
      <c r="C5386" s="18" t="n">
        <v>2011</v>
      </c>
      <c r="D5386" s="18" t="n">
        <v>2011</v>
      </c>
      <c r="E5386" s="18" t="inlineStr">
        <is>
          <t>Paul</t>
        </is>
      </c>
      <c r="F5386" s="18" t="inlineStr">
        <is>
          <t>F0245</t>
        </is>
      </c>
    </row>
    <row r="5387" ht="15.75" customHeight="1" s="108">
      <c r="A5387" s="18" t="inlineStr">
        <is>
          <t>Mia Stallard</t>
        </is>
      </c>
      <c r="B5387" s="18" t="n">
        <v>1</v>
      </c>
      <c r="C5387" s="18" t="n">
        <v>2011</v>
      </c>
      <c r="D5387" s="18" t="n">
        <v>2011</v>
      </c>
      <c r="E5387" s="18" t="inlineStr">
        <is>
          <t>Paul</t>
        </is>
      </c>
      <c r="F5387" s="18" t="inlineStr">
        <is>
          <t>F0245</t>
        </is>
      </c>
    </row>
    <row r="5388" ht="15.75" customHeight="1" s="108">
      <c r="A5388" s="18" t="inlineStr">
        <is>
          <t>Jeremy Owen</t>
        </is>
      </c>
      <c r="B5388" s="18" t="n">
        <v>1</v>
      </c>
      <c r="C5388" s="18" t="n">
        <v>2011</v>
      </c>
      <c r="D5388" s="18" t="n">
        <v>2011</v>
      </c>
      <c r="E5388" s="18" t="inlineStr">
        <is>
          <t>Paul</t>
        </is>
      </c>
      <c r="F5388" s="18" t="inlineStr">
        <is>
          <t>F0245</t>
        </is>
      </c>
    </row>
    <row r="5389" ht="15.75" customHeight="1" s="108">
      <c r="A5389" s="18" t="inlineStr">
        <is>
          <t>David House</t>
        </is>
      </c>
      <c r="B5389" s="18" t="n">
        <v>1</v>
      </c>
      <c r="C5389" s="18" t="n">
        <v>2011</v>
      </c>
      <c r="D5389" s="18" t="n">
        <v>2011</v>
      </c>
      <c r="E5389" s="18" t="inlineStr">
        <is>
          <t>Paul</t>
        </is>
      </c>
      <c r="F5389" s="18" t="inlineStr">
        <is>
          <t>F0245</t>
        </is>
      </c>
    </row>
    <row r="5390" ht="15.75" customHeight="1" s="108">
      <c r="A5390" s="18" t="inlineStr">
        <is>
          <t>Jennifer Granger</t>
        </is>
      </c>
      <c r="B5390" s="18" t="n">
        <v>1</v>
      </c>
      <c r="C5390" s="18" t="n">
        <v>2011</v>
      </c>
      <c r="D5390" s="18" t="n">
        <v>2011</v>
      </c>
      <c r="E5390" s="18" t="inlineStr">
        <is>
          <t>Paul</t>
        </is>
      </c>
      <c r="F5390" s="18" t="inlineStr">
        <is>
          <t>F0245</t>
        </is>
      </c>
    </row>
    <row r="5391" ht="15.75" customHeight="1" s="108">
      <c r="A5391" s="18" t="inlineStr">
        <is>
          <t>Bobby Lee</t>
        </is>
      </c>
      <c r="B5391" s="18" t="n">
        <v>2</v>
      </c>
      <c r="C5391" s="18" t="n">
        <v>2008</v>
      </c>
      <c r="D5391" s="18" t="n">
        <v>2011</v>
      </c>
      <c r="E5391" s="18" t="inlineStr">
        <is>
          <t>Paul, Pineapple Express</t>
        </is>
      </c>
      <c r="F5391" s="18" t="inlineStr">
        <is>
          <t>F0245, F0247</t>
        </is>
      </c>
    </row>
    <row r="5392" ht="15.75" customHeight="1" s="108">
      <c r="A5392" s="18" t="inlineStr">
        <is>
          <t>Mark Sivertsen</t>
        </is>
      </c>
      <c r="B5392" s="18" t="n">
        <v>1</v>
      </c>
      <c r="C5392" s="18" t="n">
        <v>2011</v>
      </c>
      <c r="D5392" s="18" t="n">
        <v>2011</v>
      </c>
      <c r="E5392" s="18" t="inlineStr">
        <is>
          <t>Paul</t>
        </is>
      </c>
      <c r="F5392" s="18" t="inlineStr">
        <is>
          <t>F0245</t>
        </is>
      </c>
    </row>
    <row r="5393" ht="15.75" customHeight="1" s="108">
      <c r="A5393" s="18" t="inlineStr">
        <is>
          <t>Joe Berryman</t>
        </is>
      </c>
      <c r="B5393" s="18" t="n">
        <v>1</v>
      </c>
      <c r="C5393" s="18" t="n">
        <v>2011</v>
      </c>
      <c r="D5393" s="18" t="n">
        <v>2011</v>
      </c>
      <c r="E5393" s="18" t="inlineStr">
        <is>
          <t>Paul</t>
        </is>
      </c>
      <c r="F5393" s="18" t="inlineStr">
        <is>
          <t>F0245</t>
        </is>
      </c>
    </row>
    <row r="5394" ht="15.75" customHeight="1" s="108">
      <c r="A5394" s="18" t="inlineStr">
        <is>
          <t>Steven Spielberg</t>
        </is>
      </c>
      <c r="B5394" s="18" t="n">
        <v>1</v>
      </c>
      <c r="C5394" s="18" t="n">
        <v>2011</v>
      </c>
      <c r="D5394" s="18" t="n">
        <v>2011</v>
      </c>
      <c r="E5394" s="18" t="inlineStr">
        <is>
          <t>Paul</t>
        </is>
      </c>
      <c r="F5394" s="18" t="inlineStr">
        <is>
          <t>F0245</t>
        </is>
      </c>
    </row>
    <row r="5395" ht="15.75" customHeight="1" s="108">
      <c r="A5395" s="18" t="inlineStr">
        <is>
          <t>Syd Masters</t>
        </is>
      </c>
      <c r="B5395" s="18" t="n">
        <v>1</v>
      </c>
      <c r="C5395" s="18" t="n">
        <v>2011</v>
      </c>
      <c r="D5395" s="18" t="n">
        <v>2011</v>
      </c>
      <c r="E5395" s="18" t="inlineStr">
        <is>
          <t>Paul</t>
        </is>
      </c>
      <c r="F5395" s="18" t="inlineStr">
        <is>
          <t>F0245</t>
        </is>
      </c>
    </row>
    <row r="5396" ht="15.75" customHeight="1" s="108">
      <c r="A5396" s="18" t="inlineStr">
        <is>
          <t>Gary Roller</t>
        </is>
      </c>
      <c r="B5396" s="18" t="n">
        <v>1</v>
      </c>
      <c r="C5396" s="18" t="n">
        <v>2011</v>
      </c>
      <c r="D5396" s="18" t="n">
        <v>2011</v>
      </c>
      <c r="E5396" s="18" t="inlineStr">
        <is>
          <t>Paul</t>
        </is>
      </c>
      <c r="F5396" s="18" t="inlineStr">
        <is>
          <t>F0245</t>
        </is>
      </c>
    </row>
    <row r="5397" ht="15.75" customHeight="1" s="108">
      <c r="A5397" s="18" t="inlineStr">
        <is>
          <t>Oliver O'Shea</t>
        </is>
      </c>
      <c r="B5397" s="18" t="n">
        <v>1</v>
      </c>
      <c r="C5397" s="18" t="n">
        <v>2011</v>
      </c>
      <c r="D5397" s="18" t="n">
        <v>2011</v>
      </c>
      <c r="E5397" s="18" t="inlineStr">
        <is>
          <t>Paul</t>
        </is>
      </c>
      <c r="F5397" s="18" t="inlineStr">
        <is>
          <t>F0245</t>
        </is>
      </c>
    </row>
    <row r="5398" ht="15.75" customHeight="1" s="108">
      <c r="A5398" s="18" t="inlineStr">
        <is>
          <t>Lonnie Otha-Mayer</t>
        </is>
      </c>
      <c r="B5398" s="18" t="n">
        <v>1</v>
      </c>
      <c r="C5398" s="18" t="n">
        <v>2011</v>
      </c>
      <c r="D5398" s="18" t="n">
        <v>2011</v>
      </c>
      <c r="E5398" s="18" t="inlineStr">
        <is>
          <t>Paul</t>
        </is>
      </c>
      <c r="F5398" s="18" t="inlineStr">
        <is>
          <t>F0245</t>
        </is>
      </c>
    </row>
    <row r="5399" ht="15.75" customHeight="1" s="108">
      <c r="A5399" s="18" t="inlineStr">
        <is>
          <t>Will Veitch</t>
        </is>
      </c>
      <c r="B5399" s="18" t="n">
        <v>1</v>
      </c>
      <c r="C5399" s="18" t="n">
        <v>2011</v>
      </c>
      <c r="D5399" s="18" t="n">
        <v>2011</v>
      </c>
      <c r="E5399" s="18" t="inlineStr">
        <is>
          <t>Paul</t>
        </is>
      </c>
      <c r="F5399" s="18" t="inlineStr">
        <is>
          <t>F0245</t>
        </is>
      </c>
    </row>
    <row r="5400" ht="15.75" customHeight="1" s="108">
      <c r="A5400" s="18" t="inlineStr">
        <is>
          <t>Lori Dillen</t>
        </is>
      </c>
      <c r="B5400" s="18" t="n">
        <v>1</v>
      </c>
      <c r="C5400" s="18" t="n">
        <v>2011</v>
      </c>
      <c r="D5400" s="18" t="n">
        <v>2011</v>
      </c>
      <c r="E5400" s="18" t="inlineStr">
        <is>
          <t>Paul</t>
        </is>
      </c>
      <c r="F5400" s="18" t="inlineStr">
        <is>
          <t>F0245</t>
        </is>
      </c>
    </row>
    <row r="5401" ht="15.75" customHeight="1" s="108">
      <c r="A5401" s="18" t="inlineStr">
        <is>
          <t>Greg Zola</t>
        </is>
      </c>
      <c r="B5401" s="18" t="n">
        <v>1</v>
      </c>
      <c r="C5401" s="18" t="n">
        <v>2001</v>
      </c>
      <c r="D5401" s="18" t="n">
        <v>2001</v>
      </c>
      <c r="E5401" s="18" t="inlineStr">
        <is>
          <t>Pearl Harbor</t>
        </is>
      </c>
      <c r="F5401" s="18" t="inlineStr">
        <is>
          <t>F0246</t>
        </is>
      </c>
    </row>
    <row r="5402" ht="15.75" customHeight="1" s="108">
      <c r="A5402" s="18" t="inlineStr">
        <is>
          <t>Jaime King</t>
        </is>
      </c>
      <c r="B5402" s="18" t="n">
        <v>1</v>
      </c>
      <c r="C5402" s="18" t="n">
        <v>2001</v>
      </c>
      <c r="D5402" s="18" t="n">
        <v>2001</v>
      </c>
      <c r="E5402" s="18" t="inlineStr">
        <is>
          <t>Pearl Harbor</t>
        </is>
      </c>
      <c r="F5402" s="18" t="inlineStr">
        <is>
          <t>F0246</t>
        </is>
      </c>
    </row>
    <row r="5403" ht="15.75" customHeight="1" s="108">
      <c r="A5403" s="18" t="inlineStr">
        <is>
          <t>Catherine Kellner</t>
        </is>
      </c>
      <c r="B5403" s="18" t="n">
        <v>1</v>
      </c>
      <c r="C5403" s="18" t="n">
        <v>2001</v>
      </c>
      <c r="D5403" s="18" t="n">
        <v>2001</v>
      </c>
      <c r="E5403" s="18" t="inlineStr">
        <is>
          <t>Pearl Harbor</t>
        </is>
      </c>
      <c r="F5403" s="18" t="inlineStr">
        <is>
          <t>F0246</t>
        </is>
      </c>
    </row>
    <row r="5404" ht="15.75" customHeight="1" s="108">
      <c r="A5404" s="18" t="inlineStr">
        <is>
          <t>Matthew Davis</t>
        </is>
      </c>
      <c r="B5404" s="18" t="n">
        <v>1</v>
      </c>
      <c r="C5404" s="18" t="n">
        <v>2001</v>
      </c>
      <c r="D5404" s="18" t="n">
        <v>2001</v>
      </c>
      <c r="E5404" s="18" t="inlineStr">
        <is>
          <t>Pearl Harbor</t>
        </is>
      </c>
      <c r="F5404" s="18" t="inlineStr">
        <is>
          <t>F0246</t>
        </is>
      </c>
    </row>
    <row r="5405" ht="15.75" customHeight="1" s="108">
      <c r="A5405" s="18" t="inlineStr">
        <is>
          <t>Mako</t>
        </is>
      </c>
      <c r="B5405" s="18" t="n">
        <v>1</v>
      </c>
      <c r="C5405" s="18" t="n">
        <v>2001</v>
      </c>
      <c r="D5405" s="18" t="n">
        <v>2001</v>
      </c>
      <c r="E5405" s="18" t="inlineStr">
        <is>
          <t>Pearl Harbor</t>
        </is>
      </c>
      <c r="F5405" s="18" t="inlineStr">
        <is>
          <t>F0246</t>
        </is>
      </c>
    </row>
    <row r="5406" ht="15.75" customHeight="1" s="108">
      <c r="A5406" s="18" t="inlineStr">
        <is>
          <t>John Fujioka</t>
        </is>
      </c>
      <c r="B5406" s="18" t="n">
        <v>1</v>
      </c>
      <c r="C5406" s="18" t="n">
        <v>2001</v>
      </c>
      <c r="D5406" s="18" t="n">
        <v>2001</v>
      </c>
      <c r="E5406" s="18" t="inlineStr">
        <is>
          <t>Pearl Harbor</t>
        </is>
      </c>
      <c r="F5406" s="18" t="inlineStr">
        <is>
          <t>F0246</t>
        </is>
      </c>
    </row>
    <row r="5407" ht="15.75" customHeight="1" s="108">
      <c r="A5407" s="18" t="inlineStr">
        <is>
          <t>Cary-Hiroyuki Tagawa</t>
        </is>
      </c>
      <c r="B5407" s="18" t="n">
        <v>1</v>
      </c>
      <c r="C5407" s="18" t="n">
        <v>2001</v>
      </c>
      <c r="D5407" s="18" t="n">
        <v>2001</v>
      </c>
      <c r="E5407" s="18" t="inlineStr">
        <is>
          <t>Pearl Harbor</t>
        </is>
      </c>
      <c r="F5407" s="18" t="inlineStr">
        <is>
          <t>F0246</t>
        </is>
      </c>
    </row>
    <row r="5408" ht="15.75" customHeight="1" s="108">
      <c r="A5408" s="18" t="inlineStr">
        <is>
          <t>Colm Feore</t>
        </is>
      </c>
      <c r="B5408" s="18" t="n">
        <v>2</v>
      </c>
      <c r="C5408" s="18" t="n">
        <v>2001</v>
      </c>
      <c r="D5408" s="18" t="n">
        <v>2014</v>
      </c>
      <c r="E5408" s="18" t="inlineStr">
        <is>
          <t>Pearl Harbor, amazing spider-man 2</t>
        </is>
      </c>
      <c r="F5408" s="18" t="inlineStr">
        <is>
          <t>F0246, F0363</t>
        </is>
      </c>
    </row>
    <row r="5409" ht="15.75" customHeight="1" s="108">
      <c r="A5409" s="18" t="inlineStr">
        <is>
          <t>Reiley McClendon</t>
        </is>
      </c>
      <c r="B5409" s="18" t="n">
        <v>1</v>
      </c>
      <c r="C5409" s="18" t="n">
        <v>2001</v>
      </c>
      <c r="D5409" s="18" t="n">
        <v>2001</v>
      </c>
      <c r="E5409" s="18" t="inlineStr">
        <is>
          <t>Pearl Harbor</t>
        </is>
      </c>
      <c r="F5409" s="18" t="inlineStr">
        <is>
          <t>F0246</t>
        </is>
      </c>
    </row>
    <row r="5410" ht="15.75" customHeight="1" s="108">
      <c r="A5410" s="18" t="inlineStr">
        <is>
          <t>David Hornsby</t>
        </is>
      </c>
      <c r="B5410" s="18" t="n">
        <v>1</v>
      </c>
      <c r="C5410" s="18" t="n">
        <v>2001</v>
      </c>
      <c r="D5410" s="18" t="n">
        <v>2001</v>
      </c>
      <c r="E5410" s="18" t="inlineStr">
        <is>
          <t>Pearl Harbor</t>
        </is>
      </c>
      <c r="F5410" s="18" t="inlineStr">
        <is>
          <t>F0246</t>
        </is>
      </c>
    </row>
    <row r="5411" ht="15.75" customHeight="1" s="108">
      <c r="A5411" s="18" t="inlineStr">
        <is>
          <t>Scott Wilson</t>
        </is>
      </c>
      <c r="B5411" s="18" t="n">
        <v>1</v>
      </c>
      <c r="C5411" s="18" t="n">
        <v>2001</v>
      </c>
      <c r="D5411" s="18" t="n">
        <v>2001</v>
      </c>
      <c r="E5411" s="18" t="inlineStr">
        <is>
          <t>Pearl Harbor</t>
        </is>
      </c>
      <c r="F5411" s="18" t="inlineStr">
        <is>
          <t>F0246</t>
        </is>
      </c>
    </row>
    <row r="5412" ht="15.75" customHeight="1" s="108">
      <c r="A5412" s="18" t="inlineStr">
        <is>
          <t>Graham Beckel</t>
        </is>
      </c>
      <c r="B5412" s="18" t="n">
        <v>1</v>
      </c>
      <c r="C5412" s="18" t="n">
        <v>2001</v>
      </c>
      <c r="D5412" s="18" t="n">
        <v>2001</v>
      </c>
      <c r="E5412" s="18" t="inlineStr">
        <is>
          <t>Pearl Harbor</t>
        </is>
      </c>
      <c r="F5412" s="18" t="inlineStr">
        <is>
          <t>F0246</t>
        </is>
      </c>
    </row>
    <row r="5413" ht="15.75" customHeight="1" s="108">
      <c r="A5413" s="18" t="inlineStr">
        <is>
          <t>Randy Oglesby</t>
        </is>
      </c>
      <c r="B5413" s="18" t="n">
        <v>1</v>
      </c>
      <c r="C5413" s="18" t="n">
        <v>2001</v>
      </c>
      <c r="D5413" s="18" t="n">
        <v>2001</v>
      </c>
      <c r="E5413" s="18" t="inlineStr">
        <is>
          <t>Pearl Harbor</t>
        </is>
      </c>
      <c r="F5413" s="18" t="inlineStr">
        <is>
          <t>F0246</t>
        </is>
      </c>
    </row>
    <row r="5414" ht="15.75" customHeight="1" s="108">
      <c r="A5414" s="18" t="inlineStr">
        <is>
          <t>Ping Wu</t>
        </is>
      </c>
      <c r="B5414" s="18" t="n">
        <v>1</v>
      </c>
      <c r="C5414" s="18" t="n">
        <v>2001</v>
      </c>
      <c r="D5414" s="18" t="n">
        <v>2001</v>
      </c>
      <c r="E5414" s="18" t="inlineStr">
        <is>
          <t>Pearl Harbor</t>
        </is>
      </c>
      <c r="F5414" s="18" t="inlineStr">
        <is>
          <t>F0246</t>
        </is>
      </c>
    </row>
    <row r="5415" ht="15.75" customHeight="1" s="108">
      <c r="A5415" s="18" t="inlineStr">
        <is>
          <t>Amber Heard</t>
        </is>
      </c>
      <c r="B5415" s="18" t="n">
        <v>1</v>
      </c>
      <c r="C5415" s="18" t="n">
        <v>2008</v>
      </c>
      <c r="D5415" s="18" t="n">
        <v>2008</v>
      </c>
      <c r="E5415" s="18" t="inlineStr">
        <is>
          <t>Pineapple Express</t>
        </is>
      </c>
      <c r="F5415" s="18" t="inlineStr">
        <is>
          <t>F0247</t>
        </is>
      </c>
    </row>
    <row r="5416" ht="15.75" customHeight="1" s="108">
      <c r="A5416" s="18" t="inlineStr">
        <is>
          <t>Ed Begley Jr.</t>
        </is>
      </c>
      <c r="B5416" s="18" t="n">
        <v>1</v>
      </c>
      <c r="C5416" s="18" t="n">
        <v>2008</v>
      </c>
      <c r="D5416" s="18" t="n">
        <v>2008</v>
      </c>
      <c r="E5416" s="18" t="inlineStr">
        <is>
          <t>Pineapple Express</t>
        </is>
      </c>
      <c r="F5416" s="18" t="inlineStr">
        <is>
          <t>F0247</t>
        </is>
      </c>
    </row>
    <row r="5417" ht="15.75" customHeight="1" s="108">
      <c r="A5417" s="18" t="inlineStr">
        <is>
          <t>Nora Dunn</t>
        </is>
      </c>
      <c r="B5417" s="18" t="n">
        <v>1</v>
      </c>
      <c r="C5417" s="18" t="n">
        <v>2008</v>
      </c>
      <c r="D5417" s="18" t="n">
        <v>2008</v>
      </c>
      <c r="E5417" s="18" t="inlineStr">
        <is>
          <t>Pineapple Express</t>
        </is>
      </c>
      <c r="F5417" s="18" t="inlineStr">
        <is>
          <t>F0247</t>
        </is>
      </c>
    </row>
    <row r="5418" ht="15.75" customHeight="1" s="108">
      <c r="A5418" s="18" t="inlineStr">
        <is>
          <t>Art Napiontek</t>
        </is>
      </c>
      <c r="B5418" s="18" t="n">
        <v>1</v>
      </c>
      <c r="C5418" s="18" t="n">
        <v>2008</v>
      </c>
      <c r="D5418" s="18" t="n">
        <v>2008</v>
      </c>
      <c r="E5418" s="18" t="inlineStr">
        <is>
          <t>Pineapple Express</t>
        </is>
      </c>
      <c r="F5418" s="18" t="inlineStr">
        <is>
          <t>F0247</t>
        </is>
      </c>
    </row>
    <row r="5419" ht="15.75" customHeight="1" s="108">
      <c r="A5419" s="18" t="inlineStr">
        <is>
          <t>Jonathan Spencer</t>
        </is>
      </c>
      <c r="B5419" s="18" t="n">
        <v>1</v>
      </c>
      <c r="C5419" s="18" t="n">
        <v>2008</v>
      </c>
      <c r="D5419" s="18" t="n">
        <v>2008</v>
      </c>
      <c r="E5419" s="18" t="inlineStr">
        <is>
          <t>Pineapple Express</t>
        </is>
      </c>
      <c r="F5419" s="18" t="inlineStr">
        <is>
          <t>F0247</t>
        </is>
      </c>
    </row>
    <row r="5420" ht="15.75" customHeight="1" s="108">
      <c r="A5420" s="18" t="inlineStr">
        <is>
          <t>Dana Lee</t>
        </is>
      </c>
      <c r="B5420" s="18" t="n">
        <v>1</v>
      </c>
      <c r="C5420" s="18" t="n">
        <v>2008</v>
      </c>
      <c r="D5420" s="18" t="n">
        <v>2008</v>
      </c>
      <c r="E5420" s="18" t="inlineStr">
        <is>
          <t>Pineapple Express</t>
        </is>
      </c>
      <c r="F5420" s="18" t="inlineStr">
        <is>
          <t>F0247</t>
        </is>
      </c>
    </row>
    <row r="5421" ht="15.75" customHeight="1" s="108">
      <c r="A5421" s="18" t="inlineStr">
        <is>
          <t>David C. Cook</t>
        </is>
      </c>
      <c r="B5421" s="18" t="n">
        <v>1</v>
      </c>
      <c r="C5421" s="18" t="n">
        <v>2008</v>
      </c>
      <c r="D5421" s="18" t="n">
        <v>2008</v>
      </c>
      <c r="E5421" s="18" t="inlineStr">
        <is>
          <t>Pineapple Express</t>
        </is>
      </c>
      <c r="F5421" s="18" t="inlineStr">
        <is>
          <t>F0247</t>
        </is>
      </c>
    </row>
    <row r="5422" ht="15.75" customHeight="1" s="108">
      <c r="A5422" s="18" t="inlineStr">
        <is>
          <t>Howard S. Lefstein</t>
        </is>
      </c>
      <c r="B5422" s="18" t="n">
        <v>1</v>
      </c>
      <c r="C5422" s="18" t="n">
        <v>2008</v>
      </c>
      <c r="D5422" s="18" t="n">
        <v>2008</v>
      </c>
      <c r="E5422" s="18" t="inlineStr">
        <is>
          <t>Pineapple Express</t>
        </is>
      </c>
      <c r="F5422" s="18" t="inlineStr">
        <is>
          <t>F0247</t>
        </is>
      </c>
    </row>
    <row r="5423" ht="15.75" customHeight="1" s="108">
      <c r="A5423" s="18" t="inlineStr">
        <is>
          <t>Connie Sawyer</t>
        </is>
      </c>
      <c r="B5423" s="18" t="n">
        <v>1</v>
      </c>
      <c r="C5423" s="18" t="n">
        <v>2008</v>
      </c>
      <c r="D5423" s="18" t="n">
        <v>2008</v>
      </c>
      <c r="E5423" s="18" t="inlineStr">
        <is>
          <t>Pineapple Express</t>
        </is>
      </c>
      <c r="F5423" s="18" t="inlineStr">
        <is>
          <t>F0247</t>
        </is>
      </c>
    </row>
    <row r="5424" ht="15.75" customHeight="1" s="108">
      <c r="A5424" s="18" t="inlineStr">
        <is>
          <t>David McDivitt</t>
        </is>
      </c>
      <c r="B5424" s="18" t="n">
        <v>1</v>
      </c>
      <c r="C5424" s="18" t="n">
        <v>2008</v>
      </c>
      <c r="D5424" s="18" t="n">
        <v>2008</v>
      </c>
      <c r="E5424" s="18" t="inlineStr">
        <is>
          <t>Pineapple Express</t>
        </is>
      </c>
      <c r="F5424" s="18" t="inlineStr">
        <is>
          <t>F0247</t>
        </is>
      </c>
    </row>
    <row r="5425" ht="15.75" customHeight="1" s="108">
      <c r="A5425" s="18" t="inlineStr">
        <is>
          <t>Mae LaBorde</t>
        </is>
      </c>
      <c r="B5425" s="18" t="n">
        <v>1</v>
      </c>
      <c r="C5425" s="18" t="n">
        <v>2008</v>
      </c>
      <c r="D5425" s="18" t="n">
        <v>2008</v>
      </c>
      <c r="E5425" s="18" t="inlineStr">
        <is>
          <t>Pineapple Express</t>
        </is>
      </c>
      <c r="F5425" s="18" t="inlineStr">
        <is>
          <t>F0247</t>
        </is>
      </c>
    </row>
    <row r="5426" ht="15.75" customHeight="1" s="108">
      <c r="A5426" s="18" t="inlineStr">
        <is>
          <t>Kendall Carly Browne</t>
        </is>
      </c>
      <c r="B5426" s="18" t="n">
        <v>1</v>
      </c>
      <c r="C5426" s="18" t="n">
        <v>2008</v>
      </c>
      <c r="D5426" s="18" t="n">
        <v>2008</v>
      </c>
      <c r="E5426" s="18" t="inlineStr">
        <is>
          <t>Pineapple Express</t>
        </is>
      </c>
      <c r="F5426" s="18" t="inlineStr">
        <is>
          <t>F0247</t>
        </is>
      </c>
    </row>
    <row r="5427" ht="15.75" customHeight="1" s="108">
      <c r="A5427" s="18" t="inlineStr">
        <is>
          <t>George Lew</t>
        </is>
      </c>
      <c r="B5427" s="18" t="n">
        <v>1</v>
      </c>
      <c r="C5427" s="18" t="n">
        <v>2008</v>
      </c>
      <c r="D5427" s="18" t="n">
        <v>2008</v>
      </c>
      <c r="E5427" s="18" t="inlineStr">
        <is>
          <t>Pineapple Express</t>
        </is>
      </c>
      <c r="F5427" s="18" t="inlineStr">
        <is>
          <t>F0247</t>
        </is>
      </c>
    </row>
    <row r="5428" ht="15.75" customHeight="1" s="108">
      <c r="A5428" s="18" t="inlineStr">
        <is>
          <t>John Robert Tramutola</t>
        </is>
      </c>
      <c r="B5428" s="18" t="n">
        <v>1</v>
      </c>
      <c r="C5428" s="18" t="n">
        <v>2008</v>
      </c>
      <c r="D5428" s="18" t="n">
        <v>2008</v>
      </c>
      <c r="E5428" s="18" t="inlineStr">
        <is>
          <t>Pineapple Express</t>
        </is>
      </c>
      <c r="F5428" s="18" t="inlineStr">
        <is>
          <t>F0247</t>
        </is>
      </c>
    </row>
    <row r="5429" ht="15.75" customHeight="1" s="108">
      <c r="A5429" s="18" t="inlineStr">
        <is>
          <t>Adam Crosby</t>
        </is>
      </c>
      <c r="B5429" s="18" t="n">
        <v>1</v>
      </c>
      <c r="C5429" s="18" t="n">
        <v>2008</v>
      </c>
      <c r="D5429" s="18" t="n">
        <v>2008</v>
      </c>
      <c r="E5429" s="18" t="inlineStr">
        <is>
          <t>Pineapple Express</t>
        </is>
      </c>
      <c r="F5429" s="18" t="inlineStr">
        <is>
          <t>F0247</t>
        </is>
      </c>
    </row>
    <row r="5430" ht="15.75" customHeight="1" s="108">
      <c r="A5430" s="18" t="inlineStr">
        <is>
          <t>Andrew Heald</t>
        </is>
      </c>
      <c r="B5430" s="18" t="n">
        <v>1</v>
      </c>
      <c r="C5430" s="18" t="n">
        <v>2008</v>
      </c>
      <c r="D5430" s="18" t="n">
        <v>2008</v>
      </c>
      <c r="E5430" s="18" t="inlineStr">
        <is>
          <t>Pineapple Express</t>
        </is>
      </c>
      <c r="F5430" s="18" t="inlineStr">
        <is>
          <t>F0247</t>
        </is>
      </c>
    </row>
    <row r="5431" ht="15.75" customHeight="1" s="108">
      <c r="A5431" s="18" t="inlineStr">
        <is>
          <t>Jeannetta Arnette</t>
        </is>
      </c>
      <c r="B5431" s="18" t="n">
        <v>1</v>
      </c>
      <c r="C5431" s="18" t="n">
        <v>2008</v>
      </c>
      <c r="D5431" s="18" t="n">
        <v>2008</v>
      </c>
      <c r="E5431" s="18" t="inlineStr">
        <is>
          <t>Pineapple Express</t>
        </is>
      </c>
      <c r="F5431" s="18" t="inlineStr">
        <is>
          <t>F0247</t>
        </is>
      </c>
    </row>
    <row r="5432" ht="15.75" customHeight="1" s="108">
      <c r="A5432" s="18" t="inlineStr">
        <is>
          <t>Mel Blanc</t>
        </is>
      </c>
      <c r="B5432" s="18" t="n">
        <v>1</v>
      </c>
      <c r="C5432" s="18" t="n">
        <v>1940</v>
      </c>
      <c r="D5432" s="18" t="n">
        <v>1940</v>
      </c>
      <c r="E5432" s="18" t="inlineStr">
        <is>
          <t>Pinocchio</t>
        </is>
      </c>
      <c r="F5432" s="18" t="inlineStr">
        <is>
          <t>F0248</t>
        </is>
      </c>
    </row>
    <row r="5433" ht="15.75" customHeight="1" s="108">
      <c r="A5433" s="18" t="inlineStr">
        <is>
          <t>Charles Judels</t>
        </is>
      </c>
      <c r="B5433" s="18" t="n">
        <v>1</v>
      </c>
      <c r="C5433" s="18" t="n">
        <v>1940</v>
      </c>
      <c r="D5433" s="18" t="n">
        <v>1940</v>
      </c>
      <c r="E5433" s="18" t="inlineStr">
        <is>
          <t>Pinocchio</t>
        </is>
      </c>
      <c r="F5433" s="18" t="inlineStr">
        <is>
          <t>F0248</t>
        </is>
      </c>
    </row>
    <row r="5434" ht="15.75" customHeight="1" s="108">
      <c r="A5434" s="18" t="inlineStr">
        <is>
          <t>Frankie Darro</t>
        </is>
      </c>
      <c r="B5434" s="18" t="n">
        <v>1</v>
      </c>
      <c r="C5434" s="18" t="n">
        <v>1940</v>
      </c>
      <c r="D5434" s="18" t="n">
        <v>1940</v>
      </c>
      <c r="E5434" s="18" t="inlineStr">
        <is>
          <t>Pinocchio</t>
        </is>
      </c>
      <c r="F5434" s="18" t="inlineStr">
        <is>
          <t>F0248</t>
        </is>
      </c>
    </row>
    <row r="5435" ht="15.75" customHeight="1" s="108">
      <c r="A5435" s="18" t="inlineStr">
        <is>
          <t>Don Brodie</t>
        </is>
      </c>
      <c r="B5435" s="18" t="n">
        <v>1</v>
      </c>
      <c r="C5435" s="18" t="n">
        <v>1940</v>
      </c>
      <c r="D5435" s="18" t="n">
        <v>1940</v>
      </c>
      <c r="E5435" s="18" t="inlineStr">
        <is>
          <t>Pinocchio</t>
        </is>
      </c>
      <c r="F5435" s="18" t="inlineStr">
        <is>
          <t>F0248</t>
        </is>
      </c>
    </row>
    <row r="5436" ht="15.75" customHeight="1" s="108">
      <c r="A5436" s="18" t="inlineStr">
        <is>
          <t>Marion Darlington</t>
        </is>
      </c>
      <c r="B5436" s="18" t="n">
        <v>1</v>
      </c>
      <c r="C5436" s="18" t="n">
        <v>1940</v>
      </c>
      <c r="D5436" s="18" t="n">
        <v>1940</v>
      </c>
      <c r="E5436" s="18" t="inlineStr">
        <is>
          <t>Pinocchio</t>
        </is>
      </c>
      <c r="F5436" s="18" t="inlineStr">
        <is>
          <t>F0248</t>
        </is>
      </c>
    </row>
    <row r="5437" ht="15.75" customHeight="1" s="108">
      <c r="A5437" s="18" t="inlineStr">
        <is>
          <t>John McLeish</t>
        </is>
      </c>
      <c r="B5437" s="18" t="n">
        <v>1</v>
      </c>
      <c r="C5437" s="18" t="n">
        <v>1940</v>
      </c>
      <c r="D5437" s="18" t="n">
        <v>1940</v>
      </c>
      <c r="E5437" s="18" t="inlineStr">
        <is>
          <t>Pinocchio</t>
        </is>
      </c>
      <c r="F5437" s="18" t="inlineStr">
        <is>
          <t>F0248</t>
        </is>
      </c>
    </row>
    <row r="5438" ht="15.75" customHeight="1" s="108">
      <c r="A5438" s="18" t="inlineStr">
        <is>
          <t>Patricia Page</t>
        </is>
      </c>
      <c r="B5438" s="18" t="n">
        <v>1</v>
      </c>
      <c r="C5438" s="18" t="n">
        <v>1940</v>
      </c>
      <c r="D5438" s="18" t="n">
        <v>1940</v>
      </c>
      <c r="E5438" s="18" t="inlineStr">
        <is>
          <t>Pinocchio</t>
        </is>
      </c>
      <c r="F5438" s="18" t="inlineStr">
        <is>
          <t>F0248</t>
        </is>
      </c>
    </row>
    <row r="5439" ht="15.75" customHeight="1" s="108">
      <c r="A5439" s="18" t="inlineStr">
        <is>
          <t>Thurl Ravenscroft</t>
        </is>
      </c>
      <c r="B5439" s="18" t="n">
        <v>1</v>
      </c>
      <c r="C5439" s="18" t="n">
        <v>1940</v>
      </c>
      <c r="D5439" s="18" t="n">
        <v>1940</v>
      </c>
      <c r="E5439" s="18" t="inlineStr">
        <is>
          <t>Pinocchio</t>
        </is>
      </c>
      <c r="F5439" s="18" t="inlineStr">
        <is>
          <t>F0248</t>
        </is>
      </c>
    </row>
    <row r="5440" ht="15.75" customHeight="1" s="108">
      <c r="A5440" s="18" t="inlineStr">
        <is>
          <t>Stuart Buchanan</t>
        </is>
      </c>
      <c r="B5440" s="18" t="n">
        <v>1</v>
      </c>
      <c r="C5440" s="18" t="n">
        <v>1940</v>
      </c>
      <c r="D5440" s="18" t="n">
        <v>1940</v>
      </c>
      <c r="E5440" s="18" t="inlineStr">
        <is>
          <t>Pinocchio</t>
        </is>
      </c>
      <c r="F5440" s="18" t="inlineStr">
        <is>
          <t>F0248</t>
        </is>
      </c>
    </row>
    <row r="5441" ht="15.75" customHeight="1" s="108">
      <c r="A5441" s="18" t="inlineStr">
        <is>
          <t>Val Stanton</t>
        </is>
      </c>
      <c r="B5441" s="18" t="n">
        <v>1</v>
      </c>
      <c r="C5441" s="18" t="n">
        <v>1940</v>
      </c>
      <c r="D5441" s="18" t="n">
        <v>1940</v>
      </c>
      <c r="E5441" s="18" t="inlineStr">
        <is>
          <t>Pinocchio</t>
        </is>
      </c>
      <c r="F5441" s="18" t="inlineStr">
        <is>
          <t>F0248</t>
        </is>
      </c>
    </row>
    <row r="5442" ht="15.75" customHeight="1" s="108">
      <c r="A5442" s="18" t="inlineStr">
        <is>
          <t>Àstrid Bergès-Frisbey</t>
        </is>
      </c>
      <c r="B5442" s="18" t="n">
        <v>1</v>
      </c>
      <c r="C5442" s="18" t="n">
        <v>2011</v>
      </c>
      <c r="D5442" s="18" t="n">
        <v>2011</v>
      </c>
      <c r="E5442" s="18" t="inlineStr">
        <is>
          <t>Pirates of the Caribbean: On Stranger Tides</t>
        </is>
      </c>
      <c r="F5442" s="18" t="inlineStr">
        <is>
          <t>F0249</t>
        </is>
      </c>
    </row>
    <row r="5443" ht="15.75" customHeight="1" s="108">
      <c r="A5443" s="18" t="inlineStr">
        <is>
          <t>Stephen Graham</t>
        </is>
      </c>
      <c r="B5443" s="18" t="n">
        <v>2</v>
      </c>
      <c r="C5443" s="18" t="n">
        <v>2011</v>
      </c>
      <c r="D5443" s="18" t="n">
        <v>2019</v>
      </c>
      <c r="E5443" s="18" t="inlineStr">
        <is>
          <t>Pirates of the Caribbean: On Stranger Tides, Rocketman</t>
        </is>
      </c>
      <c r="F5443" s="18" t="inlineStr">
        <is>
          <t>F0249, F0269</t>
        </is>
      </c>
    </row>
    <row r="5444" ht="15.75" customHeight="1" s="108">
      <c r="A5444" s="18" t="inlineStr">
        <is>
          <t>Keith Richards</t>
        </is>
      </c>
      <c r="B5444" s="18" t="n">
        <v>1</v>
      </c>
      <c r="C5444" s="18" t="n">
        <v>2011</v>
      </c>
      <c r="D5444" s="18" t="n">
        <v>2011</v>
      </c>
      <c r="E5444" s="18" t="inlineStr">
        <is>
          <t>Pirates of the Caribbean: On Stranger Tides</t>
        </is>
      </c>
      <c r="F5444" s="18" t="inlineStr">
        <is>
          <t>F0249</t>
        </is>
      </c>
    </row>
    <row r="5445" ht="15.75" customHeight="1" s="108">
      <c r="A5445" s="18" t="inlineStr">
        <is>
          <t>Greg Ellis</t>
        </is>
      </c>
      <c r="B5445" s="18" t="n">
        <v>1</v>
      </c>
      <c r="C5445" s="18" t="n">
        <v>2011</v>
      </c>
      <c r="D5445" s="18" t="n">
        <v>2011</v>
      </c>
      <c r="E5445" s="18" t="inlineStr">
        <is>
          <t>Pirates of the Caribbean: On Stranger Tides</t>
        </is>
      </c>
      <c r="F5445" s="18" t="inlineStr">
        <is>
          <t>F0249</t>
        </is>
      </c>
    </row>
    <row r="5446" ht="15.75" customHeight="1" s="108">
      <c r="A5446" s="18" t="inlineStr">
        <is>
          <t>Damian O'Hare</t>
        </is>
      </c>
      <c r="B5446" s="18" t="n">
        <v>1</v>
      </c>
      <c r="C5446" s="18" t="n">
        <v>2011</v>
      </c>
      <c r="D5446" s="18" t="n">
        <v>2011</v>
      </c>
      <c r="E5446" s="18" t="inlineStr">
        <is>
          <t>Pirates of the Caribbean: On Stranger Tides</t>
        </is>
      </c>
      <c r="F5446" s="18" t="inlineStr">
        <is>
          <t>F0249</t>
        </is>
      </c>
    </row>
    <row r="5447" ht="15.75" customHeight="1" s="108">
      <c r="A5447" s="18" t="inlineStr">
        <is>
          <t>Óscar Jaenada</t>
        </is>
      </c>
      <c r="B5447" s="18" t="n">
        <v>1</v>
      </c>
      <c r="C5447" s="18" t="n">
        <v>2011</v>
      </c>
      <c r="D5447" s="18" t="n">
        <v>2011</v>
      </c>
      <c r="E5447" s="18" t="inlineStr">
        <is>
          <t>Pirates of the Caribbean: On Stranger Tides</t>
        </is>
      </c>
      <c r="F5447" s="18" t="inlineStr">
        <is>
          <t>F0249</t>
        </is>
      </c>
    </row>
    <row r="5448" ht="15.75" customHeight="1" s="108">
      <c r="A5448" s="18" t="inlineStr">
        <is>
          <t>Anton Lesser</t>
        </is>
      </c>
      <c r="B5448" s="18" t="n">
        <v>1</v>
      </c>
      <c r="C5448" s="18" t="n">
        <v>2011</v>
      </c>
      <c r="D5448" s="18" t="n">
        <v>2011</v>
      </c>
      <c r="E5448" s="18" t="inlineStr">
        <is>
          <t>Pirates of the Caribbean: On Stranger Tides</t>
        </is>
      </c>
      <c r="F5448" s="18" t="inlineStr">
        <is>
          <t>F0249</t>
        </is>
      </c>
    </row>
    <row r="5449" ht="15.75" customHeight="1" s="108">
      <c r="A5449" s="18" t="inlineStr">
        <is>
          <t>Roger Allam</t>
        </is>
      </c>
      <c r="B5449" s="18" t="n">
        <v>1</v>
      </c>
      <c r="C5449" s="18" t="n">
        <v>2011</v>
      </c>
      <c r="D5449" s="18" t="n">
        <v>2011</v>
      </c>
      <c r="E5449" s="18" t="inlineStr">
        <is>
          <t>Pirates of the Caribbean: On Stranger Tides</t>
        </is>
      </c>
      <c r="F5449" s="18" t="inlineStr">
        <is>
          <t>F0249</t>
        </is>
      </c>
    </row>
    <row r="5450" ht="15.75" customHeight="1" s="108">
      <c r="A5450" s="18" t="inlineStr">
        <is>
          <t>Paul Bazely</t>
        </is>
      </c>
      <c r="B5450" s="18" t="n">
        <v>1</v>
      </c>
      <c r="C5450" s="18" t="n">
        <v>2011</v>
      </c>
      <c r="D5450" s="18" t="n">
        <v>2011</v>
      </c>
      <c r="E5450" s="18" t="inlineStr">
        <is>
          <t>Pirates of the Caribbean: On Stranger Tides</t>
        </is>
      </c>
      <c r="F5450" s="18" t="inlineStr">
        <is>
          <t>F0249</t>
        </is>
      </c>
    </row>
    <row r="5451" ht="15.75" customHeight="1" s="108">
      <c r="A5451" s="18" t="inlineStr">
        <is>
          <t>Richard Thomson</t>
        </is>
      </c>
      <c r="B5451" s="18" t="n">
        <v>2</v>
      </c>
      <c r="C5451" s="18" t="n">
        <v>2011</v>
      </c>
      <c r="D5451" s="18" t="n">
        <v>2012</v>
      </c>
      <c r="E5451" s="18" t="inlineStr">
        <is>
          <t>Pirates of the Caribbean: On Stranger Tides, Prometheus</t>
        </is>
      </c>
      <c r="F5451" s="18" t="inlineStr">
        <is>
          <t>F0249, F0259</t>
        </is>
      </c>
    </row>
    <row r="5452" ht="15.75" customHeight="1" s="108">
      <c r="A5452" s="18" t="inlineStr">
        <is>
          <t>Yuki Matsuzaki</t>
        </is>
      </c>
      <c r="B5452" s="18" t="n">
        <v>1</v>
      </c>
      <c r="C5452" s="18" t="n">
        <v>2011</v>
      </c>
      <c r="D5452" s="18" t="n">
        <v>2011</v>
      </c>
      <c r="E5452" s="18" t="inlineStr">
        <is>
          <t>Pirates of the Caribbean: On Stranger Tides</t>
        </is>
      </c>
      <c r="F5452" s="18" t="inlineStr">
        <is>
          <t>F0249</t>
        </is>
      </c>
    </row>
    <row r="5453" ht="15.75" customHeight="1" s="108">
      <c r="A5453" s="18" t="inlineStr">
        <is>
          <t>Robbie Kay</t>
        </is>
      </c>
      <c r="B5453" s="18" t="n">
        <v>1</v>
      </c>
      <c r="C5453" s="18" t="n">
        <v>2011</v>
      </c>
      <c r="D5453" s="18" t="n">
        <v>2011</v>
      </c>
      <c r="E5453" s="18" t="inlineStr">
        <is>
          <t>Pirates of the Caribbean: On Stranger Tides</t>
        </is>
      </c>
      <c r="F5453" s="18" t="inlineStr">
        <is>
          <t>F0249</t>
        </is>
      </c>
    </row>
    <row r="5454" ht="15.75" customHeight="1" s="108">
      <c r="A5454" s="18" t="inlineStr">
        <is>
          <t>Steve Evets</t>
        </is>
      </c>
      <c r="B5454" s="18" t="n">
        <v>1</v>
      </c>
      <c r="C5454" s="18" t="n">
        <v>2011</v>
      </c>
      <c r="D5454" s="18" t="n">
        <v>2011</v>
      </c>
      <c r="E5454" s="18" t="inlineStr">
        <is>
          <t>Pirates of the Caribbean: On Stranger Tides</t>
        </is>
      </c>
      <c r="F5454" s="18" t="inlineStr">
        <is>
          <t>F0249</t>
        </is>
      </c>
    </row>
    <row r="5455" ht="15.75" customHeight="1" s="108">
      <c r="A5455" s="18" t="inlineStr">
        <is>
          <t>Ian Mercer</t>
        </is>
      </c>
      <c r="B5455" s="18" t="n">
        <v>1</v>
      </c>
      <c r="C5455" s="18" t="n">
        <v>2011</v>
      </c>
      <c r="D5455" s="18" t="n">
        <v>2011</v>
      </c>
      <c r="E5455" s="18" t="inlineStr">
        <is>
          <t>Pirates of the Caribbean: On Stranger Tides</t>
        </is>
      </c>
      <c r="F5455" s="18" t="inlineStr">
        <is>
          <t>F0249</t>
        </is>
      </c>
    </row>
    <row r="5456" ht="15.75" customHeight="1" s="108">
      <c r="A5456" s="18" t="inlineStr">
        <is>
          <t>Gemma Ward</t>
        </is>
      </c>
      <c r="B5456" s="18" t="n">
        <v>1</v>
      </c>
      <c r="C5456" s="18" t="n">
        <v>2011</v>
      </c>
      <c r="D5456" s="18" t="n">
        <v>2011</v>
      </c>
      <c r="E5456" s="18" t="inlineStr">
        <is>
          <t>Pirates of the Caribbean: On Stranger Tides</t>
        </is>
      </c>
      <c r="F5456" s="18" t="inlineStr">
        <is>
          <t>F0249</t>
        </is>
      </c>
    </row>
    <row r="5457" ht="15.75" customHeight="1" s="108">
      <c r="A5457" s="18" t="inlineStr">
        <is>
          <t>Sebastian Armesto</t>
        </is>
      </c>
      <c r="B5457" s="18" t="n">
        <v>2</v>
      </c>
      <c r="C5457" s="18" t="n">
        <v>2011</v>
      </c>
      <c r="D5457" s="18" t="n">
        <v>2015</v>
      </c>
      <c r="E5457" s="18" t="inlineStr">
        <is>
          <t>Pirates of the Caribbean: On Stranger Tides, Star Wars: The Force Awakens</t>
        </is>
      </c>
      <c r="F5457" s="18" t="inlineStr">
        <is>
          <t>F0249, F0298</t>
        </is>
      </c>
    </row>
    <row r="5458" ht="15.75" customHeight="1" s="108">
      <c r="A5458" s="18" t="inlineStr">
        <is>
          <t>Juan Carlos Vellido</t>
        </is>
      </c>
      <c r="B5458" s="18" t="n">
        <v>1</v>
      </c>
      <c r="C5458" s="18" t="n">
        <v>2011</v>
      </c>
      <c r="D5458" s="18" t="n">
        <v>2011</v>
      </c>
      <c r="E5458" s="18" t="inlineStr">
        <is>
          <t>Pirates of the Caribbean: On Stranger Tides</t>
        </is>
      </c>
      <c r="F5458" s="18" t="inlineStr">
        <is>
          <t>F0249</t>
        </is>
      </c>
    </row>
    <row r="5459" ht="15.75" customHeight="1" s="108">
      <c r="A5459" s="18" t="inlineStr">
        <is>
          <t>Tristan Laurence Perez</t>
        </is>
      </c>
      <c r="B5459" s="18" t="n">
        <v>1</v>
      </c>
      <c r="C5459" s="18" t="n">
        <v>2011</v>
      </c>
      <c r="D5459" s="18" t="n">
        <v>2011</v>
      </c>
      <c r="E5459" s="18" t="inlineStr">
        <is>
          <t>Pirates of the Caribbean: On Stranger Tides</t>
        </is>
      </c>
      <c r="F5459" s="18" t="inlineStr">
        <is>
          <t>F0249</t>
        </is>
      </c>
    </row>
    <row r="5460" ht="15.75" customHeight="1" s="108">
      <c r="A5460" s="18" t="inlineStr">
        <is>
          <t>Norberto Morán</t>
        </is>
      </c>
      <c r="B5460" s="18" t="n">
        <v>1</v>
      </c>
      <c r="C5460" s="18" t="n">
        <v>2011</v>
      </c>
      <c r="D5460" s="18" t="n">
        <v>2011</v>
      </c>
      <c r="E5460" s="18" t="inlineStr">
        <is>
          <t>Pirates of the Caribbean: On Stranger Tides</t>
        </is>
      </c>
      <c r="F5460" s="18" t="inlineStr">
        <is>
          <t>F0249</t>
        </is>
      </c>
    </row>
    <row r="5461" ht="15.75" customHeight="1" s="108">
      <c r="A5461" s="18" t="inlineStr">
        <is>
          <t>Skylar Astin</t>
        </is>
      </c>
      <c r="B5461" s="18" t="n">
        <v>3</v>
      </c>
      <c r="C5461" s="18" t="n">
        <v>2012</v>
      </c>
      <c r="D5461" s="18" t="n">
        <v>2015</v>
      </c>
      <c r="E5461" s="18" t="inlineStr">
        <is>
          <t>Pitch Perfect, Pitch Perfect 2, Wreck-It Ralph</t>
        </is>
      </c>
      <c r="F5461" s="18" t="inlineStr">
        <is>
          <t>F0250, F0251, F0336</t>
        </is>
      </c>
    </row>
    <row r="5462" ht="15.75" customHeight="1" s="108">
      <c r="A5462" s="18" t="inlineStr">
        <is>
          <t>Hana Mae Lee</t>
        </is>
      </c>
      <c r="B5462" s="18" t="n">
        <v>3</v>
      </c>
      <c r="C5462" s="18" t="n">
        <v>2012</v>
      </c>
      <c r="D5462" s="18" t="n">
        <v>2017</v>
      </c>
      <c r="E5462" s="18" t="inlineStr">
        <is>
          <t>Pitch Perfect, Pitch Perfect 2, Pitch Perfect 3</t>
        </is>
      </c>
      <c r="F5462" s="18" t="inlineStr">
        <is>
          <t>F0250, F0251, F0252</t>
        </is>
      </c>
    </row>
    <row r="5463" ht="15.75" customHeight="1" s="108">
      <c r="A5463" s="18" t="inlineStr">
        <is>
          <t>Ben Platt</t>
        </is>
      </c>
      <c r="B5463" s="18" t="n">
        <v>2</v>
      </c>
      <c r="C5463" s="18" t="n">
        <v>2012</v>
      </c>
      <c r="D5463" s="18" t="n">
        <v>2015</v>
      </c>
      <c r="E5463" s="18" t="inlineStr">
        <is>
          <t>Pitch Perfect, Pitch Perfect 2</t>
        </is>
      </c>
      <c r="F5463" s="18" t="inlineStr">
        <is>
          <t>F0250, F0251</t>
        </is>
      </c>
    </row>
    <row r="5464" ht="15.75" customHeight="1" s="108">
      <c r="A5464" s="18" t="inlineStr">
        <is>
          <t>Alexis Knapp</t>
        </is>
      </c>
      <c r="B5464" s="18" t="n">
        <v>3</v>
      </c>
      <c r="C5464" s="18" t="n">
        <v>2012</v>
      </c>
      <c r="D5464" s="18" t="n">
        <v>2017</v>
      </c>
      <c r="E5464" s="18" t="inlineStr">
        <is>
          <t>Pitch Perfect, Pitch Perfect 2, Pitch Perfect 3</t>
        </is>
      </c>
      <c r="F5464" s="18" t="inlineStr">
        <is>
          <t>F0250, F0251, F0252</t>
        </is>
      </c>
    </row>
    <row r="5465" ht="15.75" customHeight="1" s="108">
      <c r="A5465" s="18" t="inlineStr">
        <is>
          <t>Utkarsh Ambudkar</t>
        </is>
      </c>
      <c r="B5465" s="18" t="n">
        <v>1</v>
      </c>
      <c r="C5465" s="18" t="n">
        <v>2012</v>
      </c>
      <c r="D5465" s="18" t="n">
        <v>2012</v>
      </c>
      <c r="E5465" s="18" t="inlineStr">
        <is>
          <t>Pitch Perfect</t>
        </is>
      </c>
      <c r="F5465" s="18" t="inlineStr">
        <is>
          <t>F0250</t>
        </is>
      </c>
    </row>
    <row r="5466" ht="15.75" customHeight="1" s="108">
      <c r="A5466" s="18" t="inlineStr">
        <is>
          <t>Kelley Jakle</t>
        </is>
      </c>
      <c r="B5466" s="18" t="n">
        <v>3</v>
      </c>
      <c r="C5466" s="18" t="n">
        <v>2012</v>
      </c>
      <c r="D5466" s="18" t="n">
        <v>2017</v>
      </c>
      <c r="E5466" s="18" t="inlineStr">
        <is>
          <t>Pitch Perfect, Pitch Perfect 2, Pitch Perfect 3</t>
        </is>
      </c>
      <c r="F5466" s="18" t="inlineStr">
        <is>
          <t>F0250, F0251, F0252</t>
        </is>
      </c>
    </row>
    <row r="5467" ht="15.75" customHeight="1" s="108">
      <c r="A5467" s="18" t="inlineStr">
        <is>
          <t>Shelley Regner</t>
        </is>
      </c>
      <c r="B5467" s="18" t="n">
        <v>3</v>
      </c>
      <c r="C5467" s="18" t="n">
        <v>2012</v>
      </c>
      <c r="D5467" s="18" t="n">
        <v>2017</v>
      </c>
      <c r="E5467" s="18" t="inlineStr">
        <is>
          <t>Pitch Perfect, Pitch Perfect 2, Pitch Perfect 3</t>
        </is>
      </c>
      <c r="F5467" s="18" t="inlineStr">
        <is>
          <t>F0250, F0251, F0252</t>
        </is>
      </c>
    </row>
    <row r="5468" ht="15.75" customHeight="1" s="108">
      <c r="A5468" s="18" t="inlineStr">
        <is>
          <t>Caroline Fourmy</t>
        </is>
      </c>
      <c r="B5468" s="18" t="n">
        <v>1</v>
      </c>
      <c r="C5468" s="18" t="n">
        <v>2012</v>
      </c>
      <c r="D5468" s="18" t="n">
        <v>2012</v>
      </c>
      <c r="E5468" s="18" t="inlineStr">
        <is>
          <t>Pitch Perfect</t>
        </is>
      </c>
      <c r="F5468" s="18" t="inlineStr">
        <is>
          <t>F0250</t>
        </is>
      </c>
    </row>
    <row r="5469" ht="15.75" customHeight="1" s="108">
      <c r="A5469" s="18" t="inlineStr">
        <is>
          <t>Wanetah Walmsley</t>
        </is>
      </c>
      <c r="B5469" s="18" t="n">
        <v>1</v>
      </c>
      <c r="C5469" s="18" t="n">
        <v>2012</v>
      </c>
      <c r="D5469" s="18" t="n">
        <v>2012</v>
      </c>
      <c r="E5469" s="18" t="inlineStr">
        <is>
          <t>Pitch Perfect</t>
        </is>
      </c>
      <c r="F5469" s="18" t="inlineStr">
        <is>
          <t>F0250</t>
        </is>
      </c>
    </row>
    <row r="5470" ht="15.75" customHeight="1" s="108">
      <c r="A5470" s="18" t="inlineStr">
        <is>
          <t>Nicole Lovince</t>
        </is>
      </c>
      <c r="B5470" s="18" t="n">
        <v>1</v>
      </c>
      <c r="C5470" s="18" t="n">
        <v>2012</v>
      </c>
      <c r="D5470" s="18" t="n">
        <v>2012</v>
      </c>
      <c r="E5470" s="18" t="inlineStr">
        <is>
          <t>Pitch Perfect</t>
        </is>
      </c>
      <c r="F5470" s="18" t="inlineStr">
        <is>
          <t>F0250</t>
        </is>
      </c>
    </row>
    <row r="5471" ht="15.75" customHeight="1" s="108">
      <c r="A5471" s="18" t="inlineStr">
        <is>
          <t>Michael Viruet</t>
        </is>
      </c>
      <c r="B5471" s="18" t="n">
        <v>1</v>
      </c>
      <c r="C5471" s="18" t="n">
        <v>2012</v>
      </c>
      <c r="D5471" s="18" t="n">
        <v>2012</v>
      </c>
      <c r="E5471" s="18" t="inlineStr">
        <is>
          <t>Pitch Perfect</t>
        </is>
      </c>
      <c r="F5471" s="18" t="inlineStr">
        <is>
          <t>F0250</t>
        </is>
      </c>
    </row>
    <row r="5472" ht="15.75" customHeight="1" s="108">
      <c r="A5472" s="18" t="inlineStr">
        <is>
          <t>David Del Rio</t>
        </is>
      </c>
      <c r="B5472" s="18" t="n">
        <v>1</v>
      </c>
      <c r="C5472" s="18" t="n">
        <v>2012</v>
      </c>
      <c r="D5472" s="18" t="n">
        <v>2012</v>
      </c>
      <c r="E5472" s="18" t="inlineStr">
        <is>
          <t>Pitch Perfect</t>
        </is>
      </c>
      <c r="F5472" s="18" t="inlineStr">
        <is>
          <t>F0250</t>
        </is>
      </c>
    </row>
    <row r="5473" ht="15.75" customHeight="1" s="108">
      <c r="A5473" s="18" t="inlineStr">
        <is>
          <t>John Benjamin Hickey</t>
        </is>
      </c>
      <c r="B5473" s="18" t="n">
        <v>2</v>
      </c>
      <c r="C5473" s="18" t="n">
        <v>2009</v>
      </c>
      <c r="D5473" s="18" t="n">
        <v>2012</v>
      </c>
      <c r="E5473" s="18" t="inlineStr">
        <is>
          <t>Pitch Perfect, Transformers: Revenge of the Fallen</t>
        </is>
      </c>
      <c r="F5473" s="18" t="inlineStr">
        <is>
          <t>F0250, F0317</t>
        </is>
      </c>
    </row>
    <row r="5474" ht="15.75" customHeight="1" s="108">
      <c r="A5474" s="18" t="inlineStr">
        <is>
          <t>Jinhee Joung</t>
        </is>
      </c>
      <c r="B5474" s="18" t="n">
        <v>1</v>
      </c>
      <c r="C5474" s="18" t="n">
        <v>2012</v>
      </c>
      <c r="D5474" s="18" t="n">
        <v>2012</v>
      </c>
      <c r="E5474" s="18" t="inlineStr">
        <is>
          <t>Pitch Perfect</t>
        </is>
      </c>
      <c r="F5474" s="18" t="inlineStr">
        <is>
          <t>F0250</t>
        </is>
      </c>
    </row>
    <row r="5475" ht="15.75" customHeight="1" s="108">
      <c r="A5475" s="18" t="inlineStr">
        <is>
          <t>Jacob Wysocki</t>
        </is>
      </c>
      <c r="B5475" s="18" t="n">
        <v>1</v>
      </c>
      <c r="C5475" s="18" t="n">
        <v>2012</v>
      </c>
      <c r="D5475" s="18" t="n">
        <v>2012</v>
      </c>
      <c r="E5475" s="18" t="inlineStr">
        <is>
          <t>Pitch Perfect</t>
        </is>
      </c>
      <c r="F5475" s="18" t="inlineStr">
        <is>
          <t>F0250</t>
        </is>
      </c>
    </row>
    <row r="5476" ht="15.75" customHeight="1" s="108">
      <c r="A5476" s="18" t="inlineStr">
        <is>
          <t>Jawan Harris</t>
        </is>
      </c>
      <c r="B5476" s="18" t="n">
        <v>1</v>
      </c>
      <c r="C5476" s="18" t="n">
        <v>2012</v>
      </c>
      <c r="D5476" s="18" t="n">
        <v>2012</v>
      </c>
      <c r="E5476" s="18" t="inlineStr">
        <is>
          <t>Pitch Perfect</t>
        </is>
      </c>
      <c r="F5476" s="18" t="inlineStr">
        <is>
          <t>F0250</t>
        </is>
      </c>
    </row>
    <row r="5477" ht="15.75" customHeight="1" s="108">
      <c r="A5477" s="18" t="inlineStr">
        <is>
          <t>Richard Kohnke</t>
        </is>
      </c>
      <c r="B5477" s="18" t="n">
        <v>1</v>
      </c>
      <c r="C5477" s="18" t="n">
        <v>2012</v>
      </c>
      <c r="D5477" s="18" t="n">
        <v>2012</v>
      </c>
      <c r="E5477" s="18" t="inlineStr">
        <is>
          <t>Pitch Perfect</t>
        </is>
      </c>
      <c r="F5477" s="18" t="inlineStr">
        <is>
          <t>F0250</t>
        </is>
      </c>
    </row>
    <row r="5478" ht="15.75" customHeight="1" s="108">
      <c r="A5478" s="18" t="inlineStr">
        <is>
          <t>Scott Shilstone</t>
        </is>
      </c>
      <c r="B5478" s="18" t="n">
        <v>1</v>
      </c>
      <c r="C5478" s="18" t="n">
        <v>2012</v>
      </c>
      <c r="D5478" s="18" t="n">
        <v>2012</v>
      </c>
      <c r="E5478" s="18" t="inlineStr">
        <is>
          <t>Pitch Perfect</t>
        </is>
      </c>
      <c r="F5478" s="18" t="inlineStr">
        <is>
          <t>F0250</t>
        </is>
      </c>
    </row>
    <row r="5479" ht="15.75" customHeight="1" s="108">
      <c r="A5479" s="18" t="inlineStr">
        <is>
          <t>Brock Kelly</t>
        </is>
      </c>
      <c r="B5479" s="18" t="n">
        <v>1</v>
      </c>
      <c r="C5479" s="18" t="n">
        <v>2012</v>
      </c>
      <c r="D5479" s="18" t="n">
        <v>2012</v>
      </c>
      <c r="E5479" s="18" t="inlineStr">
        <is>
          <t>Pitch Perfect</t>
        </is>
      </c>
      <c r="F5479" s="18" t="inlineStr">
        <is>
          <t>F0250</t>
        </is>
      </c>
    </row>
    <row r="5480" ht="15.75" customHeight="1" s="108">
      <c r="A5480" s="18" t="inlineStr">
        <is>
          <t>Drew Battles</t>
        </is>
      </c>
      <c r="B5480" s="18" t="n">
        <v>1</v>
      </c>
      <c r="C5480" s="18" t="n">
        <v>2012</v>
      </c>
      <c r="D5480" s="18" t="n">
        <v>2012</v>
      </c>
      <c r="E5480" s="18" t="inlineStr">
        <is>
          <t>Pitch Perfect</t>
        </is>
      </c>
      <c r="F5480" s="18" t="inlineStr">
        <is>
          <t>F0250</t>
        </is>
      </c>
    </row>
    <row r="5481" ht="15.75" customHeight="1" s="108">
      <c r="A5481" s="18" t="inlineStr">
        <is>
          <t>Chrissie Fit</t>
        </is>
      </c>
      <c r="B5481" s="18" t="n">
        <v>2</v>
      </c>
      <c r="C5481" s="18" t="n">
        <v>2015</v>
      </c>
      <c r="D5481" s="18" t="n">
        <v>2017</v>
      </c>
      <c r="E5481" s="18" t="inlineStr">
        <is>
          <t>Pitch Perfect 2, Pitch Perfect 3</t>
        </is>
      </c>
      <c r="F5481" s="18" t="inlineStr">
        <is>
          <t>F0251, F0252</t>
        </is>
      </c>
    </row>
    <row r="5482" ht="15.75" customHeight="1" s="108">
      <c r="A5482" s="18" t="inlineStr">
        <is>
          <t>Birgitte Hjort Sørensen</t>
        </is>
      </c>
      <c r="B5482" s="18" t="n">
        <v>1</v>
      </c>
      <c r="C5482" s="18" t="n">
        <v>2015</v>
      </c>
      <c r="D5482" s="18" t="n">
        <v>2015</v>
      </c>
      <c r="E5482" s="18" t="inlineStr">
        <is>
          <t>Pitch Perfect 2</t>
        </is>
      </c>
      <c r="F5482" s="18" t="inlineStr">
        <is>
          <t>F0251</t>
        </is>
      </c>
    </row>
    <row r="5483" ht="15.75" customHeight="1" s="108">
      <c r="A5483" s="18" t="inlineStr">
        <is>
          <t>Flula Borg</t>
        </is>
      </c>
      <c r="B5483" s="18" t="n">
        <v>2</v>
      </c>
      <c r="C5483" s="18" t="n">
        <v>2015</v>
      </c>
      <c r="D5483" s="18" t="n">
        <v>2018</v>
      </c>
      <c r="E5483" s="18" t="inlineStr">
        <is>
          <t>Pitch Perfect 2, Ralph Breaks the Internet</t>
        </is>
      </c>
      <c r="F5483" s="18" t="inlineStr">
        <is>
          <t>F0251, F0337</t>
        </is>
      </c>
    </row>
    <row r="5484" ht="15.75" customHeight="1" s="108">
      <c r="A5484" s="18" t="inlineStr">
        <is>
          <t>Katey Sagal</t>
        </is>
      </c>
      <c r="B5484" s="18" t="n">
        <v>1</v>
      </c>
      <c r="C5484" s="18" t="n">
        <v>2015</v>
      </c>
      <c r="D5484" s="18" t="n">
        <v>2015</v>
      </c>
      <c r="E5484" s="18" t="inlineStr">
        <is>
          <t>Pitch Perfect 2</t>
        </is>
      </c>
      <c r="F5484" s="18" t="inlineStr">
        <is>
          <t>F0251</t>
        </is>
      </c>
    </row>
    <row r="5485" ht="15.75" customHeight="1" s="108">
      <c r="A5485" s="18" t="inlineStr">
        <is>
          <t>Reggie Watts</t>
        </is>
      </c>
      <c r="B5485" s="18" t="n">
        <v>1</v>
      </c>
      <c r="C5485" s="18" t="n">
        <v>2015</v>
      </c>
      <c r="D5485" s="18" t="n">
        <v>2015</v>
      </c>
      <c r="E5485" s="18" t="inlineStr">
        <is>
          <t>Pitch Perfect 2</t>
        </is>
      </c>
      <c r="F5485" s="18" t="inlineStr">
        <is>
          <t>F0251</t>
        </is>
      </c>
    </row>
    <row r="5486" ht="15.75" customHeight="1" s="108">
      <c r="A5486" s="18" t="inlineStr">
        <is>
          <t>John Hodgman</t>
        </is>
      </c>
      <c r="B5486" s="18" t="n">
        <v>1</v>
      </c>
      <c r="C5486" s="18" t="n">
        <v>2015</v>
      </c>
      <c r="D5486" s="18" t="n">
        <v>2015</v>
      </c>
      <c r="E5486" s="18" t="inlineStr">
        <is>
          <t>Pitch Perfect 2</t>
        </is>
      </c>
      <c r="F5486" s="18" t="inlineStr">
        <is>
          <t>F0251</t>
        </is>
      </c>
    </row>
    <row r="5487" ht="15.75" customHeight="1" s="108">
      <c r="A5487" s="18" t="inlineStr">
        <is>
          <t>Jason Jones</t>
        </is>
      </c>
      <c r="B5487" s="18" t="n">
        <v>1</v>
      </c>
      <c r="C5487" s="18" t="n">
        <v>2015</v>
      </c>
      <c r="D5487" s="18" t="n">
        <v>2015</v>
      </c>
      <c r="E5487" s="18" t="inlineStr">
        <is>
          <t>Pitch Perfect 2</t>
        </is>
      </c>
      <c r="F5487" s="18" t="inlineStr">
        <is>
          <t>F0251</t>
        </is>
      </c>
    </row>
    <row r="5488" ht="15.75" customHeight="1" s="108">
      <c r="A5488" s="18" t="inlineStr">
        <is>
          <t>Shawn Carter Peterson</t>
        </is>
      </c>
      <c r="B5488" s="18" t="n">
        <v>1</v>
      </c>
      <c r="C5488" s="18" t="n">
        <v>2015</v>
      </c>
      <c r="D5488" s="18" t="n">
        <v>2015</v>
      </c>
      <c r="E5488" s="18" t="inlineStr">
        <is>
          <t>Pitch Perfect 2</t>
        </is>
      </c>
      <c r="F5488" s="18" t="inlineStr">
        <is>
          <t>F0251</t>
        </is>
      </c>
    </row>
    <row r="5489" ht="15.75" customHeight="1" s="108">
      <c r="A5489" s="18" t="inlineStr">
        <is>
          <t>Clay Matthews</t>
        </is>
      </c>
      <c r="B5489" s="18" t="n">
        <v>1</v>
      </c>
      <c r="C5489" s="18" t="n">
        <v>2015</v>
      </c>
      <c r="D5489" s="18" t="n">
        <v>2015</v>
      </c>
      <c r="E5489" s="18" t="inlineStr">
        <is>
          <t>Pitch Perfect 2</t>
        </is>
      </c>
      <c r="F5489" s="18" t="inlineStr">
        <is>
          <t>F0251</t>
        </is>
      </c>
    </row>
    <row r="5490" ht="15.75" customHeight="1" s="108">
      <c r="A5490" s="18" t="inlineStr">
        <is>
          <t>David Bakhtiari</t>
        </is>
      </c>
      <c r="B5490" s="18" t="n">
        <v>1</v>
      </c>
      <c r="C5490" s="18" t="n">
        <v>2015</v>
      </c>
      <c r="D5490" s="18" t="n">
        <v>2015</v>
      </c>
      <c r="E5490" s="18" t="inlineStr">
        <is>
          <t>Pitch Perfect 2</t>
        </is>
      </c>
      <c r="F5490" s="18" t="inlineStr">
        <is>
          <t>F0251</t>
        </is>
      </c>
    </row>
    <row r="5491" ht="15.75" customHeight="1" s="108">
      <c r="A5491" s="18" t="inlineStr">
        <is>
          <t>Donny Barclay</t>
        </is>
      </c>
      <c r="B5491" s="18" t="n">
        <v>1</v>
      </c>
      <c r="C5491" s="18" t="n">
        <v>2015</v>
      </c>
      <c r="D5491" s="18" t="n">
        <v>2015</v>
      </c>
      <c r="E5491" s="18" t="inlineStr">
        <is>
          <t>Pitch Perfect 2</t>
        </is>
      </c>
      <c r="F5491" s="18" t="inlineStr">
        <is>
          <t>F0251</t>
        </is>
      </c>
    </row>
    <row r="5492" ht="15.75" customHeight="1" s="108">
      <c r="A5492" s="18" t="inlineStr">
        <is>
          <t>Ruby Rose</t>
        </is>
      </c>
      <c r="B5492" s="18" t="n">
        <v>3</v>
      </c>
      <c r="C5492" s="18" t="n">
        <v>2017</v>
      </c>
      <c r="D5492" s="18" t="n">
        <v>2017</v>
      </c>
      <c r="E5492" s="18" t="inlineStr">
        <is>
          <t xml:space="preserve">Pitch Perfect 3, john wick chapter 2, john wick chapter 2 </t>
        </is>
      </c>
      <c r="F5492" s="18" t="inlineStr">
        <is>
          <t>F0252, F0375</t>
        </is>
      </c>
    </row>
    <row r="5493" ht="15.75" customHeight="1" s="108">
      <c r="A5493" s="18" t="inlineStr">
        <is>
          <t>Andy Allo</t>
        </is>
      </c>
      <c r="B5493" s="18" t="n">
        <v>1</v>
      </c>
      <c r="C5493" s="18" t="n">
        <v>2017</v>
      </c>
      <c r="D5493" s="18" t="n">
        <v>2017</v>
      </c>
      <c r="E5493" s="18" t="inlineStr">
        <is>
          <t>Pitch Perfect 3</t>
        </is>
      </c>
      <c r="F5493" s="18" t="inlineStr">
        <is>
          <t>F0252</t>
        </is>
      </c>
    </row>
    <row r="5494" ht="15.75" customHeight="1" s="108">
      <c r="A5494" s="18" t="inlineStr">
        <is>
          <t>Matt Lanter</t>
        </is>
      </c>
      <c r="B5494" s="18" t="n">
        <v>1</v>
      </c>
      <c r="C5494" s="18" t="n">
        <v>2017</v>
      </c>
      <c r="D5494" s="18" t="n">
        <v>2017</v>
      </c>
      <c r="E5494" s="18" t="inlineStr">
        <is>
          <t>Pitch Perfect 3</t>
        </is>
      </c>
      <c r="F5494" s="18" t="inlineStr">
        <is>
          <t>F0252</t>
        </is>
      </c>
    </row>
    <row r="5495" ht="15.75" customHeight="1" s="108">
      <c r="A5495" s="18" t="inlineStr">
        <is>
          <t>Guy Burnet</t>
        </is>
      </c>
      <c r="B5495" s="18" t="n">
        <v>1</v>
      </c>
      <c r="C5495" s="18" t="n">
        <v>2017</v>
      </c>
      <c r="D5495" s="18" t="n">
        <v>2017</v>
      </c>
      <c r="E5495" s="18" t="inlineStr">
        <is>
          <t>Pitch Perfect 3</t>
        </is>
      </c>
      <c r="F5495" s="18" t="inlineStr">
        <is>
          <t>F0252</t>
        </is>
      </c>
    </row>
    <row r="5496" ht="15.75" customHeight="1" s="108">
      <c r="A5496" s="18" t="inlineStr">
        <is>
          <t>DJ Khaled</t>
        </is>
      </c>
      <c r="B5496" s="18" t="n">
        <v>1</v>
      </c>
      <c r="C5496" s="18" t="n">
        <v>2017</v>
      </c>
      <c r="D5496" s="18" t="n">
        <v>2017</v>
      </c>
      <c r="E5496" s="18" t="inlineStr">
        <is>
          <t>Pitch Perfect 3</t>
        </is>
      </c>
      <c r="F5496" s="18" t="inlineStr">
        <is>
          <t>F0252</t>
        </is>
      </c>
    </row>
    <row r="5497" ht="15.75" customHeight="1" s="108">
      <c r="A5497" s="18" t="inlineStr">
        <is>
          <t>Niko Nedyalkov</t>
        </is>
      </c>
      <c r="B5497" s="18" t="n">
        <v>1</v>
      </c>
      <c r="C5497" s="18" t="n">
        <v>2017</v>
      </c>
      <c r="D5497" s="18" t="n">
        <v>2017</v>
      </c>
      <c r="E5497" s="18" t="inlineStr">
        <is>
          <t>Pitch Perfect 3</t>
        </is>
      </c>
      <c r="F5497" s="18" t="inlineStr">
        <is>
          <t>F0252</t>
        </is>
      </c>
    </row>
    <row r="5498" ht="15.75" customHeight="1" s="108">
      <c r="A5498" s="18" t="inlineStr">
        <is>
          <t>Kaley Hatfield</t>
        </is>
      </c>
      <c r="B5498" s="18" t="n">
        <v>1</v>
      </c>
      <c r="C5498" s="18" t="n">
        <v>2017</v>
      </c>
      <c r="D5498" s="18" t="n">
        <v>2017</v>
      </c>
      <c r="E5498" s="18" t="inlineStr">
        <is>
          <t>Pitch Perfect 3</t>
        </is>
      </c>
      <c r="F5498" s="18" t="inlineStr">
        <is>
          <t>F0252</t>
        </is>
      </c>
    </row>
    <row r="5499" ht="15.75" customHeight="1" s="108">
      <c r="A5499" s="18" t="inlineStr">
        <is>
          <t>Matthew Michael Hoffman</t>
        </is>
      </c>
      <c r="B5499" s="18" t="n">
        <v>1</v>
      </c>
      <c r="C5499" s="18" t="n">
        <v>2017</v>
      </c>
      <c r="D5499" s="18" t="n">
        <v>2017</v>
      </c>
      <c r="E5499" s="18" t="inlineStr">
        <is>
          <t>Pitch Perfect 3</t>
        </is>
      </c>
      <c r="F5499" s="18" t="inlineStr">
        <is>
          <t>F0252</t>
        </is>
      </c>
    </row>
    <row r="5500" ht="15.75" customHeight="1" s="108">
      <c r="A5500" s="18" t="inlineStr">
        <is>
          <t>Timothy Douglas Perez</t>
        </is>
      </c>
      <c r="B5500" s="18" t="n">
        <v>1</v>
      </c>
      <c r="C5500" s="18" t="n">
        <v>2017</v>
      </c>
      <c r="D5500" s="18" t="n">
        <v>2017</v>
      </c>
      <c r="E5500" s="18" t="inlineStr">
        <is>
          <t>Pitch Perfect 3</t>
        </is>
      </c>
      <c r="F5500" s="18" t="inlineStr">
        <is>
          <t>F0252</t>
        </is>
      </c>
    </row>
    <row r="5501" ht="15.75" customHeight="1" s="108">
      <c r="A5501" s="18" t="inlineStr">
        <is>
          <t>Tony Guerrero</t>
        </is>
      </c>
      <c r="B5501" s="18" t="n">
        <v>1</v>
      </c>
      <c r="C5501" s="18" t="n">
        <v>2017</v>
      </c>
      <c r="D5501" s="18" t="n">
        <v>2017</v>
      </c>
      <c r="E5501" s="18" t="inlineStr">
        <is>
          <t>Pitch Perfect 3</t>
        </is>
      </c>
      <c r="F5501" s="18" t="inlineStr">
        <is>
          <t>F0252</t>
        </is>
      </c>
    </row>
    <row r="5502" ht="15.75" customHeight="1" s="108">
      <c r="A5502" s="18" t="inlineStr">
        <is>
          <t>Jonathon Pawlowski</t>
        </is>
      </c>
      <c r="B5502" s="18" t="n">
        <v>1</v>
      </c>
      <c r="C5502" s="18" t="n">
        <v>2017</v>
      </c>
      <c r="D5502" s="18" t="n">
        <v>2017</v>
      </c>
      <c r="E5502" s="18" t="inlineStr">
        <is>
          <t>Pitch Perfect 3</t>
        </is>
      </c>
      <c r="F5502" s="18" t="inlineStr">
        <is>
          <t>F0252</t>
        </is>
      </c>
    </row>
    <row r="5503" ht="15.75" customHeight="1" s="108">
      <c r="A5503" s="18" t="inlineStr">
        <is>
          <t>Troy Ian Hall</t>
        </is>
      </c>
      <c r="B5503" s="18" t="n">
        <v>1</v>
      </c>
      <c r="C5503" s="18" t="n">
        <v>2017</v>
      </c>
      <c r="D5503" s="18" t="n">
        <v>2017</v>
      </c>
      <c r="E5503" s="18" t="inlineStr">
        <is>
          <t>Pitch Perfect 3</t>
        </is>
      </c>
      <c r="F5503" s="18" t="inlineStr">
        <is>
          <t>F0252</t>
        </is>
      </c>
    </row>
    <row r="5504" ht="15.75" customHeight="1" s="108">
      <c r="A5504" s="18" t="inlineStr">
        <is>
          <t>Jessica Chaffin</t>
        </is>
      </c>
      <c r="B5504" s="18" t="n">
        <v>2</v>
      </c>
      <c r="C5504" s="18" t="n">
        <v>2015</v>
      </c>
      <c r="D5504" s="18" t="n">
        <v>2017</v>
      </c>
      <c r="E5504" s="18" t="inlineStr">
        <is>
          <t>Pitch Perfect 3, Spy</t>
        </is>
      </c>
      <c r="F5504" s="18" t="inlineStr">
        <is>
          <t>F0252, F0290</t>
        </is>
      </c>
    </row>
    <row r="5505" ht="15.75" customHeight="1" s="108">
      <c r="A5505" s="18" t="inlineStr">
        <is>
          <t>Hannah Fairlight</t>
        </is>
      </c>
      <c r="B5505" s="18" t="n">
        <v>1</v>
      </c>
      <c r="C5505" s="18" t="n">
        <v>2017</v>
      </c>
      <c r="D5505" s="18" t="n">
        <v>2017</v>
      </c>
      <c r="E5505" s="18" t="inlineStr">
        <is>
          <t>Pitch Perfect 3</t>
        </is>
      </c>
      <c r="F5505" s="18" t="inlineStr">
        <is>
          <t>F0252</t>
        </is>
      </c>
    </row>
    <row r="5506" ht="15.75" customHeight="1" s="108">
      <c r="A5506" s="18" t="inlineStr">
        <is>
          <t>Trinidad James</t>
        </is>
      </c>
      <c r="B5506" s="18" t="n">
        <v>1</v>
      </c>
      <c r="C5506" s="18" t="n">
        <v>2017</v>
      </c>
      <c r="D5506" s="18" t="n">
        <v>2017</v>
      </c>
      <c r="E5506" s="18" t="inlineStr">
        <is>
          <t>Pitch Perfect 3</t>
        </is>
      </c>
      <c r="F5506" s="18" t="inlineStr">
        <is>
          <t>F0252</t>
        </is>
      </c>
    </row>
    <row r="5507" ht="15.75" customHeight="1" s="108">
      <c r="A5507" s="18" t="inlineStr">
        <is>
          <t>Christopher Gordon</t>
        </is>
      </c>
      <c r="B5507" s="18" t="n">
        <v>1</v>
      </c>
      <c r="C5507" s="18" t="n">
        <v>2011</v>
      </c>
      <c r="D5507" s="18" t="n">
        <v>2011</v>
      </c>
      <c r="E5507" s="18" t="inlineStr">
        <is>
          <t>Rise of the Planet of the Apes</t>
        </is>
      </c>
      <c r="F5507" s="18" t="inlineStr">
        <is>
          <t>F0253</t>
        </is>
      </c>
    </row>
    <row r="5508" ht="15.75" customHeight="1" s="108">
      <c r="A5508" s="18" t="inlineStr">
        <is>
          <t>Richard Ridings</t>
        </is>
      </c>
      <c r="B5508" s="18" t="n">
        <v>1</v>
      </c>
      <c r="C5508" s="18" t="n">
        <v>2011</v>
      </c>
      <c r="D5508" s="18" t="n">
        <v>2011</v>
      </c>
      <c r="E5508" s="18" t="inlineStr">
        <is>
          <t>Rise of the Planet of the Apes</t>
        </is>
      </c>
      <c r="F5508" s="18" t="inlineStr">
        <is>
          <t>F0253</t>
        </is>
      </c>
    </row>
    <row r="5509" ht="15.75" customHeight="1" s="108">
      <c r="A5509" s="18" t="inlineStr">
        <is>
          <t>Devyn Dalton</t>
        </is>
      </c>
      <c r="B5509" s="18" t="n">
        <v>2</v>
      </c>
      <c r="C5509" s="18" t="n">
        <v>2011</v>
      </c>
      <c r="D5509" s="18" t="n">
        <v>2017</v>
      </c>
      <c r="E5509" s="18" t="inlineStr">
        <is>
          <t>Rise of the Planet of the Apes, War for the Planet of the Apes</t>
        </is>
      </c>
      <c r="F5509" s="18" t="inlineStr">
        <is>
          <t>F0253, F0255</t>
        </is>
      </c>
    </row>
    <row r="5510" ht="15.75" customHeight="1" s="108">
      <c r="A5510" s="18" t="inlineStr">
        <is>
          <t>Jay Caputo</t>
        </is>
      </c>
      <c r="B5510" s="18" t="n">
        <v>1</v>
      </c>
      <c r="C5510" s="18" t="n">
        <v>2011</v>
      </c>
      <c r="D5510" s="18" t="n">
        <v>2011</v>
      </c>
      <c r="E5510" s="18" t="inlineStr">
        <is>
          <t>Rise of the Planet of the Apes</t>
        </is>
      </c>
      <c r="F5510" s="18" t="inlineStr">
        <is>
          <t>F0253</t>
        </is>
      </c>
    </row>
    <row r="5511" ht="15.75" customHeight="1" s="108">
      <c r="A5511" s="18" t="inlineStr">
        <is>
          <t>David Hewlett</t>
        </is>
      </c>
      <c r="B5511" s="18" t="n">
        <v>1</v>
      </c>
      <c r="C5511" s="18" t="n">
        <v>2011</v>
      </c>
      <c r="D5511" s="18" t="n">
        <v>2011</v>
      </c>
      <c r="E5511" s="18" t="inlineStr">
        <is>
          <t>Rise of the Planet of the Apes</t>
        </is>
      </c>
      <c r="F5511" s="18" t="inlineStr">
        <is>
          <t>F0253</t>
        </is>
      </c>
    </row>
    <row r="5512" ht="15.75" customHeight="1" s="108">
      <c r="A5512" s="18" t="inlineStr">
        <is>
          <t>Jamie Harris</t>
        </is>
      </c>
      <c r="B5512" s="18" t="n">
        <v>2</v>
      </c>
      <c r="C5512" s="18" t="n">
        <v>2006</v>
      </c>
      <c r="D5512" s="18" t="n">
        <v>2011</v>
      </c>
      <c r="E5512" s="18" t="inlineStr">
        <is>
          <t>Rise of the Planet of the Apes, The Prestige</t>
        </is>
      </c>
      <c r="F5512" s="18" t="inlineStr">
        <is>
          <t>F0253, F0257</t>
        </is>
      </c>
    </row>
    <row r="5513" ht="15.75" customHeight="1" s="108">
      <c r="A5513" s="18" t="inlineStr">
        <is>
          <t>Joey Roche</t>
        </is>
      </c>
      <c r="B5513" s="18" t="n">
        <v>1</v>
      </c>
      <c r="C5513" s="18" t="n">
        <v>2011</v>
      </c>
      <c r="D5513" s="18" t="n">
        <v>2011</v>
      </c>
      <c r="E5513" s="18" t="inlineStr">
        <is>
          <t>Rise of the Planet of the Apes</t>
        </is>
      </c>
      <c r="F5513" s="18" t="inlineStr">
        <is>
          <t>F0253</t>
        </is>
      </c>
    </row>
    <row r="5514" ht="15.75" customHeight="1" s="108">
      <c r="A5514" s="18" t="inlineStr">
        <is>
          <t>Madison Bell</t>
        </is>
      </c>
      <c r="B5514" s="18" t="n">
        <v>1</v>
      </c>
      <c r="C5514" s="18" t="n">
        <v>2011</v>
      </c>
      <c r="D5514" s="18" t="n">
        <v>2011</v>
      </c>
      <c r="E5514" s="18" t="inlineStr">
        <is>
          <t>Rise of the Planet of the Apes</t>
        </is>
      </c>
      <c r="F5514" s="18" t="inlineStr">
        <is>
          <t>F0253</t>
        </is>
      </c>
    </row>
    <row r="5515" ht="15.75" customHeight="1" s="108">
      <c r="A5515" s="18" t="inlineStr">
        <is>
          <t>Makena Joy</t>
        </is>
      </c>
      <c r="B5515" s="18" t="n">
        <v>1</v>
      </c>
      <c r="C5515" s="18" t="n">
        <v>2011</v>
      </c>
      <c r="D5515" s="18" t="n">
        <v>2011</v>
      </c>
      <c r="E5515" s="18" t="inlineStr">
        <is>
          <t>Rise of the Planet of the Apes</t>
        </is>
      </c>
      <c r="F5515" s="18" t="inlineStr">
        <is>
          <t>F0253</t>
        </is>
      </c>
    </row>
    <row r="5516" ht="15.75" customHeight="1" s="108">
      <c r="A5516" s="18" t="inlineStr">
        <is>
          <t>Kevin O'Grady</t>
        </is>
      </c>
      <c r="B5516" s="18" t="n">
        <v>1</v>
      </c>
      <c r="C5516" s="18" t="n">
        <v>2011</v>
      </c>
      <c r="D5516" s="18" t="n">
        <v>2011</v>
      </c>
      <c r="E5516" s="18" t="inlineStr">
        <is>
          <t>Rise of the Planet of the Apes</t>
        </is>
      </c>
      <c r="F5516" s="18" t="inlineStr">
        <is>
          <t>F0253</t>
        </is>
      </c>
    </row>
    <row r="5517" ht="15.75" customHeight="1" s="108">
      <c r="A5517" s="18" t="inlineStr">
        <is>
          <t>Sean Tyson</t>
        </is>
      </c>
      <c r="B5517" s="18" t="n">
        <v>1</v>
      </c>
      <c r="C5517" s="18" t="n">
        <v>2011</v>
      </c>
      <c r="D5517" s="18" t="n">
        <v>2011</v>
      </c>
      <c r="E5517" s="18" t="inlineStr">
        <is>
          <t>Rise of the Planet of the Apes</t>
        </is>
      </c>
      <c r="F5517" s="18" t="inlineStr">
        <is>
          <t>F0253</t>
        </is>
      </c>
    </row>
    <row r="5518" ht="15.75" customHeight="1" s="108">
      <c r="A5518" s="18" t="inlineStr">
        <is>
          <t xml:space="preserve">Anthony McRae </t>
        </is>
      </c>
      <c r="B5518" s="18" t="n">
        <v>1</v>
      </c>
      <c r="C5518" s="18" t="n">
        <v>2011</v>
      </c>
      <c r="D5518" s="18" t="n">
        <v>2011</v>
      </c>
      <c r="E5518" s="18" t="inlineStr">
        <is>
          <t>Rise of the Planet of the Apes</t>
        </is>
      </c>
      <c r="F5518" s="18" t="inlineStr">
        <is>
          <t>F0253</t>
        </is>
      </c>
    </row>
    <row r="5519" ht="15.75" customHeight="1" s="108">
      <c r="A5519" s="18" t="inlineStr">
        <is>
          <t>Jesse Reid</t>
        </is>
      </c>
      <c r="B5519" s="18" t="n">
        <v>1</v>
      </c>
      <c r="C5519" s="18" t="n">
        <v>2011</v>
      </c>
      <c r="D5519" s="18" t="n">
        <v>2011</v>
      </c>
      <c r="E5519" s="18" t="inlineStr">
        <is>
          <t>Rise of the Planet of the Apes</t>
        </is>
      </c>
      <c r="F5519" s="18" t="inlineStr">
        <is>
          <t>F0253</t>
        </is>
      </c>
    </row>
    <row r="5520" ht="15.75" customHeight="1" s="108">
      <c r="A5520" s="18" t="inlineStr">
        <is>
          <t>BJ Harrison</t>
        </is>
      </c>
      <c r="B5520" s="18" t="n">
        <v>1</v>
      </c>
      <c r="C5520" s="18" t="n">
        <v>2011</v>
      </c>
      <c r="D5520" s="18" t="n">
        <v>2011</v>
      </c>
      <c r="E5520" s="18" t="inlineStr">
        <is>
          <t>Rise of the Planet of the Apes</t>
        </is>
      </c>
      <c r="F5520" s="18" t="inlineStr">
        <is>
          <t>F0253</t>
        </is>
      </c>
    </row>
    <row r="5521" ht="15.75" customHeight="1" s="108">
      <c r="A5521" s="18" t="inlineStr">
        <is>
          <t>Leah Gibson</t>
        </is>
      </c>
      <c r="B5521" s="18" t="n">
        <v>1</v>
      </c>
      <c r="C5521" s="18" t="n">
        <v>2011</v>
      </c>
      <c r="D5521" s="18" t="n">
        <v>2011</v>
      </c>
      <c r="E5521" s="18" t="inlineStr">
        <is>
          <t>Rise of the Planet of the Apes</t>
        </is>
      </c>
      <c r="F5521" s="18" t="inlineStr">
        <is>
          <t>F0253</t>
        </is>
      </c>
    </row>
    <row r="5522" ht="15.75" customHeight="1" s="108">
      <c r="A5522" s="18" t="inlineStr">
        <is>
          <t>Tracy Spiridakos</t>
        </is>
      </c>
      <c r="B5522" s="18" t="n">
        <v>1</v>
      </c>
      <c r="C5522" s="18" t="n">
        <v>2011</v>
      </c>
      <c r="D5522" s="18" t="n">
        <v>2011</v>
      </c>
      <c r="E5522" s="18" t="inlineStr">
        <is>
          <t>Rise of the Planet of the Apes</t>
        </is>
      </c>
      <c r="F5522" s="18" t="inlineStr">
        <is>
          <t>F0253</t>
        </is>
      </c>
    </row>
    <row r="5523" ht="15.75" customHeight="1" s="108">
      <c r="A5523" s="18" t="inlineStr">
        <is>
          <t>Ivan Wanis-Ruiz</t>
        </is>
      </c>
      <c r="B5523" s="18" t="n">
        <v>1</v>
      </c>
      <c r="C5523" s="18" t="n">
        <v>2011</v>
      </c>
      <c r="D5523" s="18" t="n">
        <v>2011</v>
      </c>
      <c r="E5523" s="18" t="inlineStr">
        <is>
          <t>Rise of the Planet of the Apes</t>
        </is>
      </c>
      <c r="F5523" s="18" t="inlineStr">
        <is>
          <t>F0253</t>
        </is>
      </c>
    </row>
    <row r="5524" ht="15.75" customHeight="1" s="108">
      <c r="A5524" s="18" t="inlineStr">
        <is>
          <t>Trevor Carroll</t>
        </is>
      </c>
      <c r="B5524" s="18" t="n">
        <v>1</v>
      </c>
      <c r="C5524" s="18" t="n">
        <v>2011</v>
      </c>
      <c r="D5524" s="18" t="n">
        <v>2011</v>
      </c>
      <c r="E5524" s="18" t="inlineStr">
        <is>
          <t>Rise of the Planet of the Apes</t>
        </is>
      </c>
      <c r="F5524" s="18" t="inlineStr">
        <is>
          <t>F0253</t>
        </is>
      </c>
    </row>
    <row r="5525" ht="15.75" customHeight="1" s="108">
      <c r="A5525" s="18" t="inlineStr">
        <is>
          <t>Kodi Smit-McPhee</t>
        </is>
      </c>
      <c r="B5525" s="18" t="n">
        <v>3</v>
      </c>
      <c r="C5525" s="18" t="n">
        <v>2014</v>
      </c>
      <c r="D5525" s="18" t="n">
        <v>2022</v>
      </c>
      <c r="E5525" s="18" t="inlineStr">
        <is>
          <t>Dawn of the Planet of the Apes, X-Men: Apocalypse, X-men dark phoenix</t>
        </is>
      </c>
      <c r="F5525" s="18" t="inlineStr">
        <is>
          <t>F0254, F0342, F0380</t>
        </is>
      </c>
    </row>
    <row r="5526" ht="15.75" customHeight="1" s="108">
      <c r="A5526" s="18" t="inlineStr">
        <is>
          <t>Nick Thurston</t>
        </is>
      </c>
      <c r="B5526" s="18" t="n">
        <v>1</v>
      </c>
      <c r="C5526" s="18" t="n">
        <v>2014</v>
      </c>
      <c r="D5526" s="18" t="n">
        <v>2014</v>
      </c>
      <c r="E5526" s="18" t="inlineStr">
        <is>
          <t>Dawn of the Planet of the Apes</t>
        </is>
      </c>
      <c r="F5526" s="18" t="inlineStr">
        <is>
          <t>F0254</t>
        </is>
      </c>
    </row>
    <row r="5527" ht="15.75" customHeight="1" s="108">
      <c r="A5527" s="18" t="inlineStr">
        <is>
          <t>Doc Shaw</t>
        </is>
      </c>
      <c r="B5527" s="18" t="n">
        <v>1</v>
      </c>
      <c r="C5527" s="18" t="n">
        <v>2014</v>
      </c>
      <c r="D5527" s="18" t="n">
        <v>2014</v>
      </c>
      <c r="E5527" s="18" t="inlineStr">
        <is>
          <t>Dawn of the Planet of the Apes</t>
        </is>
      </c>
      <c r="F5527" s="18" t="inlineStr">
        <is>
          <t>F0254</t>
        </is>
      </c>
    </row>
    <row r="5528" ht="15.75" customHeight="1" s="108">
      <c r="A5528" s="18" t="inlineStr">
        <is>
          <t>Lee Ross</t>
        </is>
      </c>
      <c r="B5528" s="18" t="n">
        <v>1</v>
      </c>
      <c r="C5528" s="18" t="n">
        <v>2014</v>
      </c>
      <c r="D5528" s="18" t="n">
        <v>2014</v>
      </c>
      <c r="E5528" s="18" t="inlineStr">
        <is>
          <t>Dawn of the Planet of the Apes</t>
        </is>
      </c>
      <c r="F5528" s="18" t="inlineStr">
        <is>
          <t>F0254</t>
        </is>
      </c>
    </row>
    <row r="5529" ht="15.75" customHeight="1" s="108">
      <c r="A5529" s="18" t="inlineStr">
        <is>
          <t>Richard King</t>
        </is>
      </c>
      <c r="B5529" s="18" t="n">
        <v>1</v>
      </c>
      <c r="C5529" s="18" t="n">
        <v>2014</v>
      </c>
      <c r="D5529" s="18" t="n">
        <v>2014</v>
      </c>
      <c r="E5529" s="18" t="inlineStr">
        <is>
          <t>Dawn of the Planet of the Apes</t>
        </is>
      </c>
      <c r="F5529" s="18" t="inlineStr">
        <is>
          <t>F0254</t>
        </is>
      </c>
    </row>
    <row r="5530" ht="15.75" customHeight="1" s="108">
      <c r="A5530" s="18" t="inlineStr">
        <is>
          <t>Scott Lang</t>
        </is>
      </c>
      <c r="B5530" s="18" t="n">
        <v>1</v>
      </c>
      <c r="C5530" s="18" t="n">
        <v>2014</v>
      </c>
      <c r="D5530" s="18" t="n">
        <v>2014</v>
      </c>
      <c r="E5530" s="18" t="inlineStr">
        <is>
          <t>Dawn of the Planet of the Apes</t>
        </is>
      </c>
      <c r="F5530" s="18" t="inlineStr">
        <is>
          <t>F0254</t>
        </is>
      </c>
    </row>
    <row r="5531" ht="15.75" customHeight="1" s="108">
      <c r="A5531" s="18" t="inlineStr">
        <is>
          <t>Kirk Acevedo</t>
        </is>
      </c>
      <c r="B5531" s="18" t="n">
        <v>1</v>
      </c>
      <c r="C5531" s="18" t="n">
        <v>2014</v>
      </c>
      <c r="D5531" s="18" t="n">
        <v>2014</v>
      </c>
      <c r="E5531" s="18" t="inlineStr">
        <is>
          <t>Dawn of the Planet of the Apes</t>
        </is>
      </c>
      <c r="F5531" s="18" t="inlineStr">
        <is>
          <t>F0254</t>
        </is>
      </c>
    </row>
    <row r="5532" ht="15.75" customHeight="1" s="108">
      <c r="A5532" s="18" t="inlineStr">
        <is>
          <t>Jon Eyez</t>
        </is>
      </c>
      <c r="B5532" s="18" t="n">
        <v>1</v>
      </c>
      <c r="C5532" s="18" t="n">
        <v>2014</v>
      </c>
      <c r="D5532" s="18" t="n">
        <v>2014</v>
      </c>
      <c r="E5532" s="18" t="inlineStr">
        <is>
          <t>Dawn of the Planet of the Apes</t>
        </is>
      </c>
      <c r="F5532" s="18" t="inlineStr">
        <is>
          <t>F0254</t>
        </is>
      </c>
    </row>
    <row r="5533" ht="15.75" customHeight="1" s="108">
      <c r="A5533" s="18" t="inlineStr">
        <is>
          <t>Keir O'Donnell</t>
        </is>
      </c>
      <c r="B5533" s="18" t="n">
        <v>1</v>
      </c>
      <c r="C5533" s="18" t="n">
        <v>2014</v>
      </c>
      <c r="D5533" s="18" t="n">
        <v>2014</v>
      </c>
      <c r="E5533" s="18" t="inlineStr">
        <is>
          <t>Dawn of the Planet of the Apes</t>
        </is>
      </c>
      <c r="F5533" s="18" t="inlineStr">
        <is>
          <t>F0254</t>
        </is>
      </c>
    </row>
    <row r="5534" ht="15.75" customHeight="1" s="108">
      <c r="A5534" s="18" t="inlineStr">
        <is>
          <t>Kevin Rankin</t>
        </is>
      </c>
      <c r="B5534" s="18" t="n">
        <v>2</v>
      </c>
      <c r="C5534" s="18" t="n">
        <v>2013</v>
      </c>
      <c r="D5534" s="18" t="n">
        <v>2014</v>
      </c>
      <c r="E5534" s="18" t="inlineStr">
        <is>
          <t>Dawn of the Planet of the Apes, White House Down</t>
        </is>
      </c>
      <c r="F5534" s="18" t="inlineStr">
        <is>
          <t>F0254, F0335</t>
        </is>
      </c>
    </row>
    <row r="5535" ht="15.75" customHeight="1" s="108">
      <c r="A5535" s="18" t="inlineStr">
        <is>
          <t>Jocko Sims</t>
        </is>
      </c>
      <c r="B5535" s="18" t="n">
        <v>1</v>
      </c>
      <c r="C5535" s="18" t="n">
        <v>2014</v>
      </c>
      <c r="D5535" s="18" t="n">
        <v>2014</v>
      </c>
      <c r="E5535" s="18" t="inlineStr">
        <is>
          <t>Dawn of the Planet of the Apes</t>
        </is>
      </c>
      <c r="F5535" s="18" t="inlineStr">
        <is>
          <t>F0254</t>
        </is>
      </c>
    </row>
    <row r="5536" ht="15.75" customHeight="1" s="108">
      <c r="A5536" s="18" t="inlineStr">
        <is>
          <t>Matthew James</t>
        </is>
      </c>
      <c r="B5536" s="18" t="n">
        <v>1</v>
      </c>
      <c r="C5536" s="18" t="n">
        <v>2014</v>
      </c>
      <c r="D5536" s="18" t="n">
        <v>2014</v>
      </c>
      <c r="E5536" s="18" t="inlineStr">
        <is>
          <t>Dawn of the Planet of the Apes</t>
        </is>
      </c>
      <c r="F5536" s="18" t="inlineStr">
        <is>
          <t>F0254</t>
        </is>
      </c>
    </row>
    <row r="5537" ht="15.75" customHeight="1" s="108">
      <c r="A5537" s="18" t="inlineStr">
        <is>
          <t>Deneen Tyler</t>
        </is>
      </c>
      <c r="B5537" s="18" t="n">
        <v>1</v>
      </c>
      <c r="C5537" s="18" t="n">
        <v>2014</v>
      </c>
      <c r="D5537" s="18" t="n">
        <v>2014</v>
      </c>
      <c r="E5537" s="18" t="inlineStr">
        <is>
          <t>Dawn of the Planet of the Apes</t>
        </is>
      </c>
      <c r="F5537" s="18" t="inlineStr">
        <is>
          <t>F0254</t>
        </is>
      </c>
    </row>
    <row r="5538" ht="15.75" customHeight="1" s="108">
      <c r="A5538" s="18" t="inlineStr">
        <is>
          <t>Mike Seal</t>
        </is>
      </c>
      <c r="B5538" s="18" t="n">
        <v>1</v>
      </c>
      <c r="C5538" s="18" t="n">
        <v>2014</v>
      </c>
      <c r="D5538" s="18" t="n">
        <v>2014</v>
      </c>
      <c r="E5538" s="18" t="inlineStr">
        <is>
          <t>Dawn of the Planet of the Apes</t>
        </is>
      </c>
      <c r="F5538" s="18" t="inlineStr">
        <is>
          <t>F0254</t>
        </is>
      </c>
    </row>
    <row r="5539" ht="15.75" customHeight="1" s="108">
      <c r="A5539" s="18" t="inlineStr">
        <is>
          <t>Chase Boltin</t>
        </is>
      </c>
      <c r="B5539" s="18" t="n">
        <v>1</v>
      </c>
      <c r="C5539" s="18" t="n">
        <v>2014</v>
      </c>
      <c r="D5539" s="18" t="n">
        <v>2014</v>
      </c>
      <c r="E5539" s="18" t="inlineStr">
        <is>
          <t>Dawn of the Planet of the Apes</t>
        </is>
      </c>
      <c r="F5539" s="18" t="inlineStr">
        <is>
          <t>F0254</t>
        </is>
      </c>
    </row>
    <row r="5540" ht="15.75" customHeight="1" s="108">
      <c r="A5540" s="18" t="inlineStr">
        <is>
          <t>Amiah Miller</t>
        </is>
      </c>
      <c r="B5540" s="18" t="n">
        <v>1</v>
      </c>
      <c r="C5540" s="18" t="n">
        <v>2017</v>
      </c>
      <c r="D5540" s="18" t="n">
        <v>2017</v>
      </c>
      <c r="E5540" s="18" t="inlineStr">
        <is>
          <t>War for the Planet of the Apes</t>
        </is>
      </c>
      <c r="F5540" s="18" t="inlineStr">
        <is>
          <t>F0255</t>
        </is>
      </c>
    </row>
    <row r="5541" ht="15.75" customHeight="1" s="108">
      <c r="A5541" s="18" t="inlineStr">
        <is>
          <t>Gabriel Chavarria</t>
        </is>
      </c>
      <c r="B5541" s="18" t="n">
        <v>1</v>
      </c>
      <c r="C5541" s="18" t="n">
        <v>2017</v>
      </c>
      <c r="D5541" s="18" t="n">
        <v>2017</v>
      </c>
      <c r="E5541" s="18" t="inlineStr">
        <is>
          <t>War for the Planet of the Apes</t>
        </is>
      </c>
      <c r="F5541" s="18" t="inlineStr">
        <is>
          <t>F0255</t>
        </is>
      </c>
    </row>
    <row r="5542" ht="15.75" customHeight="1" s="108">
      <c r="A5542" s="18" t="inlineStr">
        <is>
          <t>Sara Canning</t>
        </is>
      </c>
      <c r="B5542" s="18" t="n">
        <v>1</v>
      </c>
      <c r="C5542" s="18" t="n">
        <v>2017</v>
      </c>
      <c r="D5542" s="18" t="n">
        <v>2017</v>
      </c>
      <c r="E5542" s="18" t="inlineStr">
        <is>
          <t>War for the Planet of the Apes</t>
        </is>
      </c>
      <c r="F5542" s="18" t="inlineStr">
        <is>
          <t>F0255</t>
        </is>
      </c>
    </row>
    <row r="5543" ht="15.75" customHeight="1" s="108">
      <c r="A5543" s="18" t="inlineStr">
        <is>
          <t>Aleks Paunovic</t>
        </is>
      </c>
      <c r="B5543" s="18" t="n">
        <v>1</v>
      </c>
      <c r="C5543" s="18" t="n">
        <v>2017</v>
      </c>
      <c r="D5543" s="18" t="n">
        <v>2017</v>
      </c>
      <c r="E5543" s="18" t="inlineStr">
        <is>
          <t>War for the Planet of the Apes</t>
        </is>
      </c>
      <c r="F5543" s="18" t="inlineStr">
        <is>
          <t>F0255</t>
        </is>
      </c>
    </row>
    <row r="5544" ht="15.75" customHeight="1" s="108">
      <c r="A5544" s="18" t="inlineStr">
        <is>
          <t>Alessandro Juliani</t>
        </is>
      </c>
      <c r="B5544" s="18" t="n">
        <v>1</v>
      </c>
      <c r="C5544" s="18" t="n">
        <v>2017</v>
      </c>
      <c r="D5544" s="18" t="n">
        <v>2017</v>
      </c>
      <c r="E5544" s="18" t="inlineStr">
        <is>
          <t>War for the Planet of the Apes</t>
        </is>
      </c>
      <c r="F5544" s="18" t="inlineStr">
        <is>
          <t>F0255</t>
        </is>
      </c>
    </row>
    <row r="5545" ht="15.75" customHeight="1" s="108">
      <c r="A5545" s="18" t="inlineStr">
        <is>
          <t>Max Lloyd-Jones</t>
        </is>
      </c>
      <c r="B5545" s="18" t="n">
        <v>1</v>
      </c>
      <c r="C5545" s="18" t="n">
        <v>2017</v>
      </c>
      <c r="D5545" s="18" t="n">
        <v>2017</v>
      </c>
      <c r="E5545" s="18" t="inlineStr">
        <is>
          <t>War for the Planet of the Apes</t>
        </is>
      </c>
      <c r="F5545" s="18" t="inlineStr">
        <is>
          <t>F0255</t>
        </is>
      </c>
    </row>
    <row r="5546" ht="15.75" customHeight="1" s="108">
      <c r="A5546" s="18" t="inlineStr">
        <is>
          <t>Timothy Webber</t>
        </is>
      </c>
      <c r="B5546" s="18" t="n">
        <v>1</v>
      </c>
      <c r="C5546" s="18" t="n">
        <v>2017</v>
      </c>
      <c r="D5546" s="18" t="n">
        <v>2017</v>
      </c>
      <c r="E5546" s="18" t="inlineStr">
        <is>
          <t>War for the Planet of the Apes</t>
        </is>
      </c>
      <c r="F5546" s="18" t="inlineStr">
        <is>
          <t>F0255</t>
        </is>
      </c>
    </row>
    <row r="5547" ht="15.75" customHeight="1" s="108">
      <c r="A5547" s="18" t="inlineStr">
        <is>
          <t>Lauro David Chartrand-DelValle</t>
        </is>
      </c>
      <c r="B5547" s="18" t="n">
        <v>1</v>
      </c>
      <c r="C5547" s="18" t="n">
        <v>2017</v>
      </c>
      <c r="D5547" s="18" t="n">
        <v>2017</v>
      </c>
      <c r="E5547" s="18" t="inlineStr">
        <is>
          <t>War for the Planet of the Apes</t>
        </is>
      </c>
      <c r="F5547" s="18" t="inlineStr">
        <is>
          <t>F0255</t>
        </is>
      </c>
    </row>
    <row r="5548" ht="15.75" customHeight="1" s="108">
      <c r="A5548" s="18" t="inlineStr">
        <is>
          <t>Shaun Omaid</t>
        </is>
      </c>
      <c r="B5548" s="18" t="n">
        <v>1</v>
      </c>
      <c r="C5548" s="18" t="n">
        <v>2017</v>
      </c>
      <c r="D5548" s="18" t="n">
        <v>2017</v>
      </c>
      <c r="E5548" s="18" t="inlineStr">
        <is>
          <t>War for the Planet of the Apes</t>
        </is>
      </c>
      <c r="F5548" s="18" t="inlineStr">
        <is>
          <t>F0255</t>
        </is>
      </c>
    </row>
    <row r="5549" ht="15.75" customHeight="1" s="108">
      <c r="A5549" s="18" t="inlineStr">
        <is>
          <t>Roger Cross</t>
        </is>
      </c>
      <c r="B5549" s="18" t="n">
        <v>2</v>
      </c>
      <c r="C5549" s="18" t="n">
        <v>2003</v>
      </c>
      <c r="D5549" s="18" t="n">
        <v>2017</v>
      </c>
      <c r="E5549" s="18" t="inlineStr">
        <is>
          <t>War for the Planet of the Apes, X2: X-Men United</t>
        </is>
      </c>
      <c r="F5549" s="18" t="inlineStr">
        <is>
          <t>F0255, F0345</t>
        </is>
      </c>
    </row>
    <row r="5550" ht="15.75" customHeight="1" s="108">
      <c r="A5550" s="18" t="inlineStr">
        <is>
          <t>Mercedes de la Zerda</t>
        </is>
      </c>
      <c r="B5550" s="18" t="n">
        <v>1</v>
      </c>
      <c r="C5550" s="18" t="n">
        <v>2017</v>
      </c>
      <c r="D5550" s="18" t="n">
        <v>2017</v>
      </c>
      <c r="E5550" s="18" t="inlineStr">
        <is>
          <t>War for the Planet of the Apes</t>
        </is>
      </c>
      <c r="F5550" s="18" t="inlineStr">
        <is>
          <t>F0255</t>
        </is>
      </c>
    </row>
    <row r="5551" ht="15.75" customHeight="1" s="108">
      <c r="A5551" s="18" t="inlineStr">
        <is>
          <t>Doug Chapman</t>
        </is>
      </c>
      <c r="B5551" s="18" t="n">
        <v>1</v>
      </c>
      <c r="C5551" s="18" t="n">
        <v>2017</v>
      </c>
      <c r="D5551" s="18" t="n">
        <v>2017</v>
      </c>
      <c r="E5551" s="18" t="inlineStr">
        <is>
          <t>War for the Planet of the Apes</t>
        </is>
      </c>
      <c r="F5551" s="18" t="inlineStr">
        <is>
          <t>F0255</t>
        </is>
      </c>
    </row>
    <row r="5552" ht="15.75" customHeight="1" s="108">
      <c r="A5552" s="18" t="inlineStr">
        <is>
          <t>Chad Rook</t>
        </is>
      </c>
      <c r="B5552" s="18" t="n">
        <v>1</v>
      </c>
      <c r="C5552" s="18" t="n">
        <v>2017</v>
      </c>
      <c r="D5552" s="18" t="n">
        <v>2017</v>
      </c>
      <c r="E5552" s="18" t="inlineStr">
        <is>
          <t>War for the Planet of the Apes</t>
        </is>
      </c>
      <c r="F5552" s="18" t="inlineStr">
        <is>
          <t>F0255</t>
        </is>
      </c>
    </row>
    <row r="5553" ht="15.75" customHeight="1" s="108">
      <c r="A5553" s="18" t="inlineStr">
        <is>
          <t>Dean Redman</t>
        </is>
      </c>
      <c r="B5553" s="18" t="n">
        <v>1</v>
      </c>
      <c r="C5553" s="18" t="n">
        <v>2017</v>
      </c>
      <c r="D5553" s="18" t="n">
        <v>2017</v>
      </c>
      <c r="E5553" s="18" t="inlineStr">
        <is>
          <t>War for the Planet of the Apes</t>
        </is>
      </c>
      <c r="F5553" s="18" t="inlineStr">
        <is>
          <t>F0255</t>
        </is>
      </c>
    </row>
    <row r="5554" ht="15.75" customHeight="1" s="108">
      <c r="A5554" s="18" t="inlineStr">
        <is>
          <t>Steve Baran</t>
        </is>
      </c>
      <c r="B5554" s="18" t="n">
        <v>1</v>
      </c>
      <c r="C5554" s="18" t="n">
        <v>2017</v>
      </c>
      <c r="D5554" s="18" t="n">
        <v>2017</v>
      </c>
      <c r="E5554" s="18" t="inlineStr">
        <is>
          <t>War for the Planet of the Apes</t>
        </is>
      </c>
      <c r="F5554" s="18" t="inlineStr">
        <is>
          <t>F0255</t>
        </is>
      </c>
    </row>
    <row r="5555" ht="15.75" customHeight="1" s="108">
      <c r="A5555" s="18" t="inlineStr">
        <is>
          <t>Sandy Robson</t>
        </is>
      </c>
      <c r="B5555" s="18" t="n">
        <v>1</v>
      </c>
      <c r="C5555" s="18" t="n">
        <v>2017</v>
      </c>
      <c r="D5555" s="18" t="n">
        <v>2017</v>
      </c>
      <c r="E5555" s="18" t="inlineStr">
        <is>
          <t>War for the Planet of the Apes</t>
        </is>
      </c>
      <c r="F5555" s="18" t="inlineStr">
        <is>
          <t>F0255</t>
        </is>
      </c>
    </row>
    <row r="5556" ht="15.75" customHeight="1" s="108">
      <c r="A5556" s="18" t="inlineStr">
        <is>
          <t>Levi Meaden</t>
        </is>
      </c>
      <c r="B5556" s="18" t="n">
        <v>1</v>
      </c>
      <c r="C5556" s="18" t="n">
        <v>2017</v>
      </c>
      <c r="D5556" s="18" t="n">
        <v>2017</v>
      </c>
      <c r="E5556" s="18" t="inlineStr">
        <is>
          <t>War for the Planet of the Apes</t>
        </is>
      </c>
      <c r="F5556" s="18" t="inlineStr">
        <is>
          <t>F0255</t>
        </is>
      </c>
    </row>
    <row r="5557" ht="15.75" customHeight="1" s="108">
      <c r="A5557" s="18" t="inlineStr">
        <is>
          <t>Billy Wickman</t>
        </is>
      </c>
      <c r="B5557" s="18" t="n">
        <v>1</v>
      </c>
      <c r="C5557" s="18" t="n">
        <v>2017</v>
      </c>
      <c r="D5557" s="18" t="n">
        <v>2017</v>
      </c>
      <c r="E5557" s="18" t="inlineStr">
        <is>
          <t>War for the Planet of the Apes</t>
        </is>
      </c>
      <c r="F5557" s="18" t="inlineStr">
        <is>
          <t>F0255</t>
        </is>
      </c>
    </row>
    <row r="5558" ht="15.75" customHeight="1" s="108">
      <c r="A5558" s="18" t="inlineStr">
        <is>
          <t>Albert Nicholas</t>
        </is>
      </c>
      <c r="B5558" s="18" t="n">
        <v>1</v>
      </c>
      <c r="C5558" s="18" t="n">
        <v>2017</v>
      </c>
      <c r="D5558" s="18" t="n">
        <v>2017</v>
      </c>
      <c r="E5558" s="18" t="inlineStr">
        <is>
          <t>War for the Planet of the Apes</t>
        </is>
      </c>
      <c r="F5558" s="18" t="inlineStr">
        <is>
          <t>F0255</t>
        </is>
      </c>
    </row>
    <row r="5559" ht="15.75" customHeight="1" s="108">
      <c r="A5559" s="18" t="inlineStr">
        <is>
          <t>Eka Darville</t>
        </is>
      </c>
      <c r="B5559" s="18" t="n">
        <v>1</v>
      </c>
      <c r="C5559" s="18" t="n">
        <v>2024</v>
      </c>
      <c r="D5559" s="18" t="n">
        <v>2024</v>
      </c>
      <c r="E5559" s="18" t="inlineStr">
        <is>
          <t>Kingdom of the Planet of the Apes</t>
        </is>
      </c>
      <c r="F5559" s="18" t="inlineStr">
        <is>
          <t>F0256</t>
        </is>
      </c>
    </row>
    <row r="5560" ht="15.75" customHeight="1" s="108">
      <c r="A5560" s="18" t="inlineStr">
        <is>
          <t>Travis Jeffery</t>
        </is>
      </c>
      <c r="B5560" s="18" t="n">
        <v>1</v>
      </c>
      <c r="C5560" s="18" t="n">
        <v>2024</v>
      </c>
      <c r="D5560" s="18" t="n">
        <v>2024</v>
      </c>
      <c r="E5560" s="18" t="inlineStr">
        <is>
          <t>Kingdom of the Planet of the Apes</t>
        </is>
      </c>
      <c r="F5560" s="18" t="inlineStr">
        <is>
          <t>F0256</t>
        </is>
      </c>
    </row>
    <row r="5561" ht="15.75" customHeight="1" s="108">
      <c r="A5561" s="18" t="inlineStr">
        <is>
          <t>Lydia Peckham</t>
        </is>
      </c>
      <c r="B5561" s="18" t="n">
        <v>1</v>
      </c>
      <c r="C5561" s="18" t="n">
        <v>2024</v>
      </c>
      <c r="D5561" s="18" t="n">
        <v>2024</v>
      </c>
      <c r="E5561" s="18" t="inlineStr">
        <is>
          <t>Kingdom of the Planet of the Apes</t>
        </is>
      </c>
      <c r="F5561" s="18" t="inlineStr">
        <is>
          <t>F0256</t>
        </is>
      </c>
    </row>
    <row r="5562" ht="15.75" customHeight="1" s="108">
      <c r="A5562" s="18" t="inlineStr">
        <is>
          <t>Neil Sandilands</t>
        </is>
      </c>
      <c r="B5562" s="18" t="n">
        <v>1</v>
      </c>
      <c r="C5562" s="18" t="n">
        <v>2024</v>
      </c>
      <c r="D5562" s="18" t="n">
        <v>2024</v>
      </c>
      <c r="E5562" s="18" t="inlineStr">
        <is>
          <t>Kingdom of the Planet of the Apes</t>
        </is>
      </c>
      <c r="F5562" s="18" t="inlineStr">
        <is>
          <t>F0256</t>
        </is>
      </c>
    </row>
    <row r="5563" ht="15.75" customHeight="1" s="108">
      <c r="A5563" s="18" t="inlineStr">
        <is>
          <t>Ras-Samuel Welda'abzgi</t>
        </is>
      </c>
      <c r="B5563" s="18" t="n">
        <v>1</v>
      </c>
      <c r="C5563" s="18" t="n">
        <v>2024</v>
      </c>
      <c r="D5563" s="18" t="n">
        <v>2024</v>
      </c>
      <c r="E5563" s="18" t="inlineStr">
        <is>
          <t>Kingdom of the Planet of the Apes</t>
        </is>
      </c>
      <c r="F5563" s="18" t="inlineStr">
        <is>
          <t>F0256</t>
        </is>
      </c>
    </row>
    <row r="5564" ht="15.75" customHeight="1" s="108">
      <c r="A5564" s="18" t="inlineStr">
        <is>
          <t>Sara Wiseman</t>
        </is>
      </c>
      <c r="B5564" s="18" t="n">
        <v>1</v>
      </c>
      <c r="C5564" s="18" t="n">
        <v>2024</v>
      </c>
      <c r="D5564" s="18" t="n">
        <v>2024</v>
      </c>
      <c r="E5564" s="18" t="inlineStr">
        <is>
          <t>Kingdom of the Planet of the Apes</t>
        </is>
      </c>
      <c r="F5564" s="18" t="inlineStr">
        <is>
          <t>F0256</t>
        </is>
      </c>
    </row>
    <row r="5565" ht="15.75" customHeight="1" s="108">
      <c r="A5565" s="18" t="inlineStr">
        <is>
          <t>Kaden Hartcher</t>
        </is>
      </c>
      <c r="B5565" s="18" t="n">
        <v>1</v>
      </c>
      <c r="C5565" s="18" t="n">
        <v>2024</v>
      </c>
      <c r="D5565" s="18" t="n">
        <v>2024</v>
      </c>
      <c r="E5565" s="18" t="inlineStr">
        <is>
          <t>Kingdom of the Planet of the Apes</t>
        </is>
      </c>
      <c r="F5565" s="18" t="inlineStr">
        <is>
          <t>F0256</t>
        </is>
      </c>
    </row>
    <row r="5566" ht="15.75" customHeight="1" s="108">
      <c r="A5566" s="18" t="inlineStr">
        <is>
          <t>Andy McPhee</t>
        </is>
      </c>
      <c r="B5566" s="18" t="n">
        <v>1</v>
      </c>
      <c r="C5566" s="18" t="n">
        <v>2024</v>
      </c>
      <c r="D5566" s="18" t="n">
        <v>2024</v>
      </c>
      <c r="E5566" s="18" t="inlineStr">
        <is>
          <t>Kingdom of the Planet of the Apes</t>
        </is>
      </c>
      <c r="F5566" s="18" t="inlineStr">
        <is>
          <t>F0256</t>
        </is>
      </c>
    </row>
    <row r="5567" ht="15.75" customHeight="1" s="108">
      <c r="A5567" s="18" t="inlineStr">
        <is>
          <t>Nina Gallas</t>
        </is>
      </c>
      <c r="B5567" s="18" t="n">
        <v>1</v>
      </c>
      <c r="C5567" s="18" t="n">
        <v>2024</v>
      </c>
      <c r="D5567" s="18" t="n">
        <v>2024</v>
      </c>
      <c r="E5567" s="18" t="inlineStr">
        <is>
          <t>Kingdom of the Planet of the Apes</t>
        </is>
      </c>
      <c r="F5567" s="18" t="inlineStr">
        <is>
          <t>F0256</t>
        </is>
      </c>
    </row>
    <row r="5568" ht="15.75" customHeight="1" s="108">
      <c r="A5568" s="18" t="inlineStr">
        <is>
          <t>Samuel Falé</t>
        </is>
      </c>
      <c r="B5568" s="18" t="n">
        <v>1</v>
      </c>
      <c r="C5568" s="18" t="n">
        <v>2024</v>
      </c>
      <c r="D5568" s="18" t="n">
        <v>2024</v>
      </c>
      <c r="E5568" s="18" t="inlineStr">
        <is>
          <t>Kingdom of the Planet of the Apes</t>
        </is>
      </c>
      <c r="F5568" s="18" t="inlineStr">
        <is>
          <t>F0256</t>
        </is>
      </c>
    </row>
    <row r="5569" ht="15.75" customHeight="1" s="108">
      <c r="A5569" s="18" t="inlineStr">
        <is>
          <t>Virginie Laverdure</t>
        </is>
      </c>
      <c r="B5569" s="18" t="n">
        <v>1</v>
      </c>
      <c r="C5569" s="18" t="n">
        <v>2024</v>
      </c>
      <c r="D5569" s="18" t="n">
        <v>2024</v>
      </c>
      <c r="E5569" s="18" t="inlineStr">
        <is>
          <t>Kingdom of the Planet of the Apes</t>
        </is>
      </c>
      <c r="F5569" s="18" t="inlineStr">
        <is>
          <t>F0256</t>
        </is>
      </c>
    </row>
    <row r="5570" ht="15.75" customHeight="1" s="108">
      <c r="A5570" s="18" t="inlineStr">
        <is>
          <t>Markus Hamilton</t>
        </is>
      </c>
      <c r="B5570" s="18" t="n">
        <v>1</v>
      </c>
      <c r="C5570" s="18" t="n">
        <v>2024</v>
      </c>
      <c r="D5570" s="18" t="n">
        <v>2024</v>
      </c>
      <c r="E5570" s="18" t="inlineStr">
        <is>
          <t>Kingdom of the Planet of the Apes</t>
        </is>
      </c>
      <c r="F5570" s="18" t="inlineStr">
        <is>
          <t>F0256</t>
        </is>
      </c>
    </row>
    <row r="5571" ht="15.75" customHeight="1" s="108">
      <c r="A5571" s="18" t="inlineStr">
        <is>
          <t>Benjamin Scott</t>
        </is>
      </c>
      <c r="B5571" s="18" t="n">
        <v>1</v>
      </c>
      <c r="C5571" s="18" t="n">
        <v>2024</v>
      </c>
      <c r="D5571" s="18" t="n">
        <v>2024</v>
      </c>
      <c r="E5571" s="18" t="inlineStr">
        <is>
          <t>Kingdom of the Planet of the Apes</t>
        </is>
      </c>
      <c r="F5571" s="18" t="inlineStr">
        <is>
          <t>F0256</t>
        </is>
      </c>
    </row>
    <row r="5572" ht="15.75" customHeight="1" s="108">
      <c r="A5572" s="18" t="inlineStr">
        <is>
          <t>Nirish Bhat Surambadka</t>
        </is>
      </c>
      <c r="B5572" s="18" t="n">
        <v>1</v>
      </c>
      <c r="C5572" s="18" t="n">
        <v>2024</v>
      </c>
      <c r="D5572" s="18" t="n">
        <v>2024</v>
      </c>
      <c r="E5572" s="18" t="inlineStr">
        <is>
          <t>Kingdom of the Planet of the Apes</t>
        </is>
      </c>
      <c r="F5572" s="18" t="inlineStr">
        <is>
          <t>F0256</t>
        </is>
      </c>
    </row>
    <row r="5573" ht="15.75" customHeight="1" s="108">
      <c r="A5573" s="18" t="inlineStr">
        <is>
          <t>Frances Berry</t>
        </is>
      </c>
      <c r="B5573" s="18" t="n">
        <v>1</v>
      </c>
      <c r="C5573" s="18" t="n">
        <v>2024</v>
      </c>
      <c r="D5573" s="18" t="n">
        <v>2024</v>
      </c>
      <c r="E5573" s="18" t="inlineStr">
        <is>
          <t>Kingdom of the Planet of the Apes</t>
        </is>
      </c>
      <c r="F5573" s="18" t="inlineStr">
        <is>
          <t>F0256</t>
        </is>
      </c>
    </row>
    <row r="5574" ht="15.75" customHeight="1" s="108">
      <c r="A5574" s="18" t="inlineStr">
        <is>
          <t>Peter Hayes</t>
        </is>
      </c>
      <c r="B5574" s="18" t="n">
        <v>1</v>
      </c>
      <c r="C5574" s="18" t="n">
        <v>2024</v>
      </c>
      <c r="D5574" s="18" t="n">
        <v>2024</v>
      </c>
      <c r="E5574" s="18" t="inlineStr">
        <is>
          <t>Kingdom of the Planet of the Apes</t>
        </is>
      </c>
      <c r="F5574" s="18" t="inlineStr">
        <is>
          <t>F0256</t>
        </is>
      </c>
    </row>
    <row r="5575" ht="15.75" customHeight="1" s="108">
      <c r="A5575" s="18" t="inlineStr">
        <is>
          <t>Sheree da Costa</t>
        </is>
      </c>
      <c r="B5575" s="18" t="n">
        <v>1</v>
      </c>
      <c r="C5575" s="18" t="n">
        <v>2024</v>
      </c>
      <c r="D5575" s="18" t="n">
        <v>2024</v>
      </c>
      <c r="E5575" s="18" t="inlineStr">
        <is>
          <t>Kingdom of the Planet of the Apes</t>
        </is>
      </c>
      <c r="F5575" s="18" t="inlineStr">
        <is>
          <t>F0256</t>
        </is>
      </c>
    </row>
    <row r="5576" ht="15.75" customHeight="1" s="108">
      <c r="A5576" s="18" t="inlineStr">
        <is>
          <t>Souleymane Diasse</t>
        </is>
      </c>
      <c r="B5576" s="18" t="n">
        <v>1</v>
      </c>
      <c r="C5576" s="18" t="n">
        <v>2024</v>
      </c>
      <c r="D5576" s="18" t="n">
        <v>2024</v>
      </c>
      <c r="E5576" s="18" t="inlineStr">
        <is>
          <t>Kingdom of the Planet of the Apes</t>
        </is>
      </c>
      <c r="F5576" s="18" t="inlineStr">
        <is>
          <t>F0256</t>
        </is>
      </c>
    </row>
    <row r="5577" ht="15.75" customHeight="1" s="108">
      <c r="A5577" s="18" t="inlineStr">
        <is>
          <t>Olga Miller</t>
        </is>
      </c>
      <c r="B5577" s="18" t="n">
        <v>1</v>
      </c>
      <c r="C5577" s="18" t="n">
        <v>2024</v>
      </c>
      <c r="D5577" s="18" t="n">
        <v>2024</v>
      </c>
      <c r="E5577" s="18" t="inlineStr">
        <is>
          <t>Kingdom of the Planet of the Apes</t>
        </is>
      </c>
      <c r="F5577" s="18" t="inlineStr">
        <is>
          <t>F0256</t>
        </is>
      </c>
    </row>
    <row r="5578" ht="15.75" customHeight="1" s="108">
      <c r="A5578" s="18" t="inlineStr">
        <is>
          <t>Dmitriy Miller</t>
        </is>
      </c>
      <c r="B5578" s="18" t="n">
        <v>1</v>
      </c>
      <c r="C5578" s="18" t="n">
        <v>2024</v>
      </c>
      <c r="D5578" s="18" t="n">
        <v>2024</v>
      </c>
      <c r="E5578" s="18" t="inlineStr">
        <is>
          <t>Kingdom of the Planet of the Apes</t>
        </is>
      </c>
      <c r="F5578" s="18" t="inlineStr">
        <is>
          <t>F0256</t>
        </is>
      </c>
    </row>
    <row r="5579" ht="15.75" customHeight="1" s="108">
      <c r="A5579" s="18" t="inlineStr">
        <is>
          <t>Anastasia Miller</t>
        </is>
      </c>
      <c r="B5579" s="18" t="n">
        <v>1</v>
      </c>
      <c r="C5579" s="18" t="n">
        <v>2024</v>
      </c>
      <c r="D5579" s="18" t="n">
        <v>2024</v>
      </c>
      <c r="E5579" s="18" t="inlineStr">
        <is>
          <t>Kingdom of the Planet of the Apes</t>
        </is>
      </c>
      <c r="F5579" s="18" t="inlineStr">
        <is>
          <t>F0256</t>
        </is>
      </c>
    </row>
    <row r="5580" ht="15.75" customHeight="1" s="108">
      <c r="A5580" s="18" t="inlineStr">
        <is>
          <t>Michael Spudic</t>
        </is>
      </c>
      <c r="B5580" s="18" t="n">
        <v>1</v>
      </c>
      <c r="C5580" s="18" t="n">
        <v>2024</v>
      </c>
      <c r="D5580" s="18" t="n">
        <v>2024</v>
      </c>
      <c r="E5580" s="18" t="inlineStr">
        <is>
          <t>Kingdom of the Planet of the Apes</t>
        </is>
      </c>
      <c r="F5580" s="18" t="inlineStr">
        <is>
          <t>F0256</t>
        </is>
      </c>
    </row>
    <row r="5581" ht="15.75" customHeight="1" s="108">
      <c r="A5581" s="18" t="inlineStr">
        <is>
          <t>Samantha Mahurin</t>
        </is>
      </c>
      <c r="B5581" s="18" t="n">
        <v>1</v>
      </c>
      <c r="C5581" s="18" t="n">
        <v>2006</v>
      </c>
      <c r="D5581" s="18" t="n">
        <v>2006</v>
      </c>
      <c r="E5581" s="18" t="inlineStr">
        <is>
          <t>The Prestige</t>
        </is>
      </c>
      <c r="F5581" s="18" t="inlineStr">
        <is>
          <t>F0257</t>
        </is>
      </c>
    </row>
    <row r="5582" ht="15.75" customHeight="1" s="108">
      <c r="A5582" s="18" t="inlineStr">
        <is>
          <t>David Bowie</t>
        </is>
      </c>
      <c r="B5582" s="18" t="n">
        <v>1</v>
      </c>
      <c r="C5582" s="18" t="n">
        <v>2006</v>
      </c>
      <c r="D5582" s="18" t="n">
        <v>2006</v>
      </c>
      <c r="E5582" s="18" t="inlineStr">
        <is>
          <t>The Prestige</t>
        </is>
      </c>
      <c r="F5582" s="18" t="inlineStr">
        <is>
          <t>F0257</t>
        </is>
      </c>
    </row>
    <row r="5583" ht="15.75" customHeight="1" s="108">
      <c r="A5583" s="18" t="inlineStr">
        <is>
          <t>Daniel Davis</t>
        </is>
      </c>
      <c r="B5583" s="18" t="n">
        <v>1</v>
      </c>
      <c r="C5583" s="18" t="n">
        <v>2006</v>
      </c>
      <c r="D5583" s="18" t="n">
        <v>2006</v>
      </c>
      <c r="E5583" s="18" t="inlineStr">
        <is>
          <t>The Prestige</t>
        </is>
      </c>
      <c r="F5583" s="18" t="inlineStr">
        <is>
          <t>F0257</t>
        </is>
      </c>
    </row>
    <row r="5584" ht="15.75" customHeight="1" s="108">
      <c r="A5584" s="18" t="inlineStr">
        <is>
          <t>Jim Piddock</t>
        </is>
      </c>
      <c r="B5584" s="18" t="n">
        <v>1</v>
      </c>
      <c r="C5584" s="18" t="n">
        <v>2006</v>
      </c>
      <c r="D5584" s="18" t="n">
        <v>2006</v>
      </c>
      <c r="E5584" s="18" t="inlineStr">
        <is>
          <t>The Prestige</t>
        </is>
      </c>
      <c r="F5584" s="18" t="inlineStr">
        <is>
          <t>F0257</t>
        </is>
      </c>
    </row>
    <row r="5585" ht="15.75" customHeight="1" s="108">
      <c r="A5585" s="18" t="inlineStr">
        <is>
          <t>Christopher Neame</t>
        </is>
      </c>
      <c r="B5585" s="18" t="n">
        <v>1</v>
      </c>
      <c r="C5585" s="18" t="n">
        <v>2006</v>
      </c>
      <c r="D5585" s="18" t="n">
        <v>2006</v>
      </c>
      <c r="E5585" s="18" t="inlineStr">
        <is>
          <t>The Prestige</t>
        </is>
      </c>
      <c r="F5585" s="18" t="inlineStr">
        <is>
          <t>F0257</t>
        </is>
      </c>
    </row>
    <row r="5586" ht="15.75" customHeight="1" s="108">
      <c r="A5586" s="18" t="inlineStr">
        <is>
          <t>Roger Rees</t>
        </is>
      </c>
      <c r="B5586" s="18" t="n">
        <v>1</v>
      </c>
      <c r="C5586" s="18" t="n">
        <v>2006</v>
      </c>
      <c r="D5586" s="18" t="n">
        <v>2006</v>
      </c>
      <c r="E5586" s="18" t="inlineStr">
        <is>
          <t>The Prestige</t>
        </is>
      </c>
      <c r="F5586" s="18" t="inlineStr">
        <is>
          <t>F0257</t>
        </is>
      </c>
    </row>
    <row r="5587" ht="15.75" customHeight="1" s="108">
      <c r="A5587" s="18" t="inlineStr">
        <is>
          <t>Monty Stuart</t>
        </is>
      </c>
      <c r="B5587" s="18" t="n">
        <v>1</v>
      </c>
      <c r="C5587" s="18" t="n">
        <v>2006</v>
      </c>
      <c r="D5587" s="18" t="n">
        <v>2006</v>
      </c>
      <c r="E5587" s="18" t="inlineStr">
        <is>
          <t>The Prestige</t>
        </is>
      </c>
      <c r="F5587" s="18" t="inlineStr">
        <is>
          <t>F0257</t>
        </is>
      </c>
    </row>
    <row r="5588" ht="15.75" customHeight="1" s="108">
      <c r="A5588" s="18" t="inlineStr">
        <is>
          <t>Ron Perkins</t>
        </is>
      </c>
      <c r="B5588" s="18" t="n">
        <v>2</v>
      </c>
      <c r="C5588" s="18" t="n">
        <v>2002</v>
      </c>
      <c r="D5588" s="18" t="n">
        <v>2006</v>
      </c>
      <c r="E5588" s="18" t="inlineStr">
        <is>
          <t>The Prestige, Spider-Man</t>
        </is>
      </c>
      <c r="F5588" s="18" t="inlineStr">
        <is>
          <t>F0257, F0287</t>
        </is>
      </c>
    </row>
    <row r="5589" ht="15.75" customHeight="1" s="108">
      <c r="A5589" s="18" t="inlineStr">
        <is>
          <t>Ricky Jay</t>
        </is>
      </c>
      <c r="B5589" s="18" t="n">
        <v>1</v>
      </c>
      <c r="C5589" s="18" t="n">
        <v>2006</v>
      </c>
      <c r="D5589" s="18" t="n">
        <v>2006</v>
      </c>
      <c r="E5589" s="18" t="inlineStr">
        <is>
          <t>The Prestige</t>
        </is>
      </c>
      <c r="F5589" s="18" t="inlineStr">
        <is>
          <t>F0257</t>
        </is>
      </c>
    </row>
    <row r="5590" ht="15.75" customHeight="1" s="108">
      <c r="A5590" s="18" t="inlineStr">
        <is>
          <t>J. Paul Moore</t>
        </is>
      </c>
      <c r="B5590" s="18" t="n">
        <v>1</v>
      </c>
      <c r="C5590" s="18" t="n">
        <v>2006</v>
      </c>
      <c r="D5590" s="18" t="n">
        <v>2006</v>
      </c>
      <c r="E5590" s="18" t="inlineStr">
        <is>
          <t>The Prestige</t>
        </is>
      </c>
      <c r="F5590" s="18" t="inlineStr">
        <is>
          <t>F0257</t>
        </is>
      </c>
    </row>
    <row r="5591" ht="15.75" customHeight="1" s="108">
      <c r="A5591" s="18" t="inlineStr">
        <is>
          <t>Anthony De Marco</t>
        </is>
      </c>
      <c r="B5591" s="18" t="n">
        <v>1</v>
      </c>
      <c r="C5591" s="18" t="n">
        <v>2006</v>
      </c>
      <c r="D5591" s="18" t="n">
        <v>2006</v>
      </c>
      <c r="E5591" s="18" t="inlineStr">
        <is>
          <t>The Prestige</t>
        </is>
      </c>
      <c r="F5591" s="18" t="inlineStr">
        <is>
          <t>F0257</t>
        </is>
      </c>
    </row>
    <row r="5592" ht="15.75" customHeight="1" s="108">
      <c r="A5592" s="18" t="inlineStr">
        <is>
          <t>Chao Li Chi</t>
        </is>
      </c>
      <c r="B5592" s="18" t="n">
        <v>1</v>
      </c>
      <c r="C5592" s="18" t="n">
        <v>2006</v>
      </c>
      <c r="D5592" s="18" t="n">
        <v>2006</v>
      </c>
      <c r="E5592" s="18" t="inlineStr">
        <is>
          <t>The Prestige</t>
        </is>
      </c>
      <c r="F5592" s="18" t="inlineStr">
        <is>
          <t>F0257</t>
        </is>
      </c>
    </row>
    <row r="5593" ht="15.75" customHeight="1" s="108">
      <c r="A5593" s="18" t="inlineStr">
        <is>
          <t>Gregory Humphreys</t>
        </is>
      </c>
      <c r="B5593" s="18" t="n">
        <v>1</v>
      </c>
      <c r="C5593" s="18" t="n">
        <v>2006</v>
      </c>
      <c r="D5593" s="18" t="n">
        <v>2006</v>
      </c>
      <c r="E5593" s="18" t="inlineStr">
        <is>
          <t>The Prestige</t>
        </is>
      </c>
      <c r="F5593" s="18" t="inlineStr">
        <is>
          <t>F0257</t>
        </is>
      </c>
    </row>
    <row r="5594" ht="15.75" customHeight="1" s="108">
      <c r="A5594" s="18" t="inlineStr">
        <is>
          <t>John B. Crye</t>
        </is>
      </c>
      <c r="B5594" s="18" t="n">
        <v>1</v>
      </c>
      <c r="C5594" s="18" t="n">
        <v>2006</v>
      </c>
      <c r="D5594" s="18" t="n">
        <v>2006</v>
      </c>
      <c r="E5594" s="18" t="inlineStr">
        <is>
          <t>The Prestige</t>
        </is>
      </c>
      <c r="F5594" s="18" t="inlineStr">
        <is>
          <t>F0257</t>
        </is>
      </c>
    </row>
    <row r="5595" ht="15.75" customHeight="1" s="108">
      <c r="A5595" s="18" t="inlineStr">
        <is>
          <t>William Morgan Sheppard</t>
        </is>
      </c>
      <c r="B5595" s="18" t="n">
        <v>2</v>
      </c>
      <c r="C5595" s="18" t="n">
        <v>2006</v>
      </c>
      <c r="D5595" s="18" t="n">
        <v>2007</v>
      </c>
      <c r="E5595" s="18" t="inlineStr">
        <is>
          <t>The Prestige, Transformers</t>
        </is>
      </c>
      <c r="F5595" s="18" t="inlineStr">
        <is>
          <t>F0257, F0316</t>
        </is>
      </c>
    </row>
    <row r="5596" ht="15.75" customHeight="1" s="108">
      <c r="A5596" s="18" t="inlineStr">
        <is>
          <t>Sean Howse</t>
        </is>
      </c>
      <c r="B5596" s="18" t="n">
        <v>1</v>
      </c>
      <c r="C5596" s="18" t="n">
        <v>2006</v>
      </c>
      <c r="D5596" s="18" t="n">
        <v>2006</v>
      </c>
      <c r="E5596" s="18" t="inlineStr">
        <is>
          <t>The Prestige</t>
        </is>
      </c>
      <c r="F5596" s="18" t="inlineStr">
        <is>
          <t>F0257</t>
        </is>
      </c>
    </row>
    <row r="5597" ht="15.75" customHeight="1" s="108">
      <c r="A5597" s="18" t="inlineStr">
        <is>
          <t>Julia Sanford</t>
        </is>
      </c>
      <c r="B5597" s="18" t="n">
        <v>1</v>
      </c>
      <c r="C5597" s="18" t="n">
        <v>2006</v>
      </c>
      <c r="D5597" s="18" t="n">
        <v>2006</v>
      </c>
      <c r="E5597" s="18" t="inlineStr">
        <is>
          <t>The Prestige</t>
        </is>
      </c>
      <c r="F5597" s="18" t="inlineStr">
        <is>
          <t>F0257</t>
        </is>
      </c>
    </row>
    <row r="5598" ht="15.75" customHeight="1" s="108">
      <c r="A5598" s="18" t="inlineStr">
        <is>
          <t>James Lancaster</t>
        </is>
      </c>
      <c r="B5598" s="18" t="n">
        <v>1</v>
      </c>
      <c r="C5598" s="18" t="n">
        <v>2006</v>
      </c>
      <c r="D5598" s="18" t="n">
        <v>2006</v>
      </c>
      <c r="E5598" s="18" t="inlineStr">
        <is>
          <t>The Prestige</t>
        </is>
      </c>
      <c r="F5598" s="18" t="inlineStr">
        <is>
          <t>F0257</t>
        </is>
      </c>
    </row>
    <row r="5599" ht="15.75" customHeight="1" s="108">
      <c r="A5599" s="18" t="inlineStr">
        <is>
          <t>Olivia Merg</t>
        </is>
      </c>
      <c r="B5599" s="18" t="n">
        <v>1</v>
      </c>
      <c r="C5599" s="18" t="n">
        <v>2006</v>
      </c>
      <c r="D5599" s="18" t="n">
        <v>2006</v>
      </c>
      <c r="E5599" s="18" t="inlineStr">
        <is>
          <t>The Prestige</t>
        </is>
      </c>
      <c r="F5599" s="18" t="inlineStr">
        <is>
          <t>F0257</t>
        </is>
      </c>
    </row>
    <row r="5600" ht="15.75" customHeight="1" s="108">
      <c r="A5600" s="18" t="inlineStr">
        <is>
          <t>Zoe Merg</t>
        </is>
      </c>
      <c r="B5600" s="18" t="n">
        <v>1</v>
      </c>
      <c r="C5600" s="18" t="n">
        <v>2006</v>
      </c>
      <c r="D5600" s="18" t="n">
        <v>2006</v>
      </c>
      <c r="E5600" s="18" t="inlineStr">
        <is>
          <t>The Prestige</t>
        </is>
      </c>
      <c r="F5600" s="18" t="inlineStr">
        <is>
          <t>F0257</t>
        </is>
      </c>
    </row>
    <row r="5601" ht="15.75" customHeight="1" s="108">
      <c r="A5601" s="18" t="inlineStr">
        <is>
          <t>Dylan Minnette</t>
        </is>
      </c>
      <c r="B5601" s="18" t="n">
        <v>1</v>
      </c>
      <c r="C5601" s="18" t="n">
        <v>2013</v>
      </c>
      <c r="D5601" s="18" t="n">
        <v>2013</v>
      </c>
      <c r="E5601" s="18" t="inlineStr">
        <is>
          <t>Prisoners</t>
        </is>
      </c>
      <c r="F5601" s="18" t="inlineStr">
        <is>
          <t>F0258</t>
        </is>
      </c>
    </row>
    <row r="5602" ht="15.75" customHeight="1" s="108">
      <c r="A5602" s="18" t="inlineStr">
        <is>
          <t>Zoë Soul</t>
        </is>
      </c>
      <c r="B5602" s="18" t="n">
        <v>1</v>
      </c>
      <c r="C5602" s="18" t="n">
        <v>2013</v>
      </c>
      <c r="D5602" s="18" t="n">
        <v>2013</v>
      </c>
      <c r="E5602" s="18" t="inlineStr">
        <is>
          <t>Prisoners</t>
        </is>
      </c>
      <c r="F5602" s="18" t="inlineStr">
        <is>
          <t>F0258</t>
        </is>
      </c>
    </row>
    <row r="5603" ht="15.75" customHeight="1" s="108">
      <c r="A5603" s="18" t="inlineStr">
        <is>
          <t>Kyla-Drew</t>
        </is>
      </c>
      <c r="B5603" s="18" t="n">
        <v>1</v>
      </c>
      <c r="C5603" s="18" t="n">
        <v>2013</v>
      </c>
      <c r="D5603" s="18" t="n">
        <v>2013</v>
      </c>
      <c r="E5603" s="18" t="inlineStr">
        <is>
          <t>Prisoners</t>
        </is>
      </c>
      <c r="F5603" s="18" t="inlineStr">
        <is>
          <t>F0258</t>
        </is>
      </c>
    </row>
    <row r="5604" ht="15.75" customHeight="1" s="108">
      <c r="A5604" s="18" t="inlineStr">
        <is>
          <t>Wayne Duvall</t>
        </is>
      </c>
      <c r="B5604" s="18" t="n">
        <v>2</v>
      </c>
      <c r="C5604" s="18" t="n">
        <v>2001</v>
      </c>
      <c r="D5604" s="18" t="n">
        <v>2013</v>
      </c>
      <c r="E5604" s="18" t="inlineStr">
        <is>
          <t>Prisoners, Evolution</t>
        </is>
      </c>
      <c r="F5604" s="18" t="inlineStr">
        <is>
          <t>F0258, F0381</t>
        </is>
      </c>
    </row>
    <row r="5605" ht="15.75" customHeight="1" s="108">
      <c r="A5605" s="18" t="inlineStr">
        <is>
          <t>Brad James</t>
        </is>
      </c>
      <c r="B5605" s="18" t="n">
        <v>1</v>
      </c>
      <c r="C5605" s="18" t="n">
        <v>2013</v>
      </c>
      <c r="D5605" s="18" t="n">
        <v>2013</v>
      </c>
      <c r="E5605" s="18" t="inlineStr">
        <is>
          <t>Prisoners</t>
        </is>
      </c>
      <c r="F5605" s="18" t="inlineStr">
        <is>
          <t>F0258</t>
        </is>
      </c>
    </row>
    <row r="5606" ht="15.75" customHeight="1" s="108">
      <c r="A5606" s="18" t="inlineStr">
        <is>
          <t>Victoria Staley</t>
        </is>
      </c>
      <c r="B5606" s="18" t="n">
        <v>1</v>
      </c>
      <c r="C5606" s="18" t="n">
        <v>2013</v>
      </c>
      <c r="D5606" s="18" t="n">
        <v>2013</v>
      </c>
      <c r="E5606" s="18" t="inlineStr">
        <is>
          <t>Prisoners</t>
        </is>
      </c>
      <c r="F5606" s="18" t="inlineStr">
        <is>
          <t>F0258</t>
        </is>
      </c>
    </row>
    <row r="5607" ht="15.75" customHeight="1" s="108">
      <c r="A5607" s="18" t="inlineStr">
        <is>
          <t>Todd Truley</t>
        </is>
      </c>
      <c r="B5607" s="18" t="n">
        <v>1</v>
      </c>
      <c r="C5607" s="18" t="n">
        <v>2013</v>
      </c>
      <c r="D5607" s="18" t="n">
        <v>2013</v>
      </c>
      <c r="E5607" s="18" t="inlineStr">
        <is>
          <t>Prisoners</t>
        </is>
      </c>
      <c r="F5607" s="18" t="inlineStr">
        <is>
          <t>F0258</t>
        </is>
      </c>
    </row>
    <row r="5608" ht="15.75" customHeight="1" s="108">
      <c r="A5608" s="18" t="inlineStr">
        <is>
          <t>Brian Daye</t>
        </is>
      </c>
      <c r="B5608" s="18" t="n">
        <v>1</v>
      </c>
      <c r="C5608" s="18" t="n">
        <v>2013</v>
      </c>
      <c r="D5608" s="18" t="n">
        <v>2013</v>
      </c>
      <c r="E5608" s="18" t="inlineStr">
        <is>
          <t>Prisoners</t>
        </is>
      </c>
      <c r="F5608" s="18" t="inlineStr">
        <is>
          <t>F0258</t>
        </is>
      </c>
    </row>
    <row r="5609" ht="15.75" customHeight="1" s="108">
      <c r="A5609" s="18" t="inlineStr">
        <is>
          <t>Alisa Harris</t>
        </is>
      </c>
      <c r="B5609" s="18" t="n">
        <v>1</v>
      </c>
      <c r="C5609" s="18" t="n">
        <v>2013</v>
      </c>
      <c r="D5609" s="18" t="n">
        <v>2013</v>
      </c>
      <c r="E5609" s="18" t="inlineStr">
        <is>
          <t>Prisoners</t>
        </is>
      </c>
      <c r="F5609" s="18" t="inlineStr">
        <is>
          <t>F0258</t>
        </is>
      </c>
    </row>
    <row r="5610" ht="15.75" customHeight="1" s="108">
      <c r="A5610" s="18" t="inlineStr">
        <is>
          <t>Robert Mello</t>
        </is>
      </c>
      <c r="B5610" s="18" t="n">
        <v>1</v>
      </c>
      <c r="C5610" s="18" t="n">
        <v>2013</v>
      </c>
      <c r="D5610" s="18" t="n">
        <v>2013</v>
      </c>
      <c r="E5610" s="18" t="inlineStr">
        <is>
          <t>Prisoners</t>
        </is>
      </c>
      <c r="F5610" s="18" t="inlineStr">
        <is>
          <t>F0258</t>
        </is>
      </c>
    </row>
    <row r="5611" ht="15.75" customHeight="1" s="108">
      <c r="A5611" s="18" t="inlineStr">
        <is>
          <t>Jeff Pope</t>
        </is>
      </c>
      <c r="B5611" s="18" t="n">
        <v>1</v>
      </c>
      <c r="C5611" s="18" t="n">
        <v>2013</v>
      </c>
      <c r="D5611" s="18" t="n">
        <v>2013</v>
      </c>
      <c r="E5611" s="18" t="inlineStr">
        <is>
          <t>Prisoners</t>
        </is>
      </c>
      <c r="F5611" s="18" t="inlineStr">
        <is>
          <t>F0258</t>
        </is>
      </c>
    </row>
    <row r="5612" ht="15.75" customHeight="1" s="108">
      <c r="A5612" s="18" t="inlineStr">
        <is>
          <t>Rodrick Goins</t>
        </is>
      </c>
      <c r="B5612" s="18" t="n">
        <v>1</v>
      </c>
      <c r="C5612" s="18" t="n">
        <v>2013</v>
      </c>
      <c r="D5612" s="18" t="n">
        <v>2013</v>
      </c>
      <c r="E5612" s="18" t="inlineStr">
        <is>
          <t>Prisoners</t>
        </is>
      </c>
      <c r="F5612" s="18" t="inlineStr">
        <is>
          <t>F0258</t>
        </is>
      </c>
    </row>
    <row r="5613" ht="15.75" customHeight="1" s="108">
      <c r="A5613" s="18" t="inlineStr">
        <is>
          <t>Mark Drum</t>
        </is>
      </c>
      <c r="B5613" s="18" t="n">
        <v>1</v>
      </c>
      <c r="C5613" s="18" t="n">
        <v>2013</v>
      </c>
      <c r="D5613" s="18" t="n">
        <v>2013</v>
      </c>
      <c r="E5613" s="18" t="inlineStr">
        <is>
          <t>Prisoners</t>
        </is>
      </c>
      <c r="F5613" s="18" t="inlineStr">
        <is>
          <t>F0258</t>
        </is>
      </c>
    </row>
    <row r="5614" ht="15.75" customHeight="1" s="108">
      <c r="A5614" s="18" t="inlineStr">
        <is>
          <t>Lana Yoo</t>
        </is>
      </c>
      <c r="B5614" s="18" t="n">
        <v>1</v>
      </c>
      <c r="C5614" s="18" t="n">
        <v>2013</v>
      </c>
      <c r="D5614" s="18" t="n">
        <v>2013</v>
      </c>
      <c r="E5614" s="18" t="inlineStr">
        <is>
          <t>Prisoners</t>
        </is>
      </c>
      <c r="F5614" s="18" t="inlineStr">
        <is>
          <t>F0258</t>
        </is>
      </c>
    </row>
    <row r="5615" ht="15.75" customHeight="1" s="108">
      <c r="A5615" s="18" t="inlineStr">
        <is>
          <t>Pam Smith</t>
        </is>
      </c>
      <c r="B5615" s="18" t="n">
        <v>1</v>
      </c>
      <c r="C5615" s="18" t="n">
        <v>2013</v>
      </c>
      <c r="D5615" s="18" t="n">
        <v>2013</v>
      </c>
      <c r="E5615" s="18" t="inlineStr">
        <is>
          <t>Prisoners</t>
        </is>
      </c>
      <c r="F5615" s="18" t="inlineStr">
        <is>
          <t>F0258</t>
        </is>
      </c>
    </row>
    <row r="5616" ht="15.75" customHeight="1" s="108">
      <c r="A5616" s="18" t="inlineStr">
        <is>
          <t>Gloria Webber</t>
        </is>
      </c>
      <c r="B5616" s="18" t="n">
        <v>1</v>
      </c>
      <c r="C5616" s="18" t="n">
        <v>2013</v>
      </c>
      <c r="D5616" s="18" t="n">
        <v>2013</v>
      </c>
      <c r="E5616" s="18" t="inlineStr">
        <is>
          <t>Prisoners</t>
        </is>
      </c>
      <c r="F5616" s="18" t="inlineStr">
        <is>
          <t>F0258</t>
        </is>
      </c>
    </row>
    <row r="5617" ht="15.75" customHeight="1" s="108">
      <c r="A5617" s="18" t="inlineStr">
        <is>
          <t>Michelle Keller</t>
        </is>
      </c>
      <c r="B5617" s="18" t="n">
        <v>1</v>
      </c>
      <c r="C5617" s="18" t="n">
        <v>2013</v>
      </c>
      <c r="D5617" s="18" t="n">
        <v>2013</v>
      </c>
      <c r="E5617" s="18" t="inlineStr">
        <is>
          <t>Prisoners</t>
        </is>
      </c>
      <c r="F5617" s="18" t="inlineStr">
        <is>
          <t>F0258</t>
        </is>
      </c>
    </row>
    <row r="5618" ht="15.75" customHeight="1" s="108">
      <c r="A5618" s="18" t="inlineStr">
        <is>
          <t>Logan Marshall-Green</t>
        </is>
      </c>
      <c r="B5618" s="18" t="n">
        <v>1</v>
      </c>
      <c r="C5618" s="18" t="n">
        <v>2012</v>
      </c>
      <c r="D5618" s="18" t="n">
        <v>2012</v>
      </c>
      <c r="E5618" s="18" t="inlineStr">
        <is>
          <t>Prometheus</t>
        </is>
      </c>
      <c r="F5618" s="18" t="inlineStr">
        <is>
          <t>F0259</t>
        </is>
      </c>
    </row>
    <row r="5619" ht="15.75" customHeight="1" s="108">
      <c r="A5619" s="18" t="inlineStr">
        <is>
          <t>Emun Elliott</t>
        </is>
      </c>
      <c r="B5619" s="18" t="n">
        <v>2</v>
      </c>
      <c r="C5619" s="18" t="n">
        <v>2012</v>
      </c>
      <c r="D5619" s="18" t="n">
        <v>2015</v>
      </c>
      <c r="E5619" s="18" t="inlineStr">
        <is>
          <t>Prometheus, Star Wars: The Force Awakens</t>
        </is>
      </c>
      <c r="F5619" s="18" t="inlineStr">
        <is>
          <t>F0259, F0298</t>
        </is>
      </c>
    </row>
    <row r="5620" ht="15.75" customHeight="1" s="108">
      <c r="A5620" s="18" t="inlineStr">
        <is>
          <t>Kate Dickie</t>
        </is>
      </c>
      <c r="B5620" s="18" t="n">
        <v>1</v>
      </c>
      <c r="C5620" s="18" t="n">
        <v>2012</v>
      </c>
      <c r="D5620" s="18" t="n">
        <v>2012</v>
      </c>
      <c r="E5620" s="18" t="inlineStr">
        <is>
          <t>Prometheus</t>
        </is>
      </c>
      <c r="F5620" s="18" t="inlineStr">
        <is>
          <t>F0259</t>
        </is>
      </c>
    </row>
    <row r="5621" ht="15.75" customHeight="1" s="108">
      <c r="A5621" s="18" t="inlineStr">
        <is>
          <t>Branwell Donaghey</t>
        </is>
      </c>
      <c r="B5621" s="18" t="n">
        <v>1</v>
      </c>
      <c r="C5621" s="18" t="n">
        <v>2012</v>
      </c>
      <c r="D5621" s="18" t="n">
        <v>2012</v>
      </c>
      <c r="E5621" s="18" t="inlineStr">
        <is>
          <t>Prometheus</t>
        </is>
      </c>
      <c r="F5621" s="18" t="inlineStr">
        <is>
          <t>F0259</t>
        </is>
      </c>
    </row>
    <row r="5622" ht="15.75" customHeight="1" s="108">
      <c r="A5622" s="18" t="inlineStr">
        <is>
          <t>Vladimir "Furdo" Furdik</t>
        </is>
      </c>
      <c r="B5622" s="18" t="n">
        <v>2</v>
      </c>
      <c r="C5622" s="18" t="n">
        <v>2011</v>
      </c>
      <c r="D5622" s="18" t="n">
        <v>2012</v>
      </c>
      <c r="E5622" s="18" t="inlineStr">
        <is>
          <t>Prometheus, Sherlock Holmes: A Game of Shadows</t>
        </is>
      </c>
      <c r="F5622" s="18" t="inlineStr">
        <is>
          <t>F0259, F0279</t>
        </is>
      </c>
    </row>
    <row r="5623" ht="15.75" customHeight="1" s="108">
      <c r="A5623" s="18" t="inlineStr">
        <is>
          <t>C.C. Smiff</t>
        </is>
      </c>
      <c r="B5623" s="18" t="n">
        <v>1</v>
      </c>
      <c r="C5623" s="18" t="n">
        <v>2012</v>
      </c>
      <c r="D5623" s="18" t="n">
        <v>2012</v>
      </c>
      <c r="E5623" s="18" t="inlineStr">
        <is>
          <t>Prometheus</t>
        </is>
      </c>
      <c r="F5623" s="18" t="inlineStr">
        <is>
          <t>F0259</t>
        </is>
      </c>
    </row>
    <row r="5624" ht="15.75" customHeight="1" s="108">
      <c r="A5624" s="18" t="inlineStr">
        <is>
          <t>Shane Steyn</t>
        </is>
      </c>
      <c r="B5624" s="18" t="n">
        <v>1</v>
      </c>
      <c r="C5624" s="18" t="n">
        <v>2012</v>
      </c>
      <c r="D5624" s="18" t="n">
        <v>2012</v>
      </c>
      <c r="E5624" s="18" t="inlineStr">
        <is>
          <t>Prometheus</t>
        </is>
      </c>
      <c r="F5624" s="18" t="inlineStr">
        <is>
          <t>F0259</t>
        </is>
      </c>
    </row>
    <row r="5625" ht="15.75" customHeight="1" s="108">
      <c r="A5625" s="18" t="inlineStr">
        <is>
          <t>John Lebar</t>
        </is>
      </c>
      <c r="B5625" s="18" t="n">
        <v>1</v>
      </c>
      <c r="C5625" s="18" t="n">
        <v>2012</v>
      </c>
      <c r="D5625" s="18" t="n">
        <v>2012</v>
      </c>
      <c r="E5625" s="18" t="inlineStr">
        <is>
          <t>Prometheus</t>
        </is>
      </c>
      <c r="F5625" s="18" t="inlineStr">
        <is>
          <t>F0259</t>
        </is>
      </c>
    </row>
    <row r="5626" ht="15.75" customHeight="1" s="108">
      <c r="A5626" s="18" t="inlineStr">
        <is>
          <t>Daniel James Peterson</t>
        </is>
      </c>
      <c r="B5626" s="18" t="n">
        <v>1</v>
      </c>
      <c r="C5626" s="18" t="n">
        <v>2012</v>
      </c>
      <c r="D5626" s="18" t="n">
        <v>2012</v>
      </c>
      <c r="E5626" s="18" t="inlineStr">
        <is>
          <t>Prometheus</t>
        </is>
      </c>
      <c r="F5626" s="18" t="inlineStr">
        <is>
          <t>F0259</t>
        </is>
      </c>
    </row>
    <row r="5627" ht="15.75" customHeight="1" s="108">
      <c r="A5627" s="18" t="inlineStr">
        <is>
          <t>Lucy Hutchinson</t>
        </is>
      </c>
      <c r="B5627" s="18" t="n">
        <v>1</v>
      </c>
      <c r="C5627" s="18" t="n">
        <v>2012</v>
      </c>
      <c r="D5627" s="18" t="n">
        <v>2012</v>
      </c>
      <c r="E5627" s="18" t="inlineStr">
        <is>
          <t>Prometheus</t>
        </is>
      </c>
      <c r="F5627" s="18" t="inlineStr">
        <is>
          <t>F0259</t>
        </is>
      </c>
    </row>
    <row r="5628" ht="15.75" customHeight="1" s="108">
      <c r="A5628" s="18" t="inlineStr">
        <is>
          <t>Anil Biltoo</t>
        </is>
      </c>
      <c r="B5628" s="18" t="n">
        <v>1</v>
      </c>
      <c r="C5628" s="18" t="n">
        <v>2012</v>
      </c>
      <c r="D5628" s="18" t="n">
        <v>2012</v>
      </c>
      <c r="E5628" s="18" t="inlineStr">
        <is>
          <t>Prometheus</t>
        </is>
      </c>
      <c r="F5628" s="18" t="inlineStr">
        <is>
          <t>F0259</t>
        </is>
      </c>
    </row>
    <row r="5629" ht="15.75" customHeight="1" s="108">
      <c r="A5629" s="18" t="inlineStr">
        <is>
          <t>Louisa Staples</t>
        </is>
      </c>
      <c r="B5629" s="18" t="n">
        <v>1</v>
      </c>
      <c r="C5629" s="18" t="n">
        <v>2012</v>
      </c>
      <c r="D5629" s="18" t="n">
        <v>2012</v>
      </c>
      <c r="E5629" s="18" t="inlineStr">
        <is>
          <t>Prometheus</t>
        </is>
      </c>
      <c r="F5629" s="18" t="inlineStr">
        <is>
          <t>F0259</t>
        </is>
      </c>
    </row>
    <row r="5630" ht="15.75" customHeight="1" s="108">
      <c r="A5630" s="18" t="inlineStr">
        <is>
          <t>James Embree</t>
        </is>
      </c>
      <c r="B5630" s="18" t="n">
        <v>1</v>
      </c>
      <c r="C5630" s="18" t="n">
        <v>2012</v>
      </c>
      <c r="D5630" s="18" t="n">
        <v>2012</v>
      </c>
      <c r="E5630" s="18" t="inlineStr">
        <is>
          <t>Prometheus</t>
        </is>
      </c>
      <c r="F5630" s="18" t="inlineStr">
        <is>
          <t>F0259</t>
        </is>
      </c>
    </row>
    <row r="5631" ht="15.75" customHeight="1" s="108">
      <c r="A5631" s="18" t="inlineStr">
        <is>
          <t>Florian Robin</t>
        </is>
      </c>
      <c r="B5631" s="18" t="n">
        <v>1</v>
      </c>
      <c r="C5631" s="18" t="n">
        <v>2012</v>
      </c>
      <c r="D5631" s="18" t="n">
        <v>2012</v>
      </c>
      <c r="E5631" s="18" t="inlineStr">
        <is>
          <t>Prometheus</t>
        </is>
      </c>
      <c r="F5631" s="18" t="inlineStr">
        <is>
          <t>F0259</t>
        </is>
      </c>
    </row>
    <row r="5632" ht="15.75" customHeight="1" s="108">
      <c r="A5632" s="18" t="inlineStr">
        <is>
          <t>Matthew Burgess</t>
        </is>
      </c>
      <c r="B5632" s="18" t="n">
        <v>1</v>
      </c>
      <c r="C5632" s="18" t="n">
        <v>2012</v>
      </c>
      <c r="D5632" s="18" t="n">
        <v>2012</v>
      </c>
      <c r="E5632" s="18" t="inlineStr">
        <is>
          <t>Prometheus</t>
        </is>
      </c>
      <c r="F5632" s="18" t="inlineStr">
        <is>
          <t>F0259</t>
        </is>
      </c>
    </row>
    <row r="5633" ht="15.75" customHeight="1" s="108">
      <c r="A5633" s="18" t="inlineStr">
        <is>
          <t>Eugene O'Hare</t>
        </is>
      </c>
      <c r="B5633" s="18" t="n">
        <v>1</v>
      </c>
      <c r="C5633" s="18" t="n">
        <v>2012</v>
      </c>
      <c r="D5633" s="18" t="n">
        <v>2012</v>
      </c>
      <c r="E5633" s="18" t="inlineStr">
        <is>
          <t>Prometheus</t>
        </is>
      </c>
      <c r="F5633" s="18" t="inlineStr">
        <is>
          <t>F0259</t>
        </is>
      </c>
    </row>
    <row r="5634" ht="15.75" customHeight="1" s="108">
      <c r="A5634" s="18" t="inlineStr">
        <is>
          <t>Philip McGinley</t>
        </is>
      </c>
      <c r="B5634" s="18" t="n">
        <v>1</v>
      </c>
      <c r="C5634" s="18" t="n">
        <v>2012</v>
      </c>
      <c r="D5634" s="18" t="n">
        <v>2012</v>
      </c>
      <c r="E5634" s="18" t="inlineStr">
        <is>
          <t>Prometheus</t>
        </is>
      </c>
      <c r="F5634" s="18" t="inlineStr">
        <is>
          <t>F0259</t>
        </is>
      </c>
    </row>
    <row r="5635" ht="15.75" customHeight="1" s="108">
      <c r="A5635" s="18" t="inlineStr">
        <is>
          <t>Jenny Rainsford</t>
        </is>
      </c>
      <c r="B5635" s="18" t="n">
        <v>1</v>
      </c>
      <c r="C5635" s="18" t="n">
        <v>2012</v>
      </c>
      <c r="D5635" s="18" t="n">
        <v>2012</v>
      </c>
      <c r="E5635" s="18" t="inlineStr">
        <is>
          <t>Prometheus</t>
        </is>
      </c>
      <c r="F5635" s="18" t="inlineStr">
        <is>
          <t>F0259</t>
        </is>
      </c>
    </row>
    <row r="5636" ht="15.75" customHeight="1" s="108">
      <c r="A5636" s="18" t="inlineStr">
        <is>
          <t>Dan Castellaneta</t>
        </is>
      </c>
      <c r="B5636" s="18" t="n">
        <v>1</v>
      </c>
      <c r="C5636" s="18" t="n">
        <v>2006</v>
      </c>
      <c r="D5636" s="18" t="n">
        <v>2006</v>
      </c>
      <c r="E5636" s="18" t="inlineStr">
        <is>
          <t>The Pursuit of Happyness</t>
        </is>
      </c>
      <c r="F5636" s="18" t="inlineStr">
        <is>
          <t>F0260</t>
        </is>
      </c>
    </row>
    <row r="5637" ht="15.75" customHeight="1" s="108">
      <c r="A5637" s="18" t="inlineStr">
        <is>
          <t>Kurt Fuller</t>
        </is>
      </c>
      <c r="B5637" s="18" t="n">
        <v>1</v>
      </c>
      <c r="C5637" s="18" t="n">
        <v>2006</v>
      </c>
      <c r="D5637" s="18" t="n">
        <v>2006</v>
      </c>
      <c r="E5637" s="18" t="inlineStr">
        <is>
          <t>The Pursuit of Happyness</t>
        </is>
      </c>
      <c r="F5637" s="18" t="inlineStr">
        <is>
          <t>F0260</t>
        </is>
      </c>
    </row>
    <row r="5638" ht="15.75" customHeight="1" s="108">
      <c r="A5638" s="18" t="inlineStr">
        <is>
          <t>Takayo Fischer</t>
        </is>
      </c>
      <c r="B5638" s="18" t="n">
        <v>1</v>
      </c>
      <c r="C5638" s="18" t="n">
        <v>2006</v>
      </c>
      <c r="D5638" s="18" t="n">
        <v>2006</v>
      </c>
      <c r="E5638" s="18" t="inlineStr">
        <is>
          <t>The Pursuit of Happyness</t>
        </is>
      </c>
      <c r="F5638" s="18" t="inlineStr">
        <is>
          <t>F0260</t>
        </is>
      </c>
    </row>
    <row r="5639" ht="15.75" customHeight="1" s="108">
      <c r="A5639" s="18" t="inlineStr">
        <is>
          <t>Kevin West</t>
        </is>
      </c>
      <c r="B5639" s="18" t="n">
        <v>1</v>
      </c>
      <c r="C5639" s="18" t="n">
        <v>2006</v>
      </c>
      <c r="D5639" s="18" t="n">
        <v>2006</v>
      </c>
      <c r="E5639" s="18" t="inlineStr">
        <is>
          <t>The Pursuit of Happyness</t>
        </is>
      </c>
      <c r="F5639" s="18" t="inlineStr">
        <is>
          <t>F0260</t>
        </is>
      </c>
    </row>
    <row r="5640" ht="15.75" customHeight="1" s="108">
      <c r="A5640" s="18" t="inlineStr">
        <is>
          <t>George Cheung</t>
        </is>
      </c>
      <c r="B5640" s="18" t="n">
        <v>2</v>
      </c>
      <c r="C5640" s="18" t="n">
        <v>2006</v>
      </c>
      <c r="D5640" s="18" t="n">
        <v>2007</v>
      </c>
      <c r="E5640" s="18" t="inlineStr">
        <is>
          <t>The Pursuit of Happyness, Rush Hour 3</t>
        </is>
      </c>
      <c r="F5640" s="18" t="inlineStr">
        <is>
          <t>F0260, F0271</t>
        </is>
      </c>
    </row>
    <row r="5641" ht="15.75" customHeight="1" s="108">
      <c r="A5641" s="18" t="inlineStr">
        <is>
          <t>David Michael Silverman</t>
        </is>
      </c>
      <c r="B5641" s="18" t="n">
        <v>1</v>
      </c>
      <c r="C5641" s="18" t="n">
        <v>2006</v>
      </c>
      <c r="D5641" s="18" t="n">
        <v>2006</v>
      </c>
      <c r="E5641" s="18" t="inlineStr">
        <is>
          <t>The Pursuit of Happyness</t>
        </is>
      </c>
      <c r="F5641" s="18" t="inlineStr">
        <is>
          <t>F0260</t>
        </is>
      </c>
    </row>
    <row r="5642" ht="15.75" customHeight="1" s="108">
      <c r="A5642" s="18" t="inlineStr">
        <is>
          <t>Domenic Bove</t>
        </is>
      </c>
      <c r="B5642" s="18" t="n">
        <v>1</v>
      </c>
      <c r="C5642" s="18" t="n">
        <v>2006</v>
      </c>
      <c r="D5642" s="18" t="n">
        <v>2006</v>
      </c>
      <c r="E5642" s="18" t="inlineStr">
        <is>
          <t>The Pursuit of Happyness</t>
        </is>
      </c>
      <c r="F5642" s="18" t="inlineStr">
        <is>
          <t>F0260</t>
        </is>
      </c>
    </row>
    <row r="5643" ht="15.75" customHeight="1" s="108">
      <c r="A5643" s="18" t="inlineStr">
        <is>
          <t>Geoff Callan</t>
        </is>
      </c>
      <c r="B5643" s="18" t="n">
        <v>1</v>
      </c>
      <c r="C5643" s="18" t="n">
        <v>2006</v>
      </c>
      <c r="D5643" s="18" t="n">
        <v>2006</v>
      </c>
      <c r="E5643" s="18" t="inlineStr">
        <is>
          <t>The Pursuit of Happyness</t>
        </is>
      </c>
      <c r="F5643" s="18" t="inlineStr">
        <is>
          <t>F0260</t>
        </is>
      </c>
    </row>
    <row r="5644" ht="15.75" customHeight="1" s="108">
      <c r="A5644" s="18" t="inlineStr">
        <is>
          <t>Joyful Raven</t>
        </is>
      </c>
      <c r="B5644" s="18" t="n">
        <v>1</v>
      </c>
      <c r="C5644" s="18" t="n">
        <v>2006</v>
      </c>
      <c r="D5644" s="18" t="n">
        <v>2006</v>
      </c>
      <c r="E5644" s="18" t="inlineStr">
        <is>
          <t>The Pursuit of Happyness</t>
        </is>
      </c>
      <c r="F5644" s="18" t="inlineStr">
        <is>
          <t>F0260</t>
        </is>
      </c>
    </row>
    <row r="5645" ht="15.75" customHeight="1" s="108">
      <c r="A5645" s="18" t="inlineStr">
        <is>
          <t>Scott Klace</t>
        </is>
      </c>
      <c r="B5645" s="18" t="n">
        <v>1</v>
      </c>
      <c r="C5645" s="18" t="n">
        <v>2006</v>
      </c>
      <c r="D5645" s="18" t="n">
        <v>2006</v>
      </c>
      <c r="E5645" s="18" t="inlineStr">
        <is>
          <t>The Pursuit of Happyness</t>
        </is>
      </c>
      <c r="F5645" s="18" t="inlineStr">
        <is>
          <t>F0260</t>
        </is>
      </c>
    </row>
    <row r="5646" ht="15.75" customHeight="1" s="108">
      <c r="A5646" s="18" t="inlineStr">
        <is>
          <t>Rashida Clendening</t>
        </is>
      </c>
      <c r="B5646" s="18" t="n">
        <v>1</v>
      </c>
      <c r="C5646" s="18" t="n">
        <v>2006</v>
      </c>
      <c r="D5646" s="18" t="n">
        <v>2006</v>
      </c>
      <c r="E5646" s="18" t="inlineStr">
        <is>
          <t>The Pursuit of Happyness</t>
        </is>
      </c>
      <c r="F5646" s="18" t="inlineStr">
        <is>
          <t>F0260</t>
        </is>
      </c>
    </row>
    <row r="5647" ht="15.75" customHeight="1" s="108">
      <c r="A5647" s="18" t="inlineStr">
        <is>
          <t>Eric Schniewind</t>
        </is>
      </c>
      <c r="B5647" s="18" t="n">
        <v>1</v>
      </c>
      <c r="C5647" s="18" t="n">
        <v>2006</v>
      </c>
      <c r="D5647" s="18" t="n">
        <v>2006</v>
      </c>
      <c r="E5647" s="18" t="inlineStr">
        <is>
          <t>The Pursuit of Happyness</t>
        </is>
      </c>
      <c r="F5647" s="18" t="inlineStr">
        <is>
          <t>F0260</t>
        </is>
      </c>
    </row>
    <row r="5648" ht="15.75" customHeight="1" s="108">
      <c r="A5648" s="18" t="inlineStr">
        <is>
          <t>Peter Fitzsimmons</t>
        </is>
      </c>
      <c r="B5648" s="18" t="n">
        <v>1</v>
      </c>
      <c r="C5648" s="18" t="n">
        <v>2006</v>
      </c>
      <c r="D5648" s="18" t="n">
        <v>2006</v>
      </c>
      <c r="E5648" s="18" t="inlineStr">
        <is>
          <t>The Pursuit of Happyness</t>
        </is>
      </c>
      <c r="F5648" s="18" t="inlineStr">
        <is>
          <t>F0260</t>
        </is>
      </c>
    </row>
    <row r="5649" ht="15.75" customHeight="1" s="108">
      <c r="A5649" s="18" t="inlineStr">
        <is>
          <t>Maurice Sherbanee</t>
        </is>
      </c>
      <c r="B5649" s="18" t="n">
        <v>1</v>
      </c>
      <c r="C5649" s="18" t="n">
        <v>2006</v>
      </c>
      <c r="D5649" s="18" t="n">
        <v>2006</v>
      </c>
      <c r="E5649" s="18" t="inlineStr">
        <is>
          <t>The Pursuit of Happyness</t>
        </is>
      </c>
      <c r="F5649" s="18" t="inlineStr">
        <is>
          <t>F0260</t>
        </is>
      </c>
    </row>
    <row r="5650" ht="15.75" customHeight="1" s="108">
      <c r="A5650" s="18" t="inlineStr">
        <is>
          <t>Zuhair Haddad</t>
        </is>
      </c>
      <c r="B5650" s="18" t="n">
        <v>1</v>
      </c>
      <c r="C5650" s="18" t="n">
        <v>2006</v>
      </c>
      <c r="D5650" s="18" t="n">
        <v>2006</v>
      </c>
      <c r="E5650" s="18" t="inlineStr">
        <is>
          <t>The Pursuit of Happyness</t>
        </is>
      </c>
      <c r="F5650" s="18" t="inlineStr">
        <is>
          <t>F0260</t>
        </is>
      </c>
    </row>
    <row r="5651" ht="15.75" customHeight="1" s="108">
      <c r="A5651" s="18" t="inlineStr">
        <is>
          <t>Victor Raider-Wexler</t>
        </is>
      </c>
      <c r="B5651" s="18" t="n">
        <v>1</v>
      </c>
      <c r="C5651" s="18" t="n">
        <v>2006</v>
      </c>
      <c r="D5651" s="18" t="n">
        <v>2006</v>
      </c>
      <c r="E5651" s="18" t="inlineStr">
        <is>
          <t>The Pursuit of Happyness</t>
        </is>
      </c>
      <c r="F5651" s="18" t="inlineStr">
        <is>
          <t>F0260</t>
        </is>
      </c>
    </row>
    <row r="5652" ht="15.75" customHeight="1" s="108">
      <c r="A5652" s="18" t="inlineStr">
        <is>
          <t>Mark Christopher Lawrence</t>
        </is>
      </c>
      <c r="B5652" s="18" t="n">
        <v>1</v>
      </c>
      <c r="C5652" s="18" t="n">
        <v>2006</v>
      </c>
      <c r="D5652" s="18" t="n">
        <v>2006</v>
      </c>
      <c r="E5652" s="18" t="inlineStr">
        <is>
          <t>The Pursuit of Happyness</t>
        </is>
      </c>
      <c r="F5652" s="18" t="inlineStr">
        <is>
          <t>F0260</t>
        </is>
      </c>
    </row>
    <row r="5653" ht="15.75" customHeight="1" s="108">
      <c r="A5653" s="18" t="inlineStr">
        <is>
          <t>Darryl Fong</t>
        </is>
      </c>
      <c r="B5653" s="18" t="n">
        <v>1</v>
      </c>
      <c r="C5653" s="18" t="n">
        <v>2006</v>
      </c>
      <c r="D5653" s="18" t="n">
        <v>2006</v>
      </c>
      <c r="E5653" s="18" t="inlineStr">
        <is>
          <t>The Pursuit of Happyness</t>
        </is>
      </c>
      <c r="F5653" s="18" t="inlineStr">
        <is>
          <t>F0260</t>
        </is>
      </c>
    </row>
    <row r="5654" ht="15.75" customHeight="1" s="108">
      <c r="A5654" s="18" t="inlineStr">
        <is>
          <t>Adam Del Rio</t>
        </is>
      </c>
      <c r="B5654" s="18" t="n">
        <v>1</v>
      </c>
      <c r="C5654" s="18" t="n">
        <v>2006</v>
      </c>
      <c r="D5654" s="18" t="n">
        <v>2006</v>
      </c>
      <c r="E5654" s="18" t="inlineStr">
        <is>
          <t>The Pursuit of Happyness</t>
        </is>
      </c>
      <c r="F5654" s="18" t="inlineStr">
        <is>
          <t>F0260</t>
        </is>
      </c>
    </row>
    <row r="5655" ht="15.75" customHeight="1" s="108">
      <c r="A5655" s="18" t="inlineStr">
        <is>
          <t>Rocky LaRochelle</t>
        </is>
      </c>
      <c r="B5655" s="18" t="n">
        <v>1</v>
      </c>
      <c r="C5655" s="18" t="n">
        <v>2006</v>
      </c>
      <c r="D5655" s="18" t="n">
        <v>2006</v>
      </c>
      <c r="E5655" s="18" t="inlineStr">
        <is>
          <t>The Pursuit of Happyness</t>
        </is>
      </c>
      <c r="F5655" s="18" t="inlineStr">
        <is>
          <t>F0260</t>
        </is>
      </c>
    </row>
    <row r="5656" ht="15.75" customHeight="1" s="108">
      <c r="A5656" s="18" t="inlineStr">
        <is>
          <t>Erin Beers</t>
        </is>
      </c>
      <c r="B5656" s="18" t="n">
        <v>1</v>
      </c>
      <c r="C5656" s="18" t="n">
        <v>2006</v>
      </c>
      <c r="D5656" s="18" t="n">
        <v>2006</v>
      </c>
      <c r="E5656" s="18" t="inlineStr">
        <is>
          <t>The Pursuit of Happyness</t>
        </is>
      </c>
      <c r="F5656" s="18" t="inlineStr">
        <is>
          <t>F0260</t>
        </is>
      </c>
    </row>
    <row r="5657" ht="15.75" customHeight="1" s="108">
      <c r="A5657" s="18" t="inlineStr">
        <is>
          <t>Rueben Grundy</t>
        </is>
      </c>
      <c r="B5657" s="18" t="n">
        <v>1</v>
      </c>
      <c r="C5657" s="18" t="n">
        <v>2006</v>
      </c>
      <c r="D5657" s="18" t="n">
        <v>2006</v>
      </c>
      <c r="E5657" s="18" t="inlineStr">
        <is>
          <t>The Pursuit of Happyness</t>
        </is>
      </c>
      <c r="F5657" s="18" t="inlineStr">
        <is>
          <t>F0260</t>
        </is>
      </c>
    </row>
    <row r="5658" ht="15.75" customHeight="1" s="108">
      <c r="A5658" s="18" t="inlineStr">
        <is>
          <t>Ming Lo</t>
        </is>
      </c>
      <c r="B5658" s="18" t="n">
        <v>1</v>
      </c>
      <c r="C5658" s="18" t="n">
        <v>2006</v>
      </c>
      <c r="D5658" s="18" t="n">
        <v>2006</v>
      </c>
      <c r="E5658" s="18" t="inlineStr">
        <is>
          <t>The Pursuit of Happyness</t>
        </is>
      </c>
      <c r="F5658" s="18" t="inlineStr">
        <is>
          <t>F0260</t>
        </is>
      </c>
    </row>
    <row r="5659" ht="15.75" customHeight="1" s="108">
      <c r="A5659" s="18" t="inlineStr">
        <is>
          <t>Richard Crenna</t>
        </is>
      </c>
      <c r="B5659" s="18" t="n">
        <v>1</v>
      </c>
      <c r="C5659" s="18" t="n">
        <v>2008</v>
      </c>
      <c r="D5659" s="18" t="n">
        <v>2008</v>
      </c>
      <c r="E5659" s="18" t="inlineStr">
        <is>
          <t>Rambo</t>
        </is>
      </c>
      <c r="F5659" s="18" t="inlineStr">
        <is>
          <t>F0261</t>
        </is>
      </c>
    </row>
    <row r="5660" ht="15.75" customHeight="1" s="108">
      <c r="A5660" s="18" t="inlineStr">
        <is>
          <t>Marc de Jonge</t>
        </is>
      </c>
      <c r="B5660" s="18" t="n">
        <v>1</v>
      </c>
      <c r="C5660" s="18" t="n">
        <v>2008</v>
      </c>
      <c r="D5660" s="18" t="n">
        <v>2008</v>
      </c>
      <c r="E5660" s="18" t="inlineStr">
        <is>
          <t>Rambo</t>
        </is>
      </c>
      <c r="F5660" s="18" t="inlineStr">
        <is>
          <t>F0261</t>
        </is>
      </c>
    </row>
    <row r="5661" ht="15.75" customHeight="1" s="108">
      <c r="A5661" s="18" t="inlineStr">
        <is>
          <t>Spiros Focás</t>
        </is>
      </c>
      <c r="B5661" s="18" t="n">
        <v>1</v>
      </c>
      <c r="C5661" s="18" t="n">
        <v>2008</v>
      </c>
      <c r="D5661" s="18" t="n">
        <v>2008</v>
      </c>
      <c r="E5661" s="18" t="inlineStr">
        <is>
          <t>Rambo</t>
        </is>
      </c>
      <c r="F5661" s="18" t="inlineStr">
        <is>
          <t>F0261</t>
        </is>
      </c>
    </row>
    <row r="5662" ht="15.75" customHeight="1" s="108">
      <c r="A5662" s="18" t="inlineStr">
        <is>
          <t>Sasson Gabai</t>
        </is>
      </c>
      <c r="B5662" s="18" t="n">
        <v>1</v>
      </c>
      <c r="C5662" s="18" t="n">
        <v>2008</v>
      </c>
      <c r="D5662" s="18" t="n">
        <v>2008</v>
      </c>
      <c r="E5662" s="18" t="inlineStr">
        <is>
          <t>Rambo</t>
        </is>
      </c>
      <c r="F5662" s="18" t="inlineStr">
        <is>
          <t>F0261</t>
        </is>
      </c>
    </row>
    <row r="5663" ht="15.75" customHeight="1" s="108">
      <c r="A5663" s="18" t="inlineStr">
        <is>
          <t>Doudi Shoua</t>
        </is>
      </c>
      <c r="B5663" s="18" t="n">
        <v>1</v>
      </c>
      <c r="C5663" s="18" t="n">
        <v>2008</v>
      </c>
      <c r="D5663" s="18" t="n">
        <v>2008</v>
      </c>
      <c r="E5663" s="18" t="inlineStr">
        <is>
          <t>Rambo</t>
        </is>
      </c>
      <c r="F5663" s="18" t="inlineStr">
        <is>
          <t>F0261</t>
        </is>
      </c>
    </row>
    <row r="5664" ht="15.75" customHeight="1" s="108">
      <c r="A5664" s="18" t="inlineStr">
        <is>
          <t>Randy Raney</t>
        </is>
      </c>
      <c r="B5664" s="18" t="n">
        <v>1</v>
      </c>
      <c r="C5664" s="18" t="n">
        <v>2008</v>
      </c>
      <c r="D5664" s="18" t="n">
        <v>2008</v>
      </c>
      <c r="E5664" s="18" t="inlineStr">
        <is>
          <t>Rambo</t>
        </is>
      </c>
      <c r="F5664" s="18" t="inlineStr">
        <is>
          <t>F0261</t>
        </is>
      </c>
    </row>
    <row r="5665" ht="15.75" customHeight="1" s="108">
      <c r="A5665" s="18" t="inlineStr">
        <is>
          <t>Marcus Gilbert</t>
        </is>
      </c>
      <c r="B5665" s="18" t="n">
        <v>1</v>
      </c>
      <c r="C5665" s="18" t="n">
        <v>2008</v>
      </c>
      <c r="D5665" s="18" t="n">
        <v>2008</v>
      </c>
      <c r="E5665" s="18" t="inlineStr">
        <is>
          <t>Rambo</t>
        </is>
      </c>
      <c r="F5665" s="18" t="inlineStr">
        <is>
          <t>F0261</t>
        </is>
      </c>
    </row>
    <row r="5666" ht="15.75" customHeight="1" s="108">
      <c r="A5666" s="18" t="inlineStr">
        <is>
          <t>Mahmoud Assadollahi</t>
        </is>
      </c>
      <c r="B5666" s="18" t="n">
        <v>1</v>
      </c>
      <c r="C5666" s="18" t="n">
        <v>2008</v>
      </c>
      <c r="D5666" s="18" t="n">
        <v>2008</v>
      </c>
      <c r="E5666" s="18" t="inlineStr">
        <is>
          <t>Rambo</t>
        </is>
      </c>
      <c r="F5666" s="18" t="inlineStr">
        <is>
          <t>F0261</t>
        </is>
      </c>
    </row>
    <row r="5667" ht="15.75" customHeight="1" s="108">
      <c r="A5667" s="18" t="inlineStr">
        <is>
          <t>Yosef Shiloach</t>
        </is>
      </c>
      <c r="B5667" s="18" t="n">
        <v>1</v>
      </c>
      <c r="C5667" s="18" t="n">
        <v>2008</v>
      </c>
      <c r="D5667" s="18" t="n">
        <v>2008</v>
      </c>
      <c r="E5667" s="18" t="inlineStr">
        <is>
          <t>Rambo</t>
        </is>
      </c>
      <c r="F5667" s="18" t="inlineStr">
        <is>
          <t>F0261</t>
        </is>
      </c>
    </row>
    <row r="5668" ht="15.75" customHeight="1" s="108">
      <c r="A5668" s="18" t="inlineStr">
        <is>
          <t>Harold Diamond</t>
        </is>
      </c>
      <c r="B5668" s="18" t="n">
        <v>1</v>
      </c>
      <c r="C5668" s="18" t="n">
        <v>2008</v>
      </c>
      <c r="D5668" s="18" t="n">
        <v>2008</v>
      </c>
      <c r="E5668" s="18" t="inlineStr">
        <is>
          <t>Rambo</t>
        </is>
      </c>
      <c r="F5668" s="18" t="inlineStr">
        <is>
          <t>F0261</t>
        </is>
      </c>
    </row>
    <row r="5669" ht="15.75" customHeight="1" s="108">
      <c r="A5669" s="18" t="inlineStr">
        <is>
          <t>Mati Seri</t>
        </is>
      </c>
      <c r="B5669" s="18" t="n">
        <v>1</v>
      </c>
      <c r="C5669" s="18" t="n">
        <v>2008</v>
      </c>
      <c r="D5669" s="18" t="n">
        <v>2008</v>
      </c>
      <c r="E5669" s="18" t="inlineStr">
        <is>
          <t>Rambo</t>
        </is>
      </c>
      <c r="F5669" s="18" t="inlineStr">
        <is>
          <t>F0261</t>
        </is>
      </c>
    </row>
    <row r="5670" ht="15.75" customHeight="1" s="108">
      <c r="A5670" s="18" t="inlineStr">
        <is>
          <t>Hany Said El Deen</t>
        </is>
      </c>
      <c r="B5670" s="18" t="n">
        <v>1</v>
      </c>
      <c r="C5670" s="18" t="n">
        <v>2008</v>
      </c>
      <c r="D5670" s="18" t="n">
        <v>2008</v>
      </c>
      <c r="E5670" s="18" t="inlineStr">
        <is>
          <t>Rambo</t>
        </is>
      </c>
      <c r="F5670" s="18" t="inlineStr">
        <is>
          <t>F0261</t>
        </is>
      </c>
    </row>
    <row r="5671" ht="15.75" customHeight="1" s="108">
      <c r="A5671" s="18" t="inlineStr">
        <is>
          <t>Shaby Ben-Aroya</t>
        </is>
      </c>
      <c r="B5671" s="18" t="n">
        <v>1</v>
      </c>
      <c r="C5671" s="18" t="n">
        <v>2008</v>
      </c>
      <c r="D5671" s="18" t="n">
        <v>2008</v>
      </c>
      <c r="E5671" s="18" t="inlineStr">
        <is>
          <t>Rambo</t>
        </is>
      </c>
      <c r="F5671" s="18" t="inlineStr">
        <is>
          <t>F0261</t>
        </is>
      </c>
    </row>
    <row r="5672" ht="15.75" customHeight="1" s="108">
      <c r="A5672" s="18" t="inlineStr">
        <is>
          <t>Marciano Shoshi</t>
        </is>
      </c>
      <c r="B5672" s="18" t="n">
        <v>1</v>
      </c>
      <c r="C5672" s="18" t="n">
        <v>2008</v>
      </c>
      <c r="D5672" s="18" t="n">
        <v>2008</v>
      </c>
      <c r="E5672" s="18" t="inlineStr">
        <is>
          <t>Rambo</t>
        </is>
      </c>
      <c r="F5672" s="18" t="inlineStr">
        <is>
          <t>F0261</t>
        </is>
      </c>
    </row>
    <row r="5673" ht="15.75" customHeight="1" s="108">
      <c r="A5673" s="18" t="inlineStr">
        <is>
          <t>Sadiq Tawfik</t>
        </is>
      </c>
      <c r="B5673" s="18" t="n">
        <v>1</v>
      </c>
      <c r="C5673" s="18" t="n">
        <v>2008</v>
      </c>
      <c r="D5673" s="18" t="n">
        <v>2008</v>
      </c>
      <c r="E5673" s="18" t="inlineStr">
        <is>
          <t>Rambo</t>
        </is>
      </c>
      <c r="F5673" s="18" t="inlineStr">
        <is>
          <t>F0261</t>
        </is>
      </c>
    </row>
    <row r="5674" ht="15.75" customHeight="1" s="108">
      <c r="A5674" s="18" t="inlineStr">
        <is>
          <t>Julian Patrice</t>
        </is>
      </c>
      <c r="B5674" s="18" t="n">
        <v>1</v>
      </c>
      <c r="C5674" s="18" t="n">
        <v>2008</v>
      </c>
      <c r="D5674" s="18" t="n">
        <v>2008</v>
      </c>
      <c r="E5674" s="18" t="inlineStr">
        <is>
          <t>Rambo</t>
        </is>
      </c>
      <c r="F5674" s="18" t="inlineStr">
        <is>
          <t>F0261</t>
        </is>
      </c>
    </row>
    <row r="5675" ht="15.75" customHeight="1" s="108">
      <c r="A5675" s="18" t="inlineStr">
        <is>
          <t>Tal Kastoriano</t>
        </is>
      </c>
      <c r="B5675" s="18" t="n">
        <v>1</v>
      </c>
      <c r="C5675" s="18" t="n">
        <v>2008</v>
      </c>
      <c r="D5675" s="18" t="n">
        <v>2008</v>
      </c>
      <c r="E5675" s="18" t="inlineStr">
        <is>
          <t>Rambo</t>
        </is>
      </c>
      <c r="F5675" s="18" t="inlineStr">
        <is>
          <t>F0261</t>
        </is>
      </c>
    </row>
    <row r="5676" ht="15.75" customHeight="1" s="108">
      <c r="A5676" s="18" t="inlineStr">
        <is>
          <t>Benny Bruchim</t>
        </is>
      </c>
      <c r="B5676" s="18" t="n">
        <v>1</v>
      </c>
      <c r="C5676" s="18" t="n">
        <v>2008</v>
      </c>
      <c r="D5676" s="18" t="n">
        <v>2008</v>
      </c>
      <c r="E5676" s="18" t="inlineStr">
        <is>
          <t>Rambo</t>
        </is>
      </c>
      <c r="F5676" s="18" t="inlineStr">
        <is>
          <t>F0261</t>
        </is>
      </c>
    </row>
    <row r="5677" ht="15.75" customHeight="1" s="108">
      <c r="A5677" s="18" t="inlineStr">
        <is>
          <t>Tikva Aziz</t>
        </is>
      </c>
      <c r="B5677" s="18" t="n">
        <v>1</v>
      </c>
      <c r="C5677" s="18" t="n">
        <v>2008</v>
      </c>
      <c r="D5677" s="18" t="n">
        <v>2008</v>
      </c>
      <c r="E5677" s="18" t="inlineStr">
        <is>
          <t>Rambo</t>
        </is>
      </c>
      <c r="F5677" s="18" t="inlineStr">
        <is>
          <t>F0261</t>
        </is>
      </c>
    </row>
    <row r="5678" ht="15.75" customHeight="1" s="108">
      <c r="A5678" s="18" t="inlineStr">
        <is>
          <t>Milo Rafi</t>
        </is>
      </c>
      <c r="B5678" s="18" t="n">
        <v>1</v>
      </c>
      <c r="C5678" s="18" t="n">
        <v>2008</v>
      </c>
      <c r="D5678" s="18" t="n">
        <v>2008</v>
      </c>
      <c r="E5678" s="18" t="inlineStr">
        <is>
          <t>Rambo</t>
        </is>
      </c>
      <c r="F5678" s="18" t="inlineStr">
        <is>
          <t>F0261</t>
        </is>
      </c>
    </row>
    <row r="5679" ht="15.75" customHeight="1" s="108">
      <c r="A5679" s="18" t="inlineStr">
        <is>
          <t>Clark Acton</t>
        </is>
      </c>
      <c r="B5679" s="18" t="n">
        <v>1</v>
      </c>
      <c r="C5679" s="18" t="n">
        <v>2008</v>
      </c>
      <c r="D5679" s="18" t="n">
        <v>2008</v>
      </c>
      <c r="E5679" s="18" t="inlineStr">
        <is>
          <t>Rambo</t>
        </is>
      </c>
      <c r="F5679" s="18" t="inlineStr">
        <is>
          <t>F0261</t>
        </is>
      </c>
    </row>
    <row r="5680" ht="15.75" customHeight="1" s="108">
      <c r="A5680" s="18" t="inlineStr">
        <is>
          <t>R.T. Freeman</t>
        </is>
      </c>
      <c r="B5680" s="18" t="n">
        <v>1</v>
      </c>
      <c r="C5680" s="18" t="n">
        <v>2008</v>
      </c>
      <c r="D5680" s="18" t="n">
        <v>2008</v>
      </c>
      <c r="E5680" s="18" t="inlineStr">
        <is>
          <t>Rambo</t>
        </is>
      </c>
      <c r="F5680" s="18" t="inlineStr">
        <is>
          <t>F0261</t>
        </is>
      </c>
    </row>
    <row r="5681" ht="15.75" customHeight="1" s="108">
      <c r="A5681" s="18" t="inlineStr">
        <is>
          <t>Iyad Hajjaj</t>
        </is>
      </c>
      <c r="B5681" s="18" t="n">
        <v>1</v>
      </c>
      <c r="C5681" s="18" t="n">
        <v>2008</v>
      </c>
      <c r="D5681" s="18" t="n">
        <v>2008</v>
      </c>
      <c r="E5681" s="18" t="inlineStr">
        <is>
          <t>Rambo</t>
        </is>
      </c>
      <c r="F5681" s="18" t="inlineStr">
        <is>
          <t>F0261</t>
        </is>
      </c>
    </row>
    <row r="5682" ht="15.75" customHeight="1" s="108">
      <c r="A5682" s="18" t="inlineStr">
        <is>
          <t>Paul Dion Monte</t>
        </is>
      </c>
      <c r="B5682" s="18" t="n">
        <v>1</v>
      </c>
      <c r="C5682" s="18" t="n">
        <v>2008</v>
      </c>
      <c r="D5682" s="18" t="n">
        <v>2008</v>
      </c>
      <c r="E5682" s="18" t="inlineStr">
        <is>
          <t>Rambo</t>
        </is>
      </c>
      <c r="F5682" s="18" t="inlineStr">
        <is>
          <t>F0261</t>
        </is>
      </c>
    </row>
    <row r="5683" ht="15.75" customHeight="1" s="108">
      <c r="A5683" s="18" t="inlineStr">
        <is>
          <t>Mic Rodgers</t>
        </is>
      </c>
      <c r="B5683" s="18" t="n">
        <v>1</v>
      </c>
      <c r="C5683" s="18" t="n">
        <v>2008</v>
      </c>
      <c r="D5683" s="18" t="n">
        <v>2008</v>
      </c>
      <c r="E5683" s="18" t="inlineStr">
        <is>
          <t>Rambo</t>
        </is>
      </c>
      <c r="F5683" s="18" t="inlineStr">
        <is>
          <t>F0261</t>
        </is>
      </c>
    </row>
    <row r="5684" ht="15.75" customHeight="1" s="108">
      <c r="A5684" s="18" t="inlineStr">
        <is>
          <t>Richard Dreyfuss</t>
        </is>
      </c>
      <c r="B5684" s="18" t="n">
        <v>1</v>
      </c>
      <c r="C5684" s="18" t="n">
        <v>2010</v>
      </c>
      <c r="D5684" s="18" t="n">
        <v>2010</v>
      </c>
      <c r="E5684" s="18" t="inlineStr">
        <is>
          <t>RED</t>
        </is>
      </c>
      <c r="F5684" s="18" t="inlineStr">
        <is>
          <t>F0262</t>
        </is>
      </c>
    </row>
    <row r="5685" ht="15.75" customHeight="1" s="108">
      <c r="A5685" s="18" t="inlineStr">
        <is>
          <t>Rebecca Pidgeon</t>
        </is>
      </c>
      <c r="B5685" s="18" t="n">
        <v>1</v>
      </c>
      <c r="C5685" s="18" t="n">
        <v>2010</v>
      </c>
      <c r="D5685" s="18" t="n">
        <v>2010</v>
      </c>
      <c r="E5685" s="18" t="inlineStr">
        <is>
          <t>RED</t>
        </is>
      </c>
      <c r="F5685" s="18" t="inlineStr">
        <is>
          <t>F0262</t>
        </is>
      </c>
    </row>
    <row r="5686" ht="15.75" customHeight="1" s="108">
      <c r="A5686" s="18" t="inlineStr">
        <is>
          <t>Julian McMahon</t>
        </is>
      </c>
      <c r="B5686" s="18" t="n">
        <v>1</v>
      </c>
      <c r="C5686" s="18" t="n">
        <v>2010</v>
      </c>
      <c r="D5686" s="18" t="n">
        <v>2010</v>
      </c>
      <c r="E5686" s="18" t="inlineStr">
        <is>
          <t>RED</t>
        </is>
      </c>
      <c r="F5686" s="18" t="inlineStr">
        <is>
          <t>F0262</t>
        </is>
      </c>
    </row>
    <row r="5687" ht="15.75" customHeight="1" s="108">
      <c r="A5687" s="18" t="inlineStr">
        <is>
          <t>Ernest Borgnine</t>
        </is>
      </c>
      <c r="B5687" s="18" t="n">
        <v>1</v>
      </c>
      <c r="C5687" s="18" t="n">
        <v>2010</v>
      </c>
      <c r="D5687" s="18" t="n">
        <v>2010</v>
      </c>
      <c r="E5687" s="18" t="inlineStr">
        <is>
          <t>RED</t>
        </is>
      </c>
      <c r="F5687" s="18" t="inlineStr">
        <is>
          <t>F0262</t>
        </is>
      </c>
    </row>
    <row r="5688" ht="15.75" customHeight="1" s="108">
      <c r="A5688" s="18" t="inlineStr">
        <is>
          <t>Heidi von Palleske</t>
        </is>
      </c>
      <c r="B5688" s="18" t="n">
        <v>1</v>
      </c>
      <c r="C5688" s="18" t="n">
        <v>2010</v>
      </c>
      <c r="D5688" s="18" t="n">
        <v>2010</v>
      </c>
      <c r="E5688" s="18" t="inlineStr">
        <is>
          <t>RED</t>
        </is>
      </c>
      <c r="F5688" s="18" t="inlineStr">
        <is>
          <t>F0262</t>
        </is>
      </c>
    </row>
    <row r="5689" ht="15.75" customHeight="1" s="108">
      <c r="A5689" s="18" t="inlineStr">
        <is>
          <t>Jefferson Brown</t>
        </is>
      </c>
      <c r="B5689" s="18" t="n">
        <v>1</v>
      </c>
      <c r="C5689" s="18" t="n">
        <v>2010</v>
      </c>
      <c r="D5689" s="18" t="n">
        <v>2010</v>
      </c>
      <c r="E5689" s="18" t="inlineStr">
        <is>
          <t>RED</t>
        </is>
      </c>
      <c r="F5689" s="18" t="inlineStr">
        <is>
          <t>F0262</t>
        </is>
      </c>
    </row>
    <row r="5690" ht="15.75" customHeight="1" s="108">
      <c r="A5690" s="18" t="inlineStr">
        <is>
          <t>Chris Owens</t>
        </is>
      </c>
      <c r="B5690" s="18" t="n">
        <v>1</v>
      </c>
      <c r="C5690" s="18" t="n">
        <v>2010</v>
      </c>
      <c r="D5690" s="18" t="n">
        <v>2010</v>
      </c>
      <c r="E5690" s="18" t="inlineStr">
        <is>
          <t>RED</t>
        </is>
      </c>
      <c r="F5690" s="18" t="inlineStr">
        <is>
          <t>F0262</t>
        </is>
      </c>
    </row>
    <row r="5691" ht="15.75" customHeight="1" s="108">
      <c r="A5691" s="18" t="inlineStr">
        <is>
          <t>Jaqueline Fleming</t>
        </is>
      </c>
      <c r="B5691" s="18" t="n">
        <v>1</v>
      </c>
      <c r="C5691" s="18" t="n">
        <v>2010</v>
      </c>
      <c r="D5691" s="18" t="n">
        <v>2010</v>
      </c>
      <c r="E5691" s="18" t="inlineStr">
        <is>
          <t>RED</t>
        </is>
      </c>
      <c r="F5691" s="18" t="inlineStr">
        <is>
          <t>F0262</t>
        </is>
      </c>
    </row>
    <row r="5692" ht="15.75" customHeight="1" s="108">
      <c r="A5692" s="18" t="inlineStr">
        <is>
          <t>Randy Wade Kelley</t>
        </is>
      </c>
      <c r="B5692" s="18" t="n">
        <v>1</v>
      </c>
      <c r="C5692" s="18" t="n">
        <v>2010</v>
      </c>
      <c r="D5692" s="18" t="n">
        <v>2010</v>
      </c>
      <c r="E5692" s="18" t="inlineStr">
        <is>
          <t>RED</t>
        </is>
      </c>
      <c r="F5692" s="18" t="inlineStr">
        <is>
          <t>F0262</t>
        </is>
      </c>
    </row>
    <row r="5693" ht="15.75" customHeight="1" s="108">
      <c r="A5693" s="18" t="inlineStr">
        <is>
          <t>Jason Giuliano</t>
        </is>
      </c>
      <c r="B5693" s="18" t="n">
        <v>1</v>
      </c>
      <c r="C5693" s="18" t="n">
        <v>2010</v>
      </c>
      <c r="D5693" s="18" t="n">
        <v>2010</v>
      </c>
      <c r="E5693" s="18" t="inlineStr">
        <is>
          <t>RED</t>
        </is>
      </c>
      <c r="F5693" s="18" t="inlineStr">
        <is>
          <t>F0262</t>
        </is>
      </c>
    </row>
    <row r="5694" ht="15.75" customHeight="1" s="108">
      <c r="A5694" s="18" t="inlineStr">
        <is>
          <t>Alec Rayme</t>
        </is>
      </c>
      <c r="B5694" s="18" t="n">
        <v>1</v>
      </c>
      <c r="C5694" s="18" t="n">
        <v>2010</v>
      </c>
      <c r="D5694" s="18" t="n">
        <v>2010</v>
      </c>
      <c r="E5694" s="18" t="inlineStr">
        <is>
          <t>RED</t>
        </is>
      </c>
      <c r="F5694" s="18" t="inlineStr">
        <is>
          <t>F0262</t>
        </is>
      </c>
    </row>
    <row r="5695" ht="15.75" customHeight="1" s="108">
      <c r="A5695" s="18" t="inlineStr">
        <is>
          <t>Lawrence Turner</t>
        </is>
      </c>
      <c r="B5695" s="18" t="n">
        <v>1</v>
      </c>
      <c r="C5695" s="18" t="n">
        <v>2010</v>
      </c>
      <c r="D5695" s="18" t="n">
        <v>2010</v>
      </c>
      <c r="E5695" s="18" t="inlineStr">
        <is>
          <t>RED</t>
        </is>
      </c>
      <c r="F5695" s="18" t="inlineStr">
        <is>
          <t>F0262</t>
        </is>
      </c>
    </row>
    <row r="5696" ht="15.75" customHeight="1" s="108">
      <c r="A5696" s="18" t="inlineStr">
        <is>
          <t>Emily Kuroda</t>
        </is>
      </c>
      <c r="B5696" s="18" t="n">
        <v>1</v>
      </c>
      <c r="C5696" s="18" t="n">
        <v>2010</v>
      </c>
      <c r="D5696" s="18" t="n">
        <v>2010</v>
      </c>
      <c r="E5696" s="18" t="inlineStr">
        <is>
          <t>RED</t>
        </is>
      </c>
      <c r="F5696" s="18" t="inlineStr">
        <is>
          <t>F0262</t>
        </is>
      </c>
    </row>
    <row r="5697" ht="15.75" customHeight="1" s="108">
      <c r="A5697" s="18" t="inlineStr">
        <is>
          <t>Tara Yelland</t>
        </is>
      </c>
      <c r="B5697" s="18" t="n">
        <v>1</v>
      </c>
      <c r="C5697" s="18" t="n">
        <v>2010</v>
      </c>
      <c r="D5697" s="18" t="n">
        <v>2010</v>
      </c>
      <c r="E5697" s="18" t="inlineStr">
        <is>
          <t>RED</t>
        </is>
      </c>
      <c r="F5697" s="18" t="inlineStr">
        <is>
          <t>F0262</t>
        </is>
      </c>
    </row>
    <row r="5698" ht="15.75" customHeight="1" s="108">
      <c r="A5698" s="18" t="inlineStr">
        <is>
          <t>Audrey Wasilewski</t>
        </is>
      </c>
      <c r="B5698" s="18" t="n">
        <v>1</v>
      </c>
      <c r="C5698" s="18" t="n">
        <v>2010</v>
      </c>
      <c r="D5698" s="18" t="n">
        <v>2010</v>
      </c>
      <c r="E5698" s="18" t="inlineStr">
        <is>
          <t>RED</t>
        </is>
      </c>
      <c r="F5698" s="18" t="inlineStr">
        <is>
          <t>F0262</t>
        </is>
      </c>
    </row>
    <row r="5699" ht="15.75" customHeight="1" s="108">
      <c r="A5699" s="18" t="inlineStr">
        <is>
          <t>Dmitry Chepovetsky</t>
        </is>
      </c>
      <c r="B5699" s="18" t="n">
        <v>1</v>
      </c>
      <c r="C5699" s="18" t="n">
        <v>2010</v>
      </c>
      <c r="D5699" s="18" t="n">
        <v>2010</v>
      </c>
      <c r="E5699" s="18" t="inlineStr">
        <is>
          <t>RED</t>
        </is>
      </c>
      <c r="F5699" s="18" t="inlineStr">
        <is>
          <t>F0262</t>
        </is>
      </c>
    </row>
    <row r="5700" ht="15.75" customHeight="1" s="108">
      <c r="A5700" s="18" t="inlineStr">
        <is>
          <t>Matthew Olver</t>
        </is>
      </c>
      <c r="B5700" s="18" t="n">
        <v>1</v>
      </c>
      <c r="C5700" s="18" t="n">
        <v>2010</v>
      </c>
      <c r="D5700" s="18" t="n">
        <v>2010</v>
      </c>
      <c r="E5700" s="18" t="inlineStr">
        <is>
          <t>RED</t>
        </is>
      </c>
      <c r="F5700" s="18" t="inlineStr">
        <is>
          <t>F0262</t>
        </is>
      </c>
    </row>
    <row r="5701" ht="15.75" customHeight="1" s="108">
      <c r="A5701" s="18" t="inlineStr">
        <is>
          <t>Jason Weinberg</t>
        </is>
      </c>
      <c r="B5701" s="18" t="n">
        <v>1</v>
      </c>
      <c r="C5701" s="18" t="n">
        <v>2010</v>
      </c>
      <c r="D5701" s="18" t="n">
        <v>2010</v>
      </c>
      <c r="E5701" s="18" t="inlineStr">
        <is>
          <t>RED</t>
        </is>
      </c>
      <c r="F5701" s="18" t="inlineStr">
        <is>
          <t>F0262</t>
        </is>
      </c>
    </row>
    <row r="5702" ht="15.75" customHeight="1" s="108">
      <c r="A5702" s="18" t="inlineStr">
        <is>
          <t>Tony De Santis</t>
        </is>
      </c>
      <c r="B5702" s="18" t="n">
        <v>1</v>
      </c>
      <c r="C5702" s="18" t="n">
        <v>2010</v>
      </c>
      <c r="D5702" s="18" t="n">
        <v>2010</v>
      </c>
      <c r="E5702" s="18" t="inlineStr">
        <is>
          <t>RED</t>
        </is>
      </c>
      <c r="F5702" s="18" t="inlineStr">
        <is>
          <t>F0262</t>
        </is>
      </c>
    </row>
    <row r="5703" ht="15.75" customHeight="1" s="108">
      <c r="A5703" s="18" t="inlineStr">
        <is>
          <t>Greg Bryk</t>
        </is>
      </c>
      <c r="B5703" s="18" t="n">
        <v>1</v>
      </c>
      <c r="C5703" s="18" t="n">
        <v>2010</v>
      </c>
      <c r="D5703" s="18" t="n">
        <v>2010</v>
      </c>
      <c r="E5703" s="18" t="inlineStr">
        <is>
          <t>RED</t>
        </is>
      </c>
      <c r="F5703" s="18" t="inlineStr">
        <is>
          <t>F0262</t>
        </is>
      </c>
    </row>
    <row r="5704" ht="15.75" customHeight="1" s="108">
      <c r="A5704" s="18" t="inlineStr">
        <is>
          <t>Scott Moutter</t>
        </is>
      </c>
      <c r="B5704" s="18" t="n">
        <v>1</v>
      </c>
      <c r="C5704" s="18" t="n">
        <v>2002</v>
      </c>
      <c r="D5704" s="18" t="n">
        <v>2002</v>
      </c>
      <c r="E5704" s="18" t="inlineStr">
        <is>
          <t>Reign of Fire</t>
        </is>
      </c>
      <c r="F5704" s="18" t="inlineStr">
        <is>
          <t>F0263</t>
        </is>
      </c>
    </row>
    <row r="5705" ht="15.75" customHeight="1" s="108">
      <c r="A5705" s="18" t="inlineStr">
        <is>
          <t>David Kennedy</t>
        </is>
      </c>
      <c r="B5705" s="18" t="n">
        <v>1</v>
      </c>
      <c r="C5705" s="18" t="n">
        <v>2002</v>
      </c>
      <c r="D5705" s="18" t="n">
        <v>2002</v>
      </c>
      <c r="E5705" s="18" t="inlineStr">
        <is>
          <t>Reign of Fire</t>
        </is>
      </c>
      <c r="F5705" s="18" t="inlineStr">
        <is>
          <t>F0263</t>
        </is>
      </c>
    </row>
    <row r="5706" ht="15.75" customHeight="1" s="108">
      <c r="A5706" s="18" t="inlineStr">
        <is>
          <t>Ned Dennehy</t>
        </is>
      </c>
      <c r="B5706" s="18" t="n">
        <v>1</v>
      </c>
      <c r="C5706" s="18" t="n">
        <v>2002</v>
      </c>
      <c r="D5706" s="18" t="n">
        <v>2002</v>
      </c>
      <c r="E5706" s="18" t="inlineStr">
        <is>
          <t>Reign of Fire</t>
        </is>
      </c>
      <c r="F5706" s="18" t="inlineStr">
        <is>
          <t>F0263</t>
        </is>
      </c>
    </row>
    <row r="5707" ht="15.75" customHeight="1" s="108">
      <c r="A5707" s="18" t="inlineStr">
        <is>
          <t>Terence Maynard</t>
        </is>
      </c>
      <c r="B5707" s="18" t="n">
        <v>1</v>
      </c>
      <c r="C5707" s="18" t="n">
        <v>2002</v>
      </c>
      <c r="D5707" s="18" t="n">
        <v>2002</v>
      </c>
      <c r="E5707" s="18" t="inlineStr">
        <is>
          <t>Reign of Fire</t>
        </is>
      </c>
      <c r="F5707" s="18" t="inlineStr">
        <is>
          <t>F0263</t>
        </is>
      </c>
    </row>
    <row r="5708" ht="15.75" customHeight="1" s="108">
      <c r="A5708" s="18" t="inlineStr">
        <is>
          <t>Doug Cockle</t>
        </is>
      </c>
      <c r="B5708" s="18" t="n">
        <v>1</v>
      </c>
      <c r="C5708" s="18" t="n">
        <v>2002</v>
      </c>
      <c r="D5708" s="18" t="n">
        <v>2002</v>
      </c>
      <c r="E5708" s="18" t="inlineStr">
        <is>
          <t>Reign of Fire</t>
        </is>
      </c>
      <c r="F5708" s="18" t="inlineStr">
        <is>
          <t>F0263</t>
        </is>
      </c>
    </row>
    <row r="5709" ht="15.75" customHeight="1" s="108">
      <c r="A5709" s="18" t="inlineStr">
        <is>
          <t>Randall Carlton</t>
        </is>
      </c>
      <c r="B5709" s="18" t="n">
        <v>1</v>
      </c>
      <c r="C5709" s="18" t="n">
        <v>2002</v>
      </c>
      <c r="D5709" s="18" t="n">
        <v>2002</v>
      </c>
      <c r="E5709" s="18" t="inlineStr">
        <is>
          <t>Reign of Fire</t>
        </is>
      </c>
      <c r="F5709" s="18" t="inlineStr">
        <is>
          <t>F0263</t>
        </is>
      </c>
    </row>
    <row r="5710" ht="15.75" customHeight="1" s="108">
      <c r="A5710" s="18" t="inlineStr">
        <is>
          <t>Ben Thornton</t>
        </is>
      </c>
      <c r="B5710" s="18" t="n">
        <v>1</v>
      </c>
      <c r="C5710" s="18" t="n">
        <v>2002</v>
      </c>
      <c r="D5710" s="18" t="n">
        <v>2002</v>
      </c>
      <c r="E5710" s="18" t="inlineStr">
        <is>
          <t>Reign of Fire</t>
        </is>
      </c>
      <c r="F5710" s="18" t="inlineStr">
        <is>
          <t>F0263</t>
        </is>
      </c>
    </row>
    <row r="5711" ht="15.75" customHeight="1" s="108">
      <c r="A5711" s="18" t="inlineStr">
        <is>
          <t>Alice Krige</t>
        </is>
      </c>
      <c r="B5711" s="18" t="n">
        <v>1</v>
      </c>
      <c r="C5711" s="18" t="n">
        <v>2002</v>
      </c>
      <c r="D5711" s="18" t="n">
        <v>2002</v>
      </c>
      <c r="E5711" s="18" t="inlineStr">
        <is>
          <t>Reign of Fire</t>
        </is>
      </c>
      <c r="F5711" s="18" t="inlineStr">
        <is>
          <t>F0263</t>
        </is>
      </c>
    </row>
    <row r="5712" ht="15.75" customHeight="1" s="108">
      <c r="A5712" s="18" t="inlineStr">
        <is>
          <t>Malcolm Douglas</t>
        </is>
      </c>
      <c r="B5712" s="18" t="n">
        <v>1</v>
      </c>
      <c r="C5712" s="18" t="n">
        <v>2002</v>
      </c>
      <c r="D5712" s="18" t="n">
        <v>2002</v>
      </c>
      <c r="E5712" s="18" t="inlineStr">
        <is>
          <t>Reign of Fire</t>
        </is>
      </c>
      <c r="F5712" s="18" t="inlineStr">
        <is>
          <t>F0263</t>
        </is>
      </c>
    </row>
    <row r="5713" ht="15.75" customHeight="1" s="108">
      <c r="A5713" s="18" t="inlineStr">
        <is>
          <t>Berts Folan</t>
        </is>
      </c>
      <c r="B5713" s="18" t="n">
        <v>1</v>
      </c>
      <c r="C5713" s="18" t="n">
        <v>2002</v>
      </c>
      <c r="D5713" s="18" t="n">
        <v>2002</v>
      </c>
      <c r="E5713" s="18" t="inlineStr">
        <is>
          <t>Reign of Fire</t>
        </is>
      </c>
      <c r="F5713" s="18" t="inlineStr">
        <is>
          <t>F0263</t>
        </is>
      </c>
    </row>
    <row r="5714" ht="15.75" customHeight="1" s="108">
      <c r="A5714" s="18" t="inlineStr">
        <is>
          <t>Brian McGuinness</t>
        </is>
      </c>
      <c r="B5714" s="18" t="n">
        <v>1</v>
      </c>
      <c r="C5714" s="18" t="n">
        <v>2002</v>
      </c>
      <c r="D5714" s="18" t="n">
        <v>2002</v>
      </c>
      <c r="E5714" s="18" t="inlineStr">
        <is>
          <t>Reign of Fire</t>
        </is>
      </c>
      <c r="F5714" s="18" t="inlineStr">
        <is>
          <t>F0263</t>
        </is>
      </c>
    </row>
    <row r="5715" ht="15.75" customHeight="1" s="108">
      <c r="A5715" s="18" t="inlineStr">
        <is>
          <t>Barry Barnes</t>
        </is>
      </c>
      <c r="B5715" s="18" t="n">
        <v>1</v>
      </c>
      <c r="C5715" s="18" t="n">
        <v>2002</v>
      </c>
      <c r="D5715" s="18" t="n">
        <v>2002</v>
      </c>
      <c r="E5715" s="18" t="inlineStr">
        <is>
          <t>Reign of Fire</t>
        </is>
      </c>
      <c r="F5715" s="18" t="inlineStr">
        <is>
          <t>F0263</t>
        </is>
      </c>
    </row>
    <row r="5716" ht="15.75" customHeight="1" s="108">
      <c r="A5716" s="18" t="inlineStr">
        <is>
          <t>Gerry O'Brien</t>
        </is>
      </c>
      <c r="B5716" s="18" t="n">
        <v>1</v>
      </c>
      <c r="C5716" s="18" t="n">
        <v>2002</v>
      </c>
      <c r="D5716" s="18" t="n">
        <v>2002</v>
      </c>
      <c r="E5716" s="18" t="inlineStr">
        <is>
          <t>Reign of Fire</t>
        </is>
      </c>
      <c r="F5716" s="18" t="inlineStr">
        <is>
          <t>F0263</t>
        </is>
      </c>
    </row>
    <row r="5717" ht="15.75" customHeight="1" s="108">
      <c r="A5717" s="18" t="inlineStr">
        <is>
          <t>Laura Pyper</t>
        </is>
      </c>
      <c r="B5717" s="18" t="n">
        <v>1</v>
      </c>
      <c r="C5717" s="18" t="n">
        <v>2002</v>
      </c>
      <c r="D5717" s="18" t="n">
        <v>2002</v>
      </c>
      <c r="E5717" s="18" t="inlineStr">
        <is>
          <t>Reign of Fire</t>
        </is>
      </c>
      <c r="F5717" s="18" t="inlineStr">
        <is>
          <t>F0263</t>
        </is>
      </c>
    </row>
    <row r="5718" ht="15.75" customHeight="1" s="108">
      <c r="A5718" s="18" t="inlineStr">
        <is>
          <t>Maree Duffy</t>
        </is>
      </c>
      <c r="B5718" s="18" t="n">
        <v>1</v>
      </c>
      <c r="C5718" s="18" t="n">
        <v>2002</v>
      </c>
      <c r="D5718" s="18" t="n">
        <v>2002</v>
      </c>
      <c r="E5718" s="18" t="inlineStr">
        <is>
          <t>Reign of Fire</t>
        </is>
      </c>
      <c r="F5718" s="18" t="inlineStr">
        <is>
          <t>F0263</t>
        </is>
      </c>
    </row>
    <row r="5719" ht="15.75" customHeight="1" s="108">
      <c r="A5719" s="18" t="inlineStr">
        <is>
          <t>David Garrick</t>
        </is>
      </c>
      <c r="B5719" s="18" t="n">
        <v>2</v>
      </c>
      <c r="C5719" s="18" t="n">
        <v>2002</v>
      </c>
      <c r="D5719" s="18" t="n">
        <v>2009</v>
      </c>
      <c r="E5719" s="18" t="inlineStr">
        <is>
          <t>Reign of Fire, Sherlock Holmes</t>
        </is>
      </c>
      <c r="F5719" s="18" t="inlineStr">
        <is>
          <t>F0263, F0278</t>
        </is>
      </c>
    </row>
    <row r="5720" ht="15.75" customHeight="1" s="108">
      <c r="A5720" s="18" t="inlineStr">
        <is>
          <t>Anne Maria McAuley</t>
        </is>
      </c>
      <c r="B5720" s="18" t="n">
        <v>1</v>
      </c>
      <c r="C5720" s="18" t="n">
        <v>2002</v>
      </c>
      <c r="D5720" s="18" t="n">
        <v>2002</v>
      </c>
      <c r="E5720" s="18" t="inlineStr">
        <is>
          <t>Reign of Fire</t>
        </is>
      </c>
      <c r="F5720" s="18" t="inlineStr">
        <is>
          <t>F0263</t>
        </is>
      </c>
    </row>
    <row r="5721" ht="15.75" customHeight="1" s="108">
      <c r="A5721" s="18" t="inlineStr">
        <is>
          <t>Dessie Gallagher</t>
        </is>
      </c>
      <c r="B5721" s="18" t="n">
        <v>1</v>
      </c>
      <c r="C5721" s="18" t="n">
        <v>2002</v>
      </c>
      <c r="D5721" s="18" t="n">
        <v>2002</v>
      </c>
      <c r="E5721" s="18" t="inlineStr">
        <is>
          <t>Reign of Fire</t>
        </is>
      </c>
      <c r="F5721" s="18" t="inlineStr">
        <is>
          <t>F0263</t>
        </is>
      </c>
    </row>
    <row r="5722" ht="15.75" customHeight="1" s="108">
      <c r="A5722" s="18" t="inlineStr">
        <is>
          <t>Jack Gleeson</t>
        </is>
      </c>
      <c r="B5722" s="18" t="n">
        <v>1</v>
      </c>
      <c r="C5722" s="18" t="n">
        <v>2002</v>
      </c>
      <c r="D5722" s="18" t="n">
        <v>2002</v>
      </c>
      <c r="E5722" s="18" t="inlineStr">
        <is>
          <t>Reign of Fire</t>
        </is>
      </c>
      <c r="F5722" s="18" t="inlineStr">
        <is>
          <t>F0263</t>
        </is>
      </c>
    </row>
    <row r="5723" ht="15.75" customHeight="1" s="108">
      <c r="A5723" s="18" t="inlineStr">
        <is>
          <t>Chris Kelly</t>
        </is>
      </c>
      <c r="B5723" s="18" t="n">
        <v>1</v>
      </c>
      <c r="C5723" s="18" t="n">
        <v>2002</v>
      </c>
      <c r="D5723" s="18" t="n">
        <v>2002</v>
      </c>
      <c r="E5723" s="18" t="inlineStr">
        <is>
          <t>Reign of Fire</t>
        </is>
      </c>
      <c r="F5723" s="18" t="inlineStr">
        <is>
          <t>F0263</t>
        </is>
      </c>
    </row>
    <row r="5724" ht="15.75" customHeight="1" s="108">
      <c r="A5724" s="18" t="inlineStr">
        <is>
          <t>Nolan Gerard Funk</t>
        </is>
      </c>
      <c r="B5724" s="18" t="n">
        <v>1</v>
      </c>
      <c r="C5724" s="18" t="n">
        <v>2013</v>
      </c>
      <c r="D5724" s="18" t="n">
        <v>2013</v>
      </c>
      <c r="E5724" s="18" t="inlineStr">
        <is>
          <t>Riddick</t>
        </is>
      </c>
      <c r="F5724" s="18" t="inlineStr">
        <is>
          <t>F0264</t>
        </is>
      </c>
    </row>
    <row r="5725" ht="15.75" customHeight="1" s="108">
      <c r="A5725" s="18" t="inlineStr">
        <is>
          <t>Bokeem Woodbine</t>
        </is>
      </c>
      <c r="B5725" s="18" t="n">
        <v>1</v>
      </c>
      <c r="C5725" s="18" t="n">
        <v>2013</v>
      </c>
      <c r="D5725" s="18" t="n">
        <v>2013</v>
      </c>
      <c r="E5725" s="18" t="inlineStr">
        <is>
          <t>Riddick</t>
        </is>
      </c>
      <c r="F5725" s="18" t="inlineStr">
        <is>
          <t>F0264</t>
        </is>
      </c>
    </row>
    <row r="5726" ht="15.75" customHeight="1" s="108">
      <c r="A5726" s="18" t="inlineStr">
        <is>
          <t>Andreas Apergis</t>
        </is>
      </c>
      <c r="B5726" s="18" t="n">
        <v>2</v>
      </c>
      <c r="C5726" s="18" t="n">
        <v>2013</v>
      </c>
      <c r="D5726" s="18" t="n">
        <v>2013</v>
      </c>
      <c r="E5726" s="18" t="inlineStr">
        <is>
          <t>Riddick, White House Down</t>
        </is>
      </c>
      <c r="F5726" s="18" t="inlineStr">
        <is>
          <t>F0264, F0335</t>
        </is>
      </c>
    </row>
    <row r="5727" ht="15.75" customHeight="1" s="108">
      <c r="A5727" s="18" t="inlineStr">
        <is>
          <t>Noah Dalton Danby</t>
        </is>
      </c>
      <c r="B5727" s="18" t="n">
        <v>1</v>
      </c>
      <c r="C5727" s="18" t="n">
        <v>2013</v>
      </c>
      <c r="D5727" s="18" t="n">
        <v>2013</v>
      </c>
      <c r="E5727" s="18" t="inlineStr">
        <is>
          <t>Riddick</t>
        </is>
      </c>
      <c r="F5727" s="18" t="inlineStr">
        <is>
          <t>F0264</t>
        </is>
      </c>
    </row>
    <row r="5728" ht="15.75" customHeight="1" s="108">
      <c r="A5728" s="18" t="inlineStr">
        <is>
          <t>Neil Napier</t>
        </is>
      </c>
      <c r="B5728" s="18" t="n">
        <v>1</v>
      </c>
      <c r="C5728" s="18" t="n">
        <v>2013</v>
      </c>
      <c r="D5728" s="18" t="n">
        <v>2013</v>
      </c>
      <c r="E5728" s="18" t="inlineStr">
        <is>
          <t>Riddick</t>
        </is>
      </c>
      <c r="F5728" s="18" t="inlineStr">
        <is>
          <t>F0264</t>
        </is>
      </c>
    </row>
    <row r="5729" ht="15.75" customHeight="1" s="108">
      <c r="A5729" s="18" t="inlineStr">
        <is>
          <t>Conrad Pla</t>
        </is>
      </c>
      <c r="B5729" s="18" t="n">
        <v>1</v>
      </c>
      <c r="C5729" s="18" t="n">
        <v>2013</v>
      </c>
      <c r="D5729" s="18" t="n">
        <v>2013</v>
      </c>
      <c r="E5729" s="18" t="inlineStr">
        <is>
          <t>Riddick</t>
        </is>
      </c>
      <c r="F5729" s="18" t="inlineStr">
        <is>
          <t>F0264</t>
        </is>
      </c>
    </row>
    <row r="5730" ht="15.75" customHeight="1" s="108">
      <c r="A5730" s="18" t="inlineStr">
        <is>
          <t>Danny Blanco Hall</t>
        </is>
      </c>
      <c r="B5730" s="18" t="n">
        <v>1</v>
      </c>
      <c r="C5730" s="18" t="n">
        <v>2013</v>
      </c>
      <c r="D5730" s="18" t="n">
        <v>2013</v>
      </c>
      <c r="E5730" s="18" t="inlineStr">
        <is>
          <t>Riddick</t>
        </is>
      </c>
      <c r="F5730" s="18" t="inlineStr">
        <is>
          <t>F0264</t>
        </is>
      </c>
    </row>
    <row r="5731" ht="15.75" customHeight="1" s="108">
      <c r="A5731" s="18" t="inlineStr">
        <is>
          <t>Keri Hilson</t>
        </is>
      </c>
      <c r="B5731" s="18" t="n">
        <v>1</v>
      </c>
      <c r="C5731" s="18" t="n">
        <v>2013</v>
      </c>
      <c r="D5731" s="18" t="n">
        <v>2013</v>
      </c>
      <c r="E5731" s="18" t="inlineStr">
        <is>
          <t>Riddick</t>
        </is>
      </c>
      <c r="F5731" s="18" t="inlineStr">
        <is>
          <t>F0264</t>
        </is>
      </c>
    </row>
    <row r="5732" ht="15.75" customHeight="1" s="108">
      <c r="A5732" s="18" t="inlineStr">
        <is>
          <t>Charlie Marie Dupont</t>
        </is>
      </c>
      <c r="B5732" s="18" t="n">
        <v>1</v>
      </c>
      <c r="C5732" s="18" t="n">
        <v>2013</v>
      </c>
      <c r="D5732" s="18" t="n">
        <v>2013</v>
      </c>
      <c r="E5732" s="18" t="inlineStr">
        <is>
          <t>Riddick</t>
        </is>
      </c>
      <c r="F5732" s="18" t="inlineStr">
        <is>
          <t>F0264</t>
        </is>
      </c>
    </row>
    <row r="5733" ht="15.75" customHeight="1" s="108">
      <c r="A5733" s="18" t="inlineStr">
        <is>
          <t>Jan Gerste</t>
        </is>
      </c>
      <c r="B5733" s="18" t="n">
        <v>2</v>
      </c>
      <c r="C5733" s="18" t="n">
        <v>2013</v>
      </c>
      <c r="D5733" s="18" t="n">
        <v>2014</v>
      </c>
      <c r="E5733" s="18" t="inlineStr">
        <is>
          <t>Riddick, X-Men: Days of Future Past</t>
        </is>
      </c>
      <c r="F5733" s="18" t="inlineStr">
        <is>
          <t>F0264, F0341</t>
        </is>
      </c>
    </row>
    <row r="5734" ht="15.75" customHeight="1" s="108">
      <c r="A5734" s="18" t="inlineStr">
        <is>
          <t>Antoinette Kalaj</t>
        </is>
      </c>
      <c r="B5734" s="18" t="n">
        <v>1</v>
      </c>
      <c r="C5734" s="18" t="n">
        <v>2013</v>
      </c>
      <c r="D5734" s="18" t="n">
        <v>2013</v>
      </c>
      <c r="E5734" s="18" t="inlineStr">
        <is>
          <t>Riddick</t>
        </is>
      </c>
      <c r="F5734" s="18" t="inlineStr">
        <is>
          <t>F0264</t>
        </is>
      </c>
    </row>
    <row r="5735" ht="15.75" customHeight="1" s="108">
      <c r="A5735" s="18" t="inlineStr">
        <is>
          <t>Alexandra Sokolovskaya</t>
        </is>
      </c>
      <c r="B5735" s="18" t="n">
        <v>1</v>
      </c>
      <c r="C5735" s="18" t="n">
        <v>2013</v>
      </c>
      <c r="D5735" s="18" t="n">
        <v>2013</v>
      </c>
      <c r="E5735" s="18" t="inlineStr">
        <is>
          <t>Riddick</t>
        </is>
      </c>
      <c r="F5735" s="18" t="inlineStr">
        <is>
          <t>F0264</t>
        </is>
      </c>
    </row>
    <row r="5736" ht="15.75" customHeight="1" s="108">
      <c r="A5736" s="18" t="inlineStr">
        <is>
          <t>Lani Minella</t>
        </is>
      </c>
      <c r="B5736" s="18" t="n">
        <v>1</v>
      </c>
      <c r="C5736" s="18" t="n">
        <v>2013</v>
      </c>
      <c r="D5736" s="18" t="n">
        <v>2013</v>
      </c>
      <c r="E5736" s="18" t="inlineStr">
        <is>
          <t>Riddick</t>
        </is>
      </c>
      <c r="F5736" s="18" t="inlineStr">
        <is>
          <t>F0264</t>
        </is>
      </c>
    </row>
    <row r="5737" ht="15.75" customHeight="1" s="108">
      <c r="A5737" s="18" t="inlineStr">
        <is>
          <t>George López</t>
        </is>
      </c>
      <c r="B5737" s="18" t="n">
        <v>2</v>
      </c>
      <c r="C5737" s="18" t="n">
        <v>2011</v>
      </c>
      <c r="D5737" s="18" t="n">
        <v>2014</v>
      </c>
      <c r="E5737" s="18" t="inlineStr">
        <is>
          <t>Rio, Rio 2</t>
        </is>
      </c>
      <c r="F5737" s="18" t="inlineStr">
        <is>
          <t>F0265, F0266</t>
        </is>
      </c>
    </row>
    <row r="5738" ht="15.75" customHeight="1" s="108">
      <c r="A5738" s="18" t="inlineStr">
        <is>
          <t>Rodrigo Santoro</t>
        </is>
      </c>
      <c r="B5738" s="18" t="n">
        <v>2</v>
      </c>
      <c r="C5738" s="18" t="n">
        <v>2011</v>
      </c>
      <c r="D5738" s="18" t="n">
        <v>2014</v>
      </c>
      <c r="E5738" s="18" t="inlineStr">
        <is>
          <t>Rio, Rio 2</t>
        </is>
      </c>
      <c r="F5738" s="18" t="inlineStr">
        <is>
          <t>F0265, F0266</t>
        </is>
      </c>
    </row>
    <row r="5739" ht="15.75" customHeight="1" s="108">
      <c r="A5739" s="18" t="inlineStr">
        <is>
          <t>Jake T. Austin</t>
        </is>
      </c>
      <c r="B5739" s="18" t="n">
        <v>2</v>
      </c>
      <c r="C5739" s="18" t="n">
        <v>2011</v>
      </c>
      <c r="D5739" s="18" t="n">
        <v>2014</v>
      </c>
      <c r="E5739" s="18" t="inlineStr">
        <is>
          <t>Rio, Rio 2</t>
        </is>
      </c>
      <c r="F5739" s="18" t="inlineStr">
        <is>
          <t>F0265, F0266</t>
        </is>
      </c>
    </row>
    <row r="5740" ht="15.75" customHeight="1" s="108">
      <c r="A5740" s="18" t="inlineStr">
        <is>
          <t>Carlos Ponce</t>
        </is>
      </c>
      <c r="B5740" s="18" t="n">
        <v>2</v>
      </c>
      <c r="C5740" s="18" t="n">
        <v>2011</v>
      </c>
      <c r="D5740" s="18" t="n">
        <v>2015</v>
      </c>
      <c r="E5740" s="18" t="inlineStr">
        <is>
          <t>Rio, Spy</t>
        </is>
      </c>
      <c r="F5740" s="18" t="inlineStr">
        <is>
          <t>F0265, F0290</t>
        </is>
      </c>
    </row>
    <row r="5741" ht="15.75" customHeight="1" s="108">
      <c r="A5741" s="18" t="inlineStr">
        <is>
          <t>Gracinha Leporace</t>
        </is>
      </c>
      <c r="B5741" s="18" t="n">
        <v>2</v>
      </c>
      <c r="C5741" s="18" t="n">
        <v>2011</v>
      </c>
      <c r="D5741" s="18" t="n">
        <v>2014</v>
      </c>
      <c r="E5741" s="18" t="inlineStr">
        <is>
          <t>Rio, Rio 2</t>
        </is>
      </c>
      <c r="F5741" s="18" t="inlineStr">
        <is>
          <t>F0265, F0266</t>
        </is>
      </c>
    </row>
    <row r="5742" ht="15.75" customHeight="1" s="108">
      <c r="A5742" s="18" t="inlineStr">
        <is>
          <t>Phil Miler</t>
        </is>
      </c>
      <c r="B5742" s="18" t="n">
        <v>1</v>
      </c>
      <c r="C5742" s="18" t="n">
        <v>2011</v>
      </c>
      <c r="D5742" s="18" t="n">
        <v>2011</v>
      </c>
      <c r="E5742" s="18" t="inlineStr">
        <is>
          <t>Rio</t>
        </is>
      </c>
      <c r="F5742" s="18" t="inlineStr">
        <is>
          <t>F0265</t>
        </is>
      </c>
    </row>
    <row r="5743" ht="15.75" customHeight="1" s="108">
      <c r="A5743" s="18" t="inlineStr">
        <is>
          <t>Bernardo de Paula</t>
        </is>
      </c>
      <c r="B5743" s="18" t="n">
        <v>2</v>
      </c>
      <c r="C5743" s="18" t="n">
        <v>2011</v>
      </c>
      <c r="D5743" s="18" t="n">
        <v>2014</v>
      </c>
      <c r="E5743" s="18" t="inlineStr">
        <is>
          <t>Rio, Rio 2</t>
        </is>
      </c>
      <c r="F5743" s="18" t="inlineStr">
        <is>
          <t>F0265, F0266</t>
        </is>
      </c>
    </row>
    <row r="5744" ht="15.75" customHeight="1" s="108">
      <c r="A5744" s="18" t="inlineStr">
        <is>
          <t>Renato D'Angelo</t>
        </is>
      </c>
      <c r="B5744" s="18" t="n">
        <v>1</v>
      </c>
      <c r="C5744" s="18" t="n">
        <v>2011</v>
      </c>
      <c r="D5744" s="18" t="n">
        <v>2011</v>
      </c>
      <c r="E5744" s="18" t="inlineStr">
        <is>
          <t>Rio</t>
        </is>
      </c>
      <c r="F5744" s="18" t="inlineStr">
        <is>
          <t>F0265</t>
        </is>
      </c>
    </row>
    <row r="5745" ht="15.75" customHeight="1" s="108">
      <c r="A5745" s="18" t="inlineStr">
        <is>
          <t>Davi Vieira</t>
        </is>
      </c>
      <c r="B5745" s="18" t="n">
        <v>1</v>
      </c>
      <c r="C5745" s="18" t="n">
        <v>2011</v>
      </c>
      <c r="D5745" s="18" t="n">
        <v>2011</v>
      </c>
      <c r="E5745" s="18" t="inlineStr">
        <is>
          <t>Rio</t>
        </is>
      </c>
      <c r="F5745" s="18" t="inlineStr">
        <is>
          <t>F0265</t>
        </is>
      </c>
    </row>
    <row r="5746" ht="15.75" customHeight="1" s="108">
      <c r="A5746" s="18" t="inlineStr">
        <is>
          <t>Cindy Slattery</t>
        </is>
      </c>
      <c r="B5746" s="18" t="n">
        <v>1</v>
      </c>
      <c r="C5746" s="18" t="n">
        <v>2011</v>
      </c>
      <c r="D5746" s="18" t="n">
        <v>2011</v>
      </c>
      <c r="E5746" s="18" t="inlineStr">
        <is>
          <t>Rio</t>
        </is>
      </c>
      <c r="F5746" s="18" t="inlineStr">
        <is>
          <t>F0265</t>
        </is>
      </c>
    </row>
    <row r="5747" ht="15.75" customHeight="1" s="108">
      <c r="A5747" s="18" t="inlineStr">
        <is>
          <t>Justine Warwick</t>
        </is>
      </c>
      <c r="B5747" s="18" t="n">
        <v>1</v>
      </c>
      <c r="C5747" s="18" t="n">
        <v>2011</v>
      </c>
      <c r="D5747" s="18" t="n">
        <v>2011</v>
      </c>
      <c r="E5747" s="18" t="inlineStr">
        <is>
          <t>Rio</t>
        </is>
      </c>
      <c r="F5747" s="18" t="inlineStr">
        <is>
          <t>F0265</t>
        </is>
      </c>
    </row>
    <row r="5748" ht="15.75" customHeight="1" s="108">
      <c r="A5748" s="18" t="inlineStr">
        <is>
          <t>Bebel Gilberto</t>
        </is>
      </c>
      <c r="B5748" s="18" t="n">
        <v>2</v>
      </c>
      <c r="C5748" s="18" t="n">
        <v>2011</v>
      </c>
      <c r="D5748" s="18" t="n">
        <v>2014</v>
      </c>
      <c r="E5748" s="18" t="inlineStr">
        <is>
          <t>Rio, Rio 2</t>
        </is>
      </c>
      <c r="F5748" s="18" t="inlineStr">
        <is>
          <t>F0265, F0266</t>
        </is>
      </c>
    </row>
    <row r="5749" ht="15.75" customHeight="1" s="108">
      <c r="A5749" s="18" t="inlineStr">
        <is>
          <t>Judah Friedlander</t>
        </is>
      </c>
      <c r="B5749" s="18" t="n">
        <v>1</v>
      </c>
      <c r="C5749" s="18" t="n">
        <v>2011</v>
      </c>
      <c r="D5749" s="18" t="n">
        <v>2011</v>
      </c>
      <c r="E5749" s="18" t="inlineStr">
        <is>
          <t>Rio</t>
        </is>
      </c>
      <c r="F5749" s="18" t="inlineStr">
        <is>
          <t>F0265</t>
        </is>
      </c>
    </row>
    <row r="5750" ht="15.75" customHeight="1" s="108">
      <c r="A5750" s="18" t="inlineStr">
        <is>
          <t>Francisco Ramos</t>
        </is>
      </c>
      <c r="B5750" s="18" t="n">
        <v>1</v>
      </c>
      <c r="C5750" s="18" t="n">
        <v>2011</v>
      </c>
      <c r="D5750" s="18" t="n">
        <v>2011</v>
      </c>
      <c r="E5750" s="18" t="inlineStr">
        <is>
          <t>Rio</t>
        </is>
      </c>
      <c r="F5750" s="18" t="inlineStr">
        <is>
          <t>F0265</t>
        </is>
      </c>
    </row>
    <row r="5751" ht="15.75" customHeight="1" s="108">
      <c r="A5751" s="18" t="inlineStr">
        <is>
          <t>Andy Garcia</t>
        </is>
      </c>
      <c r="B5751" s="18" t="n">
        <v>1</v>
      </c>
      <c r="C5751" s="18" t="n">
        <v>2014</v>
      </c>
      <c r="D5751" s="18" t="n">
        <v>2014</v>
      </c>
      <c r="E5751" s="18" t="inlineStr">
        <is>
          <t>Rio 2</t>
        </is>
      </c>
      <c r="F5751" s="18" t="inlineStr">
        <is>
          <t>F0266</t>
        </is>
      </c>
    </row>
    <row r="5752" ht="15.75" customHeight="1" s="108">
      <c r="A5752" s="18" t="inlineStr">
        <is>
          <t>Bruno Mars</t>
        </is>
      </c>
      <c r="B5752" s="18" t="n">
        <v>1</v>
      </c>
      <c r="C5752" s="18" t="n">
        <v>2014</v>
      </c>
      <c r="D5752" s="18" t="n">
        <v>2014</v>
      </c>
      <c r="E5752" s="18" t="inlineStr">
        <is>
          <t>Rio 2</t>
        </is>
      </c>
      <c r="F5752" s="18" t="inlineStr">
        <is>
          <t>F0266</t>
        </is>
      </c>
    </row>
    <row r="5753" ht="15.75" customHeight="1" s="108">
      <c r="A5753" s="18" t="inlineStr">
        <is>
          <t>Pierce Gagnon</t>
        </is>
      </c>
      <c r="B5753" s="18" t="n">
        <v>1</v>
      </c>
      <c r="C5753" s="18" t="n">
        <v>2014</v>
      </c>
      <c r="D5753" s="18" t="n">
        <v>2014</v>
      </c>
      <c r="E5753" s="18" t="inlineStr">
        <is>
          <t>Rio 2</t>
        </is>
      </c>
      <c r="F5753" s="18" t="inlineStr">
        <is>
          <t>F0266</t>
        </is>
      </c>
    </row>
    <row r="5754" ht="15.75" customHeight="1" s="108">
      <c r="A5754" s="18" t="inlineStr">
        <is>
          <t>Kristin Chenoweth</t>
        </is>
      </c>
      <c r="B5754" s="18" t="n">
        <v>1</v>
      </c>
      <c r="C5754" s="18" t="n">
        <v>2014</v>
      </c>
      <c r="D5754" s="18" t="n">
        <v>2014</v>
      </c>
      <c r="E5754" s="18" t="inlineStr">
        <is>
          <t>Rio 2</t>
        </is>
      </c>
      <c r="F5754" s="18" t="inlineStr">
        <is>
          <t>F0266</t>
        </is>
      </c>
    </row>
    <row r="5755" ht="15.75" customHeight="1" s="108">
      <c r="A5755" s="18" t="inlineStr">
        <is>
          <t>Rachel Crow</t>
        </is>
      </c>
      <c r="B5755" s="18" t="n">
        <v>1</v>
      </c>
      <c r="C5755" s="18" t="n">
        <v>2014</v>
      </c>
      <c r="D5755" s="18" t="n">
        <v>2014</v>
      </c>
      <c r="E5755" s="18" t="inlineStr">
        <is>
          <t>Rio 2</t>
        </is>
      </c>
      <c r="F5755" s="18" t="inlineStr">
        <is>
          <t>F0266</t>
        </is>
      </c>
    </row>
    <row r="5756" ht="15.75" customHeight="1" s="108">
      <c r="A5756" s="18" t="inlineStr">
        <is>
          <t>Jason Harris</t>
        </is>
      </c>
      <c r="B5756" s="18" t="n">
        <v>1</v>
      </c>
      <c r="C5756" s="18" t="n">
        <v>2014</v>
      </c>
      <c r="D5756" s="18" t="n">
        <v>2014</v>
      </c>
      <c r="E5756" s="18" t="inlineStr">
        <is>
          <t>Rio 2</t>
        </is>
      </c>
      <c r="F5756" s="18" t="inlineStr">
        <is>
          <t>F0266</t>
        </is>
      </c>
    </row>
    <row r="5757" ht="15.75" customHeight="1" s="108">
      <c r="A5757" s="18" t="inlineStr">
        <is>
          <t>Janelle Monáe</t>
        </is>
      </c>
      <c r="B5757" s="18" t="n">
        <v>1</v>
      </c>
      <c r="C5757" s="18" t="n">
        <v>2014</v>
      </c>
      <c r="D5757" s="18" t="n">
        <v>2014</v>
      </c>
      <c r="E5757" s="18" t="inlineStr">
        <is>
          <t>Rio 2</t>
        </is>
      </c>
      <c r="F5757" s="18" t="inlineStr">
        <is>
          <t>F0266</t>
        </is>
      </c>
    </row>
    <row r="5758" ht="15.75" customHeight="1" s="108">
      <c r="A5758" s="18" t="inlineStr">
        <is>
          <t>Amy Heidemann</t>
        </is>
      </c>
      <c r="B5758" s="18" t="n">
        <v>1</v>
      </c>
      <c r="C5758" s="18" t="n">
        <v>2014</v>
      </c>
      <c r="D5758" s="18" t="n">
        <v>2014</v>
      </c>
      <c r="E5758" s="18" t="inlineStr">
        <is>
          <t>Rio 2</t>
        </is>
      </c>
      <c r="F5758" s="18" t="inlineStr">
        <is>
          <t>F0266</t>
        </is>
      </c>
    </row>
    <row r="5759" ht="15.75" customHeight="1" s="108">
      <c r="A5759" s="18" t="inlineStr">
        <is>
          <t>Carlinhos Brown</t>
        </is>
      </c>
      <c r="B5759" s="18" t="n">
        <v>1</v>
      </c>
      <c r="C5759" s="18" t="n">
        <v>2014</v>
      </c>
      <c r="D5759" s="18" t="n">
        <v>2014</v>
      </c>
      <c r="E5759" s="18" t="inlineStr">
        <is>
          <t>Rio 2</t>
        </is>
      </c>
      <c r="F5759" s="18" t="inlineStr">
        <is>
          <t>F0266</t>
        </is>
      </c>
    </row>
    <row r="5760" ht="15.75" customHeight="1" s="108">
      <c r="A5760" s="18" t="inlineStr">
        <is>
          <t>Jim Conroy</t>
        </is>
      </c>
      <c r="B5760" s="18" t="n">
        <v>1</v>
      </c>
      <c r="C5760" s="18" t="n">
        <v>2014</v>
      </c>
      <c r="D5760" s="18" t="n">
        <v>2014</v>
      </c>
      <c r="E5760" s="18" t="inlineStr">
        <is>
          <t>Rio 2</t>
        </is>
      </c>
      <c r="F5760" s="18" t="inlineStr">
        <is>
          <t>F0266</t>
        </is>
      </c>
    </row>
    <row r="5761" ht="15.75" customHeight="1" s="108">
      <c r="A5761" s="18" t="inlineStr">
        <is>
          <t>Nola Donkin</t>
        </is>
      </c>
      <c r="B5761" s="18" t="n">
        <v>1</v>
      </c>
      <c r="C5761" s="18" t="n">
        <v>2014</v>
      </c>
      <c r="D5761" s="18" t="n">
        <v>2014</v>
      </c>
      <c r="E5761" s="18" t="inlineStr">
        <is>
          <t>Rio 2</t>
        </is>
      </c>
      <c r="F5761" s="18" t="inlineStr">
        <is>
          <t>F0266</t>
        </is>
      </c>
    </row>
    <row r="5762" ht="15.75" customHeight="1" s="108">
      <c r="A5762" s="18" t="inlineStr">
        <is>
          <t>Kevin W. Keane</t>
        </is>
      </c>
      <c r="B5762" s="18" t="n">
        <v>1</v>
      </c>
      <c r="C5762" s="18" t="n">
        <v>2014</v>
      </c>
      <c r="D5762" s="18" t="n">
        <v>2014</v>
      </c>
      <c r="E5762" s="18" t="inlineStr">
        <is>
          <t>Rio 2</t>
        </is>
      </c>
      <c r="F5762" s="18" t="inlineStr">
        <is>
          <t>F0266</t>
        </is>
      </c>
    </row>
    <row r="5763" ht="15.75" customHeight="1" s="108">
      <c r="A5763" s="18" t="inlineStr">
        <is>
          <t>Philip Lawrence</t>
        </is>
      </c>
      <c r="B5763" s="18" t="n">
        <v>1</v>
      </c>
      <c r="C5763" s="18" t="n">
        <v>2014</v>
      </c>
      <c r="D5763" s="18" t="n">
        <v>2014</v>
      </c>
      <c r="E5763" s="18" t="inlineStr">
        <is>
          <t>Rio 2</t>
        </is>
      </c>
      <c r="F5763" s="18" t="inlineStr">
        <is>
          <t>F0266</t>
        </is>
      </c>
    </row>
    <row r="5764" ht="15.75" customHeight="1" s="108">
      <c r="A5764" s="18" t="inlineStr">
        <is>
          <t>Eileen Atkins</t>
        </is>
      </c>
      <c r="B5764" s="18" t="n">
        <v>1</v>
      </c>
      <c r="C5764" s="18" t="n">
        <v>2010</v>
      </c>
      <c r="D5764" s="18" t="n">
        <v>2010</v>
      </c>
      <c r="E5764" s="18" t="inlineStr">
        <is>
          <t>Robin Hood</t>
        </is>
      </c>
      <c r="F5764" s="18" t="inlineStr">
        <is>
          <t>F0267</t>
        </is>
      </c>
    </row>
    <row r="5765" ht="15.75" customHeight="1" s="108">
      <c r="A5765" s="18" t="inlineStr">
        <is>
          <t>Mark Addy</t>
        </is>
      </c>
      <c r="B5765" s="18" t="n">
        <v>1</v>
      </c>
      <c r="C5765" s="18" t="n">
        <v>2010</v>
      </c>
      <c r="D5765" s="18" t="n">
        <v>2010</v>
      </c>
      <c r="E5765" s="18" t="inlineStr">
        <is>
          <t>Robin Hood</t>
        </is>
      </c>
      <c r="F5765" s="18" t="inlineStr">
        <is>
          <t>F0267</t>
        </is>
      </c>
    </row>
    <row r="5766" ht="15.75" customHeight="1" s="108">
      <c r="A5766" s="18" t="inlineStr">
        <is>
          <t>Alan Doyle</t>
        </is>
      </c>
      <c r="B5766" s="18" t="n">
        <v>1</v>
      </c>
      <c r="C5766" s="18" t="n">
        <v>2010</v>
      </c>
      <c r="D5766" s="18" t="n">
        <v>2010</v>
      </c>
      <c r="E5766" s="18" t="inlineStr">
        <is>
          <t>Robin Hood</t>
        </is>
      </c>
      <c r="F5766" s="18" t="inlineStr">
        <is>
          <t>F0267</t>
        </is>
      </c>
    </row>
    <row r="5767" ht="15.75" customHeight="1" s="108">
      <c r="A5767" s="18" t="inlineStr">
        <is>
          <t>Douglas Hodge</t>
        </is>
      </c>
      <c r="B5767" s="18" t="n">
        <v>1</v>
      </c>
      <c r="C5767" s="18" t="n">
        <v>2010</v>
      </c>
      <c r="D5767" s="18" t="n">
        <v>2010</v>
      </c>
      <c r="E5767" s="18" t="inlineStr">
        <is>
          <t>Robin Hood</t>
        </is>
      </c>
      <c r="F5767" s="18" t="inlineStr">
        <is>
          <t>F0267</t>
        </is>
      </c>
    </row>
    <row r="5768" ht="15.75" customHeight="1" s="108">
      <c r="A5768" s="18" t="inlineStr">
        <is>
          <t>Jonathan Zaccaï</t>
        </is>
      </c>
      <c r="B5768" s="18" t="n">
        <v>1</v>
      </c>
      <c r="C5768" s="18" t="n">
        <v>2010</v>
      </c>
      <c r="D5768" s="18" t="n">
        <v>2010</v>
      </c>
      <c r="E5768" s="18" t="inlineStr">
        <is>
          <t>Robin Hood</t>
        </is>
      </c>
      <c r="F5768" s="18" t="inlineStr">
        <is>
          <t>F0267</t>
        </is>
      </c>
    </row>
    <row r="5769" ht="15.75" customHeight="1" s="108">
      <c r="A5769" s="18" t="inlineStr">
        <is>
          <t>Robert Pugh</t>
        </is>
      </c>
      <c r="B5769" s="18" t="n">
        <v>1</v>
      </c>
      <c r="C5769" s="18" t="n">
        <v>2010</v>
      </c>
      <c r="D5769" s="18" t="n">
        <v>2010</v>
      </c>
      <c r="E5769" s="18" t="inlineStr">
        <is>
          <t>Robin Hood</t>
        </is>
      </c>
      <c r="F5769" s="18" t="inlineStr">
        <is>
          <t>F0267</t>
        </is>
      </c>
    </row>
    <row r="5770" ht="15.75" customHeight="1" s="108">
      <c r="A5770" s="18" t="inlineStr">
        <is>
          <t>Gerard McSorley</t>
        </is>
      </c>
      <c r="B5770" s="18" t="n">
        <v>1</v>
      </c>
      <c r="C5770" s="18" t="n">
        <v>2010</v>
      </c>
      <c r="D5770" s="18" t="n">
        <v>2010</v>
      </c>
      <c r="E5770" s="18" t="inlineStr">
        <is>
          <t>Robin Hood</t>
        </is>
      </c>
      <c r="F5770" s="18" t="inlineStr">
        <is>
          <t>F0267</t>
        </is>
      </c>
    </row>
    <row r="5771" ht="15.75" customHeight="1" s="108">
      <c r="A5771" s="18" t="inlineStr">
        <is>
          <t>Ciaran Flynn</t>
        </is>
      </c>
      <c r="B5771" s="18" t="n">
        <v>1</v>
      </c>
      <c r="C5771" s="18" t="n">
        <v>2010</v>
      </c>
      <c r="D5771" s="18" t="n">
        <v>2010</v>
      </c>
      <c r="E5771" s="18" t="inlineStr">
        <is>
          <t>Robin Hood</t>
        </is>
      </c>
      <c r="F5771" s="18" t="inlineStr">
        <is>
          <t>F0267</t>
        </is>
      </c>
    </row>
    <row r="5772" ht="15.75" customHeight="1" s="108">
      <c r="A5772" s="18" t="inlineStr">
        <is>
          <t>Denise Gough</t>
        </is>
      </c>
      <c r="B5772" s="18" t="n">
        <v>1</v>
      </c>
      <c r="C5772" s="18" t="n">
        <v>2010</v>
      </c>
      <c r="D5772" s="18" t="n">
        <v>2010</v>
      </c>
      <c r="E5772" s="18" t="inlineStr">
        <is>
          <t>Robin Hood</t>
        </is>
      </c>
      <c r="F5772" s="18" t="inlineStr">
        <is>
          <t>F0267</t>
        </is>
      </c>
    </row>
    <row r="5773" ht="15.75" customHeight="1" s="108">
      <c r="A5773" s="18" t="inlineStr">
        <is>
          <t>John Nicholas</t>
        </is>
      </c>
      <c r="B5773" s="18" t="n">
        <v>1</v>
      </c>
      <c r="C5773" s="18" t="n">
        <v>2010</v>
      </c>
      <c r="D5773" s="18" t="n">
        <v>2010</v>
      </c>
      <c r="E5773" s="18" t="inlineStr">
        <is>
          <t>Robin Hood</t>
        </is>
      </c>
      <c r="F5773" s="18" t="inlineStr">
        <is>
          <t>F0267</t>
        </is>
      </c>
    </row>
    <row r="5774" ht="15.75" customHeight="1" s="108">
      <c r="A5774" s="18" t="inlineStr">
        <is>
          <t>Thomas Arnold</t>
        </is>
      </c>
      <c r="B5774" s="18" t="n">
        <v>1</v>
      </c>
      <c r="C5774" s="18" t="n">
        <v>2010</v>
      </c>
      <c r="D5774" s="18" t="n">
        <v>2010</v>
      </c>
      <c r="E5774" s="18" t="inlineStr">
        <is>
          <t>Robin Hood</t>
        </is>
      </c>
      <c r="F5774" s="18" t="inlineStr">
        <is>
          <t>F0267</t>
        </is>
      </c>
    </row>
    <row r="5775" ht="15.75" customHeight="1" s="108">
      <c r="A5775" s="18" t="inlineStr">
        <is>
          <t>Mark Lewis Jones</t>
        </is>
      </c>
      <c r="B5775" s="18" t="n">
        <v>2</v>
      </c>
      <c r="C5775" s="18" t="n">
        <v>2010</v>
      </c>
      <c r="D5775" s="18" t="n">
        <v>2017</v>
      </c>
      <c r="E5775" s="18" t="inlineStr">
        <is>
          <t>Robin Hood, Star Wars: The Last Jedi</t>
        </is>
      </c>
      <c r="F5775" s="18" t="inlineStr">
        <is>
          <t>F0267, F0299</t>
        </is>
      </c>
    </row>
    <row r="5776" ht="15.75" customHeight="1" s="108">
      <c r="A5776" s="18" t="inlineStr">
        <is>
          <t>Jamie Beamish</t>
        </is>
      </c>
      <c r="B5776" s="18" t="n">
        <v>1</v>
      </c>
      <c r="C5776" s="18" t="n">
        <v>2010</v>
      </c>
      <c r="D5776" s="18" t="n">
        <v>2010</v>
      </c>
      <c r="E5776" s="18" t="inlineStr">
        <is>
          <t>Robin Hood</t>
        </is>
      </c>
      <c r="F5776" s="18" t="inlineStr">
        <is>
          <t>F0267</t>
        </is>
      </c>
    </row>
    <row r="5777" ht="15.75" customHeight="1" s="108">
      <c r="A5777" s="18" t="inlineStr">
        <is>
          <t>John Atterbury</t>
        </is>
      </c>
      <c r="B5777" s="18" t="n">
        <v>1</v>
      </c>
      <c r="C5777" s="18" t="n">
        <v>2010</v>
      </c>
      <c r="D5777" s="18" t="n">
        <v>2010</v>
      </c>
      <c r="E5777" s="18" t="inlineStr">
        <is>
          <t>Robin Hood</t>
        </is>
      </c>
      <c r="F5777" s="18" t="inlineStr">
        <is>
          <t>F0267</t>
        </is>
      </c>
    </row>
    <row r="5778" ht="15.75" customHeight="1" s="108">
      <c r="A5778" s="18" t="inlineStr">
        <is>
          <t>Joel Kinnaman</t>
        </is>
      </c>
      <c r="B5778" s="18" t="n">
        <v>2</v>
      </c>
      <c r="C5778" s="18" t="n">
        <v>2012</v>
      </c>
      <c r="D5778" s="18" t="n">
        <v>2012</v>
      </c>
      <c r="E5778" s="18" t="inlineStr">
        <is>
          <t>RoboCop, Safe House</t>
        </is>
      </c>
      <c r="F5778" s="18" t="inlineStr">
        <is>
          <t>F0268, F0272</t>
        </is>
      </c>
    </row>
    <row r="5779" ht="15.75" customHeight="1" s="108">
      <c r="A5779" s="18" t="inlineStr">
        <is>
          <t>Abbie Cornish</t>
        </is>
      </c>
      <c r="B5779" s="18" t="n">
        <v>1</v>
      </c>
      <c r="C5779" s="4" t="n"/>
      <c r="D5779" s="4" t="n"/>
      <c r="E5779" s="18" t="inlineStr">
        <is>
          <t>RoboCop</t>
        </is>
      </c>
      <c r="F5779" s="18" t="inlineStr">
        <is>
          <t>F0268</t>
        </is>
      </c>
    </row>
    <row r="5780" ht="15.75" customHeight="1" s="108">
      <c r="A5780" s="18" t="inlineStr">
        <is>
          <t>Jackie Earle Haley</t>
        </is>
      </c>
      <c r="B5780" s="18" t="n">
        <v>1</v>
      </c>
      <c r="C5780" s="4" t="n"/>
      <c r="D5780" s="4" t="n"/>
      <c r="E5780" s="18" t="inlineStr">
        <is>
          <t>RoboCop</t>
        </is>
      </c>
      <c r="F5780" s="18" t="inlineStr">
        <is>
          <t>F0268</t>
        </is>
      </c>
    </row>
    <row r="5781" ht="15.75" customHeight="1" s="108">
      <c r="A5781" s="18" t="inlineStr">
        <is>
          <t>Michael Kenneth Williams</t>
        </is>
      </c>
      <c r="B5781" s="18" t="n">
        <v>1</v>
      </c>
      <c r="C5781" s="4" t="n"/>
      <c r="D5781" s="4" t="n"/>
      <c r="E5781" s="18" t="inlineStr">
        <is>
          <t>RoboCop</t>
        </is>
      </c>
      <c r="F5781" s="18" t="inlineStr">
        <is>
          <t>F0268</t>
        </is>
      </c>
    </row>
    <row r="5782" ht="15.75" customHeight="1" s="108">
      <c r="A5782" s="18" t="inlineStr">
        <is>
          <t>Marianne Jean-Baptiste</t>
        </is>
      </c>
      <c r="B5782" s="18" t="n">
        <v>1</v>
      </c>
      <c r="C5782" s="4" t="n"/>
      <c r="D5782" s="4" t="n"/>
      <c r="E5782" s="18" t="inlineStr">
        <is>
          <t>RoboCop</t>
        </is>
      </c>
      <c r="F5782" s="18" t="inlineStr">
        <is>
          <t>F0268</t>
        </is>
      </c>
    </row>
    <row r="5783" ht="15.75" customHeight="1" s="108">
      <c r="A5783" s="18" t="inlineStr">
        <is>
          <t>Aimee Garcia</t>
        </is>
      </c>
      <c r="B5783" s="18" t="n">
        <v>1</v>
      </c>
      <c r="C5783" s="4" t="n"/>
      <c r="D5783" s="4" t="n"/>
      <c r="E5783" s="18" t="inlineStr">
        <is>
          <t>RoboCop</t>
        </is>
      </c>
      <c r="F5783" s="18" t="inlineStr">
        <is>
          <t>F0268</t>
        </is>
      </c>
    </row>
    <row r="5784" ht="15.75" customHeight="1" s="108">
      <c r="A5784" s="18" t="inlineStr">
        <is>
          <t>Douglas Urbanski</t>
        </is>
      </c>
      <c r="B5784" s="18" t="n">
        <v>1</v>
      </c>
      <c r="C5784" s="4" t="n"/>
      <c r="D5784" s="4" t="n"/>
      <c r="E5784" s="18" t="inlineStr">
        <is>
          <t>RoboCop</t>
        </is>
      </c>
      <c r="F5784" s="18" t="inlineStr">
        <is>
          <t>F0268</t>
        </is>
      </c>
    </row>
    <row r="5785" ht="15.75" customHeight="1" s="108">
      <c r="A5785" s="18" t="inlineStr">
        <is>
          <t>John Paul Ruttan</t>
        </is>
      </c>
      <c r="B5785" s="18" t="n">
        <v>1</v>
      </c>
      <c r="C5785" s="4" t="n"/>
      <c r="D5785" s="4" t="n"/>
      <c r="E5785" s="18" t="inlineStr">
        <is>
          <t>RoboCop</t>
        </is>
      </c>
      <c r="F5785" s="18" t="inlineStr">
        <is>
          <t>F0268</t>
        </is>
      </c>
    </row>
    <row r="5786" ht="15.75" customHeight="1" s="108">
      <c r="A5786" s="18" t="inlineStr">
        <is>
          <t>Patrick Garrow</t>
        </is>
      </c>
      <c r="B5786" s="18" t="n">
        <v>1</v>
      </c>
      <c r="C5786" s="4" t="n"/>
      <c r="D5786" s="4" t="n"/>
      <c r="E5786" s="18" t="inlineStr">
        <is>
          <t>RoboCop</t>
        </is>
      </c>
      <c r="F5786" s="18" t="inlineStr">
        <is>
          <t>F0268</t>
        </is>
      </c>
    </row>
    <row r="5787" ht="15.75" customHeight="1" s="108">
      <c r="A5787" s="18" t="inlineStr">
        <is>
          <t>K.C. Collins</t>
        </is>
      </c>
      <c r="B5787" s="18" t="n">
        <v>1</v>
      </c>
      <c r="C5787" s="4" t="n"/>
      <c r="D5787" s="4" t="n"/>
      <c r="E5787" s="18" t="inlineStr">
        <is>
          <t>RoboCop</t>
        </is>
      </c>
      <c r="F5787" s="18" t="inlineStr">
        <is>
          <t>F0268</t>
        </is>
      </c>
    </row>
    <row r="5788" ht="15.75" customHeight="1" s="108">
      <c r="A5788" s="18" t="inlineStr">
        <is>
          <t>Maura Grierson</t>
        </is>
      </c>
      <c r="B5788" s="18" t="n">
        <v>1</v>
      </c>
      <c r="C5788" s="4" t="n"/>
      <c r="D5788" s="4" t="n"/>
      <c r="E5788" s="18" t="inlineStr">
        <is>
          <t>RoboCop</t>
        </is>
      </c>
      <c r="F5788" s="18" t="inlineStr">
        <is>
          <t>F0268</t>
        </is>
      </c>
    </row>
    <row r="5789" ht="15.75" customHeight="1" s="108">
      <c r="A5789" s="18" t="inlineStr">
        <is>
          <t>Stewart Arnott</t>
        </is>
      </c>
      <c r="B5789" s="18" t="n">
        <v>1</v>
      </c>
      <c r="C5789" s="4" t="n"/>
      <c r="D5789" s="4" t="n"/>
      <c r="E5789" s="18" t="inlineStr">
        <is>
          <t>RoboCop</t>
        </is>
      </c>
      <c r="F5789" s="18" t="inlineStr">
        <is>
          <t>F0268</t>
        </is>
      </c>
    </row>
    <row r="5790" ht="15.75" customHeight="1" s="108">
      <c r="A5790" s="18" t="inlineStr">
        <is>
          <t>Matt Cooke</t>
        </is>
      </c>
      <c r="B5790" s="18" t="n">
        <v>1</v>
      </c>
      <c r="C5790" s="4" t="n"/>
      <c r="D5790" s="4" t="n"/>
      <c r="E5790" s="18" t="inlineStr">
        <is>
          <t>RoboCop</t>
        </is>
      </c>
      <c r="F5790" s="18" t="inlineStr">
        <is>
          <t>F0268</t>
        </is>
      </c>
    </row>
    <row r="5791" ht="15.75" customHeight="1" s="108">
      <c r="A5791" s="18" t="inlineStr">
        <is>
          <t>Steve Cumyn</t>
        </is>
      </c>
      <c r="B5791" s="18" t="n">
        <v>1</v>
      </c>
      <c r="C5791" s="4" t="n"/>
      <c r="D5791" s="4" t="n"/>
      <c r="E5791" s="18" t="inlineStr">
        <is>
          <t>RoboCop</t>
        </is>
      </c>
      <c r="F5791" s="18" t="inlineStr">
        <is>
          <t>F0268</t>
        </is>
      </c>
    </row>
    <row r="5792" ht="15.75" customHeight="1" s="108">
      <c r="A5792" s="18" t="inlineStr">
        <is>
          <t>Noorin Gulamgaus</t>
        </is>
      </c>
      <c r="B5792" s="18" t="n">
        <v>1</v>
      </c>
      <c r="C5792" s="4" t="n"/>
      <c r="D5792" s="4" t="n"/>
      <c r="E5792" s="18" t="inlineStr">
        <is>
          <t>RoboCop</t>
        </is>
      </c>
      <c r="F5792" s="18" t="inlineStr">
        <is>
          <t>F0268</t>
        </is>
      </c>
    </row>
    <row r="5793" ht="15.75" customHeight="1" s="108">
      <c r="A5793" s="18" t="inlineStr">
        <is>
          <t>Marjan Neshat</t>
        </is>
      </c>
      <c r="B5793" s="18" t="n">
        <v>1</v>
      </c>
      <c r="C5793" s="4" t="n"/>
      <c r="D5793" s="4" t="n"/>
      <c r="E5793" s="18" t="inlineStr">
        <is>
          <t>RoboCop</t>
        </is>
      </c>
      <c r="F5793" s="18" t="inlineStr">
        <is>
          <t>F0268</t>
        </is>
      </c>
    </row>
    <row r="5794" ht="15.75" customHeight="1" s="108">
      <c r="A5794" s="18" t="inlineStr">
        <is>
          <t>Sam Motazedi</t>
        </is>
      </c>
      <c r="B5794" s="18" t="n">
        <v>1</v>
      </c>
      <c r="C5794" s="4" t="n"/>
      <c r="D5794" s="4" t="n"/>
      <c r="E5794" s="18" t="inlineStr">
        <is>
          <t>RoboCop</t>
        </is>
      </c>
      <c r="F5794" s="18" t="inlineStr">
        <is>
          <t>F0268</t>
        </is>
      </c>
    </row>
    <row r="5795" ht="15.75" customHeight="1" s="108">
      <c r="A5795" s="18" t="inlineStr">
        <is>
          <t>Khaliya Hosein</t>
        </is>
      </c>
      <c r="B5795" s="18" t="n">
        <v>1</v>
      </c>
      <c r="C5795" s="4" t="n"/>
      <c r="D5795" s="4" t="n"/>
      <c r="E5795" s="18" t="inlineStr">
        <is>
          <t>RoboCop</t>
        </is>
      </c>
      <c r="F5795" s="18" t="inlineStr">
        <is>
          <t>F0268</t>
        </is>
      </c>
    </row>
    <row r="5796" ht="15.75" customHeight="1" s="108">
      <c r="A5796" s="18" t="inlineStr">
        <is>
          <t>Savana Hosein</t>
        </is>
      </c>
      <c r="B5796" s="18" t="n">
        <v>1</v>
      </c>
      <c r="C5796" s="4" t="n"/>
      <c r="D5796" s="4" t="n"/>
      <c r="E5796" s="18" t="inlineStr">
        <is>
          <t>RoboCop</t>
        </is>
      </c>
      <c r="F5796" s="18" t="inlineStr">
        <is>
          <t>F0268</t>
        </is>
      </c>
    </row>
    <row r="5797" ht="15.75" customHeight="1" s="108">
      <c r="A5797" s="18" t="inlineStr">
        <is>
          <t>Philip Akin</t>
        </is>
      </c>
      <c r="B5797" s="18" t="n">
        <v>1</v>
      </c>
      <c r="C5797" s="4" t="n"/>
      <c r="D5797" s="4" t="n"/>
      <c r="E5797" s="18" t="inlineStr">
        <is>
          <t>RoboCop</t>
        </is>
      </c>
      <c r="F5797" s="18" t="inlineStr">
        <is>
          <t>F0268</t>
        </is>
      </c>
    </row>
    <row r="5798" ht="15.75" customHeight="1" s="108">
      <c r="A5798" s="18" t="inlineStr">
        <is>
          <t>Paul Haywood</t>
        </is>
      </c>
      <c r="B5798" s="18" t="n">
        <v>1</v>
      </c>
      <c r="C5798" s="4" t="n"/>
      <c r="D5798" s="4" t="n"/>
      <c r="E5798" s="18" t="inlineStr">
        <is>
          <t>RoboCop</t>
        </is>
      </c>
      <c r="F5798" s="18" t="inlineStr">
        <is>
          <t>F0268</t>
        </is>
      </c>
    </row>
    <row r="5799" ht="15.75" customHeight="1" s="108">
      <c r="A5799" s="18" t="inlineStr">
        <is>
          <t>Adrian Griffin</t>
        </is>
      </c>
      <c r="B5799" s="18" t="n">
        <v>1</v>
      </c>
      <c r="C5799" s="4" t="n"/>
      <c r="D5799" s="4" t="n"/>
      <c r="E5799" s="18" t="inlineStr">
        <is>
          <t>RoboCop</t>
        </is>
      </c>
      <c r="F5799" s="18" t="inlineStr">
        <is>
          <t>F0268</t>
        </is>
      </c>
    </row>
    <row r="5800" ht="15.75" customHeight="1" s="108">
      <c r="A5800" s="18" t="inlineStr">
        <is>
          <t>Rick Hughes</t>
        </is>
      </c>
      <c r="B5800" s="18" t="n">
        <v>1</v>
      </c>
      <c r="C5800" s="4" t="n"/>
      <c r="D5800" s="4" t="n"/>
      <c r="E5800" s="18" t="inlineStr">
        <is>
          <t>RoboCop</t>
        </is>
      </c>
      <c r="F5800" s="18" t="inlineStr">
        <is>
          <t>F0268</t>
        </is>
      </c>
    </row>
    <row r="5801" ht="15.75" customHeight="1" s="108">
      <c r="A5801" s="18" t="inlineStr">
        <is>
          <t>Tom Bennett</t>
        </is>
      </c>
      <c r="B5801" s="18" t="n">
        <v>1</v>
      </c>
      <c r="C5801" s="18" t="n">
        <v>2019</v>
      </c>
      <c r="D5801" s="18" t="n">
        <v>2019</v>
      </c>
      <c r="E5801" s="18" t="inlineStr">
        <is>
          <t>Rocketman</t>
        </is>
      </c>
      <c r="F5801" s="18" t="inlineStr">
        <is>
          <t>F0269</t>
        </is>
      </c>
    </row>
    <row r="5802" ht="15.75" customHeight="1" s="108">
      <c r="A5802" s="18" t="inlineStr">
        <is>
          <t>Matthew Illesley</t>
        </is>
      </c>
      <c r="B5802" s="18" t="n">
        <v>1</v>
      </c>
      <c r="C5802" s="18" t="n">
        <v>2019</v>
      </c>
      <c r="D5802" s="18" t="n">
        <v>2019</v>
      </c>
      <c r="E5802" s="18" t="inlineStr">
        <is>
          <t>Rocketman</t>
        </is>
      </c>
      <c r="F5802" s="18" t="inlineStr">
        <is>
          <t>F0269</t>
        </is>
      </c>
    </row>
    <row r="5803" ht="15.75" customHeight="1" s="108">
      <c r="A5803" s="18" t="inlineStr">
        <is>
          <t>Kit Connor</t>
        </is>
      </c>
      <c r="B5803" s="18" t="n">
        <v>2</v>
      </c>
      <c r="C5803" s="18" t="n">
        <v>2018</v>
      </c>
      <c r="D5803" s="18" t="n">
        <v>2019</v>
      </c>
      <c r="E5803" s="18" t="inlineStr">
        <is>
          <t>Rocketman, Ready player one</t>
        </is>
      </c>
      <c r="F5803" s="18" t="inlineStr">
        <is>
          <t>F0269, F0352</t>
        </is>
      </c>
    </row>
    <row r="5804" ht="15.75" customHeight="1" s="108">
      <c r="A5804" s="18" t="inlineStr">
        <is>
          <t>Charlie Rowe</t>
        </is>
      </c>
      <c r="B5804" s="18" t="n">
        <v>1</v>
      </c>
      <c r="C5804" s="18" t="n">
        <v>2019</v>
      </c>
      <c r="D5804" s="18" t="n">
        <v>2019</v>
      </c>
      <c r="E5804" s="18" t="inlineStr">
        <is>
          <t>Rocketman</t>
        </is>
      </c>
      <c r="F5804" s="18" t="inlineStr">
        <is>
          <t>F0269</t>
        </is>
      </c>
    </row>
    <row r="5805" ht="15.75" customHeight="1" s="108">
      <c r="A5805" s="18" t="inlineStr">
        <is>
          <t>Peter O'Hanlon</t>
        </is>
      </c>
      <c r="B5805" s="18" t="n">
        <v>1</v>
      </c>
      <c r="C5805" s="18" t="n">
        <v>2019</v>
      </c>
      <c r="D5805" s="18" t="n">
        <v>2019</v>
      </c>
      <c r="E5805" s="18" t="inlineStr">
        <is>
          <t>Rocketman</t>
        </is>
      </c>
      <c r="F5805" s="18" t="inlineStr">
        <is>
          <t>F0269</t>
        </is>
      </c>
    </row>
    <row r="5806" ht="15.75" customHeight="1" s="108">
      <c r="A5806" s="18" t="inlineStr">
        <is>
          <t>Ross Farrelly</t>
        </is>
      </c>
      <c r="B5806" s="18" t="n">
        <v>1</v>
      </c>
      <c r="C5806" s="18" t="n">
        <v>2019</v>
      </c>
      <c r="D5806" s="18" t="n">
        <v>2019</v>
      </c>
      <c r="E5806" s="18" t="inlineStr">
        <is>
          <t>Rocketman</t>
        </is>
      </c>
      <c r="F5806" s="18" t="inlineStr">
        <is>
          <t>F0269</t>
        </is>
      </c>
    </row>
    <row r="5807" ht="15.75" customHeight="1" s="108">
      <c r="A5807" s="18" t="inlineStr">
        <is>
          <t>Evan Walsh</t>
        </is>
      </c>
      <c r="B5807" s="18" t="n">
        <v>1</v>
      </c>
      <c r="C5807" s="18" t="n">
        <v>2019</v>
      </c>
      <c r="D5807" s="18" t="n">
        <v>2019</v>
      </c>
      <c r="E5807" s="18" t="inlineStr">
        <is>
          <t>Rocketman</t>
        </is>
      </c>
      <c r="F5807" s="18" t="inlineStr">
        <is>
          <t>F0269</t>
        </is>
      </c>
    </row>
    <row r="5808" ht="15.75" customHeight="1" s="108">
      <c r="A5808" s="18" t="inlineStr">
        <is>
          <t>Sharmina Harrower</t>
        </is>
      </c>
      <c r="B5808" s="18" t="n">
        <v>1</v>
      </c>
      <c r="C5808" s="18" t="n">
        <v>2019</v>
      </c>
      <c r="D5808" s="18" t="n">
        <v>2019</v>
      </c>
      <c r="E5808" s="18" t="inlineStr">
        <is>
          <t>Rocketman</t>
        </is>
      </c>
      <c r="F5808" s="18" t="inlineStr">
        <is>
          <t>F0269</t>
        </is>
      </c>
    </row>
    <row r="5809" ht="15.75" customHeight="1" s="108">
      <c r="A5809" s="18" t="inlineStr">
        <is>
          <t>Ophelia Lovibond</t>
        </is>
      </c>
      <c r="B5809" s="18" t="n">
        <v>1</v>
      </c>
      <c r="C5809" s="18" t="n">
        <v>2019</v>
      </c>
      <c r="D5809" s="18" t="n">
        <v>2019</v>
      </c>
      <c r="E5809" s="18" t="inlineStr">
        <is>
          <t>Rocketman</t>
        </is>
      </c>
      <c r="F5809" s="18" t="inlineStr">
        <is>
          <t>F0269</t>
        </is>
      </c>
    </row>
    <row r="5810" ht="15.75" customHeight="1" s="108">
      <c r="A5810" s="18" t="inlineStr">
        <is>
          <t>Celinde Schoenmaker</t>
        </is>
      </c>
      <c r="B5810" s="18" t="n">
        <v>1</v>
      </c>
      <c r="C5810" s="18" t="n">
        <v>2019</v>
      </c>
      <c r="D5810" s="18" t="n">
        <v>2019</v>
      </c>
      <c r="E5810" s="18" t="inlineStr">
        <is>
          <t>Rocketman</t>
        </is>
      </c>
      <c r="F5810" s="18" t="inlineStr">
        <is>
          <t>F0269</t>
        </is>
      </c>
    </row>
    <row r="5811" ht="15.75" customHeight="1" s="108">
      <c r="A5811" s="18" t="inlineStr">
        <is>
          <t>Harriet Walter</t>
        </is>
      </c>
      <c r="B5811" s="18" t="n">
        <v>1</v>
      </c>
      <c r="C5811" s="18" t="n">
        <v>2019</v>
      </c>
      <c r="D5811" s="18" t="n">
        <v>2019</v>
      </c>
      <c r="E5811" s="18" t="inlineStr">
        <is>
          <t>Rocketman</t>
        </is>
      </c>
      <c r="F5811" s="18" t="inlineStr">
        <is>
          <t>F0269</t>
        </is>
      </c>
    </row>
    <row r="5812" ht="15.75" customHeight="1" s="108">
      <c r="A5812" s="18" t="inlineStr">
        <is>
          <t>Sharon D. Clarke</t>
        </is>
      </c>
      <c r="B5812" s="18" t="n">
        <v>1</v>
      </c>
      <c r="C5812" s="18" t="n">
        <v>2019</v>
      </c>
      <c r="D5812" s="18" t="n">
        <v>2019</v>
      </c>
      <c r="E5812" s="18" t="inlineStr">
        <is>
          <t>Rocketman</t>
        </is>
      </c>
      <c r="F5812" s="18" t="inlineStr">
        <is>
          <t>F0269</t>
        </is>
      </c>
    </row>
    <row r="5813" ht="15.75" customHeight="1" s="108">
      <c r="A5813" s="18" t="inlineStr">
        <is>
          <t>Aston McAuley</t>
        </is>
      </c>
      <c r="B5813" s="18" t="n">
        <v>1</v>
      </c>
      <c r="C5813" s="18" t="n">
        <v>2019</v>
      </c>
      <c r="D5813" s="18" t="n">
        <v>2019</v>
      </c>
      <c r="E5813" s="18" t="inlineStr">
        <is>
          <t>Rocketman</t>
        </is>
      </c>
      <c r="F5813" s="18" t="inlineStr">
        <is>
          <t>F0269</t>
        </is>
      </c>
    </row>
    <row r="5814" ht="15.75" customHeight="1" s="108">
      <c r="A5814" s="18" t="inlineStr">
        <is>
          <t>Jason Pennycooke</t>
        </is>
      </c>
      <c r="B5814" s="18" t="n">
        <v>1</v>
      </c>
      <c r="C5814" s="18" t="n">
        <v>2019</v>
      </c>
      <c r="D5814" s="18" t="n">
        <v>2019</v>
      </c>
      <c r="E5814" s="18" t="inlineStr">
        <is>
          <t>Rocketman</t>
        </is>
      </c>
      <c r="F5814" s="18" t="inlineStr">
        <is>
          <t>F0269</t>
        </is>
      </c>
    </row>
    <row r="5815" ht="15.75" customHeight="1" s="108">
      <c r="A5815" s="18" t="inlineStr">
        <is>
          <t>Alexia Khadime</t>
        </is>
      </c>
      <c r="B5815" s="18" t="n">
        <v>1</v>
      </c>
      <c r="C5815" s="18" t="n">
        <v>2019</v>
      </c>
      <c r="D5815" s="18" t="n">
        <v>2019</v>
      </c>
      <c r="E5815" s="18" t="inlineStr">
        <is>
          <t>Rocketman</t>
        </is>
      </c>
      <c r="F5815" s="18" t="inlineStr">
        <is>
          <t>F0269</t>
        </is>
      </c>
    </row>
    <row r="5816" ht="15.75" customHeight="1" s="108">
      <c r="A5816" s="18" t="inlineStr">
        <is>
          <t>Carl Spencer</t>
        </is>
      </c>
      <c r="B5816" s="18" t="n">
        <v>1</v>
      </c>
      <c r="C5816" s="18" t="n">
        <v>2019</v>
      </c>
      <c r="D5816" s="18" t="n">
        <v>2019</v>
      </c>
      <c r="E5816" s="18" t="inlineStr">
        <is>
          <t>Rocketman</t>
        </is>
      </c>
      <c r="F5816" s="18" t="inlineStr">
        <is>
          <t>F0269</t>
        </is>
      </c>
    </row>
    <row r="5817" ht="15.75" customHeight="1" s="108">
      <c r="A5817" s="18" t="inlineStr">
        <is>
          <t>Jimmy Vee</t>
        </is>
      </c>
      <c r="B5817" s="18" t="n">
        <v>3</v>
      </c>
      <c r="C5817" s="18" t="n">
        <v>2016</v>
      </c>
      <c r="D5817" s="18" t="n">
        <v>2019</v>
      </c>
      <c r="E5817" s="18" t="inlineStr">
        <is>
          <t>Rocketman, Star Wars: The Last Jedi, Rogue one</t>
        </is>
      </c>
      <c r="F5817" s="18" t="inlineStr">
        <is>
          <t>F0269, F0299, F0385</t>
        </is>
      </c>
    </row>
    <row r="5818" ht="15.75" customHeight="1" s="108">
      <c r="A5818" s="18" t="inlineStr">
        <is>
          <t>Leon Delroy Williams</t>
        </is>
      </c>
      <c r="B5818" s="18" t="n">
        <v>1</v>
      </c>
      <c r="C5818" s="18" t="n">
        <v>2019</v>
      </c>
      <c r="D5818" s="18" t="n">
        <v>2019</v>
      </c>
      <c r="E5818" s="18" t="inlineStr">
        <is>
          <t>Rocketman</t>
        </is>
      </c>
      <c r="F5818" s="18" t="inlineStr">
        <is>
          <t>F0269</t>
        </is>
      </c>
    </row>
    <row r="5819" ht="15.75" customHeight="1" s="108">
      <c r="A5819" s="18" t="inlineStr">
        <is>
          <t>David Doyle</t>
        </is>
      </c>
      <c r="B5819" s="18" t="n">
        <v>1</v>
      </c>
      <c r="C5819" s="18" t="n">
        <v>2019</v>
      </c>
      <c r="D5819" s="18" t="n">
        <v>2019</v>
      </c>
      <c r="E5819" s="18" t="inlineStr">
        <is>
          <t>Rocketman</t>
        </is>
      </c>
      <c r="F5819" s="18" t="inlineStr">
        <is>
          <t>F0269</t>
        </is>
      </c>
    </row>
    <row r="5820" ht="15.75" customHeight="1" s="108">
      <c r="A5820" s="18" t="inlineStr">
        <is>
          <t>Leigh Francis</t>
        </is>
      </c>
      <c r="B5820" s="18" t="n">
        <v>1</v>
      </c>
      <c r="C5820" s="18" t="n">
        <v>2019</v>
      </c>
      <c r="D5820" s="18" t="n">
        <v>2019</v>
      </c>
      <c r="E5820" s="18" t="inlineStr">
        <is>
          <t>Rocketman</t>
        </is>
      </c>
      <c r="F5820" s="18" t="inlineStr">
        <is>
          <t>F0269</t>
        </is>
      </c>
    </row>
    <row r="5821" ht="15.75" customHeight="1" s="108">
      <c r="A5821" s="18" t="inlineStr">
        <is>
          <t>Dickon Tolson</t>
        </is>
      </c>
      <c r="B5821" s="18" t="n">
        <v>1</v>
      </c>
      <c r="C5821" s="18" t="n">
        <v>2019</v>
      </c>
      <c r="D5821" s="18" t="n">
        <v>2019</v>
      </c>
      <c r="E5821" s="18" t="inlineStr">
        <is>
          <t>Rocketman</t>
        </is>
      </c>
      <c r="F5821" s="18" t="inlineStr">
        <is>
          <t>F0269</t>
        </is>
      </c>
    </row>
    <row r="5822" ht="15.75" customHeight="1" s="108">
      <c r="A5822" s="18" t="inlineStr">
        <is>
          <t>Diana Alexandra Pocol</t>
        </is>
      </c>
      <c r="B5822" s="18" t="n">
        <v>1</v>
      </c>
      <c r="C5822" s="18" t="n">
        <v>2019</v>
      </c>
      <c r="D5822" s="18" t="n">
        <v>2019</v>
      </c>
      <c r="E5822" s="18" t="inlineStr">
        <is>
          <t>Rocketman</t>
        </is>
      </c>
      <c r="F5822" s="18" t="inlineStr">
        <is>
          <t>F0269</t>
        </is>
      </c>
    </row>
    <row r="5823" ht="15.75" customHeight="1" s="108">
      <c r="A5823" s="18" t="inlineStr">
        <is>
          <t>David Calder</t>
        </is>
      </c>
      <c r="B5823" s="18" t="n">
        <v>1</v>
      </c>
      <c r="C5823" s="18" t="n">
        <v>2013</v>
      </c>
      <c r="D5823" s="18" t="n">
        <v>2013</v>
      </c>
      <c r="E5823" s="18" t="inlineStr">
        <is>
          <t>Rush</t>
        </is>
      </c>
      <c r="F5823" s="18" t="inlineStr">
        <is>
          <t>F0270</t>
        </is>
      </c>
    </row>
    <row r="5824" ht="15.75" customHeight="1" s="108">
      <c r="A5824" s="18" t="inlineStr">
        <is>
          <t>Stephen Mangan</t>
        </is>
      </c>
      <c r="B5824" s="18" t="n">
        <v>1</v>
      </c>
      <c r="C5824" s="18" t="n">
        <v>2013</v>
      </c>
      <c r="D5824" s="18" t="n">
        <v>2013</v>
      </c>
      <c r="E5824" s="18" t="inlineStr">
        <is>
          <t>Rush</t>
        </is>
      </c>
      <c r="F5824" s="18" t="inlineStr">
        <is>
          <t>F0270</t>
        </is>
      </c>
    </row>
    <row r="5825" ht="15.75" customHeight="1" s="108">
      <c r="A5825" s="18" t="inlineStr">
        <is>
          <t>Christian McKay</t>
        </is>
      </c>
      <c r="B5825" s="18" t="n">
        <v>2</v>
      </c>
      <c r="C5825" s="18" t="n">
        <v>2013</v>
      </c>
      <c r="D5825" s="18" t="n">
        <v>2014</v>
      </c>
      <c r="E5825" s="18" t="inlineStr">
        <is>
          <t>Rush, The Theory of Everything</t>
        </is>
      </c>
      <c r="F5825" s="18" t="inlineStr">
        <is>
          <t>F0270, F0311</t>
        </is>
      </c>
    </row>
    <row r="5826" ht="15.75" customHeight="1" s="108">
      <c r="A5826" s="18" t="inlineStr">
        <is>
          <t>Julian Rhind-Tutt</t>
        </is>
      </c>
      <c r="B5826" s="18" t="n">
        <v>1</v>
      </c>
      <c r="C5826" s="18" t="n">
        <v>2013</v>
      </c>
      <c r="D5826" s="18" t="n">
        <v>2013</v>
      </c>
      <c r="E5826" s="18" t="inlineStr">
        <is>
          <t>Rush</t>
        </is>
      </c>
      <c r="F5826" s="18" t="inlineStr">
        <is>
          <t>F0270</t>
        </is>
      </c>
    </row>
    <row r="5827" ht="15.75" customHeight="1" s="108">
      <c r="A5827" s="18" t="inlineStr">
        <is>
          <t>Jamie de Courcey</t>
        </is>
      </c>
      <c r="B5827" s="18" t="n">
        <v>1</v>
      </c>
      <c r="C5827" s="18" t="n">
        <v>2013</v>
      </c>
      <c r="D5827" s="18" t="n">
        <v>2013</v>
      </c>
      <c r="E5827" s="18" t="inlineStr">
        <is>
          <t>Rush</t>
        </is>
      </c>
      <c r="F5827" s="18" t="inlineStr">
        <is>
          <t>F0270</t>
        </is>
      </c>
    </row>
    <row r="5828" ht="15.75" customHeight="1" s="108">
      <c r="A5828" s="18" t="inlineStr">
        <is>
          <t>Augusto Dall'Ara</t>
        </is>
      </c>
      <c r="B5828" s="18" t="n">
        <v>1</v>
      </c>
      <c r="C5828" s="18" t="n">
        <v>2013</v>
      </c>
      <c r="D5828" s="18" t="n">
        <v>2013</v>
      </c>
      <c r="E5828" s="18" t="inlineStr">
        <is>
          <t>Rush</t>
        </is>
      </c>
      <c r="F5828" s="18" t="inlineStr">
        <is>
          <t>F0270</t>
        </is>
      </c>
    </row>
    <row r="5829" ht="15.75" customHeight="1" s="108">
      <c r="A5829" s="18" t="inlineStr">
        <is>
          <t>Ilario Calvo</t>
        </is>
      </c>
      <c r="B5829" s="18" t="n">
        <v>1</v>
      </c>
      <c r="C5829" s="18" t="n">
        <v>2013</v>
      </c>
      <c r="D5829" s="18" t="n">
        <v>2013</v>
      </c>
      <c r="E5829" s="18" t="inlineStr">
        <is>
          <t>Rush</t>
        </is>
      </c>
      <c r="F5829" s="18" t="inlineStr">
        <is>
          <t>F0270</t>
        </is>
      </c>
    </row>
    <row r="5830" ht="15.75" customHeight="1" s="108">
      <c r="A5830" s="18" t="inlineStr">
        <is>
          <t>Patrick Baladi</t>
        </is>
      </c>
      <c r="B5830" s="18" t="n">
        <v>1</v>
      </c>
      <c r="C5830" s="18" t="n">
        <v>2013</v>
      </c>
      <c r="D5830" s="18" t="n">
        <v>2013</v>
      </c>
      <c r="E5830" s="18" t="inlineStr">
        <is>
          <t>Rush</t>
        </is>
      </c>
      <c r="F5830" s="18" t="inlineStr">
        <is>
          <t>F0270</t>
        </is>
      </c>
    </row>
    <row r="5831" ht="15.75" customHeight="1" s="108">
      <c r="A5831" s="18" t="inlineStr">
        <is>
          <t>Vincent Riotta</t>
        </is>
      </c>
      <c r="B5831" s="18" t="n">
        <v>1</v>
      </c>
      <c r="C5831" s="18" t="n">
        <v>2013</v>
      </c>
      <c r="D5831" s="18" t="n">
        <v>2013</v>
      </c>
      <c r="E5831" s="18" t="inlineStr">
        <is>
          <t>Rush</t>
        </is>
      </c>
      <c r="F5831" s="18" t="inlineStr">
        <is>
          <t>F0270</t>
        </is>
      </c>
    </row>
    <row r="5832" ht="15.75" customHeight="1" s="108">
      <c r="A5832" s="18" t="inlineStr">
        <is>
          <t>Martin Savage</t>
        </is>
      </c>
      <c r="B5832" s="18" t="n">
        <v>1</v>
      </c>
      <c r="C5832" s="18" t="n">
        <v>2013</v>
      </c>
      <c r="D5832" s="18" t="n">
        <v>2013</v>
      </c>
      <c r="E5832" s="18" t="inlineStr">
        <is>
          <t>Rush</t>
        </is>
      </c>
      <c r="F5832" s="18" t="inlineStr">
        <is>
          <t>F0270</t>
        </is>
      </c>
    </row>
    <row r="5833" ht="15.75" customHeight="1" s="108">
      <c r="A5833" s="18" t="inlineStr">
        <is>
          <t>Simon Taylor</t>
        </is>
      </c>
      <c r="B5833" s="18" t="n">
        <v>1</v>
      </c>
      <c r="C5833" s="18" t="n">
        <v>2013</v>
      </c>
      <c r="D5833" s="18" t="n">
        <v>2013</v>
      </c>
      <c r="E5833" s="18" t="inlineStr">
        <is>
          <t>Rush</t>
        </is>
      </c>
      <c r="F5833" s="18" t="inlineStr">
        <is>
          <t>F0270</t>
        </is>
      </c>
    </row>
    <row r="5834" ht="15.75" customHeight="1" s="108">
      <c r="A5834" s="18" t="inlineStr">
        <is>
          <t>Rob Austin</t>
        </is>
      </c>
      <c r="B5834" s="18" t="n">
        <v>1</v>
      </c>
      <c r="C5834" s="18" t="n">
        <v>2013</v>
      </c>
      <c r="D5834" s="18" t="n">
        <v>2013</v>
      </c>
      <c r="E5834" s="18" t="inlineStr">
        <is>
          <t>Rush</t>
        </is>
      </c>
      <c r="F5834" s="18" t="inlineStr">
        <is>
          <t>F0270</t>
        </is>
      </c>
    </row>
    <row r="5835" ht="15.75" customHeight="1" s="108">
      <c r="A5835" s="18" t="inlineStr">
        <is>
          <t>Tom Wlaschiha</t>
        </is>
      </c>
      <c r="B5835" s="18" t="n">
        <v>1</v>
      </c>
      <c r="C5835" s="18" t="n">
        <v>2013</v>
      </c>
      <c r="D5835" s="18" t="n">
        <v>2013</v>
      </c>
      <c r="E5835" s="18" t="inlineStr">
        <is>
          <t>Rush</t>
        </is>
      </c>
      <c r="F5835" s="18" t="inlineStr">
        <is>
          <t>F0270</t>
        </is>
      </c>
    </row>
    <row r="5836" ht="15.75" customHeight="1" s="108">
      <c r="A5836" s="18" t="inlineStr">
        <is>
          <t>Cristian Solimeno</t>
        </is>
      </c>
      <c r="B5836" s="18" t="n">
        <v>1</v>
      </c>
      <c r="C5836" s="18" t="n">
        <v>2013</v>
      </c>
      <c r="D5836" s="18" t="n">
        <v>2013</v>
      </c>
      <c r="E5836" s="18" t="inlineStr">
        <is>
          <t>Rush</t>
        </is>
      </c>
      <c r="F5836" s="18" t="inlineStr">
        <is>
          <t>F0270</t>
        </is>
      </c>
    </row>
    <row r="5837" ht="15.75" customHeight="1" s="108">
      <c r="A5837" s="18" t="inlineStr">
        <is>
          <t>James Norton</t>
        </is>
      </c>
      <c r="B5837" s="18" t="n">
        <v>1</v>
      </c>
      <c r="C5837" s="18" t="n">
        <v>2013</v>
      </c>
      <c r="D5837" s="18" t="n">
        <v>2013</v>
      </c>
      <c r="E5837" s="18" t="inlineStr">
        <is>
          <t>Rush</t>
        </is>
      </c>
      <c r="F5837" s="18" t="inlineStr">
        <is>
          <t>F0270</t>
        </is>
      </c>
    </row>
    <row r="5838" ht="15.75" customHeight="1" s="108">
      <c r="A5838" s="18" t="inlineStr">
        <is>
          <t>Geoffrey Streatfeild</t>
        </is>
      </c>
      <c r="B5838" s="18" t="n">
        <v>1</v>
      </c>
      <c r="C5838" s="18" t="n">
        <v>2013</v>
      </c>
      <c r="D5838" s="18" t="n">
        <v>2013</v>
      </c>
      <c r="E5838" s="18" t="inlineStr">
        <is>
          <t>Rush</t>
        </is>
      </c>
      <c r="F5838" s="18" t="inlineStr">
        <is>
          <t>F0270</t>
        </is>
      </c>
    </row>
    <row r="5839" ht="15.75" customHeight="1" s="108">
      <c r="A5839" s="18" t="inlineStr">
        <is>
          <t>Julien Vialon</t>
        </is>
      </c>
      <c r="B5839" s="18" t="n">
        <v>1</v>
      </c>
      <c r="C5839" s="18" t="n">
        <v>2013</v>
      </c>
      <c r="D5839" s="18" t="n">
        <v>2013</v>
      </c>
      <c r="E5839" s="18" t="inlineStr">
        <is>
          <t>Rush</t>
        </is>
      </c>
      <c r="F5839" s="18" t="inlineStr">
        <is>
          <t>F0270</t>
        </is>
      </c>
    </row>
    <row r="5840" ht="15.75" customHeight="1" s="108">
      <c r="A5840" s="18" t="inlineStr">
        <is>
          <t>Douglas Reith</t>
        </is>
      </c>
      <c r="B5840" s="18" t="n">
        <v>1</v>
      </c>
      <c r="C5840" s="18" t="n">
        <v>2013</v>
      </c>
      <c r="D5840" s="18" t="n">
        <v>2013</v>
      </c>
      <c r="E5840" s="18" t="inlineStr">
        <is>
          <t>Rush</t>
        </is>
      </c>
      <c r="F5840" s="18" t="inlineStr">
        <is>
          <t>F0270</t>
        </is>
      </c>
    </row>
    <row r="5841" ht="15.75" customHeight="1" s="108">
      <c r="A5841" s="18" t="inlineStr">
        <is>
          <t>Polly Furnival</t>
        </is>
      </c>
      <c r="B5841" s="18" t="n">
        <v>1</v>
      </c>
      <c r="C5841" s="18" t="n">
        <v>2013</v>
      </c>
      <c r="D5841" s="18" t="n">
        <v>2013</v>
      </c>
      <c r="E5841" s="18" t="inlineStr">
        <is>
          <t>Rush</t>
        </is>
      </c>
      <c r="F5841" s="18" t="inlineStr">
        <is>
          <t>F0270</t>
        </is>
      </c>
    </row>
    <row r="5842" ht="15.75" customHeight="1" s="108">
      <c r="A5842" s="18" t="inlineStr">
        <is>
          <t>Brooke Johnston</t>
        </is>
      </c>
      <c r="B5842" s="18" t="n">
        <v>1</v>
      </c>
      <c r="C5842" s="18" t="n">
        <v>2013</v>
      </c>
      <c r="D5842" s="18" t="n">
        <v>2013</v>
      </c>
      <c r="E5842" s="18" t="inlineStr">
        <is>
          <t>Rush</t>
        </is>
      </c>
      <c r="F5842" s="18" t="inlineStr">
        <is>
          <t>F0270</t>
        </is>
      </c>
    </row>
    <row r="5843" ht="15.75" customHeight="1" s="108">
      <c r="A5843" s="18" t="inlineStr">
        <is>
          <t>Roman Polanski</t>
        </is>
      </c>
      <c r="B5843" s="18" t="n">
        <v>1</v>
      </c>
      <c r="C5843" s="18" t="n">
        <v>2007</v>
      </c>
      <c r="D5843" s="18" t="n">
        <v>2007</v>
      </c>
      <c r="E5843" s="18" t="inlineStr">
        <is>
          <t>Rush Hour 3</t>
        </is>
      </c>
      <c r="F5843" s="18" t="inlineStr">
        <is>
          <t>F0271</t>
        </is>
      </c>
    </row>
    <row r="5844" ht="15.75" customHeight="1" s="108">
      <c r="A5844" s="18" t="inlineStr">
        <is>
          <t>Noémie Lenoir</t>
        </is>
      </c>
      <c r="B5844" s="18" t="n">
        <v>2</v>
      </c>
      <c r="C5844" s="18" t="n">
        <v>2007</v>
      </c>
      <c r="D5844" s="18" t="n">
        <v>2015</v>
      </c>
      <c r="E5844" s="18" t="inlineStr">
        <is>
          <t>Rush Hour 3, The Transporter Refueled</t>
        </is>
      </c>
      <c r="F5844" s="18" t="inlineStr">
        <is>
          <t>F0271, F0323</t>
        </is>
      </c>
    </row>
    <row r="5845" ht="15.75" customHeight="1" s="108">
      <c r="A5845" s="18" t="inlineStr">
        <is>
          <t>Youki Kudoh</t>
        </is>
      </c>
      <c r="B5845" s="18" t="n">
        <v>1</v>
      </c>
      <c r="C5845" s="18" t="n">
        <v>2007</v>
      </c>
      <c r="D5845" s="18" t="n">
        <v>2007</v>
      </c>
      <c r="E5845" s="18" t="inlineStr">
        <is>
          <t>Rush Hour 3</t>
        </is>
      </c>
      <c r="F5845" s="18" t="inlineStr">
        <is>
          <t>F0271</t>
        </is>
      </c>
    </row>
    <row r="5846" ht="15.75" customHeight="1" s="108">
      <c r="A5846" s="18" t="inlineStr">
        <is>
          <t>Tzi Ma</t>
        </is>
      </c>
      <c r="B5846" s="18" t="n">
        <v>1</v>
      </c>
      <c r="C5846" s="18" t="n">
        <v>2007</v>
      </c>
      <c r="D5846" s="18" t="n">
        <v>2007</v>
      </c>
      <c r="E5846" s="18" t="inlineStr">
        <is>
          <t>Rush Hour 3</t>
        </is>
      </c>
      <c r="F5846" s="18" t="inlineStr">
        <is>
          <t>F0271</t>
        </is>
      </c>
    </row>
    <row r="5847" ht="15.75" customHeight="1" s="108">
      <c r="A5847" s="18" t="inlineStr">
        <is>
          <t>Dana Ivey</t>
        </is>
      </c>
      <c r="B5847" s="18" t="n">
        <v>1</v>
      </c>
      <c r="C5847" s="18" t="n">
        <v>2007</v>
      </c>
      <c r="D5847" s="18" t="n">
        <v>2007</v>
      </c>
      <c r="E5847" s="18" t="inlineStr">
        <is>
          <t>Rush Hour 3</t>
        </is>
      </c>
      <c r="F5847" s="18" t="inlineStr">
        <is>
          <t>F0271</t>
        </is>
      </c>
    </row>
    <row r="5848" ht="15.75" customHeight="1" s="108">
      <c r="A5848" s="18" t="inlineStr">
        <is>
          <t>Mia Tyler</t>
        </is>
      </c>
      <c r="B5848" s="18" t="n">
        <v>1</v>
      </c>
      <c r="C5848" s="18" t="n">
        <v>2007</v>
      </c>
      <c r="D5848" s="18" t="n">
        <v>2007</v>
      </c>
      <c r="E5848" s="18" t="inlineStr">
        <is>
          <t>Rush Hour 3</t>
        </is>
      </c>
      <c r="F5848" s="18" t="inlineStr">
        <is>
          <t>F0271</t>
        </is>
      </c>
    </row>
    <row r="5849" ht="15.75" customHeight="1" s="108">
      <c r="A5849" s="18" t="inlineStr">
        <is>
          <t>Michael Chow</t>
        </is>
      </c>
      <c r="B5849" s="18" t="n">
        <v>1</v>
      </c>
      <c r="C5849" s="18" t="n">
        <v>2007</v>
      </c>
      <c r="D5849" s="18" t="n">
        <v>2007</v>
      </c>
      <c r="E5849" s="18" t="inlineStr">
        <is>
          <t>Rush Hour 3</t>
        </is>
      </c>
      <c r="F5849" s="18" t="inlineStr">
        <is>
          <t>F0271</t>
        </is>
      </c>
    </row>
    <row r="5850" ht="15.75" customHeight="1" s="108">
      <c r="A5850" s="18" t="inlineStr">
        <is>
          <t>Kentaro</t>
        </is>
      </c>
      <c r="B5850" s="18" t="n">
        <v>1</v>
      </c>
      <c r="C5850" s="18" t="n">
        <v>2007</v>
      </c>
      <c r="D5850" s="18" t="n">
        <v>2007</v>
      </c>
      <c r="E5850" s="18" t="inlineStr">
        <is>
          <t>Rush Hour 3</t>
        </is>
      </c>
      <c r="F5850" s="18" t="inlineStr">
        <is>
          <t>F0271</t>
        </is>
      </c>
    </row>
    <row r="5851" ht="15.75" customHeight="1" s="108">
      <c r="A5851" s="18" t="inlineStr">
        <is>
          <t>Ann Christine</t>
        </is>
      </c>
      <c r="B5851" s="18" t="n">
        <v>1</v>
      </c>
      <c r="C5851" s="18" t="n">
        <v>2007</v>
      </c>
      <c r="D5851" s="18" t="n">
        <v>2007</v>
      </c>
      <c r="E5851" s="18" t="inlineStr">
        <is>
          <t>Rush Hour 3</t>
        </is>
      </c>
      <c r="F5851" s="18" t="inlineStr">
        <is>
          <t>F0271</t>
        </is>
      </c>
    </row>
    <row r="5852" ht="15.75" customHeight="1" s="108">
      <c r="A5852" s="18" t="inlineStr">
        <is>
          <t>Darryl Chan</t>
        </is>
      </c>
      <c r="B5852" s="18" t="n">
        <v>1</v>
      </c>
      <c r="C5852" s="18" t="n">
        <v>2007</v>
      </c>
      <c r="D5852" s="18" t="n">
        <v>2007</v>
      </c>
      <c r="E5852" s="18" t="inlineStr">
        <is>
          <t>Rush Hour 3</t>
        </is>
      </c>
      <c r="F5852" s="18" t="inlineStr">
        <is>
          <t>F0271</t>
        </is>
      </c>
    </row>
    <row r="5853" ht="15.75" customHeight="1" s="108">
      <c r="A5853" s="18" t="inlineStr">
        <is>
          <t>Sarah Shahi</t>
        </is>
      </c>
      <c r="B5853" s="18" t="n">
        <v>1</v>
      </c>
      <c r="C5853" s="18" t="n">
        <v>2007</v>
      </c>
      <c r="D5853" s="18" t="n">
        <v>2007</v>
      </c>
      <c r="E5853" s="18" t="inlineStr">
        <is>
          <t>Rush Hour 3</t>
        </is>
      </c>
      <c r="F5853" s="18" t="inlineStr">
        <is>
          <t>F0271</t>
        </is>
      </c>
    </row>
    <row r="5854" ht="15.75" customHeight="1" s="108">
      <c r="A5854" s="18" t="inlineStr">
        <is>
          <t>Arnold Chon</t>
        </is>
      </c>
      <c r="B5854" s="18" t="n">
        <v>1</v>
      </c>
      <c r="C5854" s="18" t="n">
        <v>2007</v>
      </c>
      <c r="D5854" s="18" t="n">
        <v>2007</v>
      </c>
      <c r="E5854" s="18" t="inlineStr">
        <is>
          <t>Rush Hour 3</t>
        </is>
      </c>
      <c r="F5854" s="18" t="inlineStr">
        <is>
          <t>F0271</t>
        </is>
      </c>
    </row>
    <row r="5855" ht="15.75" customHeight="1" s="108">
      <c r="A5855" s="18" t="inlineStr">
        <is>
          <t>Simon Rhee</t>
        </is>
      </c>
      <c r="B5855" s="18" t="n">
        <v>1</v>
      </c>
      <c r="C5855" s="18" t="n">
        <v>2007</v>
      </c>
      <c r="D5855" s="18" t="n">
        <v>2007</v>
      </c>
      <c r="E5855" s="18" t="inlineStr">
        <is>
          <t>Rush Hour 3</t>
        </is>
      </c>
      <c r="F5855" s="18" t="inlineStr">
        <is>
          <t>F0271</t>
        </is>
      </c>
    </row>
    <row r="5856" ht="15.75" customHeight="1" s="108">
      <c r="A5856" s="18" t="inlineStr">
        <is>
          <t>Marc Hoang</t>
        </is>
      </c>
      <c r="B5856" s="18" t="n">
        <v>1</v>
      </c>
      <c r="C5856" s="18" t="n">
        <v>2007</v>
      </c>
      <c r="D5856" s="18" t="n">
        <v>2007</v>
      </c>
      <c r="E5856" s="18" t="inlineStr">
        <is>
          <t>Rush Hour 3</t>
        </is>
      </c>
      <c r="F5856" s="18" t="inlineStr">
        <is>
          <t>F0271</t>
        </is>
      </c>
    </row>
    <row r="5857" ht="15.75" customHeight="1" s="108">
      <c r="A5857" s="18" t="inlineStr">
        <is>
          <t>David Niven Jr.</t>
        </is>
      </c>
      <c r="B5857" s="18" t="n">
        <v>1</v>
      </c>
      <c r="C5857" s="18" t="n">
        <v>2007</v>
      </c>
      <c r="D5857" s="18" t="n">
        <v>2007</v>
      </c>
      <c r="E5857" s="18" t="inlineStr">
        <is>
          <t>Rush Hour 3</t>
        </is>
      </c>
      <c r="F5857" s="18" t="inlineStr">
        <is>
          <t>F0271</t>
        </is>
      </c>
    </row>
    <row r="5858" ht="15.75" customHeight="1" s="108">
      <c r="A5858" s="18" t="inlineStr">
        <is>
          <t>Oanh Nguyen</t>
        </is>
      </c>
      <c r="B5858" s="18" t="n">
        <v>1</v>
      </c>
      <c r="C5858" s="18" t="n">
        <v>2007</v>
      </c>
      <c r="D5858" s="18" t="n">
        <v>2007</v>
      </c>
      <c r="E5858" s="18" t="inlineStr">
        <is>
          <t>Rush Hour 3</t>
        </is>
      </c>
      <c r="F5858" s="18" t="inlineStr">
        <is>
          <t>F0271</t>
        </is>
      </c>
    </row>
    <row r="5859" ht="15.75" customHeight="1" s="108">
      <c r="A5859" s="18" t="inlineStr">
        <is>
          <t>Andrew Quang</t>
        </is>
      </c>
      <c r="B5859" s="18" t="n">
        <v>1</v>
      </c>
      <c r="C5859" s="18" t="n">
        <v>2007</v>
      </c>
      <c r="D5859" s="18" t="n">
        <v>2007</v>
      </c>
      <c r="E5859" s="18" t="inlineStr">
        <is>
          <t>Rush Hour 3</t>
        </is>
      </c>
      <c r="F5859" s="18" t="inlineStr">
        <is>
          <t>F0271</t>
        </is>
      </c>
    </row>
    <row r="5860" ht="15.75" customHeight="1" s="108">
      <c r="A5860" s="18" t="inlineStr">
        <is>
          <t>Sun Mingming</t>
        </is>
      </c>
      <c r="B5860" s="18" t="n">
        <v>1</v>
      </c>
      <c r="C5860" s="18" t="n">
        <v>2007</v>
      </c>
      <c r="D5860" s="18" t="n">
        <v>2007</v>
      </c>
      <c r="E5860" s="18" t="inlineStr">
        <is>
          <t>Rush Hour 3</t>
        </is>
      </c>
      <c r="F5860" s="18" t="inlineStr">
        <is>
          <t>F0271</t>
        </is>
      </c>
    </row>
    <row r="5861" ht="15.75" customHeight="1" s="108">
      <c r="A5861" s="18" t="inlineStr">
        <is>
          <t>Lisa Thornhill</t>
        </is>
      </c>
      <c r="B5861" s="18" t="n">
        <v>1</v>
      </c>
      <c r="C5861" s="18" t="n">
        <v>2007</v>
      </c>
      <c r="D5861" s="18" t="n">
        <v>2007</v>
      </c>
      <c r="E5861" s="18" t="inlineStr">
        <is>
          <t>Rush Hour 3</t>
        </is>
      </c>
      <c r="F5861" s="18" t="inlineStr">
        <is>
          <t>F0271</t>
        </is>
      </c>
    </row>
    <row r="5862" ht="15.75" customHeight="1" s="108">
      <c r="A5862" s="18" t="inlineStr">
        <is>
          <t>Ludovic Paris</t>
        </is>
      </c>
      <c r="B5862" s="18" t="n">
        <v>1</v>
      </c>
      <c r="C5862" s="18" t="n">
        <v>2007</v>
      </c>
      <c r="D5862" s="18" t="n">
        <v>2007</v>
      </c>
      <c r="E5862" s="18" t="inlineStr">
        <is>
          <t>Rush Hour 3</t>
        </is>
      </c>
      <c r="F5862" s="18" t="inlineStr">
        <is>
          <t>F0271</t>
        </is>
      </c>
    </row>
    <row r="5863" ht="15.75" customHeight="1" s="108">
      <c r="A5863" s="18" t="inlineStr">
        <is>
          <t>Richard Dieux</t>
        </is>
      </c>
      <c r="B5863" s="18" t="n">
        <v>1</v>
      </c>
      <c r="C5863" s="18" t="n">
        <v>2007</v>
      </c>
      <c r="D5863" s="18" t="n">
        <v>2007</v>
      </c>
      <c r="E5863" s="18" t="inlineStr">
        <is>
          <t>Rush Hour 3</t>
        </is>
      </c>
      <c r="F5863" s="18" t="inlineStr">
        <is>
          <t>F0271</t>
        </is>
      </c>
    </row>
    <row r="5864" ht="15.75" customHeight="1" s="108">
      <c r="A5864" s="18" t="inlineStr">
        <is>
          <t>Rubén Blades</t>
        </is>
      </c>
      <c r="B5864" s="18" t="n">
        <v>1</v>
      </c>
      <c r="C5864" s="18" t="n">
        <v>2012</v>
      </c>
      <c r="D5864" s="18" t="n">
        <v>2012</v>
      </c>
      <c r="E5864" s="18" t="inlineStr">
        <is>
          <t>Safe House</t>
        </is>
      </c>
      <c r="F5864" s="18" t="inlineStr">
        <is>
          <t>F0272</t>
        </is>
      </c>
    </row>
    <row r="5865" ht="15.75" customHeight="1" s="108">
      <c r="A5865" s="18" t="inlineStr">
        <is>
          <t>Nora Arnezeder</t>
        </is>
      </c>
      <c r="B5865" s="18" t="n">
        <v>1</v>
      </c>
      <c r="C5865" s="18" t="n">
        <v>2012</v>
      </c>
      <c r="D5865" s="18" t="n">
        <v>2012</v>
      </c>
      <c r="E5865" s="18" t="inlineStr">
        <is>
          <t>Safe House</t>
        </is>
      </c>
      <c r="F5865" s="18" t="inlineStr">
        <is>
          <t>F0272</t>
        </is>
      </c>
    </row>
    <row r="5866" ht="15.75" customHeight="1" s="108">
      <c r="A5866" s="18" t="inlineStr">
        <is>
          <t>Fares Fares</t>
        </is>
      </c>
      <c r="B5866" s="18" t="n">
        <v>3</v>
      </c>
      <c r="C5866" s="18" t="n">
        <v>2012</v>
      </c>
      <c r="D5866" s="18" t="n">
        <v>2016</v>
      </c>
      <c r="E5866" s="18" t="inlineStr">
        <is>
          <t>Safe House, Zero Dark Thirty, Rogue one</t>
        </is>
      </c>
      <c r="F5866" s="18" t="inlineStr">
        <is>
          <t>F0272, F0349, F0385</t>
        </is>
      </c>
    </row>
    <row r="5867" ht="15.75" customHeight="1" s="108">
      <c r="A5867" s="18" t="inlineStr">
        <is>
          <t>Jenna Dover</t>
        </is>
      </c>
      <c r="B5867" s="18" t="n">
        <v>1</v>
      </c>
      <c r="C5867" s="18" t="n">
        <v>2012</v>
      </c>
      <c r="D5867" s="18" t="n">
        <v>2012</v>
      </c>
      <c r="E5867" s="18" t="inlineStr">
        <is>
          <t>Safe House</t>
        </is>
      </c>
      <c r="F5867" s="18" t="inlineStr">
        <is>
          <t>F0272</t>
        </is>
      </c>
    </row>
    <row r="5868" ht="15.75" customHeight="1" s="108">
      <c r="A5868" s="18" t="inlineStr">
        <is>
          <t>Stephen Rider</t>
        </is>
      </c>
      <c r="B5868" s="18" t="n">
        <v>1</v>
      </c>
      <c r="C5868" s="18" t="n">
        <v>2012</v>
      </c>
      <c r="D5868" s="18" t="n">
        <v>2012</v>
      </c>
      <c r="E5868" s="18" t="inlineStr">
        <is>
          <t>Safe House</t>
        </is>
      </c>
      <c r="F5868" s="18" t="inlineStr">
        <is>
          <t>F0272</t>
        </is>
      </c>
    </row>
    <row r="5869" ht="15.75" customHeight="1" s="108">
      <c r="A5869" s="18" t="inlineStr">
        <is>
          <t>Daniel Fox</t>
        </is>
      </c>
      <c r="B5869" s="18" t="n">
        <v>1</v>
      </c>
      <c r="C5869" s="18" t="n">
        <v>2012</v>
      </c>
      <c r="D5869" s="18" t="n">
        <v>2012</v>
      </c>
      <c r="E5869" s="18" t="inlineStr">
        <is>
          <t>Safe House</t>
        </is>
      </c>
      <c r="F5869" s="18" t="inlineStr">
        <is>
          <t>F0272</t>
        </is>
      </c>
    </row>
    <row r="5870" ht="15.75" customHeight="1" s="108">
      <c r="A5870" s="18" t="inlineStr">
        <is>
          <t>Tracie Thoms</t>
        </is>
      </c>
      <c r="B5870" s="18" t="n">
        <v>1</v>
      </c>
      <c r="C5870" s="18" t="n">
        <v>2012</v>
      </c>
      <c r="D5870" s="18" t="n">
        <v>2012</v>
      </c>
      <c r="E5870" s="18" t="inlineStr">
        <is>
          <t>Safe House</t>
        </is>
      </c>
      <c r="F5870" s="18" t="inlineStr">
        <is>
          <t>F0272</t>
        </is>
      </c>
    </row>
    <row r="5871" ht="15.75" customHeight="1" s="108">
      <c r="A5871" s="18" t="inlineStr">
        <is>
          <t>Stephen Bishop</t>
        </is>
      </c>
      <c r="B5871" s="18" t="n">
        <v>1</v>
      </c>
      <c r="C5871" s="18" t="n">
        <v>2012</v>
      </c>
      <c r="D5871" s="18" t="n">
        <v>2012</v>
      </c>
      <c r="E5871" s="18" t="inlineStr">
        <is>
          <t>Safe House</t>
        </is>
      </c>
      <c r="F5871" s="18" t="inlineStr">
        <is>
          <t>F0272</t>
        </is>
      </c>
    </row>
    <row r="5872" ht="15.75" customHeight="1" s="108">
      <c r="A5872" s="18" t="inlineStr">
        <is>
          <t>Tanit Phoenix</t>
        </is>
      </c>
      <c r="B5872" s="18" t="n">
        <v>1</v>
      </c>
      <c r="C5872" s="18" t="n">
        <v>2012</v>
      </c>
      <c r="D5872" s="18" t="n">
        <v>2012</v>
      </c>
      <c r="E5872" s="18" t="inlineStr">
        <is>
          <t>Safe House</t>
        </is>
      </c>
      <c r="F5872" s="18" t="inlineStr">
        <is>
          <t>F0272</t>
        </is>
      </c>
    </row>
    <row r="5873" ht="15.75" customHeight="1" s="108">
      <c r="A5873" s="18" t="inlineStr">
        <is>
          <t>Sara Arrington</t>
        </is>
      </c>
      <c r="B5873" s="18" t="n">
        <v>1</v>
      </c>
      <c r="C5873" s="18" t="n">
        <v>2012</v>
      </c>
      <c r="D5873" s="18" t="n">
        <v>2012</v>
      </c>
      <c r="E5873" s="18" t="inlineStr">
        <is>
          <t>Safe House</t>
        </is>
      </c>
      <c r="F5873" s="18" t="inlineStr">
        <is>
          <t>F0272</t>
        </is>
      </c>
    </row>
    <row r="5874" ht="15.75" customHeight="1" s="108">
      <c r="A5874" s="18" t="inlineStr">
        <is>
          <t>Kenneth Fok</t>
        </is>
      </c>
      <c r="B5874" s="18" t="n">
        <v>1</v>
      </c>
      <c r="C5874" s="18" t="n">
        <v>2012</v>
      </c>
      <c r="D5874" s="18" t="n">
        <v>2012</v>
      </c>
      <c r="E5874" s="18" t="inlineStr">
        <is>
          <t>Safe House</t>
        </is>
      </c>
      <c r="F5874" s="18" t="inlineStr">
        <is>
          <t>F0272</t>
        </is>
      </c>
    </row>
    <row r="5875" ht="15.75" customHeight="1" s="108">
      <c r="A5875" s="18" t="inlineStr">
        <is>
          <t>Nicole Sherwin</t>
        </is>
      </c>
      <c r="B5875" s="18" t="n">
        <v>1</v>
      </c>
      <c r="C5875" s="18" t="n">
        <v>2012</v>
      </c>
      <c r="D5875" s="18" t="n">
        <v>2012</v>
      </c>
      <c r="E5875" s="18" t="inlineStr">
        <is>
          <t>Safe House</t>
        </is>
      </c>
      <c r="F5875" s="18" t="inlineStr">
        <is>
          <t>F0272</t>
        </is>
      </c>
    </row>
    <row r="5876" ht="15.75" customHeight="1" s="108">
      <c r="A5876" s="18" t="inlineStr">
        <is>
          <t>Sherry Stone</t>
        </is>
      </c>
      <c r="B5876" s="18" t="n">
        <v>1</v>
      </c>
      <c r="C5876" s="18" t="n">
        <v>2012</v>
      </c>
      <c r="D5876" s="18" t="n">
        <v>2012</v>
      </c>
      <c r="E5876" s="18" t="inlineStr">
        <is>
          <t>Safe House</t>
        </is>
      </c>
      <c r="F5876" s="18" t="inlineStr">
        <is>
          <t>F0272</t>
        </is>
      </c>
    </row>
    <row r="5877" ht="15.75" customHeight="1" s="108">
      <c r="A5877" s="18" t="inlineStr">
        <is>
          <t>Sebastian Roché</t>
        </is>
      </c>
      <c r="B5877" s="18" t="n">
        <v>1</v>
      </c>
      <c r="C5877" s="18" t="n">
        <v>2012</v>
      </c>
      <c r="D5877" s="18" t="n">
        <v>2012</v>
      </c>
      <c r="E5877" s="18" t="inlineStr">
        <is>
          <t>Safe House</t>
        </is>
      </c>
      <c r="F5877" s="18" t="inlineStr">
        <is>
          <t>F0272</t>
        </is>
      </c>
    </row>
    <row r="5878" ht="15.75" customHeight="1" s="108">
      <c r="A5878" s="18" t="inlineStr">
        <is>
          <t>Jody J. Abrahams</t>
        </is>
      </c>
      <c r="B5878" s="18" t="n">
        <v>1</v>
      </c>
      <c r="C5878" s="18" t="n">
        <v>2012</v>
      </c>
      <c r="D5878" s="18" t="n">
        <v>2012</v>
      </c>
      <c r="E5878" s="18" t="inlineStr">
        <is>
          <t>Safe House</t>
        </is>
      </c>
      <c r="F5878" s="18" t="inlineStr">
        <is>
          <t>F0272</t>
        </is>
      </c>
    </row>
    <row r="5879" ht="15.75" customHeight="1" s="108">
      <c r="A5879" s="18" t="inlineStr">
        <is>
          <t>Pope Jerrod</t>
        </is>
      </c>
      <c r="B5879" s="18" t="n">
        <v>1</v>
      </c>
      <c r="C5879" s="18" t="n">
        <v>2012</v>
      </c>
      <c r="D5879" s="18" t="n">
        <v>2012</v>
      </c>
      <c r="E5879" s="18" t="inlineStr">
        <is>
          <t>Safe House</t>
        </is>
      </c>
      <c r="F5879" s="18" t="inlineStr">
        <is>
          <t>F0272</t>
        </is>
      </c>
    </row>
    <row r="5880" ht="15.75" customHeight="1" s="108">
      <c r="A5880" s="18" t="inlineStr">
        <is>
          <t>Jerry Mofokeng</t>
        </is>
      </c>
      <c r="B5880" s="18" t="n">
        <v>1</v>
      </c>
      <c r="C5880" s="18" t="n">
        <v>2012</v>
      </c>
      <c r="D5880" s="18" t="n">
        <v>2012</v>
      </c>
      <c r="E5880" s="18" t="inlineStr">
        <is>
          <t>Safe House</t>
        </is>
      </c>
      <c r="F5880" s="18" t="inlineStr">
        <is>
          <t>F0272</t>
        </is>
      </c>
    </row>
    <row r="5881" ht="15.75" customHeight="1" s="108">
      <c r="A5881" s="18" t="inlineStr">
        <is>
          <t>Bryan van Niekerk</t>
        </is>
      </c>
      <c r="B5881" s="18" t="n">
        <v>1</v>
      </c>
      <c r="C5881" s="18" t="n">
        <v>2012</v>
      </c>
      <c r="D5881" s="18" t="n">
        <v>2012</v>
      </c>
      <c r="E5881" s="18" t="inlineStr">
        <is>
          <t>Safe House</t>
        </is>
      </c>
      <c r="F5881" s="18" t="inlineStr">
        <is>
          <t>F0272</t>
        </is>
      </c>
    </row>
    <row r="5882" ht="15.75" customHeight="1" s="108">
      <c r="A5882" s="18" t="inlineStr">
        <is>
          <t>Allen Irwin</t>
        </is>
      </c>
      <c r="B5882" s="18" t="n">
        <v>1</v>
      </c>
      <c r="C5882" s="18" t="n">
        <v>2012</v>
      </c>
      <c r="D5882" s="18" t="n">
        <v>2012</v>
      </c>
      <c r="E5882" s="18" t="inlineStr">
        <is>
          <t>Safe House</t>
        </is>
      </c>
      <c r="F5882" s="18" t="inlineStr">
        <is>
          <t>F0272</t>
        </is>
      </c>
    </row>
    <row r="5883" ht="15.75" customHeight="1" s="108">
      <c r="A5883" s="18" t="inlineStr">
        <is>
          <t>Jake McLaughlin</t>
        </is>
      </c>
      <c r="B5883" s="18" t="n">
        <v>2</v>
      </c>
      <c r="C5883" s="18" t="n">
        <v>2011</v>
      </c>
      <c r="D5883" s="18" t="n">
        <v>2012</v>
      </c>
      <c r="E5883" s="18" t="inlineStr">
        <is>
          <t>Safe House, Warrior</t>
        </is>
      </c>
      <c r="F5883" s="18" t="inlineStr">
        <is>
          <t>F0272, F0333</t>
        </is>
      </c>
    </row>
    <row r="5884" ht="15.75" customHeight="1" s="108">
      <c r="A5884" s="18" t="inlineStr">
        <is>
          <t>Aidan Bennetts</t>
        </is>
      </c>
      <c r="B5884" s="18" t="n">
        <v>1</v>
      </c>
      <c r="C5884" s="18" t="n">
        <v>2012</v>
      </c>
      <c r="D5884" s="18" t="n">
        <v>2012</v>
      </c>
      <c r="E5884" s="18" t="inlineStr">
        <is>
          <t>Safe House</t>
        </is>
      </c>
      <c r="F5884" s="18" t="inlineStr">
        <is>
          <t>F0272</t>
        </is>
      </c>
    </row>
    <row r="5885" ht="15.75" customHeight="1" s="108">
      <c r="A5885" s="18" t="inlineStr">
        <is>
          <t>Daniel Pearce</t>
        </is>
      </c>
      <c r="B5885" s="18" t="n">
        <v>1</v>
      </c>
      <c r="C5885" s="18" t="n">
        <v>2010</v>
      </c>
      <c r="D5885" s="18" t="n">
        <v>2010</v>
      </c>
      <c r="E5885" s="18" t="inlineStr">
        <is>
          <t>Salt</t>
        </is>
      </c>
      <c r="F5885" s="18" t="inlineStr">
        <is>
          <t>F0273</t>
        </is>
      </c>
    </row>
    <row r="5886" ht="15.75" customHeight="1" s="108">
      <c r="A5886" s="18" t="inlineStr">
        <is>
          <t>Hunt Block</t>
        </is>
      </c>
      <c r="B5886" s="18" t="n">
        <v>1</v>
      </c>
      <c r="C5886" s="18" t="n">
        <v>2010</v>
      </c>
      <c r="D5886" s="18" t="n">
        <v>2010</v>
      </c>
      <c r="E5886" s="18" t="inlineStr">
        <is>
          <t>Salt</t>
        </is>
      </c>
      <c r="F5886" s="18" t="inlineStr">
        <is>
          <t>F0273</t>
        </is>
      </c>
    </row>
    <row r="5887" ht="15.75" customHeight="1" s="108">
      <c r="A5887" s="18" t="inlineStr">
        <is>
          <t>Andre Braugher</t>
        </is>
      </c>
      <c r="B5887" s="18" t="n">
        <v>1</v>
      </c>
      <c r="C5887" s="18" t="n">
        <v>2010</v>
      </c>
      <c r="D5887" s="18" t="n">
        <v>2010</v>
      </c>
      <c r="E5887" s="18" t="inlineStr">
        <is>
          <t>Salt</t>
        </is>
      </c>
      <c r="F5887" s="18" t="inlineStr">
        <is>
          <t>F0273</t>
        </is>
      </c>
    </row>
    <row r="5888" ht="15.75" customHeight="1" s="108">
      <c r="A5888" s="18" t="inlineStr">
        <is>
          <t>Cassidy Hinkle</t>
        </is>
      </c>
      <c r="B5888" s="18" t="n">
        <v>1</v>
      </c>
      <c r="C5888" s="18" t="n">
        <v>2010</v>
      </c>
      <c r="D5888" s="18" t="n">
        <v>2010</v>
      </c>
      <c r="E5888" s="18" t="inlineStr">
        <is>
          <t>Salt</t>
        </is>
      </c>
      <c r="F5888" s="18" t="inlineStr">
        <is>
          <t>F0273</t>
        </is>
      </c>
    </row>
    <row r="5889" ht="15.75" customHeight="1" s="108">
      <c r="A5889" s="18" t="inlineStr">
        <is>
          <t>Vladislav Koulikov</t>
        </is>
      </c>
      <c r="B5889" s="18" t="n">
        <v>2</v>
      </c>
      <c r="C5889" s="18" t="n">
        <v>2010</v>
      </c>
      <c r="D5889" s="18" t="n">
        <v>2014</v>
      </c>
      <c r="E5889" s="18" t="inlineStr">
        <is>
          <t>Salt, john wick</t>
        </is>
      </c>
      <c r="F5889" s="18" t="inlineStr">
        <is>
          <t>F0273, F0374</t>
        </is>
      </c>
    </row>
    <row r="5890" ht="15.75" customHeight="1" s="108">
      <c r="A5890" s="18" t="inlineStr">
        <is>
          <t>Olya Zueva</t>
        </is>
      </c>
      <c r="B5890" s="18" t="n">
        <v>1</v>
      </c>
      <c r="C5890" s="18" t="n">
        <v>2010</v>
      </c>
      <c r="D5890" s="18" t="n">
        <v>2010</v>
      </c>
      <c r="E5890" s="18" t="inlineStr">
        <is>
          <t>Salt</t>
        </is>
      </c>
      <c r="F5890" s="18" t="inlineStr">
        <is>
          <t>F0273</t>
        </is>
      </c>
    </row>
    <row r="5891" ht="15.75" customHeight="1" s="108">
      <c r="A5891" s="18" t="inlineStr">
        <is>
          <t>Kevin O'Donnell</t>
        </is>
      </c>
      <c r="B5891" s="18" t="n">
        <v>1</v>
      </c>
      <c r="C5891" s="18" t="n">
        <v>2010</v>
      </c>
      <c r="D5891" s="18" t="n">
        <v>2010</v>
      </c>
      <c r="E5891" s="18" t="inlineStr">
        <is>
          <t>Salt</t>
        </is>
      </c>
      <c r="F5891" s="18" t="inlineStr">
        <is>
          <t>F0273</t>
        </is>
      </c>
    </row>
    <row r="5892" ht="15.75" customHeight="1" s="108">
      <c r="A5892" s="18" t="inlineStr">
        <is>
          <t>Gaius Charles</t>
        </is>
      </c>
      <c r="B5892" s="18" t="n">
        <v>1</v>
      </c>
      <c r="C5892" s="18" t="n">
        <v>2010</v>
      </c>
      <c r="D5892" s="18" t="n">
        <v>2010</v>
      </c>
      <c r="E5892" s="18" t="inlineStr">
        <is>
          <t>Salt</t>
        </is>
      </c>
      <c r="F5892" s="18" t="inlineStr">
        <is>
          <t>F0273</t>
        </is>
      </c>
    </row>
    <row r="5893" ht="15.75" customHeight="1" s="108">
      <c r="A5893" s="18" t="inlineStr">
        <is>
          <t>Zach Shaffer</t>
        </is>
      </c>
      <c r="B5893" s="18" t="n">
        <v>1</v>
      </c>
      <c r="C5893" s="18" t="n">
        <v>2010</v>
      </c>
      <c r="D5893" s="18" t="n">
        <v>2010</v>
      </c>
      <c r="E5893" s="18" t="inlineStr">
        <is>
          <t>Salt</t>
        </is>
      </c>
      <c r="F5893" s="18" t="inlineStr">
        <is>
          <t>F0273</t>
        </is>
      </c>
    </row>
    <row r="5894" ht="15.75" customHeight="1" s="108">
      <c r="A5894" s="18" t="inlineStr">
        <is>
          <t>Zoe Lister-Jones</t>
        </is>
      </c>
      <c r="B5894" s="18" t="n">
        <v>1</v>
      </c>
      <c r="C5894" s="18" t="n">
        <v>2010</v>
      </c>
      <c r="D5894" s="18" t="n">
        <v>2010</v>
      </c>
      <c r="E5894" s="18" t="inlineStr">
        <is>
          <t>Salt</t>
        </is>
      </c>
      <c r="F5894" s="18" t="inlineStr">
        <is>
          <t>F0273</t>
        </is>
      </c>
    </row>
    <row r="5895" ht="15.75" customHeight="1" s="108">
      <c r="A5895" s="18" t="inlineStr">
        <is>
          <t>Paul Juhn</t>
        </is>
      </c>
      <c r="B5895" s="18" t="n">
        <v>1</v>
      </c>
      <c r="C5895" s="18" t="n">
        <v>2010</v>
      </c>
      <c r="D5895" s="18" t="n">
        <v>2010</v>
      </c>
      <c r="E5895" s="18" t="inlineStr">
        <is>
          <t>Salt</t>
        </is>
      </c>
      <c r="F5895" s="18" t="inlineStr">
        <is>
          <t>F0273</t>
        </is>
      </c>
    </row>
    <row r="5896" ht="15.75" customHeight="1" s="108">
      <c r="A5896" s="18" t="inlineStr">
        <is>
          <t>Tika Sumpter</t>
        </is>
      </c>
      <c r="B5896" s="18" t="n">
        <v>3</v>
      </c>
      <c r="C5896" s="18" t="n">
        <v>2010</v>
      </c>
      <c r="D5896" s="18" t="n">
        <v>2025</v>
      </c>
      <c r="E5896" s="18" t="inlineStr">
        <is>
          <t>Salt, sonic the hedgehog, sonic the hedgehog 3</t>
        </is>
      </c>
      <c r="F5896" s="18" t="inlineStr">
        <is>
          <t>F0273, F0378, F0379</t>
        </is>
      </c>
    </row>
    <row r="5897" ht="15.75" customHeight="1" s="108">
      <c r="A5897" s="18" t="inlineStr">
        <is>
          <t>David Bishins</t>
        </is>
      </c>
      <c r="B5897" s="18" t="n">
        <v>1</v>
      </c>
      <c r="C5897" s="18" t="n">
        <v>2010</v>
      </c>
      <c r="D5897" s="18" t="n">
        <v>2010</v>
      </c>
      <c r="E5897" s="18" t="inlineStr">
        <is>
          <t>Salt</t>
        </is>
      </c>
      <c r="F5897" s="18" t="inlineStr">
        <is>
          <t>F0273</t>
        </is>
      </c>
    </row>
    <row r="5898" ht="15.75" customHeight="1" s="108">
      <c r="A5898" s="18" t="inlineStr">
        <is>
          <t>Yara Shahidi</t>
        </is>
      </c>
      <c r="B5898" s="18" t="n">
        <v>1</v>
      </c>
      <c r="C5898" s="18" t="n">
        <v>2010</v>
      </c>
      <c r="D5898" s="18" t="n">
        <v>2010</v>
      </c>
      <c r="E5898" s="18" t="inlineStr">
        <is>
          <t>Salt</t>
        </is>
      </c>
      <c r="F5898" s="18" t="inlineStr">
        <is>
          <t>F0273</t>
        </is>
      </c>
    </row>
    <row r="5899" ht="15.75" customHeight="1" s="108">
      <c r="A5899" s="18" t="inlineStr">
        <is>
          <t>Gary Wilmes</t>
        </is>
      </c>
      <c r="B5899" s="18" t="n">
        <v>1</v>
      </c>
      <c r="C5899" s="18" t="n">
        <v>2010</v>
      </c>
      <c r="D5899" s="18" t="n">
        <v>2010</v>
      </c>
      <c r="E5899" s="18" t="inlineStr">
        <is>
          <t>Salt</t>
        </is>
      </c>
      <c r="F5899" s="18" t="inlineStr">
        <is>
          <t>F0273</t>
        </is>
      </c>
    </row>
    <row r="5900" ht="15.75" customHeight="1" s="108">
      <c r="A5900" s="18" t="inlineStr">
        <is>
          <t>Jordan Lage</t>
        </is>
      </c>
      <c r="B5900" s="18" t="n">
        <v>1</v>
      </c>
      <c r="C5900" s="18" t="n">
        <v>2010</v>
      </c>
      <c r="D5900" s="18" t="n">
        <v>2010</v>
      </c>
      <c r="E5900" s="18" t="inlineStr">
        <is>
          <t>Salt</t>
        </is>
      </c>
      <c r="F5900" s="18" t="inlineStr">
        <is>
          <t>F0273</t>
        </is>
      </c>
    </row>
    <row r="5901" ht="15.75" customHeight="1" s="108">
      <c r="A5901" s="18" t="inlineStr">
        <is>
          <t>Jeremy Davidson</t>
        </is>
      </c>
      <c r="B5901" s="18" t="n">
        <v>1</v>
      </c>
      <c r="C5901" s="18" t="n">
        <v>2010</v>
      </c>
      <c r="D5901" s="18" t="n">
        <v>2010</v>
      </c>
      <c r="E5901" s="18" t="inlineStr">
        <is>
          <t>Salt</t>
        </is>
      </c>
      <c r="F5901" s="18" t="inlineStr">
        <is>
          <t>F0273</t>
        </is>
      </c>
    </row>
    <row r="5902" ht="15.75" customHeight="1" s="108">
      <c r="A5902" s="18" t="inlineStr">
        <is>
          <t>Michelle Ray Smith</t>
        </is>
      </c>
      <c r="B5902" s="18" t="n">
        <v>1</v>
      </c>
      <c r="C5902" s="18" t="n">
        <v>2010</v>
      </c>
      <c r="D5902" s="18" t="n">
        <v>2010</v>
      </c>
      <c r="E5902" s="18" t="inlineStr">
        <is>
          <t>Salt</t>
        </is>
      </c>
      <c r="F5902" s="18" t="inlineStr">
        <is>
          <t>F0273</t>
        </is>
      </c>
    </row>
    <row r="5903" ht="15.75" customHeight="1" s="108">
      <c r="A5903" s="18" t="inlineStr">
        <is>
          <t>Marion McCorry</t>
        </is>
      </c>
      <c r="B5903" s="18" t="n">
        <v>1</v>
      </c>
      <c r="C5903" s="18" t="n">
        <v>2010</v>
      </c>
      <c r="D5903" s="18" t="n">
        <v>2010</v>
      </c>
      <c r="E5903" s="18" t="inlineStr">
        <is>
          <t>Salt</t>
        </is>
      </c>
      <c r="F5903" s="18" t="inlineStr">
        <is>
          <t>F0273</t>
        </is>
      </c>
    </row>
    <row r="5904" ht="15.75" customHeight="1" s="108">
      <c r="A5904" s="18" t="inlineStr">
        <is>
          <t>Vladimir Tevlovski</t>
        </is>
      </c>
      <c r="B5904" s="18" t="n">
        <v>1</v>
      </c>
      <c r="C5904" s="18" t="n">
        <v>2010</v>
      </c>
      <c r="D5904" s="18" t="n">
        <v>2010</v>
      </c>
      <c r="E5904" s="18" t="inlineStr">
        <is>
          <t>Salt</t>
        </is>
      </c>
      <c r="F5904" s="18" t="inlineStr">
        <is>
          <t>F0273</t>
        </is>
      </c>
    </row>
    <row r="5905" ht="15.75" customHeight="1" s="108">
      <c r="A5905" s="18" t="inlineStr">
        <is>
          <t>Steve Cirbus</t>
        </is>
      </c>
      <c r="B5905" s="18" t="n">
        <v>1</v>
      </c>
      <c r="C5905" s="18" t="n">
        <v>2010</v>
      </c>
      <c r="D5905" s="18" t="n">
        <v>2010</v>
      </c>
      <c r="E5905" s="18" t="inlineStr">
        <is>
          <t>Salt</t>
        </is>
      </c>
      <c r="F5905" s="18" t="inlineStr">
        <is>
          <t>F0273</t>
        </is>
      </c>
    </row>
    <row r="5906" ht="15.75" customHeight="1" s="108">
      <c r="A5906" s="18" t="inlineStr">
        <is>
          <t>Roslyn Ruff</t>
        </is>
      </c>
      <c r="B5906" s="18" t="n">
        <v>1</v>
      </c>
      <c r="C5906" s="18" t="n">
        <v>2010</v>
      </c>
      <c r="D5906" s="18" t="n">
        <v>2010</v>
      </c>
      <c r="E5906" s="18" t="inlineStr">
        <is>
          <t>Salt</t>
        </is>
      </c>
      <c r="F5906" s="18" t="inlineStr">
        <is>
          <t>F0273</t>
        </is>
      </c>
    </row>
    <row r="5907" ht="15.75" customHeight="1" s="108">
      <c r="A5907" s="18" t="inlineStr">
        <is>
          <t>Lake Bell</t>
        </is>
      </c>
      <c r="B5907" s="18" t="n">
        <v>1</v>
      </c>
      <c r="C5907" s="18" t="n">
        <v>2016</v>
      </c>
      <c r="D5907" s="18" t="n">
        <v>2016</v>
      </c>
      <c r="E5907" s="18" t="inlineStr">
        <is>
          <t>The Secret Life of Pets</t>
        </is>
      </c>
      <c r="F5907" s="18" t="inlineStr">
        <is>
          <t>F0274</t>
        </is>
      </c>
    </row>
    <row r="5908" ht="15.75" customHeight="1" s="108">
      <c r="A5908" s="18" t="inlineStr">
        <is>
          <t>Dana Carvey</t>
        </is>
      </c>
      <c r="B5908" s="18" t="n">
        <v>1</v>
      </c>
      <c r="C5908" s="18" t="n">
        <v>2016</v>
      </c>
      <c r="D5908" s="18" t="n">
        <v>2016</v>
      </c>
      <c r="E5908" s="18" t="inlineStr">
        <is>
          <t>The Secret Life of Pets</t>
        </is>
      </c>
      <c r="F5908" s="18" t="inlineStr">
        <is>
          <t>F0274</t>
        </is>
      </c>
    </row>
    <row r="5909" ht="15.75" customHeight="1" s="108">
      <c r="A5909" s="18" t="inlineStr">
        <is>
          <t>Hannibal Buress</t>
        </is>
      </c>
      <c r="B5909" s="18" t="n">
        <v>1</v>
      </c>
      <c r="C5909" s="18" t="n">
        <v>2016</v>
      </c>
      <c r="D5909" s="18" t="n">
        <v>2016</v>
      </c>
      <c r="E5909" s="18" t="inlineStr">
        <is>
          <t>The Secret Life of Pets</t>
        </is>
      </c>
      <c r="F5909" s="18" t="inlineStr">
        <is>
          <t>F0274</t>
        </is>
      </c>
    </row>
    <row r="5910" ht="15.75" customHeight="1" s="108">
      <c r="A5910" s="18" t="inlineStr">
        <is>
          <t>Sandra Echeverría</t>
        </is>
      </c>
      <c r="B5910" s="18" t="n">
        <v>1</v>
      </c>
      <c r="C5910" s="18" t="n">
        <v>2016</v>
      </c>
      <c r="D5910" s="18" t="n">
        <v>2016</v>
      </c>
      <c r="E5910" s="18" t="inlineStr">
        <is>
          <t>The Secret Life of Pets</t>
        </is>
      </c>
      <c r="F5910" s="18" t="inlineStr">
        <is>
          <t>F0274</t>
        </is>
      </c>
    </row>
    <row r="5911" ht="15.75" customHeight="1" s="108">
      <c r="A5911" s="18" t="inlineStr">
        <is>
          <t>Jaime Camil</t>
        </is>
      </c>
      <c r="B5911" s="18" t="n">
        <v>1</v>
      </c>
      <c r="C5911" s="18" t="n">
        <v>2016</v>
      </c>
      <c r="D5911" s="18" t="n">
        <v>2016</v>
      </c>
      <c r="E5911" s="18" t="inlineStr">
        <is>
          <t>The Secret Life of Pets</t>
        </is>
      </c>
      <c r="F5911" s="18" t="inlineStr">
        <is>
          <t>F0274</t>
        </is>
      </c>
    </row>
    <row r="5912" ht="15.75" customHeight="1" s="108">
      <c r="A5912" s="18" t="inlineStr">
        <is>
          <t>Kiely Renaud</t>
        </is>
      </c>
      <c r="B5912" s="18" t="n">
        <v>1</v>
      </c>
      <c r="C5912" s="18" t="n">
        <v>2016</v>
      </c>
      <c r="D5912" s="18" t="n">
        <v>2016</v>
      </c>
      <c r="E5912" s="18" t="inlineStr">
        <is>
          <t>The Secret Life of Pets</t>
        </is>
      </c>
      <c r="F5912" s="18" t="inlineStr">
        <is>
          <t>F0274</t>
        </is>
      </c>
    </row>
    <row r="5913" ht="15.75" customHeight="1" s="108">
      <c r="A5913" s="18" t="inlineStr">
        <is>
          <t>Tara Strong</t>
        </is>
      </c>
      <c r="B5913" s="18" t="n">
        <v>2</v>
      </c>
      <c r="C5913" s="18" t="n">
        <v>2016</v>
      </c>
      <c r="D5913" s="18" t="n">
        <v>2016</v>
      </c>
      <c r="E5913" s="18" t="inlineStr">
        <is>
          <t>The Secret Life of Pets, Lego DC Comics Super Heroes: Justice League - Gotham City Breakout</t>
        </is>
      </c>
      <c r="F5913" s="18" t="inlineStr">
        <is>
          <t>F0274, F0198</t>
        </is>
      </c>
    </row>
    <row r="5914" ht="15.75" customHeight="1" s="108">
      <c r="A5914" s="18" t="inlineStr">
        <is>
          <t>Jason Marsden</t>
        </is>
      </c>
      <c r="B5914" s="18" t="n">
        <v>1</v>
      </c>
      <c r="C5914" s="18" t="n">
        <v>2016</v>
      </c>
      <c r="D5914" s="18" t="n">
        <v>2016</v>
      </c>
      <c r="E5914" s="18" t="inlineStr">
        <is>
          <t>The Secret Life of Pets</t>
        </is>
      </c>
      <c r="F5914" s="18" t="inlineStr">
        <is>
          <t>F0274</t>
        </is>
      </c>
    </row>
    <row r="5915" ht="15.75" customHeight="1" s="108">
      <c r="A5915" s="18" t="inlineStr">
        <is>
          <t>Jan Rabson</t>
        </is>
      </c>
      <c r="B5915" s="18" t="n">
        <v>4</v>
      </c>
      <c r="C5915" s="18" t="n">
        <v>2008</v>
      </c>
      <c r="D5915" s="18" t="n">
        <v>2016</v>
      </c>
      <c r="E5915" s="18" t="inlineStr">
        <is>
          <t>The Secret Life of Pets, Toy Story 3, Up, WALL·E</t>
        </is>
      </c>
      <c r="F5915" s="18" t="inlineStr">
        <is>
          <t>F0274, F0314, F0330, F0331</t>
        </is>
      </c>
    </row>
    <row r="5916" ht="15.75" customHeight="1" s="108">
      <c r="A5916" s="18" t="inlineStr">
        <is>
          <t>Ken Schretzmann</t>
        </is>
      </c>
      <c r="B5916" s="18" t="n">
        <v>1</v>
      </c>
      <c r="C5916" s="18" t="n">
        <v>2016</v>
      </c>
      <c r="D5916" s="18" t="n">
        <v>2016</v>
      </c>
      <c r="E5916" s="18" t="inlineStr">
        <is>
          <t>The Secret Life of Pets</t>
        </is>
      </c>
      <c r="F5916" s="18" t="inlineStr">
        <is>
          <t>F0274</t>
        </is>
      </c>
    </row>
    <row r="5917" ht="15.75" customHeight="1" s="108">
      <c r="A5917" s="18" t="inlineStr">
        <is>
          <t>John Kassir</t>
        </is>
      </c>
      <c r="B5917" s="18" t="n">
        <v>1</v>
      </c>
      <c r="C5917" s="18" t="n">
        <v>2016</v>
      </c>
      <c r="D5917" s="18" t="n">
        <v>2016</v>
      </c>
      <c r="E5917" s="18" t="inlineStr">
        <is>
          <t>The Secret Life of Pets</t>
        </is>
      </c>
      <c r="F5917" s="18" t="inlineStr">
        <is>
          <t>F0274</t>
        </is>
      </c>
    </row>
    <row r="5918" ht="15.75" customHeight="1" s="108">
      <c r="A5918" s="18" t="inlineStr">
        <is>
          <t>Jim Ward</t>
        </is>
      </c>
      <c r="B5918" s="18" t="n">
        <v>2</v>
      </c>
      <c r="C5918" s="18" t="n">
        <v>2008</v>
      </c>
      <c r="D5918" s="18" t="n">
        <v>2016</v>
      </c>
      <c r="E5918" s="18" t="inlineStr">
        <is>
          <t>The Secret Life of Pets, WALL·E</t>
        </is>
      </c>
      <c r="F5918" s="18" t="inlineStr">
        <is>
          <t>F0274, F0331</t>
        </is>
      </c>
    </row>
    <row r="5919" ht="15.75" customHeight="1" s="108">
      <c r="A5919" s="18" t="inlineStr">
        <is>
          <t>Tyler Werrin</t>
        </is>
      </c>
      <c r="B5919" s="18" t="n">
        <v>1</v>
      </c>
      <c r="C5919" s="18" t="n">
        <v>2016</v>
      </c>
      <c r="D5919" s="18" t="n">
        <v>2016</v>
      </c>
      <c r="E5919" s="18" t="inlineStr">
        <is>
          <t>The Secret Life of Pets</t>
        </is>
      </c>
      <c r="F5919" s="18" t="inlineStr">
        <is>
          <t>F0274</t>
        </is>
      </c>
    </row>
    <row r="5920" ht="15.75" customHeight="1" s="108">
      <c r="A5920" s="18" t="inlineStr">
        <is>
          <t>Milton da Silva</t>
        </is>
      </c>
      <c r="B5920" s="18" t="n">
        <v>1</v>
      </c>
      <c r="C5920" s="18" t="n">
        <v>2010</v>
      </c>
      <c r="D5920" s="18" t="n">
        <v>2010</v>
      </c>
      <c r="E5920" s="18" t="inlineStr">
        <is>
          <t>Senna</t>
        </is>
      </c>
      <c r="F5920" s="18" t="inlineStr">
        <is>
          <t>F0275</t>
        </is>
      </c>
    </row>
    <row r="5921" ht="15.75" customHeight="1" s="108">
      <c r="A5921" s="18" t="inlineStr">
        <is>
          <t>Neyde Senna</t>
        </is>
      </c>
      <c r="B5921" s="18" t="n">
        <v>1</v>
      </c>
      <c r="C5921" s="18" t="n">
        <v>2010</v>
      </c>
      <c r="D5921" s="18" t="n">
        <v>2010</v>
      </c>
      <c r="E5921" s="18" t="inlineStr">
        <is>
          <t>Senna</t>
        </is>
      </c>
      <c r="F5921" s="18" t="inlineStr">
        <is>
          <t>F0275</t>
        </is>
      </c>
    </row>
    <row r="5922" ht="15.75" customHeight="1" s="108">
      <c r="A5922" s="18" t="inlineStr">
        <is>
          <t>Jackie Stewart</t>
        </is>
      </c>
      <c r="B5922" s="18" t="n">
        <v>1</v>
      </c>
      <c r="C5922" s="18" t="n">
        <v>2010</v>
      </c>
      <c r="D5922" s="18" t="n">
        <v>2010</v>
      </c>
      <c r="E5922" s="18" t="inlineStr">
        <is>
          <t>Senna</t>
        </is>
      </c>
      <c r="F5922" s="18" t="inlineStr">
        <is>
          <t>F0275</t>
        </is>
      </c>
    </row>
    <row r="5923" ht="15.75" customHeight="1" s="108">
      <c r="A5923" s="18" t="inlineStr">
        <is>
          <t>Sid Watkins</t>
        </is>
      </c>
      <c r="B5923" s="18" t="n">
        <v>1</v>
      </c>
      <c r="C5923" s="18" t="n">
        <v>2010</v>
      </c>
      <c r="D5923" s="18" t="n">
        <v>2010</v>
      </c>
      <c r="E5923" s="18" t="inlineStr">
        <is>
          <t>Senna</t>
        </is>
      </c>
      <c r="F5923" s="18" t="inlineStr">
        <is>
          <t>F0275</t>
        </is>
      </c>
    </row>
    <row r="5924" ht="15.75" customHeight="1" s="108">
      <c r="A5924" s="18" t="inlineStr">
        <is>
          <t>Galvão Bueno</t>
        </is>
      </c>
      <c r="B5924" s="18" t="n">
        <v>1</v>
      </c>
      <c r="C5924" s="18" t="n">
        <v>2010</v>
      </c>
      <c r="D5924" s="18" t="n">
        <v>2010</v>
      </c>
      <c r="E5924" s="18" t="inlineStr">
        <is>
          <t>Senna</t>
        </is>
      </c>
      <c r="F5924" s="18" t="inlineStr">
        <is>
          <t>F0275</t>
        </is>
      </c>
    </row>
    <row r="5925" ht="15.75" customHeight="1" s="108">
      <c r="A5925" s="18" t="inlineStr">
        <is>
          <t>Reginaldo Leme</t>
        </is>
      </c>
      <c r="B5925" s="18" t="n">
        <v>1</v>
      </c>
      <c r="C5925" s="18" t="n">
        <v>2010</v>
      </c>
      <c r="D5925" s="18" t="n">
        <v>2010</v>
      </c>
      <c r="E5925" s="18" t="inlineStr">
        <is>
          <t>Senna</t>
        </is>
      </c>
      <c r="F5925" s="18" t="inlineStr">
        <is>
          <t>F0275</t>
        </is>
      </c>
    </row>
    <row r="5926" ht="15.75" customHeight="1" s="108">
      <c r="A5926" s="18" t="inlineStr">
        <is>
          <t>Gerhard Berger</t>
        </is>
      </c>
      <c r="B5926" s="18" t="n">
        <v>1</v>
      </c>
      <c r="C5926" s="18" t="n">
        <v>2010</v>
      </c>
      <c r="D5926" s="18" t="n">
        <v>2010</v>
      </c>
      <c r="E5926" s="18" t="inlineStr">
        <is>
          <t>Senna</t>
        </is>
      </c>
      <c r="F5926" s="18" t="inlineStr">
        <is>
          <t>F0275</t>
        </is>
      </c>
    </row>
    <row r="5927" ht="15.75" customHeight="1" s="108">
      <c r="A5927" s="18" t="inlineStr">
        <is>
          <t>Nelson Piquet</t>
        </is>
      </c>
      <c r="B5927" s="18" t="n">
        <v>1</v>
      </c>
      <c r="C5927" s="18" t="n">
        <v>2010</v>
      </c>
      <c r="D5927" s="18" t="n">
        <v>2010</v>
      </c>
      <c r="E5927" s="18" t="inlineStr">
        <is>
          <t>Senna</t>
        </is>
      </c>
      <c r="F5927" s="18" t="inlineStr">
        <is>
          <t>F0275</t>
        </is>
      </c>
    </row>
    <row r="5928" ht="15.75" customHeight="1" s="108">
      <c r="A5928" s="18" t="inlineStr">
        <is>
          <t>Nigel Mansell</t>
        </is>
      </c>
      <c r="B5928" s="18" t="n">
        <v>1</v>
      </c>
      <c r="C5928" s="18" t="n">
        <v>2010</v>
      </c>
      <c r="D5928" s="18" t="n">
        <v>2010</v>
      </c>
      <c r="E5928" s="18" t="inlineStr">
        <is>
          <t>Senna</t>
        </is>
      </c>
      <c r="F5928" s="18" t="inlineStr">
        <is>
          <t>F0275</t>
        </is>
      </c>
    </row>
    <row r="5929" ht="15.75" customHeight="1" s="108">
      <c r="A5929" s="18" t="inlineStr">
        <is>
          <t>Jean-Marie Balestre</t>
        </is>
      </c>
      <c r="B5929" s="18" t="n">
        <v>1</v>
      </c>
      <c r="C5929" s="18" t="n">
        <v>2010</v>
      </c>
      <c r="D5929" s="18" t="n">
        <v>2010</v>
      </c>
      <c r="E5929" s="18" t="inlineStr">
        <is>
          <t>Senna</t>
        </is>
      </c>
      <c r="F5929" s="18" t="inlineStr">
        <is>
          <t>F0275</t>
        </is>
      </c>
    </row>
    <row r="5930" ht="15.75" customHeight="1" s="108">
      <c r="A5930" s="18" t="inlineStr">
        <is>
          <t>Bernie Ecclestone</t>
        </is>
      </c>
      <c r="B5930" s="18" t="n">
        <v>1</v>
      </c>
      <c r="C5930" s="18" t="n">
        <v>2010</v>
      </c>
      <c r="D5930" s="18" t="n">
        <v>2010</v>
      </c>
      <c r="E5930" s="18" t="inlineStr">
        <is>
          <t>Senna</t>
        </is>
      </c>
      <c r="F5930" s="18" t="inlineStr">
        <is>
          <t>F0275</t>
        </is>
      </c>
    </row>
    <row r="5931" ht="15.75" customHeight="1" s="108">
      <c r="A5931" s="18" t="inlineStr">
        <is>
          <t>John Bisignano</t>
        </is>
      </c>
      <c r="B5931" s="18" t="n">
        <v>1</v>
      </c>
      <c r="C5931" s="18" t="n">
        <v>2010</v>
      </c>
      <c r="D5931" s="18" t="n">
        <v>2010</v>
      </c>
      <c r="E5931" s="18" t="inlineStr">
        <is>
          <t>Senna</t>
        </is>
      </c>
      <c r="F5931" s="18" t="inlineStr">
        <is>
          <t>F0275</t>
        </is>
      </c>
    </row>
    <row r="5932" ht="15.75" customHeight="1" s="108">
      <c r="A5932" s="18" t="inlineStr">
        <is>
          <t>Richard Williams</t>
        </is>
      </c>
      <c r="B5932" s="18" t="n">
        <v>1</v>
      </c>
      <c r="C5932" s="18" t="n">
        <v>2010</v>
      </c>
      <c r="D5932" s="18" t="n">
        <v>2010</v>
      </c>
      <c r="E5932" s="18" t="inlineStr">
        <is>
          <t>Senna</t>
        </is>
      </c>
      <c r="F5932" s="18" t="inlineStr">
        <is>
          <t>F0275</t>
        </is>
      </c>
    </row>
    <row r="5933" ht="15.75" customHeight="1" s="108">
      <c r="A5933" s="18" t="inlineStr">
        <is>
          <t>Pierre Van Vliet</t>
        </is>
      </c>
      <c r="B5933" s="18" t="n">
        <v>1</v>
      </c>
      <c r="C5933" s="18" t="n">
        <v>2010</v>
      </c>
      <c r="D5933" s="18" t="n">
        <v>2010</v>
      </c>
      <c r="E5933" s="18" t="inlineStr">
        <is>
          <t>Senna</t>
        </is>
      </c>
      <c r="F5933" s="18" t="inlineStr">
        <is>
          <t>F0275</t>
        </is>
      </c>
    </row>
    <row r="5934" ht="15.75" customHeight="1" s="108">
      <c r="A5934" s="18" t="inlineStr">
        <is>
          <t>Arnaldo Jabor</t>
        </is>
      </c>
      <c r="B5934" s="18" t="n">
        <v>1</v>
      </c>
      <c r="C5934" s="18" t="n">
        <v>2010</v>
      </c>
      <c r="D5934" s="18" t="n">
        <v>2010</v>
      </c>
      <c r="E5934" s="18" t="inlineStr">
        <is>
          <t>Senna</t>
        </is>
      </c>
      <c r="F5934" s="18" t="inlineStr">
        <is>
          <t>F0275</t>
        </is>
      </c>
    </row>
    <row r="5935" ht="15.75" customHeight="1" s="108">
      <c r="A5935" s="18" t="inlineStr">
        <is>
          <t>Leonardo Senna</t>
        </is>
      </c>
      <c r="B5935" s="18" t="n">
        <v>1</v>
      </c>
      <c r="C5935" s="18" t="n">
        <v>2010</v>
      </c>
      <c r="D5935" s="18" t="n">
        <v>2010</v>
      </c>
      <c r="E5935" s="18" t="inlineStr">
        <is>
          <t>Senna</t>
        </is>
      </c>
      <c r="F5935" s="18" t="inlineStr">
        <is>
          <t>F0275</t>
        </is>
      </c>
    </row>
    <row r="5936" ht="15.75" customHeight="1" s="108">
      <c r="A5936" s="18" t="inlineStr">
        <is>
          <t>Xuxa</t>
        </is>
      </c>
      <c r="B5936" s="18" t="n">
        <v>1</v>
      </c>
      <c r="C5936" s="18" t="n">
        <v>2010</v>
      </c>
      <c r="D5936" s="18" t="n">
        <v>2010</v>
      </c>
      <c r="E5936" s="18" t="inlineStr">
        <is>
          <t>Senna</t>
        </is>
      </c>
      <c r="F5936" s="18" t="inlineStr">
        <is>
          <t>F0275</t>
        </is>
      </c>
    </row>
    <row r="5937" ht="15.75" customHeight="1" s="108">
      <c r="A5937" s="18" t="inlineStr">
        <is>
          <t>Luiza Erundina</t>
        </is>
      </c>
      <c r="B5937" s="18" t="n">
        <v>1</v>
      </c>
      <c r="C5937" s="18" t="n">
        <v>2010</v>
      </c>
      <c r="D5937" s="18" t="n">
        <v>2010</v>
      </c>
      <c r="E5937" s="18" t="inlineStr">
        <is>
          <t>Senna</t>
        </is>
      </c>
      <c r="F5937" s="18" t="inlineStr">
        <is>
          <t>F0275</t>
        </is>
      </c>
    </row>
    <row r="5938" ht="15.75" customHeight="1" s="108">
      <c r="A5938" s="18" t="inlineStr">
        <is>
          <t>Niki Lauda</t>
        </is>
      </c>
      <c r="B5938" s="18" t="n">
        <v>1</v>
      </c>
      <c r="C5938" s="18" t="n">
        <v>2010</v>
      </c>
      <c r="D5938" s="18" t="n">
        <v>2010</v>
      </c>
      <c r="E5938" s="18" t="inlineStr">
        <is>
          <t>Senna</t>
        </is>
      </c>
      <c r="F5938" s="18" t="inlineStr">
        <is>
          <t>F0275</t>
        </is>
      </c>
    </row>
    <row r="5939" ht="15.75" customHeight="1" s="108">
      <c r="A5939" s="18" t="inlineStr">
        <is>
          <t>Terry Fullerton</t>
        </is>
      </c>
      <c r="B5939" s="18" t="n">
        <v>1</v>
      </c>
      <c r="C5939" s="18" t="n">
        <v>2010</v>
      </c>
      <c r="D5939" s="18" t="n">
        <v>2010</v>
      </c>
      <c r="E5939" s="18" t="inlineStr">
        <is>
          <t>Senna</t>
        </is>
      </c>
      <c r="F5939" s="18" t="inlineStr">
        <is>
          <t>F0275</t>
        </is>
      </c>
    </row>
    <row r="5940" ht="15.75" customHeight="1" s="108">
      <c r="A5940" s="18" t="inlineStr">
        <is>
          <t>Adriane Galisteu</t>
        </is>
      </c>
      <c r="B5940" s="18" t="n">
        <v>1</v>
      </c>
      <c r="C5940" s="18" t="n">
        <v>2010</v>
      </c>
      <c r="D5940" s="18" t="n">
        <v>2010</v>
      </c>
      <c r="E5940" s="18" t="inlineStr">
        <is>
          <t>Senna</t>
        </is>
      </c>
      <c r="F5940" s="18" t="inlineStr">
        <is>
          <t>F0275</t>
        </is>
      </c>
    </row>
    <row r="5941" ht="15.75" customHeight="1" s="108">
      <c r="A5941" s="18" t="inlineStr">
        <is>
          <t>Rubens Barrichello</t>
        </is>
      </c>
      <c r="B5941" s="18" t="n">
        <v>1</v>
      </c>
      <c r="C5941" s="18" t="n">
        <v>2010</v>
      </c>
      <c r="D5941" s="18" t="n">
        <v>2010</v>
      </c>
      <c r="E5941" s="18" t="inlineStr">
        <is>
          <t>Senna</t>
        </is>
      </c>
      <c r="F5941" s="18" t="inlineStr">
        <is>
          <t>F0275</t>
        </is>
      </c>
    </row>
    <row r="5942" ht="15.75" customHeight="1" s="108">
      <c r="A5942" s="18" t="inlineStr">
        <is>
          <t>Damon Hill</t>
        </is>
      </c>
      <c r="B5942" s="18" t="n">
        <v>1</v>
      </c>
      <c r="C5942" s="18" t="n">
        <v>2010</v>
      </c>
      <c r="D5942" s="18" t="n">
        <v>2010</v>
      </c>
      <c r="E5942" s="18" t="inlineStr">
        <is>
          <t>Senna</t>
        </is>
      </c>
      <c r="F5942" s="18" t="inlineStr">
        <is>
          <t>F0275</t>
        </is>
      </c>
    </row>
    <row r="5943" ht="15.75" customHeight="1" s="108">
      <c r="A5943" s="18" t="inlineStr">
        <is>
          <t>Roland Ratzenberger</t>
        </is>
      </c>
      <c r="B5943" s="18" t="n">
        <v>1</v>
      </c>
      <c r="C5943" s="18" t="n">
        <v>2010</v>
      </c>
      <c r="D5943" s="18" t="n">
        <v>2010</v>
      </c>
      <c r="E5943" s="18" t="inlineStr">
        <is>
          <t>Senna</t>
        </is>
      </c>
      <c r="F5943" s="18" t="inlineStr">
        <is>
          <t>F0275</t>
        </is>
      </c>
    </row>
    <row r="5944" ht="15.75" customHeight="1" s="108">
      <c r="A5944" s="18" t="inlineStr">
        <is>
          <t>Patrick Head</t>
        </is>
      </c>
      <c r="B5944" s="18" t="n">
        <v>1</v>
      </c>
      <c r="C5944" s="18" t="n">
        <v>2010</v>
      </c>
      <c r="D5944" s="18" t="n">
        <v>2010</v>
      </c>
      <c r="E5944" s="18" t="inlineStr">
        <is>
          <t>Senna</t>
        </is>
      </c>
      <c r="F5944" s="18" t="inlineStr">
        <is>
          <t>F0275</t>
        </is>
      </c>
    </row>
    <row r="5945" ht="15.75" customHeight="1" s="108">
      <c r="A5945" s="18" t="inlineStr">
        <is>
          <t>Reg E. Cathey</t>
        </is>
      </c>
      <c r="B5945" s="18" t="n">
        <v>1</v>
      </c>
      <c r="C5945" s="18" t="n">
        <v>1995</v>
      </c>
      <c r="D5945" s="18" t="n">
        <v>1995</v>
      </c>
      <c r="E5945" s="18" t="inlineStr">
        <is>
          <t>Se7en</t>
        </is>
      </c>
      <c r="F5945" s="18" t="inlineStr">
        <is>
          <t>F0276</t>
        </is>
      </c>
    </row>
    <row r="5946" ht="15.75" customHeight="1" s="108">
      <c r="A5946" s="18" t="inlineStr">
        <is>
          <t>R. Lee Ermey</t>
        </is>
      </c>
      <c r="B5946" s="18" t="n">
        <v>4</v>
      </c>
      <c r="C5946" s="18" t="n">
        <v>1995</v>
      </c>
      <c r="D5946" s="18" t="n">
        <v>2010</v>
      </c>
      <c r="E5946" s="18" t="inlineStr">
        <is>
          <t>Se7en, Toy Story, Toy Story 2, Toy Story 3</t>
        </is>
      </c>
      <c r="F5946" s="18" t="inlineStr">
        <is>
          <t>F0276, F0312, F0313, F0314</t>
        </is>
      </c>
    </row>
    <row r="5947" ht="15.75" customHeight="1" s="108">
      <c r="A5947" s="18" t="inlineStr">
        <is>
          <t>Daniel Zacapa</t>
        </is>
      </c>
      <c r="B5947" s="18" t="n">
        <v>1</v>
      </c>
      <c r="C5947" s="18" t="n">
        <v>1995</v>
      </c>
      <c r="D5947" s="18" t="n">
        <v>1995</v>
      </c>
      <c r="E5947" s="18" t="inlineStr">
        <is>
          <t>Se7en</t>
        </is>
      </c>
      <c r="F5947" s="18" t="inlineStr">
        <is>
          <t>F0276</t>
        </is>
      </c>
    </row>
    <row r="5948" ht="15.75" customHeight="1" s="108">
      <c r="A5948" s="18" t="inlineStr">
        <is>
          <t>Andrew Kevin Walker</t>
        </is>
      </c>
      <c r="B5948" s="18" t="n">
        <v>1</v>
      </c>
      <c r="C5948" s="18" t="n">
        <v>1995</v>
      </c>
      <c r="D5948" s="18" t="n">
        <v>1995</v>
      </c>
      <c r="E5948" s="18" t="inlineStr">
        <is>
          <t>Se7en</t>
        </is>
      </c>
      <c r="F5948" s="18" t="inlineStr">
        <is>
          <t>F0276</t>
        </is>
      </c>
    </row>
    <row r="5949" ht="15.75" customHeight="1" s="108">
      <c r="A5949" s="18" t="inlineStr">
        <is>
          <t>George Christy</t>
        </is>
      </c>
      <c r="B5949" s="18" t="n">
        <v>1</v>
      </c>
      <c r="C5949" s="18" t="n">
        <v>1995</v>
      </c>
      <c r="D5949" s="18" t="n">
        <v>1995</v>
      </c>
      <c r="E5949" s="18" t="inlineStr">
        <is>
          <t>Se7en</t>
        </is>
      </c>
      <c r="F5949" s="18" t="inlineStr">
        <is>
          <t>F0276</t>
        </is>
      </c>
    </row>
    <row r="5950" ht="15.75" customHeight="1" s="108">
      <c r="A5950" s="18" t="inlineStr">
        <is>
          <t>Endre Hules</t>
        </is>
      </c>
      <c r="B5950" s="18" t="n">
        <v>1</v>
      </c>
      <c r="C5950" s="18" t="n">
        <v>1995</v>
      </c>
      <c r="D5950" s="18" t="n">
        <v>1995</v>
      </c>
      <c r="E5950" s="18" t="inlineStr">
        <is>
          <t>Se7en</t>
        </is>
      </c>
      <c r="F5950" s="18" t="inlineStr">
        <is>
          <t>F0276</t>
        </is>
      </c>
    </row>
    <row r="5951" ht="15.75" customHeight="1" s="108">
      <c r="A5951" s="18" t="inlineStr">
        <is>
          <t>Hawthorne James</t>
        </is>
      </c>
      <c r="B5951" s="18" t="n">
        <v>1</v>
      </c>
      <c r="C5951" s="18" t="n">
        <v>1995</v>
      </c>
      <c r="D5951" s="18" t="n">
        <v>1995</v>
      </c>
      <c r="E5951" s="18" t="inlineStr">
        <is>
          <t>Se7en</t>
        </is>
      </c>
      <c r="F5951" s="18" t="inlineStr">
        <is>
          <t>F0276</t>
        </is>
      </c>
    </row>
    <row r="5952" ht="15.75" customHeight="1" s="108">
      <c r="A5952" s="18" t="inlineStr">
        <is>
          <t>Bob Mack</t>
        </is>
      </c>
      <c r="B5952" s="18" t="n">
        <v>1</v>
      </c>
      <c r="C5952" s="18" t="n">
        <v>1995</v>
      </c>
      <c r="D5952" s="18" t="n">
        <v>1995</v>
      </c>
      <c r="E5952" s="18" t="inlineStr">
        <is>
          <t>Se7en</t>
        </is>
      </c>
      <c r="F5952" s="18" t="inlineStr">
        <is>
          <t>F0276</t>
        </is>
      </c>
    </row>
    <row r="5953" ht="15.75" customHeight="1" s="108">
      <c r="A5953" s="18" t="inlineStr">
        <is>
          <t>William Davidson</t>
        </is>
      </c>
      <c r="B5953" s="18" t="n">
        <v>1</v>
      </c>
      <c r="C5953" s="18" t="n">
        <v>1995</v>
      </c>
      <c r="D5953" s="18" t="n">
        <v>1995</v>
      </c>
      <c r="E5953" s="18" t="inlineStr">
        <is>
          <t>Se7en</t>
        </is>
      </c>
      <c r="F5953" s="18" t="inlineStr">
        <is>
          <t>F0276</t>
        </is>
      </c>
    </row>
    <row r="5954" ht="15.75" customHeight="1" s="108">
      <c r="A5954" s="18" t="inlineStr">
        <is>
          <t>Bob Collins</t>
        </is>
      </c>
      <c r="B5954" s="18" t="n">
        <v>1</v>
      </c>
      <c r="C5954" s="18" t="n">
        <v>1995</v>
      </c>
      <c r="D5954" s="18" t="n">
        <v>1995</v>
      </c>
      <c r="E5954" s="18" t="inlineStr">
        <is>
          <t>Se7en</t>
        </is>
      </c>
      <c r="F5954" s="18" t="inlineStr">
        <is>
          <t>F0276</t>
        </is>
      </c>
    </row>
    <row r="5955" ht="15.75" customHeight="1" s="108">
      <c r="A5955" s="18" t="inlineStr">
        <is>
          <t>Jimmy Dale Hartsell</t>
        </is>
      </c>
      <c r="B5955" s="18" t="n">
        <v>1</v>
      </c>
      <c r="C5955" s="18" t="n">
        <v>1995</v>
      </c>
      <c r="D5955" s="18" t="n">
        <v>1995</v>
      </c>
      <c r="E5955" s="18" t="inlineStr">
        <is>
          <t>Se7en</t>
        </is>
      </c>
      <c r="F5955" s="18" t="inlineStr">
        <is>
          <t>F0276</t>
        </is>
      </c>
    </row>
    <row r="5956" ht="15.75" customHeight="1" s="108">
      <c r="A5956" s="18" t="inlineStr">
        <is>
          <t>Richard Roundtree</t>
        </is>
      </c>
      <c r="B5956" s="18" t="n">
        <v>1</v>
      </c>
      <c r="C5956" s="18" t="n">
        <v>1995</v>
      </c>
      <c r="D5956" s="18" t="n">
        <v>1995</v>
      </c>
      <c r="E5956" s="18" t="inlineStr">
        <is>
          <t>Se7en</t>
        </is>
      </c>
      <c r="F5956" s="18" t="inlineStr">
        <is>
          <t>F0276</t>
        </is>
      </c>
    </row>
    <row r="5957" ht="15.75" customHeight="1" s="108">
      <c r="A5957" s="18" t="inlineStr">
        <is>
          <t>Charline Su</t>
        </is>
      </c>
      <c r="B5957" s="18" t="n">
        <v>1</v>
      </c>
      <c r="C5957" s="18" t="n">
        <v>1995</v>
      </c>
      <c r="D5957" s="18" t="n">
        <v>1995</v>
      </c>
      <c r="E5957" s="18" t="inlineStr">
        <is>
          <t>Se7en</t>
        </is>
      </c>
      <c r="F5957" s="18" t="inlineStr">
        <is>
          <t>F0276</t>
        </is>
      </c>
    </row>
    <row r="5958" ht="15.75" customHeight="1" s="108">
      <c r="A5958" s="18" t="inlineStr">
        <is>
          <t>Dominique Jennings</t>
        </is>
      </c>
      <c r="B5958" s="18" t="n">
        <v>1</v>
      </c>
      <c r="C5958" s="18" t="n">
        <v>1995</v>
      </c>
      <c r="D5958" s="18" t="n">
        <v>1995</v>
      </c>
      <c r="E5958" s="18" t="inlineStr">
        <is>
          <t>Se7en</t>
        </is>
      </c>
      <c r="F5958" s="18" t="inlineStr">
        <is>
          <t>F0276</t>
        </is>
      </c>
    </row>
    <row r="5959" ht="15.75" customHeight="1" s="108">
      <c r="A5959" s="18" t="inlineStr">
        <is>
          <t>Allan Kolman</t>
        </is>
      </c>
      <c r="B5959" s="18" t="n">
        <v>1</v>
      </c>
      <c r="C5959" s="18" t="n">
        <v>1995</v>
      </c>
      <c r="D5959" s="18" t="n">
        <v>1995</v>
      </c>
      <c r="E5959" s="18" t="inlineStr">
        <is>
          <t>Se7en</t>
        </is>
      </c>
      <c r="F5959" s="18" t="inlineStr">
        <is>
          <t>F0276</t>
        </is>
      </c>
    </row>
    <row r="5960" ht="15.75" customHeight="1" s="108">
      <c r="A5960" s="18" t="inlineStr">
        <is>
          <t>Beverly Burke</t>
        </is>
      </c>
      <c r="B5960" s="18" t="n">
        <v>1</v>
      </c>
      <c r="C5960" s="18" t="n">
        <v>1995</v>
      </c>
      <c r="D5960" s="18" t="n">
        <v>1995</v>
      </c>
      <c r="E5960" s="18" t="inlineStr">
        <is>
          <t>Se7en</t>
        </is>
      </c>
      <c r="F5960" s="18" t="inlineStr">
        <is>
          <t>F0276</t>
        </is>
      </c>
    </row>
    <row r="5961" ht="15.75" customHeight="1" s="108">
      <c r="A5961" s="18" t="inlineStr">
        <is>
          <t>Gene Borkan</t>
        </is>
      </c>
      <c r="B5961" s="18" t="n">
        <v>1</v>
      </c>
      <c r="C5961" s="18" t="n">
        <v>1995</v>
      </c>
      <c r="D5961" s="18" t="n">
        <v>1995</v>
      </c>
      <c r="E5961" s="18" t="inlineStr">
        <is>
          <t>Se7en</t>
        </is>
      </c>
      <c r="F5961" s="18" t="inlineStr">
        <is>
          <t>F0276</t>
        </is>
      </c>
    </row>
    <row r="5962" ht="15.75" customHeight="1" s="108">
      <c r="A5962" s="18" t="inlineStr">
        <is>
          <t>Julie Araskog</t>
        </is>
      </c>
      <c r="B5962" s="18" t="n">
        <v>1</v>
      </c>
      <c r="C5962" s="18" t="n">
        <v>1995</v>
      </c>
      <c r="D5962" s="18" t="n">
        <v>1995</v>
      </c>
      <c r="E5962" s="18" t="inlineStr">
        <is>
          <t>Se7en</t>
        </is>
      </c>
      <c r="F5962" s="18" t="inlineStr">
        <is>
          <t>F0276</t>
        </is>
      </c>
    </row>
    <row r="5963" ht="15.75" customHeight="1" s="108">
      <c r="A5963" s="18" t="inlineStr">
        <is>
          <t>Mario Di Donato</t>
        </is>
      </c>
      <c r="B5963" s="18" t="n">
        <v>1</v>
      </c>
      <c r="C5963" s="18" t="n">
        <v>1995</v>
      </c>
      <c r="D5963" s="18" t="n">
        <v>1995</v>
      </c>
      <c r="E5963" s="18" t="inlineStr">
        <is>
          <t>Se7en</t>
        </is>
      </c>
      <c r="F5963" s="18" t="inlineStr">
        <is>
          <t>F0276</t>
        </is>
      </c>
    </row>
    <row r="5964" ht="15.75" customHeight="1" s="108">
      <c r="A5964" s="18" t="inlineStr">
        <is>
          <t>John C. McGinley</t>
        </is>
      </c>
      <c r="B5964" s="18" t="n">
        <v>1</v>
      </c>
      <c r="C5964" s="18" t="n">
        <v>1995</v>
      </c>
      <c r="D5964" s="18" t="n">
        <v>1995</v>
      </c>
      <c r="E5964" s="18" t="inlineStr">
        <is>
          <t>Se7en</t>
        </is>
      </c>
      <c r="F5964" s="18" t="inlineStr">
        <is>
          <t>F0276</t>
        </is>
      </c>
    </row>
    <row r="5965" ht="15.75" customHeight="1" s="108">
      <c r="A5965" s="18" t="inlineStr">
        <is>
          <t>Harrison White</t>
        </is>
      </c>
      <c r="B5965" s="18" t="n">
        <v>1</v>
      </c>
      <c r="C5965" s="18" t="n">
        <v>1995</v>
      </c>
      <c r="D5965" s="18" t="n">
        <v>1995</v>
      </c>
      <c r="E5965" s="18" t="inlineStr">
        <is>
          <t>Se7en</t>
        </is>
      </c>
      <c r="F5965" s="18" t="inlineStr">
        <is>
          <t>F0276</t>
        </is>
      </c>
    </row>
    <row r="5966" ht="15.75" customHeight="1" s="108">
      <c r="A5966" s="18" t="inlineStr">
        <is>
          <t>Michael Reid MacKay</t>
        </is>
      </c>
      <c r="B5966" s="18" t="n">
        <v>2</v>
      </c>
      <c r="C5966" s="18" t="n">
        <v>1995</v>
      </c>
      <c r="D5966" s="18" t="n">
        <v>2003</v>
      </c>
      <c r="E5966" s="18" t="inlineStr">
        <is>
          <t>Se7en, X2: X-Men United</t>
        </is>
      </c>
      <c r="F5966" s="18" t="inlineStr">
        <is>
          <t>F0276, F0345</t>
        </is>
      </c>
    </row>
    <row r="5967" ht="15.75" customHeight="1" s="108">
      <c r="A5967" s="18" t="inlineStr">
        <is>
          <t>Arthur Darvill</t>
        </is>
      </c>
      <c r="B5967" s="18" t="n">
        <v>1</v>
      </c>
      <c r="C5967" s="18" t="n">
        <v>2010</v>
      </c>
      <c r="D5967" s="18" t="n">
        <v>2010</v>
      </c>
      <c r="E5967" s="18" t="inlineStr">
        <is>
          <t>Sex &amp; Drugs &amp; Rock &amp; Roll</t>
        </is>
      </c>
      <c r="F5967" s="18" t="inlineStr">
        <is>
          <t>F0277</t>
        </is>
      </c>
    </row>
    <row r="5968" ht="15.75" customHeight="1" s="108">
      <c r="A5968" s="18" t="inlineStr">
        <is>
          <t>Mackenzie Crook</t>
        </is>
      </c>
      <c r="B5968" s="18" t="n">
        <v>1</v>
      </c>
      <c r="C5968" s="18" t="n">
        <v>2010</v>
      </c>
      <c r="D5968" s="18" t="n">
        <v>2010</v>
      </c>
      <c r="E5968" s="18" t="inlineStr">
        <is>
          <t>Sex &amp; Drugs &amp; Rock &amp; Roll</t>
        </is>
      </c>
      <c r="F5968" s="18" t="inlineStr">
        <is>
          <t>F0277</t>
        </is>
      </c>
    </row>
    <row r="5969" ht="15.75" customHeight="1" s="108">
      <c r="A5969" s="18" t="inlineStr">
        <is>
          <t>Noel Clarke</t>
        </is>
      </c>
      <c r="B5969" s="18" t="n">
        <v>1</v>
      </c>
      <c r="C5969" s="18" t="n">
        <v>2010</v>
      </c>
      <c r="D5969" s="18" t="n">
        <v>2010</v>
      </c>
      <c r="E5969" s="18" t="inlineStr">
        <is>
          <t>Sex &amp; Drugs &amp; Rock &amp; Roll</t>
        </is>
      </c>
      <c r="F5969" s="18" t="inlineStr">
        <is>
          <t>F0277</t>
        </is>
      </c>
    </row>
    <row r="5970" ht="15.75" customHeight="1" s="108">
      <c r="A5970" s="18" t="inlineStr">
        <is>
          <t>Ralph Ineson</t>
        </is>
      </c>
      <c r="B5970" s="18" t="n">
        <v>2</v>
      </c>
      <c r="C5970" s="18" t="n">
        <v>2010</v>
      </c>
      <c r="D5970" s="18" t="n">
        <v>2018</v>
      </c>
      <c r="E5970" s="18" t="inlineStr">
        <is>
          <t>Sex &amp; Drugs &amp; Rock &amp; Roll, Ready player one</t>
        </is>
      </c>
      <c r="F5970" s="18" t="inlineStr">
        <is>
          <t>F0277, F0352</t>
        </is>
      </c>
    </row>
    <row r="5971" ht="15.75" customHeight="1" s="108">
      <c r="A5971" s="18" t="inlineStr">
        <is>
          <t>Charlotte Beaumont</t>
        </is>
      </c>
      <c r="B5971" s="18" t="n">
        <v>1</v>
      </c>
      <c r="C5971" s="18" t="n">
        <v>2010</v>
      </c>
      <c r="D5971" s="18" t="n">
        <v>2010</v>
      </c>
      <c r="E5971" s="18" t="inlineStr">
        <is>
          <t>Sex &amp; Drugs &amp; Rock &amp; Roll</t>
        </is>
      </c>
      <c r="F5971" s="18" t="inlineStr">
        <is>
          <t>F0277</t>
        </is>
      </c>
    </row>
    <row r="5972" ht="15.75" customHeight="1" s="108">
      <c r="A5972" s="18" t="inlineStr">
        <is>
          <t>Sam Spruell</t>
        </is>
      </c>
      <c r="B5972" s="18" t="n">
        <v>2</v>
      </c>
      <c r="C5972" s="18" t="n">
        <v>2010</v>
      </c>
      <c r="D5972" s="18" t="n">
        <v>2012</v>
      </c>
      <c r="E5972" s="18" t="inlineStr">
        <is>
          <t>Sex &amp; Drugs &amp; Rock &amp; Roll, Snow White and the Huntsman</t>
        </is>
      </c>
      <c r="F5972" s="18" t="inlineStr">
        <is>
          <t>F0277, F0284</t>
        </is>
      </c>
    </row>
    <row r="5973" ht="15.75" customHeight="1" s="108">
      <c r="A5973" s="18" t="inlineStr">
        <is>
          <t>Andrew Knott</t>
        </is>
      </c>
      <c r="B5973" s="18" t="n">
        <v>1</v>
      </c>
      <c r="C5973" s="18" t="n">
        <v>2010</v>
      </c>
      <c r="D5973" s="18" t="n">
        <v>2010</v>
      </c>
      <c r="E5973" s="18" t="inlineStr">
        <is>
          <t>Sex &amp; Drugs &amp; Rock &amp; Roll</t>
        </is>
      </c>
      <c r="F5973" s="18" t="inlineStr">
        <is>
          <t>F0277</t>
        </is>
      </c>
    </row>
    <row r="5974" ht="15.75" customHeight="1" s="108">
      <c r="A5974" s="18" t="inlineStr">
        <is>
          <t>Poppy Miller</t>
        </is>
      </c>
      <c r="B5974" s="18" t="n">
        <v>1</v>
      </c>
      <c r="C5974" s="18" t="n">
        <v>2010</v>
      </c>
      <c r="D5974" s="18" t="n">
        <v>2010</v>
      </c>
      <c r="E5974" s="18" t="inlineStr">
        <is>
          <t>Sex &amp; Drugs &amp; Rock &amp; Roll</t>
        </is>
      </c>
      <c r="F5974" s="18" t="inlineStr">
        <is>
          <t>F0277</t>
        </is>
      </c>
    </row>
    <row r="5975" ht="15.75" customHeight="1" s="108">
      <c r="A5975" s="18" t="inlineStr">
        <is>
          <t>Michael Maloney</t>
        </is>
      </c>
      <c r="B5975" s="18" t="n">
        <v>1</v>
      </c>
      <c r="C5975" s="18" t="n">
        <v>2010</v>
      </c>
      <c r="D5975" s="18" t="n">
        <v>2010</v>
      </c>
      <c r="E5975" s="18" t="inlineStr">
        <is>
          <t>Sex &amp; Drugs &amp; Rock &amp; Roll</t>
        </is>
      </c>
      <c r="F5975" s="18" t="inlineStr">
        <is>
          <t>F0277</t>
        </is>
      </c>
    </row>
    <row r="5976" ht="15.75" customHeight="1" s="108">
      <c r="A5976" s="18" t="inlineStr">
        <is>
          <t>Chloe Arrowsmith</t>
        </is>
      </c>
      <c r="B5976" s="18" t="n">
        <v>1</v>
      </c>
      <c r="C5976" s="18" t="n">
        <v>2010</v>
      </c>
      <c r="D5976" s="18" t="n">
        <v>2010</v>
      </c>
      <c r="E5976" s="18" t="inlineStr">
        <is>
          <t>Sex &amp; Drugs &amp; Rock &amp; Roll</t>
        </is>
      </c>
      <c r="F5976" s="18" t="inlineStr">
        <is>
          <t>F0277</t>
        </is>
      </c>
    </row>
    <row r="5977" ht="15.75" customHeight="1" s="108">
      <c r="A5977" s="18" t="inlineStr">
        <is>
          <t>Catherine Balavage</t>
        </is>
      </c>
      <c r="B5977" s="18" t="n">
        <v>1</v>
      </c>
      <c r="C5977" s="18" t="n">
        <v>2010</v>
      </c>
      <c r="D5977" s="18" t="n">
        <v>2010</v>
      </c>
      <c r="E5977" s="18" t="inlineStr">
        <is>
          <t>Sex &amp; Drugs &amp; Rock &amp; Roll</t>
        </is>
      </c>
      <c r="F5977" s="18" t="inlineStr">
        <is>
          <t>F0277</t>
        </is>
      </c>
    </row>
    <row r="5978" ht="15.75" customHeight="1" s="108">
      <c r="A5978" s="18" t="inlineStr">
        <is>
          <t>Nick Turner</t>
        </is>
      </c>
      <c r="B5978" s="18" t="n">
        <v>1</v>
      </c>
      <c r="C5978" s="18" t="n">
        <v>2010</v>
      </c>
      <c r="D5978" s="18" t="n">
        <v>2010</v>
      </c>
      <c r="E5978" s="18" t="inlineStr">
        <is>
          <t>Sex &amp; Drugs &amp; Rock &amp; Roll</t>
        </is>
      </c>
      <c r="F5978" s="18" t="inlineStr">
        <is>
          <t>F0277</t>
        </is>
      </c>
    </row>
    <row r="5979" ht="15.75" customHeight="1" s="108">
      <c r="A5979" s="18" t="inlineStr">
        <is>
          <t>Kelly Reilly</t>
        </is>
      </c>
      <c r="B5979" s="18" t="n">
        <v>2</v>
      </c>
      <c r="C5979" s="18" t="n">
        <v>2009</v>
      </c>
      <c r="D5979" s="18" t="n">
        <v>2011</v>
      </c>
      <c r="E5979" s="18" t="inlineStr">
        <is>
          <t>Sherlock Holmes, Sherlock Holmes: A Game of Shadows</t>
        </is>
      </c>
      <c r="F5979" s="18" t="inlineStr">
        <is>
          <t>F0278, F0279</t>
        </is>
      </c>
    </row>
    <row r="5980" ht="15.75" customHeight="1" s="108">
      <c r="A5980" s="18" t="inlineStr">
        <is>
          <t>William Houston</t>
        </is>
      </c>
      <c r="B5980" s="18" t="n">
        <v>2</v>
      </c>
      <c r="C5980" s="18" t="n">
        <v>2009</v>
      </c>
      <c r="D5980" s="18" t="n">
        <v>2011</v>
      </c>
      <c r="E5980" s="18" t="inlineStr">
        <is>
          <t>Sherlock Holmes, Sherlock Holmes: A Game of Shadows</t>
        </is>
      </c>
      <c r="F5980" s="18" t="inlineStr">
        <is>
          <t>F0278, F0279</t>
        </is>
      </c>
    </row>
    <row r="5981" ht="15.75" customHeight="1" s="108">
      <c r="A5981" s="18" t="inlineStr">
        <is>
          <t>James Fox</t>
        </is>
      </c>
      <c r="B5981" s="18" t="n">
        <v>1</v>
      </c>
      <c r="C5981" s="18" t="n">
        <v>2009</v>
      </c>
      <c r="D5981" s="18" t="n">
        <v>2009</v>
      </c>
      <c r="E5981" s="18" t="inlineStr">
        <is>
          <t>Sherlock Holmes</t>
        </is>
      </c>
      <c r="F5981" s="18" t="inlineStr">
        <is>
          <t>F0278</t>
        </is>
      </c>
    </row>
    <row r="5982" ht="15.75" customHeight="1" s="108">
      <c r="A5982" s="18" t="inlineStr">
        <is>
          <t>Clive Russell</t>
        </is>
      </c>
      <c r="B5982" s="18" t="n">
        <v>1</v>
      </c>
      <c r="C5982" s="18" t="n">
        <v>2009</v>
      </c>
      <c r="D5982" s="18" t="n">
        <v>2009</v>
      </c>
      <c r="E5982" s="18" t="inlineStr">
        <is>
          <t>Sherlock Holmes</t>
        </is>
      </c>
      <c r="F5982" s="18" t="inlineStr">
        <is>
          <t>F0278</t>
        </is>
      </c>
    </row>
    <row r="5983" ht="15.75" customHeight="1" s="108">
      <c r="A5983" s="18" t="inlineStr">
        <is>
          <t>Oran Gurel</t>
        </is>
      </c>
      <c r="B5983" s="18" t="n">
        <v>1</v>
      </c>
      <c r="C5983" s="18" t="n">
        <v>2009</v>
      </c>
      <c r="D5983" s="18" t="n">
        <v>2009</v>
      </c>
      <c r="E5983" s="18" t="inlineStr">
        <is>
          <t>Sherlock Holmes</t>
        </is>
      </c>
      <c r="F5983" s="18" t="inlineStr">
        <is>
          <t>F0278</t>
        </is>
      </c>
    </row>
    <row r="5984" ht="15.75" customHeight="1" s="108">
      <c r="A5984" s="18" t="inlineStr">
        <is>
          <t>Ky Discala</t>
        </is>
      </c>
      <c r="B5984" s="18" t="n">
        <v>1</v>
      </c>
      <c r="C5984" s="18" t="n">
        <v>2009</v>
      </c>
      <c r="D5984" s="18" t="n">
        <v>2009</v>
      </c>
      <c r="E5984" s="18" t="inlineStr">
        <is>
          <t>Sherlock Holmes</t>
        </is>
      </c>
      <c r="F5984" s="18" t="inlineStr">
        <is>
          <t>F0278</t>
        </is>
      </c>
    </row>
    <row r="5985" ht="15.75" customHeight="1" s="108">
      <c r="A5985" s="18" t="inlineStr">
        <is>
          <t>Tom Watt</t>
        </is>
      </c>
      <c r="B5985" s="18" t="n">
        <v>1</v>
      </c>
      <c r="C5985" s="18" t="n">
        <v>2009</v>
      </c>
      <c r="D5985" s="18" t="n">
        <v>2009</v>
      </c>
      <c r="E5985" s="18" t="inlineStr">
        <is>
          <t>Sherlock Holmes</t>
        </is>
      </c>
      <c r="F5985" s="18" t="inlineStr">
        <is>
          <t>F0278</t>
        </is>
      </c>
    </row>
    <row r="5986" ht="15.75" customHeight="1" s="108">
      <c r="A5986" s="18" t="inlineStr">
        <is>
          <t>John Kearney</t>
        </is>
      </c>
      <c r="B5986" s="18" t="n">
        <v>1</v>
      </c>
      <c r="C5986" s="18" t="n">
        <v>2009</v>
      </c>
      <c r="D5986" s="18" t="n">
        <v>2009</v>
      </c>
      <c r="E5986" s="18" t="inlineStr">
        <is>
          <t>Sherlock Holmes</t>
        </is>
      </c>
      <c r="F5986" s="18" t="inlineStr">
        <is>
          <t>F0278</t>
        </is>
      </c>
    </row>
    <row r="5987" ht="15.75" customHeight="1" s="108">
      <c r="A5987" s="18" t="inlineStr">
        <is>
          <t>Sebastian Abineri</t>
        </is>
      </c>
      <c r="B5987" s="18" t="n">
        <v>1</v>
      </c>
      <c r="C5987" s="18" t="n">
        <v>2009</v>
      </c>
      <c r="D5987" s="18" t="n">
        <v>2009</v>
      </c>
      <c r="E5987" s="18" t="inlineStr">
        <is>
          <t>Sherlock Holmes</t>
        </is>
      </c>
      <c r="F5987" s="18" t="inlineStr">
        <is>
          <t>F0278</t>
        </is>
      </c>
    </row>
    <row r="5988" ht="15.75" customHeight="1" s="108">
      <c r="A5988" s="18" t="inlineStr">
        <is>
          <t>Jonathan Gabriel Robbins</t>
        </is>
      </c>
      <c r="B5988" s="18" t="n">
        <v>1</v>
      </c>
      <c r="C5988" s="18" t="n">
        <v>2009</v>
      </c>
      <c r="D5988" s="18" t="n">
        <v>2009</v>
      </c>
      <c r="E5988" s="18" t="inlineStr">
        <is>
          <t>Sherlock Holmes</t>
        </is>
      </c>
      <c r="F5988" s="18" t="inlineStr">
        <is>
          <t>F0278</t>
        </is>
      </c>
    </row>
    <row r="5989" ht="15.75" customHeight="1" s="108">
      <c r="A5989" s="18" t="inlineStr">
        <is>
          <t>James A. Stephens</t>
        </is>
      </c>
      <c r="B5989" s="18" t="n">
        <v>1</v>
      </c>
      <c r="C5989" s="18" t="n">
        <v>2009</v>
      </c>
      <c r="D5989" s="18" t="n">
        <v>2009</v>
      </c>
      <c r="E5989" s="18" t="inlineStr">
        <is>
          <t>Sherlock Holmes</t>
        </is>
      </c>
      <c r="F5989" s="18" t="inlineStr">
        <is>
          <t>F0278</t>
        </is>
      </c>
    </row>
    <row r="5990" ht="15.75" customHeight="1" s="108">
      <c r="A5990" s="18" t="inlineStr">
        <is>
          <t>Terence Taplin</t>
        </is>
      </c>
      <c r="B5990" s="18" t="n">
        <v>1</v>
      </c>
      <c r="C5990" s="18" t="n">
        <v>2009</v>
      </c>
      <c r="D5990" s="18" t="n">
        <v>2009</v>
      </c>
      <c r="E5990" s="18" t="inlineStr">
        <is>
          <t>Sherlock Holmes</t>
        </is>
      </c>
      <c r="F5990" s="18" t="inlineStr">
        <is>
          <t>F0278</t>
        </is>
      </c>
    </row>
    <row r="5991" ht="15.75" customHeight="1" s="108">
      <c r="A5991" s="18" t="inlineStr">
        <is>
          <t>Bronagh Gallagher</t>
        </is>
      </c>
      <c r="B5991" s="18" t="n">
        <v>1</v>
      </c>
      <c r="C5991" s="18" t="n">
        <v>2009</v>
      </c>
      <c r="D5991" s="18" t="n">
        <v>2009</v>
      </c>
      <c r="E5991" s="18" t="inlineStr">
        <is>
          <t>Sherlock Holmes</t>
        </is>
      </c>
      <c r="F5991" s="18" t="inlineStr">
        <is>
          <t>F0278</t>
        </is>
      </c>
    </row>
    <row r="5992" ht="15.75" customHeight="1" s="108">
      <c r="A5992" s="18" t="inlineStr">
        <is>
          <t>Ed Tolputt</t>
        </is>
      </c>
      <c r="B5992" s="18" t="n">
        <v>1</v>
      </c>
      <c r="C5992" s="18" t="n">
        <v>2009</v>
      </c>
      <c r="D5992" s="18" t="n">
        <v>2009</v>
      </c>
      <c r="E5992" s="18" t="inlineStr">
        <is>
          <t>Sherlock Holmes</t>
        </is>
      </c>
      <c r="F5992" s="18" t="inlineStr">
        <is>
          <t>F0278</t>
        </is>
      </c>
    </row>
    <row r="5993" ht="15.75" customHeight="1" s="108">
      <c r="A5993" s="18" t="inlineStr">
        <is>
          <t>Joe Egan</t>
        </is>
      </c>
      <c r="B5993" s="18" t="n">
        <v>1</v>
      </c>
      <c r="C5993" s="18" t="n">
        <v>2009</v>
      </c>
      <c r="D5993" s="18" t="n">
        <v>2009</v>
      </c>
      <c r="E5993" s="18" t="inlineStr">
        <is>
          <t>Sherlock Holmes</t>
        </is>
      </c>
      <c r="F5993" s="18" t="inlineStr">
        <is>
          <t>F0278</t>
        </is>
      </c>
    </row>
    <row r="5994" ht="15.75" customHeight="1" s="108">
      <c r="A5994" s="18" t="inlineStr">
        <is>
          <t>Marn Davies</t>
        </is>
      </c>
      <c r="B5994" s="18" t="n">
        <v>1</v>
      </c>
      <c r="C5994" s="18" t="n">
        <v>2009</v>
      </c>
      <c r="D5994" s="18" t="n">
        <v>2009</v>
      </c>
      <c r="E5994" s="18" t="inlineStr">
        <is>
          <t>Sherlock Holmes</t>
        </is>
      </c>
      <c r="F5994" s="18" t="inlineStr">
        <is>
          <t>F0278</t>
        </is>
      </c>
    </row>
    <row r="5995" ht="15.75" customHeight="1" s="108">
      <c r="A5995" s="18" t="inlineStr">
        <is>
          <t>Andrew Greenough</t>
        </is>
      </c>
      <c r="B5995" s="18" t="n">
        <v>1</v>
      </c>
      <c r="C5995" s="18" t="n">
        <v>2009</v>
      </c>
      <c r="D5995" s="18" t="n">
        <v>2009</v>
      </c>
      <c r="E5995" s="18" t="inlineStr">
        <is>
          <t>Sherlock Holmes</t>
        </is>
      </c>
      <c r="F5995" s="18" t="inlineStr">
        <is>
          <t>F0278</t>
        </is>
      </c>
    </row>
    <row r="5996" ht="15.75" customHeight="1" s="108">
      <c r="A5996" s="18" t="inlineStr">
        <is>
          <t>Paul Anderson</t>
        </is>
      </c>
      <c r="B5996" s="18" t="n">
        <v>2</v>
      </c>
      <c r="C5996" s="18" t="n">
        <v>2011</v>
      </c>
      <c r="D5996" s="18" t="n">
        <v>2012</v>
      </c>
      <c r="E5996" s="18" t="inlineStr">
        <is>
          <t>Sherlock Holmes: A Game of Shadows, The Sweeney</t>
        </is>
      </c>
      <c r="F5996" s="18" t="inlineStr">
        <is>
          <t>F0279, F0305</t>
        </is>
      </c>
    </row>
    <row r="5997" ht="15.75" customHeight="1" s="108">
      <c r="A5997" s="18" t="inlineStr">
        <is>
          <t>Wolf Kahler</t>
        </is>
      </c>
      <c r="B5997" s="18" t="n">
        <v>1</v>
      </c>
      <c r="C5997" s="18" t="n">
        <v>2011</v>
      </c>
      <c r="D5997" s="18" t="n">
        <v>2011</v>
      </c>
      <c r="E5997" s="18" t="inlineStr">
        <is>
          <t>Sherlock Holmes: A Game of Shadows</t>
        </is>
      </c>
      <c r="F5997" s="18" t="inlineStr">
        <is>
          <t>F0279</t>
        </is>
      </c>
    </row>
    <row r="5998" ht="15.75" customHeight="1" s="108">
      <c r="A5998" s="18" t="inlineStr">
        <is>
          <t>Iain Mitchell</t>
        </is>
      </c>
      <c r="B5998" s="18" t="n">
        <v>1</v>
      </c>
      <c r="C5998" s="18" t="n">
        <v>2011</v>
      </c>
      <c r="D5998" s="18" t="n">
        <v>2011</v>
      </c>
      <c r="E5998" s="18" t="inlineStr">
        <is>
          <t>Sherlock Holmes: A Game of Shadows</t>
        </is>
      </c>
      <c r="F5998" s="18" t="inlineStr">
        <is>
          <t>F0279</t>
        </is>
      </c>
    </row>
    <row r="5999" ht="15.75" customHeight="1" s="108">
      <c r="A5999" s="18" t="inlineStr">
        <is>
          <t>Jack Laskey</t>
        </is>
      </c>
      <c r="B5999" s="18" t="n">
        <v>1</v>
      </c>
      <c r="C5999" s="18" t="n">
        <v>2011</v>
      </c>
      <c r="D5999" s="18" t="n">
        <v>2011</v>
      </c>
      <c r="E5999" s="18" t="inlineStr">
        <is>
          <t>Sherlock Holmes: A Game of Shadows</t>
        </is>
      </c>
      <c r="F5999" s="18" t="inlineStr">
        <is>
          <t>F0279</t>
        </is>
      </c>
    </row>
    <row r="6000" ht="15.75" customHeight="1" s="108">
      <c r="A6000" s="18" t="inlineStr">
        <is>
          <t>Patricia Slater</t>
        </is>
      </c>
      <c r="B6000" s="18" t="n">
        <v>1</v>
      </c>
      <c r="C6000" s="18" t="n">
        <v>2011</v>
      </c>
      <c r="D6000" s="18" t="n">
        <v>2011</v>
      </c>
      <c r="E6000" s="18" t="inlineStr">
        <is>
          <t>Sherlock Holmes: A Game of Shadows</t>
        </is>
      </c>
      <c r="F6000" s="18" t="inlineStr">
        <is>
          <t>F0279</t>
        </is>
      </c>
    </row>
    <row r="6001" ht="15.75" customHeight="1" s="108">
      <c r="A6001" s="18" t="inlineStr">
        <is>
          <t>Karima McAdams</t>
        </is>
      </c>
      <c r="B6001" s="18" t="n">
        <v>1</v>
      </c>
      <c r="C6001" s="18" t="n">
        <v>2011</v>
      </c>
      <c r="D6001" s="18" t="n">
        <v>2011</v>
      </c>
      <c r="E6001" s="18" t="inlineStr">
        <is>
          <t>Sherlock Holmes: A Game of Shadows</t>
        </is>
      </c>
      <c r="F6001" s="18" t="inlineStr">
        <is>
          <t>F0279</t>
        </is>
      </c>
    </row>
    <row r="6002" ht="15.75" customHeight="1" s="108">
      <c r="A6002" s="18" t="inlineStr">
        <is>
          <t>Richard Cunningham</t>
        </is>
      </c>
      <c r="B6002" s="18" t="n">
        <v>1</v>
      </c>
      <c r="C6002" s="18" t="n">
        <v>2011</v>
      </c>
      <c r="D6002" s="18" t="n">
        <v>2011</v>
      </c>
      <c r="E6002" s="18" t="inlineStr">
        <is>
          <t>Sherlock Holmes: A Game of Shadows</t>
        </is>
      </c>
      <c r="F6002" s="18" t="inlineStr">
        <is>
          <t>F0279</t>
        </is>
      </c>
    </row>
    <row r="6003" ht="15.75" customHeight="1" s="108">
      <c r="A6003" s="18" t="inlineStr">
        <is>
          <t>Marcus Shakesheff</t>
        </is>
      </c>
      <c r="B6003" s="18" t="n">
        <v>1</v>
      </c>
      <c r="C6003" s="18" t="n">
        <v>2011</v>
      </c>
      <c r="D6003" s="18" t="n">
        <v>2011</v>
      </c>
      <c r="E6003" s="18" t="inlineStr">
        <is>
          <t>Sherlock Holmes: A Game of Shadows</t>
        </is>
      </c>
      <c r="F6003" s="18" t="inlineStr">
        <is>
          <t>F0279</t>
        </is>
      </c>
    </row>
    <row r="6004" ht="15.75" customHeight="1" s="108">
      <c r="A6004" s="18" t="inlineStr">
        <is>
          <t>Mark Sheals</t>
        </is>
      </c>
      <c r="B6004" s="18" t="n">
        <v>1</v>
      </c>
      <c r="C6004" s="18" t="n">
        <v>2011</v>
      </c>
      <c r="D6004" s="18" t="n">
        <v>2011</v>
      </c>
      <c r="E6004" s="18" t="inlineStr">
        <is>
          <t>Sherlock Holmes: A Game of Shadows</t>
        </is>
      </c>
      <c r="F6004" s="18" t="inlineStr">
        <is>
          <t>F0279</t>
        </is>
      </c>
    </row>
    <row r="6005" ht="15.75" customHeight="1" s="108">
      <c r="A6005" s="18" t="inlineStr">
        <is>
          <t>George Taylor</t>
        </is>
      </c>
      <c r="B6005" s="18" t="n">
        <v>1</v>
      </c>
      <c r="C6005" s="18" t="n">
        <v>2011</v>
      </c>
      <c r="D6005" s="18" t="n">
        <v>2011</v>
      </c>
      <c r="E6005" s="18" t="inlineStr">
        <is>
          <t>Sherlock Holmes: A Game of Shadows</t>
        </is>
      </c>
      <c r="F6005" s="18" t="inlineStr">
        <is>
          <t>F0279</t>
        </is>
      </c>
    </row>
    <row r="6006" ht="15.75" customHeight="1" s="108">
      <c r="A6006" s="18" t="inlineStr">
        <is>
          <t>Michael Webber</t>
        </is>
      </c>
      <c r="B6006" s="18" t="n">
        <v>1</v>
      </c>
      <c r="C6006" s="18" t="n">
        <v>2011</v>
      </c>
      <c r="D6006" s="18" t="n">
        <v>2011</v>
      </c>
      <c r="E6006" s="18" t="inlineStr">
        <is>
          <t>Sherlock Holmes: A Game of Shadows</t>
        </is>
      </c>
      <c r="F6006" s="18" t="inlineStr">
        <is>
          <t>F0279</t>
        </is>
      </c>
    </row>
    <row r="6007" ht="15.75" customHeight="1" s="108">
      <c r="A6007" s="18" t="inlineStr">
        <is>
          <t>Mike Grady</t>
        </is>
      </c>
      <c r="B6007" s="18" t="n">
        <v>1</v>
      </c>
      <c r="C6007" s="18" t="n">
        <v>2011</v>
      </c>
      <c r="D6007" s="18" t="n">
        <v>2011</v>
      </c>
      <c r="E6007" s="18" t="inlineStr">
        <is>
          <t>Sherlock Holmes: A Game of Shadows</t>
        </is>
      </c>
      <c r="F6007" s="18" t="inlineStr">
        <is>
          <t>F0279</t>
        </is>
      </c>
    </row>
    <row r="6008" ht="15.75" customHeight="1" s="108">
      <c r="A6008" s="18" t="inlineStr">
        <is>
          <t>Alexandre Carril</t>
        </is>
      </c>
      <c r="B6008" s="18" t="n">
        <v>1</v>
      </c>
      <c r="C6008" s="18" t="n">
        <v>2011</v>
      </c>
      <c r="D6008" s="18" t="n">
        <v>2011</v>
      </c>
      <c r="E6008" s="18" t="inlineStr">
        <is>
          <t>Sherlock Holmes: A Game of Shadows</t>
        </is>
      </c>
      <c r="F6008" s="18" t="inlineStr">
        <is>
          <t>F0279</t>
        </is>
      </c>
    </row>
    <row r="6009" ht="15.75" customHeight="1" s="108">
      <c r="A6009" s="18" t="inlineStr">
        <is>
          <t>Victor Carril</t>
        </is>
      </c>
      <c r="B6009" s="18" t="n">
        <v>1</v>
      </c>
      <c r="C6009" s="18" t="n">
        <v>2011</v>
      </c>
      <c r="D6009" s="18" t="n">
        <v>2011</v>
      </c>
      <c r="E6009" s="18" t="inlineStr">
        <is>
          <t>Sherlock Holmes: A Game of Shadows</t>
        </is>
      </c>
      <c r="F6009" s="18" t="inlineStr">
        <is>
          <t>F0279</t>
        </is>
      </c>
    </row>
    <row r="6010" ht="15.75" customHeight="1" s="108">
      <c r="A6010" s="18" t="inlineStr">
        <is>
          <t>Thorston Manderlay</t>
        </is>
      </c>
      <c r="B6010" s="18" t="n">
        <v>1</v>
      </c>
      <c r="C6010" s="18" t="n">
        <v>2011</v>
      </c>
      <c r="D6010" s="18" t="n">
        <v>2011</v>
      </c>
      <c r="E6010" s="18" t="inlineStr">
        <is>
          <t>Sherlock Holmes: A Game of Shadows</t>
        </is>
      </c>
      <c r="F6010" s="18" t="inlineStr">
        <is>
          <t>F0279</t>
        </is>
      </c>
    </row>
    <row r="6011" ht="15.75" customHeight="1" s="108">
      <c r="A6011" s="18" t="inlineStr">
        <is>
          <t>Affif Ben Badra</t>
        </is>
      </c>
      <c r="B6011" s="18" t="n">
        <v>1</v>
      </c>
      <c r="C6011" s="18" t="n">
        <v>2011</v>
      </c>
      <c r="D6011" s="18" t="n">
        <v>2011</v>
      </c>
      <c r="E6011" s="18" t="inlineStr">
        <is>
          <t>Sherlock Holmes: A Game of Shadows</t>
        </is>
      </c>
      <c r="F6011" s="18" t="inlineStr">
        <is>
          <t>F0279</t>
        </is>
      </c>
    </row>
    <row r="6012" ht="15.75" customHeight="1" s="108">
      <c r="A6012" s="18" t="inlineStr">
        <is>
          <t>Daniel Naprous</t>
        </is>
      </c>
      <c r="B6012" s="18" t="n">
        <v>2</v>
      </c>
      <c r="C6012" s="18" t="n">
        <v>2011</v>
      </c>
      <c r="D6012" s="18" t="n">
        <v>2016</v>
      </c>
      <c r="E6012" s="18" t="inlineStr">
        <is>
          <t>Sherlock Holmes: A Game of Shadows, Rogue one</t>
        </is>
      </c>
      <c r="F6012" s="18" t="inlineStr">
        <is>
          <t>F0279, F0385</t>
        </is>
      </c>
    </row>
    <row r="6013" ht="15.75" customHeight="1" s="108">
      <c r="A6013" s="18" t="inlineStr">
        <is>
          <t>Lancelot Weaver</t>
        </is>
      </c>
      <c r="B6013" s="18" t="n">
        <v>1</v>
      </c>
      <c r="C6013" s="18" t="n">
        <v>2011</v>
      </c>
      <c r="D6013" s="18" t="n">
        <v>2011</v>
      </c>
      <c r="E6013" s="18" t="inlineStr">
        <is>
          <t>Sherlock Holmes: A Game of Shadows</t>
        </is>
      </c>
      <c r="F6013" s="18" t="inlineStr">
        <is>
          <t>F0279</t>
        </is>
      </c>
    </row>
    <row r="6014" ht="15.75" customHeight="1" s="108">
      <c r="A6014" s="18" t="inlineStr">
        <is>
          <t>Alexander Devrient</t>
        </is>
      </c>
      <c r="B6014" s="18" t="n">
        <v>1</v>
      </c>
      <c r="C6014" s="18" t="n">
        <v>2011</v>
      </c>
      <c r="D6014" s="18" t="n">
        <v>2011</v>
      </c>
      <c r="E6014" s="18" t="inlineStr">
        <is>
          <t>Sherlock Holmes: A Game of Shadows</t>
        </is>
      </c>
      <c r="F6014" s="18" t="inlineStr">
        <is>
          <t>F0279</t>
        </is>
      </c>
    </row>
    <row r="6015" ht="15.75" customHeight="1" s="108">
      <c r="A6015" s="18" t="inlineStr">
        <is>
          <t>Tori Kelly</t>
        </is>
      </c>
      <c r="B6015" s="18" t="n">
        <v>1</v>
      </c>
      <c r="C6015" s="18" t="n">
        <v>2016</v>
      </c>
      <c r="D6015" s="18" t="n">
        <v>2016</v>
      </c>
      <c r="E6015" s="18" t="inlineStr">
        <is>
          <t>Sing</t>
        </is>
      </c>
      <c r="F6015" s="18" t="inlineStr">
        <is>
          <t>F0280</t>
        </is>
      </c>
    </row>
    <row r="6016" ht="15.75" customHeight="1" s="108">
      <c r="A6016" s="18" t="inlineStr">
        <is>
          <t>Jennifer Hudson</t>
        </is>
      </c>
      <c r="B6016" s="18" t="n">
        <v>1</v>
      </c>
      <c r="C6016" s="18" t="n">
        <v>2016</v>
      </c>
      <c r="D6016" s="18" t="n">
        <v>2016</v>
      </c>
      <c r="E6016" s="18" t="inlineStr">
        <is>
          <t>Sing</t>
        </is>
      </c>
      <c r="F6016" s="18" t="inlineStr">
        <is>
          <t>F0280</t>
        </is>
      </c>
    </row>
    <row r="6017" ht="15.75" customHeight="1" s="108">
      <c r="A6017" s="18" t="inlineStr">
        <is>
          <t>Garth Jennings</t>
        </is>
      </c>
      <c r="B6017" s="18" t="n">
        <v>1</v>
      </c>
      <c r="C6017" s="18" t="n">
        <v>2016</v>
      </c>
      <c r="D6017" s="18" t="n">
        <v>2016</v>
      </c>
      <c r="E6017" s="18" t="inlineStr">
        <is>
          <t>Sing</t>
        </is>
      </c>
      <c r="F6017" s="18" t="inlineStr">
        <is>
          <t>F0280</t>
        </is>
      </c>
    </row>
    <row r="6018" ht="15.75" customHeight="1" s="108">
      <c r="A6018" s="18" t="inlineStr">
        <is>
          <t>Nick Kroll</t>
        </is>
      </c>
      <c r="B6018" s="18" t="n">
        <v>1</v>
      </c>
      <c r="C6018" s="18" t="n">
        <v>2016</v>
      </c>
      <c r="D6018" s="18" t="n">
        <v>2016</v>
      </c>
      <c r="E6018" s="18" t="inlineStr">
        <is>
          <t>Sing</t>
        </is>
      </c>
      <c r="F6018" s="18" t="inlineStr">
        <is>
          <t>F0280</t>
        </is>
      </c>
    </row>
    <row r="6019" ht="15.75" customHeight="1" s="108">
      <c r="A6019" s="18" t="inlineStr">
        <is>
          <t>Beck Bennett</t>
        </is>
      </c>
      <c r="B6019" s="18" t="n">
        <v>1</v>
      </c>
      <c r="C6019" s="18" t="n">
        <v>2016</v>
      </c>
      <c r="D6019" s="18" t="n">
        <v>2016</v>
      </c>
      <c r="E6019" s="18" t="inlineStr">
        <is>
          <t>Sing</t>
        </is>
      </c>
      <c r="F6019" s="18" t="inlineStr">
        <is>
          <t>F0280</t>
        </is>
      </c>
    </row>
    <row r="6020" ht="15.75" customHeight="1" s="108">
      <c r="A6020" s="18" t="inlineStr">
        <is>
          <t>Jay Pharoah</t>
        </is>
      </c>
      <c r="B6020" s="18" t="n">
        <v>1</v>
      </c>
      <c r="C6020" s="18" t="n">
        <v>2016</v>
      </c>
      <c r="D6020" s="18" t="n">
        <v>2016</v>
      </c>
      <c r="E6020" s="18" t="inlineStr">
        <is>
          <t>Sing</t>
        </is>
      </c>
      <c r="F6020" s="18" t="inlineStr">
        <is>
          <t>F0280</t>
        </is>
      </c>
    </row>
    <row r="6021" ht="15.75" customHeight="1" s="108">
      <c r="A6021" s="18" t="inlineStr">
        <is>
          <t>Leslie Jones</t>
        </is>
      </c>
      <c r="B6021" s="18" t="n">
        <v>1</v>
      </c>
      <c r="C6021" s="18" t="n">
        <v>2016</v>
      </c>
      <c r="D6021" s="18" t="n">
        <v>2016</v>
      </c>
      <c r="E6021" s="18" t="inlineStr">
        <is>
          <t>Sing</t>
        </is>
      </c>
      <c r="F6021" s="18" t="inlineStr">
        <is>
          <t>F0280</t>
        </is>
      </c>
    </row>
    <row r="6022" ht="15.75" customHeight="1" s="108">
      <c r="A6022" s="18" t="inlineStr">
        <is>
          <t>Brad Morris</t>
        </is>
      </c>
      <c r="B6022" s="18" t="n">
        <v>1</v>
      </c>
      <c r="C6022" s="18" t="n">
        <v>2016</v>
      </c>
      <c r="D6022" s="18" t="n">
        <v>2016</v>
      </c>
      <c r="E6022" s="18" t="inlineStr">
        <is>
          <t>Sing</t>
        </is>
      </c>
      <c r="F6022" s="18" t="inlineStr">
        <is>
          <t>F0280</t>
        </is>
      </c>
    </row>
    <row r="6023" ht="15.75" customHeight="1" s="108">
      <c r="A6023" s="18" t="inlineStr">
        <is>
          <t>Oscar Jennings</t>
        </is>
      </c>
      <c r="B6023" s="18" t="n">
        <v>1</v>
      </c>
      <c r="C6023" s="18" t="n">
        <v>2016</v>
      </c>
      <c r="D6023" s="18" t="n">
        <v>2016</v>
      </c>
      <c r="E6023" s="18" t="inlineStr">
        <is>
          <t>Sing</t>
        </is>
      </c>
      <c r="F6023" s="18" t="inlineStr">
        <is>
          <t>F0280</t>
        </is>
      </c>
    </row>
    <row r="6024" ht="15.75" customHeight="1" s="108">
      <c r="A6024" s="18" t="inlineStr">
        <is>
          <t>Leo Jennings</t>
        </is>
      </c>
      <c r="B6024" s="18" t="n">
        <v>1</v>
      </c>
      <c r="C6024" s="18" t="n">
        <v>2016</v>
      </c>
      <c r="D6024" s="18" t="n">
        <v>2016</v>
      </c>
      <c r="E6024" s="18" t="inlineStr">
        <is>
          <t>Sing</t>
        </is>
      </c>
      <c r="F6024" s="18" t="inlineStr">
        <is>
          <t>F0280</t>
        </is>
      </c>
    </row>
    <row r="6025" ht="15.75" customHeight="1" s="108">
      <c r="A6025" s="18" t="inlineStr">
        <is>
          <t>Caspar Jennings</t>
        </is>
      </c>
      <c r="B6025" s="18" t="n">
        <v>1</v>
      </c>
      <c r="C6025" s="18" t="n">
        <v>2016</v>
      </c>
      <c r="D6025" s="18" t="n">
        <v>2016</v>
      </c>
      <c r="E6025" s="18" t="inlineStr">
        <is>
          <t>Sing</t>
        </is>
      </c>
      <c r="F6025" s="18" t="inlineStr">
        <is>
          <t>F0280</t>
        </is>
      </c>
    </row>
    <row r="6026" ht="15.75" customHeight="1" s="108">
      <c r="A6026" s="18" t="inlineStr">
        <is>
          <t>Asa Jennings</t>
        </is>
      </c>
      <c r="B6026" s="18" t="n">
        <v>1</v>
      </c>
      <c r="C6026" s="18" t="n">
        <v>2016</v>
      </c>
      <c r="D6026" s="18" t="n">
        <v>2016</v>
      </c>
      <c r="E6026" s="18" t="inlineStr">
        <is>
          <t>Sing</t>
        </is>
      </c>
      <c r="F6026" s="18" t="inlineStr">
        <is>
          <t>F0280</t>
        </is>
      </c>
    </row>
    <row r="6027" ht="15.75" customHeight="1" s="108">
      <c r="A6027" s="18" t="inlineStr">
        <is>
          <t>Wes Anderson</t>
        </is>
      </c>
      <c r="B6027" s="18" t="n">
        <v>1</v>
      </c>
      <c r="C6027" s="18" t="n">
        <v>2016</v>
      </c>
      <c r="D6027" s="18" t="n">
        <v>2016</v>
      </c>
      <c r="E6027" s="18" t="inlineStr">
        <is>
          <t>Sing</t>
        </is>
      </c>
      <c r="F6027" s="18" t="inlineStr">
        <is>
          <t>F0280</t>
        </is>
      </c>
    </row>
    <row r="6028" ht="15.75" customHeight="1" s="108">
      <c r="A6028" s="18" t="inlineStr">
        <is>
          <t>Sara Mann</t>
        </is>
      </c>
      <c r="B6028" s="18" t="n">
        <v>1</v>
      </c>
      <c r="C6028" s="18" t="n">
        <v>2016</v>
      </c>
      <c r="D6028" s="18" t="n">
        <v>2016</v>
      </c>
      <c r="E6028" s="18" t="inlineStr">
        <is>
          <t>Sing</t>
        </is>
      </c>
      <c r="F6028" s="18" t="inlineStr">
        <is>
          <t>F0280</t>
        </is>
      </c>
    </row>
    <row r="6029" ht="15.75" customHeight="1" s="108">
      <c r="A6029" s="18" t="inlineStr">
        <is>
          <t>Igor Khait</t>
        </is>
      </c>
      <c r="B6029" s="18" t="n">
        <v>1</v>
      </c>
      <c r="C6029" s="18" t="n">
        <v>2016</v>
      </c>
      <c r="D6029" s="18" t="n">
        <v>2016</v>
      </c>
      <c r="E6029" s="18" t="inlineStr">
        <is>
          <t>Sing</t>
        </is>
      </c>
      <c r="F6029" s="18" t="inlineStr">
        <is>
          <t>F0280</t>
        </is>
      </c>
    </row>
    <row r="6030" ht="15.75" customHeight="1" s="108">
      <c r="A6030" s="18" t="inlineStr">
        <is>
          <t>David Arnott</t>
        </is>
      </c>
      <c r="B6030" s="18" t="n">
        <v>1</v>
      </c>
      <c r="C6030" s="18" t="n">
        <v>2016</v>
      </c>
      <c r="D6030" s="18" t="n">
        <v>2016</v>
      </c>
      <c r="E6030" s="18" t="inlineStr">
        <is>
          <t>Sing</t>
        </is>
      </c>
      <c r="F6030" s="18" t="inlineStr">
        <is>
          <t>F0280</t>
        </is>
      </c>
    </row>
    <row r="6031" ht="15.75" customHeight="1" s="108">
      <c r="A6031" s="18" t="inlineStr">
        <is>
          <t>Saurabh Shukla</t>
        </is>
      </c>
      <c r="B6031" s="18" t="n">
        <v>1</v>
      </c>
      <c r="C6031" s="18" t="n">
        <v>2008</v>
      </c>
      <c r="D6031" s="18" t="n">
        <v>2008</v>
      </c>
      <c r="E6031" s="18" t="inlineStr">
        <is>
          <t>Slumdog Millionaire</t>
        </is>
      </c>
      <c r="F6031" s="18" t="inlineStr">
        <is>
          <t>F0281</t>
        </is>
      </c>
    </row>
    <row r="6032" ht="15.75" customHeight="1" s="108">
      <c r="A6032" s="18" t="inlineStr">
        <is>
          <t>Ankur Vikal</t>
        </is>
      </c>
      <c r="B6032" s="18" t="n">
        <v>1</v>
      </c>
      <c r="C6032" s="18" t="n">
        <v>2008</v>
      </c>
      <c r="D6032" s="18" t="n">
        <v>2008</v>
      </c>
      <c r="E6032" s="18" t="inlineStr">
        <is>
          <t>Slumdog Millionaire</t>
        </is>
      </c>
      <c r="F6032" s="18" t="inlineStr">
        <is>
          <t>F0281</t>
        </is>
      </c>
    </row>
    <row r="6033" ht="15.75" customHeight="1" s="108">
      <c r="A6033" s="18" t="inlineStr">
        <is>
          <t>Tanay Chheda</t>
        </is>
      </c>
      <c r="B6033" s="18" t="n">
        <v>1</v>
      </c>
      <c r="C6033" s="18" t="n">
        <v>2008</v>
      </c>
      <c r="D6033" s="18" t="n">
        <v>2008</v>
      </c>
      <c r="E6033" s="18" t="inlineStr">
        <is>
          <t>Slumdog Millionaire</t>
        </is>
      </c>
      <c r="F6033" s="18" t="inlineStr">
        <is>
          <t>F0281</t>
        </is>
      </c>
    </row>
    <row r="6034" ht="15.75" customHeight="1" s="108">
      <c r="A6034" s="18" t="inlineStr">
        <is>
          <t>Ayush Mahesh Khedekar</t>
        </is>
      </c>
      <c r="B6034" s="18" t="n">
        <v>1</v>
      </c>
      <c r="C6034" s="18" t="n">
        <v>2008</v>
      </c>
      <c r="D6034" s="18" t="n">
        <v>2008</v>
      </c>
      <c r="E6034" s="18" t="inlineStr">
        <is>
          <t>Slumdog Millionaire</t>
        </is>
      </c>
      <c r="F6034" s="18" t="inlineStr">
        <is>
          <t>F0281</t>
        </is>
      </c>
    </row>
    <row r="6035" ht="15.75" customHeight="1" s="108">
      <c r="A6035" s="18" t="inlineStr">
        <is>
          <t>Ashutosh Lobo Gajiwala</t>
        </is>
      </c>
      <c r="B6035" s="18" t="n">
        <v>1</v>
      </c>
      <c r="C6035" s="18" t="n">
        <v>2008</v>
      </c>
      <c r="D6035" s="18" t="n">
        <v>2008</v>
      </c>
      <c r="E6035" s="18" t="inlineStr">
        <is>
          <t>Slumdog Millionaire</t>
        </is>
      </c>
      <c r="F6035" s="18" t="inlineStr">
        <is>
          <t>F0281</t>
        </is>
      </c>
    </row>
    <row r="6036" ht="15.75" customHeight="1" s="108">
      <c r="A6036" s="18" t="inlineStr">
        <is>
          <t>Azharuddin Mohammed Ismail</t>
        </is>
      </c>
      <c r="B6036" s="18" t="n">
        <v>1</v>
      </c>
      <c r="C6036" s="18" t="n">
        <v>2008</v>
      </c>
      <c r="D6036" s="18" t="n">
        <v>2008</v>
      </c>
      <c r="E6036" s="18" t="inlineStr">
        <is>
          <t>Slumdog Millionaire</t>
        </is>
      </c>
      <c r="F6036" s="18" t="inlineStr">
        <is>
          <t>F0281</t>
        </is>
      </c>
    </row>
    <row r="6037" ht="15.75" customHeight="1" s="108">
      <c r="A6037" s="18" t="inlineStr">
        <is>
          <t>Tanvi Ganesh Lonkar</t>
        </is>
      </c>
      <c r="B6037" s="18" t="n">
        <v>1</v>
      </c>
      <c r="C6037" s="18" t="n">
        <v>2008</v>
      </c>
      <c r="D6037" s="18" t="n">
        <v>2008</v>
      </c>
      <c r="E6037" s="18" t="inlineStr">
        <is>
          <t>Slumdog Millionaire</t>
        </is>
      </c>
      <c r="F6037" s="18" t="inlineStr">
        <is>
          <t>F0281</t>
        </is>
      </c>
    </row>
    <row r="6038" ht="15.75" customHeight="1" s="108">
      <c r="A6038" s="18" t="inlineStr">
        <is>
          <t>Rubina Ali</t>
        </is>
      </c>
      <c r="B6038" s="18" t="n">
        <v>1</v>
      </c>
      <c r="C6038" s="18" t="n">
        <v>2008</v>
      </c>
      <c r="D6038" s="18" t="n">
        <v>2008</v>
      </c>
      <c r="E6038" s="18" t="inlineStr">
        <is>
          <t>Slumdog Millionaire</t>
        </is>
      </c>
      <c r="F6038" s="18" t="inlineStr">
        <is>
          <t>F0281</t>
        </is>
      </c>
    </row>
    <row r="6039" ht="15.75" customHeight="1" s="108">
      <c r="A6039" s="18" t="inlineStr">
        <is>
          <t>Raj Zutshi</t>
        </is>
      </c>
      <c r="B6039" s="18" t="n">
        <v>1</v>
      </c>
      <c r="C6039" s="18" t="n">
        <v>2008</v>
      </c>
      <c r="D6039" s="18" t="n">
        <v>2008</v>
      </c>
      <c r="E6039" s="18" t="inlineStr">
        <is>
          <t>Slumdog Millionaire</t>
        </is>
      </c>
      <c r="F6039" s="18" t="inlineStr">
        <is>
          <t>F0281</t>
        </is>
      </c>
    </row>
    <row r="6040" ht="15.75" customHeight="1" s="108">
      <c r="A6040" s="18" t="inlineStr">
        <is>
          <t>Jeneva Talwar</t>
        </is>
      </c>
      <c r="B6040" s="18" t="n">
        <v>1</v>
      </c>
      <c r="C6040" s="18" t="n">
        <v>2008</v>
      </c>
      <c r="D6040" s="18" t="n">
        <v>2008</v>
      </c>
      <c r="E6040" s="18" t="inlineStr">
        <is>
          <t>Slumdog Millionaire</t>
        </is>
      </c>
      <c r="F6040" s="18" t="inlineStr">
        <is>
          <t>F0281</t>
        </is>
      </c>
    </row>
    <row r="6041" ht="15.75" customHeight="1" s="108">
      <c r="A6041" s="18" t="inlineStr">
        <is>
          <t>Sharib Hashmi</t>
        </is>
      </c>
      <c r="B6041" s="18" t="n">
        <v>1</v>
      </c>
      <c r="C6041" s="18" t="n">
        <v>2008</v>
      </c>
      <c r="D6041" s="18" t="n">
        <v>2008</v>
      </c>
      <c r="E6041" s="18" t="inlineStr">
        <is>
          <t>Slumdog Millionaire</t>
        </is>
      </c>
      <c r="F6041" s="18" t="inlineStr">
        <is>
          <t>F0281</t>
        </is>
      </c>
    </row>
    <row r="6042" ht="15.75" customHeight="1" s="108">
      <c r="A6042" s="18" t="inlineStr">
        <is>
          <t>Mia Drake</t>
        </is>
      </c>
      <c r="B6042" s="18" t="n">
        <v>1</v>
      </c>
      <c r="C6042" s="18" t="n">
        <v>2008</v>
      </c>
      <c r="D6042" s="18" t="n">
        <v>2008</v>
      </c>
      <c r="E6042" s="18" t="inlineStr">
        <is>
          <t>Slumdog Millionaire</t>
        </is>
      </c>
      <c r="F6042" s="18" t="inlineStr">
        <is>
          <t>F0281</t>
        </is>
      </c>
    </row>
    <row r="6043" ht="15.75" customHeight="1" s="108">
      <c r="A6043" s="18" t="inlineStr">
        <is>
          <t>Shruti Seth</t>
        </is>
      </c>
      <c r="B6043" s="18" t="n">
        <v>1</v>
      </c>
      <c r="C6043" s="18" t="n">
        <v>2008</v>
      </c>
      <c r="D6043" s="18" t="n">
        <v>2008</v>
      </c>
      <c r="E6043" s="18" t="inlineStr">
        <is>
          <t>Slumdog Millionaire</t>
        </is>
      </c>
      <c r="F6043" s="18" t="inlineStr">
        <is>
          <t>F0281</t>
        </is>
      </c>
    </row>
    <row r="6044" ht="15.75" customHeight="1" s="108">
      <c r="A6044" s="18" t="inlineStr">
        <is>
          <t>Anjum Sharma</t>
        </is>
      </c>
      <c r="B6044" s="18" t="n">
        <v>1</v>
      </c>
      <c r="C6044" s="18" t="n">
        <v>2008</v>
      </c>
      <c r="D6044" s="18" t="n">
        <v>2008</v>
      </c>
      <c r="E6044" s="18" t="inlineStr">
        <is>
          <t>Slumdog Millionaire</t>
        </is>
      </c>
      <c r="F6044" s="18" t="inlineStr">
        <is>
          <t>F0281</t>
        </is>
      </c>
    </row>
    <row r="6045" ht="15.75" customHeight="1" s="108">
      <c r="A6045" s="18" t="inlineStr">
        <is>
          <t>Jira Banjara</t>
        </is>
      </c>
      <c r="B6045" s="18" t="n">
        <v>1</v>
      </c>
      <c r="C6045" s="18" t="n">
        <v>2008</v>
      </c>
      <c r="D6045" s="18" t="n">
        <v>2008</v>
      </c>
      <c r="E6045" s="18" t="inlineStr">
        <is>
          <t>Slumdog Millionaire</t>
        </is>
      </c>
      <c r="F6045" s="18" t="inlineStr">
        <is>
          <t>F0281</t>
        </is>
      </c>
    </row>
    <row r="6046" ht="15.75" customHeight="1" s="108">
      <c r="A6046" s="18" t="inlineStr">
        <is>
          <t>Sheikh Wali</t>
        </is>
      </c>
      <c r="B6046" s="18" t="n">
        <v>1</v>
      </c>
      <c r="C6046" s="18" t="n">
        <v>2008</v>
      </c>
      <c r="D6046" s="18" t="n">
        <v>2008</v>
      </c>
      <c r="E6046" s="18" t="inlineStr">
        <is>
          <t>Slumdog Millionaire</t>
        </is>
      </c>
      <c r="F6046" s="18" t="inlineStr">
        <is>
          <t>F0281</t>
        </is>
      </c>
    </row>
    <row r="6047" ht="15.75" customHeight="1" s="108">
      <c r="A6047" s="18" t="inlineStr">
        <is>
          <t>Sanchita Choudhary</t>
        </is>
      </c>
      <c r="B6047" s="18" t="n">
        <v>1</v>
      </c>
      <c r="C6047" s="18" t="n">
        <v>2008</v>
      </c>
      <c r="D6047" s="18" t="n">
        <v>2008</v>
      </c>
      <c r="E6047" s="18" t="inlineStr">
        <is>
          <t>Slumdog Millionaire</t>
        </is>
      </c>
      <c r="F6047" s="18" t="inlineStr">
        <is>
          <t>F0281</t>
        </is>
      </c>
    </row>
    <row r="6048" ht="15.75" customHeight="1" s="108">
      <c r="A6048" s="18" t="inlineStr">
        <is>
          <t>Himanshu Tyagi</t>
        </is>
      </c>
      <c r="B6048" s="18" t="n">
        <v>1</v>
      </c>
      <c r="C6048" s="18" t="n">
        <v>2008</v>
      </c>
      <c r="D6048" s="18" t="n">
        <v>2008</v>
      </c>
      <c r="E6048" s="18" t="inlineStr">
        <is>
          <t>Slumdog Millionaire</t>
        </is>
      </c>
      <c r="F6048" s="18" t="inlineStr">
        <is>
          <t>F0281</t>
        </is>
      </c>
    </row>
    <row r="6049" ht="15.75" customHeight="1" s="108">
      <c r="A6049" s="18" t="inlineStr">
        <is>
          <t>Virendra Chatterjee</t>
        </is>
      </c>
      <c r="B6049" s="18" t="n">
        <v>1</v>
      </c>
      <c r="C6049" s="18" t="n">
        <v>2008</v>
      </c>
      <c r="D6049" s="18" t="n">
        <v>2008</v>
      </c>
      <c r="E6049" s="18" t="inlineStr">
        <is>
          <t>Slumdog Millionaire</t>
        </is>
      </c>
      <c r="F6049" s="18" t="inlineStr">
        <is>
          <t>F0281</t>
        </is>
      </c>
    </row>
    <row r="6050" ht="15.75" customHeight="1" s="108">
      <c r="A6050" s="18" t="inlineStr">
        <is>
          <t>Feroze Khan</t>
        </is>
      </c>
      <c r="B6050" s="18" t="n">
        <v>1</v>
      </c>
      <c r="C6050" s="18" t="n">
        <v>2008</v>
      </c>
      <c r="D6050" s="18" t="n">
        <v>2008</v>
      </c>
      <c r="E6050" s="18" t="inlineStr">
        <is>
          <t>Slumdog Millionaire</t>
        </is>
      </c>
      <c r="F6050" s="18" t="inlineStr">
        <is>
          <t>F0281</t>
        </is>
      </c>
    </row>
    <row r="6051" ht="15.75" customHeight="1" s="108">
      <c r="A6051" s="18" t="inlineStr">
        <is>
          <t>Sunil Kumar Agrawal</t>
        </is>
      </c>
      <c r="B6051" s="18" t="n">
        <v>1</v>
      </c>
      <c r="C6051" s="18" t="n">
        <v>2008</v>
      </c>
      <c r="D6051" s="18" t="n">
        <v>2008</v>
      </c>
      <c r="E6051" s="18" t="inlineStr">
        <is>
          <t>Slumdog Millionaire</t>
        </is>
      </c>
      <c r="F6051" s="18" t="inlineStr">
        <is>
          <t>F0281</t>
        </is>
      </c>
    </row>
    <row r="6052" ht="15.75" customHeight="1" s="108">
      <c r="A6052" s="18" t="inlineStr">
        <is>
          <t>Virender Kumar</t>
        </is>
      </c>
      <c r="B6052" s="18" t="n">
        <v>1</v>
      </c>
      <c r="C6052" s="18" t="n">
        <v>2008</v>
      </c>
      <c r="D6052" s="18" t="n">
        <v>2008</v>
      </c>
      <c r="E6052" s="18" t="inlineStr">
        <is>
          <t>Slumdog Millionaire</t>
        </is>
      </c>
      <c r="F6052" s="18" t="inlineStr">
        <is>
          <t>F0281</t>
        </is>
      </c>
    </row>
    <row r="6053" ht="15.75" customHeight="1" s="108">
      <c r="A6053" s="18" t="inlineStr">
        <is>
          <t>Devesh Rawal</t>
        </is>
      </c>
      <c r="B6053" s="18" t="n">
        <v>1</v>
      </c>
      <c r="C6053" s="18" t="n">
        <v>2008</v>
      </c>
      <c r="D6053" s="18" t="n">
        <v>2008</v>
      </c>
      <c r="E6053" s="18" t="inlineStr">
        <is>
          <t>Slumdog Millionaire</t>
        </is>
      </c>
      <c r="F6053" s="18" t="inlineStr">
        <is>
          <t>F0281</t>
        </is>
      </c>
    </row>
    <row r="6054" ht="15.75" customHeight="1" s="108">
      <c r="A6054" s="18" t="inlineStr">
        <is>
          <t>Tiger</t>
        </is>
      </c>
      <c r="B6054" s="18" t="n">
        <v>1</v>
      </c>
      <c r="C6054" s="18" t="n">
        <v>2008</v>
      </c>
      <c r="D6054" s="18" t="n">
        <v>2008</v>
      </c>
      <c r="E6054" s="18" t="inlineStr">
        <is>
          <t>Slumdog Millionaire</t>
        </is>
      </c>
      <c r="F6054" s="18" t="inlineStr">
        <is>
          <t>F0281</t>
        </is>
      </c>
    </row>
    <row r="6055" ht="15.75" customHeight="1" s="108">
      <c r="A6055" s="18" t="inlineStr">
        <is>
          <t>Jacob Tremblay</t>
        </is>
      </c>
      <c r="B6055" s="18" t="n">
        <v>1</v>
      </c>
      <c r="C6055" s="18" t="n">
        <v>2013</v>
      </c>
      <c r="D6055" s="18" t="n">
        <v>2013</v>
      </c>
      <c r="E6055" s="18" t="inlineStr">
        <is>
          <t>The Smurfs 2</t>
        </is>
      </c>
      <c r="F6055" s="18" t="inlineStr">
        <is>
          <t>F0282</t>
        </is>
      </c>
    </row>
    <row r="6056" ht="15.75" customHeight="1" s="108">
      <c r="A6056" s="18" t="inlineStr">
        <is>
          <t>Nancy O'Dell</t>
        </is>
      </c>
      <c r="B6056" s="18" t="n">
        <v>1</v>
      </c>
      <c r="C6056" s="18" t="n">
        <v>2013</v>
      </c>
      <c r="D6056" s="18" t="n">
        <v>2013</v>
      </c>
      <c r="E6056" s="18" t="inlineStr">
        <is>
          <t>The Smurfs 2</t>
        </is>
      </c>
      <c r="F6056" s="18" t="inlineStr">
        <is>
          <t>F0282</t>
        </is>
      </c>
    </row>
    <row r="6057" ht="15.75" customHeight="1" s="108">
      <c r="A6057" s="18" t="inlineStr">
        <is>
          <t>Karim Babin</t>
        </is>
      </c>
      <c r="B6057" s="18" t="n">
        <v>1</v>
      </c>
      <c r="C6057" s="18" t="n">
        <v>2013</v>
      </c>
      <c r="D6057" s="18" t="n">
        <v>2013</v>
      </c>
      <c r="E6057" s="18" t="inlineStr">
        <is>
          <t>The Smurfs 2</t>
        </is>
      </c>
      <c r="F6057" s="18" t="inlineStr">
        <is>
          <t>F0282</t>
        </is>
      </c>
    </row>
    <row r="6058" ht="15.75" customHeight="1" s="108">
      <c r="A6058" s="18" t="inlineStr">
        <is>
          <t>Gaston Morrison</t>
        </is>
      </c>
      <c r="B6058" s="18" t="n">
        <v>1</v>
      </c>
      <c r="C6058" s="18" t="n">
        <v>2013</v>
      </c>
      <c r="D6058" s="18" t="n">
        <v>2013</v>
      </c>
      <c r="E6058" s="18" t="inlineStr">
        <is>
          <t>The Smurfs 2</t>
        </is>
      </c>
      <c r="F6058" s="18" t="inlineStr">
        <is>
          <t>F0282</t>
        </is>
      </c>
    </row>
    <row r="6059" ht="15.75" customHeight="1" s="108">
      <c r="A6059" s="18" t="inlineStr">
        <is>
          <t>Jocelyn Blanchard</t>
        </is>
      </c>
      <c r="B6059" s="18" t="n">
        <v>1</v>
      </c>
      <c r="C6059" s="18" t="n">
        <v>2013</v>
      </c>
      <c r="D6059" s="18" t="n">
        <v>2013</v>
      </c>
      <c r="E6059" s="18" t="inlineStr">
        <is>
          <t>The Smurfs 2</t>
        </is>
      </c>
      <c r="F6059" s="18" t="inlineStr">
        <is>
          <t>F0282</t>
        </is>
      </c>
    </row>
    <row r="6060" ht="15.75" customHeight="1" s="108">
      <c r="A6060" s="18" t="inlineStr">
        <is>
          <t>Erika Rosenbaum</t>
        </is>
      </c>
      <c r="B6060" s="18" t="n">
        <v>1</v>
      </c>
      <c r="C6060" s="18" t="n">
        <v>2013</v>
      </c>
      <c r="D6060" s="18" t="n">
        <v>2013</v>
      </c>
      <c r="E6060" s="18" t="inlineStr">
        <is>
          <t>The Smurfs 2</t>
        </is>
      </c>
      <c r="F6060" s="18" t="inlineStr">
        <is>
          <t>F0282</t>
        </is>
      </c>
    </row>
    <row r="6061" ht="15.75" customHeight="1" s="108">
      <c r="A6061" s="18" t="inlineStr">
        <is>
          <t>Carolina Bartczak</t>
        </is>
      </c>
      <c r="B6061" s="18" t="n">
        <v>1</v>
      </c>
      <c r="C6061" s="18" t="n">
        <v>2013</v>
      </c>
      <c r="D6061" s="18" t="n">
        <v>2013</v>
      </c>
      <c r="E6061" s="18" t="inlineStr">
        <is>
          <t>The Smurfs 2</t>
        </is>
      </c>
      <c r="F6061" s="18" t="inlineStr">
        <is>
          <t>F0282</t>
        </is>
      </c>
    </row>
    <row r="6062" ht="15.75" customHeight="1" s="108">
      <c r="A6062" s="18" t="inlineStr">
        <is>
          <t>James A. Woods</t>
        </is>
      </c>
      <c r="B6062" s="18" t="n">
        <v>2</v>
      </c>
      <c r="C6062" s="18" t="n">
        <v>2011</v>
      </c>
      <c r="D6062" s="18" t="n">
        <v>2013</v>
      </c>
      <c r="E6062" s="18" t="inlineStr">
        <is>
          <t>The Smurfs 2, Source Code</t>
        </is>
      </c>
      <c r="F6062" s="18" t="inlineStr">
        <is>
          <t>F0282, F0285</t>
        </is>
      </c>
    </row>
    <row r="6063" ht="15.75" customHeight="1" s="108">
      <c r="A6063" s="18" t="inlineStr">
        <is>
          <t>Henri Pardo</t>
        </is>
      </c>
      <c r="B6063" s="18" t="n">
        <v>1</v>
      </c>
      <c r="C6063" s="18" t="n">
        <v>2013</v>
      </c>
      <c r="D6063" s="18" t="n">
        <v>2013</v>
      </c>
      <c r="E6063" s="18" t="inlineStr">
        <is>
          <t>The Smurfs 2</t>
        </is>
      </c>
      <c r="F6063" s="18" t="inlineStr">
        <is>
          <t>F0282</t>
        </is>
      </c>
    </row>
    <row r="6064" ht="15.75" customHeight="1" s="108">
      <c r="A6064" s="18" t="inlineStr">
        <is>
          <t>Vanessa Matsui</t>
        </is>
      </c>
      <c r="B6064" s="18" t="n">
        <v>1</v>
      </c>
      <c r="C6064" s="18" t="n">
        <v>2013</v>
      </c>
      <c r="D6064" s="18" t="n">
        <v>2013</v>
      </c>
      <c r="E6064" s="18" t="inlineStr">
        <is>
          <t>The Smurfs 2</t>
        </is>
      </c>
      <c r="F6064" s="18" t="inlineStr">
        <is>
          <t>F0282</t>
        </is>
      </c>
    </row>
    <row r="6065" ht="15.75" customHeight="1" s="108">
      <c r="A6065" s="18" t="inlineStr">
        <is>
          <t>Dusan Dukic</t>
        </is>
      </c>
      <c r="B6065" s="18" t="n">
        <v>1</v>
      </c>
      <c r="C6065" s="18" t="n">
        <v>2013</v>
      </c>
      <c r="D6065" s="18" t="n">
        <v>2013</v>
      </c>
      <c r="E6065" s="18" t="inlineStr">
        <is>
          <t>The Smurfs 2</t>
        </is>
      </c>
      <c r="F6065" s="18" t="inlineStr">
        <is>
          <t>F0282</t>
        </is>
      </c>
    </row>
    <row r="6066" ht="15.75" customHeight="1" s="108">
      <c r="A6066" s="18" t="inlineStr">
        <is>
          <t>Ruth Chiang</t>
        </is>
      </c>
      <c r="B6066" s="18" t="n">
        <v>1</v>
      </c>
      <c r="C6066" s="18" t="n">
        <v>2013</v>
      </c>
      <c r="D6066" s="18" t="n">
        <v>2013</v>
      </c>
      <c r="E6066" s="18" t="inlineStr">
        <is>
          <t>The Smurfs 2</t>
        </is>
      </c>
      <c r="F6066" s="18" t="inlineStr">
        <is>
          <t>F0282</t>
        </is>
      </c>
    </row>
    <row r="6067" ht="15.75" customHeight="1" s="108">
      <c r="A6067" s="18" t="inlineStr">
        <is>
          <t>Andy Quesnel</t>
        </is>
      </c>
      <c r="B6067" s="18" t="n">
        <v>1</v>
      </c>
      <c r="C6067" s="18" t="n">
        <v>2013</v>
      </c>
      <c r="D6067" s="18" t="n">
        <v>2013</v>
      </c>
      <c r="E6067" s="18" t="inlineStr">
        <is>
          <t>The Smurfs 2</t>
        </is>
      </c>
      <c r="F6067" s="18" t="inlineStr">
        <is>
          <t>F0282</t>
        </is>
      </c>
    </row>
    <row r="6068" ht="15.75" customHeight="1" s="108">
      <c r="A6068" s="18" t="inlineStr">
        <is>
          <t>Mylène Dinh-Robic</t>
        </is>
      </c>
      <c r="B6068" s="18" t="n">
        <v>1</v>
      </c>
      <c r="C6068" s="18" t="n">
        <v>2013</v>
      </c>
      <c r="D6068" s="18" t="n">
        <v>2013</v>
      </c>
      <c r="E6068" s="18" t="inlineStr">
        <is>
          <t>The Smurfs 2</t>
        </is>
      </c>
      <c r="F6068" s="18" t="inlineStr">
        <is>
          <t>F0282</t>
        </is>
      </c>
    </row>
    <row r="6069" ht="15.75" customHeight="1" s="108">
      <c r="A6069" s="18" t="inlineStr">
        <is>
          <t>Martin-Guy Bélanger</t>
        </is>
      </c>
      <c r="B6069" s="18" t="n">
        <v>1</v>
      </c>
      <c r="C6069" s="18" t="n">
        <v>2013</v>
      </c>
      <c r="D6069" s="18" t="n">
        <v>2013</v>
      </c>
      <c r="E6069" s="18" t="inlineStr">
        <is>
          <t>The Smurfs 2</t>
        </is>
      </c>
      <c r="F6069" s="18" t="inlineStr">
        <is>
          <t>F0282</t>
        </is>
      </c>
    </row>
    <row r="6070" ht="15.75" customHeight="1" s="108">
      <c r="A6070" s="18" t="inlineStr">
        <is>
          <t>Robert Reynaert</t>
        </is>
      </c>
      <c r="B6070" s="18" t="n">
        <v>1</v>
      </c>
      <c r="C6070" s="18" t="n">
        <v>2013</v>
      </c>
      <c r="D6070" s="18" t="n">
        <v>2013</v>
      </c>
      <c r="E6070" s="18" t="inlineStr">
        <is>
          <t>The Smurfs 2</t>
        </is>
      </c>
      <c r="F6070" s="18" t="inlineStr">
        <is>
          <t>F0282</t>
        </is>
      </c>
    </row>
    <row r="6071" ht="15.75" customHeight="1" s="108">
      <c r="A6071" s="18" t="inlineStr">
        <is>
          <t>Martin St-Antoine</t>
        </is>
      </c>
      <c r="B6071" s="18" t="n">
        <v>1</v>
      </c>
      <c r="C6071" s="18" t="n">
        <v>2013</v>
      </c>
      <c r="D6071" s="18" t="n">
        <v>2013</v>
      </c>
      <c r="E6071" s="18" t="inlineStr">
        <is>
          <t>The Smurfs 2</t>
        </is>
      </c>
      <c r="F6071" s="18" t="inlineStr">
        <is>
          <t>F0282</t>
        </is>
      </c>
    </row>
    <row r="6072" ht="15.75" customHeight="1" s="108">
      <c r="A6072" s="18" t="inlineStr">
        <is>
          <t>Patrick Baby</t>
        </is>
      </c>
      <c r="B6072" s="18" t="n">
        <v>1</v>
      </c>
      <c r="C6072" s="18" t="n">
        <v>2013</v>
      </c>
      <c r="D6072" s="18" t="n">
        <v>2013</v>
      </c>
      <c r="E6072" s="18" t="inlineStr">
        <is>
          <t>The Smurfs 2</t>
        </is>
      </c>
      <c r="F6072" s="18" t="inlineStr">
        <is>
          <t>F0282</t>
        </is>
      </c>
    </row>
    <row r="6073" ht="15.75" customHeight="1" s="108">
      <c r="A6073" s="18" t="inlineStr">
        <is>
          <t>Joshua Spreekmeester</t>
        </is>
      </c>
      <c r="B6073" s="18" t="n">
        <v>1</v>
      </c>
      <c r="C6073" s="18" t="n">
        <v>2013</v>
      </c>
      <c r="D6073" s="18" t="n">
        <v>2013</v>
      </c>
      <c r="E6073" s="18" t="inlineStr">
        <is>
          <t>The Smurfs 2</t>
        </is>
      </c>
      <c r="F6073" s="18" t="inlineStr">
        <is>
          <t>F0282</t>
        </is>
      </c>
    </row>
    <row r="6074" ht="15.75" customHeight="1" s="108">
      <c r="A6074" s="18" t="inlineStr">
        <is>
          <t>Bruno Paviot</t>
        </is>
      </c>
      <c r="B6074" s="18" t="n">
        <v>1</v>
      </c>
      <c r="C6074" s="18" t="n">
        <v>2013</v>
      </c>
      <c r="D6074" s="18" t="n">
        <v>2013</v>
      </c>
      <c r="E6074" s="18" t="inlineStr">
        <is>
          <t>The Smurfs 2</t>
        </is>
      </c>
      <c r="F6074" s="18" t="inlineStr">
        <is>
          <t>F0282</t>
        </is>
      </c>
    </row>
    <row r="6075" ht="15.75" customHeight="1" s="108">
      <c r="A6075" s="18" t="inlineStr">
        <is>
          <t>Gunther Love</t>
        </is>
      </c>
      <c r="B6075" s="18" t="n">
        <v>1</v>
      </c>
      <c r="C6075" s="18" t="n">
        <v>2013</v>
      </c>
      <c r="D6075" s="18" t="n">
        <v>2013</v>
      </c>
      <c r="E6075" s="18" t="inlineStr">
        <is>
          <t>The Smurfs 2</t>
        </is>
      </c>
      <c r="F6075" s="18" t="inlineStr">
        <is>
          <t>F0282</t>
        </is>
      </c>
    </row>
    <row r="6076" ht="15.75" customHeight="1" s="108">
      <c r="A6076" s="18" t="inlineStr">
        <is>
          <t>Gaëlle Pietri</t>
        </is>
      </c>
      <c r="B6076" s="18" t="n">
        <v>1</v>
      </c>
      <c r="C6076" s="18" t="n">
        <v>2013</v>
      </c>
      <c r="D6076" s="18" t="n">
        <v>2013</v>
      </c>
      <c r="E6076" s="18" t="inlineStr">
        <is>
          <t>The Smurfs 2</t>
        </is>
      </c>
      <c r="F6076" s="18" t="inlineStr">
        <is>
          <t>F0282</t>
        </is>
      </c>
    </row>
    <row r="6077" ht="15.75" customHeight="1" s="108">
      <c r="A6077" s="18" t="inlineStr">
        <is>
          <t>Janicke Askevold</t>
        </is>
      </c>
      <c r="B6077" s="18" t="n">
        <v>1</v>
      </c>
      <c r="C6077" s="18" t="n">
        <v>2013</v>
      </c>
      <c r="D6077" s="18" t="n">
        <v>2013</v>
      </c>
      <c r="E6077" s="18" t="inlineStr">
        <is>
          <t>The Smurfs 2</t>
        </is>
      </c>
      <c r="F6077" s="18" t="inlineStr">
        <is>
          <t>F0282</t>
        </is>
      </c>
    </row>
    <row r="6078" ht="15.75" customHeight="1" s="108">
      <c r="A6078" s="18" t="inlineStr">
        <is>
          <t>Octavia Spencer</t>
        </is>
      </c>
      <c r="B6078" s="18" t="n">
        <v>1</v>
      </c>
      <c r="C6078" s="18" t="n">
        <v>2013</v>
      </c>
      <c r="D6078" s="18" t="n">
        <v>2013</v>
      </c>
      <c r="E6078" s="18" t="inlineStr">
        <is>
          <t>Snowpiercer</t>
        </is>
      </c>
      <c r="F6078" s="18" t="inlineStr">
        <is>
          <t>F0283</t>
        </is>
      </c>
    </row>
    <row r="6079" ht="15.75" customHeight="1" s="108">
      <c r="A6079" s="18" t="inlineStr">
        <is>
          <t>Ko A-sung</t>
        </is>
      </c>
      <c r="B6079" s="18" t="n">
        <v>1</v>
      </c>
      <c r="C6079" s="18" t="n">
        <v>2013</v>
      </c>
      <c r="D6079" s="18" t="n">
        <v>2013</v>
      </c>
      <c r="E6079" s="18" t="inlineStr">
        <is>
          <t>Snowpiercer</t>
        </is>
      </c>
      <c r="F6079" s="18" t="inlineStr">
        <is>
          <t>F0283</t>
        </is>
      </c>
    </row>
    <row r="6080" ht="15.75" customHeight="1" s="108">
      <c r="A6080" s="18" t="inlineStr">
        <is>
          <t>Alison Pill</t>
        </is>
      </c>
      <c r="B6080" s="18" t="n">
        <v>1</v>
      </c>
      <c r="C6080" s="18" t="n">
        <v>2013</v>
      </c>
      <c r="D6080" s="18" t="n">
        <v>2013</v>
      </c>
      <c r="E6080" s="18" t="inlineStr">
        <is>
          <t>Snowpiercer</t>
        </is>
      </c>
      <c r="F6080" s="18" t="inlineStr">
        <is>
          <t>F0283</t>
        </is>
      </c>
    </row>
    <row r="6081" ht="15.75" customHeight="1" s="108">
      <c r="A6081" s="18" t="inlineStr">
        <is>
          <t>Luke Pasqualino</t>
        </is>
      </c>
      <c r="B6081" s="18" t="n">
        <v>1</v>
      </c>
      <c r="C6081" s="18" t="n">
        <v>2013</v>
      </c>
      <c r="D6081" s="18" t="n">
        <v>2013</v>
      </c>
      <c r="E6081" s="18" t="inlineStr">
        <is>
          <t>Snowpiercer</t>
        </is>
      </c>
      <c r="F6081" s="18" t="inlineStr">
        <is>
          <t>F0283</t>
        </is>
      </c>
    </row>
    <row r="6082" ht="15.75" customHeight="1" s="108">
      <c r="A6082" s="18" t="inlineStr">
        <is>
          <t>Vlad Ivanov</t>
        </is>
      </c>
      <c r="B6082" s="18" t="n">
        <v>1</v>
      </c>
      <c r="C6082" s="18" t="n">
        <v>2013</v>
      </c>
      <c r="D6082" s="18" t="n">
        <v>2013</v>
      </c>
      <c r="E6082" s="18" t="inlineStr">
        <is>
          <t>Snowpiercer</t>
        </is>
      </c>
      <c r="F6082" s="18" t="inlineStr">
        <is>
          <t>F0283</t>
        </is>
      </c>
    </row>
    <row r="6083" ht="15.75" customHeight="1" s="108">
      <c r="A6083" s="18" t="inlineStr">
        <is>
          <t>Adnan Hasković</t>
        </is>
      </c>
      <c r="B6083" s="18" t="n">
        <v>1</v>
      </c>
      <c r="C6083" s="18" t="n">
        <v>2013</v>
      </c>
      <c r="D6083" s="18" t="n">
        <v>2013</v>
      </c>
      <c r="E6083" s="18" t="inlineStr">
        <is>
          <t>Snowpiercer</t>
        </is>
      </c>
      <c r="F6083" s="18" t="inlineStr">
        <is>
          <t>F0283</t>
        </is>
      </c>
    </row>
    <row r="6084" ht="15.75" customHeight="1" s="108">
      <c r="A6084" s="18" t="inlineStr">
        <is>
          <t>Emma Levie</t>
        </is>
      </c>
      <c r="B6084" s="18" t="n">
        <v>1</v>
      </c>
      <c r="C6084" s="18" t="n">
        <v>2013</v>
      </c>
      <c r="D6084" s="18" t="n">
        <v>2013</v>
      </c>
      <c r="E6084" s="18" t="inlineStr">
        <is>
          <t>Snowpiercer</t>
        </is>
      </c>
      <c r="F6084" s="18" t="inlineStr">
        <is>
          <t>F0283</t>
        </is>
      </c>
    </row>
    <row r="6085" ht="15.75" customHeight="1" s="108">
      <c r="A6085" s="18" t="inlineStr">
        <is>
          <t>Steve Park</t>
        </is>
      </c>
      <c r="B6085" s="18" t="n">
        <v>2</v>
      </c>
      <c r="C6085" s="18" t="n">
        <v>2013</v>
      </c>
      <c r="D6085" s="18" t="n">
        <v>2025</v>
      </c>
      <c r="E6085" s="18" t="inlineStr">
        <is>
          <t>Snowpiercer, mickey 17</t>
        </is>
      </c>
      <c r="F6085" s="18" t="inlineStr">
        <is>
          <t>F0283, F0376</t>
        </is>
      </c>
    </row>
    <row r="6086" ht="15.75" customHeight="1" s="108">
      <c r="A6086" s="18" t="inlineStr">
        <is>
          <t>Clark Middleton</t>
        </is>
      </c>
      <c r="B6086" s="18" t="n">
        <v>1</v>
      </c>
      <c r="C6086" s="18" t="n">
        <v>2013</v>
      </c>
      <c r="D6086" s="18" t="n">
        <v>2013</v>
      </c>
      <c r="E6086" s="18" t="inlineStr">
        <is>
          <t>Snowpiercer</t>
        </is>
      </c>
      <c r="F6086" s="18" t="inlineStr">
        <is>
          <t>F0283</t>
        </is>
      </c>
    </row>
    <row r="6087" ht="15.75" customHeight="1" s="108">
      <c r="A6087" s="18" t="inlineStr">
        <is>
          <t>Marcanthonee Reis</t>
        </is>
      </c>
      <c r="B6087" s="18" t="n">
        <v>1</v>
      </c>
      <c r="C6087" s="18" t="n">
        <v>2013</v>
      </c>
      <c r="D6087" s="18" t="n">
        <v>2013</v>
      </c>
      <c r="E6087" s="18" t="inlineStr">
        <is>
          <t>Snowpiercer</t>
        </is>
      </c>
      <c r="F6087" s="18" t="inlineStr">
        <is>
          <t>F0283</t>
        </is>
      </c>
    </row>
    <row r="6088" ht="15.75" customHeight="1" s="108">
      <c r="A6088" s="18" t="inlineStr">
        <is>
          <t>Paul Lazar</t>
        </is>
      </c>
      <c r="B6088" s="18" t="n">
        <v>1</v>
      </c>
      <c r="C6088" s="18" t="n">
        <v>2013</v>
      </c>
      <c r="D6088" s="18" t="n">
        <v>2013</v>
      </c>
      <c r="E6088" s="18" t="inlineStr">
        <is>
          <t>Snowpiercer</t>
        </is>
      </c>
      <c r="F6088" s="18" t="inlineStr">
        <is>
          <t>F0283</t>
        </is>
      </c>
    </row>
    <row r="6089" ht="15.75" customHeight="1" s="108">
      <c r="A6089" s="18" t="inlineStr">
        <is>
          <t>Tómas Lemarquis</t>
        </is>
      </c>
      <c r="B6089" s="18" t="n">
        <v>2</v>
      </c>
      <c r="C6089" s="18" t="n">
        <v>2013</v>
      </c>
      <c r="D6089" s="18" t="n">
        <v>2018</v>
      </c>
      <c r="E6089" s="18" t="inlineStr">
        <is>
          <t>Snowpiercer, blade runner 2049</t>
        </is>
      </c>
      <c r="F6089" s="18" t="inlineStr">
        <is>
          <t>F0283, F0366</t>
        </is>
      </c>
    </row>
    <row r="6090" ht="15.75" customHeight="1" s="108">
      <c r="A6090" s="18" t="inlineStr">
        <is>
          <t>Kenny Doughty</t>
        </is>
      </c>
      <c r="B6090" s="18" t="n">
        <v>1</v>
      </c>
      <c r="C6090" s="18" t="n">
        <v>2013</v>
      </c>
      <c r="D6090" s="18" t="n">
        <v>2013</v>
      </c>
      <c r="E6090" s="18" t="inlineStr">
        <is>
          <t>Snowpiercer</t>
        </is>
      </c>
      <c r="F6090" s="18" t="inlineStr">
        <is>
          <t>F0283</t>
        </is>
      </c>
    </row>
    <row r="6091" ht="15.75" customHeight="1" s="108">
      <c r="A6091" s="18" t="inlineStr">
        <is>
          <t>Robert Russell</t>
        </is>
      </c>
      <c r="B6091" s="18" t="n">
        <v>1</v>
      </c>
      <c r="C6091" s="18" t="n">
        <v>2013</v>
      </c>
      <c r="D6091" s="18" t="n">
        <v>2013</v>
      </c>
      <c r="E6091" s="18" t="inlineStr">
        <is>
          <t>Snowpiercer</t>
        </is>
      </c>
      <c r="F6091" s="18" t="inlineStr">
        <is>
          <t>F0283</t>
        </is>
      </c>
    </row>
    <row r="6092" ht="15.75" customHeight="1" s="108">
      <c r="A6092" s="18" t="inlineStr">
        <is>
          <t>Magda Weigertová</t>
        </is>
      </c>
      <c r="B6092" s="18" t="n">
        <v>1</v>
      </c>
      <c r="C6092" s="18" t="n">
        <v>2013</v>
      </c>
      <c r="D6092" s="18" t="n">
        <v>2013</v>
      </c>
      <c r="E6092" s="18" t="inlineStr">
        <is>
          <t>Snowpiercer</t>
        </is>
      </c>
      <c r="F6092" s="18" t="inlineStr">
        <is>
          <t>F0283</t>
        </is>
      </c>
    </row>
    <row r="6093" ht="15.75" customHeight="1" s="108">
      <c r="A6093" s="18" t="inlineStr">
        <is>
          <t>Jim High</t>
        </is>
      </c>
      <c r="B6093" s="18" t="n">
        <v>1</v>
      </c>
      <c r="C6093" s="18" t="n">
        <v>2013</v>
      </c>
      <c r="D6093" s="18" t="n">
        <v>2013</v>
      </c>
      <c r="E6093" s="18" t="inlineStr">
        <is>
          <t>Snowpiercer</t>
        </is>
      </c>
      <c r="F6093" s="18" t="inlineStr">
        <is>
          <t>F0283</t>
        </is>
      </c>
    </row>
    <row r="6094" ht="15.75" customHeight="1" s="108">
      <c r="A6094" s="18" t="inlineStr">
        <is>
          <t>Peter Hallin</t>
        </is>
      </c>
      <c r="B6094" s="18" t="n">
        <v>1</v>
      </c>
      <c r="C6094" s="18" t="n">
        <v>2013</v>
      </c>
      <c r="D6094" s="18" t="n">
        <v>2013</v>
      </c>
      <c r="E6094" s="18" t="inlineStr">
        <is>
          <t>Snowpiercer</t>
        </is>
      </c>
      <c r="F6094" s="18" t="inlineStr">
        <is>
          <t>F0283</t>
        </is>
      </c>
    </row>
    <row r="6095" ht="15.75" customHeight="1" s="108">
      <c r="A6095" s="18" t="inlineStr">
        <is>
          <t>Haruna Honcoop</t>
        </is>
      </c>
      <c r="B6095" s="18" t="n">
        <v>1</v>
      </c>
      <c r="C6095" s="18" t="n">
        <v>2013</v>
      </c>
      <c r="D6095" s="18" t="n">
        <v>2013</v>
      </c>
      <c r="E6095" s="18" t="inlineStr">
        <is>
          <t>Snowpiercer</t>
        </is>
      </c>
      <c r="F6095" s="18" t="inlineStr">
        <is>
          <t>F0283</t>
        </is>
      </c>
    </row>
    <row r="6096" ht="15.75" customHeight="1" s="108">
      <c r="A6096" s="18" t="inlineStr">
        <is>
          <t>Ana Braun</t>
        </is>
      </c>
      <c r="B6096" s="18" t="n">
        <v>1</v>
      </c>
      <c r="C6096" s="18" t="n">
        <v>2013</v>
      </c>
      <c r="D6096" s="18" t="n">
        <v>2013</v>
      </c>
      <c r="E6096" s="18" t="inlineStr">
        <is>
          <t>Snowpiercer</t>
        </is>
      </c>
      <c r="F6096" s="18" t="inlineStr">
        <is>
          <t>F0283</t>
        </is>
      </c>
    </row>
    <row r="6097" ht="15.75" customHeight="1" s="108">
      <c r="A6097" s="18" t="inlineStr">
        <is>
          <t>Griffin Seymour</t>
        </is>
      </c>
      <c r="B6097" s="18" t="n">
        <v>1</v>
      </c>
      <c r="C6097" s="18" t="n">
        <v>2013</v>
      </c>
      <c r="D6097" s="18" t="n">
        <v>2013</v>
      </c>
      <c r="E6097" s="18" t="inlineStr">
        <is>
          <t>Snowpiercer</t>
        </is>
      </c>
      <c r="F6097" s="18" t="inlineStr">
        <is>
          <t>F0283</t>
        </is>
      </c>
    </row>
    <row r="6098" ht="15.75" customHeight="1" s="108">
      <c r="A6098" s="18" t="inlineStr">
        <is>
          <t>Tyler John Williams</t>
        </is>
      </c>
      <c r="B6098" s="18" t="n">
        <v>1</v>
      </c>
      <c r="C6098" s="18" t="n">
        <v>2013</v>
      </c>
      <c r="D6098" s="18" t="n">
        <v>2013</v>
      </c>
      <c r="E6098" s="18" t="inlineStr">
        <is>
          <t>Snowpiercer</t>
        </is>
      </c>
      <c r="F6098" s="18" t="inlineStr">
        <is>
          <t>F0283</t>
        </is>
      </c>
    </row>
    <row r="6099" ht="15.75" customHeight="1" s="108">
      <c r="A6099" s="18" t="inlineStr">
        <is>
          <t>Luna Sophia Bar-Cohen</t>
        </is>
      </c>
      <c r="B6099" s="18" t="n">
        <v>1</v>
      </c>
      <c r="C6099" s="18" t="n">
        <v>2013</v>
      </c>
      <c r="D6099" s="18" t="n">
        <v>2013</v>
      </c>
      <c r="E6099" s="18" t="inlineStr">
        <is>
          <t>Snowpiercer</t>
        </is>
      </c>
      <c r="F6099" s="18" t="inlineStr">
        <is>
          <t>F0283</t>
        </is>
      </c>
    </row>
    <row r="6100" ht="15.75" customHeight="1" s="108">
      <c r="A6100" s="18" t="inlineStr">
        <is>
          <t>Sean Connor Renwick</t>
        </is>
      </c>
      <c r="B6100" s="18" t="n">
        <v>1</v>
      </c>
      <c r="C6100" s="18" t="n">
        <v>2013</v>
      </c>
      <c r="D6100" s="18" t="n">
        <v>2013</v>
      </c>
      <c r="E6100" s="18" t="inlineStr">
        <is>
          <t>Snowpiercer</t>
        </is>
      </c>
      <c r="F6100" s="18" t="inlineStr">
        <is>
          <t>F0283</t>
        </is>
      </c>
    </row>
    <row r="6101" ht="15.75" customHeight="1" s="108">
      <c r="A6101" s="18" t="inlineStr">
        <is>
          <t>Noah Huntley</t>
        </is>
      </c>
      <c r="B6101" s="18" t="n">
        <v>1</v>
      </c>
      <c r="C6101" s="18" t="n">
        <v>2012</v>
      </c>
      <c r="D6101" s="18" t="n">
        <v>2012</v>
      </c>
      <c r="E6101" s="18" t="inlineStr">
        <is>
          <t>Snow White and the Huntsman</t>
        </is>
      </c>
      <c r="F6101" s="18" t="inlineStr">
        <is>
          <t>F0284</t>
        </is>
      </c>
    </row>
    <row r="6102" ht="15.75" customHeight="1" s="108">
      <c r="A6102" s="18" t="inlineStr">
        <is>
          <t>Lily Cole</t>
        </is>
      </c>
      <c r="B6102" s="18" t="n">
        <v>1</v>
      </c>
      <c r="C6102" s="18" t="n">
        <v>2012</v>
      </c>
      <c r="D6102" s="18" t="n">
        <v>2012</v>
      </c>
      <c r="E6102" s="18" t="inlineStr">
        <is>
          <t>Snow White and the Huntsman</t>
        </is>
      </c>
      <c r="F6102" s="18" t="inlineStr">
        <is>
          <t>F0284</t>
        </is>
      </c>
    </row>
    <row r="6103" ht="15.75" customHeight="1" s="108">
      <c r="A6103" s="18" t="inlineStr">
        <is>
          <t>Rachael Stirling</t>
        </is>
      </c>
      <c r="B6103" s="18" t="n">
        <v>1</v>
      </c>
      <c r="C6103" s="18" t="n">
        <v>2012</v>
      </c>
      <c r="D6103" s="18" t="n">
        <v>2012</v>
      </c>
      <c r="E6103" s="18" t="inlineStr">
        <is>
          <t>Snow White and the Huntsman</t>
        </is>
      </c>
      <c r="F6103" s="18" t="inlineStr">
        <is>
          <t>F0284</t>
        </is>
      </c>
    </row>
    <row r="6104" ht="15.75" customHeight="1" s="108">
      <c r="A6104" s="18" t="inlineStr">
        <is>
          <t>Hattie Gotobed</t>
        </is>
      </c>
      <c r="B6104" s="18" t="n">
        <v>1</v>
      </c>
      <c r="C6104" s="18" t="n">
        <v>2012</v>
      </c>
      <c r="D6104" s="18" t="n">
        <v>2012</v>
      </c>
      <c r="E6104" s="18" t="inlineStr">
        <is>
          <t>Snow White and the Huntsman</t>
        </is>
      </c>
      <c r="F6104" s="18" t="inlineStr">
        <is>
          <t>F0284</t>
        </is>
      </c>
    </row>
    <row r="6105" ht="15.75" customHeight="1" s="108">
      <c r="A6105" s="18" t="inlineStr">
        <is>
          <t>Bob Hoskins</t>
        </is>
      </c>
      <c r="B6105" s="18" t="n">
        <v>1</v>
      </c>
      <c r="C6105" s="18" t="n">
        <v>2012</v>
      </c>
      <c r="D6105" s="18" t="n">
        <v>2012</v>
      </c>
      <c r="E6105" s="18" t="inlineStr">
        <is>
          <t>Snow White and the Huntsman</t>
        </is>
      </c>
      <c r="F6105" s="18" t="inlineStr">
        <is>
          <t>F0284</t>
        </is>
      </c>
    </row>
    <row r="6106" ht="15.75" customHeight="1" s="108">
      <c r="A6106" s="18" t="inlineStr">
        <is>
          <t>Johnny Harris</t>
        </is>
      </c>
      <c r="B6106" s="18" t="n">
        <v>1</v>
      </c>
      <c r="C6106" s="18" t="n">
        <v>2012</v>
      </c>
      <c r="D6106" s="18" t="n">
        <v>2012</v>
      </c>
      <c r="E6106" s="18" t="inlineStr">
        <is>
          <t>Snow White and the Huntsman</t>
        </is>
      </c>
      <c r="F6106" s="18" t="inlineStr">
        <is>
          <t>F0284</t>
        </is>
      </c>
    </row>
    <row r="6107" ht="15.75" customHeight="1" s="108">
      <c r="A6107" s="18" t="inlineStr">
        <is>
          <t>Brian Gleeson</t>
        </is>
      </c>
      <c r="B6107" s="18" t="n">
        <v>1</v>
      </c>
      <c r="C6107" s="18" t="n">
        <v>2012</v>
      </c>
      <c r="D6107" s="18" t="n">
        <v>2012</v>
      </c>
      <c r="E6107" s="18" t="inlineStr">
        <is>
          <t>Snow White and the Huntsman</t>
        </is>
      </c>
      <c r="F6107" s="18" t="inlineStr">
        <is>
          <t>F0284</t>
        </is>
      </c>
    </row>
    <row r="6108" ht="15.75" customHeight="1" s="108">
      <c r="A6108" s="18" t="inlineStr">
        <is>
          <t>Liberty Ross</t>
        </is>
      </c>
      <c r="B6108" s="18" t="n">
        <v>1</v>
      </c>
      <c r="C6108" s="18" t="n">
        <v>2012</v>
      </c>
      <c r="D6108" s="18" t="n">
        <v>2012</v>
      </c>
      <c r="E6108" s="18" t="inlineStr">
        <is>
          <t>Snow White and the Huntsman</t>
        </is>
      </c>
      <c r="F6108" s="18" t="inlineStr">
        <is>
          <t>F0284</t>
        </is>
      </c>
    </row>
    <row r="6109" ht="15.75" customHeight="1" s="108">
      <c r="A6109" s="18" t="inlineStr">
        <is>
          <t>Chris Obi</t>
        </is>
      </c>
      <c r="B6109" s="18" t="n">
        <v>1</v>
      </c>
      <c r="C6109" s="18" t="n">
        <v>2012</v>
      </c>
      <c r="D6109" s="18" t="n">
        <v>2012</v>
      </c>
      <c r="E6109" s="18" t="inlineStr">
        <is>
          <t>Snow White and the Huntsman</t>
        </is>
      </c>
      <c r="F6109" s="18" t="inlineStr">
        <is>
          <t>F0284</t>
        </is>
      </c>
    </row>
    <row r="6110" ht="15.75" customHeight="1" s="108">
      <c r="A6110" s="18" t="inlineStr">
        <is>
          <t>Raffey Cassidy</t>
        </is>
      </c>
      <c r="B6110" s="18" t="n">
        <v>1</v>
      </c>
      <c r="C6110" s="18" t="n">
        <v>2012</v>
      </c>
      <c r="D6110" s="18" t="n">
        <v>2012</v>
      </c>
      <c r="E6110" s="18" t="inlineStr">
        <is>
          <t>Snow White and the Huntsman</t>
        </is>
      </c>
      <c r="F6110" s="18" t="inlineStr">
        <is>
          <t>F0284</t>
        </is>
      </c>
    </row>
    <row r="6111" ht="15.75" customHeight="1" s="108">
      <c r="A6111" s="18" t="inlineStr">
        <is>
          <t>Xavier Atkins</t>
        </is>
      </c>
      <c r="B6111" s="18" t="n">
        <v>1</v>
      </c>
      <c r="C6111" s="18" t="n">
        <v>2012</v>
      </c>
      <c r="D6111" s="18" t="n">
        <v>2012</v>
      </c>
      <c r="E6111" s="18" t="inlineStr">
        <is>
          <t>Snow White and the Huntsman</t>
        </is>
      </c>
      <c r="F6111" s="18" t="inlineStr">
        <is>
          <t>F0284</t>
        </is>
      </c>
    </row>
    <row r="6112" ht="15.75" customHeight="1" s="108">
      <c r="A6112" s="18" t="inlineStr">
        <is>
          <t>Izzy Meikle-Small</t>
        </is>
      </c>
      <c r="B6112" s="18" t="n">
        <v>1</v>
      </c>
      <c r="C6112" s="18" t="n">
        <v>2012</v>
      </c>
      <c r="D6112" s="18" t="n">
        <v>2012</v>
      </c>
      <c r="E6112" s="18" t="inlineStr">
        <is>
          <t>Snow White and the Huntsman</t>
        </is>
      </c>
      <c r="F6112" s="18" t="inlineStr">
        <is>
          <t>F0284</t>
        </is>
      </c>
    </row>
    <row r="6113" ht="15.75" customHeight="1" s="108">
      <c r="A6113" s="18" t="inlineStr">
        <is>
          <t>Anastasia Hille</t>
        </is>
      </c>
      <c r="B6113" s="18" t="n">
        <v>1</v>
      </c>
      <c r="C6113" s="18" t="n">
        <v>2012</v>
      </c>
      <c r="D6113" s="18" t="n">
        <v>2012</v>
      </c>
      <c r="E6113" s="18" t="inlineStr">
        <is>
          <t>Snow White and the Huntsman</t>
        </is>
      </c>
      <c r="F6113" s="18" t="inlineStr">
        <is>
          <t>F0284</t>
        </is>
      </c>
    </row>
    <row r="6114" ht="15.75" customHeight="1" s="108">
      <c r="A6114" s="18" t="inlineStr">
        <is>
          <t>Elliot Reeve</t>
        </is>
      </c>
      <c r="B6114" s="18" t="n">
        <v>1</v>
      </c>
      <c r="C6114" s="18" t="n">
        <v>2012</v>
      </c>
      <c r="D6114" s="18" t="n">
        <v>2012</v>
      </c>
      <c r="E6114" s="18" t="inlineStr">
        <is>
          <t>Snow White and the Huntsman</t>
        </is>
      </c>
      <c r="F6114" s="18" t="inlineStr">
        <is>
          <t>F0284</t>
        </is>
      </c>
    </row>
    <row r="6115" ht="15.75" customHeight="1" s="108">
      <c r="A6115" s="18" t="inlineStr">
        <is>
          <t>Mark Wingett</t>
        </is>
      </c>
      <c r="B6115" s="18" t="n">
        <v>1</v>
      </c>
      <c r="C6115" s="18" t="n">
        <v>2012</v>
      </c>
      <c r="D6115" s="18" t="n">
        <v>2012</v>
      </c>
      <c r="E6115" s="18" t="inlineStr">
        <is>
          <t>Snow White and the Huntsman</t>
        </is>
      </c>
      <c r="F6115" s="18" t="inlineStr">
        <is>
          <t>F0284</t>
        </is>
      </c>
    </row>
    <row r="6116" ht="15.75" customHeight="1" s="108">
      <c r="A6116" s="18" t="inlineStr">
        <is>
          <t>Jamie Blackley</t>
        </is>
      </c>
      <c r="B6116" s="18" t="n">
        <v>1</v>
      </c>
      <c r="C6116" s="18" t="n">
        <v>2012</v>
      </c>
      <c r="D6116" s="18" t="n">
        <v>2012</v>
      </c>
      <c r="E6116" s="18" t="inlineStr">
        <is>
          <t>Snow White and the Huntsman</t>
        </is>
      </c>
      <c r="F6116" s="18" t="inlineStr">
        <is>
          <t>F0284</t>
        </is>
      </c>
    </row>
    <row r="6117" ht="15.75" customHeight="1" s="108">
      <c r="A6117" s="18" t="inlineStr">
        <is>
          <t>Greg Hicks</t>
        </is>
      </c>
      <c r="B6117" s="18" t="n">
        <v>1</v>
      </c>
      <c r="C6117" s="18" t="n">
        <v>2012</v>
      </c>
      <c r="D6117" s="18" t="n">
        <v>2012</v>
      </c>
      <c r="E6117" s="18" t="inlineStr">
        <is>
          <t>Snow White and the Huntsman</t>
        </is>
      </c>
      <c r="F6117" s="18" t="inlineStr">
        <is>
          <t>F0284</t>
        </is>
      </c>
    </row>
    <row r="6118" ht="15.75" customHeight="1" s="108">
      <c r="A6118" s="18" t="inlineStr">
        <is>
          <t>Peter Ferdinando</t>
        </is>
      </c>
      <c r="B6118" s="18" t="n">
        <v>1</v>
      </c>
      <c r="C6118" s="18" t="n">
        <v>2012</v>
      </c>
      <c r="D6118" s="18" t="n">
        <v>2012</v>
      </c>
      <c r="E6118" s="18" t="inlineStr">
        <is>
          <t>Snow White and the Huntsman</t>
        </is>
      </c>
      <c r="F6118" s="18" t="inlineStr">
        <is>
          <t>F0284</t>
        </is>
      </c>
    </row>
    <row r="6119" ht="15.75" customHeight="1" s="108">
      <c r="A6119" s="18" t="inlineStr">
        <is>
          <t>Cas Anvar</t>
        </is>
      </c>
      <c r="B6119" s="18" t="n">
        <v>2</v>
      </c>
      <c r="C6119" s="18" t="n">
        <v>2009</v>
      </c>
      <c r="D6119" s="18" t="n">
        <v>2011</v>
      </c>
      <c r="E6119" s="18" t="inlineStr">
        <is>
          <t>Source Code, Transformers: Revenge of the Fallen</t>
        </is>
      </c>
      <c r="F6119" s="18" t="inlineStr">
        <is>
          <t>F0285, F0317</t>
        </is>
      </c>
    </row>
    <row r="6120" ht="15.75" customHeight="1" s="108">
      <c r="A6120" s="18" t="inlineStr">
        <is>
          <t>Brent Skagford</t>
        </is>
      </c>
      <c r="B6120" s="18" t="n">
        <v>1</v>
      </c>
      <c r="C6120" s="18" t="n">
        <v>2011</v>
      </c>
      <c r="D6120" s="18" t="n">
        <v>2011</v>
      </c>
      <c r="E6120" s="18" t="inlineStr">
        <is>
          <t>Source Code</t>
        </is>
      </c>
      <c r="F6120" s="18" t="inlineStr">
        <is>
          <t>F0285</t>
        </is>
      </c>
    </row>
    <row r="6121" ht="15.75" customHeight="1" s="108">
      <c r="A6121" s="18" t="inlineStr">
        <is>
          <t>Craig Thomas</t>
        </is>
      </c>
      <c r="B6121" s="18" t="n">
        <v>1</v>
      </c>
      <c r="C6121" s="18" t="n">
        <v>2011</v>
      </c>
      <c r="D6121" s="18" t="n">
        <v>2011</v>
      </c>
      <c r="E6121" s="18" t="inlineStr">
        <is>
          <t>Source Code</t>
        </is>
      </c>
      <c r="F6121" s="18" t="inlineStr">
        <is>
          <t>F0285</t>
        </is>
      </c>
    </row>
    <row r="6122" ht="15.75" customHeight="1" s="108">
      <c r="A6122" s="18" t="inlineStr">
        <is>
          <t>Gordon Masten</t>
        </is>
      </c>
      <c r="B6122" s="18" t="n">
        <v>1</v>
      </c>
      <c r="C6122" s="18" t="n">
        <v>2011</v>
      </c>
      <c r="D6122" s="18" t="n">
        <v>2011</v>
      </c>
      <c r="E6122" s="18" t="inlineStr">
        <is>
          <t>Source Code</t>
        </is>
      </c>
      <c r="F6122" s="18" t="inlineStr">
        <is>
          <t>F0285</t>
        </is>
      </c>
    </row>
    <row r="6123" ht="15.75" customHeight="1" s="108">
      <c r="A6123" s="18" t="inlineStr">
        <is>
          <t>Susan Bain</t>
        </is>
      </c>
      <c r="B6123" s="18" t="n">
        <v>1</v>
      </c>
      <c r="C6123" s="18" t="n">
        <v>2011</v>
      </c>
      <c r="D6123" s="18" t="n">
        <v>2011</v>
      </c>
      <c r="E6123" s="18" t="inlineStr">
        <is>
          <t>Source Code</t>
        </is>
      </c>
      <c r="F6123" s="18" t="inlineStr">
        <is>
          <t>F0285</t>
        </is>
      </c>
    </row>
    <row r="6124" ht="15.75" customHeight="1" s="108">
      <c r="A6124" s="18" t="inlineStr">
        <is>
          <t>Paula Jean Hixson</t>
        </is>
      </c>
      <c r="B6124" s="18" t="n">
        <v>1</v>
      </c>
      <c r="C6124" s="18" t="n">
        <v>2011</v>
      </c>
      <c r="D6124" s="18" t="n">
        <v>2011</v>
      </c>
      <c r="E6124" s="18" t="inlineStr">
        <is>
          <t>Source Code</t>
        </is>
      </c>
      <c r="F6124" s="18" t="inlineStr">
        <is>
          <t>F0285</t>
        </is>
      </c>
    </row>
    <row r="6125" ht="15.75" customHeight="1" s="108">
      <c r="A6125" s="18" t="inlineStr">
        <is>
          <t>Lincoln Ward</t>
        </is>
      </c>
      <c r="B6125" s="18" t="n">
        <v>1</v>
      </c>
      <c r="C6125" s="18" t="n">
        <v>2011</v>
      </c>
      <c r="D6125" s="18" t="n">
        <v>2011</v>
      </c>
      <c r="E6125" s="18" t="inlineStr">
        <is>
          <t>Source Code</t>
        </is>
      </c>
      <c r="F6125" s="18" t="inlineStr">
        <is>
          <t>F0285</t>
        </is>
      </c>
    </row>
    <row r="6126" ht="15.75" customHeight="1" s="108">
      <c r="A6126" s="18" t="inlineStr">
        <is>
          <t>Kyle Gatehouse</t>
        </is>
      </c>
      <c r="B6126" s="18" t="n">
        <v>1</v>
      </c>
      <c r="C6126" s="18" t="n">
        <v>2011</v>
      </c>
      <c r="D6126" s="18" t="n">
        <v>2011</v>
      </c>
      <c r="E6126" s="18" t="inlineStr">
        <is>
          <t>Source Code</t>
        </is>
      </c>
      <c r="F6126" s="18" t="inlineStr">
        <is>
          <t>F0285</t>
        </is>
      </c>
    </row>
    <row r="6127" ht="15.75" customHeight="1" s="108">
      <c r="A6127" s="18" t="inlineStr">
        <is>
          <t>Albert Kwan</t>
        </is>
      </c>
      <c r="B6127" s="18" t="n">
        <v>1</v>
      </c>
      <c r="C6127" s="18" t="n">
        <v>2011</v>
      </c>
      <c r="D6127" s="18" t="n">
        <v>2011</v>
      </c>
      <c r="E6127" s="18" t="inlineStr">
        <is>
          <t>Source Code</t>
        </is>
      </c>
      <c r="F6127" s="18" t="inlineStr">
        <is>
          <t>F0285</t>
        </is>
      </c>
    </row>
    <row r="6128" ht="15.75" customHeight="1" s="108">
      <c r="A6128" s="18" t="inlineStr">
        <is>
          <t>Anne Day-Jones</t>
        </is>
      </c>
      <c r="B6128" s="18" t="n">
        <v>1</v>
      </c>
      <c r="C6128" s="18" t="n">
        <v>2011</v>
      </c>
      <c r="D6128" s="18" t="n">
        <v>2011</v>
      </c>
      <c r="E6128" s="18" t="inlineStr">
        <is>
          <t>Source Code</t>
        </is>
      </c>
      <c r="F6128" s="18" t="inlineStr">
        <is>
          <t>F0285</t>
        </is>
      </c>
    </row>
    <row r="6129" ht="15.75" customHeight="1" s="108">
      <c r="A6129" s="18" t="inlineStr">
        <is>
          <t>Clarice Byrne</t>
        </is>
      </c>
      <c r="B6129" s="18" t="n">
        <v>1</v>
      </c>
      <c r="C6129" s="18" t="n">
        <v>2011</v>
      </c>
      <c r="D6129" s="18" t="n">
        <v>2011</v>
      </c>
      <c r="E6129" s="18" t="inlineStr">
        <is>
          <t>Source Code</t>
        </is>
      </c>
      <c r="F6129" s="18" t="inlineStr">
        <is>
          <t>F0285</t>
        </is>
      </c>
    </row>
    <row r="6130" ht="15.75" customHeight="1" s="108">
      <c r="A6130" s="18" t="inlineStr">
        <is>
          <t>Joe Cobden</t>
        </is>
      </c>
      <c r="B6130" s="18" t="n">
        <v>1</v>
      </c>
      <c r="C6130" s="18" t="n">
        <v>2011</v>
      </c>
      <c r="D6130" s="18" t="n">
        <v>2011</v>
      </c>
      <c r="E6130" s="18" t="inlineStr">
        <is>
          <t>Source Code</t>
        </is>
      </c>
      <c r="F6130" s="18" t="inlineStr">
        <is>
          <t>F0285</t>
        </is>
      </c>
    </row>
    <row r="6131" ht="15.75" customHeight="1" s="108">
      <c r="A6131" s="18" t="inlineStr">
        <is>
          <t>Tom Tammi</t>
        </is>
      </c>
      <c r="B6131" s="18" t="n">
        <v>1</v>
      </c>
      <c r="C6131" s="18" t="n">
        <v>2011</v>
      </c>
      <c r="D6131" s="18" t="n">
        <v>2011</v>
      </c>
      <c r="E6131" s="18" t="inlineStr">
        <is>
          <t>Source Code</t>
        </is>
      </c>
      <c r="F6131" s="18" t="inlineStr">
        <is>
          <t>F0285</t>
        </is>
      </c>
    </row>
    <row r="6132" ht="15.75" customHeight="1" s="108">
      <c r="A6132" s="18" t="inlineStr">
        <is>
          <t>Matt Holland</t>
        </is>
      </c>
      <c r="B6132" s="18" t="n">
        <v>1</v>
      </c>
      <c r="C6132" s="18" t="n">
        <v>2011</v>
      </c>
      <c r="D6132" s="18" t="n">
        <v>2011</v>
      </c>
      <c r="E6132" s="18" t="inlineStr">
        <is>
          <t>Source Code</t>
        </is>
      </c>
      <c r="F6132" s="18" t="inlineStr">
        <is>
          <t>F0285</t>
        </is>
      </c>
    </row>
    <row r="6133" ht="15.75" customHeight="1" s="108">
      <c r="A6133" s="18" t="inlineStr">
        <is>
          <t>Jasson Finney</t>
        </is>
      </c>
      <c r="B6133" s="18" t="n">
        <v>1</v>
      </c>
      <c r="C6133" s="18" t="n">
        <v>2011</v>
      </c>
      <c r="D6133" s="18" t="n">
        <v>2011</v>
      </c>
      <c r="E6133" s="18" t="inlineStr">
        <is>
          <t>Source Code</t>
        </is>
      </c>
      <c r="F6133" s="18" t="inlineStr">
        <is>
          <t>F0285</t>
        </is>
      </c>
    </row>
    <row r="6134" ht="15.75" customHeight="1" s="108">
      <c r="A6134" s="18" t="inlineStr">
        <is>
          <t>Kyle Allatt</t>
        </is>
      </c>
      <c r="B6134" s="18" t="n">
        <v>1</v>
      </c>
      <c r="C6134" s="18" t="n">
        <v>2011</v>
      </c>
      <c r="D6134" s="18" t="n">
        <v>2011</v>
      </c>
      <c r="E6134" s="18" t="inlineStr">
        <is>
          <t>Source Code</t>
        </is>
      </c>
      <c r="F6134" s="18" t="inlineStr">
        <is>
          <t>F0285</t>
        </is>
      </c>
    </row>
    <row r="6135" ht="15.75" customHeight="1" s="108">
      <c r="A6135" s="18" t="inlineStr">
        <is>
          <t>Frédérick de Grandpré</t>
        </is>
      </c>
      <c r="B6135" s="18" t="n">
        <v>1</v>
      </c>
      <c r="C6135" s="18" t="n">
        <v>2011</v>
      </c>
      <c r="D6135" s="18" t="n">
        <v>2011</v>
      </c>
      <c r="E6135" s="18" t="inlineStr">
        <is>
          <t>Source Code</t>
        </is>
      </c>
      <c r="F6135" s="18" t="inlineStr">
        <is>
          <t>F0285</t>
        </is>
      </c>
    </row>
    <row r="6136" ht="15.75" customHeight="1" s="108">
      <c r="A6136" s="18" t="inlineStr">
        <is>
          <t>Pierre Leblanc</t>
        </is>
      </c>
      <c r="B6136" s="18" t="n">
        <v>1</v>
      </c>
      <c r="C6136" s="18" t="n">
        <v>2011</v>
      </c>
      <c r="D6136" s="18" t="n">
        <v>2011</v>
      </c>
      <c r="E6136" s="18" t="inlineStr">
        <is>
          <t>Source Code</t>
        </is>
      </c>
      <c r="F6136" s="18" t="inlineStr">
        <is>
          <t>F0285</t>
        </is>
      </c>
    </row>
    <row r="6137" ht="15.75" customHeight="1" s="108">
      <c r="A6137" s="18" t="inlineStr">
        <is>
          <t>Raynald Lapierre</t>
        </is>
      </c>
      <c r="B6137" s="18" t="n">
        <v>1</v>
      </c>
      <c r="C6137" s="18" t="n">
        <v>2011</v>
      </c>
      <c r="D6137" s="18" t="n">
        <v>2011</v>
      </c>
      <c r="E6137" s="18" t="inlineStr">
        <is>
          <t>Source Code</t>
        </is>
      </c>
      <c r="F6137" s="18" t="inlineStr">
        <is>
          <t>F0285</t>
        </is>
      </c>
    </row>
    <row r="6138" ht="15.75" customHeight="1" s="108">
      <c r="A6138" s="18" t="inlineStr">
        <is>
          <t>Scott Bakula</t>
        </is>
      </c>
      <c r="B6138" s="18" t="n">
        <v>1</v>
      </c>
      <c r="C6138" s="18" t="n">
        <v>2011</v>
      </c>
      <c r="D6138" s="18" t="n">
        <v>2011</v>
      </c>
      <c r="E6138" s="18" t="inlineStr">
        <is>
          <t>Source Code</t>
        </is>
      </c>
      <c r="F6138" s="18" t="inlineStr">
        <is>
          <t>F0285</t>
        </is>
      </c>
    </row>
    <row r="6139" ht="15.75" customHeight="1" s="108">
      <c r="A6139" s="18" t="inlineStr">
        <is>
          <t>Skylan Brooks</t>
        </is>
      </c>
      <c r="B6139" s="18" t="n">
        <v>1</v>
      </c>
      <c r="C6139" s="18" t="n">
        <v>2015</v>
      </c>
      <c r="D6139" s="18" t="n">
        <v>2015</v>
      </c>
      <c r="E6139" s="18" t="inlineStr">
        <is>
          <t>Southpaw</t>
        </is>
      </c>
      <c r="F6139" s="18" t="inlineStr">
        <is>
          <t>F0286</t>
        </is>
      </c>
    </row>
    <row r="6140" ht="15.75" customHeight="1" s="108">
      <c r="A6140" s="18" t="inlineStr">
        <is>
          <t>Miguel Gómez</t>
        </is>
      </c>
      <c r="B6140" s="18" t="n">
        <v>1</v>
      </c>
      <c r="C6140" s="18" t="n">
        <v>2015</v>
      </c>
      <c r="D6140" s="18" t="n">
        <v>2015</v>
      </c>
      <c r="E6140" s="18" t="inlineStr">
        <is>
          <t>Southpaw</t>
        </is>
      </c>
      <c r="F6140" s="18" t="inlineStr">
        <is>
          <t>F0286</t>
        </is>
      </c>
    </row>
    <row r="6141" ht="15.75" customHeight="1" s="108">
      <c r="A6141" s="18" t="inlineStr">
        <is>
          <t>Dominic Colón</t>
        </is>
      </c>
      <c r="B6141" s="18" t="n">
        <v>1</v>
      </c>
      <c r="C6141" s="18" t="n">
        <v>2015</v>
      </c>
      <c r="D6141" s="18" t="n">
        <v>2015</v>
      </c>
      <c r="E6141" s="18" t="inlineStr">
        <is>
          <t>Southpaw</t>
        </is>
      </c>
      <c r="F6141" s="18" t="inlineStr">
        <is>
          <t>F0286</t>
        </is>
      </c>
    </row>
    <row r="6142" ht="15.75" customHeight="1" s="108">
      <c r="A6142" s="18" t="inlineStr">
        <is>
          <t>Jose Caraballo</t>
        </is>
      </c>
      <c r="B6142" s="18" t="n">
        <v>1</v>
      </c>
      <c r="C6142" s="18" t="n">
        <v>2015</v>
      </c>
      <c r="D6142" s="18" t="n">
        <v>2015</v>
      </c>
      <c r="E6142" s="18" t="inlineStr">
        <is>
          <t>Southpaw</t>
        </is>
      </c>
      <c r="F6142" s="18" t="inlineStr">
        <is>
          <t>F0286</t>
        </is>
      </c>
    </row>
    <row r="6143" ht="15.75" customHeight="1" s="108">
      <c r="A6143" s="18" t="inlineStr">
        <is>
          <t>Malcolm M. Mays</t>
        </is>
      </c>
      <c r="B6143" s="18" t="n">
        <v>1</v>
      </c>
      <c r="C6143" s="18" t="n">
        <v>2015</v>
      </c>
      <c r="D6143" s="18" t="n">
        <v>2015</v>
      </c>
      <c r="E6143" s="18" t="inlineStr">
        <is>
          <t>Southpaw</t>
        </is>
      </c>
      <c r="F6143" s="18" t="inlineStr">
        <is>
          <t>F0286</t>
        </is>
      </c>
    </row>
    <row r="6144" ht="15.75" customHeight="1" s="108">
      <c r="A6144" s="18" t="inlineStr">
        <is>
          <t>Aaron Quattrocchi</t>
        </is>
      </c>
      <c r="B6144" s="18" t="n">
        <v>1</v>
      </c>
      <c r="C6144" s="18" t="n">
        <v>2015</v>
      </c>
      <c r="D6144" s="18" t="n">
        <v>2015</v>
      </c>
      <c r="E6144" s="18" t="inlineStr">
        <is>
          <t>Southpaw</t>
        </is>
      </c>
      <c r="F6144" s="18" t="inlineStr">
        <is>
          <t>F0286</t>
        </is>
      </c>
    </row>
    <row r="6145" ht="15.75" customHeight="1" s="108">
      <c r="A6145" s="18" t="inlineStr">
        <is>
          <t>Lana Young</t>
        </is>
      </c>
      <c r="B6145" s="18" t="n">
        <v>1</v>
      </c>
      <c r="C6145" s="18" t="n">
        <v>2015</v>
      </c>
      <c r="D6145" s="18" t="n">
        <v>2015</v>
      </c>
      <c r="E6145" s="18" t="inlineStr">
        <is>
          <t>Southpaw</t>
        </is>
      </c>
      <c r="F6145" s="18" t="inlineStr">
        <is>
          <t>F0286</t>
        </is>
      </c>
    </row>
    <row r="6146" ht="15.75" customHeight="1" s="108">
      <c r="A6146" s="18" t="inlineStr">
        <is>
          <t>Danny Henriquez</t>
        </is>
      </c>
      <c r="B6146" s="18" t="n">
        <v>1</v>
      </c>
      <c r="C6146" s="18" t="n">
        <v>2015</v>
      </c>
      <c r="D6146" s="18" t="n">
        <v>2015</v>
      </c>
      <c r="E6146" s="18" t="inlineStr">
        <is>
          <t>Southpaw</t>
        </is>
      </c>
      <c r="F6146" s="18" t="inlineStr">
        <is>
          <t>F0286</t>
        </is>
      </c>
    </row>
    <row r="6147" ht="15.75" customHeight="1" s="108">
      <c r="A6147" s="18" t="inlineStr">
        <is>
          <t>Patsy Meck</t>
        </is>
      </c>
      <c r="B6147" s="18" t="n">
        <v>1</v>
      </c>
      <c r="C6147" s="18" t="n">
        <v>2015</v>
      </c>
      <c r="D6147" s="18" t="n">
        <v>2015</v>
      </c>
      <c r="E6147" s="18" t="inlineStr">
        <is>
          <t>Southpaw</t>
        </is>
      </c>
      <c r="F6147" s="18" t="inlineStr">
        <is>
          <t>F0286</t>
        </is>
      </c>
    </row>
    <row r="6148" ht="15.75" customHeight="1" s="108">
      <c r="A6148" s="18" t="inlineStr">
        <is>
          <t>Vito Grassi</t>
        </is>
      </c>
      <c r="B6148" s="18" t="n">
        <v>1</v>
      </c>
      <c r="C6148" s="18" t="n">
        <v>2015</v>
      </c>
      <c r="D6148" s="18" t="n">
        <v>2015</v>
      </c>
      <c r="E6148" s="18" t="inlineStr">
        <is>
          <t>Southpaw</t>
        </is>
      </c>
      <c r="F6148" s="18" t="inlineStr">
        <is>
          <t>F0286</t>
        </is>
      </c>
    </row>
    <row r="6149" ht="15.75" customHeight="1" s="108">
      <c r="A6149" s="18" t="inlineStr">
        <is>
          <t>Tony Weeks</t>
        </is>
      </c>
      <c r="B6149" s="18" t="n">
        <v>1</v>
      </c>
      <c r="C6149" s="18" t="n">
        <v>2015</v>
      </c>
      <c r="D6149" s="18" t="n">
        <v>2015</v>
      </c>
      <c r="E6149" s="18" t="inlineStr">
        <is>
          <t>Southpaw</t>
        </is>
      </c>
      <c r="F6149" s="18" t="inlineStr">
        <is>
          <t>F0286</t>
        </is>
      </c>
    </row>
    <row r="6150" ht="15.75" customHeight="1" s="108">
      <c r="A6150" s="18" t="inlineStr">
        <is>
          <t>Jimmy Lennon Jr.</t>
        </is>
      </c>
      <c r="B6150" s="18" t="n">
        <v>1</v>
      </c>
      <c r="C6150" s="18" t="n">
        <v>2015</v>
      </c>
      <c r="D6150" s="18" t="n">
        <v>2015</v>
      </c>
      <c r="E6150" s="18" t="inlineStr">
        <is>
          <t>Southpaw</t>
        </is>
      </c>
      <c r="F6150" s="18" t="inlineStr">
        <is>
          <t>F0286</t>
        </is>
      </c>
    </row>
    <row r="6151" ht="15.75" customHeight="1" s="108">
      <c r="A6151" s="18" t="inlineStr">
        <is>
          <t>Charles Hoyes</t>
        </is>
      </c>
      <c r="B6151" s="18" t="n">
        <v>1</v>
      </c>
      <c r="C6151" s="18" t="n">
        <v>2015</v>
      </c>
      <c r="D6151" s="18" t="n">
        <v>2015</v>
      </c>
      <c r="E6151" s="18" t="inlineStr">
        <is>
          <t>Southpaw</t>
        </is>
      </c>
      <c r="F6151" s="18" t="inlineStr">
        <is>
          <t>F0286</t>
        </is>
      </c>
    </row>
    <row r="6152" ht="15.75" customHeight="1" s="108">
      <c r="A6152" s="18" t="inlineStr">
        <is>
          <t>Clare Foley</t>
        </is>
      </c>
      <c r="B6152" s="18" t="n">
        <v>1</v>
      </c>
      <c r="C6152" s="18" t="n">
        <v>2015</v>
      </c>
      <c r="D6152" s="18" t="n">
        <v>2015</v>
      </c>
      <c r="E6152" s="18" t="inlineStr">
        <is>
          <t>Southpaw</t>
        </is>
      </c>
      <c r="F6152" s="18" t="inlineStr">
        <is>
          <t>F0286</t>
        </is>
      </c>
    </row>
    <row r="6153" ht="15.75" customHeight="1" s="108">
      <c r="A6153" s="18" t="inlineStr">
        <is>
          <t>Rita Ora</t>
        </is>
      </c>
      <c r="B6153" s="18" t="n">
        <v>1</v>
      </c>
      <c r="C6153" s="18" t="n">
        <v>2015</v>
      </c>
      <c r="D6153" s="18" t="n">
        <v>2015</v>
      </c>
      <c r="E6153" s="18" t="inlineStr">
        <is>
          <t>Southpaw</t>
        </is>
      </c>
      <c r="F6153" s="18" t="inlineStr">
        <is>
          <t>F0286</t>
        </is>
      </c>
    </row>
    <row r="6154" ht="15.75" customHeight="1" s="108">
      <c r="A6154" s="18" t="inlineStr">
        <is>
          <t>Jim Lampley</t>
        </is>
      </c>
      <c r="B6154" s="18" t="n">
        <v>1</v>
      </c>
      <c r="C6154" s="18" t="n">
        <v>2015</v>
      </c>
      <c r="D6154" s="18" t="n">
        <v>2015</v>
      </c>
      <c r="E6154" s="18" t="inlineStr">
        <is>
          <t>Southpaw</t>
        </is>
      </c>
      <c r="F6154" s="18" t="inlineStr">
        <is>
          <t>F0286</t>
        </is>
      </c>
    </row>
    <row r="6155" ht="15.75" customHeight="1" s="108">
      <c r="A6155" s="18" t="inlineStr">
        <is>
          <t>Adam Kroloff</t>
        </is>
      </c>
      <c r="B6155" s="18" t="n">
        <v>1</v>
      </c>
      <c r="C6155" s="18" t="n">
        <v>2015</v>
      </c>
      <c r="D6155" s="18" t="n">
        <v>2015</v>
      </c>
      <c r="E6155" s="18" t="inlineStr">
        <is>
          <t>Southpaw</t>
        </is>
      </c>
      <c r="F6155" s="18" t="inlineStr">
        <is>
          <t>F0286</t>
        </is>
      </c>
    </row>
    <row r="6156" ht="15.75" customHeight="1" s="108">
      <c r="A6156" s="18" t="inlineStr">
        <is>
          <t>Michelle Johnston</t>
        </is>
      </c>
      <c r="B6156" s="18" t="n">
        <v>1</v>
      </c>
      <c r="C6156" s="18" t="n">
        <v>2015</v>
      </c>
      <c r="D6156" s="18" t="n">
        <v>2015</v>
      </c>
      <c r="E6156" s="18" t="inlineStr">
        <is>
          <t>Southpaw</t>
        </is>
      </c>
      <c r="F6156" s="18" t="inlineStr">
        <is>
          <t>F0286</t>
        </is>
      </c>
    </row>
    <row r="6157" ht="15.75" customHeight="1" s="108">
      <c r="A6157" s="18" t="inlineStr">
        <is>
          <t>Jackson Nunn</t>
        </is>
      </c>
      <c r="B6157" s="18" t="n">
        <v>1</v>
      </c>
      <c r="C6157" s="18" t="n">
        <v>2015</v>
      </c>
      <c r="D6157" s="18" t="n">
        <v>2015</v>
      </c>
      <c r="E6157" s="18" t="inlineStr">
        <is>
          <t>Southpaw</t>
        </is>
      </c>
      <c r="F6157" s="18" t="inlineStr">
        <is>
          <t>F0286</t>
        </is>
      </c>
    </row>
    <row r="6158" ht="15.75" customHeight="1" s="108">
      <c r="A6158" s="18" t="inlineStr">
        <is>
          <t>Gerry Becker</t>
        </is>
      </c>
      <c r="B6158" s="18" t="n">
        <v>1</v>
      </c>
      <c r="C6158" s="18" t="n">
        <v>2002</v>
      </c>
      <c r="D6158" s="18" t="n">
        <v>2002</v>
      </c>
      <c r="E6158" s="18" t="inlineStr">
        <is>
          <t>Spider-Man</t>
        </is>
      </c>
      <c r="F6158" s="18" t="inlineStr">
        <is>
          <t>F0287</t>
        </is>
      </c>
    </row>
    <row r="6159" ht="15.75" customHeight="1" s="108">
      <c r="A6159" s="18" t="inlineStr">
        <is>
          <t>Bill Nunn</t>
        </is>
      </c>
      <c r="B6159" s="18" t="n">
        <v>3</v>
      </c>
      <c r="C6159" s="18" t="n">
        <v>2002</v>
      </c>
      <c r="D6159" s="18" t="n">
        <v>2007</v>
      </c>
      <c r="E6159" s="18" t="inlineStr">
        <is>
          <t>Spider-Man, Spider-Man 2, Spider-Man 3</t>
        </is>
      </c>
      <c r="F6159" s="18" t="inlineStr">
        <is>
          <t>F0287, F0288, F0289</t>
        </is>
      </c>
    </row>
    <row r="6160" ht="15.75" customHeight="1" s="108">
      <c r="A6160" s="18" t="inlineStr">
        <is>
          <t>Jack Betts</t>
        </is>
      </c>
      <c r="B6160" s="18" t="n">
        <v>1</v>
      </c>
      <c r="C6160" s="18" t="n">
        <v>2002</v>
      </c>
      <c r="D6160" s="18" t="n">
        <v>2002</v>
      </c>
      <c r="E6160" s="18" t="inlineStr">
        <is>
          <t>Spider-Man</t>
        </is>
      </c>
      <c r="F6160" s="18" t="inlineStr">
        <is>
          <t>F0287</t>
        </is>
      </c>
    </row>
    <row r="6161" ht="15.75" customHeight="1" s="108">
      <c r="A6161" s="18" t="inlineStr">
        <is>
          <t>Stanley Anderson</t>
        </is>
      </c>
      <c r="B6161" s="18" t="n">
        <v>1</v>
      </c>
      <c r="C6161" s="18" t="n">
        <v>2002</v>
      </c>
      <c r="D6161" s="18" t="n">
        <v>2002</v>
      </c>
      <c r="E6161" s="18" t="inlineStr">
        <is>
          <t>Spider-Man</t>
        </is>
      </c>
      <c r="F6161" s="18" t="inlineStr">
        <is>
          <t>F0287</t>
        </is>
      </c>
    </row>
    <row r="6162" ht="15.75" customHeight="1" s="108">
      <c r="A6162" s="18" t="inlineStr">
        <is>
          <t>K.K. Dodds</t>
        </is>
      </c>
      <c r="B6162" s="18" t="n">
        <v>1</v>
      </c>
      <c r="C6162" s="18" t="n">
        <v>2002</v>
      </c>
      <c r="D6162" s="18" t="n">
        <v>2002</v>
      </c>
      <c r="E6162" s="18" t="inlineStr">
        <is>
          <t>Spider-Man</t>
        </is>
      </c>
      <c r="F6162" s="18" t="inlineStr">
        <is>
          <t>F0287</t>
        </is>
      </c>
    </row>
    <row r="6163" ht="15.75" customHeight="1" s="108">
      <c r="A6163" s="18" t="inlineStr">
        <is>
          <t>Ted Raimi</t>
        </is>
      </c>
      <c r="B6163" s="18" t="n">
        <v>3</v>
      </c>
      <c r="C6163" s="18" t="n">
        <v>2002</v>
      </c>
      <c r="D6163" s="18" t="n">
        <v>2007</v>
      </c>
      <c r="E6163" s="18" t="inlineStr">
        <is>
          <t>Spider-Man, Spider-Man 2, Spider-Man 3</t>
        </is>
      </c>
      <c r="F6163" s="18" t="inlineStr">
        <is>
          <t>F0287, F0288, F0289</t>
        </is>
      </c>
    </row>
    <row r="6164" ht="15.75" customHeight="1" s="108">
      <c r="A6164" s="18" t="inlineStr">
        <is>
          <t>Bruce Campbell</t>
        </is>
      </c>
      <c r="B6164" s="18" t="n">
        <v>3</v>
      </c>
      <c r="C6164" s="18" t="n">
        <v>2002</v>
      </c>
      <c r="D6164" s="18" t="n">
        <v>2007</v>
      </c>
      <c r="E6164" s="18" t="inlineStr">
        <is>
          <t>Spider-Man, Spider-Man 2, Spider-Man 3</t>
        </is>
      </c>
      <c r="F6164" s="18" t="inlineStr">
        <is>
          <t>F0287, F0288, F0289</t>
        </is>
      </c>
    </row>
    <row r="6165" ht="15.75" customHeight="1" s="108">
      <c r="A6165" s="18" t="inlineStr">
        <is>
          <t>John Paxton</t>
        </is>
      </c>
      <c r="B6165" s="18" t="n">
        <v>2</v>
      </c>
      <c r="C6165" s="18" t="n">
        <v>2002</v>
      </c>
      <c r="D6165" s="18" t="n">
        <v>2007</v>
      </c>
      <c r="E6165" s="18" t="inlineStr">
        <is>
          <t>Spider-Man, Spider-Man 3</t>
        </is>
      </c>
      <c r="F6165" s="18" t="inlineStr">
        <is>
          <t>F0287, F0289</t>
        </is>
      </c>
    </row>
    <row r="6166" ht="15.75" customHeight="1" s="108">
      <c r="A6166" s="18" t="inlineStr">
        <is>
          <t>Taylor Gilbert</t>
        </is>
      </c>
      <c r="B6166" s="18" t="n">
        <v>1</v>
      </c>
      <c r="C6166" s="18" t="n">
        <v>2002</v>
      </c>
      <c r="D6166" s="18" t="n">
        <v>2002</v>
      </c>
      <c r="E6166" s="18" t="inlineStr">
        <is>
          <t>Spider-Man</t>
        </is>
      </c>
      <c r="F6166" s="18" t="inlineStr">
        <is>
          <t>F0287</t>
        </is>
      </c>
    </row>
    <row r="6167" ht="15.75" customHeight="1" s="108">
      <c r="A6167" s="18" t="inlineStr">
        <is>
          <t>Randy Poffo</t>
        </is>
      </c>
      <c r="B6167" s="18" t="n">
        <v>1</v>
      </c>
      <c r="C6167" s="18" t="n">
        <v>2002</v>
      </c>
      <c r="D6167" s="18" t="n">
        <v>2002</v>
      </c>
      <c r="E6167" s="18" t="inlineStr">
        <is>
          <t>Spider-Man</t>
        </is>
      </c>
      <c r="F6167" s="18" t="inlineStr">
        <is>
          <t>F0287</t>
        </is>
      </c>
    </row>
    <row r="6168" ht="15.75" customHeight="1" s="108">
      <c r="A6168" s="18" t="inlineStr">
        <is>
          <t>Larry Joshua</t>
        </is>
      </c>
      <c r="B6168" s="18" t="n">
        <v>1</v>
      </c>
      <c r="C6168" s="18" t="n">
        <v>2002</v>
      </c>
      <c r="D6168" s="18" t="n">
        <v>2002</v>
      </c>
      <c r="E6168" s="18" t="inlineStr">
        <is>
          <t>Spider-Man</t>
        </is>
      </c>
      <c r="F6168" s="18" t="inlineStr">
        <is>
          <t>F0287</t>
        </is>
      </c>
    </row>
    <row r="6169" ht="15.75" customHeight="1" s="108">
      <c r="A6169" s="18" t="inlineStr">
        <is>
          <t>Timothy Patrick Quill</t>
        </is>
      </c>
      <c r="B6169" s="18" t="n">
        <v>1</v>
      </c>
      <c r="C6169" s="18" t="n">
        <v>2002</v>
      </c>
      <c r="D6169" s="18" t="n">
        <v>2002</v>
      </c>
      <c r="E6169" s="18" t="inlineStr">
        <is>
          <t>Spider-Man</t>
        </is>
      </c>
      <c r="F6169" s="18" t="inlineStr">
        <is>
          <t>F0287</t>
        </is>
      </c>
    </row>
    <row r="6170" ht="15.75" customHeight="1" s="108">
      <c r="A6170" s="18" t="inlineStr">
        <is>
          <t>Lisa Danielle</t>
        </is>
      </c>
      <c r="B6170" s="18" t="n">
        <v>1</v>
      </c>
      <c r="C6170" s="18" t="n">
        <v>2002</v>
      </c>
      <c r="D6170" s="18" t="n">
        <v>2002</v>
      </c>
      <c r="E6170" s="18" t="inlineStr">
        <is>
          <t>Spider-Man</t>
        </is>
      </c>
      <c r="F6170" s="18" t="inlineStr">
        <is>
          <t>F0287</t>
        </is>
      </c>
    </row>
    <row r="6171" ht="15.75" customHeight="1" s="108">
      <c r="A6171" s="18" t="inlineStr">
        <is>
          <t>Natalie T. Yeo</t>
        </is>
      </c>
      <c r="B6171" s="18" t="n">
        <v>1</v>
      </c>
      <c r="C6171" s="18" t="n">
        <v>2002</v>
      </c>
      <c r="D6171" s="18" t="n">
        <v>2002</v>
      </c>
      <c r="E6171" s="18" t="inlineStr">
        <is>
          <t>Spider-Man</t>
        </is>
      </c>
      <c r="F6171" s="18" t="inlineStr">
        <is>
          <t>F0287</t>
        </is>
      </c>
    </row>
    <row r="6172" ht="15.75" customHeight="1" s="108">
      <c r="A6172" s="18" t="inlineStr">
        <is>
          <t>Erica D. Porter</t>
        </is>
      </c>
      <c r="B6172" s="18" t="n">
        <v>1</v>
      </c>
      <c r="C6172" s="18" t="n">
        <v>2002</v>
      </c>
      <c r="D6172" s="18" t="n">
        <v>2002</v>
      </c>
      <c r="E6172" s="18" t="inlineStr">
        <is>
          <t>Spider-Man</t>
        </is>
      </c>
      <c r="F6172" s="18" t="inlineStr">
        <is>
          <t>F0287</t>
        </is>
      </c>
    </row>
    <row r="6173" ht="15.75" customHeight="1" s="108">
      <c r="A6173" s="18" t="inlineStr">
        <is>
          <t>Kristen Davidson</t>
        </is>
      </c>
      <c r="B6173" s="18" t="n">
        <v>1</v>
      </c>
      <c r="C6173" s="18" t="n">
        <v>2002</v>
      </c>
      <c r="D6173" s="18" t="n">
        <v>2002</v>
      </c>
      <c r="E6173" s="18" t="inlineStr">
        <is>
          <t>Spider-Man</t>
        </is>
      </c>
      <c r="F6173" s="18" t="inlineStr">
        <is>
          <t>F0287</t>
        </is>
      </c>
    </row>
    <row r="6174" ht="15.75" customHeight="1" s="108">
      <c r="A6174" s="18" t="inlineStr">
        <is>
          <t>Jason Padgett</t>
        </is>
      </c>
      <c r="B6174" s="18" t="n">
        <v>1</v>
      </c>
      <c r="C6174" s="18" t="n">
        <v>2002</v>
      </c>
      <c r="D6174" s="18" t="n">
        <v>2002</v>
      </c>
      <c r="E6174" s="18" t="inlineStr">
        <is>
          <t>Spider-Man</t>
        </is>
      </c>
      <c r="F6174" s="18" t="inlineStr">
        <is>
          <t>F0287</t>
        </is>
      </c>
    </row>
    <row r="6175" ht="15.75" customHeight="1" s="108">
      <c r="A6175" s="18" t="inlineStr">
        <is>
          <t>Shan Omar Huey</t>
        </is>
      </c>
      <c r="B6175" s="18" t="n">
        <v>1</v>
      </c>
      <c r="C6175" s="18" t="n">
        <v>2002</v>
      </c>
      <c r="D6175" s="18" t="n">
        <v>2002</v>
      </c>
      <c r="E6175" s="18" t="inlineStr">
        <is>
          <t>Spider-Man</t>
        </is>
      </c>
      <c r="F6175" s="18" t="inlineStr">
        <is>
          <t>F0287</t>
        </is>
      </c>
    </row>
    <row r="6176" ht="15.75" customHeight="1" s="108">
      <c r="A6176" s="18" t="inlineStr">
        <is>
          <t>Daniel Gillies</t>
        </is>
      </c>
      <c r="B6176" s="18" t="n">
        <v>1</v>
      </c>
      <c r="C6176" s="18" t="n">
        <v>2004</v>
      </c>
      <c r="D6176" s="18" t="n">
        <v>2004</v>
      </c>
      <c r="E6176" s="18" t="inlineStr">
        <is>
          <t>Spider-Man 2</t>
        </is>
      </c>
      <c r="F6176" s="18" t="inlineStr">
        <is>
          <t>F0288</t>
        </is>
      </c>
    </row>
    <row r="6177" ht="15.75" customHeight="1" s="108">
      <c r="A6177" s="18" t="inlineStr">
        <is>
          <t>Dylan Baker</t>
        </is>
      </c>
      <c r="B6177" s="18" t="n">
        <v>3</v>
      </c>
      <c r="C6177" s="18" t="n">
        <v>2004</v>
      </c>
      <c r="D6177" s="18" t="n">
        <v>2013</v>
      </c>
      <c r="E6177" s="18" t="inlineStr">
        <is>
          <t>Spider-Man 2, Spider-Man 3, Anchorman 2</t>
        </is>
      </c>
      <c r="F6177" s="18" t="inlineStr">
        <is>
          <t>F0288, F0289, F0357</t>
        </is>
      </c>
    </row>
    <row r="6178" ht="15.75" customHeight="1" s="108">
      <c r="A6178" s="18" t="inlineStr">
        <is>
          <t>Vanessa Ferlito</t>
        </is>
      </c>
      <c r="B6178" s="18" t="n">
        <v>1</v>
      </c>
      <c r="C6178" s="18" t="n">
        <v>2004</v>
      </c>
      <c r="D6178" s="18" t="n">
        <v>2004</v>
      </c>
      <c r="E6178" s="18" t="inlineStr">
        <is>
          <t>Spider-Man 2</t>
        </is>
      </c>
      <c r="F6178" s="18" t="inlineStr">
        <is>
          <t>F0288</t>
        </is>
      </c>
    </row>
    <row r="6179" ht="15.75" customHeight="1" s="108">
      <c r="A6179" s="18" t="inlineStr">
        <is>
          <t>Gregg Edelman</t>
        </is>
      </c>
      <c r="B6179" s="18" t="n">
        <v>1</v>
      </c>
      <c r="C6179" s="18" t="n">
        <v>2004</v>
      </c>
      <c r="D6179" s="18" t="n">
        <v>2004</v>
      </c>
      <c r="E6179" s="18" t="inlineStr">
        <is>
          <t>Spider-Man 2</t>
        </is>
      </c>
      <c r="F6179" s="18" t="inlineStr">
        <is>
          <t>F0288</t>
        </is>
      </c>
    </row>
    <row r="6180" ht="15.75" customHeight="1" s="108">
      <c r="A6180" s="18" t="inlineStr">
        <is>
          <t>Mageina Tovah</t>
        </is>
      </c>
      <c r="B6180" s="18" t="n">
        <v>2</v>
      </c>
      <c r="C6180" s="18" t="n">
        <v>2004</v>
      </c>
      <c r="D6180" s="18" t="n">
        <v>2007</v>
      </c>
      <c r="E6180" s="18" t="inlineStr">
        <is>
          <t>Spider-Man 2, Spider-Man 3</t>
        </is>
      </c>
      <c r="F6180" s="18" t="inlineStr">
        <is>
          <t>F0288, F0289</t>
        </is>
      </c>
    </row>
    <row r="6181" ht="15.75" customHeight="1" s="108">
      <c r="A6181" s="18" t="inlineStr">
        <is>
          <t>Daniel Dae Kim</t>
        </is>
      </c>
      <c r="B6181" s="18" t="n">
        <v>1</v>
      </c>
      <c r="C6181" s="18" t="n">
        <v>2004</v>
      </c>
      <c r="D6181" s="18" t="n">
        <v>2004</v>
      </c>
      <c r="E6181" s="18" t="inlineStr">
        <is>
          <t>Spider-Man 2</t>
        </is>
      </c>
      <c r="F6181" s="18" t="inlineStr">
        <is>
          <t>F0288</t>
        </is>
      </c>
    </row>
    <row r="6182" ht="15.75" customHeight="1" s="108">
      <c r="A6182" s="18" t="inlineStr">
        <is>
          <t>Hal Sparks</t>
        </is>
      </c>
      <c r="B6182" s="18" t="n">
        <v>1</v>
      </c>
      <c r="C6182" s="18" t="n">
        <v>2004</v>
      </c>
      <c r="D6182" s="18" t="n">
        <v>2004</v>
      </c>
      <c r="E6182" s="18" t="inlineStr">
        <is>
          <t>Spider-Man 2</t>
        </is>
      </c>
      <c r="F6182" s="18" t="inlineStr">
        <is>
          <t>F0288</t>
        </is>
      </c>
    </row>
    <row r="6183" ht="15.75" customHeight="1" s="108">
      <c r="A6183" s="18" t="inlineStr">
        <is>
          <t>Kelly Connell</t>
        </is>
      </c>
      <c r="B6183" s="18" t="n">
        <v>1</v>
      </c>
      <c r="C6183" s="18" t="n">
        <v>2004</v>
      </c>
      <c r="D6183" s="18" t="n">
        <v>2004</v>
      </c>
      <c r="E6183" s="18" t="inlineStr">
        <is>
          <t>Spider-Man 2</t>
        </is>
      </c>
      <c r="F6183" s="18" t="inlineStr">
        <is>
          <t>F0288</t>
        </is>
      </c>
    </row>
    <row r="6184" ht="15.75" customHeight="1" s="108">
      <c r="A6184" s="18" t="inlineStr">
        <is>
          <t>Emily Deschanel</t>
        </is>
      </c>
      <c r="B6184" s="18" t="n">
        <v>1</v>
      </c>
      <c r="C6184" s="18" t="n">
        <v>2004</v>
      </c>
      <c r="D6184" s="18" t="n">
        <v>2004</v>
      </c>
      <c r="E6184" s="18" t="inlineStr">
        <is>
          <t>Spider-Man 2</t>
        </is>
      </c>
      <c r="F6184" s="18" t="inlineStr">
        <is>
          <t>F0288</t>
        </is>
      </c>
    </row>
    <row r="6185" ht="15.75" customHeight="1" s="108">
      <c r="A6185" s="18" t="inlineStr">
        <is>
          <t>Jason Fiore-Ortiz</t>
        </is>
      </c>
      <c r="B6185" s="18" t="n">
        <v>1</v>
      </c>
      <c r="C6185" s="18" t="n">
        <v>2004</v>
      </c>
      <c r="D6185" s="18" t="n">
        <v>2004</v>
      </c>
      <c r="E6185" s="18" t="inlineStr">
        <is>
          <t>Spider-Man 2</t>
        </is>
      </c>
      <c r="F6185" s="18" t="inlineStr">
        <is>
          <t>F0288</t>
        </is>
      </c>
    </row>
    <row r="6186" ht="15.75" customHeight="1" s="108">
      <c r="A6186" s="18" t="inlineStr">
        <is>
          <t>Scott Spiegel</t>
        </is>
      </c>
      <c r="B6186" s="18" t="n">
        <v>1</v>
      </c>
      <c r="C6186" s="18" t="n">
        <v>2004</v>
      </c>
      <c r="D6186" s="18" t="n">
        <v>2004</v>
      </c>
      <c r="E6186" s="18" t="inlineStr">
        <is>
          <t>Spider-Man 2</t>
        </is>
      </c>
      <c r="F6186" s="18" t="inlineStr">
        <is>
          <t>F0288</t>
        </is>
      </c>
    </row>
    <row r="6187" ht="15.75" customHeight="1" s="108">
      <c r="A6187" s="18" t="inlineStr">
        <is>
          <t>Andy Bale</t>
        </is>
      </c>
      <c r="B6187" s="18" t="n">
        <v>1</v>
      </c>
      <c r="C6187" s="18" t="n">
        <v>2004</v>
      </c>
      <c r="D6187" s="18" t="n">
        <v>2004</v>
      </c>
      <c r="E6187" s="18" t="inlineStr">
        <is>
          <t>Spider-Man 2</t>
        </is>
      </c>
      <c r="F6187" s="18" t="inlineStr">
        <is>
          <t>F0288</t>
        </is>
      </c>
    </row>
    <row r="6188" ht="15.75" customHeight="1" s="108">
      <c r="A6188" s="18" t="inlineStr">
        <is>
          <t>Theresa Russell</t>
        </is>
      </c>
      <c r="B6188" s="18" t="n">
        <v>1</v>
      </c>
      <c r="C6188" s="18" t="n">
        <v>2007</v>
      </c>
      <c r="D6188" s="18" t="n">
        <v>2007</v>
      </c>
      <c r="E6188" s="18" t="inlineStr">
        <is>
          <t>Spider-Man 3</t>
        </is>
      </c>
      <c r="F6188" s="18" t="inlineStr">
        <is>
          <t>F0289</t>
        </is>
      </c>
    </row>
    <row r="6189" ht="15.75" customHeight="1" s="108">
      <c r="A6189" s="18" t="inlineStr">
        <is>
          <t>Perla Haney-Jardine</t>
        </is>
      </c>
      <c r="B6189" s="18" t="n">
        <v>1</v>
      </c>
      <c r="C6189" s="18" t="n">
        <v>2007</v>
      </c>
      <c r="D6189" s="18" t="n">
        <v>2007</v>
      </c>
      <c r="E6189" s="18" t="inlineStr">
        <is>
          <t>Spider-Man 3</t>
        </is>
      </c>
      <c r="F6189" s="18" t="inlineStr">
        <is>
          <t>F0289</t>
        </is>
      </c>
    </row>
    <row r="6190" ht="15.75" customHeight="1" s="108">
      <c r="A6190" s="18" t="inlineStr">
        <is>
          <t>Hal Fishman</t>
        </is>
      </c>
      <c r="B6190" s="18" t="n">
        <v>1</v>
      </c>
      <c r="C6190" s="18" t="n">
        <v>2007</v>
      </c>
      <c r="D6190" s="18" t="n">
        <v>2007</v>
      </c>
      <c r="E6190" s="18" t="inlineStr">
        <is>
          <t>Spider-Man 3</t>
        </is>
      </c>
      <c r="F6190" s="18" t="inlineStr">
        <is>
          <t>F0289</t>
        </is>
      </c>
    </row>
    <row r="6191" ht="15.75" customHeight="1" s="108">
      <c r="A6191" s="18" t="inlineStr">
        <is>
          <t>Lucy Gordon</t>
        </is>
      </c>
      <c r="B6191" s="18" t="n">
        <v>1</v>
      </c>
      <c r="C6191" s="18" t="n">
        <v>2007</v>
      </c>
      <c r="D6191" s="18" t="n">
        <v>2007</v>
      </c>
      <c r="E6191" s="18" t="inlineStr">
        <is>
          <t>Spider-Man 3</t>
        </is>
      </c>
      <c r="F6191" s="18" t="inlineStr">
        <is>
          <t>F0289</t>
        </is>
      </c>
    </row>
    <row r="6192" ht="15.75" customHeight="1" s="108">
      <c r="A6192" s="18" t="inlineStr">
        <is>
          <t>Steve Valentine</t>
        </is>
      </c>
      <c r="B6192" s="18" t="n">
        <v>1</v>
      </c>
      <c r="C6192" s="18" t="n">
        <v>2007</v>
      </c>
      <c r="D6192" s="18" t="n">
        <v>2007</v>
      </c>
      <c r="E6192" s="18" t="inlineStr">
        <is>
          <t>Spider-Man 3</t>
        </is>
      </c>
      <c r="F6192" s="18" t="inlineStr">
        <is>
          <t>F0289</t>
        </is>
      </c>
    </row>
    <row r="6193" ht="15.75" customHeight="1" s="108">
      <c r="A6193" s="18" t="inlineStr">
        <is>
          <t>Tim Maculan</t>
        </is>
      </c>
      <c r="B6193" s="18" t="n">
        <v>1</v>
      </c>
      <c r="C6193" s="18" t="n">
        <v>2007</v>
      </c>
      <c r="D6193" s="18" t="n">
        <v>2007</v>
      </c>
      <c r="E6193" s="18" t="inlineStr">
        <is>
          <t>Spider-Man 3</t>
        </is>
      </c>
      <c r="F6193" s="18" t="inlineStr">
        <is>
          <t>F0289</t>
        </is>
      </c>
    </row>
    <row r="6194" ht="15.75" customHeight="1" s="108">
      <c r="A6194" s="18" t="inlineStr">
        <is>
          <t>Marc Vann</t>
        </is>
      </c>
      <c r="B6194" s="18" t="n">
        <v>1</v>
      </c>
      <c r="C6194" s="18" t="n">
        <v>2007</v>
      </c>
      <c r="D6194" s="18" t="n">
        <v>2007</v>
      </c>
      <c r="E6194" s="18" t="inlineStr">
        <is>
          <t>Spider-Man 3</t>
        </is>
      </c>
      <c r="F6194" s="18" t="inlineStr">
        <is>
          <t>F0289</t>
        </is>
      </c>
    </row>
    <row r="6195" ht="15.75" customHeight="1" s="108">
      <c r="A6195" s="18" t="inlineStr">
        <is>
          <t>Sam Richardson</t>
        </is>
      </c>
      <c r="B6195" s="18" t="n">
        <v>1</v>
      </c>
      <c r="C6195" s="18" t="n">
        <v>2015</v>
      </c>
      <c r="D6195" s="18" t="n">
        <v>2015</v>
      </c>
      <c r="E6195" s="18" t="inlineStr">
        <is>
          <t>Spy</t>
        </is>
      </c>
      <c r="F6195" s="18" t="inlineStr">
        <is>
          <t>F0290</t>
        </is>
      </c>
    </row>
    <row r="6196" ht="15.75" customHeight="1" s="108">
      <c r="A6196" s="18" t="inlineStr">
        <is>
          <t>Katie Dippold</t>
        </is>
      </c>
      <c r="B6196" s="18" t="n">
        <v>1</v>
      </c>
      <c r="C6196" s="18" t="n">
        <v>2015</v>
      </c>
      <c r="D6196" s="18" t="n">
        <v>2015</v>
      </c>
      <c r="E6196" s="18" t="inlineStr">
        <is>
          <t>Spy</t>
        </is>
      </c>
      <c r="F6196" s="18" t="inlineStr">
        <is>
          <t>F0290</t>
        </is>
      </c>
    </row>
    <row r="6197" ht="15.75" customHeight="1" s="108">
      <c r="A6197" s="18" t="inlineStr">
        <is>
          <t>Jaime Pacheco</t>
        </is>
      </c>
      <c r="B6197" s="18" t="n">
        <v>1</v>
      </c>
      <c r="C6197" s="18" t="n">
        <v>2015</v>
      </c>
      <c r="D6197" s="18" t="n">
        <v>2015</v>
      </c>
      <c r="E6197" s="18" t="inlineStr">
        <is>
          <t>Spy</t>
        </is>
      </c>
      <c r="F6197" s="18" t="inlineStr">
        <is>
          <t>F0290</t>
        </is>
      </c>
    </row>
    <row r="6198" ht="15.75" customHeight="1" s="108">
      <c r="A6198" s="18" t="inlineStr">
        <is>
          <t>Romain Apelbaum</t>
        </is>
      </c>
      <c r="B6198" s="18" t="n">
        <v>1</v>
      </c>
      <c r="C6198" s="18" t="n">
        <v>2015</v>
      </c>
      <c r="D6198" s="18" t="n">
        <v>2015</v>
      </c>
      <c r="E6198" s="18" t="inlineStr">
        <is>
          <t>Spy</t>
        </is>
      </c>
      <c r="F6198" s="18" t="inlineStr">
        <is>
          <t>F0290</t>
        </is>
      </c>
    </row>
    <row r="6199" ht="15.75" customHeight="1" s="108">
      <c r="A6199" s="18" t="inlineStr">
        <is>
          <t>Will Yun Lee</t>
        </is>
      </c>
      <c r="B6199" s="18" t="n">
        <v>2</v>
      </c>
      <c r="C6199" s="18" t="n">
        <v>2013</v>
      </c>
      <c r="D6199" s="18" t="n">
        <v>2015</v>
      </c>
      <c r="E6199" s="18" t="inlineStr">
        <is>
          <t>Spy, The Wolverine</t>
        </is>
      </c>
      <c r="F6199" s="18" t="inlineStr">
        <is>
          <t>F0290, F0347</t>
        </is>
      </c>
    </row>
    <row r="6200" ht="15.75" customHeight="1" s="108">
      <c r="A6200" s="18" t="inlineStr">
        <is>
          <t>Lukács Bicskey</t>
        </is>
      </c>
      <c r="B6200" s="18" t="n">
        <v>1</v>
      </c>
      <c r="C6200" s="18" t="n">
        <v>2015</v>
      </c>
      <c r="D6200" s="18" t="n">
        <v>2015</v>
      </c>
      <c r="E6200" s="18" t="inlineStr">
        <is>
          <t>Spy</t>
        </is>
      </c>
      <c r="F6200" s="18" t="inlineStr">
        <is>
          <t>F0290</t>
        </is>
      </c>
    </row>
    <row r="6201" ht="15.75" customHeight="1" s="108">
      <c r="A6201" s="18" t="inlineStr">
        <is>
          <t>Attila Bardóczy</t>
        </is>
      </c>
      <c r="B6201" s="18" t="n">
        <v>1</v>
      </c>
      <c r="C6201" s="18" t="n">
        <v>2015</v>
      </c>
      <c r="D6201" s="18" t="n">
        <v>2015</v>
      </c>
      <c r="E6201" s="18" t="inlineStr">
        <is>
          <t>Spy</t>
        </is>
      </c>
      <c r="F6201" s="18" t="inlineStr">
        <is>
          <t>F0290</t>
        </is>
      </c>
    </row>
    <row r="6202" ht="15.75" customHeight="1" s="108">
      <c r="A6202" s="18" t="inlineStr">
        <is>
          <t>Julian Miller</t>
        </is>
      </c>
      <c r="B6202" s="18" t="n">
        <v>1</v>
      </c>
      <c r="C6202" s="18" t="n">
        <v>2015</v>
      </c>
      <c r="D6202" s="18" t="n">
        <v>2015</v>
      </c>
      <c r="E6202" s="18" t="inlineStr">
        <is>
          <t>Spy</t>
        </is>
      </c>
      <c r="F6202" s="18" t="inlineStr">
        <is>
          <t>F0290</t>
        </is>
      </c>
    </row>
    <row r="6203" ht="15.75" customHeight="1" s="108">
      <c r="A6203" s="18" t="inlineStr">
        <is>
          <t>Ed Kear</t>
        </is>
      </c>
      <c r="B6203" s="18" t="n">
        <v>1</v>
      </c>
      <c r="C6203" s="18" t="n">
        <v>2015</v>
      </c>
      <c r="D6203" s="18" t="n">
        <v>2015</v>
      </c>
      <c r="E6203" s="18" t="inlineStr">
        <is>
          <t>Spy</t>
        </is>
      </c>
      <c r="F6203" s="18" t="inlineStr">
        <is>
          <t>F0290</t>
        </is>
      </c>
    </row>
    <row r="6204" ht="15.75" customHeight="1" s="108">
      <c r="A6204" s="18" t="inlineStr">
        <is>
          <t>Nargis Fakhri</t>
        </is>
      </c>
      <c r="B6204" s="18" t="n">
        <v>1</v>
      </c>
      <c r="C6204" s="18" t="n">
        <v>2015</v>
      </c>
      <c r="D6204" s="18" t="n">
        <v>2015</v>
      </c>
      <c r="E6204" s="18" t="inlineStr">
        <is>
          <t>Spy</t>
        </is>
      </c>
      <c r="F6204" s="18" t="inlineStr">
        <is>
          <t>F0290</t>
        </is>
      </c>
    </row>
    <row r="6205" ht="15.75" customHeight="1" s="108">
      <c r="A6205" s="18" t="inlineStr">
        <is>
          <t>Andrii Danylko</t>
        </is>
      </c>
      <c r="B6205" s="18" t="n">
        <v>1</v>
      </c>
      <c r="C6205" s="18" t="n">
        <v>2015</v>
      </c>
      <c r="D6205" s="18" t="n">
        <v>2015</v>
      </c>
      <c r="E6205" s="18" t="inlineStr">
        <is>
          <t>Spy</t>
        </is>
      </c>
      <c r="F6205" s="18" t="inlineStr">
        <is>
          <t>F0290</t>
        </is>
      </c>
    </row>
    <row r="6206" ht="15.75" customHeight="1" s="108">
      <c r="A6206" s="18" t="inlineStr">
        <is>
          <t>Attila Árpa</t>
        </is>
      </c>
      <c r="B6206" s="18" t="n">
        <v>1</v>
      </c>
      <c r="C6206" s="18" t="n">
        <v>2015</v>
      </c>
      <c r="D6206" s="18" t="n">
        <v>2015</v>
      </c>
      <c r="E6206" s="18" t="inlineStr">
        <is>
          <t>Spy</t>
        </is>
      </c>
      <c r="F6206" s="18" t="inlineStr">
        <is>
          <t>F0290</t>
        </is>
      </c>
    </row>
    <row r="6207" ht="15.75" customHeight="1" s="108">
      <c r="A6207" s="18" t="inlineStr">
        <is>
          <t>Bálint Adorjáni</t>
        </is>
      </c>
      <c r="B6207" s="18" t="n">
        <v>1</v>
      </c>
      <c r="C6207" s="18" t="n">
        <v>2015</v>
      </c>
      <c r="D6207" s="18" t="n">
        <v>2015</v>
      </c>
      <c r="E6207" s="18" t="inlineStr">
        <is>
          <t>Spy</t>
        </is>
      </c>
      <c r="F6207" s="18" t="inlineStr">
        <is>
          <t>F0290</t>
        </is>
      </c>
    </row>
    <row r="6208" ht="15.75" customHeight="1" s="108">
      <c r="A6208" s="18" t="inlineStr">
        <is>
          <t>Jamie Denbo</t>
        </is>
      </c>
      <c r="B6208" s="18" t="n">
        <v>1</v>
      </c>
      <c r="C6208" s="18" t="n">
        <v>2015</v>
      </c>
      <c r="D6208" s="18" t="n">
        <v>2015</v>
      </c>
      <c r="E6208" s="18" t="inlineStr">
        <is>
          <t>Spy</t>
        </is>
      </c>
      <c r="F6208" s="18" t="inlineStr">
        <is>
          <t>F0290</t>
        </is>
      </c>
    </row>
    <row r="6209" ht="15.75" customHeight="1" s="108">
      <c r="A6209" s="18" t="inlineStr">
        <is>
          <t>John Cho</t>
        </is>
      </c>
      <c r="B6209" s="18" t="n">
        <v>2</v>
      </c>
      <c r="C6209" s="18" t="n">
        <v>2001</v>
      </c>
      <c r="D6209" s="18" t="n">
        <v>2009</v>
      </c>
      <c r="E6209" s="18" t="inlineStr">
        <is>
          <t>Star Trek, Evolution</t>
        </is>
      </c>
      <c r="F6209" s="18" t="inlineStr">
        <is>
          <t>F0291, F0381</t>
        </is>
      </c>
    </row>
    <row r="6210" ht="15.75" customHeight="1" s="108">
      <c r="A6210" s="18" t="inlineStr">
        <is>
          <t>Ben Cross</t>
        </is>
      </c>
      <c r="B6210" s="18" t="n">
        <v>1</v>
      </c>
      <c r="C6210" s="18" t="n">
        <v>2009</v>
      </c>
      <c r="D6210" s="18" t="n">
        <v>2009</v>
      </c>
      <c r="E6210" s="18" t="inlineStr">
        <is>
          <t>Star Trek</t>
        </is>
      </c>
      <c r="F6210" s="18" t="inlineStr">
        <is>
          <t>F0291</t>
        </is>
      </c>
    </row>
    <row r="6211" ht="15.75" customHeight="1" s="108">
      <c r="A6211" s="18" t="inlineStr">
        <is>
          <t>Tony Elias</t>
        </is>
      </c>
      <c r="B6211" s="18" t="n">
        <v>1</v>
      </c>
      <c r="C6211" s="18" t="n">
        <v>2009</v>
      </c>
      <c r="D6211" s="18" t="n">
        <v>2009</v>
      </c>
      <c r="E6211" s="18" t="inlineStr">
        <is>
          <t>Star Trek</t>
        </is>
      </c>
      <c r="F6211" s="18" t="inlineStr">
        <is>
          <t>F0291</t>
        </is>
      </c>
    </row>
    <row r="6212" ht="15.75" customHeight="1" s="108">
      <c r="A6212" s="18" t="inlineStr">
        <is>
          <t>Sean Gerace</t>
        </is>
      </c>
      <c r="B6212" s="18" t="n">
        <v>1</v>
      </c>
      <c r="C6212" s="18" t="n">
        <v>2009</v>
      </c>
      <c r="D6212" s="18" t="n">
        <v>2009</v>
      </c>
      <c r="E6212" s="18" t="inlineStr">
        <is>
          <t>Star Trek</t>
        </is>
      </c>
      <c r="F6212" s="18" t="inlineStr">
        <is>
          <t>F0291</t>
        </is>
      </c>
    </row>
    <row r="6213" ht="15.75" customHeight="1" s="108">
      <c r="A6213" s="18" t="inlineStr">
        <is>
          <t>Randy Pausch</t>
        </is>
      </c>
      <c r="B6213" s="18" t="n">
        <v>1</v>
      </c>
      <c r="C6213" s="18" t="n">
        <v>2009</v>
      </c>
      <c r="D6213" s="18" t="n">
        <v>2009</v>
      </c>
      <c r="E6213" s="18" t="inlineStr">
        <is>
          <t>Star Trek</t>
        </is>
      </c>
      <c r="F6213" s="18" t="inlineStr">
        <is>
          <t>F0291</t>
        </is>
      </c>
    </row>
    <row r="6214" ht="15.75" customHeight="1" s="108">
      <c r="A6214" s="18" t="inlineStr">
        <is>
          <t>Freda Foh Shen</t>
        </is>
      </c>
      <c r="B6214" s="18" t="n">
        <v>1</v>
      </c>
      <c r="C6214" s="18" t="n">
        <v>2009</v>
      </c>
      <c r="D6214" s="18" t="n">
        <v>2009</v>
      </c>
      <c r="E6214" s="18" t="inlineStr">
        <is>
          <t>Star Trek</t>
        </is>
      </c>
      <c r="F6214" s="18" t="inlineStr">
        <is>
          <t>F0291</t>
        </is>
      </c>
    </row>
    <row r="6215" ht="15.75" customHeight="1" s="108">
      <c r="A6215" s="18" t="inlineStr">
        <is>
          <t>Kasia Kowalczyk</t>
        </is>
      </c>
      <c r="B6215" s="18" t="n">
        <v>1</v>
      </c>
      <c r="C6215" s="18" t="n">
        <v>2009</v>
      </c>
      <c r="D6215" s="18" t="n">
        <v>2009</v>
      </c>
      <c r="E6215" s="18" t="inlineStr">
        <is>
          <t>Star Trek</t>
        </is>
      </c>
      <c r="F6215" s="18" t="inlineStr">
        <is>
          <t>F0291</t>
        </is>
      </c>
    </row>
    <row r="6216" ht="15.75" customHeight="1" s="108">
      <c r="A6216" s="18" t="inlineStr">
        <is>
          <t>Jason Brooks</t>
        </is>
      </c>
      <c r="B6216" s="18" t="n">
        <v>1</v>
      </c>
      <c r="C6216" s="18" t="n">
        <v>2009</v>
      </c>
      <c r="D6216" s="18" t="n">
        <v>2009</v>
      </c>
      <c r="E6216" s="18" t="inlineStr">
        <is>
          <t>Star Trek</t>
        </is>
      </c>
      <c r="F6216" s="18" t="inlineStr">
        <is>
          <t>F0291</t>
        </is>
      </c>
    </row>
    <row r="6217" ht="15.75" customHeight="1" s="108">
      <c r="A6217" s="18" t="inlineStr">
        <is>
          <t>Kelvin Yu</t>
        </is>
      </c>
      <c r="B6217" s="18" t="n">
        <v>1</v>
      </c>
      <c r="C6217" s="18" t="n">
        <v>2009</v>
      </c>
      <c r="D6217" s="18" t="n">
        <v>2009</v>
      </c>
      <c r="E6217" s="18" t="inlineStr">
        <is>
          <t>Star Trek</t>
        </is>
      </c>
      <c r="F6217" s="18" t="inlineStr">
        <is>
          <t>F0291</t>
        </is>
      </c>
    </row>
    <row r="6218" ht="15.75" customHeight="1" s="108">
      <c r="A6218" s="18" t="inlineStr">
        <is>
          <t>Marta Martin</t>
        </is>
      </c>
      <c r="B6218" s="18" t="n">
        <v>1</v>
      </c>
      <c r="C6218" s="18" t="n">
        <v>2009</v>
      </c>
      <c r="D6218" s="18" t="n">
        <v>2009</v>
      </c>
      <c r="E6218" s="18" t="inlineStr">
        <is>
          <t>Star Trek</t>
        </is>
      </c>
      <c r="F6218" s="18" t="inlineStr">
        <is>
          <t>F0291</t>
        </is>
      </c>
    </row>
    <row r="6219" ht="15.75" customHeight="1" s="108">
      <c r="A6219" s="18" t="inlineStr">
        <is>
          <t>Tavarus Conley</t>
        </is>
      </c>
      <c r="B6219" s="18" t="n">
        <v>1</v>
      </c>
      <c r="C6219" s="18" t="n">
        <v>2009</v>
      </c>
      <c r="D6219" s="18" t="n">
        <v>2009</v>
      </c>
      <c r="E6219" s="18" t="inlineStr">
        <is>
          <t>Star Trek</t>
        </is>
      </c>
      <c r="F6219" s="18" t="inlineStr">
        <is>
          <t>F0291</t>
        </is>
      </c>
    </row>
    <row r="6220" ht="15.75" customHeight="1" s="108">
      <c r="A6220" s="18" t="inlineStr">
        <is>
          <t>Jeff Castle</t>
        </is>
      </c>
      <c r="B6220" s="18" t="n">
        <v>1</v>
      </c>
      <c r="C6220" s="18" t="n">
        <v>2009</v>
      </c>
      <c r="D6220" s="18" t="n">
        <v>2009</v>
      </c>
      <c r="E6220" s="18" t="inlineStr">
        <is>
          <t>Star Trek</t>
        </is>
      </c>
      <c r="F6220" s="18" t="inlineStr">
        <is>
          <t>F0291</t>
        </is>
      </c>
    </row>
    <row r="6221" ht="15.75" customHeight="1" s="108">
      <c r="A6221" s="18" t="inlineStr">
        <is>
          <t>Billy Brown</t>
        </is>
      </c>
      <c r="B6221" s="18" t="n">
        <v>1</v>
      </c>
      <c r="C6221" s="18" t="n">
        <v>2009</v>
      </c>
      <c r="D6221" s="18" t="n">
        <v>2009</v>
      </c>
      <c r="E6221" s="18" t="inlineStr">
        <is>
          <t>Star Trek</t>
        </is>
      </c>
      <c r="F6221" s="18" t="inlineStr">
        <is>
          <t>F0291</t>
        </is>
      </c>
    </row>
    <row r="6222" ht="15.75" customHeight="1" s="108">
      <c r="A6222" s="18" t="inlineStr">
        <is>
          <t>Pernilla August</t>
        </is>
      </c>
      <c r="B6222" s="18" t="n">
        <v>2</v>
      </c>
      <c r="C6222" s="18" t="n">
        <v>1999</v>
      </c>
      <c r="D6222" s="18" t="n">
        <v>2002</v>
      </c>
      <c r="E6222" s="18" t="inlineStr">
        <is>
          <t>Star Wars: Episode I – The Phantom Menace, Star Wars: Episode II – Attack of the Clones</t>
        </is>
      </c>
      <c r="F6222" s="18" t="inlineStr">
        <is>
          <t>F0292, F0293</t>
        </is>
      </c>
    </row>
    <row r="6223" ht="15.75" customHeight="1" s="108">
      <c r="A6223" s="18" t="inlineStr">
        <is>
          <t>Oliver Ford Davies</t>
        </is>
      </c>
      <c r="B6223" s="18" t="n">
        <v>3</v>
      </c>
      <c r="C6223" s="18" t="n">
        <v>1999</v>
      </c>
      <c r="D6223" s="18" t="n">
        <v>2005</v>
      </c>
      <c r="E6223" s="18" t="inlineStr">
        <is>
          <t>Star Wars: Episode I – The Phantom Menace, Star Wars: Episode II – Attack of the Clones, Star Wars: Episode III – Revenge of the Sith</t>
        </is>
      </c>
      <c r="F6223" s="18" t="inlineStr">
        <is>
          <t>F0292, F0293, F0294</t>
        </is>
      </c>
    </row>
    <row r="6224" ht="15.75" customHeight="1" s="108">
      <c r="A6224" s="18" t="inlineStr">
        <is>
          <t>Hugh Quarshie</t>
        </is>
      </c>
      <c r="B6224" s="18" t="n">
        <v>1</v>
      </c>
      <c r="C6224" s="18" t="n">
        <v>1999</v>
      </c>
      <c r="D6224" s="18" t="n">
        <v>1999</v>
      </c>
      <c r="E6224" s="18" t="inlineStr">
        <is>
          <t>Star Wars: Episode I – The Phantom Menace</t>
        </is>
      </c>
      <c r="F6224" s="18" t="inlineStr">
        <is>
          <t>F0292</t>
        </is>
      </c>
    </row>
    <row r="6225" ht="15.75" customHeight="1" s="108">
      <c r="A6225" s="18" t="inlineStr">
        <is>
          <t>Ahmed Best</t>
        </is>
      </c>
      <c r="B6225" s="18" t="n">
        <v>3</v>
      </c>
      <c r="C6225" s="18" t="n">
        <v>1999</v>
      </c>
      <c r="D6225" s="18" t="n">
        <v>2005</v>
      </c>
      <c r="E6225" s="18" t="inlineStr">
        <is>
          <t>Star Wars: Episode I – The Phantom Menace, Star Wars: Episode II – Attack of the Clones, Star Wars: Episode III – Revenge of the Sith</t>
        </is>
      </c>
      <c r="F6225" s="18" t="inlineStr">
        <is>
          <t>F0292, F0293, F0294</t>
        </is>
      </c>
    </row>
    <row r="6226" ht="15.75" customHeight="1" s="108">
      <c r="A6226" s="18" t="inlineStr">
        <is>
          <t>Kenny Baker</t>
        </is>
      </c>
      <c r="B6226" s="18" t="n">
        <v>5</v>
      </c>
      <c r="C6226" s="18" t="n">
        <v>1977</v>
      </c>
      <c r="D6226" s="18" t="n">
        <v>2005</v>
      </c>
      <c r="E6226" s="18" t="inlineStr">
        <is>
          <t>Star Wars: Episode I – The Phantom Menace, Star Wars: Episode III – Revenge of the Sith, Star Wars: Episode IV – A New Hope, Star Wars: Episode V – The Empire Strikes Back, Star Wars: Episode VI – Return of the Jedi</t>
        </is>
      </c>
      <c r="F6226" s="18" t="inlineStr">
        <is>
          <t>F0292, F0294, F0295, F0296, F0297</t>
        </is>
      </c>
    </row>
    <row r="6227" ht="15.75" customHeight="1" s="108">
      <c r="A6227" s="18" t="inlineStr">
        <is>
          <t>Terence Stamp</t>
        </is>
      </c>
      <c r="B6227" s="18" t="n">
        <v>1</v>
      </c>
      <c r="C6227" s="18" t="n">
        <v>1999</v>
      </c>
      <c r="D6227" s="18" t="n">
        <v>1999</v>
      </c>
      <c r="E6227" s="18" t="inlineStr">
        <is>
          <t>Star Wars: Episode I – The Phantom Menace</t>
        </is>
      </c>
      <c r="F6227" s="18" t="inlineStr">
        <is>
          <t>F0292</t>
        </is>
      </c>
    </row>
    <row r="6228" ht="15.75" customHeight="1" s="108">
      <c r="A6228" s="18" t="inlineStr">
        <is>
          <t>Brian Blessed</t>
        </is>
      </c>
      <c r="B6228" s="18" t="n">
        <v>1</v>
      </c>
      <c r="C6228" s="18" t="n">
        <v>1999</v>
      </c>
      <c r="D6228" s="18" t="n">
        <v>1999</v>
      </c>
      <c r="E6228" s="18" t="inlineStr">
        <is>
          <t>Star Wars: Episode I – The Phantom Menace</t>
        </is>
      </c>
      <c r="F6228" s="18" t="inlineStr">
        <is>
          <t>F0292</t>
        </is>
      </c>
    </row>
    <row r="6229" ht="15.75" customHeight="1" s="108">
      <c r="A6229" s="18" t="inlineStr">
        <is>
          <t>Andy Secombe</t>
        </is>
      </c>
      <c r="B6229" s="18" t="n">
        <v>2</v>
      </c>
      <c r="C6229" s="18" t="n">
        <v>1999</v>
      </c>
      <c r="D6229" s="18" t="n">
        <v>2002</v>
      </c>
      <c r="E6229" s="18" t="inlineStr">
        <is>
          <t>Star Wars: Episode I – The Phantom Menace, Star Wars: Episode II – Attack of the Clones</t>
        </is>
      </c>
      <c r="F6229" s="18" t="inlineStr">
        <is>
          <t>F0292, F0293</t>
        </is>
      </c>
    </row>
    <row r="6230" ht="15.75" customHeight="1" s="108">
      <c r="A6230" s="18" t="inlineStr">
        <is>
          <t>Lewis Macleod</t>
        </is>
      </c>
      <c r="B6230" s="18" t="n">
        <v>1</v>
      </c>
      <c r="C6230" s="18" t="n">
        <v>1999</v>
      </c>
      <c r="D6230" s="18" t="n">
        <v>1999</v>
      </c>
      <c r="E6230" s="18" t="inlineStr">
        <is>
          <t>Star Wars: Episode I – The Phantom Menace</t>
        </is>
      </c>
      <c r="F6230" s="18" t="inlineStr">
        <is>
          <t>F0292</t>
        </is>
      </c>
    </row>
    <row r="6231" ht="15.75" customHeight="1" s="108">
      <c r="A6231" s="18" t="inlineStr">
        <is>
          <t>Steve Speirs</t>
        </is>
      </c>
      <c r="B6231" s="18" t="n">
        <v>1</v>
      </c>
      <c r="C6231" s="18" t="n">
        <v>1999</v>
      </c>
      <c r="D6231" s="18" t="n">
        <v>1999</v>
      </c>
      <c r="E6231" s="18" t="inlineStr">
        <is>
          <t>Star Wars: Episode I – The Phantom Menace</t>
        </is>
      </c>
      <c r="F6231" s="18" t="inlineStr">
        <is>
          <t>F0292</t>
        </is>
      </c>
    </row>
    <row r="6232" ht="15.75" customHeight="1" s="108">
      <c r="A6232" s="18" t="inlineStr">
        <is>
          <t>Silas Carson</t>
        </is>
      </c>
      <c r="B6232" s="18" t="n">
        <v>3</v>
      </c>
      <c r="C6232" s="18" t="n">
        <v>1999</v>
      </c>
      <c r="D6232" s="18" t="n">
        <v>2005</v>
      </c>
      <c r="E6232" s="18" t="inlineStr">
        <is>
          <t>Star Wars: Episode I – The Phantom Menace, Star Wars: Episode II – Attack of the Clones, Star Wars: Episode III – Revenge of the Sith</t>
        </is>
      </c>
      <c r="F6232" s="18" t="inlineStr">
        <is>
          <t>F0292, F0293, F0294</t>
        </is>
      </c>
    </row>
    <row r="6233" ht="15.75" customHeight="1" s="108">
      <c r="A6233" s="18" t="inlineStr">
        <is>
          <t>Jerome St. John Blake</t>
        </is>
      </c>
      <c r="B6233" s="18" t="n">
        <v>1</v>
      </c>
      <c r="C6233" s="18" t="n">
        <v>1999</v>
      </c>
      <c r="D6233" s="18" t="n">
        <v>1999</v>
      </c>
      <c r="E6233" s="18" t="inlineStr">
        <is>
          <t>Star Wars: Episode I – The Phantom Menace</t>
        </is>
      </c>
      <c r="F6233" s="18" t="inlineStr">
        <is>
          <t>F0292</t>
        </is>
      </c>
    </row>
    <row r="6234" ht="15.75" customHeight="1" s="108">
      <c r="A6234" s="18" t="inlineStr">
        <is>
          <t>Alan Ruscoe</t>
        </is>
      </c>
      <c r="B6234" s="18" t="n">
        <v>2</v>
      </c>
      <c r="C6234" s="18" t="n">
        <v>1999</v>
      </c>
      <c r="D6234" s="18" t="n">
        <v>2002</v>
      </c>
      <c r="E6234" s="18" t="inlineStr">
        <is>
          <t>Star Wars: Episode I – The Phantom Menace, Star Wars: Episode II – Attack of the Clones</t>
        </is>
      </c>
      <c r="F6234" s="18" t="inlineStr">
        <is>
          <t>F0292, F0293</t>
        </is>
      </c>
    </row>
    <row r="6235" ht="15.75" customHeight="1" s="108">
      <c r="A6235" s="18" t="inlineStr">
        <is>
          <t>Celia Imrie</t>
        </is>
      </c>
      <c r="B6235" s="18" t="n">
        <v>1</v>
      </c>
      <c r="C6235" s="18" t="n">
        <v>1999</v>
      </c>
      <c r="D6235" s="18" t="n">
        <v>1999</v>
      </c>
      <c r="E6235" s="18" t="inlineStr">
        <is>
          <t>Star Wars: Episode I – The Phantom Menace</t>
        </is>
      </c>
      <c r="F6235" s="18" t="inlineStr">
        <is>
          <t>F0292</t>
        </is>
      </c>
    </row>
    <row r="6236" ht="15.75" customHeight="1" s="108">
      <c r="A6236" s="18" t="inlineStr">
        <is>
          <t>Benedict Taylor</t>
        </is>
      </c>
      <c r="B6236" s="18" t="n">
        <v>1</v>
      </c>
      <c r="C6236" s="18" t="n">
        <v>1999</v>
      </c>
      <c r="D6236" s="18" t="n">
        <v>1999</v>
      </c>
      <c r="E6236" s="18" t="inlineStr">
        <is>
          <t>Star Wars: Episode I – The Phantom Menace</t>
        </is>
      </c>
      <c r="F6236" s="18" t="inlineStr">
        <is>
          <t>F0292</t>
        </is>
      </c>
    </row>
    <row r="6237" ht="15.75" customHeight="1" s="108">
      <c r="A6237" s="18" t="inlineStr">
        <is>
          <t>Clarence Smith</t>
        </is>
      </c>
      <c r="B6237" s="18" t="n">
        <v>1</v>
      </c>
      <c r="C6237" s="18" t="n">
        <v>1999</v>
      </c>
      <c r="D6237" s="18" t="n">
        <v>1999</v>
      </c>
      <c r="E6237" s="18" t="inlineStr">
        <is>
          <t>Star Wars: Episode I – The Phantom Menace</t>
        </is>
      </c>
      <c r="F6237" s="18" t="inlineStr">
        <is>
          <t>F0292</t>
        </is>
      </c>
    </row>
    <row r="6238" ht="15.75" customHeight="1" s="108">
      <c r="A6238" s="18" t="inlineStr">
        <is>
          <t>Karol Cristina da Silva</t>
        </is>
      </c>
      <c r="B6238" s="18" t="n">
        <v>1</v>
      </c>
      <c r="C6238" s="18" t="n">
        <v>1999</v>
      </c>
      <c r="D6238" s="18" t="n">
        <v>1999</v>
      </c>
      <c r="E6238" s="18" t="inlineStr">
        <is>
          <t>Star Wars: Episode I – The Phantom Menace</t>
        </is>
      </c>
      <c r="F6238" s="18" t="inlineStr">
        <is>
          <t>F0292</t>
        </is>
      </c>
    </row>
    <row r="6239" ht="15.75" customHeight="1" s="108">
      <c r="A6239" s="18" t="inlineStr">
        <is>
          <t>Liz Wilson</t>
        </is>
      </c>
      <c r="B6239" s="18" t="n">
        <v>1</v>
      </c>
      <c r="C6239" s="18" t="n">
        <v>1999</v>
      </c>
      <c r="D6239" s="18" t="n">
        <v>1999</v>
      </c>
      <c r="E6239" s="18" t="inlineStr">
        <is>
          <t>Star Wars: Episode I – The Phantom Menace</t>
        </is>
      </c>
      <c r="F6239" s="18" t="inlineStr">
        <is>
          <t>F0292</t>
        </is>
      </c>
    </row>
    <row r="6240" ht="15.75" customHeight="1" s="108">
      <c r="A6240" s="18" t="inlineStr">
        <is>
          <t>Jimmy Smits</t>
        </is>
      </c>
      <c r="B6240" s="18" t="n">
        <v>3</v>
      </c>
      <c r="C6240" s="18" t="n">
        <v>2002</v>
      </c>
      <c r="D6240" s="18" t="n">
        <v>2016</v>
      </c>
      <c r="E6240" s="18" t="inlineStr">
        <is>
          <t>Star Wars: Episode II – Attack of the Clones, Star Wars: Episode III – Revenge of the Sith, Rogue one</t>
        </is>
      </c>
      <c r="F6240" s="18" t="inlineStr">
        <is>
          <t>F0293, F0294, F0385</t>
        </is>
      </c>
    </row>
    <row r="6241" ht="15.75" customHeight="1" s="108">
      <c r="A6241" s="18" t="inlineStr">
        <is>
          <t>Leeanna Walsman</t>
        </is>
      </c>
      <c r="B6241" s="18" t="n">
        <v>1</v>
      </c>
      <c r="C6241" s="18" t="n">
        <v>2002</v>
      </c>
      <c r="D6241" s="18" t="n">
        <v>2002</v>
      </c>
      <c r="E6241" s="18" t="inlineStr">
        <is>
          <t>Star Wars: Episode II – Attack of the Clones</t>
        </is>
      </c>
      <c r="F6241" s="18" t="inlineStr">
        <is>
          <t>F0293</t>
        </is>
      </c>
    </row>
    <row r="6242" ht="15.75" customHeight="1" s="108">
      <c r="A6242" s="18" t="inlineStr">
        <is>
          <t>Ron Falk</t>
        </is>
      </c>
      <c r="B6242" s="18" t="n">
        <v>1</v>
      </c>
      <c r="C6242" s="18" t="n">
        <v>2002</v>
      </c>
      <c r="D6242" s="18" t="n">
        <v>2002</v>
      </c>
      <c r="E6242" s="18" t="inlineStr">
        <is>
          <t>Star Wars: Episode II – Attack of the Clones</t>
        </is>
      </c>
      <c r="F6242" s="18" t="inlineStr">
        <is>
          <t>F0293</t>
        </is>
      </c>
    </row>
    <row r="6243" ht="15.75" customHeight="1" s="108">
      <c r="A6243" s="18" t="inlineStr">
        <is>
          <t>Jay Laga'aia</t>
        </is>
      </c>
      <c r="B6243" s="18" t="n">
        <v>2</v>
      </c>
      <c r="C6243" s="18" t="n">
        <v>2002</v>
      </c>
      <c r="D6243" s="18" t="n">
        <v>2005</v>
      </c>
      <c r="E6243" s="18" t="inlineStr">
        <is>
          <t>Star Wars: Episode II – Attack of the Clones, Star Wars: Episode III – Revenge of the Sith</t>
        </is>
      </c>
      <c r="F6243" s="18" t="inlineStr">
        <is>
          <t>F0293, F0294</t>
        </is>
      </c>
    </row>
    <row r="6244" ht="15.75" customHeight="1" s="108">
      <c r="A6244" s="18" t="inlineStr">
        <is>
          <t>Ayesha Dharker</t>
        </is>
      </c>
      <c r="B6244" s="18" t="n">
        <v>1</v>
      </c>
      <c r="C6244" s="18" t="n">
        <v>2002</v>
      </c>
      <c r="D6244" s="18" t="n">
        <v>2002</v>
      </c>
      <c r="E6244" s="18" t="inlineStr">
        <is>
          <t>Star Wars: Episode II – Attack of the Clones</t>
        </is>
      </c>
      <c r="F6244" s="18" t="inlineStr">
        <is>
          <t>F0293</t>
        </is>
      </c>
    </row>
    <row r="6245" ht="15.75" customHeight="1" s="108">
      <c r="A6245" s="18" t="inlineStr">
        <is>
          <t>Daniel Logan</t>
        </is>
      </c>
      <c r="B6245" s="18" t="n">
        <v>1</v>
      </c>
      <c r="C6245" s="18" t="n">
        <v>2002</v>
      </c>
      <c r="D6245" s="18" t="n">
        <v>2002</v>
      </c>
      <c r="E6245" s="18" t="inlineStr">
        <is>
          <t>Star Wars: Episode II – Attack of the Clones</t>
        </is>
      </c>
      <c r="F6245" s="18" t="inlineStr">
        <is>
          <t>F0293</t>
        </is>
      </c>
    </row>
    <row r="6246" ht="15.75" customHeight="1" s="108">
      <c r="A6246" s="18" t="inlineStr">
        <is>
          <t>Bonnie Piesse</t>
        </is>
      </c>
      <c r="B6246" s="18" t="n">
        <v>2</v>
      </c>
      <c r="C6246" s="18" t="n">
        <v>2002</v>
      </c>
      <c r="D6246" s="18" t="n">
        <v>2005</v>
      </c>
      <c r="E6246" s="18" t="inlineStr">
        <is>
          <t>Star Wars: Episode II – Attack of the Clones, Star Wars: Episode III – Revenge of the Sith</t>
        </is>
      </c>
      <c r="F6246" s="18" t="inlineStr">
        <is>
          <t>F0293, F0294</t>
        </is>
      </c>
    </row>
    <row r="6247" ht="15.75" customHeight="1" s="108">
      <c r="A6247" s="18" t="inlineStr">
        <is>
          <t>Anthony Phelan</t>
        </is>
      </c>
      <c r="B6247" s="18" t="n">
        <v>1</v>
      </c>
      <c r="C6247" s="18" t="n">
        <v>2002</v>
      </c>
      <c r="D6247" s="18" t="n">
        <v>2002</v>
      </c>
      <c r="E6247" s="18" t="inlineStr">
        <is>
          <t>Star Wars: Episode II – Attack of the Clones</t>
        </is>
      </c>
      <c r="F6247" s="18" t="inlineStr">
        <is>
          <t>F0293</t>
        </is>
      </c>
    </row>
    <row r="6248" ht="15.75" customHeight="1" s="108">
      <c r="A6248" s="18" t="inlineStr">
        <is>
          <t>Rena Owen</t>
        </is>
      </c>
      <c r="B6248" s="18" t="n">
        <v>1</v>
      </c>
      <c r="C6248" s="18" t="n">
        <v>2002</v>
      </c>
      <c r="D6248" s="18" t="n">
        <v>2002</v>
      </c>
      <c r="E6248" s="18" t="inlineStr">
        <is>
          <t>Star Wars: Episode II – Attack of the Clones</t>
        </is>
      </c>
      <c r="F6248" s="18" t="inlineStr">
        <is>
          <t>F0293</t>
        </is>
      </c>
    </row>
    <row r="6249" ht="15.75" customHeight="1" s="108">
      <c r="A6249" s="18" t="inlineStr">
        <is>
          <t>Alethea McGrath</t>
        </is>
      </c>
      <c r="B6249" s="18" t="n">
        <v>1</v>
      </c>
      <c r="C6249" s="18" t="n">
        <v>2002</v>
      </c>
      <c r="D6249" s="18" t="n">
        <v>2002</v>
      </c>
      <c r="E6249" s="18" t="inlineStr">
        <is>
          <t>Star Wars: Episode II – Attack of the Clones</t>
        </is>
      </c>
      <c r="F6249" s="18" t="inlineStr">
        <is>
          <t>F0293</t>
        </is>
      </c>
    </row>
    <row r="6250" ht="15.75" customHeight="1" s="108">
      <c r="A6250" s="18" t="inlineStr">
        <is>
          <t>Susie Porter</t>
        </is>
      </c>
      <c r="B6250" s="18" t="n">
        <v>1</v>
      </c>
      <c r="C6250" s="18" t="n">
        <v>2002</v>
      </c>
      <c r="D6250" s="18" t="n">
        <v>2002</v>
      </c>
      <c r="E6250" s="18" t="inlineStr">
        <is>
          <t>Star Wars: Episode II – Attack of the Clones</t>
        </is>
      </c>
      <c r="F6250" s="18" t="inlineStr">
        <is>
          <t>F0293</t>
        </is>
      </c>
    </row>
    <row r="6251" ht="15.75" customHeight="1" s="108">
      <c r="A6251" s="18" t="inlineStr">
        <is>
          <t>Keisha Castle-Hughes</t>
        </is>
      </c>
      <c r="B6251" s="18" t="n">
        <v>1</v>
      </c>
      <c r="C6251" s="18" t="n">
        <v>2005</v>
      </c>
      <c r="D6251" s="18" t="n">
        <v>2005</v>
      </c>
      <c r="E6251" s="18" t="inlineStr">
        <is>
          <t>Star Wars: Episode III – Revenge of the Sith</t>
        </is>
      </c>
      <c r="F6251" s="18" t="inlineStr">
        <is>
          <t>F0294</t>
        </is>
      </c>
    </row>
    <row r="6252" ht="15.75" customHeight="1" s="108">
      <c r="A6252" s="18" t="inlineStr">
        <is>
          <t>Wayne Pygram</t>
        </is>
      </c>
      <c r="B6252" s="18" t="n">
        <v>1</v>
      </c>
      <c r="C6252" s="18" t="n">
        <v>2005</v>
      </c>
      <c r="D6252" s="18" t="n">
        <v>2005</v>
      </c>
      <c r="E6252" s="18" t="inlineStr">
        <is>
          <t>Star Wars: Episode III – Revenge of the Sith</t>
        </is>
      </c>
      <c r="F6252" s="18" t="inlineStr">
        <is>
          <t>F0294</t>
        </is>
      </c>
    </row>
    <row r="6253" ht="15.75" customHeight="1" s="108">
      <c r="A6253" s="18" t="inlineStr">
        <is>
          <t>Rohan Nichol</t>
        </is>
      </c>
      <c r="B6253" s="18" t="n">
        <v>1</v>
      </c>
      <c r="C6253" s="18" t="n">
        <v>2005</v>
      </c>
      <c r="D6253" s="18" t="n">
        <v>2005</v>
      </c>
      <c r="E6253" s="18" t="inlineStr">
        <is>
          <t>Star Wars: Episode III – Revenge of the Sith</t>
        </is>
      </c>
      <c r="F6253" s="18" t="inlineStr">
        <is>
          <t>F0294</t>
        </is>
      </c>
    </row>
    <row r="6254" ht="15.75" customHeight="1" s="108">
      <c r="A6254" s="18" t="inlineStr">
        <is>
          <t>Jeremy Bulloch</t>
        </is>
      </c>
      <c r="B6254" s="18" t="n">
        <v>3</v>
      </c>
      <c r="C6254" s="18" t="n">
        <v>1980</v>
      </c>
      <c r="D6254" s="18" t="n">
        <v>2005</v>
      </c>
      <c r="E6254" s="18" t="inlineStr">
        <is>
          <t>Star Wars: Episode III – Revenge of the Sith, Star Wars: Episode V – The Empire Strikes Back, Star Wars: Episode VI – Return of the Jedi</t>
        </is>
      </c>
      <c r="F6254" s="18" t="inlineStr">
        <is>
          <t>F0294, F0296, F0297</t>
        </is>
      </c>
    </row>
    <row r="6255" ht="15.75" customHeight="1" s="108">
      <c r="A6255" s="18" t="inlineStr">
        <is>
          <t>Amanda Lucas</t>
        </is>
      </c>
      <c r="B6255" s="18" t="n">
        <v>1</v>
      </c>
      <c r="C6255" s="18" t="n">
        <v>2005</v>
      </c>
      <c r="D6255" s="18" t="n">
        <v>2005</v>
      </c>
      <c r="E6255" s="18" t="inlineStr">
        <is>
          <t>Star Wars: Episode III – Revenge of the Sith</t>
        </is>
      </c>
      <c r="F6255" s="18" t="inlineStr">
        <is>
          <t>F0294</t>
        </is>
      </c>
    </row>
    <row r="6256" ht="15.75" customHeight="1" s="108">
      <c r="A6256" s="18" t="inlineStr">
        <is>
          <t>Peter Mayhew</t>
        </is>
      </c>
      <c r="B6256" s="18" t="n">
        <v>5</v>
      </c>
      <c r="C6256" s="18" t="n">
        <v>1977</v>
      </c>
      <c r="D6256" s="18" t="n">
        <v>2015</v>
      </c>
      <c r="E6256" s="18" t="inlineStr">
        <is>
          <t>Star Wars: Episode III – Revenge of the Sith, Star Wars: Episode IV – A New Hope, Star Wars: Episode V – The Empire Strikes Back, Star Wars: Episode VI – Return of the Jedi, Star Wars: The Force Awakens</t>
        </is>
      </c>
      <c r="F6256" s="18" t="inlineStr">
        <is>
          <t>F0294, F0295, F0296, F0297, F0298</t>
        </is>
      </c>
    </row>
    <row r="6257" ht="15.75" customHeight="1" s="108">
      <c r="A6257" s="18" t="inlineStr">
        <is>
          <t>Rebecca Jackson Mendoza</t>
        </is>
      </c>
      <c r="B6257" s="18" t="n">
        <v>1</v>
      </c>
      <c r="C6257" s="18" t="n">
        <v>2005</v>
      </c>
      <c r="D6257" s="18" t="n">
        <v>2005</v>
      </c>
      <c r="E6257" s="18" t="inlineStr">
        <is>
          <t>Star Wars: Episode III – Revenge of the Sith</t>
        </is>
      </c>
      <c r="F6257" s="18" t="inlineStr">
        <is>
          <t>F0294</t>
        </is>
      </c>
    </row>
    <row r="6258" ht="15.75" customHeight="1" s="108">
      <c r="A6258" s="18" t="inlineStr">
        <is>
          <t>Jett Lucas</t>
        </is>
      </c>
      <c r="B6258" s="18" t="n">
        <v>1</v>
      </c>
      <c r="C6258" s="18" t="n">
        <v>2005</v>
      </c>
      <c r="D6258" s="18" t="n">
        <v>2005</v>
      </c>
      <c r="E6258" s="18" t="inlineStr">
        <is>
          <t>Star Wars: Episode III – Revenge of the Sith</t>
        </is>
      </c>
      <c r="F6258" s="18" t="inlineStr">
        <is>
          <t>F0294</t>
        </is>
      </c>
    </row>
    <row r="6259" ht="15.75" customHeight="1" s="108">
      <c r="A6259" s="18" t="inlineStr">
        <is>
          <t>Tux Akindoyeni</t>
        </is>
      </c>
      <c r="B6259" s="18" t="n">
        <v>1</v>
      </c>
      <c r="C6259" s="18" t="n">
        <v>2005</v>
      </c>
      <c r="D6259" s="18" t="n">
        <v>2005</v>
      </c>
      <c r="E6259" s="18" t="inlineStr">
        <is>
          <t>Star Wars: Episode III – Revenge of the Sith</t>
        </is>
      </c>
      <c r="F6259" s="18" t="inlineStr">
        <is>
          <t>F0294</t>
        </is>
      </c>
    </row>
    <row r="6260" ht="15.75" customHeight="1" s="108">
      <c r="A6260" s="18" t="inlineStr">
        <is>
          <t>Matt Rowan</t>
        </is>
      </c>
      <c r="B6260" s="18" t="n">
        <v>1</v>
      </c>
      <c r="C6260" s="18" t="n">
        <v>2005</v>
      </c>
      <c r="D6260" s="18" t="n">
        <v>2005</v>
      </c>
      <c r="E6260" s="18" t="inlineStr">
        <is>
          <t>Star Wars: Episode III – Revenge of the Sith</t>
        </is>
      </c>
      <c r="F6260" s="18" t="inlineStr">
        <is>
          <t>F0294</t>
        </is>
      </c>
    </row>
    <row r="6261" ht="15.75" customHeight="1" s="108">
      <c r="A6261" s="18" t="inlineStr">
        <is>
          <t>Kenji Oates</t>
        </is>
      </c>
      <c r="B6261" s="18" t="n">
        <v>1</v>
      </c>
      <c r="C6261" s="18" t="n">
        <v>2005</v>
      </c>
      <c r="D6261" s="18" t="n">
        <v>2005</v>
      </c>
      <c r="E6261" s="18" t="inlineStr">
        <is>
          <t>Star Wars: Episode III – Revenge of the Sith</t>
        </is>
      </c>
      <c r="F6261" s="18" t="inlineStr">
        <is>
          <t>F0294</t>
        </is>
      </c>
    </row>
    <row r="6262" ht="15.75" customHeight="1" s="108">
      <c r="A6262" s="18" t="inlineStr">
        <is>
          <t>David Prowse</t>
        </is>
      </c>
      <c r="B6262" s="18" t="n">
        <v>3</v>
      </c>
      <c r="C6262" s="18" t="n">
        <v>1977</v>
      </c>
      <c r="D6262" s="18" t="n">
        <v>1983</v>
      </c>
      <c r="E6262" s="18" t="inlineStr">
        <is>
          <t>Star Wars: Episode IV – A New Hope, Star Wars: Episode V – The Empire Strikes Back, Star Wars: Episode VI – Return of the Jedi</t>
        </is>
      </c>
      <c r="F6262" s="18" t="inlineStr">
        <is>
          <t>F0295, F0296, F0297</t>
        </is>
      </c>
    </row>
    <row r="6263" ht="15.75" customHeight="1" s="108">
      <c r="A6263" s="18" t="inlineStr">
        <is>
          <t>Phil Brown</t>
        </is>
      </c>
      <c r="B6263" s="18" t="n">
        <v>1</v>
      </c>
      <c r="C6263" s="18" t="n">
        <v>1977</v>
      </c>
      <c r="D6263" s="18" t="n">
        <v>1977</v>
      </c>
      <c r="E6263" s="18" t="inlineStr">
        <is>
          <t>Star Wars: Episode IV – A New Hope</t>
        </is>
      </c>
      <c r="F6263" s="18" t="inlineStr">
        <is>
          <t>F0295</t>
        </is>
      </c>
    </row>
    <row r="6264" ht="15.75" customHeight="1" s="108">
      <c r="A6264" s="18" t="inlineStr">
        <is>
          <t>Shelagh Fraser</t>
        </is>
      </c>
      <c r="B6264" s="18" t="n">
        <v>1</v>
      </c>
      <c r="C6264" s="18" t="n">
        <v>1977</v>
      </c>
      <c r="D6264" s="18" t="n">
        <v>1977</v>
      </c>
      <c r="E6264" s="18" t="inlineStr">
        <is>
          <t>Star Wars: Episode IV – A New Hope</t>
        </is>
      </c>
      <c r="F6264" s="18" t="inlineStr">
        <is>
          <t>F0295</t>
        </is>
      </c>
    </row>
    <row r="6265" ht="15.75" customHeight="1" s="108">
      <c r="A6265" s="18" t="inlineStr">
        <is>
          <t>Jack Purvis</t>
        </is>
      </c>
      <c r="B6265" s="18" t="n">
        <v>3</v>
      </c>
      <c r="C6265" s="18" t="n">
        <v>1977</v>
      </c>
      <c r="D6265" s="18" t="n">
        <v>1983</v>
      </c>
      <c r="E6265" s="18" t="inlineStr">
        <is>
          <t>Star Wars: Episode IV – A New Hope, Star Wars: Episode V – The Empire Strikes Back, Star Wars: Episode VI – Return of the Jedi</t>
        </is>
      </c>
      <c r="F6265" s="18" t="inlineStr">
        <is>
          <t>F0295, F0296, F0297</t>
        </is>
      </c>
    </row>
    <row r="6266" ht="15.75" customHeight="1" s="108">
      <c r="A6266" s="18" t="inlineStr">
        <is>
          <t>Alex McCrindle</t>
        </is>
      </c>
      <c r="B6266" s="18" t="n">
        <v>1</v>
      </c>
      <c r="C6266" s="18" t="n">
        <v>1977</v>
      </c>
      <c r="D6266" s="18" t="n">
        <v>1977</v>
      </c>
      <c r="E6266" s="18" t="inlineStr">
        <is>
          <t>Star Wars: Episode IV – A New Hope</t>
        </is>
      </c>
      <c r="F6266" s="18" t="inlineStr">
        <is>
          <t>F0295</t>
        </is>
      </c>
    </row>
    <row r="6267" ht="15.75" customHeight="1" s="108">
      <c r="A6267" s="18" t="inlineStr">
        <is>
          <t>Eddie Byrne</t>
        </is>
      </c>
      <c r="B6267" s="18" t="n">
        <v>1</v>
      </c>
      <c r="C6267" s="18" t="n">
        <v>1977</v>
      </c>
      <c r="D6267" s="18" t="n">
        <v>1977</v>
      </c>
      <c r="E6267" s="18" t="inlineStr">
        <is>
          <t>Star Wars: Episode IV – A New Hope</t>
        </is>
      </c>
      <c r="F6267" s="18" t="inlineStr">
        <is>
          <t>F0295</t>
        </is>
      </c>
    </row>
    <row r="6268" ht="15.75" customHeight="1" s="108">
      <c r="A6268" s="18" t="inlineStr">
        <is>
          <t>Drewe Henley</t>
        </is>
      </c>
      <c r="B6268" s="18" t="n">
        <v>1</v>
      </c>
      <c r="C6268" s="18" t="n">
        <v>1977</v>
      </c>
      <c r="D6268" s="18" t="n">
        <v>1977</v>
      </c>
      <c r="E6268" s="18" t="inlineStr">
        <is>
          <t>Star Wars: Episode IV – A New Hope</t>
        </is>
      </c>
      <c r="F6268" s="18" t="inlineStr">
        <is>
          <t>F0295</t>
        </is>
      </c>
    </row>
    <row r="6269" ht="15.75" customHeight="1" s="108">
      <c r="A6269" s="18" t="inlineStr">
        <is>
          <t>Denis Lawson</t>
        </is>
      </c>
      <c r="B6269" s="18" t="n">
        <v>3</v>
      </c>
      <c r="C6269" s="18" t="n">
        <v>1977</v>
      </c>
      <c r="D6269" s="18" t="n">
        <v>1983</v>
      </c>
      <c r="E6269" s="18" t="inlineStr">
        <is>
          <t>Star Wars: Episode IV – A New Hope, Star Wars: Episode V – The Empire Strikes Back, Star Wars: Episode VI – Return of the Jedi</t>
        </is>
      </c>
      <c r="F6269" s="18" t="inlineStr">
        <is>
          <t>F0295, F0296, F0297</t>
        </is>
      </c>
    </row>
    <row r="6270" ht="15.75" customHeight="1" s="108">
      <c r="A6270" s="18" t="inlineStr">
        <is>
          <t>Jack Klaff</t>
        </is>
      </c>
      <c r="B6270" s="18" t="n">
        <v>1</v>
      </c>
      <c r="C6270" s="18" t="n">
        <v>1977</v>
      </c>
      <c r="D6270" s="18" t="n">
        <v>1977</v>
      </c>
      <c r="E6270" s="18" t="inlineStr">
        <is>
          <t>Star Wars: Episode IV – A New Hope</t>
        </is>
      </c>
      <c r="F6270" s="18" t="inlineStr">
        <is>
          <t>F0295</t>
        </is>
      </c>
    </row>
    <row r="6271" ht="15.75" customHeight="1" s="108">
      <c r="A6271" s="18" t="inlineStr">
        <is>
          <t>William Hootkins</t>
        </is>
      </c>
      <c r="B6271" s="18" t="n">
        <v>1</v>
      </c>
      <c r="C6271" s="18" t="n">
        <v>1977</v>
      </c>
      <c r="D6271" s="18" t="n">
        <v>1977</v>
      </c>
      <c r="E6271" s="18" t="inlineStr">
        <is>
          <t>Star Wars: Episode IV – A New Hope</t>
        </is>
      </c>
      <c r="F6271" s="18" t="inlineStr">
        <is>
          <t>F0295</t>
        </is>
      </c>
    </row>
    <row r="6272" ht="15.75" customHeight="1" s="108">
      <c r="A6272" s="18" t="inlineStr">
        <is>
          <t>Jeremy Sinden</t>
        </is>
      </c>
      <c r="B6272" s="18" t="n">
        <v>1</v>
      </c>
      <c r="C6272" s="18" t="n">
        <v>1977</v>
      </c>
      <c r="D6272" s="18" t="n">
        <v>1977</v>
      </c>
      <c r="E6272" s="18" t="inlineStr">
        <is>
          <t>Star Wars: Episode IV – A New Hope</t>
        </is>
      </c>
      <c r="F6272" s="18" t="inlineStr">
        <is>
          <t>F0295</t>
        </is>
      </c>
    </row>
    <row r="6273" ht="15.75" customHeight="1" s="108">
      <c r="A6273" s="18" t="inlineStr">
        <is>
          <t>Graham Ashley</t>
        </is>
      </c>
      <c r="B6273" s="18" t="n">
        <v>1</v>
      </c>
      <c r="C6273" s="18" t="n">
        <v>1977</v>
      </c>
      <c r="D6273" s="18" t="n">
        <v>1977</v>
      </c>
      <c r="E6273" s="18" t="inlineStr">
        <is>
          <t>Star Wars: Episode IV – A New Hope</t>
        </is>
      </c>
      <c r="F6273" s="18" t="inlineStr">
        <is>
          <t>F0295</t>
        </is>
      </c>
    </row>
    <row r="6274" ht="15.75" customHeight="1" s="108">
      <c r="A6274" s="18" t="inlineStr">
        <is>
          <t>Don Henderson</t>
        </is>
      </c>
      <c r="B6274" s="18" t="n">
        <v>1</v>
      </c>
      <c r="C6274" s="18" t="n">
        <v>1977</v>
      </c>
      <c r="D6274" s="18" t="n">
        <v>1977</v>
      </c>
      <c r="E6274" s="18" t="inlineStr">
        <is>
          <t>Star Wars: Episode IV – A New Hope</t>
        </is>
      </c>
      <c r="F6274" s="18" t="inlineStr">
        <is>
          <t>F0295</t>
        </is>
      </c>
    </row>
    <row r="6275" ht="15.75" customHeight="1" s="108">
      <c r="A6275" s="18" t="inlineStr">
        <is>
          <t>Richard LeParmentier</t>
        </is>
      </c>
      <c r="B6275" s="18" t="n">
        <v>1</v>
      </c>
      <c r="C6275" s="18" t="n">
        <v>1977</v>
      </c>
      <c r="D6275" s="18" t="n">
        <v>1977</v>
      </c>
      <c r="E6275" s="18" t="inlineStr">
        <is>
          <t>Star Wars: Episode IV – A New Hope</t>
        </is>
      </c>
      <c r="F6275" s="18" t="inlineStr">
        <is>
          <t>F0295</t>
        </is>
      </c>
    </row>
    <row r="6276" ht="15.75" customHeight="1" s="108">
      <c r="A6276" s="18" t="inlineStr">
        <is>
          <t>Leslie Schofield</t>
        </is>
      </c>
      <c r="B6276" s="18" t="n">
        <v>1</v>
      </c>
      <c r="C6276" s="18" t="n">
        <v>1977</v>
      </c>
      <c r="D6276" s="18" t="n">
        <v>1977</v>
      </c>
      <c r="E6276" s="18" t="inlineStr">
        <is>
          <t>Star Wars: Episode IV – A New Hope</t>
        </is>
      </c>
      <c r="F6276" s="18" t="inlineStr">
        <is>
          <t>F0295</t>
        </is>
      </c>
    </row>
    <row r="6277" ht="15.75" customHeight="1" s="108">
      <c r="A6277" s="18" t="inlineStr">
        <is>
          <t>Michael Leader</t>
        </is>
      </c>
      <c r="B6277" s="18" t="n">
        <v>1</v>
      </c>
      <c r="C6277" s="18" t="n">
        <v>1977</v>
      </c>
      <c r="D6277" s="18" t="n">
        <v>1977</v>
      </c>
      <c r="E6277" s="18" t="inlineStr">
        <is>
          <t>Star Wars: Episode IV – A New Hope</t>
        </is>
      </c>
      <c r="F6277" s="18" t="inlineStr">
        <is>
          <t>F0295</t>
        </is>
      </c>
    </row>
    <row r="6278" ht="15.75" customHeight="1" s="108">
      <c r="A6278" s="18" t="inlineStr">
        <is>
          <t>David Ankrum</t>
        </is>
      </c>
      <c r="B6278" s="18" t="n">
        <v>1</v>
      </c>
      <c r="C6278" s="18" t="n">
        <v>1977</v>
      </c>
      <c r="D6278" s="18" t="n">
        <v>1977</v>
      </c>
      <c r="E6278" s="18" t="inlineStr">
        <is>
          <t>Star Wars: Episode IV – A New Hope</t>
        </is>
      </c>
      <c r="F6278" s="18" t="inlineStr">
        <is>
          <t>F0295</t>
        </is>
      </c>
    </row>
    <row r="6279" ht="15.75" customHeight="1" s="108">
      <c r="A6279" s="18" t="inlineStr">
        <is>
          <t>Scott Beach</t>
        </is>
      </c>
      <c r="B6279" s="18" t="n">
        <v>1</v>
      </c>
      <c r="C6279" s="18" t="n">
        <v>1977</v>
      </c>
      <c r="D6279" s="18" t="n">
        <v>1977</v>
      </c>
      <c r="E6279" s="18" t="inlineStr">
        <is>
          <t>Star Wars: Episode IV – A New Hope</t>
        </is>
      </c>
      <c r="F6279" s="18" t="inlineStr">
        <is>
          <t>F0295</t>
        </is>
      </c>
    </row>
    <row r="6280" ht="15.75" customHeight="1" s="108">
      <c r="A6280" s="18" t="inlineStr">
        <is>
          <t>Lightning Bear</t>
        </is>
      </c>
      <c r="B6280" s="18" t="n">
        <v>1</v>
      </c>
      <c r="C6280" s="18" t="n">
        <v>1977</v>
      </c>
      <c r="D6280" s="18" t="n">
        <v>1977</v>
      </c>
      <c r="E6280" s="18" t="inlineStr">
        <is>
          <t>Star Wars: Episode IV – A New Hope</t>
        </is>
      </c>
      <c r="F6280" s="18" t="inlineStr">
        <is>
          <t>F0295</t>
        </is>
      </c>
    </row>
    <row r="6281" ht="15.75" customHeight="1" s="108">
      <c r="A6281" s="18" t="inlineStr">
        <is>
          <t>Jason Wingreen</t>
        </is>
      </c>
      <c r="B6281" s="18" t="n">
        <v>1</v>
      </c>
      <c r="C6281" s="18" t="n">
        <v>1980</v>
      </c>
      <c r="D6281" s="18" t="n">
        <v>1980</v>
      </c>
      <c r="E6281" s="18" t="inlineStr">
        <is>
          <t>Star Wars: Episode V – The Empire Strikes Back</t>
        </is>
      </c>
      <c r="F6281" s="18" t="inlineStr">
        <is>
          <t>F0296</t>
        </is>
      </c>
    </row>
    <row r="6282" ht="15.75" customHeight="1" s="108">
      <c r="A6282" s="18" t="inlineStr">
        <is>
          <t>John Hollis</t>
        </is>
      </c>
      <c r="B6282" s="18" t="n">
        <v>1</v>
      </c>
      <c r="C6282" s="18" t="n">
        <v>1980</v>
      </c>
      <c r="D6282" s="18" t="n">
        <v>1980</v>
      </c>
      <c r="E6282" s="18" t="inlineStr">
        <is>
          <t>Star Wars: Episode V – The Empire Strikes Back</t>
        </is>
      </c>
      <c r="F6282" s="18" t="inlineStr">
        <is>
          <t>F0296</t>
        </is>
      </c>
    </row>
    <row r="6283" ht="15.75" customHeight="1" s="108">
      <c r="A6283" s="18" t="inlineStr">
        <is>
          <t>Des Webb</t>
        </is>
      </c>
      <c r="B6283" s="18" t="n">
        <v>1</v>
      </c>
      <c r="C6283" s="18" t="n">
        <v>1980</v>
      </c>
      <c r="D6283" s="18" t="n">
        <v>1980</v>
      </c>
      <c r="E6283" s="18" t="inlineStr">
        <is>
          <t>Star Wars: Episode V – The Empire Strikes Back</t>
        </is>
      </c>
      <c r="F6283" s="18" t="inlineStr">
        <is>
          <t>F0296</t>
        </is>
      </c>
    </row>
    <row r="6284" ht="15.75" customHeight="1" s="108">
      <c r="A6284" s="18" t="inlineStr">
        <is>
          <t>Kathryn Mullen</t>
        </is>
      </c>
      <c r="B6284" s="18" t="n">
        <v>1</v>
      </c>
      <c r="C6284" s="18" t="n">
        <v>1980</v>
      </c>
      <c r="D6284" s="18" t="n">
        <v>1980</v>
      </c>
      <c r="E6284" s="18" t="inlineStr">
        <is>
          <t>Star Wars: Episode V – The Empire Strikes Back</t>
        </is>
      </c>
      <c r="F6284" s="18" t="inlineStr">
        <is>
          <t>F0296</t>
        </is>
      </c>
    </row>
    <row r="6285" ht="15.75" customHeight="1" s="108">
      <c r="A6285" s="18" t="inlineStr">
        <is>
          <t>Marjorie Eaton</t>
        </is>
      </c>
      <c r="B6285" s="18" t="n">
        <v>1</v>
      </c>
      <c r="C6285" s="18" t="n">
        <v>1980</v>
      </c>
      <c r="D6285" s="18" t="n">
        <v>1980</v>
      </c>
      <c r="E6285" s="18" t="inlineStr">
        <is>
          <t>Star Wars: Episode V – The Empire Strikes Back</t>
        </is>
      </c>
      <c r="F6285" s="18" t="inlineStr">
        <is>
          <t>F0296</t>
        </is>
      </c>
    </row>
    <row r="6286" ht="15.75" customHeight="1" s="108">
      <c r="A6286" s="18" t="inlineStr">
        <is>
          <t>Clive Revill</t>
        </is>
      </c>
      <c r="B6286" s="18" t="n">
        <v>2</v>
      </c>
      <c r="C6286" s="18" t="n">
        <v>1980</v>
      </c>
      <c r="D6286" s="18" t="n">
        <v>1986</v>
      </c>
      <c r="E6286" s="18" t="inlineStr">
        <is>
          <t>Star Wars: Episode V – The Empire Strikes Back, The Transformers: The Movie</t>
        </is>
      </c>
      <c r="F6286" s="18" t="inlineStr">
        <is>
          <t>F0296, F0322</t>
        </is>
      </c>
    </row>
    <row r="6287" ht="15.75" customHeight="1" s="108">
      <c r="A6287" s="18" t="inlineStr">
        <is>
          <t>Kenneth Colley</t>
        </is>
      </c>
      <c r="B6287" s="18" t="n">
        <v>2</v>
      </c>
      <c r="C6287" s="18" t="n">
        <v>1980</v>
      </c>
      <c r="D6287" s="18" t="n">
        <v>1983</v>
      </c>
      <c r="E6287" s="18" t="inlineStr">
        <is>
          <t>Star Wars: Episode V – The Empire Strikes Back, Star Wars: Episode VI – Return of the Jedi</t>
        </is>
      </c>
      <c r="F6287" s="18" t="inlineStr">
        <is>
          <t>F0296, F0297</t>
        </is>
      </c>
    </row>
    <row r="6288" ht="15.75" customHeight="1" s="108">
      <c r="A6288" s="18" t="inlineStr">
        <is>
          <t>Julian Glover</t>
        </is>
      </c>
      <c r="B6288" s="18" t="n">
        <v>1</v>
      </c>
      <c r="C6288" s="18" t="n">
        <v>1980</v>
      </c>
      <c r="D6288" s="18" t="n">
        <v>1980</v>
      </c>
      <c r="E6288" s="18" t="inlineStr">
        <is>
          <t>Star Wars: Episode V – The Empire Strikes Back</t>
        </is>
      </c>
      <c r="F6288" s="18" t="inlineStr">
        <is>
          <t>F0296</t>
        </is>
      </c>
    </row>
    <row r="6289" ht="15.75" customHeight="1" s="108">
      <c r="A6289" s="18" t="inlineStr">
        <is>
          <t>Michael Sheard</t>
        </is>
      </c>
      <c r="B6289" s="18" t="n">
        <v>1</v>
      </c>
      <c r="C6289" s="18" t="n">
        <v>1980</v>
      </c>
      <c r="D6289" s="18" t="n">
        <v>1980</v>
      </c>
      <c r="E6289" s="18" t="inlineStr">
        <is>
          <t>Star Wars: Episode V – The Empire Strikes Back</t>
        </is>
      </c>
      <c r="F6289" s="18" t="inlineStr">
        <is>
          <t>F0296</t>
        </is>
      </c>
    </row>
    <row r="6290" ht="15.75" customHeight="1" s="108">
      <c r="A6290" s="18" t="inlineStr">
        <is>
          <t>Michael Culver</t>
        </is>
      </c>
      <c r="B6290" s="18" t="n">
        <v>1</v>
      </c>
      <c r="C6290" s="18" t="n">
        <v>1980</v>
      </c>
      <c r="D6290" s="18" t="n">
        <v>1980</v>
      </c>
      <c r="E6290" s="18" t="inlineStr">
        <is>
          <t>Star Wars: Episode V – The Empire Strikes Back</t>
        </is>
      </c>
      <c r="F6290" s="18" t="inlineStr">
        <is>
          <t>F0296</t>
        </is>
      </c>
    </row>
    <row r="6291" ht="15.75" customHeight="1" s="108">
      <c r="A6291" s="18" t="inlineStr">
        <is>
          <t>John Dicks</t>
        </is>
      </c>
      <c r="B6291" s="18" t="n">
        <v>1</v>
      </c>
      <c r="C6291" s="18" t="n">
        <v>1980</v>
      </c>
      <c r="D6291" s="18" t="n">
        <v>1980</v>
      </c>
      <c r="E6291" s="18" t="inlineStr">
        <is>
          <t>Star Wars: Episode V – The Empire Strikes Back</t>
        </is>
      </c>
      <c r="F6291" s="18" t="inlineStr">
        <is>
          <t>F0296</t>
        </is>
      </c>
    </row>
    <row r="6292" ht="15.75" customHeight="1" s="108">
      <c r="A6292" s="18" t="inlineStr">
        <is>
          <t>Milton Johns</t>
        </is>
      </c>
      <c r="B6292" s="18" t="n">
        <v>1</v>
      </c>
      <c r="C6292" s="18" t="n">
        <v>1980</v>
      </c>
      <c r="D6292" s="18" t="n">
        <v>1980</v>
      </c>
      <c r="E6292" s="18" t="inlineStr">
        <is>
          <t>Star Wars: Episode V – The Empire Strikes Back</t>
        </is>
      </c>
      <c r="F6292" s="18" t="inlineStr">
        <is>
          <t>F0296</t>
        </is>
      </c>
    </row>
    <row r="6293" ht="15.75" customHeight="1" s="108">
      <c r="A6293" s="18" t="inlineStr">
        <is>
          <t>Mark Jones</t>
        </is>
      </c>
      <c r="B6293" s="18" t="n">
        <v>1</v>
      </c>
      <c r="C6293" s="18" t="n">
        <v>1980</v>
      </c>
      <c r="D6293" s="18" t="n">
        <v>1980</v>
      </c>
      <c r="E6293" s="18" t="inlineStr">
        <is>
          <t>Star Wars: Episode V – The Empire Strikes Back</t>
        </is>
      </c>
      <c r="F6293" s="18" t="inlineStr">
        <is>
          <t>F0296</t>
        </is>
      </c>
    </row>
    <row r="6294" ht="15.75" customHeight="1" s="108">
      <c r="A6294" s="18" t="inlineStr">
        <is>
          <t>Oliver Maguire</t>
        </is>
      </c>
      <c r="B6294" s="18" t="n">
        <v>1</v>
      </c>
      <c r="C6294" s="18" t="n">
        <v>1980</v>
      </c>
      <c r="D6294" s="18" t="n">
        <v>1980</v>
      </c>
      <c r="E6294" s="18" t="inlineStr">
        <is>
          <t>Star Wars: Episode V – The Empire Strikes Back</t>
        </is>
      </c>
      <c r="F6294" s="18" t="inlineStr">
        <is>
          <t>F0296</t>
        </is>
      </c>
    </row>
    <row r="6295" ht="15.75" customHeight="1" s="108">
      <c r="A6295" s="18" t="inlineStr">
        <is>
          <t>Robin Scobey</t>
        </is>
      </c>
      <c r="B6295" s="18" t="n">
        <v>1</v>
      </c>
      <c r="C6295" s="18" t="n">
        <v>1980</v>
      </c>
      <c r="D6295" s="18" t="n">
        <v>1980</v>
      </c>
      <c r="E6295" s="18" t="inlineStr">
        <is>
          <t>Star Wars: Episode V – The Empire Strikes Back</t>
        </is>
      </c>
      <c r="F6295" s="18" t="inlineStr">
        <is>
          <t>F0296</t>
        </is>
      </c>
    </row>
    <row r="6296" ht="15.75" customHeight="1" s="108">
      <c r="A6296" s="18" t="inlineStr">
        <is>
          <t>Bruce Boa</t>
        </is>
      </c>
      <c r="B6296" s="18" t="n">
        <v>1</v>
      </c>
      <c r="C6296" s="18" t="n">
        <v>1980</v>
      </c>
      <c r="D6296" s="18" t="n">
        <v>1980</v>
      </c>
      <c r="E6296" s="18" t="inlineStr">
        <is>
          <t>Star Wars: Episode V – The Empire Strikes Back</t>
        </is>
      </c>
      <c r="F6296" s="18" t="inlineStr">
        <is>
          <t>F0296</t>
        </is>
      </c>
    </row>
    <row r="6297" ht="15.75" customHeight="1" s="108">
      <c r="A6297" s="18" t="inlineStr">
        <is>
          <t>Christopher Malcolm</t>
        </is>
      </c>
      <c r="B6297" s="18" t="n">
        <v>1</v>
      </c>
      <c r="C6297" s="18" t="n">
        <v>1980</v>
      </c>
      <c r="D6297" s="18" t="n">
        <v>1980</v>
      </c>
      <c r="E6297" s="18" t="inlineStr">
        <is>
          <t>Star Wars: Episode V – The Empire Strikes Back</t>
        </is>
      </c>
      <c r="F6297" s="18" t="inlineStr">
        <is>
          <t>F0296</t>
        </is>
      </c>
    </row>
    <row r="6298" ht="15.75" customHeight="1" s="108">
      <c r="A6298" s="18" t="inlineStr">
        <is>
          <t>Sebastian Shaw</t>
        </is>
      </c>
      <c r="B6298" s="18" t="n">
        <v>1</v>
      </c>
      <c r="C6298" s="18" t="n">
        <v>1983</v>
      </c>
      <c r="D6298" s="18" t="n">
        <v>1983</v>
      </c>
      <c r="E6298" s="18" t="inlineStr">
        <is>
          <t>Star Wars: Episode VI – Return of the Jedi</t>
        </is>
      </c>
      <c r="F6298" s="18" t="inlineStr">
        <is>
          <t>F0297</t>
        </is>
      </c>
    </row>
    <row r="6299" ht="15.75" customHeight="1" s="108">
      <c r="A6299" s="18" t="inlineStr">
        <is>
          <t>Michael Pennington</t>
        </is>
      </c>
      <c r="B6299" s="18" t="n">
        <v>1</v>
      </c>
      <c r="C6299" s="18" t="n">
        <v>1983</v>
      </c>
      <c r="D6299" s="18" t="n">
        <v>1983</v>
      </c>
      <c r="E6299" s="18" t="inlineStr">
        <is>
          <t>Star Wars: Episode VI – Return of the Jedi</t>
        </is>
      </c>
      <c r="F6299" s="18" t="inlineStr">
        <is>
          <t>F0297</t>
        </is>
      </c>
    </row>
    <row r="6300" ht="15.75" customHeight="1" s="108">
      <c r="A6300" s="18" t="inlineStr">
        <is>
          <t>Michael Carter</t>
        </is>
      </c>
      <c r="B6300" s="18" t="n">
        <v>1</v>
      </c>
      <c r="C6300" s="18" t="n">
        <v>1983</v>
      </c>
      <c r="D6300" s="18" t="n">
        <v>1983</v>
      </c>
      <c r="E6300" s="18" t="inlineStr">
        <is>
          <t>Star Wars: Episode VI – Return of the Jedi</t>
        </is>
      </c>
      <c r="F6300" s="18" t="inlineStr">
        <is>
          <t>F0297</t>
        </is>
      </c>
    </row>
    <row r="6301" ht="15.75" customHeight="1" s="108">
      <c r="A6301" s="18" t="inlineStr">
        <is>
          <t>Tim Rose</t>
        </is>
      </c>
      <c r="B6301" s="18" t="n">
        <v>2</v>
      </c>
      <c r="C6301" s="18" t="n">
        <v>1983</v>
      </c>
      <c r="D6301" s="18" t="n">
        <v>2017</v>
      </c>
      <c r="E6301" s="18" t="inlineStr">
        <is>
          <t>Star Wars: Episode VI – Return of the Jedi, Star Wars: The Last Jedi</t>
        </is>
      </c>
      <c r="F6301" s="18" t="inlineStr">
        <is>
          <t>F0297, F0299</t>
        </is>
      </c>
    </row>
    <row r="6302" ht="15.75" customHeight="1" s="108">
      <c r="A6302" s="18" t="inlineStr">
        <is>
          <t>Dermot Crowley</t>
        </is>
      </c>
      <c r="B6302" s="18" t="n">
        <v>1</v>
      </c>
      <c r="C6302" s="18" t="n">
        <v>1983</v>
      </c>
      <c r="D6302" s="18" t="n">
        <v>1983</v>
      </c>
      <c r="E6302" s="18" t="inlineStr">
        <is>
          <t>Star Wars: Episode VI – Return of the Jedi</t>
        </is>
      </c>
      <c r="F6302" s="18" t="inlineStr">
        <is>
          <t>F0297</t>
        </is>
      </c>
    </row>
    <row r="6303" ht="15.75" customHeight="1" s="108">
      <c r="A6303" s="18" t="inlineStr">
        <is>
          <t>Caroline Blakiston</t>
        </is>
      </c>
      <c r="B6303" s="18" t="n">
        <v>1</v>
      </c>
      <c r="C6303" s="18" t="n">
        <v>1983</v>
      </c>
      <c r="D6303" s="18" t="n">
        <v>1983</v>
      </c>
      <c r="E6303" s="18" t="inlineStr">
        <is>
          <t>Star Wars: Episode VI – Return of the Jedi</t>
        </is>
      </c>
      <c r="F6303" s="18" t="inlineStr">
        <is>
          <t>F0297</t>
        </is>
      </c>
    </row>
    <row r="6304" ht="15.75" customHeight="1" s="108">
      <c r="A6304" s="18" t="inlineStr">
        <is>
          <t>Femi Taylor</t>
        </is>
      </c>
      <c r="B6304" s="18" t="n">
        <v>1</v>
      </c>
      <c r="C6304" s="18" t="n">
        <v>1983</v>
      </c>
      <c r="D6304" s="18" t="n">
        <v>1983</v>
      </c>
      <c r="E6304" s="18" t="inlineStr">
        <is>
          <t>Star Wars: Episode VI – Return of the Jedi</t>
        </is>
      </c>
      <c r="F6304" s="18" t="inlineStr">
        <is>
          <t>F0297</t>
        </is>
      </c>
    </row>
    <row r="6305" ht="15.75" customHeight="1" s="108">
      <c r="A6305" s="18" t="inlineStr">
        <is>
          <t>Annie Arbogast</t>
        </is>
      </c>
      <c r="B6305" s="18" t="n">
        <v>1</v>
      </c>
      <c r="C6305" s="18" t="n">
        <v>1983</v>
      </c>
      <c r="D6305" s="18" t="n">
        <v>1983</v>
      </c>
      <c r="E6305" s="18" t="inlineStr">
        <is>
          <t>Star Wars: Episode VI – Return of the Jedi</t>
        </is>
      </c>
      <c r="F6305" s="18" t="inlineStr">
        <is>
          <t>F0297</t>
        </is>
      </c>
    </row>
    <row r="6306" ht="15.75" customHeight="1" s="108">
      <c r="A6306" s="18" t="inlineStr">
        <is>
          <t>Claire Davenport</t>
        </is>
      </c>
      <c r="B6306" s="18" t="n">
        <v>1</v>
      </c>
      <c r="C6306" s="18" t="n">
        <v>1983</v>
      </c>
      <c r="D6306" s="18" t="n">
        <v>1983</v>
      </c>
      <c r="E6306" s="18" t="inlineStr">
        <is>
          <t>Star Wars: Episode VI – Return of the Jedi</t>
        </is>
      </c>
      <c r="F6306" s="18" t="inlineStr">
        <is>
          <t>F0297</t>
        </is>
      </c>
    </row>
    <row r="6307" ht="15.75" customHeight="1" s="108">
      <c r="A6307" s="18" t="inlineStr">
        <is>
          <t>Mike Edmonds</t>
        </is>
      </c>
      <c r="B6307" s="18" t="n">
        <v>1</v>
      </c>
      <c r="C6307" s="18" t="n">
        <v>1983</v>
      </c>
      <c r="D6307" s="18" t="n">
        <v>1983</v>
      </c>
      <c r="E6307" s="18" t="inlineStr">
        <is>
          <t>Star Wars: Episode VI – Return of the Jedi</t>
        </is>
      </c>
      <c r="F6307" s="18" t="inlineStr">
        <is>
          <t>F0297</t>
        </is>
      </c>
    </row>
    <row r="6308" ht="15.75" customHeight="1" s="108">
      <c r="A6308" s="18" t="inlineStr">
        <is>
          <t>Jane Busby</t>
        </is>
      </c>
      <c r="B6308" s="18" t="n">
        <v>1</v>
      </c>
      <c r="C6308" s="18" t="n">
        <v>1983</v>
      </c>
      <c r="D6308" s="18" t="n">
        <v>1983</v>
      </c>
      <c r="E6308" s="18" t="inlineStr">
        <is>
          <t>Star Wars: Episode VI – Return of the Jedi</t>
        </is>
      </c>
      <c r="F6308" s="18" t="inlineStr">
        <is>
          <t>F0297</t>
        </is>
      </c>
    </row>
    <row r="6309" ht="15.75" customHeight="1" s="108">
      <c r="A6309" s="18" t="inlineStr">
        <is>
          <t>Malcolm Dixon</t>
        </is>
      </c>
      <c r="B6309" s="18" t="n">
        <v>1</v>
      </c>
      <c r="C6309" s="18" t="n">
        <v>1983</v>
      </c>
      <c r="D6309" s="18" t="n">
        <v>1983</v>
      </c>
      <c r="E6309" s="18" t="inlineStr">
        <is>
          <t>Star Wars: Episode VI – Return of the Jedi</t>
        </is>
      </c>
      <c r="F6309" s="18" t="inlineStr">
        <is>
          <t>F0297</t>
        </is>
      </c>
    </row>
    <row r="6310" ht="15.75" customHeight="1" s="108">
      <c r="A6310" s="18" t="inlineStr">
        <is>
          <t>Mike Cottrell</t>
        </is>
      </c>
      <c r="B6310" s="18" t="n">
        <v>1</v>
      </c>
      <c r="C6310" s="18" t="n">
        <v>1983</v>
      </c>
      <c r="D6310" s="18" t="n">
        <v>1983</v>
      </c>
      <c r="E6310" s="18" t="inlineStr">
        <is>
          <t>Star Wars: Episode VI – Return of the Jedi</t>
        </is>
      </c>
      <c r="F6310" s="18" t="inlineStr">
        <is>
          <t>F0297</t>
        </is>
      </c>
    </row>
    <row r="6311" ht="15.75" customHeight="1" s="108">
      <c r="A6311" s="18" t="inlineStr">
        <is>
          <t>Lupita Nyong'o</t>
        </is>
      </c>
      <c r="B6311" s="18" t="n">
        <v>3</v>
      </c>
      <c r="C6311" s="18" t="n">
        <v>2015</v>
      </c>
      <c r="D6311" s="18" t="n">
        <v>2019</v>
      </c>
      <c r="E6311" s="18" t="inlineStr">
        <is>
          <t>Star Wars: The Force Awakens, Star Wars: The Last Jedi, Star Wars: The Rise of Skywalker</t>
        </is>
      </c>
      <c r="F6311" s="18" t="inlineStr">
        <is>
          <t>F0298, F0299, F0300</t>
        </is>
      </c>
    </row>
    <row r="6312" ht="15.75" customHeight="1" s="108">
      <c r="A6312" s="18" t="inlineStr">
        <is>
          <t>Domhnall Gleeson</t>
        </is>
      </c>
      <c r="B6312" s="18" t="n">
        <v>4</v>
      </c>
      <c r="C6312" s="18" t="n">
        <v>2010</v>
      </c>
      <c r="D6312" s="18" t="n">
        <v>2019</v>
      </c>
      <c r="E6312" s="18" t="inlineStr">
        <is>
          <t>Star Wars: The Force Awakens, Star Wars: The Last Jedi, Star Wars: The Rise of Skywalker, True Grit</t>
        </is>
      </c>
      <c r="F6312" s="18" t="inlineStr">
        <is>
          <t>F0298, F0299, F0300, F0325</t>
        </is>
      </c>
    </row>
    <row r="6313" ht="15.75" customHeight="1" s="108">
      <c r="A6313" s="18" t="inlineStr">
        <is>
          <t>Gwendoline Christie</t>
        </is>
      </c>
      <c r="B6313" s="18" t="n">
        <v>3</v>
      </c>
      <c r="C6313" s="18" t="n">
        <v>2015</v>
      </c>
      <c r="D6313" s="18" t="n">
        <v>2017</v>
      </c>
      <c r="E6313" s="18" t="inlineStr">
        <is>
          <t>Star Wars: The Force Awakens, Star Wars: The Last Jedi, Mockingjay part 2</t>
        </is>
      </c>
      <c r="F6313" s="18" t="inlineStr">
        <is>
          <t>F0298, F0299, F0383</t>
        </is>
      </c>
    </row>
    <row r="6314" ht="15.75" customHeight="1" s="108">
      <c r="A6314" s="18" t="inlineStr">
        <is>
          <t>Joonas Suotamo</t>
        </is>
      </c>
      <c r="B6314" s="18" t="n">
        <v>4</v>
      </c>
      <c r="C6314" s="18" t="n">
        <v>2015</v>
      </c>
      <c r="D6314" s="18" t="n">
        <v>2019</v>
      </c>
      <c r="E6314" s="18" t="inlineStr">
        <is>
          <t>Star Wars: The Force Awakens, Star Wars: The Last Jedi, Star Wars: The Rise of Skywalker, Solo a star wars story</t>
        </is>
      </c>
      <c r="F6314" s="18" t="inlineStr">
        <is>
          <t>F0298, F0299, F0300, F0386</t>
        </is>
      </c>
    </row>
    <row r="6315" ht="15.75" customHeight="1" s="108">
      <c r="A6315" s="18" t="inlineStr">
        <is>
          <t>Pip Andersen</t>
        </is>
      </c>
      <c r="B6315" s="18" t="n">
        <v>1</v>
      </c>
      <c r="C6315" s="18" t="n">
        <v>2015</v>
      </c>
      <c r="D6315" s="18" t="n">
        <v>2015</v>
      </c>
      <c r="E6315" s="18" t="inlineStr">
        <is>
          <t>Star Wars: The Force Awakens</t>
        </is>
      </c>
      <c r="F6315" s="18" t="inlineStr">
        <is>
          <t>F0298</t>
        </is>
      </c>
    </row>
    <row r="6316" ht="15.75" customHeight="1" s="108">
      <c r="A6316" s="18" t="inlineStr">
        <is>
          <t>Kiran Shah</t>
        </is>
      </c>
      <c r="B6316" s="18" t="n">
        <v>2</v>
      </c>
      <c r="C6316" s="18" t="n">
        <v>2015</v>
      </c>
      <c r="D6316" s="18" t="n">
        <v>2018</v>
      </c>
      <c r="E6316" s="18" t="inlineStr">
        <is>
          <t>Star Wars: The Force Awakens, Solo a star wars story</t>
        </is>
      </c>
      <c r="F6316" s="18" t="inlineStr">
        <is>
          <t>F0298, F0386</t>
        </is>
      </c>
    </row>
    <row r="6317" ht="15.75" customHeight="1" s="108">
      <c r="A6317" s="18" t="inlineStr">
        <is>
          <t>Sasha Frost</t>
        </is>
      </c>
      <c r="B6317" s="18" t="n">
        <v>1</v>
      </c>
      <c r="C6317" s="18" t="n">
        <v>2015</v>
      </c>
      <c r="D6317" s="18" t="n">
        <v>2015</v>
      </c>
      <c r="E6317" s="18" t="inlineStr">
        <is>
          <t>Star Wars: The Force Awakens</t>
        </is>
      </c>
      <c r="F6317" s="18" t="inlineStr">
        <is>
          <t>F0298</t>
        </is>
      </c>
    </row>
    <row r="6318" ht="15.75" customHeight="1" s="108">
      <c r="A6318" s="18" t="inlineStr">
        <is>
          <t>Pip Torrens</t>
        </is>
      </c>
      <c r="B6318" s="18" t="n">
        <v>1</v>
      </c>
      <c r="C6318" s="18" t="n">
        <v>2015</v>
      </c>
      <c r="D6318" s="18" t="n">
        <v>2015</v>
      </c>
      <c r="E6318" s="18" t="inlineStr">
        <is>
          <t>Star Wars: The Force Awakens</t>
        </is>
      </c>
      <c r="F6318" s="18" t="inlineStr">
        <is>
          <t>F0298</t>
        </is>
      </c>
    </row>
    <row r="6319" ht="15.75" customHeight="1" s="108">
      <c r="A6319" s="18" t="inlineStr">
        <is>
          <t>Andrew Jack</t>
        </is>
      </c>
      <c r="B6319" s="18" t="n">
        <v>1</v>
      </c>
      <c r="C6319" s="18" t="n">
        <v>2015</v>
      </c>
      <c r="D6319" s="18" t="n">
        <v>2015</v>
      </c>
      <c r="E6319" s="18" t="inlineStr">
        <is>
          <t>Star Wars: The Force Awakens</t>
        </is>
      </c>
      <c r="F6319" s="18" t="inlineStr">
        <is>
          <t>F0298</t>
        </is>
      </c>
    </row>
    <row r="6320" ht="15.75" customHeight="1" s="108">
      <c r="A6320" s="18" t="inlineStr">
        <is>
          <t>Rocky Marshall</t>
        </is>
      </c>
      <c r="B6320" s="18" t="n">
        <v>1</v>
      </c>
      <c r="C6320" s="18" t="n">
        <v>2015</v>
      </c>
      <c r="D6320" s="18" t="n">
        <v>2015</v>
      </c>
      <c r="E6320" s="18" t="inlineStr">
        <is>
          <t>Star Wars: The Force Awakens</t>
        </is>
      </c>
      <c r="F6320" s="18" t="inlineStr">
        <is>
          <t>F0298</t>
        </is>
      </c>
    </row>
    <row r="6321" ht="15.75" customHeight="1" s="108">
      <c r="A6321" s="18" t="inlineStr">
        <is>
          <t>Brian Vernel</t>
        </is>
      </c>
      <c r="B6321" s="18" t="n">
        <v>1</v>
      </c>
      <c r="C6321" s="18" t="n">
        <v>2015</v>
      </c>
      <c r="D6321" s="18" t="n">
        <v>2015</v>
      </c>
      <c r="E6321" s="18" t="inlineStr">
        <is>
          <t>Star Wars: The Force Awakens</t>
        </is>
      </c>
      <c r="F6321" s="18" t="inlineStr">
        <is>
          <t>F0298</t>
        </is>
      </c>
    </row>
    <row r="6322" ht="15.75" customHeight="1" s="108">
      <c r="A6322" s="18" t="inlineStr">
        <is>
          <t>Yayan Ruhian</t>
        </is>
      </c>
      <c r="B6322" s="18" t="n">
        <v>2</v>
      </c>
      <c r="C6322" s="18" t="n">
        <v>2015</v>
      </c>
      <c r="D6322" s="18" t="n">
        <v>2019</v>
      </c>
      <c r="E6322" s="18" t="inlineStr">
        <is>
          <t>Star Wars: The Force Awakens, John wick chapter 3</t>
        </is>
      </c>
      <c r="F6322" s="18" t="inlineStr">
        <is>
          <t>F0298, F0391</t>
        </is>
      </c>
    </row>
    <row r="6323" ht="15.75" customHeight="1" s="108">
      <c r="A6323" s="18" t="inlineStr">
        <is>
          <t>Maisie Richardson-Sellers</t>
        </is>
      </c>
      <c r="B6323" s="18" t="n">
        <v>1</v>
      </c>
      <c r="C6323" s="18" t="n">
        <v>2015</v>
      </c>
      <c r="D6323" s="18" t="n">
        <v>2015</v>
      </c>
      <c r="E6323" s="18" t="inlineStr">
        <is>
          <t>Star Wars: The Force Awakens</t>
        </is>
      </c>
      <c r="F6323" s="18" t="inlineStr">
        <is>
          <t>F0298</t>
        </is>
      </c>
    </row>
    <row r="6324" ht="15.75" customHeight="1" s="108">
      <c r="A6324" s="18" t="inlineStr">
        <is>
          <t>Cailey Fleming</t>
        </is>
      </c>
      <c r="B6324" s="18" t="n">
        <v>1</v>
      </c>
      <c r="C6324" s="18" t="n">
        <v>2015</v>
      </c>
      <c r="D6324" s="18" t="n">
        <v>2015</v>
      </c>
      <c r="E6324" s="18" t="inlineStr">
        <is>
          <t>Star Wars: The Force Awakens</t>
        </is>
      </c>
      <c r="F6324" s="18" t="inlineStr">
        <is>
          <t>F0298</t>
        </is>
      </c>
    </row>
    <row r="6325" ht="15.75" customHeight="1" s="108">
      <c r="A6325" s="18" t="inlineStr">
        <is>
          <t>Kelly Marie Tran</t>
        </is>
      </c>
      <c r="B6325" s="18" t="n">
        <v>2</v>
      </c>
      <c r="C6325" s="18" t="n">
        <v>2017</v>
      </c>
      <c r="D6325" s="18" t="n">
        <v>2019</v>
      </c>
      <c r="E6325" s="18" t="inlineStr">
        <is>
          <t>Star Wars: The Last Jedi, Star Wars: The Rise of Skywalker</t>
        </is>
      </c>
      <c r="F6325" s="18" t="inlineStr">
        <is>
          <t>F0299, F0300</t>
        </is>
      </c>
    </row>
    <row r="6326" ht="15.75" customHeight="1" s="108">
      <c r="A6326" s="18" t="inlineStr">
        <is>
          <t>Billie Lourd</t>
        </is>
      </c>
      <c r="B6326" s="18" t="n">
        <v>2</v>
      </c>
      <c r="C6326" s="18" t="n">
        <v>2017</v>
      </c>
      <c r="D6326" s="18" t="n">
        <v>2019</v>
      </c>
      <c r="E6326" s="18" t="inlineStr">
        <is>
          <t>Star Wars: The Last Jedi, Star Wars: The Rise of Skywalker</t>
        </is>
      </c>
      <c r="F6326" s="18" t="inlineStr">
        <is>
          <t>F0299, F0300</t>
        </is>
      </c>
    </row>
    <row r="6327" ht="15.75" customHeight="1" s="108">
      <c r="A6327" s="18" t="inlineStr">
        <is>
          <t>Amanda Lawrence</t>
        </is>
      </c>
      <c r="B6327" s="18" t="n">
        <v>1</v>
      </c>
      <c r="C6327" s="18" t="n">
        <v>2017</v>
      </c>
      <c r="D6327" s="18" t="n">
        <v>2017</v>
      </c>
      <c r="E6327" s="18" t="inlineStr">
        <is>
          <t>Star Wars: The Last Jedi</t>
        </is>
      </c>
      <c r="F6327" s="18" t="inlineStr">
        <is>
          <t>F0299</t>
        </is>
      </c>
    </row>
    <row r="6328" ht="15.75" customHeight="1" s="108">
      <c r="A6328" s="18" t="inlineStr">
        <is>
          <t>Brian Herring</t>
        </is>
      </c>
      <c r="B6328" s="18" t="n">
        <v>2</v>
      </c>
      <c r="C6328" s="18" t="n">
        <v>2017</v>
      </c>
      <c r="D6328" s="18" t="n">
        <v>2019</v>
      </c>
      <c r="E6328" s="18" t="inlineStr">
        <is>
          <t>Star Wars: The Last Jedi, Star Wars: The Rise of Skywalker</t>
        </is>
      </c>
      <c r="F6328" s="18" t="inlineStr">
        <is>
          <t>F0299, F0300</t>
        </is>
      </c>
    </row>
    <row r="6329" ht="15.75" customHeight="1" s="108">
      <c r="A6329" s="18" t="inlineStr">
        <is>
          <t>Dave Chapman</t>
        </is>
      </c>
      <c r="B6329" s="18" t="n">
        <v>2</v>
      </c>
      <c r="C6329" s="18" t="n">
        <v>2017</v>
      </c>
      <c r="D6329" s="18" t="n">
        <v>2019</v>
      </c>
      <c r="E6329" s="18" t="inlineStr">
        <is>
          <t>Star Wars: The Last Jedi, Star Wars: The Rise of Skywalker</t>
        </is>
      </c>
      <c r="F6329" s="18" t="inlineStr">
        <is>
          <t>F0299, F0300</t>
        </is>
      </c>
    </row>
    <row r="6330" ht="15.75" customHeight="1" s="108">
      <c r="A6330" s="18" t="inlineStr">
        <is>
          <t>Tom Kane</t>
        </is>
      </c>
      <c r="B6330" s="18" t="n">
        <v>1</v>
      </c>
      <c r="C6330" s="18" t="n">
        <v>2017</v>
      </c>
      <c r="D6330" s="18" t="n">
        <v>2017</v>
      </c>
      <c r="E6330" s="18" t="inlineStr">
        <is>
          <t>Star Wars: The Last Jedi</t>
        </is>
      </c>
      <c r="F6330" s="18" t="inlineStr">
        <is>
          <t>F0299</t>
        </is>
      </c>
    </row>
    <row r="6331" ht="15.75" customHeight="1" s="108">
      <c r="A6331" s="18" t="inlineStr">
        <is>
          <t>Adrian Edmondson</t>
        </is>
      </c>
      <c r="B6331" s="18" t="n">
        <v>1</v>
      </c>
      <c r="C6331" s="18" t="n">
        <v>2017</v>
      </c>
      <c r="D6331" s="18" t="n">
        <v>2017</v>
      </c>
      <c r="E6331" s="18" t="inlineStr">
        <is>
          <t>Star Wars: The Last Jedi</t>
        </is>
      </c>
      <c r="F6331" s="18" t="inlineStr">
        <is>
          <t>F0299</t>
        </is>
      </c>
    </row>
    <row r="6332" ht="15.75" customHeight="1" s="108">
      <c r="A6332" s="18" t="inlineStr">
        <is>
          <t>Veronica Ngô</t>
        </is>
      </c>
      <c r="B6332" s="18" t="n">
        <v>1</v>
      </c>
      <c r="C6332" s="18" t="n">
        <v>2017</v>
      </c>
      <c r="D6332" s="18" t="n">
        <v>2017</v>
      </c>
      <c r="E6332" s="18" t="inlineStr">
        <is>
          <t>Star Wars: The Last Jedi</t>
        </is>
      </c>
      <c r="F6332" s="18" t="inlineStr">
        <is>
          <t>F0299</t>
        </is>
      </c>
    </row>
    <row r="6333" ht="15.75" customHeight="1" s="108">
      <c r="A6333" s="18" t="inlineStr">
        <is>
          <t>Noah Segan</t>
        </is>
      </c>
      <c r="B6333" s="18" t="n">
        <v>1</v>
      </c>
      <c r="C6333" s="18" t="n">
        <v>2017</v>
      </c>
      <c r="D6333" s="18" t="n">
        <v>2017</v>
      </c>
      <c r="E6333" s="18" t="inlineStr">
        <is>
          <t>Star Wars: The Last Jedi</t>
        </is>
      </c>
      <c r="F6333" s="18" t="inlineStr">
        <is>
          <t>F0299</t>
        </is>
      </c>
    </row>
    <row r="6334" ht="15.75" customHeight="1" s="108">
      <c r="A6334" s="18" t="inlineStr">
        <is>
          <t>Jamie Christopher</t>
        </is>
      </c>
      <c r="B6334" s="18" t="n">
        <v>1</v>
      </c>
      <c r="C6334" s="18" t="n">
        <v>2017</v>
      </c>
      <c r="D6334" s="18" t="n">
        <v>2017</v>
      </c>
      <c r="E6334" s="18" t="inlineStr">
        <is>
          <t>Star Wars: The Last Jedi</t>
        </is>
      </c>
      <c r="F6334" s="18" t="inlineStr">
        <is>
          <t>F0299</t>
        </is>
      </c>
    </row>
    <row r="6335" ht="15.75" customHeight="1" s="108">
      <c r="A6335" s="18" t="inlineStr">
        <is>
          <t>Naomi Ackie</t>
        </is>
      </c>
      <c r="B6335" s="18" t="n">
        <v>2</v>
      </c>
      <c r="C6335" s="18" t="n">
        <v>2019</v>
      </c>
      <c r="D6335" s="18" t="n">
        <v>2025</v>
      </c>
      <c r="E6335" s="18" t="inlineStr">
        <is>
          <t>Star Wars: The Rise of Skywalker, mickey 17</t>
        </is>
      </c>
      <c r="F6335" s="18" t="inlineStr">
        <is>
          <t>F0300, F0376</t>
        </is>
      </c>
    </row>
    <row r="6336" ht="15.75" customHeight="1" s="108">
      <c r="A6336" s="18" t="inlineStr">
        <is>
          <t>Hassan Taj</t>
        </is>
      </c>
      <c r="B6336" s="18" t="n">
        <v>1</v>
      </c>
      <c r="C6336" s="18" t="n">
        <v>2019</v>
      </c>
      <c r="D6336" s="18" t="n">
        <v>2019</v>
      </c>
      <c r="E6336" s="18" t="inlineStr">
        <is>
          <t>Star Wars: The Rise of Skywalker</t>
        </is>
      </c>
      <c r="F6336" s="18" t="inlineStr">
        <is>
          <t>F0300</t>
        </is>
      </c>
    </row>
    <row r="6337" ht="15.75" customHeight="1" s="108">
      <c r="A6337" s="18" t="inlineStr">
        <is>
          <t>Lee Towersey</t>
        </is>
      </c>
      <c r="B6337" s="18" t="n">
        <v>1</v>
      </c>
      <c r="C6337" s="18" t="n">
        <v>2019</v>
      </c>
      <c r="D6337" s="18" t="n">
        <v>2019</v>
      </c>
      <c r="E6337" s="18" t="inlineStr">
        <is>
          <t>Star Wars: The Rise of Skywalker</t>
        </is>
      </c>
      <c r="F6337" s="18" t="inlineStr">
        <is>
          <t>F0300</t>
        </is>
      </c>
    </row>
    <row r="6338" ht="15.75" customHeight="1" s="108">
      <c r="A6338" s="18" t="inlineStr">
        <is>
          <t>Richard Guiver</t>
        </is>
      </c>
      <c r="B6338" s="18" t="n">
        <v>1</v>
      </c>
      <c r="C6338" s="18" t="n">
        <v>2019</v>
      </c>
      <c r="D6338" s="18" t="n">
        <v>2019</v>
      </c>
      <c r="E6338" s="18" t="inlineStr">
        <is>
          <t>Star Wars: The Rise of Skywalker</t>
        </is>
      </c>
      <c r="F6338" s="18" t="inlineStr">
        <is>
          <t>F0300</t>
        </is>
      </c>
    </row>
    <row r="6339" ht="15.75" customHeight="1" s="108">
      <c r="A6339" s="18" t="inlineStr">
        <is>
          <t>Lynn Robertson Bruce</t>
        </is>
      </c>
      <c r="B6339" s="18" t="n">
        <v>1</v>
      </c>
      <c r="C6339" s="18" t="n">
        <v>2019</v>
      </c>
      <c r="D6339" s="18" t="n">
        <v>2019</v>
      </c>
      <c r="E6339" s="18" t="inlineStr">
        <is>
          <t>Star Wars: The Rise of Skywalker</t>
        </is>
      </c>
      <c r="F6339" s="18" t="inlineStr">
        <is>
          <t>F0300</t>
        </is>
      </c>
    </row>
    <row r="6340" ht="15.75" customHeight="1" s="108">
      <c r="A6340" s="18" t="inlineStr">
        <is>
          <t>J.J. Abrams</t>
        </is>
      </c>
      <c r="B6340" s="18" t="n">
        <v>1</v>
      </c>
      <c r="C6340" s="18" t="n">
        <v>2019</v>
      </c>
      <c r="D6340" s="18" t="n">
        <v>2019</v>
      </c>
      <c r="E6340" s="18" t="inlineStr">
        <is>
          <t>Star Wars: The Rise of Skywalker</t>
        </is>
      </c>
      <c r="F6340" s="18" t="inlineStr">
        <is>
          <t>F0300</t>
        </is>
      </c>
    </row>
    <row r="6341" ht="15.75" customHeight="1" s="108">
      <c r="A6341" s="18" t="inlineStr">
        <is>
          <t>Claire Roi Harvey</t>
        </is>
      </c>
      <c r="B6341" s="18" t="n">
        <v>1</v>
      </c>
      <c r="C6341" s="18" t="n">
        <v>2019</v>
      </c>
      <c r="D6341" s="18" t="n">
        <v>2019</v>
      </c>
      <c r="E6341" s="18" t="inlineStr">
        <is>
          <t>Star Wars: The Rise of Skywalker</t>
        </is>
      </c>
      <c r="F6341" s="18" t="inlineStr">
        <is>
          <t>F0300</t>
        </is>
      </c>
    </row>
    <row r="6342" ht="15.75" customHeight="1" s="108">
      <c r="A6342" s="18" t="inlineStr">
        <is>
          <t>Richard Coombs</t>
        </is>
      </c>
      <c r="B6342" s="18" t="n">
        <v>1</v>
      </c>
      <c r="C6342" s="18" t="n">
        <v>2019</v>
      </c>
      <c r="D6342" s="18" t="n">
        <v>2019</v>
      </c>
      <c r="E6342" s="18" t="inlineStr">
        <is>
          <t>Star Wars: The Rise of Skywalker</t>
        </is>
      </c>
      <c r="F6342" s="18" t="inlineStr">
        <is>
          <t>F0300</t>
        </is>
      </c>
    </row>
    <row r="6343" ht="15.75" customHeight="1" s="108">
      <c r="A6343" s="18" t="inlineStr">
        <is>
          <t>Matt Denton</t>
        </is>
      </c>
      <c r="B6343" s="18" t="n">
        <v>1</v>
      </c>
      <c r="C6343" s="18" t="n">
        <v>2019</v>
      </c>
      <c r="D6343" s="18" t="n">
        <v>2019</v>
      </c>
      <c r="E6343" s="18" t="inlineStr">
        <is>
          <t>Star Wars: The Rise of Skywalker</t>
        </is>
      </c>
      <c r="F6343" s="18" t="inlineStr">
        <is>
          <t>F0300</t>
        </is>
      </c>
    </row>
    <row r="6344" ht="15.75" customHeight="1" s="108">
      <c r="A6344" s="18" t="inlineStr">
        <is>
          <t>LaKeith Stanfield</t>
        </is>
      </c>
      <c r="B6344" s="18" t="n">
        <v>1</v>
      </c>
      <c r="C6344" s="18" t="n">
        <v>2015</v>
      </c>
      <c r="D6344" s="18" t="n">
        <v>2015</v>
      </c>
      <c r="E6344" s="18" t="inlineStr">
        <is>
          <t>Straight Outta Compton</t>
        </is>
      </c>
      <c r="F6344" s="18" t="inlineStr">
        <is>
          <t>F0301</t>
        </is>
      </c>
    </row>
    <row r="6345" ht="15.75" customHeight="1" s="108">
      <c r="A6345" s="18" t="inlineStr">
        <is>
          <t>Carra Patterson</t>
        </is>
      </c>
      <c r="B6345" s="18" t="n">
        <v>1</v>
      </c>
      <c r="C6345" s="18" t="n">
        <v>2015</v>
      </c>
      <c r="D6345" s="18" t="n">
        <v>2015</v>
      </c>
      <c r="E6345" s="18" t="inlineStr">
        <is>
          <t>Straight Outta Compton</t>
        </is>
      </c>
      <c r="F6345" s="18" t="inlineStr">
        <is>
          <t>F0301</t>
        </is>
      </c>
    </row>
    <row r="6346" ht="15.75" customHeight="1" s="108">
      <c r="A6346" s="18" t="inlineStr">
        <is>
          <t>Tate Ellington</t>
        </is>
      </c>
      <c r="B6346" s="18" t="n">
        <v>1</v>
      </c>
      <c r="C6346" s="18" t="n">
        <v>2015</v>
      </c>
      <c r="D6346" s="18" t="n">
        <v>2015</v>
      </c>
      <c r="E6346" s="18" t="inlineStr">
        <is>
          <t>Straight Outta Compton</t>
        </is>
      </c>
      <c r="F6346" s="18" t="inlineStr">
        <is>
          <t>F0301</t>
        </is>
      </c>
    </row>
    <row r="6347" ht="15.75" customHeight="1" s="108">
      <c r="A6347" s="18" t="inlineStr">
        <is>
          <t>Corey Reynolds</t>
        </is>
      </c>
      <c r="B6347" s="18" t="n">
        <v>1</v>
      </c>
      <c r="C6347" s="18" t="n">
        <v>2015</v>
      </c>
      <c r="D6347" s="18" t="n">
        <v>2015</v>
      </c>
      <c r="E6347" s="18" t="inlineStr">
        <is>
          <t>Straight Outta Compton</t>
        </is>
      </c>
      <c r="F6347" s="18" t="inlineStr">
        <is>
          <t>F0301</t>
        </is>
      </c>
    </row>
    <row r="6348" ht="15.75" customHeight="1" s="108">
      <c r="A6348" s="18" t="inlineStr">
        <is>
          <t>Keith Powers</t>
        </is>
      </c>
      <c r="B6348" s="18" t="n">
        <v>1</v>
      </c>
      <c r="C6348" s="18" t="n">
        <v>2015</v>
      </c>
      <c r="D6348" s="18" t="n">
        <v>2015</v>
      </c>
      <c r="E6348" s="18" t="inlineStr">
        <is>
          <t>Straight Outta Compton</t>
        </is>
      </c>
      <c r="F6348" s="18" t="inlineStr">
        <is>
          <t>F0301</t>
        </is>
      </c>
    </row>
    <row r="6349" ht="15.75" customHeight="1" s="108">
      <c r="A6349" s="18" t="inlineStr">
        <is>
          <t>Orlando Brown</t>
        </is>
      </c>
      <c r="B6349" s="18" t="n">
        <v>1</v>
      </c>
      <c r="C6349" s="18" t="n">
        <v>2015</v>
      </c>
      <c r="D6349" s="18" t="n">
        <v>2015</v>
      </c>
      <c r="E6349" s="18" t="inlineStr">
        <is>
          <t>Straight Outta Compton</t>
        </is>
      </c>
      <c r="F6349" s="18" t="inlineStr">
        <is>
          <t>F0301</t>
        </is>
      </c>
    </row>
    <row r="6350" ht="15.75" customHeight="1" s="108">
      <c r="A6350" s="18" t="inlineStr">
        <is>
          <t>Marlon Yates Jr.</t>
        </is>
      </c>
      <c r="B6350" s="18" t="n">
        <v>1</v>
      </c>
      <c r="C6350" s="18" t="n">
        <v>2015</v>
      </c>
      <c r="D6350" s="18" t="n">
        <v>2015</v>
      </c>
      <c r="E6350" s="18" t="inlineStr">
        <is>
          <t>Straight Outta Compton</t>
        </is>
      </c>
      <c r="F6350" s="18" t="inlineStr">
        <is>
          <t>F0301</t>
        </is>
      </c>
    </row>
    <row r="6351" ht="15.75" customHeight="1" s="108">
      <c r="A6351" s="18" t="inlineStr">
        <is>
          <t>Joshua Brockington</t>
        </is>
      </c>
      <c r="B6351" s="18" t="n">
        <v>1</v>
      </c>
      <c r="C6351" s="18" t="n">
        <v>2015</v>
      </c>
      <c r="D6351" s="18" t="n">
        <v>2015</v>
      </c>
      <c r="E6351" s="18" t="inlineStr">
        <is>
          <t>Straight Outta Compton</t>
        </is>
      </c>
      <c r="F6351" s="18" t="inlineStr">
        <is>
          <t>F0301</t>
        </is>
      </c>
    </row>
    <row r="6352" ht="15.75" customHeight="1" s="108">
      <c r="A6352" s="18" t="inlineStr">
        <is>
          <t>Sheldon A. Smith</t>
        </is>
      </c>
      <c r="B6352" s="18" t="n">
        <v>1</v>
      </c>
      <c r="C6352" s="18" t="n">
        <v>2015</v>
      </c>
      <c r="D6352" s="18" t="n">
        <v>2015</v>
      </c>
      <c r="E6352" s="18" t="inlineStr">
        <is>
          <t>Straight Outta Compton</t>
        </is>
      </c>
      <c r="F6352" s="18" t="inlineStr">
        <is>
          <t>F0301</t>
        </is>
      </c>
    </row>
    <row r="6353" ht="15.75" customHeight="1" s="108">
      <c r="A6353" s="18" t="inlineStr">
        <is>
          <t>Cleavon McClendon</t>
        </is>
      </c>
      <c r="B6353" s="18" t="n">
        <v>1</v>
      </c>
      <c r="C6353" s="18" t="n">
        <v>2015</v>
      </c>
      <c r="D6353" s="18" t="n">
        <v>2015</v>
      </c>
      <c r="E6353" s="18" t="inlineStr">
        <is>
          <t>Straight Outta Compton</t>
        </is>
      </c>
      <c r="F6353" s="18" t="inlineStr">
        <is>
          <t>F0301</t>
        </is>
      </c>
    </row>
    <row r="6354" ht="15.75" customHeight="1" s="108">
      <c r="A6354" s="18" t="inlineStr">
        <is>
          <t>Aeriél Miranda</t>
        </is>
      </c>
      <c r="B6354" s="18" t="n">
        <v>1</v>
      </c>
      <c r="C6354" s="18" t="n">
        <v>2015</v>
      </c>
      <c r="D6354" s="18" t="n">
        <v>2015</v>
      </c>
      <c r="E6354" s="18" t="inlineStr">
        <is>
          <t>Straight Outta Compton</t>
        </is>
      </c>
      <c r="F6354" s="18" t="inlineStr">
        <is>
          <t>F0301</t>
        </is>
      </c>
    </row>
    <row r="6355" ht="15.75" customHeight="1" s="108">
      <c r="A6355" s="18" t="inlineStr">
        <is>
          <t>Lisa Renee Pitts</t>
        </is>
      </c>
      <c r="B6355" s="18" t="n">
        <v>1</v>
      </c>
      <c r="C6355" s="18" t="n">
        <v>2015</v>
      </c>
      <c r="D6355" s="18" t="n">
        <v>2015</v>
      </c>
      <c r="E6355" s="18" t="inlineStr">
        <is>
          <t>Straight Outta Compton</t>
        </is>
      </c>
      <c r="F6355" s="18" t="inlineStr">
        <is>
          <t>F0301</t>
        </is>
      </c>
    </row>
    <row r="6356" ht="15.75" customHeight="1" s="108">
      <c r="A6356" s="18" t="inlineStr">
        <is>
          <t>Angela Elayne Gibbs</t>
        </is>
      </c>
      <c r="B6356" s="18" t="n">
        <v>1</v>
      </c>
      <c r="C6356" s="18" t="n">
        <v>2015</v>
      </c>
      <c r="D6356" s="18" t="n">
        <v>2015</v>
      </c>
      <c r="E6356" s="18" t="inlineStr">
        <is>
          <t>Straight Outta Compton</t>
        </is>
      </c>
      <c r="F6356" s="18" t="inlineStr">
        <is>
          <t>F0301</t>
        </is>
      </c>
    </row>
    <row r="6357" ht="15.75" customHeight="1" s="108">
      <c r="A6357" s="18" t="inlineStr">
        <is>
          <t>Bruce Beatty</t>
        </is>
      </c>
      <c r="B6357" s="18" t="n">
        <v>1</v>
      </c>
      <c r="C6357" s="18" t="n">
        <v>2015</v>
      </c>
      <c r="D6357" s="18" t="n">
        <v>2015</v>
      </c>
      <c r="E6357" s="18" t="inlineStr">
        <is>
          <t>Straight Outta Compton</t>
        </is>
      </c>
      <c r="F6357" s="18" t="inlineStr">
        <is>
          <t>F0301</t>
        </is>
      </c>
    </row>
    <row r="6358" ht="15.75" customHeight="1" s="108">
      <c r="A6358" s="18" t="inlineStr">
        <is>
          <t>Rogelio Douglas Jr.</t>
        </is>
      </c>
      <c r="B6358" s="18" t="n">
        <v>1</v>
      </c>
      <c r="C6358" s="18" t="n">
        <v>2015</v>
      </c>
      <c r="D6358" s="18" t="n">
        <v>2015</v>
      </c>
      <c r="E6358" s="18" t="inlineStr">
        <is>
          <t>Straight Outta Compton</t>
        </is>
      </c>
      <c r="F6358" s="18" t="inlineStr">
        <is>
          <t>F0301</t>
        </is>
      </c>
    </row>
    <row r="6359" ht="15.75" customHeight="1" s="108">
      <c r="A6359" s="18" t="inlineStr">
        <is>
          <t>Natascha Hopkins</t>
        </is>
      </c>
      <c r="B6359" s="18" t="n">
        <v>1</v>
      </c>
      <c r="C6359" s="18" t="n">
        <v>2015</v>
      </c>
      <c r="D6359" s="18" t="n">
        <v>2015</v>
      </c>
      <c r="E6359" s="18" t="inlineStr">
        <is>
          <t>Straight Outta Compton</t>
        </is>
      </c>
      <c r="F6359" s="18" t="inlineStr">
        <is>
          <t>F0301</t>
        </is>
      </c>
    </row>
    <row r="6360" ht="15.75" customHeight="1" s="108">
      <c r="A6360" s="18" t="inlineStr">
        <is>
          <t>Matt Corboy</t>
        </is>
      </c>
      <c r="B6360" s="18" t="n">
        <v>1</v>
      </c>
      <c r="C6360" s="18" t="n">
        <v>2015</v>
      </c>
      <c r="D6360" s="18" t="n">
        <v>2015</v>
      </c>
      <c r="E6360" s="18" t="inlineStr">
        <is>
          <t>Straight Outta Compton</t>
        </is>
      </c>
      <c r="F6360" s="18" t="inlineStr">
        <is>
          <t>F0301</t>
        </is>
      </c>
    </row>
    <row r="6361" ht="15.75" customHeight="1" s="108">
      <c r="A6361" s="18" t="inlineStr">
        <is>
          <t>Larry Sullivan</t>
        </is>
      </c>
      <c r="B6361" s="18" t="n">
        <v>1</v>
      </c>
      <c r="C6361" s="18" t="n">
        <v>2015</v>
      </c>
      <c r="D6361" s="18" t="n">
        <v>2015</v>
      </c>
      <c r="E6361" s="18" t="inlineStr">
        <is>
          <t>Straight Outta Compton</t>
        </is>
      </c>
      <c r="F6361" s="18" t="inlineStr">
        <is>
          <t>F0301</t>
        </is>
      </c>
    </row>
    <row r="6362" ht="15.75" customHeight="1" s="108">
      <c r="A6362" s="18" t="inlineStr">
        <is>
          <t>Deborah Lacey</t>
        </is>
      </c>
      <c r="B6362" s="18" t="n">
        <v>1</v>
      </c>
      <c r="C6362" s="18" t="n">
        <v>2015</v>
      </c>
      <c r="D6362" s="18" t="n">
        <v>2015</v>
      </c>
      <c r="E6362" s="18" t="inlineStr">
        <is>
          <t>Straight Outta Compton</t>
        </is>
      </c>
      <c r="F6362" s="18" t="inlineStr">
        <is>
          <t>F0301</t>
        </is>
      </c>
    </row>
    <row r="6363" ht="15.75" customHeight="1" s="108">
      <c r="A6363" s="18" t="inlineStr">
        <is>
          <t>F. Gary Gray</t>
        </is>
      </c>
      <c r="B6363" s="18" t="n">
        <v>1</v>
      </c>
      <c r="C6363" s="18" t="n">
        <v>2015</v>
      </c>
      <c r="D6363" s="18" t="n">
        <v>2015</v>
      </c>
      <c r="E6363" s="18" t="inlineStr">
        <is>
          <t>Straight Outta Compton</t>
        </is>
      </c>
      <c r="F6363" s="18" t="inlineStr">
        <is>
          <t>F0301</t>
        </is>
      </c>
    </row>
    <row r="6364" ht="15.75" customHeight="1" s="108">
      <c r="A6364" s="18" t="inlineStr">
        <is>
          <t>AJ Michalka</t>
        </is>
      </c>
      <c r="B6364" s="18" t="n">
        <v>1</v>
      </c>
      <c r="C6364" s="18" t="n">
        <v>2011</v>
      </c>
      <c r="D6364" s="18" t="n">
        <v>2011</v>
      </c>
      <c r="E6364" s="18" t="inlineStr">
        <is>
          <t>Super 8</t>
        </is>
      </c>
      <c r="F6364" s="18" t="inlineStr">
        <is>
          <t>F0302</t>
        </is>
      </c>
    </row>
    <row r="6365" ht="15.75" customHeight="1" s="108">
      <c r="A6365" s="18" t="inlineStr">
        <is>
          <t>Ryan Lee</t>
        </is>
      </c>
      <c r="B6365" s="18" t="n">
        <v>1</v>
      </c>
      <c r="C6365" s="18" t="n">
        <v>2011</v>
      </c>
      <c r="D6365" s="18" t="n">
        <v>2011</v>
      </c>
      <c r="E6365" s="18" t="inlineStr">
        <is>
          <t>Super 8</t>
        </is>
      </c>
      <c r="F6365" s="18" t="inlineStr">
        <is>
          <t>F0302</t>
        </is>
      </c>
    </row>
    <row r="6366" ht="15.75" customHeight="1" s="108">
      <c r="A6366" s="18" t="inlineStr">
        <is>
          <t>Gabriel Basso</t>
        </is>
      </c>
      <c r="B6366" s="18" t="n">
        <v>1</v>
      </c>
      <c r="C6366" s="18" t="n">
        <v>2011</v>
      </c>
      <c r="D6366" s="18" t="n">
        <v>2011</v>
      </c>
      <c r="E6366" s="18" t="inlineStr">
        <is>
          <t>Super 8</t>
        </is>
      </c>
      <c r="F6366" s="18" t="inlineStr">
        <is>
          <t>F0302</t>
        </is>
      </c>
    </row>
    <row r="6367" ht="15.75" customHeight="1" s="108">
      <c r="A6367" s="18" t="inlineStr">
        <is>
          <t>Zach Mills</t>
        </is>
      </c>
      <c r="B6367" s="18" t="n">
        <v>1</v>
      </c>
      <c r="C6367" s="18" t="n">
        <v>2011</v>
      </c>
      <c r="D6367" s="18" t="n">
        <v>2011</v>
      </c>
      <c r="E6367" s="18" t="inlineStr">
        <is>
          <t>Super 8</t>
        </is>
      </c>
      <c r="F6367" s="18" t="inlineStr">
        <is>
          <t>F0302</t>
        </is>
      </c>
    </row>
    <row r="6368" ht="15.75" customHeight="1" s="108">
      <c r="A6368" s="18" t="inlineStr">
        <is>
          <t>Jessica Tuck</t>
        </is>
      </c>
      <c r="B6368" s="18" t="n">
        <v>1</v>
      </c>
      <c r="C6368" s="18" t="n">
        <v>2011</v>
      </c>
      <c r="D6368" s="18" t="n">
        <v>2011</v>
      </c>
      <c r="E6368" s="18" t="inlineStr">
        <is>
          <t>Super 8</t>
        </is>
      </c>
      <c r="F6368" s="18" t="inlineStr">
        <is>
          <t>F0302</t>
        </is>
      </c>
    </row>
    <row r="6369" ht="15.75" customHeight="1" s="108">
      <c r="A6369" s="18" t="inlineStr">
        <is>
          <t>Joel McKinnon Miller</t>
        </is>
      </c>
      <c r="B6369" s="18" t="n">
        <v>1</v>
      </c>
      <c r="C6369" s="18" t="n">
        <v>2011</v>
      </c>
      <c r="D6369" s="18" t="n">
        <v>2011</v>
      </c>
      <c r="E6369" s="18" t="inlineStr">
        <is>
          <t>Super 8</t>
        </is>
      </c>
      <c r="F6369" s="18" t="inlineStr">
        <is>
          <t>F0302</t>
        </is>
      </c>
    </row>
    <row r="6370" ht="15.75" customHeight="1" s="108">
      <c r="A6370" s="18" t="inlineStr">
        <is>
          <t>Britt Flatmo</t>
        </is>
      </c>
      <c r="B6370" s="18" t="n">
        <v>1</v>
      </c>
      <c r="C6370" s="18" t="n">
        <v>2011</v>
      </c>
      <c r="D6370" s="18" t="n">
        <v>2011</v>
      </c>
      <c r="E6370" s="18" t="inlineStr">
        <is>
          <t>Super 8</t>
        </is>
      </c>
      <c r="F6370" s="18" t="inlineStr">
        <is>
          <t>F0302</t>
        </is>
      </c>
    </row>
    <row r="6371" ht="15.75" customHeight="1" s="108">
      <c r="A6371" s="18" t="inlineStr">
        <is>
          <t>Tom Quinn</t>
        </is>
      </c>
      <c r="B6371" s="18" t="n">
        <v>1</v>
      </c>
      <c r="C6371" s="18" t="n">
        <v>2011</v>
      </c>
      <c r="D6371" s="18" t="n">
        <v>2011</v>
      </c>
      <c r="E6371" s="18" t="inlineStr">
        <is>
          <t>Super 8</t>
        </is>
      </c>
      <c r="F6371" s="18" t="inlineStr">
        <is>
          <t>F0302</t>
        </is>
      </c>
    </row>
    <row r="6372" ht="15.75" customHeight="1" s="108">
      <c r="A6372" s="18" t="inlineStr">
        <is>
          <t>Caitríona Balfe</t>
        </is>
      </c>
      <c r="B6372" s="18" t="n">
        <v>2</v>
      </c>
      <c r="C6372" s="18" t="n">
        <v>2011</v>
      </c>
      <c r="D6372" s="18" t="n">
        <v>2019</v>
      </c>
      <c r="E6372" s="18" t="inlineStr">
        <is>
          <t>Super 8, Le Mans ‘66</t>
        </is>
      </c>
      <c r="F6372" s="18" t="inlineStr">
        <is>
          <t>F0302, F0393</t>
        </is>
      </c>
    </row>
    <row r="6373" ht="15.75" customHeight="1" s="108">
      <c r="A6373" s="18" t="inlineStr">
        <is>
          <t>Amanda Foreman</t>
        </is>
      </c>
      <c r="B6373" s="18" t="n">
        <v>1</v>
      </c>
      <c r="C6373" s="18" t="n">
        <v>2011</v>
      </c>
      <c r="D6373" s="18" t="n">
        <v>2011</v>
      </c>
      <c r="E6373" s="18" t="inlineStr">
        <is>
          <t>Super 8</t>
        </is>
      </c>
      <c r="F6373" s="18" t="inlineStr">
        <is>
          <t>F0302</t>
        </is>
      </c>
    </row>
    <row r="6374" ht="15.75" customHeight="1" s="108">
      <c r="A6374" s="18" t="inlineStr">
        <is>
          <t>David Gallagher</t>
        </is>
      </c>
      <c r="B6374" s="18" t="n">
        <v>1</v>
      </c>
      <c r="C6374" s="18" t="n">
        <v>2011</v>
      </c>
      <c r="D6374" s="18" t="n">
        <v>2011</v>
      </c>
      <c r="E6374" s="18" t="inlineStr">
        <is>
          <t>Super 8</t>
        </is>
      </c>
      <c r="F6374" s="18" t="inlineStr">
        <is>
          <t>F0302</t>
        </is>
      </c>
    </row>
    <row r="6375" ht="15.75" customHeight="1" s="108">
      <c r="A6375" s="18" t="inlineStr">
        <is>
          <t>Bingo O'Malley</t>
        </is>
      </c>
      <c r="B6375" s="18" t="n">
        <v>1</v>
      </c>
      <c r="C6375" s="18" t="n">
        <v>2011</v>
      </c>
      <c r="D6375" s="18" t="n">
        <v>2011</v>
      </c>
      <c r="E6375" s="18" t="inlineStr">
        <is>
          <t>Super 8</t>
        </is>
      </c>
      <c r="F6375" s="18" t="inlineStr">
        <is>
          <t>F0302</t>
        </is>
      </c>
    </row>
    <row r="6376" ht="15.75" customHeight="1" s="108">
      <c r="A6376" s="18" t="inlineStr">
        <is>
          <t>Andrew Miller</t>
        </is>
      </c>
      <c r="B6376" s="18" t="n">
        <v>1</v>
      </c>
      <c r="C6376" s="18" t="n">
        <v>2011</v>
      </c>
      <c r="D6376" s="18" t="n">
        <v>2011</v>
      </c>
      <c r="E6376" s="18" t="inlineStr">
        <is>
          <t>Super 8</t>
        </is>
      </c>
      <c r="F6376" s="18" t="inlineStr">
        <is>
          <t>F0302</t>
        </is>
      </c>
    </row>
    <row r="6377" ht="15.75" customHeight="1" s="108">
      <c r="A6377" s="18" t="inlineStr">
        <is>
          <t>Jakob Miller</t>
        </is>
      </c>
      <c r="B6377" s="18" t="n">
        <v>1</v>
      </c>
      <c r="C6377" s="18" t="n">
        <v>2011</v>
      </c>
      <c r="D6377" s="18" t="n">
        <v>2011</v>
      </c>
      <c r="E6377" s="18" t="inlineStr">
        <is>
          <t>Super 8</t>
        </is>
      </c>
      <c r="F6377" s="18" t="inlineStr">
        <is>
          <t>F0302</t>
        </is>
      </c>
    </row>
    <row r="6378" ht="15.75" customHeight="1" s="108">
      <c r="A6378" s="18" t="inlineStr">
        <is>
          <t>Robert B. Quiroz</t>
        </is>
      </c>
      <c r="B6378" s="18" t="n">
        <v>1</v>
      </c>
      <c r="C6378" s="18" t="n">
        <v>2011</v>
      </c>
      <c r="D6378" s="18" t="n">
        <v>2011</v>
      </c>
      <c r="E6378" s="18" t="inlineStr">
        <is>
          <t>Super 8</t>
        </is>
      </c>
      <c r="F6378" s="18" t="inlineStr">
        <is>
          <t>F0302</t>
        </is>
      </c>
    </row>
    <row r="6379" ht="15.75" customHeight="1" s="108">
      <c r="A6379" s="18" t="inlineStr">
        <is>
          <t>Koa Melvin</t>
        </is>
      </c>
      <c r="B6379" s="18" t="n">
        <v>1</v>
      </c>
      <c r="C6379" s="18" t="n">
        <v>2011</v>
      </c>
      <c r="D6379" s="18" t="n">
        <v>2011</v>
      </c>
      <c r="E6379" s="18" t="inlineStr">
        <is>
          <t>Super 8</t>
        </is>
      </c>
      <c r="F6379" s="18" t="inlineStr">
        <is>
          <t>F0302</t>
        </is>
      </c>
    </row>
    <row r="6380" ht="15.75" customHeight="1" s="108">
      <c r="A6380" s="18" t="inlineStr">
        <is>
          <t>Martha MacIsaac</t>
        </is>
      </c>
      <c r="B6380" s="18" t="n">
        <v>1</v>
      </c>
      <c r="C6380" s="18" t="n">
        <v>2007</v>
      </c>
      <c r="D6380" s="18" t="n">
        <v>2007</v>
      </c>
      <c r="E6380" s="18" t="inlineStr">
        <is>
          <t>Superbad</t>
        </is>
      </c>
      <c r="F6380" s="18" t="inlineStr">
        <is>
          <t>F0303</t>
        </is>
      </c>
    </row>
    <row r="6381" ht="15.75" customHeight="1" s="108">
      <c r="A6381" s="18" t="inlineStr">
        <is>
          <t>Aviva Baumann</t>
        </is>
      </c>
      <c r="B6381" s="18" t="n">
        <v>1</v>
      </c>
      <c r="C6381" s="18" t="n">
        <v>2007</v>
      </c>
      <c r="D6381" s="18" t="n">
        <v>2007</v>
      </c>
      <c r="E6381" s="18" t="inlineStr">
        <is>
          <t>Superbad</t>
        </is>
      </c>
      <c r="F6381" s="18" t="inlineStr">
        <is>
          <t>F0303</t>
        </is>
      </c>
    </row>
    <row r="6382" ht="15.75" customHeight="1" s="108">
      <c r="A6382" s="18" t="inlineStr">
        <is>
          <t>Clement Blake</t>
        </is>
      </c>
      <c r="B6382" s="18" t="n">
        <v>1</v>
      </c>
      <c r="C6382" s="18" t="n">
        <v>2007</v>
      </c>
      <c r="D6382" s="18" t="n">
        <v>2007</v>
      </c>
      <c r="E6382" s="18" t="inlineStr">
        <is>
          <t>Superbad</t>
        </is>
      </c>
      <c r="F6382" s="18" t="inlineStr">
        <is>
          <t>F0303</t>
        </is>
      </c>
    </row>
    <row r="6383" ht="15.75" customHeight="1" s="108">
      <c r="A6383" s="18" t="inlineStr">
        <is>
          <t>Erica Vittina Phillips</t>
        </is>
      </c>
      <c r="B6383" s="18" t="n">
        <v>1</v>
      </c>
      <c r="C6383" s="18" t="n">
        <v>2007</v>
      </c>
      <c r="D6383" s="18" t="n">
        <v>2007</v>
      </c>
      <c r="E6383" s="18" t="inlineStr">
        <is>
          <t>Superbad</t>
        </is>
      </c>
      <c r="F6383" s="18" t="inlineStr">
        <is>
          <t>F0303</t>
        </is>
      </c>
    </row>
    <row r="6384" ht="15.75" customHeight="1" s="108">
      <c r="A6384" s="18" t="inlineStr">
        <is>
          <t>Scott Gerbacia</t>
        </is>
      </c>
      <c r="B6384" s="18" t="n">
        <v>1</v>
      </c>
      <c r="C6384" s="18" t="n">
        <v>2007</v>
      </c>
      <c r="D6384" s="18" t="n">
        <v>2007</v>
      </c>
      <c r="E6384" s="18" t="inlineStr">
        <is>
          <t>Superbad</t>
        </is>
      </c>
      <c r="F6384" s="18" t="inlineStr">
        <is>
          <t>F0303</t>
        </is>
      </c>
    </row>
    <row r="6385" ht="15.75" customHeight="1" s="108">
      <c r="A6385" s="18" t="inlineStr">
        <is>
          <t>Laura Seay</t>
        </is>
      </c>
      <c r="B6385" s="18" t="n">
        <v>1</v>
      </c>
      <c r="C6385" s="18" t="n">
        <v>2007</v>
      </c>
      <c r="D6385" s="18" t="n">
        <v>2007</v>
      </c>
      <c r="E6385" s="18" t="inlineStr">
        <is>
          <t>Superbad</t>
        </is>
      </c>
      <c r="F6385" s="18" t="inlineStr">
        <is>
          <t>F0303</t>
        </is>
      </c>
    </row>
    <row r="6386" ht="15.75" customHeight="1" s="108">
      <c r="A6386" s="18" t="inlineStr">
        <is>
          <t>Roger Iwami</t>
        </is>
      </c>
      <c r="B6386" s="18" t="n">
        <v>1</v>
      </c>
      <c r="C6386" s="18" t="n">
        <v>2007</v>
      </c>
      <c r="D6386" s="18" t="n">
        <v>2007</v>
      </c>
      <c r="E6386" s="18" t="inlineStr">
        <is>
          <t>Superbad</t>
        </is>
      </c>
      <c r="F6386" s="18" t="inlineStr">
        <is>
          <t>F0303</t>
        </is>
      </c>
    </row>
    <row r="6387" ht="15.75" customHeight="1" s="108">
      <c r="A6387" s="18" t="inlineStr">
        <is>
          <t>Clint Mabry</t>
        </is>
      </c>
      <c r="B6387" s="18" t="n">
        <v>1</v>
      </c>
      <c r="C6387" s="18" t="n">
        <v>2007</v>
      </c>
      <c r="D6387" s="18" t="n">
        <v>2007</v>
      </c>
      <c r="E6387" s="18" t="inlineStr">
        <is>
          <t>Superbad</t>
        </is>
      </c>
      <c r="F6387" s="18" t="inlineStr">
        <is>
          <t>F0303</t>
        </is>
      </c>
    </row>
    <row r="6388" ht="15.75" customHeight="1" s="108">
      <c r="A6388" s="18" t="inlineStr">
        <is>
          <t>Stacy Edwards</t>
        </is>
      </c>
      <c r="B6388" s="18" t="n">
        <v>1</v>
      </c>
      <c r="C6388" s="18" t="n">
        <v>2007</v>
      </c>
      <c r="D6388" s="18" t="n">
        <v>2007</v>
      </c>
      <c r="E6388" s="18" t="inlineStr">
        <is>
          <t>Superbad</t>
        </is>
      </c>
      <c r="F6388" s="18" t="inlineStr">
        <is>
          <t>F0303</t>
        </is>
      </c>
    </row>
    <row r="6389" ht="15.75" customHeight="1" s="108">
      <c r="A6389" s="18" t="inlineStr">
        <is>
          <t>Mark Rogen</t>
        </is>
      </c>
      <c r="B6389" s="18" t="n">
        <v>1</v>
      </c>
      <c r="C6389" s="18" t="n">
        <v>2007</v>
      </c>
      <c r="D6389" s="18" t="n">
        <v>2007</v>
      </c>
      <c r="E6389" s="18" t="inlineStr">
        <is>
          <t>Superbad</t>
        </is>
      </c>
      <c r="F6389" s="18" t="inlineStr">
        <is>
          <t>F0303</t>
        </is>
      </c>
    </row>
    <row r="6390" ht="15.75" customHeight="1" s="108">
      <c r="A6390" s="18" t="inlineStr">
        <is>
          <t>Charlie Hartsock</t>
        </is>
      </c>
      <c r="B6390" s="18" t="n">
        <v>1</v>
      </c>
      <c r="C6390" s="18" t="n">
        <v>2007</v>
      </c>
      <c r="D6390" s="18" t="n">
        <v>2007</v>
      </c>
      <c r="E6390" s="18" t="inlineStr">
        <is>
          <t>Superbad</t>
        </is>
      </c>
      <c r="F6390" s="18" t="inlineStr">
        <is>
          <t>F0303</t>
        </is>
      </c>
    </row>
    <row r="6391" ht="15.75" customHeight="1" s="108">
      <c r="A6391" s="18" t="inlineStr">
        <is>
          <t>Dona Hardy</t>
        </is>
      </c>
      <c r="B6391" s="18" t="n">
        <v>1</v>
      </c>
      <c r="C6391" s="18" t="n">
        <v>2007</v>
      </c>
      <c r="D6391" s="18" t="n">
        <v>2007</v>
      </c>
      <c r="E6391" s="18" t="inlineStr">
        <is>
          <t>Superbad</t>
        </is>
      </c>
      <c r="F6391" s="18" t="inlineStr">
        <is>
          <t>F0303</t>
        </is>
      </c>
    </row>
    <row r="6392" ht="15.75" customHeight="1" s="108">
      <c r="A6392" s="18" t="inlineStr">
        <is>
          <t>Charley Rossman</t>
        </is>
      </c>
      <c r="B6392" s="18" t="n">
        <v>1</v>
      </c>
      <c r="C6392" s="18" t="n">
        <v>2007</v>
      </c>
      <c r="D6392" s="18" t="n">
        <v>2007</v>
      </c>
      <c r="E6392" s="18" t="inlineStr">
        <is>
          <t>Superbad</t>
        </is>
      </c>
      <c r="F6392" s="18" t="inlineStr">
        <is>
          <t>F0303</t>
        </is>
      </c>
    </row>
    <row r="6393" ht="15.75" customHeight="1" s="108">
      <c r="A6393" s="18" t="inlineStr">
        <is>
          <t>Ben Best</t>
        </is>
      </c>
      <c r="B6393" s="18" t="n">
        <v>1</v>
      </c>
      <c r="C6393" s="18" t="n">
        <v>2007</v>
      </c>
      <c r="D6393" s="18" t="n">
        <v>2007</v>
      </c>
      <c r="E6393" s="18" t="inlineStr">
        <is>
          <t>Superbad</t>
        </is>
      </c>
      <c r="F6393" s="18" t="inlineStr">
        <is>
          <t>F0303</t>
        </is>
      </c>
    </row>
    <row r="6394" ht="15.75" customHeight="1" s="108">
      <c r="A6394" s="18" t="inlineStr">
        <is>
          <t>Jody Hill</t>
        </is>
      </c>
      <c r="B6394" s="18" t="n">
        <v>1</v>
      </c>
      <c r="C6394" s="18" t="n">
        <v>2007</v>
      </c>
      <c r="D6394" s="18" t="n">
        <v>2007</v>
      </c>
      <c r="E6394" s="18" t="inlineStr">
        <is>
          <t>Superbad</t>
        </is>
      </c>
      <c r="F6394" s="18" t="inlineStr">
        <is>
          <t>F0303</t>
        </is>
      </c>
    </row>
    <row r="6395" ht="15.75" customHeight="1" s="108">
      <c r="A6395" s="18" t="inlineStr">
        <is>
          <t>Kevin Breznahan</t>
        </is>
      </c>
      <c r="B6395" s="18" t="n">
        <v>1</v>
      </c>
      <c r="C6395" s="18" t="n">
        <v>2007</v>
      </c>
      <c r="D6395" s="18" t="n">
        <v>2007</v>
      </c>
      <c r="E6395" s="18" t="inlineStr">
        <is>
          <t>Superbad</t>
        </is>
      </c>
      <c r="F6395" s="18" t="inlineStr">
        <is>
          <t>F0303</t>
        </is>
      </c>
    </row>
    <row r="6396" ht="15.75" customHeight="1" s="108">
      <c r="A6396" s="18" t="inlineStr">
        <is>
          <t>Mousa Kraish</t>
        </is>
      </c>
      <c r="B6396" s="18" t="n">
        <v>2</v>
      </c>
      <c r="C6396" s="18" t="n">
        <v>2007</v>
      </c>
      <c r="D6396" s="18" t="n">
        <v>2009</v>
      </c>
      <c r="E6396" s="18" t="inlineStr">
        <is>
          <t>Superbad, Fast &amp; Furious</t>
        </is>
      </c>
      <c r="F6396" s="18" t="inlineStr">
        <is>
          <t>F0303, F0104</t>
        </is>
      </c>
    </row>
    <row r="6397" ht="15.75" customHeight="1" s="108">
      <c r="A6397" s="18" t="inlineStr">
        <is>
          <t>Isabela Merced</t>
        </is>
      </c>
      <c r="B6397" s="18" t="n">
        <v>3</v>
      </c>
      <c r="C6397" s="18" t="n">
        <v>2017</v>
      </c>
      <c r="D6397" s="18" t="n">
        <v>2025</v>
      </c>
      <c r="E6397" s="18" t="inlineStr">
        <is>
          <t>Superman, Transformers: The Last Knight, alien romulus</t>
        </is>
      </c>
      <c r="F6397" s="18" t="inlineStr">
        <is>
          <t>F0304, F0320, F0362</t>
        </is>
      </c>
    </row>
    <row r="6398" ht="15.75" customHeight="1" s="108">
      <c r="A6398" s="18" t="inlineStr">
        <is>
          <t>María Gabriela de Faría</t>
        </is>
      </c>
      <c r="B6398" s="18" t="n">
        <v>1</v>
      </c>
      <c r="C6398" s="18" t="n">
        <v>2025</v>
      </c>
      <c r="D6398" s="18" t="n">
        <v>2025</v>
      </c>
      <c r="E6398" s="18" t="inlineStr">
        <is>
          <t>Superman</t>
        </is>
      </c>
      <c r="F6398" s="18" t="inlineStr">
        <is>
          <t>F0304</t>
        </is>
      </c>
    </row>
    <row r="6399" ht="15.75" customHeight="1" s="108">
      <c r="A6399" s="18" t="inlineStr">
        <is>
          <t>Skyler Gisondo</t>
        </is>
      </c>
      <c r="B6399" s="18" t="n">
        <v>2</v>
      </c>
      <c r="C6399" s="18" t="n">
        <v>2014</v>
      </c>
      <c r="D6399" s="18" t="n">
        <v>2025</v>
      </c>
      <c r="E6399" s="18" t="inlineStr">
        <is>
          <t>Superman, amazing spider-man 2</t>
        </is>
      </c>
      <c r="F6399" s="18" t="inlineStr">
        <is>
          <t>F0304, F0363</t>
        </is>
      </c>
    </row>
    <row r="6400" ht="15.75" customHeight="1" s="108">
      <c r="A6400" s="18" t="inlineStr">
        <is>
          <t>Grace Chan</t>
        </is>
      </c>
      <c r="B6400" s="18" t="n">
        <v>1</v>
      </c>
      <c r="C6400" s="18" t="n">
        <v>2025</v>
      </c>
      <c r="D6400" s="18" t="n">
        <v>2025</v>
      </c>
      <c r="E6400" s="18" t="inlineStr">
        <is>
          <t>Superman</t>
        </is>
      </c>
      <c r="F6400" s="18" t="inlineStr">
        <is>
          <t>F0304</t>
        </is>
      </c>
    </row>
    <row r="6401" ht="15.75" customHeight="1" s="108">
      <c r="A6401" s="18" t="inlineStr">
        <is>
          <t>Angela Sarafyan</t>
        </is>
      </c>
      <c r="B6401" s="18" t="n">
        <v>1</v>
      </c>
      <c r="C6401" s="18" t="n">
        <v>2025</v>
      </c>
      <c r="D6401" s="18" t="n">
        <v>2025</v>
      </c>
      <c r="E6401" s="18" t="inlineStr">
        <is>
          <t>Superman</t>
        </is>
      </c>
      <c r="F6401" s="18" t="inlineStr">
        <is>
          <t>F0304</t>
        </is>
      </c>
    </row>
    <row r="6402" ht="15.75" customHeight="1" s="108">
      <c r="A6402" s="18" t="inlineStr">
        <is>
          <t>Sara Sampaio</t>
        </is>
      </c>
      <c r="B6402" s="18" t="n">
        <v>1</v>
      </c>
      <c r="C6402" s="18" t="n">
        <v>2025</v>
      </c>
      <c r="D6402" s="18" t="n">
        <v>2025</v>
      </c>
      <c r="E6402" s="18" t="inlineStr">
        <is>
          <t>Superman</t>
        </is>
      </c>
      <c r="F6402" s="18" t="inlineStr">
        <is>
          <t>F0304</t>
        </is>
      </c>
    </row>
    <row r="6403" ht="15.75" customHeight="1" s="108">
      <c r="A6403" s="18" t="inlineStr">
        <is>
          <t>Tatiana Piper</t>
        </is>
      </c>
      <c r="B6403" s="18" t="n">
        <v>1</v>
      </c>
      <c r="C6403" s="18" t="n">
        <v>2025</v>
      </c>
      <c r="D6403" s="18" t="n">
        <v>2025</v>
      </c>
      <c r="E6403" s="18" t="inlineStr">
        <is>
          <t>Superman</t>
        </is>
      </c>
      <c r="F6403" s="18" t="inlineStr">
        <is>
          <t>F0304</t>
        </is>
      </c>
    </row>
    <row r="6404" ht="15.75" customHeight="1" s="108">
      <c r="A6404" s="18" t="inlineStr">
        <is>
          <t>Stephen Blackehart</t>
        </is>
      </c>
      <c r="B6404" s="18" t="n">
        <v>1</v>
      </c>
      <c r="C6404" s="18" t="n">
        <v>2025</v>
      </c>
      <c r="D6404" s="18" t="n">
        <v>2025</v>
      </c>
      <c r="E6404" s="18" t="inlineStr">
        <is>
          <t>Superman</t>
        </is>
      </c>
      <c r="F6404" s="18" t="inlineStr">
        <is>
          <t>F0304</t>
        </is>
      </c>
    </row>
    <row r="6405" ht="15.75" customHeight="1" s="108">
      <c r="A6405" s="18" t="inlineStr">
        <is>
          <t>Giovannie Cruz</t>
        </is>
      </c>
      <c r="B6405" s="18" t="n">
        <v>1</v>
      </c>
      <c r="C6405" s="18" t="n">
        <v>2025</v>
      </c>
      <c r="D6405" s="18" t="n">
        <v>2025</v>
      </c>
      <c r="E6405" s="18" t="inlineStr">
        <is>
          <t>Superman</t>
        </is>
      </c>
      <c r="F6405" s="18" t="inlineStr">
        <is>
          <t>F0304</t>
        </is>
      </c>
    </row>
    <row r="6406" ht="15.75" customHeight="1" s="108">
      <c r="A6406" s="18" t="inlineStr">
        <is>
          <t>Bonnie Discepolo</t>
        </is>
      </c>
      <c r="B6406" s="18" t="n">
        <v>1</v>
      </c>
      <c r="C6406" s="18" t="n">
        <v>2025</v>
      </c>
      <c r="D6406" s="18" t="n">
        <v>2025</v>
      </c>
      <c r="E6406" s="18" t="inlineStr">
        <is>
          <t>Superman</t>
        </is>
      </c>
      <c r="F6406" s="18" t="inlineStr">
        <is>
          <t>F0304</t>
        </is>
      </c>
    </row>
    <row r="6407" ht="15.75" customHeight="1" s="108">
      <c r="A6407" s="18" t="inlineStr">
        <is>
          <t>Natasha Halevi</t>
        </is>
      </c>
      <c r="B6407" s="18" t="n">
        <v>1</v>
      </c>
      <c r="C6407" s="18" t="n">
        <v>2025</v>
      </c>
      <c r="D6407" s="18" t="n">
        <v>2025</v>
      </c>
      <c r="E6407" s="18" t="inlineStr">
        <is>
          <t>Superman</t>
        </is>
      </c>
      <c r="F6407" s="18" t="inlineStr">
        <is>
          <t>F0304</t>
        </is>
      </c>
    </row>
    <row r="6408" ht="15.75" customHeight="1" s="108">
      <c r="A6408" s="18" t="inlineStr">
        <is>
          <t>Adriana Leonard</t>
        </is>
      </c>
      <c r="B6408" s="18" t="n">
        <v>1</v>
      </c>
      <c r="C6408" s="18" t="n">
        <v>2025</v>
      </c>
      <c r="D6408" s="18" t="n">
        <v>2025</v>
      </c>
      <c r="E6408" s="18" t="inlineStr">
        <is>
          <t>Superman</t>
        </is>
      </c>
      <c r="F6408" s="18" t="inlineStr">
        <is>
          <t>F0304</t>
        </is>
      </c>
    </row>
    <row r="6409" ht="15.75" customHeight="1" s="108">
      <c r="A6409" s="18" t="inlineStr">
        <is>
          <t>Paul Kim</t>
        </is>
      </c>
      <c r="B6409" s="18" t="n">
        <v>1</v>
      </c>
      <c r="C6409" s="18" t="n">
        <v>2025</v>
      </c>
      <c r="D6409" s="18" t="n">
        <v>2025</v>
      </c>
      <c r="E6409" s="18" t="inlineStr">
        <is>
          <t>Superman</t>
        </is>
      </c>
      <c r="F6409" s="18" t="inlineStr">
        <is>
          <t>F0304</t>
        </is>
      </c>
    </row>
    <row r="6410" ht="15.75" customHeight="1" s="108">
      <c r="A6410" s="18" t="inlineStr">
        <is>
          <t>Jonah Lees</t>
        </is>
      </c>
      <c r="B6410" s="18" t="n">
        <v>1</v>
      </c>
      <c r="C6410" s="18" t="n">
        <v>2025</v>
      </c>
      <c r="D6410" s="18" t="n">
        <v>2025</v>
      </c>
      <c r="E6410" s="18" t="inlineStr">
        <is>
          <t>Superman</t>
        </is>
      </c>
      <c r="F6410" s="18" t="inlineStr">
        <is>
          <t>F0304</t>
        </is>
      </c>
    </row>
    <row r="6411" ht="15.75" customHeight="1" s="108">
      <c r="A6411" s="18" t="inlineStr">
        <is>
          <t>Christian Lees</t>
        </is>
      </c>
      <c r="B6411" s="18" t="n">
        <v>1</v>
      </c>
      <c r="C6411" s="18" t="n">
        <v>2025</v>
      </c>
      <c r="D6411" s="18" t="n">
        <v>2025</v>
      </c>
      <c r="E6411" s="18" t="inlineStr">
        <is>
          <t>Superman</t>
        </is>
      </c>
      <c r="F6411" s="18" t="inlineStr">
        <is>
          <t>F0304</t>
        </is>
      </c>
    </row>
    <row r="6412" ht="15.75" customHeight="1" s="108">
      <c r="A6412" s="18" t="inlineStr">
        <is>
          <t>Dinesh Thyagarajan</t>
        </is>
      </c>
      <c r="B6412" s="18" t="n">
        <v>1</v>
      </c>
      <c r="C6412" s="18" t="n">
        <v>2025</v>
      </c>
      <c r="D6412" s="18" t="n">
        <v>2025</v>
      </c>
      <c r="E6412" s="18" t="inlineStr">
        <is>
          <t>Superman</t>
        </is>
      </c>
      <c r="F6412" s="18" t="inlineStr">
        <is>
          <t>F0304</t>
        </is>
      </c>
    </row>
    <row r="6413" ht="15.75" customHeight="1" s="108">
      <c r="A6413" s="18" t="inlineStr">
        <is>
          <t>Rudy Quintanilla</t>
        </is>
      </c>
      <c r="B6413" s="18" t="n">
        <v>1</v>
      </c>
      <c r="C6413" s="18" t="n">
        <v>2025</v>
      </c>
      <c r="D6413" s="18" t="n">
        <v>2025</v>
      </c>
      <c r="E6413" s="18" t="inlineStr">
        <is>
          <t>Superman</t>
        </is>
      </c>
      <c r="F6413" s="18" t="inlineStr">
        <is>
          <t>F0304</t>
        </is>
      </c>
    </row>
    <row r="6414" ht="15.75" customHeight="1" s="108">
      <c r="A6414" s="18" t="inlineStr">
        <is>
          <t>Ryan J. Pezdirc</t>
        </is>
      </c>
      <c r="B6414" s="18" t="n">
        <v>1</v>
      </c>
      <c r="C6414" s="18" t="n">
        <v>2025</v>
      </c>
      <c r="D6414" s="18" t="n">
        <v>2025</v>
      </c>
      <c r="E6414" s="18" t="inlineStr">
        <is>
          <t>Superman</t>
        </is>
      </c>
      <c r="F6414" s="18" t="inlineStr">
        <is>
          <t>F0304</t>
        </is>
      </c>
    </row>
    <row r="6415" ht="15.75" customHeight="1" s="108">
      <c r="A6415" s="18" t="inlineStr">
        <is>
          <t>Michael Ian Black</t>
        </is>
      </c>
      <c r="B6415" s="18" t="n">
        <v>1</v>
      </c>
      <c r="C6415" s="18" t="n">
        <v>2025</v>
      </c>
      <c r="D6415" s="18" t="n">
        <v>2025</v>
      </c>
      <c r="E6415" s="18" t="inlineStr">
        <is>
          <t>Superman</t>
        </is>
      </c>
      <c r="F6415" s="18" t="inlineStr">
        <is>
          <t>F0304</t>
        </is>
      </c>
    </row>
    <row r="6416" ht="15.75" customHeight="1" s="108">
      <c r="A6416" s="18" t="inlineStr">
        <is>
          <t>Caroline Chikezie</t>
        </is>
      </c>
      <c r="B6416" s="18" t="n">
        <v>1</v>
      </c>
      <c r="C6416" s="18" t="n">
        <v>2012</v>
      </c>
      <c r="D6416" s="18" t="n">
        <v>2012</v>
      </c>
      <c r="E6416" s="18" t="inlineStr">
        <is>
          <t>The Sweeney</t>
        </is>
      </c>
      <c r="F6416" s="18" t="inlineStr">
        <is>
          <t>F0305</t>
        </is>
      </c>
    </row>
    <row r="6417" ht="15.75" customHeight="1" s="108">
      <c r="A6417" s="18" t="inlineStr">
        <is>
          <t>Ronnie Fox</t>
        </is>
      </c>
      <c r="B6417" s="18" t="n">
        <v>1</v>
      </c>
      <c r="C6417" s="18" t="n">
        <v>2012</v>
      </c>
      <c r="D6417" s="18" t="n">
        <v>2012</v>
      </c>
      <c r="E6417" s="18" t="inlineStr">
        <is>
          <t>The Sweeney</t>
        </is>
      </c>
      <c r="F6417" s="18" t="inlineStr">
        <is>
          <t>F0305</t>
        </is>
      </c>
    </row>
    <row r="6418" ht="15.75" customHeight="1" s="108">
      <c r="A6418" s="18" t="inlineStr">
        <is>
          <t>Michael Wildman</t>
        </is>
      </c>
      <c r="B6418" s="18" t="n">
        <v>1</v>
      </c>
      <c r="C6418" s="18" t="n">
        <v>2012</v>
      </c>
      <c r="D6418" s="18" t="n">
        <v>2012</v>
      </c>
      <c r="E6418" s="18" t="inlineStr">
        <is>
          <t>The Sweeney</t>
        </is>
      </c>
      <c r="F6418" s="18" t="inlineStr">
        <is>
          <t>F0305</t>
        </is>
      </c>
    </row>
    <row r="6419" ht="15.75" customHeight="1" s="108">
      <c r="A6419" s="18" t="inlineStr">
        <is>
          <t>Kara Tointon</t>
        </is>
      </c>
      <c r="B6419" s="18" t="n">
        <v>1</v>
      </c>
      <c r="C6419" s="18" t="n">
        <v>2012</v>
      </c>
      <c r="D6419" s="18" t="n">
        <v>2012</v>
      </c>
      <c r="E6419" s="18" t="inlineStr">
        <is>
          <t>The Sweeney</t>
        </is>
      </c>
      <c r="F6419" s="18" t="inlineStr">
        <is>
          <t>F0305</t>
        </is>
      </c>
    </row>
    <row r="6420" ht="15.75" customHeight="1" s="108">
      <c r="A6420" s="18" t="inlineStr">
        <is>
          <t>Kevin Michaels</t>
        </is>
      </c>
      <c r="B6420" s="18" t="n">
        <v>1</v>
      </c>
      <c r="C6420" s="18" t="n">
        <v>2012</v>
      </c>
      <c r="D6420" s="18" t="n">
        <v>2012</v>
      </c>
      <c r="E6420" s="18" t="inlineStr">
        <is>
          <t>The Sweeney</t>
        </is>
      </c>
      <c r="F6420" s="18" t="inlineStr">
        <is>
          <t>F0305</t>
        </is>
      </c>
    </row>
    <row r="6421" ht="15.75" customHeight="1" s="108">
      <c r="A6421" s="18" t="inlineStr">
        <is>
          <t>Tayo Walker-Allen</t>
        </is>
      </c>
      <c r="B6421" s="18" t="n">
        <v>1</v>
      </c>
      <c r="C6421" s="18" t="n">
        <v>2012</v>
      </c>
      <c r="D6421" s="18" t="n">
        <v>2012</v>
      </c>
      <c r="E6421" s="18" t="inlineStr">
        <is>
          <t>The Sweeney</t>
        </is>
      </c>
      <c r="F6421" s="18" t="inlineStr">
        <is>
          <t>F0305</t>
        </is>
      </c>
    </row>
    <row r="6422" ht="15.75" customHeight="1" s="108">
      <c r="A6422" s="18" t="inlineStr">
        <is>
          <t>Allan Corduner</t>
        </is>
      </c>
      <c r="B6422" s="18" t="n">
        <v>1</v>
      </c>
      <c r="C6422" s="18" t="n">
        <v>2012</v>
      </c>
      <c r="D6422" s="18" t="n">
        <v>2012</v>
      </c>
      <c r="E6422" s="18" t="inlineStr">
        <is>
          <t>The Sweeney</t>
        </is>
      </c>
      <c r="F6422" s="18" t="inlineStr">
        <is>
          <t>F0305</t>
        </is>
      </c>
    </row>
    <row r="6423" ht="15.75" customHeight="1" s="108">
      <c r="A6423" s="18" t="inlineStr">
        <is>
          <t>Nick Nevern</t>
        </is>
      </c>
      <c r="B6423" s="18" t="n">
        <v>1</v>
      </c>
      <c r="C6423" s="18" t="n">
        <v>2012</v>
      </c>
      <c r="D6423" s="18" t="n">
        <v>2012</v>
      </c>
      <c r="E6423" s="18" t="inlineStr">
        <is>
          <t>The Sweeney</t>
        </is>
      </c>
      <c r="F6423" s="18" t="inlineStr">
        <is>
          <t>F0305</t>
        </is>
      </c>
    </row>
    <row r="6424" ht="15.75" customHeight="1" s="108">
      <c r="A6424" s="18" t="inlineStr">
        <is>
          <t>Dean Harrison</t>
        </is>
      </c>
      <c r="B6424" s="18" t="n">
        <v>1</v>
      </c>
      <c r="C6424" s="18" t="n">
        <v>2012</v>
      </c>
      <c r="D6424" s="18" t="n">
        <v>2012</v>
      </c>
      <c r="E6424" s="18" t="inlineStr">
        <is>
          <t>The Sweeney</t>
        </is>
      </c>
      <c r="F6424" s="18" t="inlineStr">
        <is>
          <t>F0305</t>
        </is>
      </c>
    </row>
    <row r="6425" ht="15.75" customHeight="1" s="108">
      <c r="A6425" s="18" t="inlineStr">
        <is>
          <t>George Anton</t>
        </is>
      </c>
      <c r="B6425" s="18" t="n">
        <v>1</v>
      </c>
      <c r="C6425" s="18" t="n">
        <v>2012</v>
      </c>
      <c r="D6425" s="18" t="n">
        <v>2012</v>
      </c>
      <c r="E6425" s="18" t="inlineStr">
        <is>
          <t>The Sweeney</t>
        </is>
      </c>
      <c r="F6425" s="18" t="inlineStr">
        <is>
          <t>F0305</t>
        </is>
      </c>
    </row>
    <row r="6426" ht="15.75" customHeight="1" s="108">
      <c r="A6426" s="18" t="inlineStr">
        <is>
          <t>Marina Niel</t>
        </is>
      </c>
      <c r="B6426" s="18" t="n">
        <v>1</v>
      </c>
      <c r="C6426" s="18" t="n">
        <v>2012</v>
      </c>
      <c r="D6426" s="18" t="n">
        <v>2012</v>
      </c>
      <c r="E6426" s="18" t="inlineStr">
        <is>
          <t>The Sweeney</t>
        </is>
      </c>
      <c r="F6426" s="18" t="inlineStr">
        <is>
          <t>F0305</t>
        </is>
      </c>
    </row>
    <row r="6427" ht="15.75" customHeight="1" s="108">
      <c r="A6427" s="18" t="inlineStr">
        <is>
          <t>John Warnaby</t>
        </is>
      </c>
      <c r="B6427" s="18" t="n">
        <v>1</v>
      </c>
      <c r="C6427" s="18" t="n">
        <v>2012</v>
      </c>
      <c r="D6427" s="18" t="n">
        <v>2012</v>
      </c>
      <c r="E6427" s="18" t="inlineStr">
        <is>
          <t>The Sweeney</t>
        </is>
      </c>
      <c r="F6427" s="18" t="inlineStr">
        <is>
          <t>F0305</t>
        </is>
      </c>
    </row>
    <row r="6428" ht="15.75" customHeight="1" s="108">
      <c r="A6428" s="18" t="inlineStr">
        <is>
          <t>Lee Whitlock</t>
        </is>
      </c>
      <c r="B6428" s="18" t="n">
        <v>1</v>
      </c>
      <c r="C6428" s="18" t="n">
        <v>2012</v>
      </c>
      <c r="D6428" s="18" t="n">
        <v>2012</v>
      </c>
      <c r="E6428" s="18" t="inlineStr">
        <is>
          <t>The Sweeney</t>
        </is>
      </c>
      <c r="F6428" s="18" t="inlineStr">
        <is>
          <t>F0305</t>
        </is>
      </c>
    </row>
    <row r="6429" ht="15.75" customHeight="1" s="108">
      <c r="A6429" s="18" t="inlineStr">
        <is>
          <t>Joan Blackham</t>
        </is>
      </c>
      <c r="B6429" s="18" t="n">
        <v>1</v>
      </c>
      <c r="C6429" s="18" t="n">
        <v>2012</v>
      </c>
      <c r="D6429" s="18" t="n">
        <v>2012</v>
      </c>
      <c r="E6429" s="18" t="inlineStr">
        <is>
          <t>The Sweeney</t>
        </is>
      </c>
      <c r="F6429" s="18" t="inlineStr">
        <is>
          <t>F0305</t>
        </is>
      </c>
    </row>
    <row r="6430" ht="15.75" customHeight="1" s="108">
      <c r="A6430" s="18" t="inlineStr">
        <is>
          <t>Zora Suleman</t>
        </is>
      </c>
      <c r="B6430" s="18" t="n">
        <v>1</v>
      </c>
      <c r="C6430" s="18" t="n">
        <v>2012</v>
      </c>
      <c r="D6430" s="18" t="n">
        <v>2012</v>
      </c>
      <c r="E6430" s="18" t="inlineStr">
        <is>
          <t>The Sweeney</t>
        </is>
      </c>
      <c r="F6430" s="18" t="inlineStr">
        <is>
          <t>F0305</t>
        </is>
      </c>
    </row>
    <row r="6431" ht="15.75" customHeight="1" s="108">
      <c r="A6431" s="18" t="inlineStr">
        <is>
          <t>Josh Myers</t>
        </is>
      </c>
      <c r="B6431" s="18" t="n">
        <v>1</v>
      </c>
      <c r="C6431" s="18" t="n">
        <v>2012</v>
      </c>
      <c r="D6431" s="18" t="n">
        <v>2012</v>
      </c>
      <c r="E6431" s="18" t="inlineStr">
        <is>
          <t>The Sweeney</t>
        </is>
      </c>
      <c r="F6431" s="18" t="inlineStr">
        <is>
          <t>F0305</t>
        </is>
      </c>
    </row>
    <row r="6432" ht="15.75" customHeight="1" s="108">
      <c r="A6432" s="18" t="inlineStr">
        <is>
          <t>Florence Brudenell-Bruce</t>
        </is>
      </c>
      <c r="B6432" s="18" t="n">
        <v>1</v>
      </c>
      <c r="C6432" s="18" t="n">
        <v>2012</v>
      </c>
      <c r="D6432" s="18" t="n">
        <v>2012</v>
      </c>
      <c r="E6432" s="18" t="inlineStr">
        <is>
          <t>The Sweeney</t>
        </is>
      </c>
      <c r="F6432" s="18" t="inlineStr">
        <is>
          <t>F0305</t>
        </is>
      </c>
    </row>
    <row r="6433" ht="15.75" customHeight="1" s="108">
      <c r="A6433" s="18" t="inlineStr">
        <is>
          <t>Ruby Wild</t>
        </is>
      </c>
      <c r="B6433" s="18" t="n">
        <v>1</v>
      </c>
      <c r="C6433" s="18" t="n">
        <v>2012</v>
      </c>
      <c r="D6433" s="18" t="n">
        <v>2012</v>
      </c>
      <c r="E6433" s="18" t="inlineStr">
        <is>
          <t>The Sweeney</t>
        </is>
      </c>
      <c r="F6433" s="18" t="inlineStr">
        <is>
          <t>F0305</t>
        </is>
      </c>
    </row>
    <row r="6434" ht="15.75" customHeight="1" s="108">
      <c r="A6434" s="18" t="inlineStr">
        <is>
          <t>Jon Wennington</t>
        </is>
      </c>
      <c r="B6434" s="18" t="n">
        <v>1</v>
      </c>
      <c r="C6434" s="18" t="n">
        <v>2012</v>
      </c>
      <c r="D6434" s="18" t="n">
        <v>2012</v>
      </c>
      <c r="E6434" s="18" t="inlineStr">
        <is>
          <t>The Sweeney</t>
        </is>
      </c>
      <c r="F6434" s="18" t="inlineStr">
        <is>
          <t>F0305</t>
        </is>
      </c>
    </row>
    <row r="6435" ht="15.75" customHeight="1" s="108">
      <c r="A6435" s="18" t="inlineStr">
        <is>
          <t>Olivier Rabourdin</t>
        </is>
      </c>
      <c r="B6435" s="18" t="n">
        <v>2</v>
      </c>
      <c r="C6435" s="18" t="n">
        <v>2008</v>
      </c>
      <c r="D6435" s="18" t="n">
        <v>2012</v>
      </c>
      <c r="E6435" s="18" t="inlineStr">
        <is>
          <t>Taken, Taken 2</t>
        </is>
      </c>
      <c r="F6435" s="18" t="inlineStr">
        <is>
          <t>F0306, F0307</t>
        </is>
      </c>
    </row>
    <row r="6436" ht="15.75" customHeight="1" s="108">
      <c r="A6436" s="18" t="inlineStr">
        <is>
          <t>Katie Cassidy</t>
        </is>
      </c>
      <c r="B6436" s="18" t="n">
        <v>1</v>
      </c>
      <c r="C6436" s="18" t="n">
        <v>2008</v>
      </c>
      <c r="D6436" s="18" t="n">
        <v>2008</v>
      </c>
      <c r="E6436" s="18" t="inlineStr">
        <is>
          <t>Taken</t>
        </is>
      </c>
      <c r="F6436" s="18" t="inlineStr">
        <is>
          <t>F0306</t>
        </is>
      </c>
    </row>
    <row r="6437" ht="15.75" customHeight="1" s="108">
      <c r="A6437" s="18" t="inlineStr">
        <is>
          <t>Nicolas Giraud</t>
        </is>
      </c>
      <c r="B6437" s="18" t="n">
        <v>1</v>
      </c>
      <c r="C6437" s="18" t="n">
        <v>2008</v>
      </c>
      <c r="D6437" s="18" t="n">
        <v>2008</v>
      </c>
      <c r="E6437" s="18" t="inlineStr">
        <is>
          <t>Taken</t>
        </is>
      </c>
      <c r="F6437" s="18" t="inlineStr">
        <is>
          <t>F0306</t>
        </is>
      </c>
    </row>
    <row r="6438" ht="15.75" customHeight="1" s="108">
      <c r="A6438" s="18" t="inlineStr">
        <is>
          <t>Holly Valance</t>
        </is>
      </c>
      <c r="B6438" s="18" t="n">
        <v>1</v>
      </c>
      <c r="C6438" s="18" t="n">
        <v>2008</v>
      </c>
      <c r="D6438" s="18" t="n">
        <v>2008</v>
      </c>
      <c r="E6438" s="18" t="inlineStr">
        <is>
          <t>Taken</t>
        </is>
      </c>
      <c r="F6438" s="18" t="inlineStr">
        <is>
          <t>F0306</t>
        </is>
      </c>
    </row>
    <row r="6439" ht="15.75" customHeight="1" s="108">
      <c r="A6439" s="18" t="inlineStr">
        <is>
          <t>Gérard Watkins</t>
        </is>
      </c>
      <c r="B6439" s="18" t="n">
        <v>1</v>
      </c>
      <c r="C6439" s="18" t="n">
        <v>2008</v>
      </c>
      <c r="D6439" s="18" t="n">
        <v>2008</v>
      </c>
      <c r="E6439" s="18" t="inlineStr">
        <is>
          <t>Taken</t>
        </is>
      </c>
      <c r="F6439" s="18" t="inlineStr">
        <is>
          <t>F0306</t>
        </is>
      </c>
    </row>
    <row r="6440" ht="15.75" customHeight="1" s="108">
      <c r="A6440" s="18" t="inlineStr">
        <is>
          <t>Arben Bajraktaraj</t>
        </is>
      </c>
      <c r="B6440" s="18" t="n">
        <v>1</v>
      </c>
      <c r="C6440" s="18" t="n">
        <v>2008</v>
      </c>
      <c r="D6440" s="18" t="n">
        <v>2008</v>
      </c>
      <c r="E6440" s="18" t="inlineStr">
        <is>
          <t>Taken</t>
        </is>
      </c>
      <c r="F6440" s="18" t="inlineStr">
        <is>
          <t>F0306</t>
        </is>
      </c>
    </row>
    <row r="6441" ht="15.75" customHeight="1" s="108">
      <c r="A6441" s="18" t="inlineStr">
        <is>
          <t>Radivoje Bukvić</t>
        </is>
      </c>
      <c r="B6441" s="18" t="n">
        <v>2</v>
      </c>
      <c r="C6441" s="18" t="n">
        <v>2008</v>
      </c>
      <c r="D6441" s="18" t="n">
        <v>2015</v>
      </c>
      <c r="E6441" s="18" t="inlineStr">
        <is>
          <t>Taken, The Transporter Refueled</t>
        </is>
      </c>
      <c r="F6441" s="18" t="inlineStr">
        <is>
          <t>F0306, F0323</t>
        </is>
      </c>
    </row>
    <row r="6442" ht="15.75" customHeight="1" s="108">
      <c r="A6442" s="18" t="inlineStr">
        <is>
          <t>Jalil Naciri</t>
        </is>
      </c>
      <c r="B6442" s="18" t="n">
        <v>1</v>
      </c>
      <c r="C6442" s="18" t="n">
        <v>2008</v>
      </c>
      <c r="D6442" s="18" t="n">
        <v>2008</v>
      </c>
      <c r="E6442" s="18" t="inlineStr">
        <is>
          <t>Taken</t>
        </is>
      </c>
      <c r="F6442" s="18" t="inlineStr">
        <is>
          <t>F0306</t>
        </is>
      </c>
    </row>
    <row r="6443" ht="15.75" customHeight="1" s="108">
      <c r="A6443" s="18" t="inlineStr">
        <is>
          <t>Goran Kostić</t>
        </is>
      </c>
      <c r="B6443" s="18" t="n">
        <v>1</v>
      </c>
      <c r="C6443" s="18" t="n">
        <v>2008</v>
      </c>
      <c r="D6443" s="18" t="n">
        <v>2008</v>
      </c>
      <c r="E6443" s="18" t="inlineStr">
        <is>
          <t>Taken</t>
        </is>
      </c>
      <c r="F6443" s="18" t="inlineStr">
        <is>
          <t>F0306</t>
        </is>
      </c>
    </row>
    <row r="6444" ht="15.75" customHeight="1" s="108">
      <c r="A6444" s="18" t="inlineStr">
        <is>
          <t>Camille Japy</t>
        </is>
      </c>
      <c r="B6444" s="18" t="n">
        <v>1</v>
      </c>
      <c r="C6444" s="18" t="n">
        <v>2008</v>
      </c>
      <c r="D6444" s="18" t="n">
        <v>2008</v>
      </c>
      <c r="E6444" s="18" t="inlineStr">
        <is>
          <t>Taken</t>
        </is>
      </c>
      <c r="F6444" s="18" t="inlineStr">
        <is>
          <t>F0306</t>
        </is>
      </c>
    </row>
    <row r="6445" ht="15.75" customHeight="1" s="108">
      <c r="A6445" s="18" t="inlineStr">
        <is>
          <t>Héléna Soubeyrand</t>
        </is>
      </c>
      <c r="B6445" s="18" t="n">
        <v>1</v>
      </c>
      <c r="C6445" s="18" t="n">
        <v>2008</v>
      </c>
      <c r="D6445" s="18" t="n">
        <v>2008</v>
      </c>
      <c r="E6445" s="18" t="inlineStr">
        <is>
          <t>Taken</t>
        </is>
      </c>
      <c r="F6445" s="18" t="inlineStr">
        <is>
          <t>F0306</t>
        </is>
      </c>
    </row>
    <row r="6446" ht="15.75" customHeight="1" s="108">
      <c r="A6446" s="18" t="inlineStr">
        <is>
          <t>Opender Singh</t>
        </is>
      </c>
      <c r="B6446" s="18" t="n">
        <v>1</v>
      </c>
      <c r="C6446" s="18" t="n">
        <v>2008</v>
      </c>
      <c r="D6446" s="18" t="n">
        <v>2008</v>
      </c>
      <c r="E6446" s="18" t="inlineStr">
        <is>
          <t>Taken</t>
        </is>
      </c>
      <c r="F6446" s="18" t="inlineStr">
        <is>
          <t>F0306</t>
        </is>
      </c>
    </row>
    <row r="6447" ht="15.75" customHeight="1" s="108">
      <c r="A6447" s="18" t="inlineStr">
        <is>
          <t>Nabil Massad</t>
        </is>
      </c>
      <c r="B6447" s="18" t="n">
        <v>1</v>
      </c>
      <c r="C6447" s="18" t="n">
        <v>2008</v>
      </c>
      <c r="D6447" s="18" t="n">
        <v>2008</v>
      </c>
      <c r="E6447" s="18" t="inlineStr">
        <is>
          <t>Taken</t>
        </is>
      </c>
      <c r="F6447" s="18" t="inlineStr">
        <is>
          <t>F0306</t>
        </is>
      </c>
    </row>
    <row r="6448" ht="15.75" customHeight="1" s="108">
      <c r="A6448" s="18" t="inlineStr">
        <is>
          <t>Michel Flash</t>
        </is>
      </c>
      <c r="B6448" s="18" t="n">
        <v>1</v>
      </c>
      <c r="C6448" s="18" t="n">
        <v>2008</v>
      </c>
      <c r="D6448" s="18" t="n">
        <v>2008</v>
      </c>
      <c r="E6448" s="18" t="inlineStr">
        <is>
          <t>Taken</t>
        </is>
      </c>
      <c r="F6448" s="18" t="inlineStr">
        <is>
          <t>F0306</t>
        </is>
      </c>
    </row>
    <row r="6449" ht="15.75" customHeight="1" s="108">
      <c r="A6449" s="18" t="inlineStr">
        <is>
          <t>Rubens Hyka</t>
        </is>
      </c>
      <c r="B6449" s="18" t="n">
        <v>1</v>
      </c>
      <c r="C6449" s="18" t="n">
        <v>2008</v>
      </c>
      <c r="D6449" s="18" t="n">
        <v>2008</v>
      </c>
      <c r="E6449" s="18" t="inlineStr">
        <is>
          <t>Taken</t>
        </is>
      </c>
      <c r="F6449" s="18" t="inlineStr">
        <is>
          <t>F0306</t>
        </is>
      </c>
    </row>
    <row r="6450" ht="15.75" customHeight="1" s="108">
      <c r="A6450" s="18" t="inlineStr">
        <is>
          <t>Valentin Kalaj</t>
        </is>
      </c>
      <c r="B6450" s="18" t="n">
        <v>1</v>
      </c>
      <c r="C6450" s="18" t="n">
        <v>2008</v>
      </c>
      <c r="D6450" s="18" t="n">
        <v>2008</v>
      </c>
      <c r="E6450" s="18" t="inlineStr">
        <is>
          <t>Taken</t>
        </is>
      </c>
      <c r="F6450" s="18" t="inlineStr">
        <is>
          <t>F0306</t>
        </is>
      </c>
    </row>
    <row r="6451" ht="15.75" customHeight="1" s="108">
      <c r="A6451" s="18" t="inlineStr">
        <is>
          <t>Christophe Kourotchkine</t>
        </is>
      </c>
      <c r="B6451" s="18" t="n">
        <v>1</v>
      </c>
      <c r="C6451" s="18" t="n">
        <v>2008</v>
      </c>
      <c r="D6451" s="18" t="n">
        <v>2008</v>
      </c>
      <c r="E6451" s="18" t="inlineStr">
        <is>
          <t>Taken</t>
        </is>
      </c>
      <c r="F6451" s="18" t="inlineStr">
        <is>
          <t>F0306</t>
        </is>
      </c>
    </row>
    <row r="6452" ht="15.75" customHeight="1" s="108">
      <c r="A6452" s="18" t="inlineStr">
        <is>
          <t>Anca Radici</t>
        </is>
      </c>
      <c r="B6452" s="18" t="n">
        <v>1</v>
      </c>
      <c r="C6452" s="18" t="n">
        <v>2008</v>
      </c>
      <c r="D6452" s="18" t="n">
        <v>2008</v>
      </c>
      <c r="E6452" s="18" t="inlineStr">
        <is>
          <t>Taken</t>
        </is>
      </c>
      <c r="F6452" s="18" t="inlineStr">
        <is>
          <t>F0306</t>
        </is>
      </c>
    </row>
    <row r="6453" ht="15.75" customHeight="1" s="108">
      <c r="A6453" s="18" t="inlineStr">
        <is>
          <t>Nathan Rippy</t>
        </is>
      </c>
      <c r="B6453" s="18" t="n">
        <v>1</v>
      </c>
      <c r="C6453" s="18" t="n">
        <v>2008</v>
      </c>
      <c r="D6453" s="18" t="n">
        <v>2008</v>
      </c>
      <c r="E6453" s="18" t="inlineStr">
        <is>
          <t>Taken</t>
        </is>
      </c>
      <c r="F6453" s="18" t="inlineStr">
        <is>
          <t>F0306</t>
        </is>
      </c>
    </row>
    <row r="6454" ht="15.75" customHeight="1" s="108">
      <c r="A6454" s="18" t="inlineStr">
        <is>
          <t>Tommy Spahija</t>
        </is>
      </c>
      <c r="B6454" s="18" t="n">
        <v>1</v>
      </c>
      <c r="C6454" s="18" t="n">
        <v>2008</v>
      </c>
      <c r="D6454" s="18" t="n">
        <v>2008</v>
      </c>
      <c r="E6454" s="18" t="inlineStr">
        <is>
          <t>Taken</t>
        </is>
      </c>
      <c r="F6454" s="18" t="inlineStr">
        <is>
          <t>F0306</t>
        </is>
      </c>
    </row>
    <row r="6455" ht="15.75" customHeight="1" s="108">
      <c r="A6455" s="18" t="inlineStr">
        <is>
          <t>Mathieu Busson</t>
        </is>
      </c>
      <c r="B6455" s="18" t="n">
        <v>1</v>
      </c>
      <c r="C6455" s="18" t="n">
        <v>2008</v>
      </c>
      <c r="D6455" s="18" t="n">
        <v>2008</v>
      </c>
      <c r="E6455" s="18" t="inlineStr">
        <is>
          <t>Taken</t>
        </is>
      </c>
      <c r="F6455" s="18" t="inlineStr">
        <is>
          <t>F0306</t>
        </is>
      </c>
    </row>
    <row r="6456" ht="15.75" customHeight="1" s="108">
      <c r="A6456" s="18" t="inlineStr">
        <is>
          <t>Edwin Krüger</t>
        </is>
      </c>
      <c r="B6456" s="18" t="n">
        <v>1</v>
      </c>
      <c r="C6456" s="18" t="n">
        <v>2008</v>
      </c>
      <c r="D6456" s="18" t="n">
        <v>2008</v>
      </c>
      <c r="E6456" s="18" t="inlineStr">
        <is>
          <t>Taken</t>
        </is>
      </c>
      <c r="F6456" s="18" t="inlineStr">
        <is>
          <t>F0306</t>
        </is>
      </c>
    </row>
    <row r="6457" ht="15.75" customHeight="1" s="108">
      <c r="A6457" s="18" t="inlineStr">
        <is>
          <t>D. B. Sweeney</t>
        </is>
      </c>
      <c r="B6457" s="18" t="n">
        <v>1</v>
      </c>
      <c r="C6457" s="18" t="n">
        <v>2012</v>
      </c>
      <c r="D6457" s="18" t="n">
        <v>2012</v>
      </c>
      <c r="E6457" s="18" t="inlineStr">
        <is>
          <t>Taken 2</t>
        </is>
      </c>
      <c r="F6457" s="18" t="inlineStr">
        <is>
          <t>F0307</t>
        </is>
      </c>
    </row>
    <row r="6458" ht="15.75" customHeight="1" s="108">
      <c r="A6458" s="18" t="inlineStr">
        <is>
          <t>Kevork Malikyan</t>
        </is>
      </c>
      <c r="B6458" s="18" t="n">
        <v>1</v>
      </c>
      <c r="C6458" s="18" t="n">
        <v>2012</v>
      </c>
      <c r="D6458" s="18" t="n">
        <v>2012</v>
      </c>
      <c r="E6458" s="18" t="inlineStr">
        <is>
          <t>Taken 2</t>
        </is>
      </c>
      <c r="F6458" s="18" t="inlineStr">
        <is>
          <t>F0307</t>
        </is>
      </c>
    </row>
    <row r="6459" ht="15.75" customHeight="1" s="108">
      <c r="A6459" s="18" t="inlineStr">
        <is>
          <t>Alain Figlarz</t>
        </is>
      </c>
      <c r="B6459" s="18" t="n">
        <v>1</v>
      </c>
      <c r="C6459" s="18" t="n">
        <v>2012</v>
      </c>
      <c r="D6459" s="18" t="n">
        <v>2012</v>
      </c>
      <c r="E6459" s="18" t="inlineStr">
        <is>
          <t>Taken 2</t>
        </is>
      </c>
      <c r="F6459" s="18" t="inlineStr">
        <is>
          <t>F0307</t>
        </is>
      </c>
    </row>
    <row r="6460" ht="15.75" customHeight="1" s="108">
      <c r="A6460" s="18" t="inlineStr">
        <is>
          <t>Frank Alvarez</t>
        </is>
      </c>
      <c r="B6460" s="18" t="n">
        <v>1</v>
      </c>
      <c r="C6460" s="18" t="n">
        <v>2012</v>
      </c>
      <c r="D6460" s="18" t="n">
        <v>2012</v>
      </c>
      <c r="E6460" s="18" t="inlineStr">
        <is>
          <t>Taken 2</t>
        </is>
      </c>
      <c r="F6460" s="18" t="inlineStr">
        <is>
          <t>F0307</t>
        </is>
      </c>
    </row>
    <row r="6461" ht="15.75" customHeight="1" s="108">
      <c r="A6461" s="18" t="inlineStr">
        <is>
          <t>Murat Tuncelli</t>
        </is>
      </c>
      <c r="B6461" s="18" t="n">
        <v>1</v>
      </c>
      <c r="C6461" s="18" t="n">
        <v>2012</v>
      </c>
      <c r="D6461" s="18" t="n">
        <v>2012</v>
      </c>
      <c r="E6461" s="18" t="inlineStr">
        <is>
          <t>Taken 2</t>
        </is>
      </c>
      <c r="F6461" s="18" t="inlineStr">
        <is>
          <t>F0307</t>
        </is>
      </c>
    </row>
    <row r="6462" ht="15.75" customHeight="1" s="108">
      <c r="A6462" s="18" t="inlineStr">
        <is>
          <t>Ali Yildirim</t>
        </is>
      </c>
      <c r="B6462" s="18" t="n">
        <v>1</v>
      </c>
      <c r="C6462" s="18" t="n">
        <v>2012</v>
      </c>
      <c r="D6462" s="18" t="n">
        <v>2012</v>
      </c>
      <c r="E6462" s="18" t="inlineStr">
        <is>
          <t>Taken 2</t>
        </is>
      </c>
      <c r="F6462" s="18" t="inlineStr">
        <is>
          <t>F0307</t>
        </is>
      </c>
    </row>
    <row r="6463" ht="15.75" customHeight="1" s="108">
      <c r="A6463" s="18" t="inlineStr">
        <is>
          <t>Ergun Kuyucu</t>
        </is>
      </c>
      <c r="B6463" s="18" t="n">
        <v>1</v>
      </c>
      <c r="C6463" s="18" t="n">
        <v>2012</v>
      </c>
      <c r="D6463" s="18" t="n">
        <v>2012</v>
      </c>
      <c r="E6463" s="18" t="inlineStr">
        <is>
          <t>Taken 2</t>
        </is>
      </c>
      <c r="F6463" s="18" t="inlineStr">
        <is>
          <t>F0307</t>
        </is>
      </c>
    </row>
    <row r="6464" ht="15.75" customHeight="1" s="108">
      <c r="A6464" s="18" t="inlineStr">
        <is>
          <t>Cengiz Bozkurt</t>
        </is>
      </c>
      <c r="B6464" s="18" t="n">
        <v>1</v>
      </c>
      <c r="C6464" s="18" t="n">
        <v>2012</v>
      </c>
      <c r="D6464" s="18" t="n">
        <v>2012</v>
      </c>
      <c r="E6464" s="18" t="inlineStr">
        <is>
          <t>Taken 2</t>
        </is>
      </c>
      <c r="F6464" s="18" t="inlineStr">
        <is>
          <t>F0307</t>
        </is>
      </c>
    </row>
    <row r="6465" ht="15.75" customHeight="1" s="108">
      <c r="A6465" s="18" t="inlineStr">
        <is>
          <t>Hakan Karahan</t>
        </is>
      </c>
      <c r="B6465" s="18" t="n">
        <v>1</v>
      </c>
      <c r="C6465" s="18" t="n">
        <v>2012</v>
      </c>
      <c r="D6465" s="18" t="n">
        <v>2012</v>
      </c>
      <c r="E6465" s="18" t="inlineStr">
        <is>
          <t>Taken 2</t>
        </is>
      </c>
      <c r="F6465" s="18" t="inlineStr">
        <is>
          <t>F0307</t>
        </is>
      </c>
    </row>
    <row r="6466" ht="15.75" customHeight="1" s="108">
      <c r="A6466" s="18" t="inlineStr">
        <is>
          <t>Saruhan Sari</t>
        </is>
      </c>
      <c r="B6466" s="18" t="n">
        <v>1</v>
      </c>
      <c r="C6466" s="18" t="n">
        <v>2012</v>
      </c>
      <c r="D6466" s="18" t="n">
        <v>2012</v>
      </c>
      <c r="E6466" s="18" t="inlineStr">
        <is>
          <t>Taken 2</t>
        </is>
      </c>
      <c r="F6466" s="18" t="inlineStr">
        <is>
          <t>F0307</t>
        </is>
      </c>
    </row>
    <row r="6467" ht="15.75" customHeight="1" s="108">
      <c r="A6467" s="18" t="inlineStr">
        <is>
          <t>Naci Adıgüzel</t>
        </is>
      </c>
      <c r="B6467" s="18" t="n">
        <v>1</v>
      </c>
      <c r="C6467" s="18" t="n">
        <v>2012</v>
      </c>
      <c r="D6467" s="18" t="n">
        <v>2012</v>
      </c>
      <c r="E6467" s="18" t="inlineStr">
        <is>
          <t>Taken 2</t>
        </is>
      </c>
      <c r="F6467" s="18" t="inlineStr">
        <is>
          <t>F0307</t>
        </is>
      </c>
    </row>
    <row r="6468" ht="15.75" customHeight="1" s="108">
      <c r="A6468" s="18" t="inlineStr">
        <is>
          <t>Aclan Büyüktürkoğlu</t>
        </is>
      </c>
      <c r="B6468" s="18" t="n">
        <v>1</v>
      </c>
      <c r="C6468" s="18" t="n">
        <v>2012</v>
      </c>
      <c r="D6468" s="18" t="n">
        <v>2012</v>
      </c>
      <c r="E6468" s="18" t="inlineStr">
        <is>
          <t>Taken 2</t>
        </is>
      </c>
      <c r="F6468" s="18" t="inlineStr">
        <is>
          <t>F0307</t>
        </is>
      </c>
    </row>
    <row r="6469" ht="15.75" customHeight="1" s="108">
      <c r="A6469" s="18" t="inlineStr">
        <is>
          <t>Mehmet Polat</t>
        </is>
      </c>
      <c r="B6469" s="18" t="n">
        <v>1</v>
      </c>
      <c r="C6469" s="18" t="n">
        <v>2012</v>
      </c>
      <c r="D6469" s="18" t="n">
        <v>2012</v>
      </c>
      <c r="E6469" s="18" t="inlineStr">
        <is>
          <t>Taken 2</t>
        </is>
      </c>
      <c r="F6469" s="18" t="inlineStr">
        <is>
          <t>F0307</t>
        </is>
      </c>
    </row>
    <row r="6470" ht="15.75" customHeight="1" s="108">
      <c r="A6470" s="18" t="inlineStr">
        <is>
          <t>Yilmaz Kovan</t>
        </is>
      </c>
      <c r="B6470" s="18" t="n">
        <v>1</v>
      </c>
      <c r="C6470" s="18" t="n">
        <v>2012</v>
      </c>
      <c r="D6470" s="18" t="n">
        <v>2012</v>
      </c>
      <c r="E6470" s="18" t="inlineStr">
        <is>
          <t>Taken 2</t>
        </is>
      </c>
      <c r="F6470" s="18" t="inlineStr">
        <is>
          <t>F0307</t>
        </is>
      </c>
    </row>
    <row r="6471" ht="15.75" customHeight="1" s="108">
      <c r="A6471" s="18" t="inlineStr">
        <is>
          <t>Erdogan Yavuz</t>
        </is>
      </c>
      <c r="B6471" s="18" t="n">
        <v>1</v>
      </c>
      <c r="C6471" s="18" t="n">
        <v>2012</v>
      </c>
      <c r="D6471" s="18" t="n">
        <v>2012</v>
      </c>
      <c r="E6471" s="18" t="inlineStr">
        <is>
          <t>Taken 2</t>
        </is>
      </c>
      <c r="F6471" s="18" t="inlineStr">
        <is>
          <t>F0307</t>
        </is>
      </c>
    </row>
    <row r="6472" ht="15.75" customHeight="1" s="108">
      <c r="A6472" s="18" t="inlineStr">
        <is>
          <t>Luran Ahmeti</t>
        </is>
      </c>
      <c r="B6472" s="18" t="n">
        <v>1</v>
      </c>
      <c r="C6472" s="18" t="n">
        <v>2012</v>
      </c>
      <c r="D6472" s="18" t="n">
        <v>2012</v>
      </c>
      <c r="E6472" s="18" t="inlineStr">
        <is>
          <t>Taken 2</t>
        </is>
      </c>
      <c r="F6472" s="18" t="inlineStr">
        <is>
          <t>F0307</t>
        </is>
      </c>
    </row>
    <row r="6473" ht="15.75" customHeight="1" s="108">
      <c r="A6473" s="18" t="inlineStr">
        <is>
          <t>Cengiz Daner</t>
        </is>
      </c>
      <c r="B6473" s="18" t="n">
        <v>1</v>
      </c>
      <c r="C6473" s="18" t="n">
        <v>2012</v>
      </c>
      <c r="D6473" s="18" t="n">
        <v>2012</v>
      </c>
      <c r="E6473" s="18" t="inlineStr">
        <is>
          <t>Taken 2</t>
        </is>
      </c>
      <c r="F6473" s="18" t="inlineStr">
        <is>
          <t>F0307</t>
        </is>
      </c>
    </row>
    <row r="6474" ht="15.75" customHeight="1" s="108">
      <c r="A6474" s="18" t="inlineStr">
        <is>
          <t>Melis Erman</t>
        </is>
      </c>
      <c r="B6474" s="18" t="n">
        <v>1</v>
      </c>
      <c r="C6474" s="18" t="n">
        <v>2012</v>
      </c>
      <c r="D6474" s="18" t="n">
        <v>2012</v>
      </c>
      <c r="E6474" s="18" t="inlineStr">
        <is>
          <t>Taken 2</t>
        </is>
      </c>
      <c r="F6474" s="18" t="inlineStr">
        <is>
          <t>F0307</t>
        </is>
      </c>
    </row>
    <row r="6475" ht="15.75" customHeight="1" s="108">
      <c r="A6475" s="18" t="inlineStr">
        <is>
          <t>Erkan Üçüncü</t>
        </is>
      </c>
      <c r="B6475" s="18" t="n">
        <v>1</v>
      </c>
      <c r="C6475" s="18" t="n">
        <v>2012</v>
      </c>
      <c r="D6475" s="18" t="n">
        <v>2012</v>
      </c>
      <c r="E6475" s="18" t="inlineStr">
        <is>
          <t>Taken 2</t>
        </is>
      </c>
      <c r="F6475" s="18" t="inlineStr">
        <is>
          <t>F0307</t>
        </is>
      </c>
    </row>
    <row r="6476" ht="15.75" customHeight="1" s="108">
      <c r="A6476" s="18" t="inlineStr">
        <is>
          <t>Ugur Ugural</t>
        </is>
      </c>
      <c r="B6476" s="18" t="n">
        <v>1</v>
      </c>
      <c r="C6476" s="18" t="n">
        <v>2012</v>
      </c>
      <c r="D6476" s="18" t="n">
        <v>2012</v>
      </c>
      <c r="E6476" s="18" t="inlineStr">
        <is>
          <t>Taken 2</t>
        </is>
      </c>
      <c r="F6476" s="18" t="inlineStr">
        <is>
          <t>F0307</t>
        </is>
      </c>
    </row>
    <row r="6477" ht="15.75" customHeight="1" s="108">
      <c r="A6477" s="18" t="inlineStr">
        <is>
          <t>Alex Dawe</t>
        </is>
      </c>
      <c r="B6477" s="18" t="n">
        <v>1</v>
      </c>
      <c r="C6477" s="18" t="n">
        <v>2012</v>
      </c>
      <c r="D6477" s="18" t="n">
        <v>2012</v>
      </c>
      <c r="E6477" s="18" t="inlineStr">
        <is>
          <t>Taken 2</t>
        </is>
      </c>
      <c r="F6477" s="18" t="inlineStr">
        <is>
          <t>F0307</t>
        </is>
      </c>
    </row>
    <row r="6478" ht="15.75" customHeight="1" s="108">
      <c r="A6478" s="18" t="inlineStr">
        <is>
          <t>Michaël Vander-Meiren</t>
        </is>
      </c>
      <c r="B6478" s="18" t="n">
        <v>1</v>
      </c>
      <c r="C6478" s="18" t="n">
        <v>2012</v>
      </c>
      <c r="D6478" s="18" t="n">
        <v>2012</v>
      </c>
      <c r="E6478" s="18" t="inlineStr">
        <is>
          <t>Taken 2</t>
        </is>
      </c>
      <c r="F6478" s="18" t="inlineStr">
        <is>
          <t>F0307</t>
        </is>
      </c>
    </row>
    <row r="6479" ht="15.75" customHeight="1" s="108">
      <c r="A6479" s="18" t="inlineStr">
        <is>
          <t>Patrick Warburton</t>
        </is>
      </c>
      <c r="B6479" s="18" t="n">
        <v>1</v>
      </c>
      <c r="C6479" s="18" t="n">
        <v>2012</v>
      </c>
      <c r="D6479" s="18" t="n">
        <v>2012</v>
      </c>
      <c r="E6479" s="18" t="inlineStr">
        <is>
          <t>Ted</t>
        </is>
      </c>
      <c r="F6479" s="18" t="inlineStr">
        <is>
          <t>F0308</t>
        </is>
      </c>
    </row>
    <row r="6480" ht="15.75" customHeight="1" s="108">
      <c r="A6480" s="18" t="inlineStr">
        <is>
          <t>Jessica Barth</t>
        </is>
      </c>
      <c r="B6480" s="18" t="n">
        <v>1</v>
      </c>
      <c r="C6480" s="18" t="n">
        <v>2012</v>
      </c>
      <c r="D6480" s="18" t="n">
        <v>2012</v>
      </c>
      <c r="E6480" s="18" t="inlineStr">
        <is>
          <t>Ted</t>
        </is>
      </c>
      <c r="F6480" s="18" t="inlineStr">
        <is>
          <t>F0308</t>
        </is>
      </c>
    </row>
    <row r="6481" ht="15.75" customHeight="1" s="108">
      <c r="A6481" s="18" t="inlineStr">
        <is>
          <t>Aedin Mincks</t>
        </is>
      </c>
      <c r="B6481" s="18" t="n">
        <v>1</v>
      </c>
      <c r="C6481" s="18" t="n">
        <v>2012</v>
      </c>
      <c r="D6481" s="18" t="n">
        <v>2012</v>
      </c>
      <c r="E6481" s="18" t="inlineStr">
        <is>
          <t>Ted</t>
        </is>
      </c>
      <c r="F6481" s="18" t="inlineStr">
        <is>
          <t>F0308</t>
        </is>
      </c>
    </row>
    <row r="6482" ht="15.75" customHeight="1" s="108">
      <c r="A6482" s="18" t="inlineStr">
        <is>
          <t>Bill Smitrovich</t>
        </is>
      </c>
      <c r="B6482" s="18" t="n">
        <v>1</v>
      </c>
      <c r="C6482" s="18" t="n">
        <v>2012</v>
      </c>
      <c r="D6482" s="18" t="n">
        <v>2012</v>
      </c>
      <c r="E6482" s="18" t="inlineStr">
        <is>
          <t>Ted</t>
        </is>
      </c>
      <c r="F6482" s="18" t="inlineStr">
        <is>
          <t>F0308</t>
        </is>
      </c>
    </row>
    <row r="6483" ht="15.75" customHeight="1" s="108">
      <c r="A6483" s="18" t="inlineStr">
        <is>
          <t>Norah Jones</t>
        </is>
      </c>
      <c r="B6483" s="18" t="n">
        <v>1</v>
      </c>
      <c r="C6483" s="18" t="n">
        <v>2012</v>
      </c>
      <c r="D6483" s="18" t="n">
        <v>2012</v>
      </c>
      <c r="E6483" s="18" t="inlineStr">
        <is>
          <t>Ted</t>
        </is>
      </c>
      <c r="F6483" s="18" t="inlineStr">
        <is>
          <t>F0308</t>
        </is>
      </c>
    </row>
    <row r="6484" ht="15.75" customHeight="1" s="108">
      <c r="A6484" s="18" t="inlineStr">
        <is>
          <t>Sam J. Jones</t>
        </is>
      </c>
      <c r="B6484" s="18" t="n">
        <v>1</v>
      </c>
      <c r="C6484" s="18" t="n">
        <v>2012</v>
      </c>
      <c r="D6484" s="18" t="n">
        <v>2012</v>
      </c>
      <c r="E6484" s="18" t="inlineStr">
        <is>
          <t>Ted</t>
        </is>
      </c>
      <c r="F6484" s="18" t="inlineStr">
        <is>
          <t>F0308</t>
        </is>
      </c>
    </row>
    <row r="6485" ht="15.75" customHeight="1" s="108">
      <c r="A6485" s="18" t="inlineStr">
        <is>
          <t>Bretton Manley</t>
        </is>
      </c>
      <c r="B6485" s="18" t="n">
        <v>1</v>
      </c>
      <c r="C6485" s="18" t="n">
        <v>2012</v>
      </c>
      <c r="D6485" s="18" t="n">
        <v>2012</v>
      </c>
      <c r="E6485" s="18" t="inlineStr">
        <is>
          <t>Ted</t>
        </is>
      </c>
      <c r="F6485" s="18" t="inlineStr">
        <is>
          <t>F0308</t>
        </is>
      </c>
    </row>
    <row r="6486" ht="15.75" customHeight="1" s="108">
      <c r="A6486" s="18" t="inlineStr">
        <is>
          <t>John Viener</t>
        </is>
      </c>
      <c r="B6486" s="18" t="n">
        <v>1</v>
      </c>
      <c r="C6486" s="18" t="n">
        <v>2012</v>
      </c>
      <c r="D6486" s="18" t="n">
        <v>2012</v>
      </c>
      <c r="E6486" s="18" t="inlineStr">
        <is>
          <t>Ted</t>
        </is>
      </c>
      <c r="F6486" s="18" t="inlineStr">
        <is>
          <t>F0308</t>
        </is>
      </c>
    </row>
    <row r="6487" ht="15.75" customHeight="1" s="108">
      <c r="A6487" s="18" t="inlineStr">
        <is>
          <t>Laura Vandervoort</t>
        </is>
      </c>
      <c r="B6487" s="18" t="n">
        <v>1</v>
      </c>
      <c r="C6487" s="18" t="n">
        <v>2012</v>
      </c>
      <c r="D6487" s="18" t="n">
        <v>2012</v>
      </c>
      <c r="E6487" s="18" t="inlineStr">
        <is>
          <t>Ted</t>
        </is>
      </c>
      <c r="F6487" s="18" t="inlineStr">
        <is>
          <t>F0308</t>
        </is>
      </c>
    </row>
    <row r="6488" ht="15.75" customHeight="1" s="108">
      <c r="A6488" s="18" t="inlineStr">
        <is>
          <t>Robert Wu</t>
        </is>
      </c>
      <c r="B6488" s="18" t="n">
        <v>1</v>
      </c>
      <c r="C6488" s="18" t="n">
        <v>2012</v>
      </c>
      <c r="D6488" s="18" t="n">
        <v>2012</v>
      </c>
      <c r="E6488" s="18" t="inlineStr">
        <is>
          <t>Ted</t>
        </is>
      </c>
      <c r="F6488" s="18" t="inlineStr">
        <is>
          <t>F0308</t>
        </is>
      </c>
    </row>
    <row r="6489" ht="15.75" customHeight="1" s="108">
      <c r="A6489" s="18" t="inlineStr">
        <is>
          <t>Ginger Gonzaga</t>
        </is>
      </c>
      <c r="B6489" s="18" t="n">
        <v>1</v>
      </c>
      <c r="C6489" s="18" t="n">
        <v>2012</v>
      </c>
      <c r="D6489" s="18" t="n">
        <v>2012</v>
      </c>
      <c r="E6489" s="18" t="inlineStr">
        <is>
          <t>Ted</t>
        </is>
      </c>
      <c r="F6489" s="18" t="inlineStr">
        <is>
          <t>F0308</t>
        </is>
      </c>
    </row>
    <row r="6490" ht="15.75" customHeight="1" s="108">
      <c r="A6490" s="18" t="inlineStr">
        <is>
          <t>Jessica Stroup</t>
        </is>
      </c>
      <c r="B6490" s="18" t="n">
        <v>1</v>
      </c>
      <c r="C6490" s="18" t="n">
        <v>2012</v>
      </c>
      <c r="D6490" s="18" t="n">
        <v>2012</v>
      </c>
      <c r="E6490" s="18" t="inlineStr">
        <is>
          <t>Ted</t>
        </is>
      </c>
      <c r="F6490" s="18" t="inlineStr">
        <is>
          <t>F0308</t>
        </is>
      </c>
    </row>
    <row r="6491" ht="15.75" customHeight="1" s="108">
      <c r="A6491" s="18" t="inlineStr">
        <is>
          <t>Melissa Ordway</t>
        </is>
      </c>
      <c r="B6491" s="18" t="n">
        <v>1</v>
      </c>
      <c r="C6491" s="18" t="n">
        <v>2012</v>
      </c>
      <c r="D6491" s="18" t="n">
        <v>2012</v>
      </c>
      <c r="E6491" s="18" t="inlineStr">
        <is>
          <t>Ted</t>
        </is>
      </c>
      <c r="F6491" s="18" t="inlineStr">
        <is>
          <t>F0308</t>
        </is>
      </c>
    </row>
    <row r="6492" ht="15.75" customHeight="1" s="108">
      <c r="A6492" s="18" t="inlineStr">
        <is>
          <t>Max Harris</t>
        </is>
      </c>
      <c r="B6492" s="18" t="n">
        <v>1</v>
      </c>
      <c r="C6492" s="18" t="n">
        <v>2012</v>
      </c>
      <c r="D6492" s="18" t="n">
        <v>2012</v>
      </c>
      <c r="E6492" s="18" t="inlineStr">
        <is>
          <t>Ted</t>
        </is>
      </c>
      <c r="F6492" s="18" t="inlineStr">
        <is>
          <t>F0308</t>
        </is>
      </c>
    </row>
    <row r="6493" ht="15.75" customHeight="1" s="108">
      <c r="A6493" s="18" t="inlineStr">
        <is>
          <t>Zane Cowans</t>
        </is>
      </c>
      <c r="B6493" s="18" t="n">
        <v>1</v>
      </c>
      <c r="C6493" s="18" t="n">
        <v>2012</v>
      </c>
      <c r="D6493" s="18" t="n">
        <v>2012</v>
      </c>
      <c r="E6493" s="18" t="inlineStr">
        <is>
          <t>Ted</t>
        </is>
      </c>
      <c r="F6493" s="18" t="inlineStr">
        <is>
          <t>F0308</t>
        </is>
      </c>
    </row>
    <row r="6494" ht="15.75" customHeight="1" s="108">
      <c r="A6494" s="18" t="inlineStr">
        <is>
          <t>T.J. Hourigan</t>
        </is>
      </c>
      <c r="B6494" s="18" t="n">
        <v>1</v>
      </c>
      <c r="C6494" s="18" t="n">
        <v>2012</v>
      </c>
      <c r="D6494" s="18" t="n">
        <v>2012</v>
      </c>
      <c r="E6494" s="18" t="inlineStr">
        <is>
          <t>Ted</t>
        </is>
      </c>
      <c r="F6494" s="18" t="inlineStr">
        <is>
          <t>F0308</t>
        </is>
      </c>
    </row>
    <row r="6495" ht="15.75" customHeight="1" s="108">
      <c r="A6495" s="18" t="inlineStr">
        <is>
          <t>Owen Clarke</t>
        </is>
      </c>
      <c r="B6495" s="18" t="n">
        <v>1</v>
      </c>
      <c r="C6495" s="18" t="n">
        <v>2012</v>
      </c>
      <c r="D6495" s="18" t="n">
        <v>2012</v>
      </c>
      <c r="E6495" s="18" t="inlineStr">
        <is>
          <t>Ted</t>
        </is>
      </c>
      <c r="F6495" s="18" t="inlineStr">
        <is>
          <t>F0308</t>
        </is>
      </c>
    </row>
    <row r="6496" ht="15.75" customHeight="1" s="108">
      <c r="A6496" s="18" t="inlineStr">
        <is>
          <t>Kristina Ellery</t>
        </is>
      </c>
      <c r="B6496" s="18" t="n">
        <v>1</v>
      </c>
      <c r="C6496" s="18" t="n">
        <v>2012</v>
      </c>
      <c r="D6496" s="18" t="n">
        <v>2012</v>
      </c>
      <c r="E6496" s="18" t="inlineStr">
        <is>
          <t>Ted</t>
        </is>
      </c>
      <c r="F6496" s="18" t="inlineStr">
        <is>
          <t>F0308</t>
        </is>
      </c>
    </row>
    <row r="6497" ht="15.75" customHeight="1" s="108">
      <c r="A6497" s="18" t="inlineStr">
        <is>
          <t>Katelyn Lorren</t>
        </is>
      </c>
      <c r="B6497" s="18" t="n">
        <v>1</v>
      </c>
      <c r="C6497" s="18" t="n">
        <v>2012</v>
      </c>
      <c r="D6497" s="18" t="n">
        <v>2012</v>
      </c>
      <c r="E6497" s="18" t="inlineStr">
        <is>
          <t>Ted</t>
        </is>
      </c>
      <c r="F6497" s="18" t="inlineStr">
        <is>
          <t>F0308</t>
        </is>
      </c>
    </row>
    <row r="6498" ht="15.75" customHeight="1" s="108">
      <c r="A6498" s="18" t="inlineStr">
        <is>
          <t>Chanty Sok</t>
        </is>
      </c>
      <c r="B6498" s="18" t="n">
        <v>1</v>
      </c>
      <c r="C6498" s="18" t="n">
        <v>2012</v>
      </c>
      <c r="D6498" s="18" t="n">
        <v>2012</v>
      </c>
      <c r="E6498" s="18" t="inlineStr">
        <is>
          <t>Ted</t>
        </is>
      </c>
      <c r="F6498" s="18" t="inlineStr">
        <is>
          <t>F0308</t>
        </is>
      </c>
    </row>
    <row r="6499" ht="15.75" customHeight="1" s="108">
      <c r="A6499" s="18" t="inlineStr">
        <is>
          <t>Danny Woodburn</t>
        </is>
      </c>
      <c r="B6499" s="18" t="n">
        <v>1</v>
      </c>
      <c r="C6499" s="18" t="n">
        <v>2014</v>
      </c>
      <c r="D6499" s="18" t="n">
        <v>2014</v>
      </c>
      <c r="E6499" s="18" t="inlineStr">
        <is>
          <t>Teenage Mutant Ninja Turtles</t>
        </is>
      </c>
      <c r="F6499" s="18" t="inlineStr">
        <is>
          <t>F0309</t>
        </is>
      </c>
    </row>
    <row r="6500" ht="15.75" customHeight="1" s="108">
      <c r="A6500" s="18" t="inlineStr">
        <is>
          <t>Minae Noji</t>
        </is>
      </c>
      <c r="B6500" s="18" t="n">
        <v>1</v>
      </c>
      <c r="C6500" s="18" t="n">
        <v>2014</v>
      </c>
      <c r="D6500" s="18" t="n">
        <v>2014</v>
      </c>
      <c r="E6500" s="18" t="inlineStr">
        <is>
          <t>Teenage Mutant Ninja Turtles</t>
        </is>
      </c>
      <c r="F6500" s="18" t="inlineStr">
        <is>
          <t>F0309</t>
        </is>
      </c>
    </row>
    <row r="6501" ht="15.75" customHeight="1" s="108">
      <c r="A6501" s="18" t="inlineStr">
        <is>
          <t>Abby Elliott</t>
        </is>
      </c>
      <c r="B6501" s="18" t="n">
        <v>1</v>
      </c>
      <c r="C6501" s="18" t="n">
        <v>2014</v>
      </c>
      <c r="D6501" s="18" t="n">
        <v>2014</v>
      </c>
      <c r="E6501" s="18" t="inlineStr">
        <is>
          <t>Teenage Mutant Ninja Turtles</t>
        </is>
      </c>
      <c r="F6501" s="18" t="inlineStr">
        <is>
          <t>F0309</t>
        </is>
      </c>
    </row>
    <row r="6502" ht="15.75" customHeight="1" s="108">
      <c r="A6502" s="18" t="inlineStr">
        <is>
          <t>Madison Mason</t>
        </is>
      </c>
      <c r="B6502" s="18" t="n">
        <v>1</v>
      </c>
      <c r="C6502" s="18" t="n">
        <v>2014</v>
      </c>
      <c r="D6502" s="18" t="n">
        <v>2014</v>
      </c>
      <c r="E6502" s="18" t="inlineStr">
        <is>
          <t>Teenage Mutant Ninja Turtles</t>
        </is>
      </c>
      <c r="F6502" s="18" t="inlineStr">
        <is>
          <t>F0309</t>
        </is>
      </c>
    </row>
    <row r="6503" ht="15.75" customHeight="1" s="108">
      <c r="A6503" s="18" t="inlineStr">
        <is>
          <t>K. Todd Freeman</t>
        </is>
      </c>
      <c r="B6503" s="18" t="n">
        <v>1</v>
      </c>
      <c r="C6503" s="18" t="n">
        <v>2014</v>
      </c>
      <c r="D6503" s="18" t="n">
        <v>2014</v>
      </c>
      <c r="E6503" s="18" t="inlineStr">
        <is>
          <t>Teenage Mutant Ninja Turtles</t>
        </is>
      </c>
      <c r="F6503" s="18" t="inlineStr">
        <is>
          <t>F0309</t>
        </is>
      </c>
    </row>
    <row r="6504" ht="15.75" customHeight="1" s="108">
      <c r="A6504" s="18" t="inlineStr">
        <is>
          <t>Paul Fitzgerald</t>
        </is>
      </c>
      <c r="B6504" s="18" t="n">
        <v>1</v>
      </c>
      <c r="C6504" s="18" t="n">
        <v>2014</v>
      </c>
      <c r="D6504" s="18" t="n">
        <v>2014</v>
      </c>
      <c r="E6504" s="18" t="inlineStr">
        <is>
          <t>Teenage Mutant Ninja Turtles</t>
        </is>
      </c>
      <c r="F6504" s="18" t="inlineStr">
        <is>
          <t>F0309</t>
        </is>
      </c>
    </row>
    <row r="6505" ht="15.75" customHeight="1" s="108">
      <c r="A6505" s="18" t="inlineStr">
        <is>
          <t>Malina Weissman</t>
        </is>
      </c>
      <c r="B6505" s="18" t="n">
        <v>1</v>
      </c>
      <c r="C6505" s="18" t="n">
        <v>2014</v>
      </c>
      <c r="D6505" s="18" t="n">
        <v>2014</v>
      </c>
      <c r="E6505" s="18" t="inlineStr">
        <is>
          <t>Teenage Mutant Ninja Turtles</t>
        </is>
      </c>
      <c r="F6505" s="18" t="inlineStr">
        <is>
          <t>F0309</t>
        </is>
      </c>
    </row>
    <row r="6506" ht="15.75" customHeight="1" s="108">
      <c r="A6506" s="18" t="inlineStr">
        <is>
          <t>Venida Evans</t>
        </is>
      </c>
      <c r="B6506" s="18" t="n">
        <v>1</v>
      </c>
      <c r="C6506" s="18" t="n">
        <v>2014</v>
      </c>
      <c r="D6506" s="18" t="n">
        <v>2014</v>
      </c>
      <c r="E6506" s="18" t="inlineStr">
        <is>
          <t>Teenage Mutant Ninja Turtles</t>
        </is>
      </c>
      <c r="F6506" s="18" t="inlineStr">
        <is>
          <t>F0309</t>
        </is>
      </c>
    </row>
    <row r="6507" ht="15.75" customHeight="1" s="108">
      <c r="A6507" s="18" t="inlineStr">
        <is>
          <t>Mikal Vega</t>
        </is>
      </c>
      <c r="B6507" s="18" t="n">
        <v>1</v>
      </c>
      <c r="C6507" s="18" t="n">
        <v>2014</v>
      </c>
      <c r="D6507" s="18" t="n">
        <v>2014</v>
      </c>
      <c r="E6507" s="18" t="inlineStr">
        <is>
          <t>Teenage Mutant Ninja Turtles</t>
        </is>
      </c>
      <c r="F6507" s="18" t="inlineStr">
        <is>
          <t>F0309</t>
        </is>
      </c>
    </row>
    <row r="6508" ht="15.75" customHeight="1" s="108">
      <c r="A6508" s="18" t="inlineStr">
        <is>
          <t>Harley Pasternak</t>
        </is>
      </c>
      <c r="B6508" s="18" t="n">
        <v>1</v>
      </c>
      <c r="C6508" s="18" t="n">
        <v>2014</v>
      </c>
      <c r="D6508" s="18" t="n">
        <v>2014</v>
      </c>
      <c r="E6508" s="18" t="inlineStr">
        <is>
          <t>Teenage Mutant Ninja Turtles</t>
        </is>
      </c>
      <c r="F6508" s="18" t="inlineStr">
        <is>
          <t>F0309</t>
        </is>
      </c>
    </row>
    <row r="6509" ht="15.75" customHeight="1" s="108">
      <c r="A6509" s="18" t="inlineStr">
        <is>
          <t>Braeson Herold</t>
        </is>
      </c>
      <c r="B6509" s="18" t="n">
        <v>1</v>
      </c>
      <c r="C6509" s="18" t="n">
        <v>2014</v>
      </c>
      <c r="D6509" s="18" t="n">
        <v>2014</v>
      </c>
      <c r="E6509" s="18" t="inlineStr">
        <is>
          <t>Teenage Mutant Ninja Turtles</t>
        </is>
      </c>
      <c r="F6509" s="18" t="inlineStr">
        <is>
          <t>F0309</t>
        </is>
      </c>
    </row>
    <row r="6510" ht="15.75" customHeight="1" s="108">
      <c r="A6510" s="18" t="inlineStr">
        <is>
          <t>Chris Wylde</t>
        </is>
      </c>
      <c r="B6510" s="18" t="n">
        <v>2</v>
      </c>
      <c r="C6510" s="18" t="n">
        <v>2001</v>
      </c>
      <c r="D6510" s="18" t="n">
        <v>2014</v>
      </c>
      <c r="E6510" s="18" t="inlineStr">
        <is>
          <t>Teenage Mutant Ninja Turtles, Evolution</t>
        </is>
      </c>
      <c r="F6510" s="18" t="inlineStr">
        <is>
          <t>F0309, F0381</t>
        </is>
      </c>
    </row>
    <row r="6511" ht="15.75" customHeight="1" s="108">
      <c r="A6511" s="18" t="inlineStr">
        <is>
          <t>Chance Kelly</t>
        </is>
      </c>
      <c r="B6511" s="18" t="n">
        <v>1</v>
      </c>
      <c r="C6511" s="18" t="n">
        <v>2014</v>
      </c>
      <c r="D6511" s="18" t="n">
        <v>2014</v>
      </c>
      <c r="E6511" s="18" t="inlineStr">
        <is>
          <t>Teenage Mutant Ninja Turtles</t>
        </is>
      </c>
      <c r="F6511" s="18" t="inlineStr">
        <is>
          <t>F0309</t>
        </is>
      </c>
    </row>
    <row r="6512" ht="15.75" customHeight="1" s="108">
      <c r="A6512" s="18" t="inlineStr">
        <is>
          <t>Leyna Nguyen</t>
        </is>
      </c>
      <c r="B6512" s="18" t="n">
        <v>1</v>
      </c>
      <c r="C6512" s="18" t="n">
        <v>2014</v>
      </c>
      <c r="D6512" s="18" t="n">
        <v>2014</v>
      </c>
      <c r="E6512" s="18" t="inlineStr">
        <is>
          <t>Teenage Mutant Ninja Turtles</t>
        </is>
      </c>
      <c r="F6512" s="18" t="inlineStr">
        <is>
          <t>F0309</t>
        </is>
      </c>
    </row>
    <row r="6513" ht="15.75" customHeight="1" s="108">
      <c r="A6513" s="18" t="inlineStr">
        <is>
          <t>Derek Mears</t>
        </is>
      </c>
      <c r="B6513" s="18" t="n">
        <v>1</v>
      </c>
      <c r="C6513" s="18" t="n">
        <v>2014</v>
      </c>
      <c r="D6513" s="18" t="n">
        <v>2014</v>
      </c>
      <c r="E6513" s="18" t="inlineStr">
        <is>
          <t>Teenage Mutant Ninja Turtles</t>
        </is>
      </c>
      <c r="F6513" s="18" t="inlineStr">
        <is>
          <t>F0309</t>
        </is>
      </c>
    </row>
    <row r="6514" ht="15.75" customHeight="1" s="108">
      <c r="A6514" s="18" t="inlineStr">
        <is>
          <t>Alison Fernández</t>
        </is>
      </c>
      <c r="B6514" s="18" t="n">
        <v>1</v>
      </c>
      <c r="C6514" s="18" t="n">
        <v>2014</v>
      </c>
      <c r="D6514" s="18" t="n">
        <v>2014</v>
      </c>
      <c r="E6514" s="18" t="inlineStr">
        <is>
          <t>Teenage Mutant Ninja Turtles</t>
        </is>
      </c>
      <c r="F6514" s="18" t="inlineStr">
        <is>
          <t>F0309</t>
        </is>
      </c>
    </row>
    <row r="6515" ht="15.75" customHeight="1" s="108">
      <c r="A6515" s="18" t="inlineStr">
        <is>
          <t>Zach McGowan</t>
        </is>
      </c>
      <c r="B6515" s="18" t="n">
        <v>1</v>
      </c>
      <c r="C6515" s="18" t="n">
        <v>2009</v>
      </c>
      <c r="D6515" s="18" t="n">
        <v>2009</v>
      </c>
      <c r="E6515" s="18" t="inlineStr">
        <is>
          <t>Terminator Salvation</t>
        </is>
      </c>
      <c r="F6515" s="18" t="inlineStr">
        <is>
          <t>F0310</t>
        </is>
      </c>
    </row>
    <row r="6516" ht="15.75" customHeight="1" s="108">
      <c r="A6516" s="18" t="inlineStr">
        <is>
          <t>Jane Alexander</t>
        </is>
      </c>
      <c r="B6516" s="18" t="n">
        <v>1</v>
      </c>
      <c r="C6516" s="18" t="n">
        <v>2009</v>
      </c>
      <c r="D6516" s="18" t="n">
        <v>2009</v>
      </c>
      <c r="E6516" s="18" t="inlineStr">
        <is>
          <t>Terminator Salvation</t>
        </is>
      </c>
      <c r="F6516" s="18" t="inlineStr">
        <is>
          <t>F0310</t>
        </is>
      </c>
    </row>
    <row r="6517" ht="15.75" customHeight="1" s="108">
      <c r="A6517" s="18" t="inlineStr">
        <is>
          <t>Michael Ironside</t>
        </is>
      </c>
      <c r="B6517" s="18" t="n">
        <v>1</v>
      </c>
      <c r="C6517" s="18" t="n">
        <v>2009</v>
      </c>
      <c r="D6517" s="18" t="n">
        <v>2009</v>
      </c>
      <c r="E6517" s="18" t="inlineStr">
        <is>
          <t>Terminator Salvation</t>
        </is>
      </c>
      <c r="F6517" s="18" t="inlineStr">
        <is>
          <t>F0310</t>
        </is>
      </c>
    </row>
    <row r="6518" ht="15.75" customHeight="1" s="108">
      <c r="A6518" s="18" t="inlineStr">
        <is>
          <t>Ivan G'Vera</t>
        </is>
      </c>
      <c r="B6518" s="18" t="n">
        <v>1</v>
      </c>
      <c r="C6518" s="18" t="n">
        <v>2009</v>
      </c>
      <c r="D6518" s="18" t="n">
        <v>2009</v>
      </c>
      <c r="E6518" s="18" t="inlineStr">
        <is>
          <t>Terminator Salvation</t>
        </is>
      </c>
      <c r="F6518" s="18" t="inlineStr">
        <is>
          <t>F0310</t>
        </is>
      </c>
    </row>
    <row r="6519" ht="15.75" customHeight="1" s="108">
      <c r="A6519" s="18" t="inlineStr">
        <is>
          <t>Dorian Nkono</t>
        </is>
      </c>
      <c r="B6519" s="18" t="n">
        <v>1</v>
      </c>
      <c r="C6519" s="18" t="n">
        <v>2009</v>
      </c>
      <c r="D6519" s="18" t="n">
        <v>2009</v>
      </c>
      <c r="E6519" s="18" t="inlineStr">
        <is>
          <t>Terminator Salvation</t>
        </is>
      </c>
      <c r="F6519" s="18" t="inlineStr">
        <is>
          <t>F0310</t>
        </is>
      </c>
    </row>
    <row r="6520" ht="15.75" customHeight="1" s="108">
      <c r="A6520" s="18" t="inlineStr">
        <is>
          <t>Beth Bailey</t>
        </is>
      </c>
      <c r="B6520" s="18" t="n">
        <v>1</v>
      </c>
      <c r="C6520" s="18" t="n">
        <v>2009</v>
      </c>
      <c r="D6520" s="18" t="n">
        <v>2009</v>
      </c>
      <c r="E6520" s="18" t="inlineStr">
        <is>
          <t>Terminator Salvation</t>
        </is>
      </c>
      <c r="F6520" s="18" t="inlineStr">
        <is>
          <t>F0310</t>
        </is>
      </c>
    </row>
    <row r="6521" ht="15.75" customHeight="1" s="108">
      <c r="A6521" s="18" t="inlineStr">
        <is>
          <t>Victor J. Ho</t>
        </is>
      </c>
      <c r="B6521" s="18" t="n">
        <v>1</v>
      </c>
      <c r="C6521" s="18" t="n">
        <v>2009</v>
      </c>
      <c r="D6521" s="18" t="n">
        <v>2009</v>
      </c>
      <c r="E6521" s="18" t="inlineStr">
        <is>
          <t>Terminator Salvation</t>
        </is>
      </c>
      <c r="F6521" s="18" t="inlineStr">
        <is>
          <t>F0310</t>
        </is>
      </c>
    </row>
    <row r="6522" ht="15.75" customHeight="1" s="108">
      <c r="A6522" s="18" t="inlineStr">
        <is>
          <t>Jadagrace</t>
        </is>
      </c>
      <c r="B6522" s="18" t="n">
        <v>1</v>
      </c>
      <c r="C6522" s="18" t="n">
        <v>2009</v>
      </c>
      <c r="D6522" s="18" t="n">
        <v>2009</v>
      </c>
      <c r="E6522" s="18" t="inlineStr">
        <is>
          <t>Terminator Salvation</t>
        </is>
      </c>
      <c r="F6522" s="18" t="inlineStr">
        <is>
          <t>F0310</t>
        </is>
      </c>
    </row>
    <row r="6523" ht="15.75" customHeight="1" s="108">
      <c r="A6523" s="18" t="inlineStr">
        <is>
          <t>Kevin Wiggins</t>
        </is>
      </c>
      <c r="B6523" s="18" t="n">
        <v>1</v>
      </c>
      <c r="C6523" s="18" t="n">
        <v>2009</v>
      </c>
      <c r="D6523" s="18" t="n">
        <v>2009</v>
      </c>
      <c r="E6523" s="18" t="inlineStr">
        <is>
          <t>Terminator Salvation</t>
        </is>
      </c>
      <c r="F6523" s="18" t="inlineStr">
        <is>
          <t>F0310</t>
        </is>
      </c>
    </row>
    <row r="6524" ht="15.75" customHeight="1" s="108">
      <c r="A6524" s="18" t="inlineStr">
        <is>
          <t>Greg Serano</t>
        </is>
      </c>
      <c r="B6524" s="18" t="n">
        <v>1</v>
      </c>
      <c r="C6524" s="18" t="n">
        <v>2009</v>
      </c>
      <c r="D6524" s="18" t="n">
        <v>2009</v>
      </c>
      <c r="E6524" s="18" t="inlineStr">
        <is>
          <t>Terminator Salvation</t>
        </is>
      </c>
      <c r="F6524" s="18" t="inlineStr">
        <is>
          <t>F0310</t>
        </is>
      </c>
    </row>
    <row r="6525" ht="15.75" customHeight="1" s="108">
      <c r="A6525" s="18" t="inlineStr">
        <is>
          <t>Bruce McIntosh</t>
        </is>
      </c>
      <c r="B6525" s="18" t="n">
        <v>1</v>
      </c>
      <c r="C6525" s="18" t="n">
        <v>2009</v>
      </c>
      <c r="D6525" s="18" t="n">
        <v>2009</v>
      </c>
      <c r="E6525" s="18" t="inlineStr">
        <is>
          <t>Terminator Salvation</t>
        </is>
      </c>
      <c r="F6525" s="18" t="inlineStr">
        <is>
          <t>F0310</t>
        </is>
      </c>
    </row>
    <row r="6526" ht="15.75" customHeight="1" s="108">
      <c r="A6526" s="18" t="inlineStr">
        <is>
          <t>Po Chan</t>
        </is>
      </c>
      <c r="B6526" s="18" t="n">
        <v>1</v>
      </c>
      <c r="C6526" s="18" t="n">
        <v>2009</v>
      </c>
      <c r="D6526" s="18" t="n">
        <v>2009</v>
      </c>
      <c r="E6526" s="18" t="inlineStr">
        <is>
          <t>Terminator Salvation</t>
        </is>
      </c>
      <c r="F6526" s="18" t="inlineStr">
        <is>
          <t>F0310</t>
        </is>
      </c>
    </row>
    <row r="6527" ht="15.75" customHeight="1" s="108">
      <c r="A6527" s="18" t="inlineStr">
        <is>
          <t>Babak Tafti</t>
        </is>
      </c>
      <c r="B6527" s="18" t="n">
        <v>1</v>
      </c>
      <c r="C6527" s="18" t="n">
        <v>2009</v>
      </c>
      <c r="D6527" s="18" t="n">
        <v>2009</v>
      </c>
      <c r="E6527" s="18" t="inlineStr">
        <is>
          <t>Terminator Salvation</t>
        </is>
      </c>
      <c r="F6527" s="18" t="inlineStr">
        <is>
          <t>F0310</t>
        </is>
      </c>
    </row>
    <row r="6528" ht="15.75" customHeight="1" s="108">
      <c r="A6528" s="18" t="inlineStr">
        <is>
          <t>Dylan Kenin</t>
        </is>
      </c>
      <c r="B6528" s="18" t="n">
        <v>1</v>
      </c>
      <c r="C6528" s="18" t="n">
        <v>2009</v>
      </c>
      <c r="D6528" s="18" t="n">
        <v>2009</v>
      </c>
      <c r="E6528" s="18" t="inlineStr">
        <is>
          <t>Terminator Salvation</t>
        </is>
      </c>
      <c r="F6528" s="18" t="inlineStr">
        <is>
          <t>F0310</t>
        </is>
      </c>
    </row>
    <row r="6529" ht="15.75" customHeight="1" s="108">
      <c r="A6529" s="18" t="inlineStr">
        <is>
          <t>Chris Ashworth</t>
        </is>
      </c>
      <c r="B6529" s="18" t="n">
        <v>1</v>
      </c>
      <c r="C6529" s="18" t="n">
        <v>2009</v>
      </c>
      <c r="D6529" s="18" t="n">
        <v>2009</v>
      </c>
      <c r="E6529" s="18" t="inlineStr">
        <is>
          <t>Terminator Salvation</t>
        </is>
      </c>
      <c r="F6529" s="18" t="inlineStr">
        <is>
          <t>F0310</t>
        </is>
      </c>
    </row>
    <row r="6530" ht="15.75" customHeight="1" s="108">
      <c r="A6530" s="18" t="inlineStr">
        <is>
          <t>Diego Joaquin Lopez</t>
        </is>
      </c>
      <c r="B6530" s="18" t="n">
        <v>1</v>
      </c>
      <c r="C6530" s="18" t="n">
        <v>2009</v>
      </c>
      <c r="D6530" s="18" t="n">
        <v>2009</v>
      </c>
      <c r="E6530" s="18" t="inlineStr">
        <is>
          <t>Terminator Salvation</t>
        </is>
      </c>
      <c r="F6530" s="18" t="inlineStr">
        <is>
          <t>F0310</t>
        </is>
      </c>
    </row>
    <row r="6531" ht="15.75" customHeight="1" s="108">
      <c r="A6531" s="18" t="inlineStr">
        <is>
          <t>Greg Plitt</t>
        </is>
      </c>
      <c r="B6531" s="18" t="n">
        <v>1</v>
      </c>
      <c r="C6531" s="18" t="n">
        <v>2009</v>
      </c>
      <c r="D6531" s="18" t="n">
        <v>2009</v>
      </c>
      <c r="E6531" s="18" t="inlineStr">
        <is>
          <t>Terminator Salvation</t>
        </is>
      </c>
      <c r="F6531" s="18" t="inlineStr">
        <is>
          <t>F0310</t>
        </is>
      </c>
    </row>
    <row r="6532" ht="15.75" customHeight="1" s="108">
      <c r="A6532" s="18" t="inlineStr">
        <is>
          <t>Omar Paz Trujillo</t>
        </is>
      </c>
      <c r="B6532" s="18" t="n">
        <v>1</v>
      </c>
      <c r="C6532" s="18" t="n">
        <v>2009</v>
      </c>
      <c r="D6532" s="18" t="n">
        <v>2009</v>
      </c>
      <c r="E6532" s="18" t="inlineStr">
        <is>
          <t>Terminator Salvation</t>
        </is>
      </c>
      <c r="F6532" s="18" t="inlineStr">
        <is>
          <t>F0310</t>
        </is>
      </c>
    </row>
    <row r="6533" ht="15.75" customHeight="1" s="108">
      <c r="A6533" s="18" t="inlineStr">
        <is>
          <t>Maxine Peake</t>
        </is>
      </c>
      <c r="B6533" s="18" t="n">
        <v>1</v>
      </c>
      <c r="C6533" s="18" t="n">
        <v>2014</v>
      </c>
      <c r="D6533" s="18" t="n">
        <v>2014</v>
      </c>
      <c r="E6533" s="18" t="inlineStr">
        <is>
          <t>The Theory of Everything</t>
        </is>
      </c>
      <c r="F6533" s="18" t="inlineStr">
        <is>
          <t>F0311</t>
        </is>
      </c>
    </row>
    <row r="6534" ht="15.75" customHeight="1" s="108">
      <c r="A6534" s="18" t="inlineStr">
        <is>
          <t>Harry Lloyd</t>
        </is>
      </c>
      <c r="B6534" s="18" t="n">
        <v>1</v>
      </c>
      <c r="C6534" s="18" t="n">
        <v>2014</v>
      </c>
      <c r="D6534" s="18" t="n">
        <v>2014</v>
      </c>
      <c r="E6534" s="18" t="inlineStr">
        <is>
          <t>The Theory of Everything</t>
        </is>
      </c>
      <c r="F6534" s="18" t="inlineStr">
        <is>
          <t>F0311</t>
        </is>
      </c>
    </row>
    <row r="6535" ht="15.75" customHeight="1" s="108">
      <c r="A6535" s="18" t="inlineStr">
        <is>
          <t>Tom Prior</t>
        </is>
      </c>
      <c r="B6535" s="18" t="n">
        <v>1</v>
      </c>
      <c r="C6535" s="18" t="n">
        <v>2014</v>
      </c>
      <c r="D6535" s="18" t="n">
        <v>2014</v>
      </c>
      <c r="E6535" s="18" t="inlineStr">
        <is>
          <t>The Theory of Everything</t>
        </is>
      </c>
      <c r="F6535" s="18" t="inlineStr">
        <is>
          <t>F0311</t>
        </is>
      </c>
    </row>
    <row r="6536" ht="15.75" customHeight="1" s="108">
      <c r="A6536" s="18" t="inlineStr">
        <is>
          <t>Sophie Perry</t>
        </is>
      </c>
      <c r="B6536" s="18" t="n">
        <v>1</v>
      </c>
      <c r="C6536" s="18" t="n">
        <v>2014</v>
      </c>
      <c r="D6536" s="18" t="n">
        <v>2014</v>
      </c>
      <c r="E6536" s="18" t="inlineStr">
        <is>
          <t>The Theory of Everything</t>
        </is>
      </c>
      <c r="F6536" s="18" t="inlineStr">
        <is>
          <t>F0311</t>
        </is>
      </c>
    </row>
    <row r="6537" ht="15.75" customHeight="1" s="108">
      <c r="A6537" s="18" t="inlineStr">
        <is>
          <t>Finlay Wright-Stephens</t>
        </is>
      </c>
      <c r="B6537" s="18" t="n">
        <v>1</v>
      </c>
      <c r="C6537" s="18" t="n">
        <v>2014</v>
      </c>
      <c r="D6537" s="18" t="n">
        <v>2014</v>
      </c>
      <c r="E6537" s="18" t="inlineStr">
        <is>
          <t>The Theory of Everything</t>
        </is>
      </c>
      <c r="F6537" s="18" t="inlineStr">
        <is>
          <t>F0311</t>
        </is>
      </c>
    </row>
    <row r="6538" ht="15.75" customHeight="1" s="108">
      <c r="A6538" s="18" t="inlineStr">
        <is>
          <t>Alice Orr-Ewing</t>
        </is>
      </c>
      <c r="B6538" s="18" t="n">
        <v>1</v>
      </c>
      <c r="C6538" s="18" t="n">
        <v>2014</v>
      </c>
      <c r="D6538" s="18" t="n">
        <v>2014</v>
      </c>
      <c r="E6538" s="18" t="inlineStr">
        <is>
          <t>The Theory of Everything</t>
        </is>
      </c>
      <c r="F6538" s="18" t="inlineStr">
        <is>
          <t>F0311</t>
        </is>
      </c>
    </row>
    <row r="6539" ht="15.75" customHeight="1" s="108">
      <c r="A6539" s="18" t="inlineStr">
        <is>
          <t>Thomas Morrison</t>
        </is>
      </c>
      <c r="B6539" s="18" t="n">
        <v>1</v>
      </c>
      <c r="C6539" s="18" t="n">
        <v>2014</v>
      </c>
      <c r="D6539" s="18" t="n">
        <v>2014</v>
      </c>
      <c r="E6539" s="18" t="inlineStr">
        <is>
          <t>The Theory of Everything</t>
        </is>
      </c>
      <c r="F6539" s="18" t="inlineStr">
        <is>
          <t>F0311</t>
        </is>
      </c>
    </row>
    <row r="6540" ht="15.75" customHeight="1" s="108">
      <c r="A6540" s="18" t="inlineStr">
        <is>
          <t>Michael Marcus</t>
        </is>
      </c>
      <c r="B6540" s="18" t="n">
        <v>1</v>
      </c>
      <c r="C6540" s="18" t="n">
        <v>2014</v>
      </c>
      <c r="D6540" s="18" t="n">
        <v>2014</v>
      </c>
      <c r="E6540" s="18" t="inlineStr">
        <is>
          <t>The Theory of Everything</t>
        </is>
      </c>
      <c r="F6540" s="18" t="inlineStr">
        <is>
          <t>F0311</t>
        </is>
      </c>
    </row>
    <row r="6541" ht="15.75" customHeight="1" s="108">
      <c r="A6541" s="18" t="inlineStr">
        <is>
          <t>Paul Longley</t>
        </is>
      </c>
      <c r="B6541" s="18" t="n">
        <v>1</v>
      </c>
      <c r="C6541" s="18" t="n">
        <v>2014</v>
      </c>
      <c r="D6541" s="18" t="n">
        <v>2014</v>
      </c>
      <c r="E6541" s="18" t="inlineStr">
        <is>
          <t>The Theory of Everything</t>
        </is>
      </c>
      <c r="F6541" s="18" t="inlineStr">
        <is>
          <t>F0311</t>
        </is>
      </c>
    </row>
    <row r="6542" ht="15.75" customHeight="1" s="108">
      <c r="A6542" s="18" t="inlineStr">
        <is>
          <t>Guy Oliver-Watts</t>
        </is>
      </c>
      <c r="B6542" s="18" t="n">
        <v>1</v>
      </c>
      <c r="C6542" s="18" t="n">
        <v>2014</v>
      </c>
      <c r="D6542" s="18" t="n">
        <v>2014</v>
      </c>
      <c r="E6542" s="18" t="inlineStr">
        <is>
          <t>The Theory of Everything</t>
        </is>
      </c>
      <c r="F6542" s="18" t="inlineStr">
        <is>
          <t>F0311</t>
        </is>
      </c>
    </row>
    <row r="6543" ht="15.75" customHeight="1" s="108">
      <c r="A6543" s="18" t="inlineStr">
        <is>
          <t>Lucy Chappell</t>
        </is>
      </c>
      <c r="B6543" s="18" t="n">
        <v>1</v>
      </c>
      <c r="C6543" s="18" t="n">
        <v>2014</v>
      </c>
      <c r="D6543" s="18" t="n">
        <v>2014</v>
      </c>
      <c r="E6543" s="18" t="inlineStr">
        <is>
          <t>The Theory of Everything</t>
        </is>
      </c>
      <c r="F6543" s="18" t="inlineStr">
        <is>
          <t>F0311</t>
        </is>
      </c>
    </row>
    <row r="6544" ht="15.75" customHeight="1" s="108">
      <c r="A6544" s="18" t="inlineStr">
        <is>
          <t>Charlotte Hope</t>
        </is>
      </c>
      <c r="B6544" s="18" t="n">
        <v>1</v>
      </c>
      <c r="C6544" s="18" t="n">
        <v>2014</v>
      </c>
      <c r="D6544" s="18" t="n">
        <v>2014</v>
      </c>
      <c r="E6544" s="18" t="inlineStr">
        <is>
          <t>The Theory of Everything</t>
        </is>
      </c>
      <c r="F6544" s="18" t="inlineStr">
        <is>
          <t>F0311</t>
        </is>
      </c>
    </row>
    <row r="6545" ht="15.75" customHeight="1" s="108">
      <c r="A6545" s="18" t="inlineStr">
        <is>
          <t>Abigail Cruttenden</t>
        </is>
      </c>
      <c r="B6545" s="18" t="n">
        <v>1</v>
      </c>
      <c r="C6545" s="18" t="n">
        <v>2014</v>
      </c>
      <c r="D6545" s="18" t="n">
        <v>2014</v>
      </c>
      <c r="E6545" s="18" t="inlineStr">
        <is>
          <t>The Theory of Everything</t>
        </is>
      </c>
      <c r="F6545" s="18" t="inlineStr">
        <is>
          <t>F0311</t>
        </is>
      </c>
    </row>
    <row r="6546" ht="15.75" customHeight="1" s="108">
      <c r="A6546" s="18" t="inlineStr">
        <is>
          <t>Nicholas Gerard-Martin</t>
        </is>
      </c>
      <c r="B6546" s="18" t="n">
        <v>1</v>
      </c>
      <c r="C6546" s="18" t="n">
        <v>2014</v>
      </c>
      <c r="D6546" s="18" t="n">
        <v>2014</v>
      </c>
      <c r="E6546" s="18" t="inlineStr">
        <is>
          <t>The Theory of Everything</t>
        </is>
      </c>
      <c r="F6546" s="18" t="inlineStr">
        <is>
          <t>F0311</t>
        </is>
      </c>
    </row>
    <row r="6547" ht="15.75" customHeight="1" s="108">
      <c r="A6547" s="18" t="inlineStr">
        <is>
          <t>Brett Brown</t>
        </is>
      </c>
      <c r="B6547" s="18" t="n">
        <v>1</v>
      </c>
      <c r="C6547" s="18" t="n">
        <v>2014</v>
      </c>
      <c r="D6547" s="18" t="n">
        <v>2014</v>
      </c>
      <c r="E6547" s="18" t="inlineStr">
        <is>
          <t>The Theory of Everything</t>
        </is>
      </c>
      <c r="F6547" s="18" t="inlineStr">
        <is>
          <t>F0311</t>
        </is>
      </c>
    </row>
    <row r="6548" ht="15.75" customHeight="1" s="108">
      <c r="A6548" s="18" t="inlineStr">
        <is>
          <t>Anthony Skrimshire</t>
        </is>
      </c>
      <c r="B6548" s="18" t="n">
        <v>1</v>
      </c>
      <c r="C6548" s="18" t="n">
        <v>2014</v>
      </c>
      <c r="D6548" s="18" t="n">
        <v>2014</v>
      </c>
      <c r="E6548" s="18" t="inlineStr">
        <is>
          <t>The Theory of Everything</t>
        </is>
      </c>
      <c r="F6548" s="18" t="inlineStr">
        <is>
          <t>F0311</t>
        </is>
      </c>
    </row>
    <row r="6549" ht="15.75" customHeight="1" s="108">
      <c r="A6549" s="18" t="inlineStr">
        <is>
          <t>Nicola Sloane</t>
        </is>
      </c>
      <c r="B6549" s="18" t="n">
        <v>1</v>
      </c>
      <c r="C6549" s="18" t="n">
        <v>2014</v>
      </c>
      <c r="D6549" s="18" t="n">
        <v>2014</v>
      </c>
      <c r="E6549" s="18" t="inlineStr">
        <is>
          <t>The Theory of Everything</t>
        </is>
      </c>
      <c r="F6549" s="18" t="inlineStr">
        <is>
          <t>F0311</t>
        </is>
      </c>
    </row>
    <row r="6550" ht="15.75" customHeight="1" s="108">
      <c r="A6550" s="18" t="inlineStr">
        <is>
          <t>Lottie Hamilton</t>
        </is>
      </c>
      <c r="B6550" s="18" t="n">
        <v>1</v>
      </c>
      <c r="C6550" s="18" t="n">
        <v>2014</v>
      </c>
      <c r="D6550" s="18" t="n">
        <v>2014</v>
      </c>
      <c r="E6550" s="18" t="inlineStr">
        <is>
          <t>The Theory of Everything</t>
        </is>
      </c>
      <c r="F6550" s="18" t="inlineStr">
        <is>
          <t>F0311</t>
        </is>
      </c>
    </row>
    <row r="6551" ht="15.75" customHeight="1" s="108">
      <c r="A6551" s="18" t="inlineStr">
        <is>
          <t>Rufus Taylor</t>
        </is>
      </c>
      <c r="B6551" s="18" t="n">
        <v>1</v>
      </c>
      <c r="C6551" s="18" t="n">
        <v>2014</v>
      </c>
      <c r="D6551" s="18" t="n">
        <v>2014</v>
      </c>
      <c r="E6551" s="18" t="inlineStr">
        <is>
          <t>The Theory of Everything</t>
        </is>
      </c>
      <c r="F6551" s="18" t="inlineStr">
        <is>
          <t>F0311</t>
        </is>
      </c>
    </row>
    <row r="6552" ht="15.75" customHeight="1" s="108">
      <c r="A6552" s="18" t="inlineStr">
        <is>
          <t>Delilah Sexton</t>
        </is>
      </c>
      <c r="B6552" s="18" t="n">
        <v>1</v>
      </c>
      <c r="C6552" s="18" t="n">
        <v>2014</v>
      </c>
      <c r="D6552" s="18" t="n">
        <v>2014</v>
      </c>
      <c r="E6552" s="18" t="inlineStr">
        <is>
          <t>The Theory of Everything</t>
        </is>
      </c>
      <c r="F6552" s="18" t="inlineStr">
        <is>
          <t>F0311</t>
        </is>
      </c>
    </row>
    <row r="6553" ht="15.75" customHeight="1" s="108">
      <c r="A6553" s="18" t="inlineStr">
        <is>
          <t>John Morris</t>
        </is>
      </c>
      <c r="B6553" s="18" t="n">
        <v>3</v>
      </c>
      <c r="C6553" s="18" t="n">
        <v>1995</v>
      </c>
      <c r="D6553" s="18" t="n">
        <v>2010</v>
      </c>
      <c r="E6553" s="18" t="inlineStr">
        <is>
          <t>Toy Story, Toy Story 2, Toy Story 3</t>
        </is>
      </c>
      <c r="F6553" s="18" t="inlineStr">
        <is>
          <t>F0312, F0313, F0314</t>
        </is>
      </c>
    </row>
    <row r="6554" ht="15.75" customHeight="1" s="108">
      <c r="A6554" s="18" t="inlineStr">
        <is>
          <t>Erik von Detten</t>
        </is>
      </c>
      <c r="B6554" s="18" t="n">
        <v>1</v>
      </c>
      <c r="C6554" s="18" t="n">
        <v>1995</v>
      </c>
      <c r="D6554" s="18" t="n">
        <v>1995</v>
      </c>
      <c r="E6554" s="18" t="inlineStr">
        <is>
          <t>Toy Story</t>
        </is>
      </c>
      <c r="F6554" s="18" t="inlineStr">
        <is>
          <t>F0312</t>
        </is>
      </c>
    </row>
    <row r="6555" ht="15.75" customHeight="1" s="108">
      <c r="A6555" s="18" t="inlineStr">
        <is>
          <t>Laurie Metcalf</t>
        </is>
      </c>
      <c r="B6555" s="18" t="n">
        <v>4</v>
      </c>
      <c r="C6555" s="18" t="n">
        <v>1995</v>
      </c>
      <c r="D6555" s="18" t="n">
        <v>2019</v>
      </c>
      <c r="E6555" s="18" t="inlineStr">
        <is>
          <t>Toy Story, Toy Story 2, Toy Story 3, Toy Story 4</t>
        </is>
      </c>
      <c r="F6555" s="18" t="inlineStr">
        <is>
          <t>F0312, F0313, F0314, F0315</t>
        </is>
      </c>
    </row>
    <row r="6556" ht="15.75" customHeight="1" s="108">
      <c r="A6556" s="18" t="inlineStr">
        <is>
          <t>Sarah Rayne</t>
        </is>
      </c>
      <c r="B6556" s="18" t="n">
        <v>1</v>
      </c>
      <c r="C6556" s="18" t="n">
        <v>1995</v>
      </c>
      <c r="D6556" s="18" t="n">
        <v>1995</v>
      </c>
      <c r="E6556" s="18" t="inlineStr">
        <is>
          <t>Toy Story</t>
        </is>
      </c>
      <c r="F6556" s="18" t="inlineStr">
        <is>
          <t>F0312</t>
        </is>
      </c>
    </row>
    <row r="6557" ht="15.75" customHeight="1" s="108">
      <c r="A6557" s="18" t="inlineStr">
        <is>
          <t>Penn Jillette</t>
        </is>
      </c>
      <c r="B6557" s="18" t="n">
        <v>1</v>
      </c>
      <c r="C6557" s="18" t="n">
        <v>1995</v>
      </c>
      <c r="D6557" s="18" t="n">
        <v>1995</v>
      </c>
      <c r="E6557" s="18" t="inlineStr">
        <is>
          <t>Toy Story</t>
        </is>
      </c>
      <c r="F6557" s="18" t="inlineStr">
        <is>
          <t>F0312</t>
        </is>
      </c>
    </row>
    <row r="6558" ht="15.75" customHeight="1" s="108">
      <c r="A6558" s="18" t="inlineStr">
        <is>
          <t>Spencer Aste</t>
        </is>
      </c>
      <c r="B6558" s="18" t="n">
        <v>1</v>
      </c>
      <c r="C6558" s="18" t="n">
        <v>1995</v>
      </c>
      <c r="D6558" s="18" t="n">
        <v>1995</v>
      </c>
      <c r="E6558" s="18" t="inlineStr">
        <is>
          <t>Toy Story</t>
        </is>
      </c>
      <c r="F6558" s="18" t="inlineStr">
        <is>
          <t>F0312</t>
        </is>
      </c>
    </row>
    <row r="6559" ht="15.75" customHeight="1" s="108">
      <c r="A6559" s="18" t="inlineStr">
        <is>
          <t>Greg Berg</t>
        </is>
      </c>
      <c r="B6559" s="18" t="n">
        <v>1</v>
      </c>
      <c r="C6559" s="18" t="n">
        <v>1995</v>
      </c>
      <c r="D6559" s="18" t="n">
        <v>1995</v>
      </c>
      <c r="E6559" s="18" t="inlineStr">
        <is>
          <t>Toy Story</t>
        </is>
      </c>
      <c r="F6559" s="18" t="inlineStr">
        <is>
          <t>F0312</t>
        </is>
      </c>
    </row>
    <row r="6560" ht="15.75" customHeight="1" s="108">
      <c r="A6560" s="18" t="inlineStr">
        <is>
          <t>Lisa Bradley</t>
        </is>
      </c>
      <c r="B6560" s="18" t="n">
        <v>1</v>
      </c>
      <c r="C6560" s="18" t="n">
        <v>1995</v>
      </c>
      <c r="D6560" s="18" t="n">
        <v>1995</v>
      </c>
      <c r="E6560" s="18" t="inlineStr">
        <is>
          <t>Toy Story</t>
        </is>
      </c>
      <c r="F6560" s="18" t="inlineStr">
        <is>
          <t>F0312</t>
        </is>
      </c>
    </row>
    <row r="6561" ht="15.75" customHeight="1" s="108">
      <c r="A6561" s="18" t="inlineStr">
        <is>
          <t>Kendall Cunningham</t>
        </is>
      </c>
      <c r="B6561" s="18" t="n">
        <v>1</v>
      </c>
      <c r="C6561" s="18" t="n">
        <v>1995</v>
      </c>
      <c r="D6561" s="18" t="n">
        <v>1995</v>
      </c>
      <c r="E6561" s="18" t="inlineStr">
        <is>
          <t>Toy Story</t>
        </is>
      </c>
      <c r="F6561" s="18" t="inlineStr">
        <is>
          <t>F0312</t>
        </is>
      </c>
    </row>
    <row r="6562" ht="15.75" customHeight="1" s="108">
      <c r="A6562" s="18" t="inlineStr">
        <is>
          <t>Cody Dorkin</t>
        </is>
      </c>
      <c r="B6562" s="18" t="n">
        <v>1</v>
      </c>
      <c r="C6562" s="18" t="n">
        <v>1995</v>
      </c>
      <c r="D6562" s="18" t="n">
        <v>1995</v>
      </c>
      <c r="E6562" s="18" t="inlineStr">
        <is>
          <t>Toy Story</t>
        </is>
      </c>
      <c r="F6562" s="18" t="inlineStr">
        <is>
          <t>F0312</t>
        </is>
      </c>
    </row>
    <row r="6563" ht="15.75" customHeight="1" s="108">
      <c r="A6563" s="18" t="inlineStr">
        <is>
          <t>Craig Good</t>
        </is>
      </c>
      <c r="B6563" s="18" t="n">
        <v>1</v>
      </c>
      <c r="C6563" s="18" t="n">
        <v>1995</v>
      </c>
      <c r="D6563" s="18" t="n">
        <v>1995</v>
      </c>
      <c r="E6563" s="18" t="inlineStr">
        <is>
          <t>Toy Story</t>
        </is>
      </c>
      <c r="F6563" s="18" t="inlineStr">
        <is>
          <t>F0312</t>
        </is>
      </c>
    </row>
    <row r="6564" ht="15.75" customHeight="1" s="108">
      <c r="A6564" s="18" t="inlineStr">
        <is>
          <t>Gregory Grudt</t>
        </is>
      </c>
      <c r="B6564" s="18" t="n">
        <v>1</v>
      </c>
      <c r="C6564" s="18" t="n">
        <v>1995</v>
      </c>
      <c r="D6564" s="18" t="n">
        <v>1995</v>
      </c>
      <c r="E6564" s="18" t="inlineStr">
        <is>
          <t>Toy Story</t>
        </is>
      </c>
      <c r="F6564" s="18" t="inlineStr">
        <is>
          <t>F0312</t>
        </is>
      </c>
    </row>
    <row r="6565" ht="15.75" customHeight="1" s="108">
      <c r="A6565" s="18" t="inlineStr">
        <is>
          <t>Danielle Judovits</t>
        </is>
      </c>
      <c r="B6565" s="18" t="n">
        <v>1</v>
      </c>
      <c r="C6565" s="18" t="n">
        <v>1995</v>
      </c>
      <c r="D6565" s="18" t="n">
        <v>1995</v>
      </c>
      <c r="E6565" s="18" t="inlineStr">
        <is>
          <t>Toy Story</t>
        </is>
      </c>
      <c r="F6565" s="18" t="inlineStr">
        <is>
          <t>F0312</t>
        </is>
      </c>
    </row>
    <row r="6566" ht="15.75" customHeight="1" s="108">
      <c r="A6566" s="18" t="inlineStr">
        <is>
          <t>Sam Lasseter</t>
        </is>
      </c>
      <c r="B6566" s="18" t="n">
        <v>1</v>
      </c>
      <c r="C6566" s="18" t="n">
        <v>1995</v>
      </c>
      <c r="D6566" s="18" t="n">
        <v>1995</v>
      </c>
      <c r="E6566" s="18" t="inlineStr">
        <is>
          <t>Toy Story</t>
        </is>
      </c>
      <c r="F6566" s="18" t="inlineStr">
        <is>
          <t>F0312</t>
        </is>
      </c>
    </row>
    <row r="6567" ht="15.75" customHeight="1" s="108">
      <c r="A6567" s="18" t="inlineStr">
        <is>
          <t>Brittany Levenbrown</t>
        </is>
      </c>
      <c r="B6567" s="18" t="n">
        <v>1</v>
      </c>
      <c r="C6567" s="18" t="n">
        <v>1995</v>
      </c>
      <c r="D6567" s="18" t="n">
        <v>1995</v>
      </c>
      <c r="E6567" s="18" t="inlineStr">
        <is>
          <t>Toy Story</t>
        </is>
      </c>
      <c r="F6567" s="18" t="inlineStr">
        <is>
          <t>F0312</t>
        </is>
      </c>
    </row>
    <row r="6568" ht="15.75" customHeight="1" s="108">
      <c r="A6568" s="18" t="inlineStr">
        <is>
          <t>Scott McAfee</t>
        </is>
      </c>
      <c r="B6568" s="18" t="n">
        <v>1</v>
      </c>
      <c r="C6568" s="18" t="n">
        <v>1995</v>
      </c>
      <c r="D6568" s="18" t="n">
        <v>1995</v>
      </c>
      <c r="E6568" s="18" t="inlineStr">
        <is>
          <t>Toy Story</t>
        </is>
      </c>
      <c r="F6568" s="18" t="inlineStr">
        <is>
          <t>F0312</t>
        </is>
      </c>
    </row>
    <row r="6569" ht="15.75" customHeight="1" s="108">
      <c r="A6569" s="18" t="inlineStr">
        <is>
          <t>Ryan O'Donohue</t>
        </is>
      </c>
      <c r="B6569" s="18" t="n">
        <v>1</v>
      </c>
      <c r="C6569" s="18" t="n">
        <v>1995</v>
      </c>
      <c r="D6569" s="18" t="n">
        <v>1995</v>
      </c>
      <c r="E6569" s="18" t="inlineStr">
        <is>
          <t>Toy Story</t>
        </is>
      </c>
      <c r="F6569" s="18" t="inlineStr">
        <is>
          <t>F0312</t>
        </is>
      </c>
    </row>
    <row r="6570" ht="15.75" customHeight="1" s="108">
      <c r="A6570" s="18" t="inlineStr">
        <is>
          <t>Estelle Harris</t>
        </is>
      </c>
      <c r="B6570" s="18" t="n">
        <v>3</v>
      </c>
      <c r="C6570" s="18" t="n">
        <v>1999</v>
      </c>
      <c r="D6570" s="18" t="n">
        <v>2019</v>
      </c>
      <c r="E6570" s="18" t="inlineStr">
        <is>
          <t>Toy Story 2, Toy Story 3, Toy Story 4</t>
        </is>
      </c>
      <c r="F6570" s="18" t="inlineStr">
        <is>
          <t>F0313, F0314, F0315</t>
        </is>
      </c>
    </row>
    <row r="6571" ht="15.75" customHeight="1" s="108">
      <c r="A6571" s="18" t="inlineStr">
        <is>
          <t>Jodi Benson</t>
        </is>
      </c>
      <c r="B6571" s="18" t="n">
        <v>3</v>
      </c>
      <c r="C6571" s="18" t="n">
        <v>1999</v>
      </c>
      <c r="D6571" s="18" t="n">
        <v>2018</v>
      </c>
      <c r="E6571" s="18" t="inlineStr">
        <is>
          <t>Toy Story 2, Toy Story 3, Ralph Breaks the Internet</t>
        </is>
      </c>
      <c r="F6571" s="18" t="inlineStr">
        <is>
          <t>F0313, F0314, F0337</t>
        </is>
      </c>
    </row>
    <row r="6572" ht="15.75" customHeight="1" s="108">
      <c r="A6572" s="18" t="inlineStr">
        <is>
          <t>Mary Kay Bergman</t>
        </is>
      </c>
      <c r="B6572" s="18" t="n">
        <v>1</v>
      </c>
      <c r="C6572" s="18" t="n">
        <v>1999</v>
      </c>
      <c r="D6572" s="18" t="n">
        <v>1999</v>
      </c>
      <c r="E6572" s="18" t="inlineStr">
        <is>
          <t>Toy Story 2</t>
        </is>
      </c>
      <c r="F6572" s="18" t="inlineStr">
        <is>
          <t>F0313</t>
        </is>
      </c>
    </row>
    <row r="6573" ht="15.75" customHeight="1" s="108">
      <c r="A6573" s="18" t="inlineStr">
        <is>
          <t>Sheryl Bernstein</t>
        </is>
      </c>
      <c r="B6573" s="18" t="n">
        <v>1</v>
      </c>
      <c r="C6573" s="18" t="n">
        <v>1999</v>
      </c>
      <c r="D6573" s="18" t="n">
        <v>1999</v>
      </c>
      <c r="E6573" s="18" t="inlineStr">
        <is>
          <t>Toy Story 2</t>
        </is>
      </c>
      <c r="F6573" s="18" t="inlineStr">
        <is>
          <t>F0313</t>
        </is>
      </c>
    </row>
    <row r="6574" ht="15.75" customHeight="1" s="108">
      <c r="A6574" s="18" t="inlineStr">
        <is>
          <t>Ned Beatty</t>
        </is>
      </c>
      <c r="B6574" s="18" t="n">
        <v>1</v>
      </c>
      <c r="C6574" s="18" t="n">
        <v>2010</v>
      </c>
      <c r="D6574" s="18" t="n">
        <v>2010</v>
      </c>
      <c r="E6574" s="18" t="inlineStr">
        <is>
          <t>Toy Story 3</t>
        </is>
      </c>
      <c r="F6574" s="18" t="inlineStr">
        <is>
          <t>F0314</t>
        </is>
      </c>
    </row>
    <row r="6575" ht="15.75" customHeight="1" s="108">
      <c r="A6575" s="18" t="inlineStr">
        <is>
          <t>Emily Hahn</t>
        </is>
      </c>
      <c r="B6575" s="18" t="n">
        <v>1</v>
      </c>
      <c r="C6575" s="18" t="n">
        <v>2010</v>
      </c>
      <c r="D6575" s="18" t="n">
        <v>2010</v>
      </c>
      <c r="E6575" s="18" t="inlineStr">
        <is>
          <t>Toy Story 3</t>
        </is>
      </c>
      <c r="F6575" s="18" t="inlineStr">
        <is>
          <t>F0314</t>
        </is>
      </c>
    </row>
    <row r="6576" ht="15.75" customHeight="1" s="108">
      <c r="A6576" s="18" t="inlineStr">
        <is>
          <t>Teddy Newton</t>
        </is>
      </c>
      <c r="B6576" s="18" t="n">
        <v>3</v>
      </c>
      <c r="C6576" s="18" t="n">
        <v>2008</v>
      </c>
      <c r="D6576" s="18" t="n">
        <v>2010</v>
      </c>
      <c r="E6576" s="18" t="inlineStr">
        <is>
          <t>Toy Story 3, Up, WALL·E</t>
        </is>
      </c>
      <c r="F6576" s="18" t="inlineStr">
        <is>
          <t>F0314, F0330, F0331</t>
        </is>
      </c>
    </row>
    <row r="6577" ht="15.75" customHeight="1" s="108">
      <c r="A6577" s="18" t="inlineStr">
        <is>
          <t>Bud Luckey</t>
        </is>
      </c>
      <c r="B6577" s="18" t="n">
        <v>1</v>
      </c>
      <c r="C6577" s="18" t="n">
        <v>2010</v>
      </c>
      <c r="D6577" s="18" t="n">
        <v>2010</v>
      </c>
      <c r="E6577" s="18" t="inlineStr">
        <is>
          <t>Toy Story 3</t>
        </is>
      </c>
      <c r="F6577" s="18" t="inlineStr">
        <is>
          <t>F0314</t>
        </is>
      </c>
    </row>
    <row r="6578" ht="15.75" customHeight="1" s="108">
      <c r="A6578" s="18" t="inlineStr">
        <is>
          <t>Javier Fernández-Peña</t>
        </is>
      </c>
      <c r="B6578" s="18" t="n">
        <v>1</v>
      </c>
      <c r="C6578" s="18" t="n">
        <v>2010</v>
      </c>
      <c r="D6578" s="18" t="n">
        <v>2010</v>
      </c>
      <c r="E6578" s="18" t="inlineStr">
        <is>
          <t>Toy Story 3</t>
        </is>
      </c>
      <c r="F6578" s="18" t="inlineStr">
        <is>
          <t>F0314</t>
        </is>
      </c>
    </row>
    <row r="6579" ht="15.75" customHeight="1" s="108">
      <c r="A6579" s="18" t="inlineStr">
        <is>
          <t>Madeleine McGraw</t>
        </is>
      </c>
      <c r="B6579" s="18" t="n">
        <v>1</v>
      </c>
      <c r="C6579" s="18" t="n">
        <v>2019</v>
      </c>
      <c r="D6579" s="18" t="n">
        <v>2019</v>
      </c>
      <c r="E6579" s="18" t="inlineStr">
        <is>
          <t>Toy Story 4</t>
        </is>
      </c>
      <c r="F6579" s="18" t="inlineStr">
        <is>
          <t>F0315</t>
        </is>
      </c>
    </row>
    <row r="6580" ht="15.75" customHeight="1" s="108">
      <c r="A6580" s="18" t="inlineStr">
        <is>
          <t>Christina Hendricks</t>
        </is>
      </c>
      <c r="B6580" s="18" t="n">
        <v>1</v>
      </c>
      <c r="C6580" s="18" t="n">
        <v>2019</v>
      </c>
      <c r="D6580" s="18" t="n">
        <v>2019</v>
      </c>
      <c r="E6580" s="18" t="inlineStr">
        <is>
          <t>Toy Story 4</t>
        </is>
      </c>
      <c r="F6580" s="18" t="inlineStr">
        <is>
          <t>F0315</t>
        </is>
      </c>
    </row>
    <row r="6581" ht="15.75" customHeight="1" s="108">
      <c r="A6581" s="18" t="inlineStr">
        <is>
          <t>Jordan Peele</t>
        </is>
      </c>
      <c r="B6581" s="18" t="n">
        <v>1</v>
      </c>
      <c r="C6581" s="18" t="n">
        <v>2019</v>
      </c>
      <c r="D6581" s="18" t="n">
        <v>2019</v>
      </c>
      <c r="E6581" s="18" t="inlineStr">
        <is>
          <t>Toy Story 4</t>
        </is>
      </c>
      <c r="F6581" s="18" t="inlineStr">
        <is>
          <t>F0315</t>
        </is>
      </c>
    </row>
    <row r="6582" ht="15.75" customHeight="1" s="108">
      <c r="A6582" s="18" t="inlineStr">
        <is>
          <t>Ally Maki</t>
        </is>
      </c>
      <c r="B6582" s="18" t="n">
        <v>1</v>
      </c>
      <c r="C6582" s="18" t="n">
        <v>2019</v>
      </c>
      <c r="D6582" s="18" t="n">
        <v>2019</v>
      </c>
      <c r="E6582" s="18" t="inlineStr">
        <is>
          <t>Toy Story 4</t>
        </is>
      </c>
      <c r="F6582" s="18" t="inlineStr">
        <is>
          <t>F0315</t>
        </is>
      </c>
    </row>
    <row r="6583" ht="15.75" customHeight="1" s="108">
      <c r="A6583" s="18" t="inlineStr">
        <is>
          <t>Emily Davis</t>
        </is>
      </c>
      <c r="B6583" s="18" t="n">
        <v>1</v>
      </c>
      <c r="C6583" s="18" t="n">
        <v>2019</v>
      </c>
      <c r="D6583" s="18" t="n">
        <v>2019</v>
      </c>
      <c r="E6583" s="18" t="inlineStr">
        <is>
          <t>Toy Story 4</t>
        </is>
      </c>
      <c r="F6583" s="18" t="inlineStr">
        <is>
          <t>F0315</t>
        </is>
      </c>
    </row>
    <row r="6584" ht="15.75" customHeight="1" s="108">
      <c r="A6584" s="18" t="inlineStr">
        <is>
          <t>June Squibb</t>
        </is>
      </c>
      <c r="B6584" s="18" t="n">
        <v>1</v>
      </c>
      <c r="C6584" s="18" t="n">
        <v>2019</v>
      </c>
      <c r="D6584" s="18" t="n">
        <v>2019</v>
      </c>
      <c r="E6584" s="18" t="inlineStr">
        <is>
          <t>Toy Story 4</t>
        </is>
      </c>
      <c r="F6584" s="18" t="inlineStr">
        <is>
          <t>F0315</t>
        </is>
      </c>
    </row>
    <row r="6585" ht="15.75" customHeight="1" s="108">
      <c r="A6585" s="18" t="inlineStr">
        <is>
          <t>Carl Weathers</t>
        </is>
      </c>
      <c r="B6585" s="18" t="n">
        <v>1</v>
      </c>
      <c r="C6585" s="18" t="n">
        <v>2019</v>
      </c>
      <c r="D6585" s="18" t="n">
        <v>2019</v>
      </c>
      <c r="E6585" s="18" t="inlineStr">
        <is>
          <t>Toy Story 4</t>
        </is>
      </c>
      <c r="F6585" s="18" t="inlineStr">
        <is>
          <t>F0315</t>
        </is>
      </c>
    </row>
    <row r="6586" ht="15.75" customHeight="1" s="108">
      <c r="A6586" s="18" t="inlineStr">
        <is>
          <t>Lila Sage Bromley</t>
        </is>
      </c>
      <c r="B6586" s="18" t="n">
        <v>1</v>
      </c>
      <c r="C6586" s="18" t="n">
        <v>2019</v>
      </c>
      <c r="D6586" s="18" t="n">
        <v>2019</v>
      </c>
      <c r="E6586" s="18" t="inlineStr">
        <is>
          <t>Toy Story 4</t>
        </is>
      </c>
      <c r="F6586" s="18" t="inlineStr">
        <is>
          <t>F0315</t>
        </is>
      </c>
    </row>
    <row r="6587" ht="15.75" customHeight="1" s="108">
      <c r="A6587" s="18" t="inlineStr">
        <is>
          <t>Maliah Bargas-Good</t>
        </is>
      </c>
      <c r="B6587" s="18" t="n">
        <v>1</v>
      </c>
      <c r="C6587" s="18" t="n">
        <v>2019</v>
      </c>
      <c r="D6587" s="18" t="n">
        <v>2019</v>
      </c>
      <c r="E6587" s="18" t="inlineStr">
        <is>
          <t>Toy Story 4</t>
        </is>
      </c>
      <c r="F6587" s="18" t="inlineStr">
        <is>
          <t>F0315</t>
        </is>
      </c>
    </row>
    <row r="6588" ht="15.75" customHeight="1" s="108">
      <c r="A6588" s="18" t="inlineStr">
        <is>
          <t>Jack McGraw</t>
        </is>
      </c>
      <c r="B6588" s="18" t="n">
        <v>1</v>
      </c>
      <c r="C6588" s="18" t="n">
        <v>2019</v>
      </c>
      <c r="D6588" s="18" t="n">
        <v>2019</v>
      </c>
      <c r="E6588" s="18" t="inlineStr">
        <is>
          <t>Toy Story 4</t>
        </is>
      </c>
      <c r="F6588" s="18" t="inlineStr">
        <is>
          <t>F0315</t>
        </is>
      </c>
    </row>
    <row r="6589" ht="15.75" customHeight="1" s="108">
      <c r="A6589" s="18" t="inlineStr">
        <is>
          <t>Juliana Hansen</t>
        </is>
      </c>
      <c r="B6589" s="18" t="n">
        <v>1</v>
      </c>
      <c r="C6589" s="18" t="n">
        <v>2019</v>
      </c>
      <c r="D6589" s="18" t="n">
        <v>2019</v>
      </c>
      <c r="E6589" s="18" t="inlineStr">
        <is>
          <t>Toy Story 4</t>
        </is>
      </c>
      <c r="F6589" s="18" t="inlineStr">
        <is>
          <t>F0315</t>
        </is>
      </c>
    </row>
    <row r="6590" ht="15.75" customHeight="1" s="108">
      <c r="A6590" s="18" t="inlineStr">
        <is>
          <t>Steve Purcell</t>
        </is>
      </c>
      <c r="B6590" s="18" t="n">
        <v>1</v>
      </c>
      <c r="C6590" s="18" t="n">
        <v>2019</v>
      </c>
      <c r="D6590" s="18" t="n">
        <v>2019</v>
      </c>
      <c r="E6590" s="18" t="inlineStr">
        <is>
          <t>Toy Story 4</t>
        </is>
      </c>
      <c r="F6590" s="18" t="inlineStr">
        <is>
          <t>F0315</t>
        </is>
      </c>
    </row>
    <row r="6591" ht="15.75" customHeight="1" s="108">
      <c r="A6591" s="18" t="inlineStr">
        <is>
          <t>Rachael Taylor</t>
        </is>
      </c>
      <c r="B6591" s="18" t="n">
        <v>1</v>
      </c>
      <c r="C6591" s="18" t="n">
        <v>2007</v>
      </c>
      <c r="D6591" s="18" t="n">
        <v>2007</v>
      </c>
      <c r="E6591" s="18" t="inlineStr">
        <is>
          <t>Transformers</t>
        </is>
      </c>
      <c r="F6591" s="18" t="inlineStr">
        <is>
          <t>F0316</t>
        </is>
      </c>
    </row>
    <row r="6592" ht="15.75" customHeight="1" s="108">
      <c r="A6592" s="18" t="inlineStr">
        <is>
          <t>Kevin Dunn</t>
        </is>
      </c>
      <c r="B6592" s="18" t="n">
        <v>4</v>
      </c>
      <c r="C6592" s="18" t="n">
        <v>2007</v>
      </c>
      <c r="D6592" s="18" t="n">
        <v>2011</v>
      </c>
      <c r="E6592" s="18" t="inlineStr">
        <is>
          <t>Transformers, Transformers: Revenge of the Fallen, Transformers: Dark of the Moon, Warrior</t>
        </is>
      </c>
      <c r="F6592" s="18" t="inlineStr">
        <is>
          <t>F0316, F0317, F0318, F0333</t>
        </is>
      </c>
    </row>
    <row r="6593" ht="15.75" customHeight="1" s="108">
      <c r="A6593" s="18" t="inlineStr">
        <is>
          <t>Julie White</t>
        </is>
      </c>
      <c r="B6593" s="18" t="n">
        <v>4</v>
      </c>
      <c r="C6593" s="18" t="n">
        <v>2005</v>
      </c>
      <c r="D6593" s="18" t="n">
        <v>2011</v>
      </c>
      <c r="E6593" s="18" t="inlineStr">
        <is>
          <t>Transformers, Transformers: Revenge of the Fallen, Transformers: Dark of the Moon, War of the Worlds</t>
        </is>
      </c>
      <c r="F6593" s="18" t="inlineStr">
        <is>
          <t>F0316, F0317, F0318, F0332</t>
        </is>
      </c>
    </row>
    <row r="6594" ht="15.75" customHeight="1" s="108">
      <c r="A6594" s="18" t="inlineStr">
        <is>
          <t>Zack Ward</t>
        </is>
      </c>
      <c r="B6594" s="18" t="n">
        <v>1</v>
      </c>
      <c r="C6594" s="18" t="n">
        <v>2007</v>
      </c>
      <c r="D6594" s="18" t="n">
        <v>2007</v>
      </c>
      <c r="E6594" s="18" t="inlineStr">
        <is>
          <t>Transformers</t>
        </is>
      </c>
      <c r="F6594" s="18" t="inlineStr">
        <is>
          <t>F0316</t>
        </is>
      </c>
    </row>
    <row r="6595" ht="15.75" customHeight="1" s="108">
      <c r="A6595" s="18" t="inlineStr">
        <is>
          <t>Luis Echagarruga</t>
        </is>
      </c>
      <c r="B6595" s="18" t="n">
        <v>1</v>
      </c>
      <c r="C6595" s="18" t="n">
        <v>2007</v>
      </c>
      <c r="D6595" s="18" t="n">
        <v>2007</v>
      </c>
      <c r="E6595" s="18" t="inlineStr">
        <is>
          <t>Transformers</t>
        </is>
      </c>
      <c r="F6595" s="18" t="inlineStr">
        <is>
          <t>F0316</t>
        </is>
      </c>
    </row>
    <row r="6596" ht="15.75" customHeight="1" s="108">
      <c r="A6596" s="18" t="inlineStr">
        <is>
          <t>Patrick Mulderrig</t>
        </is>
      </c>
      <c r="B6596" s="18" t="n">
        <v>1</v>
      </c>
      <c r="C6596" s="18" t="n">
        <v>2007</v>
      </c>
      <c r="D6596" s="18" t="n">
        <v>2007</v>
      </c>
      <c r="E6596" s="18" t="inlineStr">
        <is>
          <t>Transformers</t>
        </is>
      </c>
      <c r="F6596" s="18" t="inlineStr">
        <is>
          <t>F0316</t>
        </is>
      </c>
    </row>
    <row r="6597" ht="15.75" customHeight="1" s="108">
      <c r="A6597" s="18" t="inlineStr">
        <is>
          <t>Brian Shehan</t>
        </is>
      </c>
      <c r="B6597" s="18" t="n">
        <v>1</v>
      </c>
      <c r="C6597" s="18" t="n">
        <v>2007</v>
      </c>
      <c r="D6597" s="18" t="n">
        <v>2007</v>
      </c>
      <c r="E6597" s="18" t="inlineStr">
        <is>
          <t>Transformers</t>
        </is>
      </c>
      <c r="F6597" s="18" t="inlineStr">
        <is>
          <t>F0316</t>
        </is>
      </c>
    </row>
    <row r="6598" ht="15.75" customHeight="1" s="108">
      <c r="A6598" s="18" t="inlineStr">
        <is>
          <t>Michael Trisler</t>
        </is>
      </c>
      <c r="B6598" s="18" t="n">
        <v>1</v>
      </c>
      <c r="C6598" s="18" t="n">
        <v>2007</v>
      </c>
      <c r="D6598" s="18" t="n">
        <v>2007</v>
      </c>
      <c r="E6598" s="18" t="inlineStr">
        <is>
          <t>Transformers</t>
        </is>
      </c>
      <c r="F6598" s="18" t="inlineStr">
        <is>
          <t>F0316</t>
        </is>
      </c>
    </row>
    <row r="6599" ht="15.75" customHeight="1" s="108">
      <c r="A6599" s="18" t="inlineStr">
        <is>
          <t>Ashkan Kashanchi</t>
        </is>
      </c>
      <c r="B6599" s="18" t="n">
        <v>1</v>
      </c>
      <c r="C6599" s="18" t="n">
        <v>2007</v>
      </c>
      <c r="D6599" s="18" t="n">
        <v>2007</v>
      </c>
      <c r="E6599" s="18" t="inlineStr">
        <is>
          <t>Transformers</t>
        </is>
      </c>
      <c r="F6599" s="18" t="inlineStr">
        <is>
          <t>F0316</t>
        </is>
      </c>
    </row>
    <row r="6600" ht="15.75" customHeight="1" s="108">
      <c r="A6600" s="18" t="inlineStr">
        <is>
          <t>C.J. Thomason</t>
        </is>
      </c>
      <c r="B6600" s="18" t="n">
        <v>1</v>
      </c>
      <c r="C6600" s="18" t="n">
        <v>2007</v>
      </c>
      <c r="D6600" s="18" t="n">
        <v>2007</v>
      </c>
      <c r="E6600" s="18" t="inlineStr">
        <is>
          <t>Transformers</t>
        </is>
      </c>
      <c r="F6600" s="18" t="inlineStr">
        <is>
          <t>F0316</t>
        </is>
      </c>
    </row>
    <row r="6601" ht="15.75" customHeight="1" s="108">
      <c r="A6601" s="18" t="inlineStr">
        <is>
          <t>Bernie Mac</t>
        </is>
      </c>
      <c r="B6601" s="18" t="n">
        <v>1</v>
      </c>
      <c r="C6601" s="18" t="n">
        <v>2007</v>
      </c>
      <c r="D6601" s="18" t="n">
        <v>2007</v>
      </c>
      <c r="E6601" s="18" t="inlineStr">
        <is>
          <t>Transformers</t>
        </is>
      </c>
      <c r="F6601" s="18" t="inlineStr">
        <is>
          <t>F0316</t>
        </is>
      </c>
    </row>
    <row r="6602" ht="15.75" customHeight="1" s="108">
      <c r="A6602" s="18" t="inlineStr">
        <is>
          <t>Carlos Moreno Jr.</t>
        </is>
      </c>
      <c r="B6602" s="18" t="n">
        <v>1</v>
      </c>
      <c r="C6602" s="18" t="n">
        <v>2007</v>
      </c>
      <c r="D6602" s="18" t="n">
        <v>2007</v>
      </c>
      <c r="E6602" s="18" t="inlineStr">
        <is>
          <t>Transformers</t>
        </is>
      </c>
      <c r="F6602" s="18" t="inlineStr">
        <is>
          <t>F0316</t>
        </is>
      </c>
    </row>
    <row r="6603" ht="15.75" customHeight="1" s="108">
      <c r="A6603" s="18" t="inlineStr">
        <is>
          <t>Johnny Sanchez</t>
        </is>
      </c>
      <c r="B6603" s="18" t="n">
        <v>1</v>
      </c>
      <c r="C6603" s="18" t="n">
        <v>2007</v>
      </c>
      <c r="D6603" s="18" t="n">
        <v>2007</v>
      </c>
      <c r="E6603" s="18" t="inlineStr">
        <is>
          <t>Transformers</t>
        </is>
      </c>
      <c r="F6603" s="18" t="inlineStr">
        <is>
          <t>F0316</t>
        </is>
      </c>
    </row>
    <row r="6604" ht="15.75" customHeight="1" s="108">
      <c r="A6604" s="18" t="inlineStr">
        <is>
          <t>John Robinson</t>
        </is>
      </c>
      <c r="B6604" s="18" t="n">
        <v>1</v>
      </c>
      <c r="C6604" s="18" t="n">
        <v>2007</v>
      </c>
      <c r="D6604" s="18" t="n">
        <v>2007</v>
      </c>
      <c r="E6604" s="18" t="inlineStr">
        <is>
          <t>Transformers</t>
        </is>
      </c>
      <c r="F6604" s="18" t="inlineStr">
        <is>
          <t>F0316</t>
        </is>
      </c>
    </row>
    <row r="6605" ht="15.75" customHeight="1" s="108">
      <c r="A6605" s="18" t="inlineStr">
        <is>
          <t>Travis Van Winkle</t>
        </is>
      </c>
      <c r="B6605" s="18" t="n">
        <v>1</v>
      </c>
      <c r="C6605" s="18" t="n">
        <v>2007</v>
      </c>
      <c r="D6605" s="18" t="n">
        <v>2007</v>
      </c>
      <c r="E6605" s="18" t="inlineStr">
        <is>
          <t>Transformers</t>
        </is>
      </c>
      <c r="F6605" s="18" t="inlineStr">
        <is>
          <t>F0316</t>
        </is>
      </c>
    </row>
    <row r="6606" ht="15.75" customHeight="1" s="108">
      <c r="A6606" s="18" t="inlineStr">
        <is>
          <t>Isabel Lucas</t>
        </is>
      </c>
      <c r="B6606" s="18" t="n">
        <v>1</v>
      </c>
      <c r="C6606" s="18" t="n">
        <v>2009</v>
      </c>
      <c r="D6606" s="18" t="n">
        <v>2009</v>
      </c>
      <c r="E6606" s="18" t="inlineStr">
        <is>
          <t>Transformers: Revenge of the Fallen</t>
        </is>
      </c>
      <c r="F6606" s="18" t="inlineStr">
        <is>
          <t>F0317</t>
        </is>
      </c>
    </row>
    <row r="6607" ht="15.75" customHeight="1" s="108">
      <c r="A6607" s="18" t="inlineStr">
        <is>
          <t>John Eric Bentley</t>
        </is>
      </c>
      <c r="B6607" s="18" t="n">
        <v>1</v>
      </c>
      <c r="C6607" s="18" t="n">
        <v>2009</v>
      </c>
      <c r="D6607" s="18" t="n">
        <v>2009</v>
      </c>
      <c r="E6607" s="18" t="inlineStr">
        <is>
          <t>Transformers: Revenge of the Fallen</t>
        </is>
      </c>
      <c r="F6607" s="18" t="inlineStr">
        <is>
          <t>F0317</t>
        </is>
      </c>
    </row>
    <row r="6608" ht="15.75" customHeight="1" s="108">
      <c r="A6608" s="18" t="inlineStr">
        <is>
          <t>Erin Naas</t>
        </is>
      </c>
      <c r="B6608" s="18" t="n">
        <v>1</v>
      </c>
      <c r="C6608" s="18" t="n">
        <v>2009</v>
      </c>
      <c r="D6608" s="18" t="n">
        <v>2009</v>
      </c>
      <c r="E6608" s="18" t="inlineStr">
        <is>
          <t>Transformers: Revenge of the Fallen</t>
        </is>
      </c>
      <c r="F6608" s="18" t="inlineStr">
        <is>
          <t>F0317</t>
        </is>
      </c>
    </row>
    <row r="6609" ht="15.75" customHeight="1" s="108">
      <c r="A6609" s="18" t="inlineStr">
        <is>
          <t>Rainn Wilson</t>
        </is>
      </c>
      <c r="B6609" s="18" t="n">
        <v>1</v>
      </c>
      <c r="C6609" s="18" t="n">
        <v>2009</v>
      </c>
      <c r="D6609" s="18" t="n">
        <v>2009</v>
      </c>
      <c r="E6609" s="18" t="inlineStr">
        <is>
          <t>Transformers: Revenge of the Fallen</t>
        </is>
      </c>
      <c r="F6609" s="18" t="inlineStr">
        <is>
          <t>F0317</t>
        </is>
      </c>
    </row>
    <row r="6610" ht="15.75" customHeight="1" s="108">
      <c r="A6610" s="18" t="inlineStr">
        <is>
          <t>Jonathon Trent</t>
        </is>
      </c>
      <c r="B6610" s="18" t="n">
        <v>1</v>
      </c>
      <c r="C6610" s="18" t="n">
        <v>2009</v>
      </c>
      <c r="D6610" s="18" t="n">
        <v>2009</v>
      </c>
      <c r="E6610" s="18" t="inlineStr">
        <is>
          <t>Transformers: Revenge of the Fallen</t>
        </is>
      </c>
      <c r="F6610" s="18" t="inlineStr">
        <is>
          <t>F0317</t>
        </is>
      </c>
    </row>
    <row r="6611" ht="15.75" customHeight="1" s="108">
      <c r="A6611" s="18" t="inlineStr">
        <is>
          <t>Walker Howard</t>
        </is>
      </c>
      <c r="B6611" s="18" t="n">
        <v>1</v>
      </c>
      <c r="C6611" s="18" t="n">
        <v>2009</v>
      </c>
      <c r="D6611" s="18" t="n">
        <v>2009</v>
      </c>
      <c r="E6611" s="18" t="inlineStr">
        <is>
          <t>Transformers: Revenge of the Fallen</t>
        </is>
      </c>
      <c r="F6611" s="18" t="inlineStr">
        <is>
          <t>F0317</t>
        </is>
      </c>
    </row>
    <row r="6612" ht="15.75" customHeight="1" s="108">
      <c r="A6612" s="18" t="inlineStr">
        <is>
          <t>Aaron Hill</t>
        </is>
      </c>
      <c r="B6612" s="18" t="n">
        <v>1</v>
      </c>
      <c r="C6612" s="18" t="n">
        <v>2009</v>
      </c>
      <c r="D6612" s="18" t="n">
        <v>2009</v>
      </c>
      <c r="E6612" s="18" t="inlineStr">
        <is>
          <t>Transformers: Revenge of the Fallen</t>
        </is>
      </c>
      <c r="F6612" s="18" t="inlineStr">
        <is>
          <t>F0317</t>
        </is>
      </c>
    </row>
    <row r="6613" ht="15.75" customHeight="1" s="108">
      <c r="A6613" s="18" t="inlineStr">
        <is>
          <t>Jareb Dauplaise</t>
        </is>
      </c>
      <c r="B6613" s="18" t="n">
        <v>1</v>
      </c>
      <c r="C6613" s="18" t="n">
        <v>2009</v>
      </c>
      <c r="D6613" s="18" t="n">
        <v>2009</v>
      </c>
      <c r="E6613" s="18" t="inlineStr">
        <is>
          <t>Transformers: Revenge of the Fallen</t>
        </is>
      </c>
      <c r="F6613" s="18" t="inlineStr">
        <is>
          <t>F0317</t>
        </is>
      </c>
    </row>
    <row r="6614" ht="15.75" customHeight="1" s="108">
      <c r="A6614" s="18" t="inlineStr">
        <is>
          <t>John Sanderford</t>
        </is>
      </c>
      <c r="B6614" s="18" t="n">
        <v>1</v>
      </c>
      <c r="C6614" s="18" t="n">
        <v>2009</v>
      </c>
      <c r="D6614" s="18" t="n">
        <v>2009</v>
      </c>
      <c r="E6614" s="18" t="inlineStr">
        <is>
          <t>Transformers: Revenge of the Fallen</t>
        </is>
      </c>
      <c r="F6614" s="18" t="inlineStr">
        <is>
          <t>F0317</t>
        </is>
      </c>
    </row>
    <row r="6615" ht="15.75" customHeight="1" s="108">
      <c r="A6615" s="18" t="inlineStr">
        <is>
          <t>Christopher Curry</t>
        </is>
      </c>
      <c r="B6615" s="18" t="n">
        <v>1</v>
      </c>
      <c r="C6615" s="18" t="n">
        <v>2009</v>
      </c>
      <c r="D6615" s="18" t="n">
        <v>2009</v>
      </c>
      <c r="E6615" s="18" t="inlineStr">
        <is>
          <t>Transformers: Revenge of the Fallen</t>
        </is>
      </c>
      <c r="F6615" s="18" t="inlineStr">
        <is>
          <t>F0317</t>
        </is>
      </c>
    </row>
    <row r="6616" ht="15.75" customHeight="1" s="108">
      <c r="A6616" s="18" t="inlineStr">
        <is>
          <t>Frances McDormand</t>
        </is>
      </c>
      <c r="B6616" s="18" t="n">
        <v>1</v>
      </c>
      <c r="C6616" s="18" t="n">
        <v>2011</v>
      </c>
      <c r="D6616" s="18" t="n">
        <v>2011</v>
      </c>
      <c r="E6616" s="18" t="inlineStr">
        <is>
          <t>Transformers: Dark of the Moon</t>
        </is>
      </c>
      <c r="F6616" s="18" t="inlineStr">
        <is>
          <t>F0318</t>
        </is>
      </c>
    </row>
    <row r="6617" ht="15.75" customHeight="1" s="108">
      <c r="A6617" s="18" t="inlineStr">
        <is>
          <t>Patrick Dempsey</t>
        </is>
      </c>
      <c r="B6617" s="18" t="n">
        <v>1</v>
      </c>
      <c r="C6617" s="18" t="n">
        <v>2011</v>
      </c>
      <c r="D6617" s="18" t="n">
        <v>2011</v>
      </c>
      <c r="E6617" s="18" t="inlineStr">
        <is>
          <t>Transformers: Dark of the Moon</t>
        </is>
      </c>
      <c r="F6617" s="18" t="inlineStr">
        <is>
          <t>F0318</t>
        </is>
      </c>
    </row>
    <row r="6618" ht="15.75" customHeight="1" s="108">
      <c r="A6618" s="18" t="inlineStr">
        <is>
          <t>Lester Speight</t>
        </is>
      </c>
      <c r="B6618" s="18" t="n">
        <v>1</v>
      </c>
      <c r="C6618" s="18" t="n">
        <v>2011</v>
      </c>
      <c r="D6618" s="18" t="n">
        <v>2011</v>
      </c>
      <c r="E6618" s="18" t="inlineStr">
        <is>
          <t>Transformers: Dark of the Moon</t>
        </is>
      </c>
      <c r="F6618" s="18" t="inlineStr">
        <is>
          <t>F0318</t>
        </is>
      </c>
    </row>
    <row r="6619" ht="15.75" customHeight="1" s="108">
      <c r="A6619" s="18" t="inlineStr">
        <is>
          <t>Buzz Aldrin</t>
        </is>
      </c>
      <c r="B6619" s="18" t="n">
        <v>1</v>
      </c>
      <c r="C6619" s="18" t="n">
        <v>2011</v>
      </c>
      <c r="D6619" s="18" t="n">
        <v>2011</v>
      </c>
      <c r="E6619" s="18" t="inlineStr">
        <is>
          <t>Transformers: Dark of the Moon</t>
        </is>
      </c>
      <c r="F6619" s="18" t="inlineStr">
        <is>
          <t>F0318</t>
        </is>
      </c>
    </row>
    <row r="6620" ht="15.75" customHeight="1" s="108">
      <c r="A6620" s="18" t="inlineStr">
        <is>
          <t>Bill O'Reilly</t>
        </is>
      </c>
      <c r="B6620" s="18" t="n">
        <v>1</v>
      </c>
      <c r="C6620" s="18" t="n">
        <v>2011</v>
      </c>
      <c r="D6620" s="18" t="n">
        <v>2011</v>
      </c>
      <c r="E6620" s="18" t="inlineStr">
        <is>
          <t>Transformers: Dark of the Moon</t>
        </is>
      </c>
      <c r="F6620" s="18" t="inlineStr">
        <is>
          <t>F0318</t>
        </is>
      </c>
    </row>
    <row r="6621" ht="15.75" customHeight="1" s="108">
      <c r="A6621" s="18" t="inlineStr">
        <is>
          <t>Ravil Isyanov</t>
        </is>
      </c>
      <c r="B6621" s="18" t="n">
        <v>1</v>
      </c>
      <c r="C6621" s="18" t="n">
        <v>2011</v>
      </c>
      <c r="D6621" s="18" t="n">
        <v>2011</v>
      </c>
      <c r="E6621" s="18" t="inlineStr">
        <is>
          <t>Transformers: Dark of the Moon</t>
        </is>
      </c>
      <c r="F6621" s="18" t="inlineStr">
        <is>
          <t>F0318</t>
        </is>
      </c>
    </row>
    <row r="6622" ht="15.75" customHeight="1" s="108">
      <c r="A6622" s="18" t="inlineStr">
        <is>
          <t>Dustin Dennard</t>
        </is>
      </c>
      <c r="B6622" s="18" t="n">
        <v>1</v>
      </c>
      <c r="C6622" s="18" t="n">
        <v>2011</v>
      </c>
      <c r="D6622" s="18" t="n">
        <v>2011</v>
      </c>
      <c r="E6622" s="18" t="inlineStr">
        <is>
          <t>Transformers: Dark of the Moon</t>
        </is>
      </c>
      <c r="F6622" s="18" t="inlineStr">
        <is>
          <t>F0318</t>
        </is>
      </c>
    </row>
    <row r="6623" ht="15.75" customHeight="1" s="108">
      <c r="A6623" s="18" t="inlineStr">
        <is>
          <t>Markiss McFadden</t>
        </is>
      </c>
      <c r="B6623" s="18" t="n">
        <v>1</v>
      </c>
      <c r="C6623" s="18" t="n">
        <v>2011</v>
      </c>
      <c r="D6623" s="18" t="n">
        <v>2011</v>
      </c>
      <c r="E6623" s="18" t="inlineStr">
        <is>
          <t>Transformers: Dark of the Moon</t>
        </is>
      </c>
      <c r="F6623" s="18" t="inlineStr">
        <is>
          <t>F0318</t>
        </is>
      </c>
    </row>
    <row r="6624" ht="15.75" customHeight="1" s="108">
      <c r="A6624" s="18" t="inlineStr">
        <is>
          <t>Nick Bickle</t>
        </is>
      </c>
      <c r="B6624" s="18" t="n">
        <v>1</v>
      </c>
      <c r="C6624" s="18" t="n">
        <v>2011</v>
      </c>
      <c r="D6624" s="18" t="n">
        <v>2011</v>
      </c>
      <c r="E6624" s="18" t="inlineStr">
        <is>
          <t>Transformers: Dark of the Moon</t>
        </is>
      </c>
      <c r="F6624" s="18" t="inlineStr">
        <is>
          <t>F0318</t>
        </is>
      </c>
    </row>
    <row r="6625" ht="15.75" customHeight="1" s="108">
      <c r="A6625" s="18" t="inlineStr">
        <is>
          <t>Ajay James</t>
        </is>
      </c>
      <c r="B6625" s="18" t="n">
        <v>1</v>
      </c>
      <c r="C6625" s="18" t="n">
        <v>2011</v>
      </c>
      <c r="D6625" s="18" t="n">
        <v>2011</v>
      </c>
      <c r="E6625" s="18" t="inlineStr">
        <is>
          <t>Transformers: Dark of the Moon</t>
        </is>
      </c>
      <c r="F6625" s="18" t="inlineStr">
        <is>
          <t>F0318</t>
        </is>
      </c>
    </row>
    <row r="6626" ht="15.75" customHeight="1" s="108">
      <c r="A6626" s="18" t="inlineStr">
        <is>
          <t>Brett Lynch</t>
        </is>
      </c>
      <c r="B6626" s="18" t="n">
        <v>1</v>
      </c>
      <c r="C6626" s="18" t="n">
        <v>2011</v>
      </c>
      <c r="D6626" s="18" t="n">
        <v>2011</v>
      </c>
      <c r="E6626" s="18" t="inlineStr">
        <is>
          <t>Transformers: Dark of the Moon</t>
        </is>
      </c>
      <c r="F6626" s="18" t="inlineStr">
        <is>
          <t>F0318</t>
        </is>
      </c>
    </row>
    <row r="6627" ht="15.75" customHeight="1" s="108">
      <c r="A6627" s="18" t="inlineStr">
        <is>
          <t>Chris A. Robinson</t>
        </is>
      </c>
      <c r="B6627" s="18" t="n">
        <v>1</v>
      </c>
      <c r="C6627" s="18" t="n">
        <v>2011</v>
      </c>
      <c r="D6627" s="18" t="n">
        <v>2011</v>
      </c>
      <c r="E6627" s="18" t="inlineStr">
        <is>
          <t>Transformers: Dark of the Moon</t>
        </is>
      </c>
      <c r="F6627" s="18" t="inlineStr">
        <is>
          <t>F0318</t>
        </is>
      </c>
    </row>
    <row r="6628" ht="15.75" customHeight="1" s="108">
      <c r="A6628" s="18" t="inlineStr">
        <is>
          <t>Scott C. Roe</t>
        </is>
      </c>
      <c r="B6628" s="18" t="n">
        <v>1</v>
      </c>
      <c r="C6628" s="18" t="n">
        <v>2011</v>
      </c>
      <c r="D6628" s="18" t="n">
        <v>2011</v>
      </c>
      <c r="E6628" s="18" t="inlineStr">
        <is>
          <t>Transformers: Dark of the Moon</t>
        </is>
      </c>
      <c r="F6628" s="18" t="inlineStr">
        <is>
          <t>F0318</t>
        </is>
      </c>
    </row>
    <row r="6629" ht="15.75" customHeight="1" s="108">
      <c r="A6629" s="18" t="inlineStr">
        <is>
          <t>James D. Weston II</t>
        </is>
      </c>
      <c r="B6629" s="18" t="n">
        <v>1</v>
      </c>
      <c r="C6629" s="18" t="n">
        <v>2011</v>
      </c>
      <c r="D6629" s="18" t="n">
        <v>2011</v>
      </c>
      <c r="E6629" s="18" t="inlineStr">
        <is>
          <t>Transformers: Dark of the Moon</t>
        </is>
      </c>
      <c r="F6629" s="18" t="inlineStr">
        <is>
          <t>F0318</t>
        </is>
      </c>
    </row>
    <row r="6630" ht="15.75" customHeight="1" s="108">
      <c r="A6630" s="18" t="inlineStr">
        <is>
          <t>Aaron Garrido</t>
        </is>
      </c>
      <c r="B6630" s="18" t="n">
        <v>1</v>
      </c>
      <c r="C6630" s="18" t="n">
        <v>2011</v>
      </c>
      <c r="D6630" s="18" t="n">
        <v>2011</v>
      </c>
      <c r="E6630" s="18" t="inlineStr">
        <is>
          <t>Transformers: Dark of the Moon</t>
        </is>
      </c>
      <c r="F6630" s="18" t="inlineStr">
        <is>
          <t>F0318</t>
        </is>
      </c>
    </row>
    <row r="6631" ht="15.75" customHeight="1" s="108">
      <c r="A6631" s="18" t="inlineStr">
        <is>
          <t>Nicola Peltz</t>
        </is>
      </c>
      <c r="B6631" s="18" t="n">
        <v>1</v>
      </c>
      <c r="C6631" s="18" t="n">
        <v>2014</v>
      </c>
      <c r="D6631" s="18" t="n">
        <v>2014</v>
      </c>
      <c r="E6631" s="18" t="inlineStr">
        <is>
          <t>Transformers: Age of Extinction</t>
        </is>
      </c>
      <c r="F6631" s="18" t="inlineStr">
        <is>
          <t>F0319</t>
        </is>
      </c>
    </row>
    <row r="6632" ht="15.75" customHeight="1" s="108">
      <c r="A6632" s="18" t="inlineStr">
        <is>
          <t>Sophia Myles</t>
        </is>
      </c>
      <c r="B6632" s="18" t="n">
        <v>4</v>
      </c>
      <c r="C6632" s="18" t="n">
        <v>2003</v>
      </c>
      <c r="D6632" s="18" t="n">
        <v>2014</v>
      </c>
      <c r="E6632" s="18" t="inlineStr">
        <is>
          <t xml:space="preserve">Transformers: Age of Extinction, Underworld: Evolution, Underworld, Underworld </t>
        </is>
      </c>
      <c r="F6632" s="18" t="inlineStr">
        <is>
          <t>F0319, F0326, F0389</t>
        </is>
      </c>
    </row>
    <row r="6633" ht="15.75" customHeight="1" s="108">
      <c r="A6633" s="18" t="inlineStr">
        <is>
          <t>Li Bingbing</t>
        </is>
      </c>
      <c r="B6633" s="18" t="n">
        <v>1</v>
      </c>
      <c r="C6633" s="18" t="n">
        <v>2014</v>
      </c>
      <c r="D6633" s="18" t="n">
        <v>2014</v>
      </c>
      <c r="E6633" s="18" t="inlineStr">
        <is>
          <t>Transformers: Age of Extinction</t>
        </is>
      </c>
      <c r="F6633" s="18" t="inlineStr">
        <is>
          <t>F0319</t>
        </is>
      </c>
    </row>
    <row r="6634" ht="15.75" customHeight="1" s="108">
      <c r="A6634" s="18" t="inlineStr">
        <is>
          <t>James Bachman</t>
        </is>
      </c>
      <c r="B6634" s="18" t="n">
        <v>1</v>
      </c>
      <c r="C6634" s="18" t="n">
        <v>2014</v>
      </c>
      <c r="D6634" s="18" t="n">
        <v>2014</v>
      </c>
      <c r="E6634" s="18" t="inlineStr">
        <is>
          <t>Transformers: Age of Extinction</t>
        </is>
      </c>
      <c r="F6634" s="18" t="inlineStr">
        <is>
          <t>F0319</t>
        </is>
      </c>
    </row>
    <row r="6635" ht="15.75" customHeight="1" s="108">
      <c r="A6635" s="18" t="inlineStr">
        <is>
          <t>Erika Fong</t>
        </is>
      </c>
      <c r="B6635" s="18" t="n">
        <v>1</v>
      </c>
      <c r="C6635" s="18" t="n">
        <v>2014</v>
      </c>
      <c r="D6635" s="18" t="n">
        <v>2014</v>
      </c>
      <c r="E6635" s="18" t="inlineStr">
        <is>
          <t>Transformers: Age of Extinction</t>
        </is>
      </c>
      <c r="F6635" s="18" t="inlineStr">
        <is>
          <t>F0319</t>
        </is>
      </c>
    </row>
    <row r="6636" ht="15.75" customHeight="1" s="108">
      <c r="A6636" s="18" t="inlineStr">
        <is>
          <t>Han Geng</t>
        </is>
      </c>
      <c r="B6636" s="18" t="n">
        <v>1</v>
      </c>
      <c r="C6636" s="18" t="n">
        <v>2014</v>
      </c>
      <c r="D6636" s="18" t="n">
        <v>2014</v>
      </c>
      <c r="E6636" s="18" t="inlineStr">
        <is>
          <t>Transformers: Age of Extinction</t>
        </is>
      </c>
      <c r="F6636" s="18" t="inlineStr">
        <is>
          <t>F0319</t>
        </is>
      </c>
    </row>
    <row r="6637" ht="15.75" customHeight="1" s="108">
      <c r="A6637" s="18" t="inlineStr">
        <is>
          <t>Michael Christopher Collins</t>
        </is>
      </c>
      <c r="B6637" s="18" t="n">
        <v>1</v>
      </c>
      <c r="C6637" s="18" t="n">
        <v>2014</v>
      </c>
      <c r="D6637" s="18" t="n">
        <v>2014</v>
      </c>
      <c r="E6637" s="18" t="inlineStr">
        <is>
          <t>Transformers: Age of Extinction</t>
        </is>
      </c>
      <c r="F6637" s="18" t="inlineStr">
        <is>
          <t>F0319</t>
        </is>
      </c>
    </row>
    <row r="6638" ht="15.75" customHeight="1" s="108">
      <c r="A6638" s="18" t="inlineStr">
        <is>
          <t>Zou Shiming</t>
        </is>
      </c>
      <c r="B6638" s="18" t="n">
        <v>1</v>
      </c>
      <c r="C6638" s="18" t="n">
        <v>2014</v>
      </c>
      <c r="D6638" s="18" t="n">
        <v>2014</v>
      </c>
      <c r="E6638" s="18" t="inlineStr">
        <is>
          <t>Transformers: Age of Extinction</t>
        </is>
      </c>
      <c r="F6638" s="18" t="inlineStr">
        <is>
          <t>F0319</t>
        </is>
      </c>
    </row>
    <row r="6639" ht="15.75" customHeight="1" s="108">
      <c r="A6639" s="18" t="inlineStr">
        <is>
          <t>Richard Riehle</t>
        </is>
      </c>
      <c r="B6639" s="18" t="n">
        <v>1</v>
      </c>
      <c r="C6639" s="18" t="n">
        <v>2014</v>
      </c>
      <c r="D6639" s="18" t="n">
        <v>2014</v>
      </c>
      <c r="E6639" s="18" t="inlineStr">
        <is>
          <t>Transformers: Age of Extinction</t>
        </is>
      </c>
      <c r="F6639" s="18" t="inlineStr">
        <is>
          <t>F0319</t>
        </is>
      </c>
    </row>
    <row r="6640" ht="15.75" customHeight="1" s="108">
      <c r="A6640" s="18" t="inlineStr">
        <is>
          <t>Patrick Bristow</t>
        </is>
      </c>
      <c r="B6640" s="18" t="n">
        <v>1</v>
      </c>
      <c r="C6640" s="18" t="n">
        <v>2014</v>
      </c>
      <c r="D6640" s="18" t="n">
        <v>2014</v>
      </c>
      <c r="E6640" s="18" t="inlineStr">
        <is>
          <t>Transformers: Age of Extinction</t>
        </is>
      </c>
      <c r="F6640" s="18" t="inlineStr">
        <is>
          <t>F0319</t>
        </is>
      </c>
    </row>
    <row r="6641" ht="15.75" customHeight="1" s="108">
      <c r="A6641" s="18" t="inlineStr">
        <is>
          <t>Calvin Wimmer</t>
        </is>
      </c>
      <c r="B6641" s="18" t="n">
        <v>1</v>
      </c>
      <c r="C6641" s="18" t="n">
        <v>2014</v>
      </c>
      <c r="D6641" s="18" t="n">
        <v>2014</v>
      </c>
      <c r="E6641" s="18" t="inlineStr">
        <is>
          <t>Transformers: Age of Extinction</t>
        </is>
      </c>
      <c r="F6641" s="18" t="inlineStr">
        <is>
          <t>F0319</t>
        </is>
      </c>
    </row>
    <row r="6642" ht="15.75" customHeight="1" s="108">
      <c r="A6642" s="18" t="inlineStr">
        <is>
          <t>Glenn Keogh</t>
        </is>
      </c>
      <c r="B6642" s="18" t="n">
        <v>1</v>
      </c>
      <c r="C6642" s="18" t="n">
        <v>2014</v>
      </c>
      <c r="D6642" s="18" t="n">
        <v>2014</v>
      </c>
      <c r="E6642" s="18" t="inlineStr">
        <is>
          <t>Transformers: Age of Extinction</t>
        </is>
      </c>
      <c r="F6642" s="18" t="inlineStr">
        <is>
          <t>F0319</t>
        </is>
      </c>
    </row>
    <row r="6643" ht="15.75" customHeight="1" s="108">
      <c r="A6643" s="18" t="inlineStr">
        <is>
          <t>David Midthunder</t>
        </is>
      </c>
      <c r="B6643" s="18" t="n">
        <v>1</v>
      </c>
      <c r="C6643" s="18" t="n">
        <v>2014</v>
      </c>
      <c r="D6643" s="18" t="n">
        <v>2014</v>
      </c>
      <c r="E6643" s="18" t="inlineStr">
        <is>
          <t>Transformers: Age of Extinction</t>
        </is>
      </c>
      <c r="F6643" s="18" t="inlineStr">
        <is>
          <t>F0319</t>
        </is>
      </c>
    </row>
    <row r="6644" ht="15.75" customHeight="1" s="108">
      <c r="A6644" s="18" t="inlineStr">
        <is>
          <t>Richard Gallion</t>
        </is>
      </c>
      <c r="B6644" s="18" t="n">
        <v>1</v>
      </c>
      <c r="C6644" s="18" t="n">
        <v>2014</v>
      </c>
      <c r="D6644" s="18" t="n">
        <v>2014</v>
      </c>
      <c r="E6644" s="18" t="inlineStr">
        <is>
          <t>Transformers: Age of Extinction</t>
        </is>
      </c>
      <c r="F6644" s="18" t="inlineStr">
        <is>
          <t>F0319</t>
        </is>
      </c>
    </row>
    <row r="6645" ht="15.75" customHeight="1" s="108">
      <c r="A6645" s="18" t="inlineStr">
        <is>
          <t>Nick Horst</t>
        </is>
      </c>
      <c r="B6645" s="18" t="n">
        <v>1</v>
      </c>
      <c r="C6645" s="18" t="n">
        <v>2014</v>
      </c>
      <c r="D6645" s="18" t="n">
        <v>2014</v>
      </c>
      <c r="E6645" s="18" t="inlineStr">
        <is>
          <t>Transformers: Age of Extinction</t>
        </is>
      </c>
      <c r="F6645" s="18" t="inlineStr">
        <is>
          <t>F0319</t>
        </is>
      </c>
    </row>
    <row r="6646" ht="15.75" customHeight="1" s="108">
      <c r="A6646" s="18" t="inlineStr">
        <is>
          <t>Erik Aadahl</t>
        </is>
      </c>
      <c r="B6646" s="18" t="n">
        <v>1</v>
      </c>
      <c r="C6646" s="18" t="n">
        <v>2017</v>
      </c>
      <c r="D6646" s="18" t="n">
        <v>2017</v>
      </c>
      <c r="E6646" s="18" t="inlineStr">
        <is>
          <t>Transformers: The Last Knight</t>
        </is>
      </c>
      <c r="F6646" s="18" t="inlineStr">
        <is>
          <t>F0320</t>
        </is>
      </c>
    </row>
    <row r="6647" ht="15.75" customHeight="1" s="108">
      <c r="A6647" s="18" t="inlineStr">
        <is>
          <t>Jim Carter</t>
        </is>
      </c>
      <c r="B6647" s="18" t="n">
        <v>2</v>
      </c>
      <c r="C6647" s="18" t="n">
        <v>2017</v>
      </c>
      <c r="D6647" s="18" t="n">
        <v>2023</v>
      </c>
      <c r="E6647" s="18" t="inlineStr">
        <is>
          <t>Transformers: The Last Knight, Wonka</t>
        </is>
      </c>
      <c r="F6647" s="18" t="inlineStr">
        <is>
          <t>F0320, F0338</t>
        </is>
      </c>
    </row>
    <row r="6648" ht="15.75" customHeight="1" s="108">
      <c r="A6648" s="18" t="inlineStr">
        <is>
          <t>Santiago Cabrera</t>
        </is>
      </c>
      <c r="B6648" s="18" t="n">
        <v>1</v>
      </c>
      <c r="C6648" s="18" t="n">
        <v>2017</v>
      </c>
      <c r="D6648" s="18" t="n">
        <v>2017</v>
      </c>
      <c r="E6648" s="18" t="inlineStr">
        <is>
          <t>Transformers: The Last Knight</t>
        </is>
      </c>
      <c r="F6648" s="18" t="inlineStr">
        <is>
          <t>F0320</t>
        </is>
      </c>
    </row>
    <row r="6649" ht="15.75" customHeight="1" s="108">
      <c r="A6649" s="18" t="inlineStr">
        <is>
          <t>Jerrod Carmichael</t>
        </is>
      </c>
      <c r="B6649" s="18" t="n">
        <v>1</v>
      </c>
      <c r="C6649" s="18" t="n">
        <v>2017</v>
      </c>
      <c r="D6649" s="18" t="n">
        <v>2017</v>
      </c>
      <c r="E6649" s="18" t="inlineStr">
        <is>
          <t>Transformers: The Last Knight</t>
        </is>
      </c>
      <c r="F6649" s="18" t="inlineStr">
        <is>
          <t>F0320</t>
        </is>
      </c>
    </row>
    <row r="6650" ht="15.75" customHeight="1" s="108">
      <c r="A6650" s="18" t="inlineStr">
        <is>
          <t>Martin McCreadie</t>
        </is>
      </c>
      <c r="B6650" s="18" t="n">
        <v>1</v>
      </c>
      <c r="C6650" s="18" t="n">
        <v>2017</v>
      </c>
      <c r="D6650" s="18" t="n">
        <v>2017</v>
      </c>
      <c r="E6650" s="18" t="inlineStr">
        <is>
          <t>Transformers: The Last Knight</t>
        </is>
      </c>
      <c r="F6650" s="18" t="inlineStr">
        <is>
          <t>F0320</t>
        </is>
      </c>
    </row>
    <row r="6651" ht="15.75" customHeight="1" s="108">
      <c r="A6651" s="18" t="inlineStr">
        <is>
          <t>Rob Witcomb</t>
        </is>
      </c>
      <c r="B6651" s="18" t="n">
        <v>1</v>
      </c>
      <c r="C6651" s="18" t="n">
        <v>2017</v>
      </c>
      <c r="D6651" s="18" t="n">
        <v>2017</v>
      </c>
      <c r="E6651" s="18" t="inlineStr">
        <is>
          <t>Transformers: The Last Knight</t>
        </is>
      </c>
      <c r="F6651" s="18" t="inlineStr">
        <is>
          <t>F0320</t>
        </is>
      </c>
    </row>
    <row r="6652" ht="15.75" customHeight="1" s="108">
      <c r="A6652" s="18" t="inlineStr">
        <is>
          <t>Marcus Fraser</t>
        </is>
      </c>
      <c r="B6652" s="18" t="n">
        <v>1</v>
      </c>
      <c r="C6652" s="18" t="n">
        <v>2017</v>
      </c>
      <c r="D6652" s="18" t="n">
        <v>2017</v>
      </c>
      <c r="E6652" s="18" t="inlineStr">
        <is>
          <t>Transformers: The Last Knight</t>
        </is>
      </c>
      <c r="F6652" s="18" t="inlineStr">
        <is>
          <t>F0320</t>
        </is>
      </c>
    </row>
    <row r="6653" ht="15.75" customHeight="1" s="108">
      <c r="A6653" s="18" t="inlineStr">
        <is>
          <t>John Hollingworth</t>
        </is>
      </c>
      <c r="B6653" s="18" t="n">
        <v>1</v>
      </c>
      <c r="C6653" s="18" t="n">
        <v>2017</v>
      </c>
      <c r="D6653" s="18" t="n">
        <v>2017</v>
      </c>
      <c r="E6653" s="18" t="inlineStr">
        <is>
          <t>Transformers: The Last Knight</t>
        </is>
      </c>
      <c r="F6653" s="18" t="inlineStr">
        <is>
          <t>F0320</t>
        </is>
      </c>
    </row>
    <row r="6654" ht="15.75" customHeight="1" s="108">
      <c r="A6654" s="18" t="inlineStr">
        <is>
          <t>Daniel Adegboyega</t>
        </is>
      </c>
      <c r="B6654" s="18" t="n">
        <v>1</v>
      </c>
      <c r="C6654" s="18" t="n">
        <v>2017</v>
      </c>
      <c r="D6654" s="18" t="n">
        <v>2017</v>
      </c>
      <c r="E6654" s="18" t="inlineStr">
        <is>
          <t>Transformers: The Last Knight</t>
        </is>
      </c>
      <c r="F6654" s="18" t="inlineStr">
        <is>
          <t>F0320</t>
        </is>
      </c>
    </row>
    <row r="6655" ht="15.75" customHeight="1" s="108">
      <c r="A6655" s="18" t="inlineStr">
        <is>
          <t>Benjamin Maurice Webb</t>
        </is>
      </c>
      <c r="B6655" s="18" t="n">
        <v>1</v>
      </c>
      <c r="C6655" s="18" t="n">
        <v>2017</v>
      </c>
      <c r="D6655" s="18" t="n">
        <v>2017</v>
      </c>
      <c r="E6655" s="18" t="inlineStr">
        <is>
          <t>Transformers: The Last Knight</t>
        </is>
      </c>
      <c r="F6655" s="18" t="inlineStr">
        <is>
          <t>F0320</t>
        </is>
      </c>
    </row>
    <row r="6656" ht="15.75" customHeight="1" s="108">
      <c r="A6656" s="18" t="inlineStr">
        <is>
          <t>Claude Knowlton</t>
        </is>
      </c>
      <c r="B6656" s="18" t="n">
        <v>1</v>
      </c>
      <c r="C6656" s="18" t="n">
        <v>2017</v>
      </c>
      <c r="D6656" s="18" t="n">
        <v>2017</v>
      </c>
      <c r="E6656" s="18" t="inlineStr">
        <is>
          <t>Transformers: The Last Knight</t>
        </is>
      </c>
      <c r="F6656" s="18" t="inlineStr">
        <is>
          <t>F0320</t>
        </is>
      </c>
    </row>
    <row r="6657" ht="15.75" customHeight="1" s="108">
      <c r="A6657" s="18" t="inlineStr">
        <is>
          <t>Jacob Zachar</t>
        </is>
      </c>
      <c r="B6657" s="18" t="n">
        <v>1</v>
      </c>
      <c r="C6657" s="18" t="n">
        <v>2017</v>
      </c>
      <c r="D6657" s="18" t="n">
        <v>2017</v>
      </c>
      <c r="E6657" s="18" t="inlineStr">
        <is>
          <t>Transformers: The Last Knight</t>
        </is>
      </c>
      <c r="F6657" s="18" t="inlineStr">
        <is>
          <t>F0320</t>
        </is>
      </c>
    </row>
    <row r="6658" ht="15.75" customHeight="1" s="108">
      <c r="A6658" s="18" t="inlineStr">
        <is>
          <t>Maggie Steed</t>
        </is>
      </c>
      <c r="B6658" s="18" t="n">
        <v>1</v>
      </c>
      <c r="C6658" s="18" t="n">
        <v>2017</v>
      </c>
      <c r="D6658" s="18" t="n">
        <v>2017</v>
      </c>
      <c r="E6658" s="18" t="inlineStr">
        <is>
          <t>Transformers: The Last Knight</t>
        </is>
      </c>
      <c r="F6658" s="18" t="inlineStr">
        <is>
          <t>F0320</t>
        </is>
      </c>
    </row>
    <row r="6659" ht="15.75" customHeight="1" s="108">
      <c r="A6659" s="18" t="inlineStr">
        <is>
          <t>Phoebe Nicholls</t>
        </is>
      </c>
      <c r="B6659" s="18" t="n">
        <v>1</v>
      </c>
      <c r="C6659" s="18" t="n">
        <v>2017</v>
      </c>
      <c r="D6659" s="18" t="n">
        <v>2017</v>
      </c>
      <c r="E6659" s="18" t="inlineStr">
        <is>
          <t>Transformers: The Last Knight</t>
        </is>
      </c>
      <c r="F6659" s="18" t="inlineStr">
        <is>
          <t>F0320</t>
        </is>
      </c>
    </row>
    <row r="6660" ht="15.75" customHeight="1" s="108">
      <c r="A6660" s="18" t="inlineStr">
        <is>
          <t>Stephen Hogan</t>
        </is>
      </c>
      <c r="B6660" s="18" t="n">
        <v>1</v>
      </c>
      <c r="C6660" s="18" t="n">
        <v>2017</v>
      </c>
      <c r="D6660" s="18" t="n">
        <v>2017</v>
      </c>
      <c r="E6660" s="18" t="inlineStr">
        <is>
          <t>Transformers: The Last Knight</t>
        </is>
      </c>
      <c r="F6660" s="18" t="inlineStr">
        <is>
          <t>F0320</t>
        </is>
      </c>
    </row>
    <row r="6661" ht="15.75" customHeight="1" s="108">
      <c r="A6661" s="18" t="inlineStr">
        <is>
          <t>Minti Gorne</t>
        </is>
      </c>
      <c r="B6661" s="18" t="n">
        <v>1</v>
      </c>
      <c r="C6661" s="18" t="n">
        <v>2017</v>
      </c>
      <c r="D6661" s="18" t="n">
        <v>2017</v>
      </c>
      <c r="E6661" s="18" t="inlineStr">
        <is>
          <t>Transformers: The Last Knight</t>
        </is>
      </c>
      <c r="F6661" s="18" t="inlineStr">
        <is>
          <t>F0320</t>
        </is>
      </c>
    </row>
    <row r="6662" ht="15.75" customHeight="1" s="108">
      <c r="A6662" s="18" t="inlineStr">
        <is>
          <t>Michelle Yeoh</t>
        </is>
      </c>
      <c r="B6662" s="18" t="n">
        <v>1</v>
      </c>
      <c r="C6662" s="18" t="n">
        <v>2023</v>
      </c>
      <c r="D6662" s="18" t="n">
        <v>2023</v>
      </c>
      <c r="E6662" s="18" t="inlineStr">
        <is>
          <t>Transformers: Rise of the Beasts</t>
        </is>
      </c>
      <c r="F6662" s="18" t="inlineStr">
        <is>
          <t>F0321</t>
        </is>
      </c>
    </row>
    <row r="6663" ht="15.75" customHeight="1" s="108">
      <c r="A6663" s="18" t="inlineStr">
        <is>
          <t>Liza Koshy</t>
        </is>
      </c>
      <c r="B6663" s="18" t="n">
        <v>1</v>
      </c>
      <c r="C6663" s="18" t="n">
        <v>2023</v>
      </c>
      <c r="D6663" s="18" t="n">
        <v>2023</v>
      </c>
      <c r="E6663" s="18" t="inlineStr">
        <is>
          <t>Transformers: Rise of the Beasts</t>
        </is>
      </c>
      <c r="F6663" s="18" t="inlineStr">
        <is>
          <t>F0321</t>
        </is>
      </c>
    </row>
    <row r="6664" ht="15.75" customHeight="1" s="108">
      <c r="A6664" s="18" t="inlineStr">
        <is>
          <t>Cristo Fernández</t>
        </is>
      </c>
      <c r="B6664" s="18" t="n">
        <v>2</v>
      </c>
      <c r="C6664" s="18" t="n">
        <v>2023</v>
      </c>
      <c r="D6664" s="18" t="n">
        <v>2025</v>
      </c>
      <c r="E6664" s="18" t="inlineStr">
        <is>
          <t>Transformers: Rise of the Beasts, sonic the hedgehog 3</t>
        </is>
      </c>
      <c r="F6664" s="18" t="inlineStr">
        <is>
          <t>F0321, F0379</t>
        </is>
      </c>
    </row>
    <row r="6665" ht="15.75" customHeight="1" s="108">
      <c r="A6665" s="18" t="inlineStr">
        <is>
          <t>Luna Lauren Vélez</t>
        </is>
      </c>
      <c r="B6665" s="18" t="n">
        <v>1</v>
      </c>
      <c r="C6665" s="18" t="n">
        <v>2023</v>
      </c>
      <c r="D6665" s="18" t="n">
        <v>2023</v>
      </c>
      <c r="E6665" s="18" t="inlineStr">
        <is>
          <t>Transformers: Rise of the Beasts</t>
        </is>
      </c>
      <c r="F6665" s="18" t="inlineStr">
        <is>
          <t>F0321</t>
        </is>
      </c>
    </row>
    <row r="6666" ht="15.75" customHeight="1" s="108">
      <c r="A6666" s="18" t="inlineStr">
        <is>
          <t>Dean Scott Vazquez</t>
        </is>
      </c>
      <c r="B6666" s="18" t="n">
        <v>1</v>
      </c>
      <c r="C6666" s="18" t="n">
        <v>2023</v>
      </c>
      <c r="D6666" s="18" t="n">
        <v>2023</v>
      </c>
      <c r="E6666" s="18" t="inlineStr">
        <is>
          <t>Transformers: Rise of the Beasts</t>
        </is>
      </c>
      <c r="F6666" s="18" t="inlineStr">
        <is>
          <t>F0321</t>
        </is>
      </c>
    </row>
    <row r="6667" ht="15.75" customHeight="1" s="108">
      <c r="A6667" s="18" t="inlineStr">
        <is>
          <t>Tobe Nwigwe</t>
        </is>
      </c>
      <c r="B6667" s="18" t="n">
        <v>1</v>
      </c>
      <c r="C6667" s="18" t="n">
        <v>2023</v>
      </c>
      <c r="D6667" s="18" t="n">
        <v>2023</v>
      </c>
      <c r="E6667" s="18" t="inlineStr">
        <is>
          <t>Transformers: Rise of the Beasts</t>
        </is>
      </c>
      <c r="F6667" s="18" t="inlineStr">
        <is>
          <t>F0321</t>
        </is>
      </c>
    </row>
    <row r="6668" ht="15.75" customHeight="1" s="108">
      <c r="A6668" s="18" t="inlineStr">
        <is>
          <t>Sarah Stiles</t>
        </is>
      </c>
      <c r="B6668" s="18" t="n">
        <v>1</v>
      </c>
      <c r="C6668" s="18" t="n">
        <v>2023</v>
      </c>
      <c r="D6668" s="18" t="n">
        <v>2023</v>
      </c>
      <c r="E6668" s="18" t="inlineStr">
        <is>
          <t>Transformers: Rise of the Beasts</t>
        </is>
      </c>
      <c r="F6668" s="18" t="inlineStr">
        <is>
          <t>F0321</t>
        </is>
      </c>
    </row>
    <row r="6669" ht="15.75" customHeight="1" s="108">
      <c r="A6669" s="18" t="inlineStr">
        <is>
          <t>Leni Parker</t>
        </is>
      </c>
      <c r="B6669" s="18" t="n">
        <v>1</v>
      </c>
      <c r="C6669" s="18" t="n">
        <v>2023</v>
      </c>
      <c r="D6669" s="18" t="n">
        <v>2023</v>
      </c>
      <c r="E6669" s="18" t="inlineStr">
        <is>
          <t>Transformers: Rise of the Beasts</t>
        </is>
      </c>
      <c r="F6669" s="18" t="inlineStr">
        <is>
          <t>F0321</t>
        </is>
      </c>
    </row>
    <row r="6670" ht="15.75" customHeight="1" s="108">
      <c r="A6670" s="18" t="inlineStr">
        <is>
          <t>Frank Marrs</t>
        </is>
      </c>
      <c r="B6670" s="18" t="n">
        <v>1</v>
      </c>
      <c r="C6670" s="18" t="n">
        <v>2023</v>
      </c>
      <c r="D6670" s="18" t="n">
        <v>2023</v>
      </c>
      <c r="E6670" s="18" t="inlineStr">
        <is>
          <t>Transformers: Rise of the Beasts</t>
        </is>
      </c>
      <c r="F6670" s="18" t="inlineStr">
        <is>
          <t>F0321</t>
        </is>
      </c>
    </row>
    <row r="6671" ht="15.75" customHeight="1" s="108">
      <c r="A6671" s="18" t="inlineStr">
        <is>
          <t>Aidan Devine</t>
        </is>
      </c>
      <c r="B6671" s="18" t="n">
        <v>1</v>
      </c>
      <c r="C6671" s="18" t="n">
        <v>2023</v>
      </c>
      <c r="D6671" s="18" t="n">
        <v>2023</v>
      </c>
      <c r="E6671" s="18" t="inlineStr">
        <is>
          <t>Transformers: Rise of the Beasts</t>
        </is>
      </c>
      <c r="F6671" s="18" t="inlineStr">
        <is>
          <t>F0321</t>
        </is>
      </c>
    </row>
    <row r="6672" ht="15.75" customHeight="1" s="108">
      <c r="A6672" s="18" t="inlineStr">
        <is>
          <t>Kerwin Jackson</t>
        </is>
      </c>
      <c r="B6672" s="18" t="n">
        <v>1</v>
      </c>
      <c r="C6672" s="18" t="n">
        <v>2023</v>
      </c>
      <c r="D6672" s="18" t="n">
        <v>2023</v>
      </c>
      <c r="E6672" s="18" t="inlineStr">
        <is>
          <t>Transformers: Rise of the Beasts</t>
        </is>
      </c>
      <c r="F6672" s="18" t="inlineStr">
        <is>
          <t>F0321</t>
        </is>
      </c>
    </row>
    <row r="6673" ht="15.75" customHeight="1" s="108">
      <c r="A6673" s="18" t="inlineStr">
        <is>
          <t>Mike Chute</t>
        </is>
      </c>
      <c r="B6673" s="18" t="n">
        <v>1</v>
      </c>
      <c r="C6673" s="18" t="n">
        <v>2023</v>
      </c>
      <c r="D6673" s="18" t="n">
        <v>2023</v>
      </c>
      <c r="E6673" s="18" t="inlineStr">
        <is>
          <t>Transformers: Rise of the Beasts</t>
        </is>
      </c>
      <c r="F6673" s="18" t="inlineStr">
        <is>
          <t>F0321</t>
        </is>
      </c>
    </row>
    <row r="6674" ht="15.75" customHeight="1" s="108">
      <c r="A6674" s="18" t="inlineStr">
        <is>
          <t>Tyler Hall</t>
        </is>
      </c>
      <c r="B6674" s="18" t="n">
        <v>1</v>
      </c>
      <c r="C6674" s="18" t="n">
        <v>2023</v>
      </c>
      <c r="D6674" s="18" t="n">
        <v>2023</v>
      </c>
      <c r="E6674" s="18" t="inlineStr">
        <is>
          <t>Transformers: Rise of the Beasts</t>
        </is>
      </c>
      <c r="F6674" s="18" t="inlineStr">
        <is>
          <t>F0321</t>
        </is>
      </c>
    </row>
    <row r="6675" ht="15.75" customHeight="1" s="108">
      <c r="A6675" s="18" t="inlineStr">
        <is>
          <t>Sean Tucker</t>
        </is>
      </c>
      <c r="B6675" s="18" t="n">
        <v>1</v>
      </c>
      <c r="C6675" s="18" t="n">
        <v>2023</v>
      </c>
      <c r="D6675" s="18" t="n">
        <v>2023</v>
      </c>
      <c r="E6675" s="18" t="inlineStr">
        <is>
          <t>Transformers: Rise of the Beasts</t>
        </is>
      </c>
      <c r="F6675" s="18" t="inlineStr">
        <is>
          <t>F0321</t>
        </is>
      </c>
    </row>
    <row r="6676" ht="15.75" customHeight="1" s="108">
      <c r="A6676" s="18" t="inlineStr">
        <is>
          <t>Jay Farrar</t>
        </is>
      </c>
      <c r="B6676" s="18" t="n">
        <v>1</v>
      </c>
      <c r="C6676" s="18" t="n">
        <v>2023</v>
      </c>
      <c r="D6676" s="18" t="n">
        <v>2023</v>
      </c>
      <c r="E6676" s="18" t="inlineStr">
        <is>
          <t>Transformers: Rise of the Beasts</t>
        </is>
      </c>
      <c r="F6676" s="18" t="inlineStr">
        <is>
          <t>F0321</t>
        </is>
      </c>
    </row>
    <row r="6677" ht="15.75" customHeight="1" s="108">
      <c r="A6677" s="18" t="inlineStr">
        <is>
          <t>Lucas Huarancca</t>
        </is>
      </c>
      <c r="B6677" s="18" t="n">
        <v>1</v>
      </c>
      <c r="C6677" s="18" t="n">
        <v>2023</v>
      </c>
      <c r="D6677" s="18" t="n">
        <v>2023</v>
      </c>
      <c r="E6677" s="18" t="inlineStr">
        <is>
          <t>Transformers: Rise of the Beasts</t>
        </is>
      </c>
      <c r="F6677" s="18" t="inlineStr">
        <is>
          <t>F0321</t>
        </is>
      </c>
    </row>
    <row r="6678" ht="15.75" customHeight="1" s="108">
      <c r="A6678" s="18" t="inlineStr">
        <is>
          <t>Amiel Cayo</t>
        </is>
      </c>
      <c r="B6678" s="18" t="n">
        <v>1</v>
      </c>
      <c r="C6678" s="18" t="n">
        <v>2023</v>
      </c>
      <c r="D6678" s="18" t="n">
        <v>2023</v>
      </c>
      <c r="E6678" s="18" t="inlineStr">
        <is>
          <t>Transformers: Rise of the Beasts</t>
        </is>
      </c>
      <c r="F6678" s="18" t="inlineStr">
        <is>
          <t>F0321</t>
        </is>
      </c>
    </row>
    <row r="6679" ht="15.75" customHeight="1" s="108">
      <c r="A6679" s="18" t="inlineStr">
        <is>
          <t>Santusa Cutipa</t>
        </is>
      </c>
      <c r="B6679" s="18" t="n">
        <v>1</v>
      </c>
      <c r="C6679" s="18" t="n">
        <v>2023</v>
      </c>
      <c r="D6679" s="18" t="n">
        <v>2023</v>
      </c>
      <c r="E6679" s="18" t="inlineStr">
        <is>
          <t>Transformers: Rise of the Beasts</t>
        </is>
      </c>
      <c r="F6679" s="18" t="inlineStr">
        <is>
          <t>F0321</t>
        </is>
      </c>
    </row>
    <row r="6680" ht="15.75" customHeight="1" s="108">
      <c r="A6680" s="18" t="inlineStr">
        <is>
          <t>Yesenia Inquillay</t>
        </is>
      </c>
      <c r="B6680" s="18" t="n">
        <v>1</v>
      </c>
      <c r="C6680" s="18" t="n">
        <v>2023</v>
      </c>
      <c r="D6680" s="18" t="n">
        <v>2023</v>
      </c>
      <c r="E6680" s="18" t="inlineStr">
        <is>
          <t>Transformers: Rise of the Beasts</t>
        </is>
      </c>
      <c r="F6680" s="18" t="inlineStr">
        <is>
          <t>F0321</t>
        </is>
      </c>
    </row>
    <row r="6681" ht="15.75" customHeight="1" s="108">
      <c r="A6681" s="18" t="inlineStr">
        <is>
          <t>Sumac T'Ika</t>
        </is>
      </c>
      <c r="B6681" s="18" t="n">
        <v>1</v>
      </c>
      <c r="C6681" s="18" t="n">
        <v>2023</v>
      </c>
      <c r="D6681" s="18" t="n">
        <v>2023</v>
      </c>
      <c r="E6681" s="18" t="inlineStr">
        <is>
          <t>Transformers: Rise of the Beasts</t>
        </is>
      </c>
      <c r="F6681" s="18" t="inlineStr">
        <is>
          <t>F0321</t>
        </is>
      </c>
    </row>
    <row r="6682" ht="15.75" customHeight="1" s="108">
      <c r="A6682" s="18" t="inlineStr">
        <is>
          <t>Josue Sallo</t>
        </is>
      </c>
      <c r="B6682" s="18" t="n">
        <v>1</v>
      </c>
      <c r="C6682" s="18" t="n">
        <v>2023</v>
      </c>
      <c r="D6682" s="18" t="n">
        <v>2023</v>
      </c>
      <c r="E6682" s="18" t="inlineStr">
        <is>
          <t>Transformers: Rise of the Beasts</t>
        </is>
      </c>
      <c r="F6682" s="18" t="inlineStr">
        <is>
          <t>F0321</t>
        </is>
      </c>
    </row>
    <row r="6683" ht="15.75" customHeight="1" s="108">
      <c r="A6683" s="18" t="inlineStr">
        <is>
          <t>Mellissa Alvarez</t>
        </is>
      </c>
      <c r="B6683" s="18" t="n">
        <v>1</v>
      </c>
      <c r="C6683" s="18" t="n">
        <v>2023</v>
      </c>
      <c r="D6683" s="18" t="n">
        <v>2023</v>
      </c>
      <c r="E6683" s="18" t="inlineStr">
        <is>
          <t>Transformers: Rise of the Beasts</t>
        </is>
      </c>
      <c r="F6683" s="18" t="inlineStr">
        <is>
          <t>F0321</t>
        </is>
      </c>
    </row>
    <row r="6684" ht="15.75" customHeight="1" s="108">
      <c r="A6684" s="18" t="inlineStr">
        <is>
          <t>Gloria Cusi</t>
        </is>
      </c>
      <c r="B6684" s="18" t="n">
        <v>1</v>
      </c>
      <c r="C6684" s="18" t="n">
        <v>2023</v>
      </c>
      <c r="D6684" s="18" t="n">
        <v>2023</v>
      </c>
      <c r="E6684" s="18" t="inlineStr">
        <is>
          <t>Transformers: Rise of the Beasts</t>
        </is>
      </c>
      <c r="F6684" s="18" t="inlineStr">
        <is>
          <t>F0321</t>
        </is>
      </c>
    </row>
    <row r="6685" ht="15.75" customHeight="1" s="108">
      <c r="A6685" s="18" t="inlineStr">
        <is>
          <t>Orson Welles</t>
        </is>
      </c>
      <c r="B6685" s="18" t="n">
        <v>1</v>
      </c>
      <c r="C6685" s="18" t="n">
        <v>1986</v>
      </c>
      <c r="D6685" s="18" t="n">
        <v>1986</v>
      </c>
      <c r="E6685" s="18" t="inlineStr">
        <is>
          <t>The Transformers: The Movie</t>
        </is>
      </c>
      <c r="F6685" s="18" t="inlineStr">
        <is>
          <t>F0322</t>
        </is>
      </c>
    </row>
    <row r="6686" ht="15.75" customHeight="1" s="108">
      <c r="A6686" s="18" t="inlineStr">
        <is>
          <t>Dan Gilvezan</t>
        </is>
      </c>
      <c r="B6686" s="18" t="n">
        <v>1</v>
      </c>
      <c r="C6686" s="18" t="n">
        <v>1986</v>
      </c>
      <c r="D6686" s="18" t="n">
        <v>1986</v>
      </c>
      <c r="E6686" s="18" t="inlineStr">
        <is>
          <t>The Transformers: The Movie</t>
        </is>
      </c>
      <c r="F6686" s="18" t="inlineStr">
        <is>
          <t>F0322</t>
        </is>
      </c>
    </row>
    <row r="6687" ht="15.75" customHeight="1" s="108">
      <c r="A6687" s="18" t="inlineStr">
        <is>
          <t>Scatman Crothers</t>
        </is>
      </c>
      <c r="B6687" s="18" t="n">
        <v>1</v>
      </c>
      <c r="C6687" s="18" t="n">
        <v>1986</v>
      </c>
      <c r="D6687" s="18" t="n">
        <v>1986</v>
      </c>
      <c r="E6687" s="18" t="inlineStr">
        <is>
          <t>The Transformers: The Movie</t>
        </is>
      </c>
      <c r="F6687" s="18" t="inlineStr">
        <is>
          <t>F0322</t>
        </is>
      </c>
    </row>
    <row r="6688" ht="15.75" customHeight="1" s="108">
      <c r="A6688" s="18" t="inlineStr">
        <is>
          <t>Susan Blu</t>
        </is>
      </c>
      <c r="B6688" s="18" t="n">
        <v>1</v>
      </c>
      <c r="C6688" s="18" t="n">
        <v>1986</v>
      </c>
      <c r="D6688" s="18" t="n">
        <v>1986</v>
      </c>
      <c r="E6688" s="18" t="inlineStr">
        <is>
          <t>The Transformers: The Movie</t>
        </is>
      </c>
      <c r="F6688" s="18" t="inlineStr">
        <is>
          <t>F0322</t>
        </is>
      </c>
    </row>
    <row r="6689" ht="15.75" customHeight="1" s="108">
      <c r="A6689" s="18" t="inlineStr">
        <is>
          <t>Eric Idle</t>
        </is>
      </c>
      <c r="B6689" s="18" t="n">
        <v>1</v>
      </c>
      <c r="C6689" s="18" t="n">
        <v>1986</v>
      </c>
      <c r="D6689" s="18" t="n">
        <v>1986</v>
      </c>
      <c r="E6689" s="18" t="inlineStr">
        <is>
          <t>The Transformers: The Movie</t>
        </is>
      </c>
      <c r="F6689" s="18" t="inlineStr">
        <is>
          <t>F0322</t>
        </is>
      </c>
    </row>
    <row r="6690" ht="15.75" customHeight="1" s="108">
      <c r="A6690" s="18" t="inlineStr">
        <is>
          <t>Robert Stack</t>
        </is>
      </c>
      <c r="B6690" s="18" t="n">
        <v>1</v>
      </c>
      <c r="C6690" s="18" t="n">
        <v>1986</v>
      </c>
      <c r="D6690" s="18" t="n">
        <v>1986</v>
      </c>
      <c r="E6690" s="18" t="inlineStr">
        <is>
          <t>The Transformers: The Movie</t>
        </is>
      </c>
      <c r="F6690" s="18" t="inlineStr">
        <is>
          <t>F0322</t>
        </is>
      </c>
    </row>
    <row r="6691" ht="15.75" customHeight="1" s="108">
      <c r="A6691" s="18" t="inlineStr">
        <is>
          <t>Norman Alden</t>
        </is>
      </c>
      <c r="B6691" s="18" t="n">
        <v>1</v>
      </c>
      <c r="C6691" s="18" t="n">
        <v>1986</v>
      </c>
      <c r="D6691" s="18" t="n">
        <v>1986</v>
      </c>
      <c r="E6691" s="18" t="inlineStr">
        <is>
          <t>The Transformers: The Movie</t>
        </is>
      </c>
      <c r="F6691" s="18" t="inlineStr">
        <is>
          <t>F0322</t>
        </is>
      </c>
    </row>
    <row r="6692" ht="15.75" customHeight="1" s="108">
      <c r="A6692" s="18" t="inlineStr">
        <is>
          <t>Michael Bell</t>
        </is>
      </c>
      <c r="B6692" s="18" t="n">
        <v>1</v>
      </c>
      <c r="C6692" s="18" t="n">
        <v>1986</v>
      </c>
      <c r="D6692" s="18" t="n">
        <v>1986</v>
      </c>
      <c r="E6692" s="18" t="inlineStr">
        <is>
          <t>The Transformers: The Movie</t>
        </is>
      </c>
      <c r="F6692" s="18" t="inlineStr">
        <is>
          <t>F0322</t>
        </is>
      </c>
    </row>
    <row r="6693" ht="15.75" customHeight="1" s="108">
      <c r="A6693" s="18" t="inlineStr">
        <is>
          <t>Lionel Stander</t>
        </is>
      </c>
      <c r="B6693" s="18" t="n">
        <v>1</v>
      </c>
      <c r="C6693" s="18" t="n">
        <v>1986</v>
      </c>
      <c r="D6693" s="18" t="n">
        <v>1986</v>
      </c>
      <c r="E6693" s="18" t="inlineStr">
        <is>
          <t>The Transformers: The Movie</t>
        </is>
      </c>
      <c r="F6693" s="18" t="inlineStr">
        <is>
          <t>F0322</t>
        </is>
      </c>
    </row>
    <row r="6694" ht="15.75" customHeight="1" s="108">
      <c r="A6694" s="18" t="inlineStr">
        <is>
          <t>John Moschitta Jr.</t>
        </is>
      </c>
      <c r="B6694" s="18" t="n">
        <v>1</v>
      </c>
      <c r="C6694" s="18" t="n">
        <v>1986</v>
      </c>
      <c r="D6694" s="18" t="n">
        <v>1986</v>
      </c>
      <c r="E6694" s="18" t="inlineStr">
        <is>
          <t>The Transformers: The Movie</t>
        </is>
      </c>
      <c r="F6694" s="18" t="inlineStr">
        <is>
          <t>F0322</t>
        </is>
      </c>
    </row>
    <row r="6695" ht="15.75" customHeight="1" s="108">
      <c r="A6695" s="18" t="inlineStr">
        <is>
          <t>Buster Jones</t>
        </is>
      </c>
      <c r="B6695" s="18" t="n">
        <v>1</v>
      </c>
      <c r="C6695" s="18" t="n">
        <v>1986</v>
      </c>
      <c r="D6695" s="18" t="n">
        <v>1986</v>
      </c>
      <c r="E6695" s="18" t="inlineStr">
        <is>
          <t>The Transformers: The Movie</t>
        </is>
      </c>
      <c r="F6695" s="18" t="inlineStr">
        <is>
          <t>F0322</t>
        </is>
      </c>
    </row>
    <row r="6696" ht="15.75" customHeight="1" s="108">
      <c r="A6696" s="18" t="inlineStr">
        <is>
          <t>Bud Davis</t>
        </is>
      </c>
      <c r="B6696" s="18" t="n">
        <v>1</v>
      </c>
      <c r="C6696" s="18" t="n">
        <v>1986</v>
      </c>
      <c r="D6696" s="18" t="n">
        <v>1986</v>
      </c>
      <c r="E6696" s="18" t="inlineStr">
        <is>
          <t>The Transformers: The Movie</t>
        </is>
      </c>
      <c r="F6696" s="18" t="inlineStr">
        <is>
          <t>F0322</t>
        </is>
      </c>
    </row>
    <row r="6697" ht="15.75" customHeight="1" s="108">
      <c r="A6697" s="18" t="inlineStr">
        <is>
          <t>Walker Edmiston</t>
        </is>
      </c>
      <c r="B6697" s="18" t="n">
        <v>2</v>
      </c>
      <c r="C6697" s="18" t="n">
        <v>1971</v>
      </c>
      <c r="D6697" s="18" t="n">
        <v>1986</v>
      </c>
      <c r="E6697" s="18" t="inlineStr">
        <is>
          <t>The Transformers: The Movie, Willy Wonka &amp; the Chocolate Factory</t>
        </is>
      </c>
      <c r="F6697" s="18" t="inlineStr">
        <is>
          <t>F0322, F0339</t>
        </is>
      </c>
    </row>
    <row r="6698" ht="15.75" customHeight="1" s="108">
      <c r="A6698" s="18" t="inlineStr">
        <is>
          <t>Neil Ross</t>
        </is>
      </c>
      <c r="B6698" s="18" t="n">
        <v>1</v>
      </c>
      <c r="C6698" s="18" t="n">
        <v>1986</v>
      </c>
      <c r="D6698" s="18" t="n">
        <v>1986</v>
      </c>
      <c r="E6698" s="18" t="inlineStr">
        <is>
          <t>The Transformers: The Movie</t>
        </is>
      </c>
      <c r="F6698" s="18" t="inlineStr">
        <is>
          <t>F0322</t>
        </is>
      </c>
    </row>
    <row r="6699" ht="15.75" customHeight="1" s="108">
      <c r="A6699" s="18" t="inlineStr">
        <is>
          <t>Roger C. Carmel</t>
        </is>
      </c>
      <c r="B6699" s="18" t="n">
        <v>1</v>
      </c>
      <c r="C6699" s="18" t="n">
        <v>1986</v>
      </c>
      <c r="D6699" s="18" t="n">
        <v>1986</v>
      </c>
      <c r="E6699" s="18" t="inlineStr">
        <is>
          <t>The Transformers: The Movie</t>
        </is>
      </c>
      <c r="F6699" s="18" t="inlineStr">
        <is>
          <t>F0322</t>
        </is>
      </c>
    </row>
    <row r="6700" ht="15.75" customHeight="1" s="108">
      <c r="A6700" s="18" t="inlineStr">
        <is>
          <t>Arthur Burghardt</t>
        </is>
      </c>
      <c r="B6700" s="18" t="n">
        <v>1</v>
      </c>
      <c r="C6700" s="18" t="n">
        <v>1986</v>
      </c>
      <c r="D6700" s="18" t="n">
        <v>1986</v>
      </c>
      <c r="E6700" s="18" t="inlineStr">
        <is>
          <t>The Transformers: The Movie</t>
        </is>
      </c>
      <c r="F6700" s="18" t="inlineStr">
        <is>
          <t>F0322</t>
        </is>
      </c>
    </row>
    <row r="6701" ht="15.75" customHeight="1" s="108">
      <c r="A6701" s="18" t="inlineStr">
        <is>
          <t>Don Messick</t>
        </is>
      </c>
      <c r="B6701" s="18" t="n">
        <v>1</v>
      </c>
      <c r="C6701" s="18" t="n">
        <v>1986</v>
      </c>
      <c r="D6701" s="18" t="n">
        <v>1986</v>
      </c>
      <c r="E6701" s="18" t="inlineStr">
        <is>
          <t>The Transformers: The Movie</t>
        </is>
      </c>
      <c r="F6701" s="18" t="inlineStr">
        <is>
          <t>F0322</t>
        </is>
      </c>
    </row>
    <row r="6702" ht="15.75" customHeight="1" s="108">
      <c r="A6702" s="18" t="inlineStr">
        <is>
          <t>Ed Gilbert</t>
        </is>
      </c>
      <c r="B6702" s="18" t="n">
        <v>1</v>
      </c>
      <c r="C6702" s="18" t="n">
        <v>1986</v>
      </c>
      <c r="D6702" s="18" t="n">
        <v>1986</v>
      </c>
      <c r="E6702" s="18" t="inlineStr">
        <is>
          <t>The Transformers: The Movie</t>
        </is>
      </c>
      <c r="F6702" s="18" t="inlineStr">
        <is>
          <t>F0322</t>
        </is>
      </c>
    </row>
    <row r="6703" ht="15.75" customHeight="1" s="108">
      <c r="A6703" s="18" t="inlineStr">
        <is>
          <t>Hal Rayle</t>
        </is>
      </c>
      <c r="B6703" s="18" t="n">
        <v>1</v>
      </c>
      <c r="C6703" s="18" t="n">
        <v>1986</v>
      </c>
      <c r="D6703" s="18" t="n">
        <v>1986</v>
      </c>
      <c r="E6703" s="18" t="inlineStr">
        <is>
          <t>The Transformers: The Movie</t>
        </is>
      </c>
      <c r="F6703" s="18" t="inlineStr">
        <is>
          <t>F0322</t>
        </is>
      </c>
    </row>
    <row r="6704" ht="15.75" customHeight="1" s="108">
      <c r="A6704" s="18" t="inlineStr">
        <is>
          <t>David Mendenhall</t>
        </is>
      </c>
      <c r="B6704" s="18" t="n">
        <v>1</v>
      </c>
      <c r="C6704" s="18" t="n">
        <v>1986</v>
      </c>
      <c r="D6704" s="18" t="n">
        <v>1986</v>
      </c>
      <c r="E6704" s="18" t="inlineStr">
        <is>
          <t>The Transformers: The Movie</t>
        </is>
      </c>
      <c r="F6704" s="18" t="inlineStr">
        <is>
          <t>F0322</t>
        </is>
      </c>
    </row>
    <row r="6705" ht="15.75" customHeight="1" s="108">
      <c r="A6705" s="18" t="inlineStr">
        <is>
          <t>Wenxia Yu</t>
        </is>
      </c>
      <c r="B6705" s="18" t="n">
        <v>1</v>
      </c>
      <c r="C6705" s="18" t="n">
        <v>2015</v>
      </c>
      <c r="D6705" s="18" t="n">
        <v>2015</v>
      </c>
      <c r="E6705" s="18" t="inlineStr">
        <is>
          <t>The Transporter Refueled</t>
        </is>
      </c>
      <c r="F6705" s="18" t="inlineStr">
        <is>
          <t>F0323</t>
        </is>
      </c>
    </row>
    <row r="6706" ht="15.75" customHeight="1" s="108">
      <c r="A6706" s="18" t="inlineStr">
        <is>
          <t>Lenn Kudrjawizki</t>
        </is>
      </c>
      <c r="B6706" s="18" t="n">
        <v>1</v>
      </c>
      <c r="C6706" s="18" t="n">
        <v>2015</v>
      </c>
      <c r="D6706" s="18" t="n">
        <v>2015</v>
      </c>
      <c r="E6706" s="18" t="inlineStr">
        <is>
          <t>The Transporter Refueled</t>
        </is>
      </c>
      <c r="F6706" s="18" t="inlineStr">
        <is>
          <t>F0323</t>
        </is>
      </c>
    </row>
    <row r="6707" ht="15.75" customHeight="1" s="108">
      <c r="A6707" s="18" t="inlineStr">
        <is>
          <t>Samir Guesmi</t>
        </is>
      </c>
      <c r="B6707" s="18" t="n">
        <v>1</v>
      </c>
      <c r="C6707" s="18" t="n">
        <v>2015</v>
      </c>
      <c r="D6707" s="18" t="n">
        <v>2015</v>
      </c>
      <c r="E6707" s="18" t="inlineStr">
        <is>
          <t>The Transporter Refueled</t>
        </is>
      </c>
      <c r="F6707" s="18" t="inlineStr">
        <is>
          <t>F0323</t>
        </is>
      </c>
    </row>
    <row r="6708" ht="15.75" customHeight="1" s="108">
      <c r="A6708" s="18" t="inlineStr">
        <is>
          <t>Robbie Nock</t>
        </is>
      </c>
      <c r="B6708" s="18" t="n">
        <v>1</v>
      </c>
      <c r="C6708" s="18" t="n">
        <v>2015</v>
      </c>
      <c r="D6708" s="18" t="n">
        <v>2015</v>
      </c>
      <c r="E6708" s="18" t="inlineStr">
        <is>
          <t>The Transporter Refueled</t>
        </is>
      </c>
      <c r="F6708" s="18" t="inlineStr">
        <is>
          <t>F0323</t>
        </is>
      </c>
    </row>
    <row r="6709" ht="15.75" customHeight="1" s="108">
      <c r="A6709" s="18" t="inlineStr">
        <is>
          <t>Michael Morris</t>
        </is>
      </c>
      <c r="B6709" s="18" t="n">
        <v>2</v>
      </c>
      <c r="C6709" s="18" t="n">
        <v>2010</v>
      </c>
      <c r="D6709" s="18" t="n">
        <v>2015</v>
      </c>
      <c r="E6709" s="18" t="inlineStr">
        <is>
          <t>The Transporter Refueled, Yogi Bear</t>
        </is>
      </c>
      <c r="F6709" s="18" t="inlineStr">
        <is>
          <t>F0323, F0348</t>
        </is>
      </c>
    </row>
    <row r="6710" ht="15.75" customHeight="1" s="108">
      <c r="A6710" s="18" t="inlineStr">
        <is>
          <t>Nash Novcic</t>
        </is>
      </c>
      <c r="B6710" s="18" t="n">
        <v>1</v>
      </c>
      <c r="C6710" s="18" t="n">
        <v>2015</v>
      </c>
      <c r="D6710" s="18" t="n">
        <v>2015</v>
      </c>
      <c r="E6710" s="18" t="inlineStr">
        <is>
          <t>The Transporter Refueled</t>
        </is>
      </c>
      <c r="F6710" s="18" t="inlineStr">
        <is>
          <t>F0323</t>
        </is>
      </c>
    </row>
    <row r="6711" ht="15.75" customHeight="1" s="108">
      <c r="A6711" s="18" t="inlineStr">
        <is>
          <t>Jochen Hägele</t>
        </is>
      </c>
      <c r="B6711" s="18" t="n">
        <v>1</v>
      </c>
      <c r="C6711" s="18" t="n">
        <v>2015</v>
      </c>
      <c r="D6711" s="18" t="n">
        <v>2015</v>
      </c>
      <c r="E6711" s="18" t="inlineStr">
        <is>
          <t>The Transporter Refueled</t>
        </is>
      </c>
      <c r="F6711" s="18" t="inlineStr">
        <is>
          <t>F0323</t>
        </is>
      </c>
    </row>
    <row r="6712" ht="15.75" customHeight="1" s="108">
      <c r="A6712" s="18" t="inlineStr">
        <is>
          <t>Jérôme Zybala</t>
        </is>
      </c>
      <c r="B6712" s="18" t="n">
        <v>1</v>
      </c>
      <c r="C6712" s="18" t="n">
        <v>2015</v>
      </c>
      <c r="D6712" s="18" t="n">
        <v>2015</v>
      </c>
      <c r="E6712" s="18" t="inlineStr">
        <is>
          <t>The Transporter Refueled</t>
        </is>
      </c>
      <c r="F6712" s="18" t="inlineStr">
        <is>
          <t>F0323</t>
        </is>
      </c>
    </row>
    <row r="6713" ht="15.75" customHeight="1" s="108">
      <c r="A6713" s="18" t="inlineStr">
        <is>
          <t>Stéphane Moreno Carpio</t>
        </is>
      </c>
      <c r="B6713" s="18" t="n">
        <v>1</v>
      </c>
      <c r="C6713" s="18" t="n">
        <v>2015</v>
      </c>
      <c r="D6713" s="18" t="n">
        <v>2015</v>
      </c>
      <c r="E6713" s="18" t="inlineStr">
        <is>
          <t>The Transporter Refueled</t>
        </is>
      </c>
      <c r="F6713" s="18" t="inlineStr">
        <is>
          <t>F0323</t>
        </is>
      </c>
    </row>
    <row r="6714" ht="15.75" customHeight="1" s="108">
      <c r="A6714" s="18" t="inlineStr">
        <is>
          <t>Laurent Ferraro</t>
        </is>
      </c>
      <c r="B6714" s="18" t="n">
        <v>1</v>
      </c>
      <c r="C6714" s="18" t="n">
        <v>2015</v>
      </c>
      <c r="D6714" s="18" t="n">
        <v>2015</v>
      </c>
      <c r="E6714" s="18" t="inlineStr">
        <is>
          <t>The Transporter Refueled</t>
        </is>
      </c>
      <c r="F6714" s="18" t="inlineStr">
        <is>
          <t>F0323</t>
        </is>
      </c>
    </row>
    <row r="6715" ht="15.75" customHeight="1" s="108">
      <c r="A6715" s="18" t="inlineStr">
        <is>
          <t>Jean-Baptiste Puech</t>
        </is>
      </c>
      <c r="B6715" s="18" t="n">
        <v>1</v>
      </c>
      <c r="C6715" s="18" t="n">
        <v>2015</v>
      </c>
      <c r="D6715" s="18" t="n">
        <v>2015</v>
      </c>
      <c r="E6715" s="18" t="inlineStr">
        <is>
          <t>The Transporter Refueled</t>
        </is>
      </c>
      <c r="F6715" s="18" t="inlineStr">
        <is>
          <t>F0323</t>
        </is>
      </c>
    </row>
    <row r="6716" ht="15.75" customHeight="1" s="108">
      <c r="A6716" s="18" t="inlineStr">
        <is>
          <t>Réginal Kudiwu</t>
        </is>
      </c>
      <c r="B6716" s="18" t="n">
        <v>1</v>
      </c>
      <c r="C6716" s="18" t="n">
        <v>2015</v>
      </c>
      <c r="D6716" s="18" t="n">
        <v>2015</v>
      </c>
      <c r="E6716" s="18" t="inlineStr">
        <is>
          <t>The Transporter Refueled</t>
        </is>
      </c>
      <c r="F6716" s="18" t="inlineStr">
        <is>
          <t>F0323</t>
        </is>
      </c>
    </row>
    <row r="6717" ht="15.75" customHeight="1" s="108">
      <c r="A6717" s="18" t="inlineStr">
        <is>
          <t>Jua Amir</t>
        </is>
      </c>
      <c r="B6717" s="18" t="n">
        <v>1</v>
      </c>
      <c r="C6717" s="18" t="n">
        <v>2015</v>
      </c>
      <c r="D6717" s="18" t="n">
        <v>2015</v>
      </c>
      <c r="E6717" s="18" t="inlineStr">
        <is>
          <t>The Transporter Refueled</t>
        </is>
      </c>
      <c r="F6717" s="18" t="inlineStr">
        <is>
          <t>F0323</t>
        </is>
      </c>
    </row>
    <row r="6718" ht="15.75" customHeight="1" s="108">
      <c r="A6718" s="18" t="inlineStr">
        <is>
          <t>Christophe Lavalle</t>
        </is>
      </c>
      <c r="B6718" s="18" t="n">
        <v>1</v>
      </c>
      <c r="C6718" s="18" t="n">
        <v>2015</v>
      </c>
      <c r="D6718" s="18" t="n">
        <v>2015</v>
      </c>
      <c r="E6718" s="18" t="inlineStr">
        <is>
          <t>The Transporter Refueled</t>
        </is>
      </c>
      <c r="F6718" s="18" t="inlineStr">
        <is>
          <t>F0323</t>
        </is>
      </c>
    </row>
    <row r="6719" ht="15.75" customHeight="1" s="108">
      <c r="A6719" s="18" t="inlineStr">
        <is>
          <t>Mickaël Collart</t>
        </is>
      </c>
      <c r="B6719" s="18" t="n">
        <v>1</v>
      </c>
      <c r="C6719" s="18" t="n">
        <v>2015</v>
      </c>
      <c r="D6719" s="18" t="n">
        <v>2015</v>
      </c>
      <c r="E6719" s="18" t="inlineStr">
        <is>
          <t>The Transporter Refueled</t>
        </is>
      </c>
      <c r="F6719" s="18" t="inlineStr">
        <is>
          <t>F0323</t>
        </is>
      </c>
    </row>
    <row r="6720" ht="15.75" customHeight="1" s="108">
      <c r="A6720" s="18" t="inlineStr">
        <is>
          <t>Christophe Touraud</t>
        </is>
      </c>
      <c r="B6720" s="18" t="n">
        <v>1</v>
      </c>
      <c r="C6720" s="18" t="n">
        <v>2015</v>
      </c>
      <c r="D6720" s="18" t="n">
        <v>2015</v>
      </c>
      <c r="E6720" s="18" t="inlineStr">
        <is>
          <t>The Transporter Refueled</t>
        </is>
      </c>
      <c r="F6720" s="18" t="inlineStr">
        <is>
          <t>F0323</t>
        </is>
      </c>
    </row>
    <row r="6721" ht="15.75" customHeight="1" s="108">
      <c r="A6721" s="18" t="inlineStr">
        <is>
          <t>Mikael Buxton</t>
        </is>
      </c>
      <c r="B6721" s="18" t="n">
        <v>1</v>
      </c>
      <c r="C6721" s="18" t="n">
        <v>2015</v>
      </c>
      <c r="D6721" s="18" t="n">
        <v>2015</v>
      </c>
      <c r="E6721" s="18" t="inlineStr">
        <is>
          <t>The Transporter Refueled</t>
        </is>
      </c>
      <c r="F6721" s="18" t="inlineStr">
        <is>
          <t>F0323</t>
        </is>
      </c>
    </row>
    <row r="6722" ht="15.75" customHeight="1" s="108">
      <c r="A6722" s="18" t="inlineStr">
        <is>
          <t>Lola S. Frey</t>
        </is>
      </c>
      <c r="B6722" s="18" t="n">
        <v>1</v>
      </c>
      <c r="C6722" s="18" t="n">
        <v>2015</v>
      </c>
      <c r="D6722" s="18" t="n">
        <v>2015</v>
      </c>
      <c r="E6722" s="18" t="inlineStr">
        <is>
          <t>The Transporter Refueled</t>
        </is>
      </c>
      <c r="F6722" s="18" t="inlineStr">
        <is>
          <t>F0323</t>
        </is>
      </c>
    </row>
    <row r="6723" ht="15.75" customHeight="1" s="108">
      <c r="A6723" s="18" t="inlineStr">
        <is>
          <t>Mathieu Lardot</t>
        </is>
      </c>
      <c r="B6723" s="18" t="n">
        <v>1</v>
      </c>
      <c r="C6723" s="18" t="n">
        <v>2015</v>
      </c>
      <c r="D6723" s="18" t="n">
        <v>2015</v>
      </c>
      <c r="E6723" s="18" t="inlineStr">
        <is>
          <t>The Transporter Refueled</t>
        </is>
      </c>
      <c r="F6723" s="18" t="inlineStr">
        <is>
          <t>F0323</t>
        </is>
      </c>
    </row>
    <row r="6724" ht="15.75" customHeight="1" s="108">
      <c r="A6724" s="18" t="inlineStr">
        <is>
          <t>Cédric Chevalme</t>
        </is>
      </c>
      <c r="B6724" s="18" t="n">
        <v>1</v>
      </c>
      <c r="C6724" s="18" t="n">
        <v>2015</v>
      </c>
      <c r="D6724" s="18" t="n">
        <v>2015</v>
      </c>
      <c r="E6724" s="18" t="inlineStr">
        <is>
          <t>The Transporter Refueled</t>
        </is>
      </c>
      <c r="F6724" s="18" t="inlineStr">
        <is>
          <t>F0323</t>
        </is>
      </c>
    </row>
    <row r="6725" ht="15.75" customHeight="1" s="108">
      <c r="A6725" s="18" t="inlineStr">
        <is>
          <t>Thibaut Évrard</t>
        </is>
      </c>
      <c r="B6725" s="18" t="n">
        <v>1</v>
      </c>
      <c r="C6725" s="18" t="n">
        <v>2015</v>
      </c>
      <c r="D6725" s="18" t="n">
        <v>2015</v>
      </c>
      <c r="E6725" s="18" t="inlineStr">
        <is>
          <t>The Transporter Refueled</t>
        </is>
      </c>
      <c r="F6725" s="18" t="inlineStr">
        <is>
          <t>F0323</t>
        </is>
      </c>
    </row>
    <row r="6726" ht="15.75" customHeight="1" s="108">
      <c r="A6726" s="18" t="inlineStr">
        <is>
          <t>Trieu Tran</t>
        </is>
      </c>
      <c r="B6726" s="18" t="n">
        <v>1</v>
      </c>
      <c r="C6726" s="18" t="n">
        <v>2008</v>
      </c>
      <c r="D6726" s="18" t="n">
        <v>2008</v>
      </c>
      <c r="E6726" s="18" t="inlineStr">
        <is>
          <t>Tropic Thunder</t>
        </is>
      </c>
      <c r="F6726" s="18" t="inlineStr">
        <is>
          <t>F0324</t>
        </is>
      </c>
    </row>
    <row r="6727" ht="15.75" customHeight="1" s="108">
      <c r="A6727" s="18" t="inlineStr">
        <is>
          <t>Tyra Banks</t>
        </is>
      </c>
      <c r="B6727" s="18" t="n">
        <v>1</v>
      </c>
      <c r="C6727" s="18" t="n">
        <v>2008</v>
      </c>
      <c r="D6727" s="18" t="n">
        <v>2008</v>
      </c>
      <c r="E6727" s="18" t="inlineStr">
        <is>
          <t>Tropic Thunder</t>
        </is>
      </c>
      <c r="F6727" s="18" t="inlineStr">
        <is>
          <t>F0324</t>
        </is>
      </c>
    </row>
    <row r="6728" ht="15.75" customHeight="1" s="108">
      <c r="A6728" s="18" t="inlineStr">
        <is>
          <t>Jennifer Love Hewitt</t>
        </is>
      </c>
      <c r="B6728" s="18" t="n">
        <v>1</v>
      </c>
      <c r="C6728" s="18" t="n">
        <v>2008</v>
      </c>
      <c r="D6728" s="18" t="n">
        <v>2008</v>
      </c>
      <c r="E6728" s="18" t="inlineStr">
        <is>
          <t>Tropic Thunder</t>
        </is>
      </c>
      <c r="F6728" s="18" t="inlineStr">
        <is>
          <t>F0324</t>
        </is>
      </c>
    </row>
    <row r="6729" ht="15.75" customHeight="1" s="108">
      <c r="A6729" s="18" t="inlineStr">
        <is>
          <t>Alicia Silverstone</t>
        </is>
      </c>
      <c r="B6729" s="18" t="n">
        <v>1</v>
      </c>
      <c r="C6729" s="18" t="n">
        <v>2008</v>
      </c>
      <c r="D6729" s="18" t="n">
        <v>2008</v>
      </c>
      <c r="E6729" s="18" t="inlineStr">
        <is>
          <t>Tropic Thunder</t>
        </is>
      </c>
      <c r="F6729" s="18" t="inlineStr">
        <is>
          <t>F0324</t>
        </is>
      </c>
    </row>
    <row r="6730" ht="15.75" customHeight="1" s="108">
      <c r="A6730" s="18" t="inlineStr">
        <is>
          <t>Christine Taylor</t>
        </is>
      </c>
      <c r="B6730" s="18" t="n">
        <v>1</v>
      </c>
      <c r="C6730" s="18" t="n">
        <v>2008</v>
      </c>
      <c r="D6730" s="18" t="n">
        <v>2008</v>
      </c>
      <c r="E6730" s="18" t="inlineStr">
        <is>
          <t>Tropic Thunder</t>
        </is>
      </c>
      <c r="F6730" s="18" t="inlineStr">
        <is>
          <t>F0324</t>
        </is>
      </c>
    </row>
    <row r="6731" ht="15.75" customHeight="1" s="108">
      <c r="A6731" s="18" t="inlineStr">
        <is>
          <t>Jeff Kahn</t>
        </is>
      </c>
      <c r="B6731" s="18" t="n">
        <v>1</v>
      </c>
      <c r="C6731" s="18" t="n">
        <v>2008</v>
      </c>
      <c r="D6731" s="18" t="n">
        <v>2008</v>
      </c>
      <c r="E6731" s="18" t="inlineStr">
        <is>
          <t>Tropic Thunder</t>
        </is>
      </c>
      <c r="F6731" s="18" t="inlineStr">
        <is>
          <t>F0324</t>
        </is>
      </c>
    </row>
    <row r="6732" ht="15.75" customHeight="1" s="108">
      <c r="A6732" s="18" t="inlineStr">
        <is>
          <t>Anthony Ruivivar</t>
        </is>
      </c>
      <c r="B6732" s="18" t="n">
        <v>1</v>
      </c>
      <c r="C6732" s="18" t="n">
        <v>2008</v>
      </c>
      <c r="D6732" s="18" t="n">
        <v>2008</v>
      </c>
      <c r="E6732" s="18" t="inlineStr">
        <is>
          <t>Tropic Thunder</t>
        </is>
      </c>
      <c r="F6732" s="18" t="inlineStr">
        <is>
          <t>F0324</t>
        </is>
      </c>
    </row>
    <row r="6733" ht="15.75" customHeight="1" s="108">
      <c r="A6733" s="18" t="inlineStr">
        <is>
          <t>Eric Winzenried</t>
        </is>
      </c>
      <c r="B6733" s="18" t="n">
        <v>1</v>
      </c>
      <c r="C6733" s="18" t="n">
        <v>2008</v>
      </c>
      <c r="D6733" s="18" t="n">
        <v>2008</v>
      </c>
      <c r="E6733" s="18" t="inlineStr">
        <is>
          <t>Tropic Thunder</t>
        </is>
      </c>
      <c r="F6733" s="18" t="inlineStr">
        <is>
          <t>F0324</t>
        </is>
      </c>
    </row>
    <row r="6734" ht="15.75" customHeight="1" s="108">
      <c r="A6734" s="18" t="inlineStr">
        <is>
          <t>Valerie Azlynn</t>
        </is>
      </c>
      <c r="B6734" s="18" t="n">
        <v>1</v>
      </c>
      <c r="C6734" s="18" t="n">
        <v>2008</v>
      </c>
      <c r="D6734" s="18" t="n">
        <v>2008</v>
      </c>
      <c r="E6734" s="18" t="inlineStr">
        <is>
          <t>Tropic Thunder</t>
        </is>
      </c>
      <c r="F6734" s="18" t="inlineStr">
        <is>
          <t>F0324</t>
        </is>
      </c>
    </row>
    <row r="6735" ht="15.75" customHeight="1" s="108">
      <c r="A6735" s="18" t="inlineStr">
        <is>
          <t>Matt Levin</t>
        </is>
      </c>
      <c r="B6735" s="18" t="n">
        <v>1</v>
      </c>
      <c r="C6735" s="18" t="n">
        <v>2008</v>
      </c>
      <c r="D6735" s="18" t="n">
        <v>2008</v>
      </c>
      <c r="E6735" s="18" t="inlineStr">
        <is>
          <t>Tropic Thunder</t>
        </is>
      </c>
      <c r="F6735" s="18" t="inlineStr">
        <is>
          <t>F0324</t>
        </is>
      </c>
    </row>
    <row r="6736" ht="15.75" customHeight="1" s="108">
      <c r="A6736" s="18" t="inlineStr">
        <is>
          <t>David Pressman</t>
        </is>
      </c>
      <c r="B6736" s="18" t="n">
        <v>1</v>
      </c>
      <c r="C6736" s="18" t="n">
        <v>2008</v>
      </c>
      <c r="D6736" s="18" t="n">
        <v>2008</v>
      </c>
      <c r="E6736" s="18" t="inlineStr">
        <is>
          <t>Tropic Thunder</t>
        </is>
      </c>
      <c r="F6736" s="18" t="inlineStr">
        <is>
          <t>F0324</t>
        </is>
      </c>
    </row>
    <row r="6737" ht="15.75" customHeight="1" s="108">
      <c r="A6737" s="18" t="inlineStr">
        <is>
          <t>Amy Stiller</t>
        </is>
      </c>
      <c r="B6737" s="18" t="n">
        <v>1</v>
      </c>
      <c r="C6737" s="18" t="n">
        <v>2008</v>
      </c>
      <c r="D6737" s="18" t="n">
        <v>2008</v>
      </c>
      <c r="E6737" s="18" t="inlineStr">
        <is>
          <t>Tropic Thunder</t>
        </is>
      </c>
      <c r="F6737" s="18" t="inlineStr">
        <is>
          <t>F0324</t>
        </is>
      </c>
    </row>
    <row r="6738" ht="15.75" customHeight="1" s="108">
      <c r="A6738" s="18" t="inlineStr">
        <is>
          <t>Dempsey Silva</t>
        </is>
      </c>
      <c r="B6738" s="18" t="n">
        <v>1</v>
      </c>
      <c r="C6738" s="18" t="n">
        <v>2008</v>
      </c>
      <c r="D6738" s="18" t="n">
        <v>2008</v>
      </c>
      <c r="E6738" s="18" t="inlineStr">
        <is>
          <t>Tropic Thunder</t>
        </is>
      </c>
      <c r="F6738" s="18" t="inlineStr">
        <is>
          <t>F0324</t>
        </is>
      </c>
    </row>
    <row r="6739" ht="15.75" customHeight="1" s="108">
      <c r="A6739" s="18" t="inlineStr">
        <is>
          <t>Jeff Weidemann</t>
        </is>
      </c>
      <c r="B6739" s="18" t="n">
        <v>1</v>
      </c>
      <c r="C6739" s="18" t="n">
        <v>2008</v>
      </c>
      <c r="D6739" s="18" t="n">
        <v>2008</v>
      </c>
      <c r="E6739" s="18" t="inlineStr">
        <is>
          <t>Tropic Thunder</t>
        </is>
      </c>
      <c r="F6739" s="18" t="inlineStr">
        <is>
          <t>F0324</t>
        </is>
      </c>
    </row>
    <row r="6740" ht="15.75" customHeight="1" s="108">
      <c r="A6740" s="18" t="inlineStr">
        <is>
          <t>Dakin Matthews</t>
        </is>
      </c>
      <c r="B6740" s="18" t="n">
        <v>1</v>
      </c>
      <c r="C6740" s="18" t="n">
        <v>2010</v>
      </c>
      <c r="D6740" s="18" t="n">
        <v>2010</v>
      </c>
      <c r="E6740" s="18" t="inlineStr">
        <is>
          <t>True Grit</t>
        </is>
      </c>
      <c r="F6740" s="18" t="inlineStr">
        <is>
          <t>F0325</t>
        </is>
      </c>
    </row>
    <row r="6741" ht="15.75" customHeight="1" s="108">
      <c r="A6741" s="18" t="inlineStr">
        <is>
          <t>Jarlath Conroy</t>
        </is>
      </c>
      <c r="B6741" s="18" t="n">
        <v>1</v>
      </c>
      <c r="C6741" s="18" t="n">
        <v>2010</v>
      </c>
      <c r="D6741" s="18" t="n">
        <v>2010</v>
      </c>
      <c r="E6741" s="18" t="inlineStr">
        <is>
          <t>True Grit</t>
        </is>
      </c>
      <c r="F6741" s="18" t="inlineStr">
        <is>
          <t>F0325</t>
        </is>
      </c>
    </row>
    <row r="6742" ht="15.75" customHeight="1" s="108">
      <c r="A6742" s="18" t="inlineStr">
        <is>
          <t>Paul Rae</t>
        </is>
      </c>
      <c r="B6742" s="18" t="n">
        <v>1</v>
      </c>
      <c r="C6742" s="18" t="n">
        <v>2010</v>
      </c>
      <c r="D6742" s="18" t="n">
        <v>2010</v>
      </c>
      <c r="E6742" s="18" t="inlineStr">
        <is>
          <t>True Grit</t>
        </is>
      </c>
      <c r="F6742" s="18" t="inlineStr">
        <is>
          <t>F0325</t>
        </is>
      </c>
    </row>
    <row r="6743" ht="15.75" customHeight="1" s="108">
      <c r="A6743" s="18" t="inlineStr">
        <is>
          <t>Roy Lee Jones</t>
        </is>
      </c>
      <c r="B6743" s="18" t="n">
        <v>1</v>
      </c>
      <c r="C6743" s="18" t="n">
        <v>2010</v>
      </c>
      <c r="D6743" s="18" t="n">
        <v>2010</v>
      </c>
      <c r="E6743" s="18" t="inlineStr">
        <is>
          <t>True Grit</t>
        </is>
      </c>
      <c r="F6743" s="18" t="inlineStr">
        <is>
          <t>F0325</t>
        </is>
      </c>
    </row>
    <row r="6744" ht="15.75" customHeight="1" s="108">
      <c r="A6744" s="18" t="inlineStr">
        <is>
          <t>Ed Corbin</t>
        </is>
      </c>
      <c r="B6744" s="18" t="n">
        <v>1</v>
      </c>
      <c r="C6744" s="18" t="n">
        <v>2010</v>
      </c>
      <c r="D6744" s="18" t="n">
        <v>2010</v>
      </c>
      <c r="E6744" s="18" t="inlineStr">
        <is>
          <t>True Grit</t>
        </is>
      </c>
      <c r="F6744" s="18" t="inlineStr">
        <is>
          <t>F0325</t>
        </is>
      </c>
    </row>
    <row r="6745" ht="15.75" customHeight="1" s="108">
      <c r="A6745" s="18" t="inlineStr">
        <is>
          <t>Leon Russom</t>
        </is>
      </c>
      <c r="B6745" s="18" t="n">
        <v>1</v>
      </c>
      <c r="C6745" s="18" t="n">
        <v>2010</v>
      </c>
      <c r="D6745" s="18" t="n">
        <v>2010</v>
      </c>
      <c r="E6745" s="18" t="inlineStr">
        <is>
          <t>True Grit</t>
        </is>
      </c>
      <c r="F6745" s="18" t="inlineStr">
        <is>
          <t>F0325</t>
        </is>
      </c>
    </row>
    <row r="6746" ht="15.75" customHeight="1" s="108">
      <c r="A6746" s="18" t="inlineStr">
        <is>
          <t>Bruce Green</t>
        </is>
      </c>
      <c r="B6746" s="18" t="n">
        <v>1</v>
      </c>
      <c r="C6746" s="18" t="n">
        <v>2010</v>
      </c>
      <c r="D6746" s="18" t="n">
        <v>2010</v>
      </c>
      <c r="E6746" s="18" t="inlineStr">
        <is>
          <t>True Grit</t>
        </is>
      </c>
      <c r="F6746" s="18" t="inlineStr">
        <is>
          <t>F0325</t>
        </is>
      </c>
    </row>
    <row r="6747" ht="15.75" customHeight="1" s="108">
      <c r="A6747" s="18" t="inlineStr">
        <is>
          <t>Candyce Hinkle</t>
        </is>
      </c>
      <c r="B6747" s="18" t="n">
        <v>1</v>
      </c>
      <c r="C6747" s="18" t="n">
        <v>2010</v>
      </c>
      <c r="D6747" s="18" t="n">
        <v>2010</v>
      </c>
      <c r="E6747" s="18" t="inlineStr">
        <is>
          <t>True Grit</t>
        </is>
      </c>
      <c r="F6747" s="18" t="inlineStr">
        <is>
          <t>F0325</t>
        </is>
      </c>
    </row>
    <row r="6748" ht="15.75" customHeight="1" s="108">
      <c r="A6748" s="18" t="inlineStr">
        <is>
          <t>Peter Leung</t>
        </is>
      </c>
      <c r="B6748" s="18" t="n">
        <v>1</v>
      </c>
      <c r="C6748" s="18" t="n">
        <v>2010</v>
      </c>
      <c r="D6748" s="18" t="n">
        <v>2010</v>
      </c>
      <c r="E6748" s="18" t="inlineStr">
        <is>
          <t>True Grit</t>
        </is>
      </c>
      <c r="F6748" s="18" t="inlineStr">
        <is>
          <t>F0325</t>
        </is>
      </c>
    </row>
    <row r="6749" ht="15.75" customHeight="1" s="108">
      <c r="A6749" s="18" t="inlineStr">
        <is>
          <t>Don Pirl</t>
        </is>
      </c>
      <c r="B6749" s="18" t="n">
        <v>1</v>
      </c>
      <c r="C6749" s="18" t="n">
        <v>2010</v>
      </c>
      <c r="D6749" s="18" t="n">
        <v>2010</v>
      </c>
      <c r="E6749" s="18" t="inlineStr">
        <is>
          <t>True Grit</t>
        </is>
      </c>
      <c r="F6749" s="18" t="inlineStr">
        <is>
          <t>F0325</t>
        </is>
      </c>
    </row>
    <row r="6750" ht="15.75" customHeight="1" s="108">
      <c r="A6750" s="18" t="inlineStr">
        <is>
          <t>Joe Stevens</t>
        </is>
      </c>
      <c r="B6750" s="18" t="n">
        <v>1</v>
      </c>
      <c r="C6750" s="18" t="n">
        <v>2010</v>
      </c>
      <c r="D6750" s="18" t="n">
        <v>2010</v>
      </c>
      <c r="E6750" s="18" t="inlineStr">
        <is>
          <t>True Grit</t>
        </is>
      </c>
      <c r="F6750" s="18" t="inlineStr">
        <is>
          <t>F0325</t>
        </is>
      </c>
    </row>
    <row r="6751" ht="15.75" customHeight="1" s="108">
      <c r="A6751" s="18" t="inlineStr">
        <is>
          <t>David Lipman</t>
        </is>
      </c>
      <c r="B6751" s="18" t="n">
        <v>1</v>
      </c>
      <c r="C6751" s="18" t="n">
        <v>2010</v>
      </c>
      <c r="D6751" s="18" t="n">
        <v>2010</v>
      </c>
      <c r="E6751" s="18" t="inlineStr">
        <is>
          <t>True Grit</t>
        </is>
      </c>
      <c r="F6751" s="18" t="inlineStr">
        <is>
          <t>F0325</t>
        </is>
      </c>
    </row>
    <row r="6752" ht="15.75" customHeight="1" s="108">
      <c r="A6752" s="18" t="inlineStr">
        <is>
          <t>Jake Walker</t>
        </is>
      </c>
      <c r="B6752" s="18" t="n">
        <v>1</v>
      </c>
      <c r="C6752" s="18" t="n">
        <v>2010</v>
      </c>
      <c r="D6752" s="18" t="n">
        <v>2010</v>
      </c>
      <c r="E6752" s="18" t="inlineStr">
        <is>
          <t>True Grit</t>
        </is>
      </c>
      <c r="F6752" s="18" t="inlineStr">
        <is>
          <t>F0325</t>
        </is>
      </c>
    </row>
    <row r="6753" ht="15.75" customHeight="1" s="108">
      <c r="A6753" s="18" t="inlineStr">
        <is>
          <t>Orlando Storm Smart</t>
        </is>
      </c>
      <c r="B6753" s="18" t="n">
        <v>1</v>
      </c>
      <c r="C6753" s="18" t="n">
        <v>2010</v>
      </c>
      <c r="D6753" s="18" t="n">
        <v>2010</v>
      </c>
      <c r="E6753" s="18" t="inlineStr">
        <is>
          <t>True Grit</t>
        </is>
      </c>
      <c r="F6753" s="18" t="inlineStr">
        <is>
          <t>F0325</t>
        </is>
      </c>
    </row>
    <row r="6754" ht="15.75" customHeight="1" s="108">
      <c r="A6754" s="18" t="inlineStr">
        <is>
          <t>Ty Mitchell</t>
        </is>
      </c>
      <c r="B6754" s="18" t="n">
        <v>1</v>
      </c>
      <c r="C6754" s="18" t="n">
        <v>2010</v>
      </c>
      <c r="D6754" s="18" t="n">
        <v>2010</v>
      </c>
      <c r="E6754" s="18" t="inlineStr">
        <is>
          <t>True Grit</t>
        </is>
      </c>
      <c r="F6754" s="18" t="inlineStr">
        <is>
          <t>F0325</t>
        </is>
      </c>
    </row>
    <row r="6755" ht="15.75" customHeight="1" s="108">
      <c r="A6755" s="18" t="inlineStr">
        <is>
          <t>Nicholas Sadler</t>
        </is>
      </c>
      <c r="B6755" s="18" t="n">
        <v>1</v>
      </c>
      <c r="C6755" s="18" t="n">
        <v>2010</v>
      </c>
      <c r="D6755" s="18" t="n">
        <v>2010</v>
      </c>
      <c r="E6755" s="18" t="inlineStr">
        <is>
          <t>True Grit</t>
        </is>
      </c>
      <c r="F6755" s="18" t="inlineStr">
        <is>
          <t>F0325</t>
        </is>
      </c>
    </row>
    <row r="6756" ht="15.75" customHeight="1" s="108">
      <c r="A6756" s="18" t="inlineStr">
        <is>
          <t>Scott Sowers</t>
        </is>
      </c>
      <c r="B6756" s="18" t="n">
        <v>1</v>
      </c>
      <c r="C6756" s="18" t="n">
        <v>2010</v>
      </c>
      <c r="D6756" s="18" t="n">
        <v>2010</v>
      </c>
      <c r="E6756" s="18" t="inlineStr">
        <is>
          <t>True Grit</t>
        </is>
      </c>
      <c r="F6756" s="18" t="inlineStr">
        <is>
          <t>F0325</t>
        </is>
      </c>
    </row>
    <row r="6757" ht="15.75" customHeight="1" s="108">
      <c r="A6757" s="18" t="inlineStr">
        <is>
          <t>Maggie A. Goodman</t>
        </is>
      </c>
      <c r="B6757" s="18" t="n">
        <v>1</v>
      </c>
      <c r="C6757" s="18" t="n">
        <v>2010</v>
      </c>
      <c r="D6757" s="18" t="n">
        <v>2010</v>
      </c>
      <c r="E6757" s="18" t="inlineStr">
        <is>
          <t>True Grit</t>
        </is>
      </c>
      <c r="F6757" s="18" t="inlineStr">
        <is>
          <t>F0325</t>
        </is>
      </c>
    </row>
    <row r="6758" ht="15.75" customHeight="1" s="108">
      <c r="A6758" s="18" t="inlineStr">
        <is>
          <t>Brandon Sanderson</t>
        </is>
      </c>
      <c r="B6758" s="18" t="n">
        <v>1</v>
      </c>
      <c r="C6758" s="18" t="n">
        <v>2010</v>
      </c>
      <c r="D6758" s="18" t="n">
        <v>2010</v>
      </c>
      <c r="E6758" s="18" t="inlineStr">
        <is>
          <t>True Grit</t>
        </is>
      </c>
      <c r="F6758" s="18" t="inlineStr">
        <is>
          <t>F0325</t>
        </is>
      </c>
    </row>
    <row r="6759" ht="15.75" customHeight="1" s="108">
      <c r="A6759" s="18" t="inlineStr">
        <is>
          <t>Ruben Nakai Campana</t>
        </is>
      </c>
      <c r="B6759" s="18" t="n">
        <v>1</v>
      </c>
      <c r="C6759" s="18" t="n">
        <v>2010</v>
      </c>
      <c r="D6759" s="18" t="n">
        <v>2010</v>
      </c>
      <c r="E6759" s="18" t="inlineStr">
        <is>
          <t>True Grit</t>
        </is>
      </c>
      <c r="F6759" s="18" t="inlineStr">
        <is>
          <t>F0325</t>
        </is>
      </c>
    </row>
    <row r="6760" ht="15.75" customHeight="1" s="108">
      <c r="A6760" s="18" t="inlineStr">
        <is>
          <t>Zita Görög</t>
        </is>
      </c>
      <c r="B6760" s="18" t="n">
        <v>3</v>
      </c>
      <c r="C6760" s="18" t="n">
        <v>2003</v>
      </c>
      <c r="D6760" s="18" t="n">
        <v>2006</v>
      </c>
      <c r="E6760" s="18" t="inlineStr">
        <is>
          <t xml:space="preserve">Underworld: Evolution, Underworld, Underworld </t>
        </is>
      </c>
      <c r="F6760" s="18" t="inlineStr">
        <is>
          <t>F0326, F0389</t>
        </is>
      </c>
    </row>
    <row r="6761" ht="15.75" customHeight="1" s="108">
      <c r="A6761" s="18" t="inlineStr">
        <is>
          <t>Brian Steele</t>
        </is>
      </c>
      <c r="B6761" s="18" t="n">
        <v>5</v>
      </c>
      <c r="C6761" s="18" t="n">
        <v>2003</v>
      </c>
      <c r="D6761" s="18" t="n">
        <v>2009</v>
      </c>
      <c r="E6761" s="18" t="inlineStr">
        <is>
          <t xml:space="preserve">Underworld: Evolution, Underworld: Rise of the Lycans, hellboy, Underworld, Underworld </t>
        </is>
      </c>
      <c r="F6761" s="18" t="inlineStr">
        <is>
          <t>F0326, F0327, F0373, F0389</t>
        </is>
      </c>
    </row>
    <row r="6762" ht="15.75" customHeight="1" s="108">
      <c r="A6762" s="18" t="inlineStr">
        <is>
          <t>John Mann</t>
        </is>
      </c>
      <c r="B6762" s="18" t="n">
        <v>1</v>
      </c>
      <c r="C6762" s="18" t="n">
        <v>2006</v>
      </c>
      <c r="D6762" s="18" t="n">
        <v>2006</v>
      </c>
      <c r="E6762" s="18" t="inlineStr">
        <is>
          <t>Underworld: Evolution</t>
        </is>
      </c>
      <c r="F6762" s="18" t="inlineStr">
        <is>
          <t>F0326</t>
        </is>
      </c>
    </row>
    <row r="6763" ht="15.75" customHeight="1" s="108">
      <c r="A6763" s="18" t="inlineStr">
        <is>
          <t>Scott McElroy</t>
        </is>
      </c>
      <c r="B6763" s="18" t="n">
        <v>3</v>
      </c>
      <c r="C6763" s="18" t="n">
        <v>2003</v>
      </c>
      <c r="D6763" s="18" t="n">
        <v>2006</v>
      </c>
      <c r="E6763" s="18" t="inlineStr">
        <is>
          <t xml:space="preserve">Underworld: Evolution, Underworld, Underworld </t>
        </is>
      </c>
      <c r="F6763" s="18" t="inlineStr">
        <is>
          <t>F0326, F0389</t>
        </is>
      </c>
    </row>
    <row r="6764" ht="15.75" customHeight="1" s="108">
      <c r="A6764" s="18" t="inlineStr">
        <is>
          <t>Mike Mukatis</t>
        </is>
      </c>
      <c r="B6764" s="18" t="n">
        <v>3</v>
      </c>
      <c r="C6764" s="18" t="n">
        <v>2003</v>
      </c>
      <c r="D6764" s="18" t="n">
        <v>2006</v>
      </c>
      <c r="E6764" s="18" t="inlineStr">
        <is>
          <t xml:space="preserve">Underworld: Evolution, Underworld, Underworld </t>
        </is>
      </c>
      <c r="F6764" s="18" t="inlineStr">
        <is>
          <t>F0326, F0389</t>
        </is>
      </c>
    </row>
    <row r="6765" ht="15.75" customHeight="1" s="108">
      <c r="A6765" s="18" t="inlineStr">
        <is>
          <t>Raoul Ganeev</t>
        </is>
      </c>
      <c r="B6765" s="18" t="n">
        <v>1</v>
      </c>
      <c r="C6765" s="18" t="n">
        <v>2006</v>
      </c>
      <c r="D6765" s="18" t="n">
        <v>2006</v>
      </c>
      <c r="E6765" s="18" t="inlineStr">
        <is>
          <t>Underworld: Evolution</t>
        </is>
      </c>
      <c r="F6765" s="18" t="inlineStr">
        <is>
          <t>F0326</t>
        </is>
      </c>
    </row>
    <row r="6766" ht="15.75" customHeight="1" s="108">
      <c r="A6766" s="18" t="inlineStr">
        <is>
          <t>Andrew Kavadas</t>
        </is>
      </c>
      <c r="B6766" s="18" t="n">
        <v>1</v>
      </c>
      <c r="C6766" s="18" t="n">
        <v>2006</v>
      </c>
      <c r="D6766" s="18" t="n">
        <v>2006</v>
      </c>
      <c r="E6766" s="18" t="inlineStr">
        <is>
          <t>Underworld: Evolution</t>
        </is>
      </c>
      <c r="F6766" s="18" t="inlineStr">
        <is>
          <t>F0326</t>
        </is>
      </c>
    </row>
    <row r="6767" ht="15.75" customHeight="1" s="108">
      <c r="A6767" s="18" t="inlineStr">
        <is>
          <t>Kayla Levins</t>
        </is>
      </c>
      <c r="B6767" s="18" t="n">
        <v>1</v>
      </c>
      <c r="C6767" s="18" t="n">
        <v>2006</v>
      </c>
      <c r="D6767" s="18" t="n">
        <v>2006</v>
      </c>
      <c r="E6767" s="18" t="inlineStr">
        <is>
          <t>Underworld: Evolution</t>
        </is>
      </c>
      <c r="F6767" s="18" t="inlineStr">
        <is>
          <t>F0326</t>
        </is>
      </c>
    </row>
    <row r="6768" ht="15.75" customHeight="1" s="108">
      <c r="A6768" s="18" t="inlineStr">
        <is>
          <t>Attila Lovaghy</t>
        </is>
      </c>
      <c r="B6768" s="18" t="n">
        <v>1</v>
      </c>
      <c r="C6768" s="18" t="n">
        <v>2006</v>
      </c>
      <c r="D6768" s="18" t="n">
        <v>2006</v>
      </c>
      <c r="E6768" s="18" t="inlineStr">
        <is>
          <t>Underworld: Evolution</t>
        </is>
      </c>
      <c r="F6768" s="18" t="inlineStr">
        <is>
          <t>F0326</t>
        </is>
      </c>
    </row>
    <row r="6769" ht="15.75" customHeight="1" s="108">
      <c r="A6769" s="18" t="inlineStr">
        <is>
          <t>Monica Hamburg</t>
        </is>
      </c>
      <c r="B6769" s="18" t="n">
        <v>1</v>
      </c>
      <c r="C6769" s="18" t="n">
        <v>2006</v>
      </c>
      <c r="D6769" s="18" t="n">
        <v>2006</v>
      </c>
      <c r="E6769" s="18" t="inlineStr">
        <is>
          <t>Underworld: Evolution</t>
        </is>
      </c>
      <c r="F6769" s="18" t="inlineStr">
        <is>
          <t>F0326</t>
        </is>
      </c>
    </row>
    <row r="6770" ht="15.75" customHeight="1" s="108">
      <c r="A6770" s="18" t="inlineStr">
        <is>
          <t>Travis Webster</t>
        </is>
      </c>
      <c r="B6770" s="18" t="n">
        <v>1</v>
      </c>
      <c r="C6770" s="18" t="n">
        <v>2006</v>
      </c>
      <c r="D6770" s="18" t="n">
        <v>2006</v>
      </c>
      <c r="E6770" s="18" t="inlineStr">
        <is>
          <t>Underworld: Evolution</t>
        </is>
      </c>
      <c r="F6770" s="18" t="inlineStr">
        <is>
          <t>F0326</t>
        </is>
      </c>
    </row>
    <row r="6771" ht="15.75" customHeight="1" s="108">
      <c r="A6771" s="18" t="inlineStr">
        <is>
          <t>Kaja Gjesdal</t>
        </is>
      </c>
      <c r="B6771" s="18" t="n">
        <v>1</v>
      </c>
      <c r="C6771" s="18" t="n">
        <v>2006</v>
      </c>
      <c r="D6771" s="18" t="n">
        <v>2006</v>
      </c>
      <c r="E6771" s="18" t="inlineStr">
        <is>
          <t>Underworld: Evolution</t>
        </is>
      </c>
      <c r="F6771" s="18" t="inlineStr">
        <is>
          <t>F0326</t>
        </is>
      </c>
    </row>
    <row r="6772" ht="15.75" customHeight="1" s="108">
      <c r="A6772" s="18" t="inlineStr">
        <is>
          <t>Lily Mo Sheen</t>
        </is>
      </c>
      <c r="B6772" s="18" t="n">
        <v>3</v>
      </c>
      <c r="C6772" s="18" t="n">
        <v>2006</v>
      </c>
      <c r="D6772" s="18" t="n">
        <v>2022</v>
      </c>
      <c r="E6772" s="18" t="inlineStr">
        <is>
          <t xml:space="preserve">Underworld: Evolution, Unbearable weight of massive talent, Unbearable weight of massive talent </t>
        </is>
      </c>
      <c r="F6772" s="18" t="inlineStr">
        <is>
          <t>F0326, F0388</t>
        </is>
      </c>
    </row>
    <row r="6773" ht="15.75" customHeight="1" s="108">
      <c r="A6773" s="18" t="inlineStr">
        <is>
          <t>Adrian Hough</t>
        </is>
      </c>
      <c r="B6773" s="18" t="n">
        <v>2</v>
      </c>
      <c r="C6773" s="18" t="n">
        <v>2006</v>
      </c>
      <c r="D6773" s="18" t="n">
        <v>2006</v>
      </c>
      <c r="E6773" s="18" t="inlineStr">
        <is>
          <t>Underworld: Evolution, X-Men: The Last Stand</t>
        </is>
      </c>
      <c r="F6773" s="18" t="inlineStr">
        <is>
          <t>F0326, F0346</t>
        </is>
      </c>
    </row>
    <row r="6774" ht="15.75" customHeight="1" s="108">
      <c r="A6774" s="18" t="inlineStr">
        <is>
          <t>Krsy Fox</t>
        </is>
      </c>
      <c r="B6774" s="18" t="n">
        <v>1</v>
      </c>
      <c r="C6774" s="18" t="n">
        <v>2006</v>
      </c>
      <c r="D6774" s="18" t="n">
        <v>2006</v>
      </c>
      <c r="E6774" s="18" t="inlineStr">
        <is>
          <t>Underworld: Evolution</t>
        </is>
      </c>
      <c r="F6774" s="18" t="inlineStr">
        <is>
          <t>F0326</t>
        </is>
      </c>
    </row>
    <row r="6775" ht="15.75" customHeight="1" s="108">
      <c r="A6775" s="18" t="inlineStr">
        <is>
          <t>Julius Chapple</t>
        </is>
      </c>
      <c r="B6775" s="18" t="n">
        <v>1</v>
      </c>
      <c r="C6775" s="18" t="n">
        <v>2006</v>
      </c>
      <c r="D6775" s="18" t="n">
        <v>2006</v>
      </c>
      <c r="E6775" s="18" t="inlineStr">
        <is>
          <t>Underworld: Evolution</t>
        </is>
      </c>
      <c r="F6775" s="18" t="inlineStr">
        <is>
          <t>F0326</t>
        </is>
      </c>
    </row>
    <row r="6776" ht="15.75" customHeight="1" s="108">
      <c r="A6776" s="18" t="inlineStr">
        <is>
          <t>Leighton Cardno</t>
        </is>
      </c>
      <c r="B6776" s="18" t="n">
        <v>1</v>
      </c>
      <c r="C6776" s="18" t="n">
        <v>2009</v>
      </c>
      <c r="D6776" s="18" t="n">
        <v>2009</v>
      </c>
      <c r="E6776" s="18" t="inlineStr">
        <is>
          <t>Underworld: Rise of the Lycans</t>
        </is>
      </c>
      <c r="F6776" s="18" t="inlineStr">
        <is>
          <t>F0327</t>
        </is>
      </c>
    </row>
    <row r="6777" ht="15.75" customHeight="1" s="108">
      <c r="A6777" s="18" t="inlineStr">
        <is>
          <t>Elizabeth Hawthorne</t>
        </is>
      </c>
      <c r="B6777" s="18" t="n">
        <v>1</v>
      </c>
      <c r="C6777" s="18" t="n">
        <v>2009</v>
      </c>
      <c r="D6777" s="18" t="n">
        <v>2009</v>
      </c>
      <c r="E6777" s="18" t="inlineStr">
        <is>
          <t>Underworld: Rise of the Lycans</t>
        </is>
      </c>
      <c r="F6777" s="18" t="inlineStr">
        <is>
          <t>F0327</t>
        </is>
      </c>
    </row>
    <row r="6778" ht="15.75" customHeight="1" s="108">
      <c r="A6778" s="18" t="inlineStr">
        <is>
          <t>Jason Hood</t>
        </is>
      </c>
      <c r="B6778" s="18" t="n">
        <v>1</v>
      </c>
      <c r="C6778" s="18" t="n">
        <v>2009</v>
      </c>
      <c r="D6778" s="18" t="n">
        <v>2009</v>
      </c>
      <c r="E6778" s="18" t="inlineStr">
        <is>
          <t>Underworld: Rise of the Lycans</t>
        </is>
      </c>
      <c r="F6778" s="18" t="inlineStr">
        <is>
          <t>F0327</t>
        </is>
      </c>
    </row>
    <row r="6779" ht="15.75" customHeight="1" s="108">
      <c r="A6779" s="18" t="inlineStr">
        <is>
          <t>Mark Mitchinson</t>
        </is>
      </c>
      <c r="B6779" s="18" t="n">
        <v>1</v>
      </c>
      <c r="C6779" s="18" t="n">
        <v>2009</v>
      </c>
      <c r="D6779" s="18" t="n">
        <v>2009</v>
      </c>
      <c r="E6779" s="18" t="inlineStr">
        <is>
          <t>Underworld: Rise of the Lycans</t>
        </is>
      </c>
      <c r="F6779" s="18" t="inlineStr">
        <is>
          <t>F0327</t>
        </is>
      </c>
    </row>
    <row r="6780" ht="15.75" customHeight="1" s="108">
      <c r="A6780" s="18" t="inlineStr">
        <is>
          <t>Timothy Raby</t>
        </is>
      </c>
      <c r="B6780" s="18" t="n">
        <v>1</v>
      </c>
      <c r="C6780" s="18" t="n">
        <v>2009</v>
      </c>
      <c r="D6780" s="18" t="n">
        <v>2009</v>
      </c>
      <c r="E6780" s="18" t="inlineStr">
        <is>
          <t>Underworld: Rise of the Lycans</t>
        </is>
      </c>
      <c r="F6780" s="18" t="inlineStr">
        <is>
          <t>F0327</t>
        </is>
      </c>
    </row>
    <row r="6781" ht="15.75" customHeight="1" s="108">
      <c r="A6781" s="18" t="inlineStr">
        <is>
          <t>Tania Nolan</t>
        </is>
      </c>
      <c r="B6781" s="18" t="n">
        <v>1</v>
      </c>
      <c r="C6781" s="18" t="n">
        <v>2009</v>
      </c>
      <c r="D6781" s="18" t="n">
        <v>2009</v>
      </c>
      <c r="E6781" s="18" t="inlineStr">
        <is>
          <t>Underworld: Rise of the Lycans</t>
        </is>
      </c>
      <c r="F6781" s="18" t="inlineStr">
        <is>
          <t>F0327</t>
        </is>
      </c>
    </row>
    <row r="6782" ht="15.75" customHeight="1" s="108">
      <c r="A6782" s="18" t="inlineStr">
        <is>
          <t>Jared Turner</t>
        </is>
      </c>
      <c r="B6782" s="18" t="n">
        <v>1</v>
      </c>
      <c r="C6782" s="18" t="n">
        <v>2009</v>
      </c>
      <c r="D6782" s="18" t="n">
        <v>2009</v>
      </c>
      <c r="E6782" s="18" t="inlineStr">
        <is>
          <t>Underworld: Rise of the Lycans</t>
        </is>
      </c>
      <c r="F6782" s="18" t="inlineStr">
        <is>
          <t>F0327</t>
        </is>
      </c>
    </row>
    <row r="6783" ht="15.75" customHeight="1" s="108">
      <c r="A6783" s="18" t="inlineStr">
        <is>
          <t>Olivia Taylforth</t>
        </is>
      </c>
      <c r="B6783" s="18" t="n">
        <v>1</v>
      </c>
      <c r="C6783" s="18" t="n">
        <v>2009</v>
      </c>
      <c r="D6783" s="18" t="n">
        <v>2009</v>
      </c>
      <c r="E6783" s="18" t="inlineStr">
        <is>
          <t>Underworld: Rise of the Lycans</t>
        </is>
      </c>
      <c r="F6783" s="18" t="inlineStr">
        <is>
          <t>F0327</t>
        </is>
      </c>
    </row>
    <row r="6784" ht="15.75" customHeight="1" s="108">
      <c r="A6784" s="18" t="inlineStr">
        <is>
          <t>Larry Rew</t>
        </is>
      </c>
      <c r="B6784" s="18" t="n">
        <v>1</v>
      </c>
      <c r="C6784" s="18" t="n">
        <v>2009</v>
      </c>
      <c r="D6784" s="18" t="n">
        <v>2009</v>
      </c>
      <c r="E6784" s="18" t="inlineStr">
        <is>
          <t>Underworld: Rise of the Lycans</t>
        </is>
      </c>
      <c r="F6784" s="18" t="inlineStr">
        <is>
          <t>F0327</t>
        </is>
      </c>
    </row>
    <row r="6785" ht="15.75" customHeight="1" s="108">
      <c r="A6785" s="18" t="inlineStr">
        <is>
          <t>Eleanor Williams</t>
        </is>
      </c>
      <c r="B6785" s="18" t="n">
        <v>1</v>
      </c>
      <c r="C6785" s="18" t="n">
        <v>2009</v>
      </c>
      <c r="D6785" s="18" t="n">
        <v>2009</v>
      </c>
      <c r="E6785" s="18" t="inlineStr">
        <is>
          <t>Underworld: Rise of the Lycans</t>
        </is>
      </c>
      <c r="F6785" s="18" t="inlineStr">
        <is>
          <t>F0327</t>
        </is>
      </c>
    </row>
    <row r="6786" ht="15.75" customHeight="1" s="108">
      <c r="A6786" s="18" t="inlineStr">
        <is>
          <t>Alex Carroll</t>
        </is>
      </c>
      <c r="B6786" s="18" t="n">
        <v>1</v>
      </c>
      <c r="C6786" s="18" t="n">
        <v>2009</v>
      </c>
      <c r="D6786" s="18" t="n">
        <v>2009</v>
      </c>
      <c r="E6786" s="18" t="inlineStr">
        <is>
          <t>Underworld: Rise of the Lycans</t>
        </is>
      </c>
      <c r="F6786" s="18" t="inlineStr">
        <is>
          <t>F0327</t>
        </is>
      </c>
    </row>
    <row r="6787" ht="15.75" customHeight="1" s="108">
      <c r="A6787" s="18" t="inlineStr">
        <is>
          <t>Sandrine Holt</t>
        </is>
      </c>
      <c r="B6787" s="18" t="n">
        <v>2</v>
      </c>
      <c r="C6787" s="18" t="n">
        <v>2012</v>
      </c>
      <c r="D6787" s="18" t="n">
        <v>2012</v>
      </c>
      <c r="E6787" s="18" t="inlineStr">
        <is>
          <t>Underworld: Awakening, Underworld awakening</t>
        </is>
      </c>
      <c r="F6787" s="18" t="inlineStr">
        <is>
          <t>F0328, F0390</t>
        </is>
      </c>
    </row>
    <row r="6788" ht="15.75" customHeight="1" s="108">
      <c r="A6788" s="18" t="inlineStr">
        <is>
          <t>Sanny van Heteren</t>
        </is>
      </c>
      <c r="B6788" s="18" t="n">
        <v>3</v>
      </c>
      <c r="C6788" s="18" t="n">
        <v>2011</v>
      </c>
      <c r="D6788" s="18" t="n">
        <v>2012</v>
      </c>
      <c r="E6788" s="18" t="inlineStr">
        <is>
          <t>Underworld: Awakening, Unknown, Underworld awakening</t>
        </is>
      </c>
      <c r="F6788" s="18" t="inlineStr">
        <is>
          <t>F0328, F0329, F0390</t>
        </is>
      </c>
    </row>
    <row r="6789" ht="15.75" customHeight="1" s="108">
      <c r="A6789" s="18" t="inlineStr">
        <is>
          <t>Robert Lawrenson</t>
        </is>
      </c>
      <c r="B6789" s="18" t="n">
        <v>2</v>
      </c>
      <c r="C6789" s="18" t="n">
        <v>2012</v>
      </c>
      <c r="D6789" s="18" t="n">
        <v>2012</v>
      </c>
      <c r="E6789" s="18" t="inlineStr">
        <is>
          <t>Underworld: Awakening, Underworld awakening</t>
        </is>
      </c>
      <c r="F6789" s="18" t="inlineStr">
        <is>
          <t>F0328, F0390</t>
        </is>
      </c>
    </row>
    <row r="6790" ht="15.75" customHeight="1" s="108">
      <c r="A6790" s="18" t="inlineStr">
        <is>
          <t>Kurt Max Runte</t>
        </is>
      </c>
      <c r="B6790" s="18" t="n">
        <v>2</v>
      </c>
      <c r="C6790" s="18" t="n">
        <v>2012</v>
      </c>
      <c r="D6790" s="18" t="n">
        <v>2012</v>
      </c>
      <c r="E6790" s="18" t="inlineStr">
        <is>
          <t>Underworld: Awakening, Underworld awakening</t>
        </is>
      </c>
      <c r="F6790" s="18" t="inlineStr">
        <is>
          <t>F0328, F0390</t>
        </is>
      </c>
    </row>
    <row r="6791" ht="15.75" customHeight="1" s="108">
      <c r="A6791" s="18" t="inlineStr">
        <is>
          <t>Marvin Duerkholz</t>
        </is>
      </c>
      <c r="B6791" s="18" t="n">
        <v>2</v>
      </c>
      <c r="C6791" s="18" t="n">
        <v>2012</v>
      </c>
      <c r="D6791" s="18" t="n">
        <v>2012</v>
      </c>
      <c r="E6791" s="18" t="inlineStr">
        <is>
          <t>Underworld: Awakening, Underworld awakening</t>
        </is>
      </c>
      <c r="F6791" s="18" t="inlineStr">
        <is>
          <t>F0328, F0390</t>
        </is>
      </c>
    </row>
    <row r="6792" ht="15.75" customHeight="1" s="108">
      <c r="A6792" s="18" t="inlineStr">
        <is>
          <t>Ron Wear</t>
        </is>
      </c>
      <c r="B6792" s="18" t="n">
        <v>2</v>
      </c>
      <c r="C6792" s="18" t="n">
        <v>2012</v>
      </c>
      <c r="D6792" s="18" t="n">
        <v>2012</v>
      </c>
      <c r="E6792" s="18" t="inlineStr">
        <is>
          <t>Underworld: Awakening, Underworld awakening</t>
        </is>
      </c>
      <c r="F6792" s="18" t="inlineStr">
        <is>
          <t>F0328, F0390</t>
        </is>
      </c>
    </row>
    <row r="6793" ht="15.75" customHeight="1" s="108">
      <c r="A6793" s="18" t="inlineStr">
        <is>
          <t>Dan Payne</t>
        </is>
      </c>
      <c r="B6793" s="18" t="n">
        <v>2</v>
      </c>
      <c r="C6793" s="18" t="n">
        <v>2012</v>
      </c>
      <c r="D6793" s="18" t="n">
        <v>2012</v>
      </c>
      <c r="E6793" s="18" t="inlineStr">
        <is>
          <t>Underworld: Awakening, Underworld awakening</t>
        </is>
      </c>
      <c r="F6793" s="18" t="inlineStr">
        <is>
          <t>F0328, F0390</t>
        </is>
      </c>
    </row>
    <row r="6794" ht="15.75" customHeight="1" s="108">
      <c r="A6794" s="18" t="inlineStr">
        <is>
          <t>Mark Gibbon</t>
        </is>
      </c>
      <c r="B6794" s="18" t="n">
        <v>2</v>
      </c>
      <c r="C6794" s="18" t="n">
        <v>2012</v>
      </c>
      <c r="D6794" s="18" t="n">
        <v>2012</v>
      </c>
      <c r="E6794" s="18" t="inlineStr">
        <is>
          <t>Underworld: Awakening, Underworld awakening</t>
        </is>
      </c>
      <c r="F6794" s="18" t="inlineStr">
        <is>
          <t>F0328, F0390</t>
        </is>
      </c>
    </row>
    <row r="6795" ht="15.75" customHeight="1" s="108">
      <c r="A6795" s="18" t="inlineStr">
        <is>
          <t>Benita Ha</t>
        </is>
      </c>
      <c r="B6795" s="18" t="n">
        <v>2</v>
      </c>
      <c r="C6795" s="18" t="n">
        <v>2012</v>
      </c>
      <c r="D6795" s="18" t="n">
        <v>2012</v>
      </c>
      <c r="E6795" s="18" t="inlineStr">
        <is>
          <t>Underworld: Awakening, Underworld awakening</t>
        </is>
      </c>
      <c r="F6795" s="18" t="inlineStr">
        <is>
          <t>F0328, F0390</t>
        </is>
      </c>
    </row>
    <row r="6796" ht="15.75" customHeight="1" s="108">
      <c r="A6796" s="18" t="inlineStr">
        <is>
          <t>Tyler McClendon</t>
        </is>
      </c>
      <c r="B6796" s="18" t="n">
        <v>2</v>
      </c>
      <c r="C6796" s="18" t="n">
        <v>2012</v>
      </c>
      <c r="D6796" s="18" t="n">
        <v>2012</v>
      </c>
      <c r="E6796" s="18" t="inlineStr">
        <is>
          <t>Underworld: Awakening, Underworld awakening</t>
        </is>
      </c>
      <c r="F6796" s="18" t="inlineStr">
        <is>
          <t>F0328, F0390</t>
        </is>
      </c>
    </row>
    <row r="6797" ht="15.75" customHeight="1" s="108">
      <c r="A6797" s="18" t="inlineStr">
        <is>
          <t>Panou</t>
        </is>
      </c>
      <c r="B6797" s="18" t="n">
        <v>2</v>
      </c>
      <c r="C6797" s="18" t="n">
        <v>2012</v>
      </c>
      <c r="D6797" s="18" t="n">
        <v>2012</v>
      </c>
      <c r="E6797" s="18" t="inlineStr">
        <is>
          <t>Underworld: Awakening, Underworld awakening</t>
        </is>
      </c>
      <c r="F6797" s="18" t="inlineStr">
        <is>
          <t>F0328, F0390</t>
        </is>
      </c>
    </row>
    <row r="6798" ht="15.75" customHeight="1" s="108">
      <c r="A6798" s="18" t="inlineStr">
        <is>
          <t>Kristen Holden-Ried</t>
        </is>
      </c>
      <c r="B6798" s="18" t="n">
        <v>2</v>
      </c>
      <c r="C6798" s="18" t="n">
        <v>2012</v>
      </c>
      <c r="D6798" s="18" t="n">
        <v>2012</v>
      </c>
      <c r="E6798" s="18" t="inlineStr">
        <is>
          <t>Underworld: Awakening, Underworld awakening</t>
        </is>
      </c>
      <c r="F6798" s="18" t="inlineStr">
        <is>
          <t>F0328, F0390</t>
        </is>
      </c>
    </row>
    <row r="6799" ht="15.75" customHeight="1" s="108">
      <c r="A6799" s="18" t="inlineStr">
        <is>
          <t>John Innes</t>
        </is>
      </c>
      <c r="B6799" s="18" t="n">
        <v>2</v>
      </c>
      <c r="C6799" s="18" t="n">
        <v>2012</v>
      </c>
      <c r="D6799" s="18" t="n">
        <v>2012</v>
      </c>
      <c r="E6799" s="18" t="inlineStr">
        <is>
          <t>Underworld: Awakening, Underworld awakening</t>
        </is>
      </c>
      <c r="F6799" s="18" t="inlineStr">
        <is>
          <t>F0328, F0390</t>
        </is>
      </c>
    </row>
    <row r="6800" ht="15.75" customHeight="1" s="108">
      <c r="A6800" s="18" t="inlineStr">
        <is>
          <t>Lee Majdoub</t>
        </is>
      </c>
      <c r="B6800" s="18" t="n">
        <v>4</v>
      </c>
      <c r="C6800" s="18" t="n">
        <v>2012</v>
      </c>
      <c r="D6800" s="18" t="n">
        <v>2025</v>
      </c>
      <c r="E6800" s="18" t="inlineStr">
        <is>
          <t>Underworld: Awakening, sonic the hedgehog, sonic the hedgehog 3, Underworld awakening</t>
        </is>
      </c>
      <c r="F6800" s="18" t="inlineStr">
        <is>
          <t>F0328, F0378, F0379, F0390</t>
        </is>
      </c>
    </row>
    <row r="6801" ht="15.75" customHeight="1" s="108">
      <c r="A6801" s="18" t="inlineStr">
        <is>
          <t>Catlin Adams</t>
        </is>
      </c>
      <c r="B6801" s="18" t="n">
        <v>2</v>
      </c>
      <c r="C6801" s="18" t="n">
        <v>2012</v>
      </c>
      <c r="D6801" s="18" t="n">
        <v>2012</v>
      </c>
      <c r="E6801" s="18" t="inlineStr">
        <is>
          <t>Underworld: Awakening, Underworld awakening</t>
        </is>
      </c>
      <c r="F6801" s="18" t="inlineStr">
        <is>
          <t>F0328, F0390</t>
        </is>
      </c>
    </row>
    <row r="6802" ht="15.75" customHeight="1" s="108">
      <c r="A6802" s="18" t="inlineStr">
        <is>
          <t>Adam Greydon Reid</t>
        </is>
      </c>
      <c r="B6802" s="18" t="n">
        <v>2</v>
      </c>
      <c r="C6802" s="18" t="n">
        <v>2012</v>
      </c>
      <c r="D6802" s="18" t="n">
        <v>2012</v>
      </c>
      <c r="E6802" s="18" t="inlineStr">
        <is>
          <t>Underworld: Awakening, Underworld awakening</t>
        </is>
      </c>
      <c r="F6802" s="18" t="inlineStr">
        <is>
          <t>F0328, F0390</t>
        </is>
      </c>
    </row>
    <row r="6803" ht="15.75" customHeight="1" s="108">
      <c r="A6803" s="18" t="inlineStr">
        <is>
          <t>Joe Censoplano</t>
        </is>
      </c>
      <c r="B6803" s="18" t="n">
        <v>2</v>
      </c>
      <c r="C6803" s="18" t="n">
        <v>2012</v>
      </c>
      <c r="D6803" s="18" t="n">
        <v>2012</v>
      </c>
      <c r="E6803" s="18" t="inlineStr">
        <is>
          <t>Underworld: Awakening, Underworld awakening</t>
        </is>
      </c>
      <c r="F6803" s="18" t="inlineStr">
        <is>
          <t>F0328, F0390</t>
        </is>
      </c>
    </row>
    <row r="6804" ht="15.75" customHeight="1" s="108">
      <c r="A6804" s="18" t="inlineStr">
        <is>
          <t>Preston Cook</t>
        </is>
      </c>
      <c r="B6804" s="18" t="n">
        <v>2</v>
      </c>
      <c r="C6804" s="18" t="n">
        <v>2012</v>
      </c>
      <c r="D6804" s="18" t="n">
        <v>2012</v>
      </c>
      <c r="E6804" s="18" t="inlineStr">
        <is>
          <t>Underworld: Awakening, Underworld awakening</t>
        </is>
      </c>
      <c r="F6804" s="18" t="inlineStr">
        <is>
          <t>F0328, F0390</t>
        </is>
      </c>
    </row>
    <row r="6805" ht="15.75" customHeight="1" s="108">
      <c r="A6805" s="18" t="inlineStr">
        <is>
          <t>Sebastian Koch</t>
        </is>
      </c>
      <c r="B6805" s="18" t="n">
        <v>1</v>
      </c>
      <c r="C6805" s="18" t="n">
        <v>2011</v>
      </c>
      <c r="D6805" s="18" t="n">
        <v>2011</v>
      </c>
      <c r="E6805" s="18" t="inlineStr">
        <is>
          <t>Unknown</t>
        </is>
      </c>
      <c r="F6805" s="18" t="inlineStr">
        <is>
          <t>F0329</t>
        </is>
      </c>
    </row>
    <row r="6806" ht="15.75" customHeight="1" s="108">
      <c r="A6806" s="18" t="inlineStr">
        <is>
          <t>Olivier Schneider</t>
        </is>
      </c>
      <c r="B6806" s="18" t="n">
        <v>1</v>
      </c>
      <c r="C6806" s="18" t="n">
        <v>2011</v>
      </c>
      <c r="D6806" s="18" t="n">
        <v>2011</v>
      </c>
      <c r="E6806" s="18" t="inlineStr">
        <is>
          <t>Unknown</t>
        </is>
      </c>
      <c r="F6806" s="18" t="inlineStr">
        <is>
          <t>F0329</t>
        </is>
      </c>
    </row>
    <row r="6807" ht="15.75" customHeight="1" s="108">
      <c r="A6807" s="18" t="inlineStr">
        <is>
          <t>Stipe Erceg</t>
        </is>
      </c>
      <c r="B6807" s="18" t="n">
        <v>1</v>
      </c>
      <c r="C6807" s="18" t="n">
        <v>2011</v>
      </c>
      <c r="D6807" s="18" t="n">
        <v>2011</v>
      </c>
      <c r="E6807" s="18" t="inlineStr">
        <is>
          <t>Unknown</t>
        </is>
      </c>
      <c r="F6807" s="18" t="inlineStr">
        <is>
          <t>F0329</t>
        </is>
      </c>
    </row>
    <row r="6808" ht="15.75" customHeight="1" s="108">
      <c r="A6808" s="18" t="inlineStr">
        <is>
          <t>Rainer Bock</t>
        </is>
      </c>
      <c r="B6808" s="18" t="n">
        <v>1</v>
      </c>
      <c r="C6808" s="18" t="n">
        <v>2011</v>
      </c>
      <c r="D6808" s="18" t="n">
        <v>2011</v>
      </c>
      <c r="E6808" s="18" t="inlineStr">
        <is>
          <t>Unknown</t>
        </is>
      </c>
      <c r="F6808" s="18" t="inlineStr">
        <is>
          <t>F0329</t>
        </is>
      </c>
    </row>
    <row r="6809" ht="15.75" customHeight="1" s="108">
      <c r="A6809" s="18" t="inlineStr">
        <is>
          <t>Mido Hamada</t>
        </is>
      </c>
      <c r="B6809" s="18" t="n">
        <v>1</v>
      </c>
      <c r="C6809" s="18" t="n">
        <v>2011</v>
      </c>
      <c r="D6809" s="18" t="n">
        <v>2011</v>
      </c>
      <c r="E6809" s="18" t="inlineStr">
        <is>
          <t>Unknown</t>
        </is>
      </c>
      <c r="F6809" s="18" t="inlineStr">
        <is>
          <t>F0329</t>
        </is>
      </c>
    </row>
    <row r="6810" ht="15.75" customHeight="1" s="108">
      <c r="A6810" s="18" t="inlineStr">
        <is>
          <t>Clint Dyer</t>
        </is>
      </c>
      <c r="B6810" s="18" t="n">
        <v>1</v>
      </c>
      <c r="C6810" s="18" t="n">
        <v>2011</v>
      </c>
      <c r="D6810" s="18" t="n">
        <v>2011</v>
      </c>
      <c r="E6810" s="18" t="inlineStr">
        <is>
          <t>Unknown</t>
        </is>
      </c>
      <c r="F6810" s="18" t="inlineStr">
        <is>
          <t>F0329</t>
        </is>
      </c>
    </row>
    <row r="6811" ht="15.75" customHeight="1" s="108">
      <c r="A6811" s="18" t="inlineStr">
        <is>
          <t>Karl Markovics</t>
        </is>
      </c>
      <c r="B6811" s="18" t="n">
        <v>1</v>
      </c>
      <c r="C6811" s="18" t="n">
        <v>2011</v>
      </c>
      <c r="D6811" s="18" t="n">
        <v>2011</v>
      </c>
      <c r="E6811" s="18" t="inlineStr">
        <is>
          <t>Unknown</t>
        </is>
      </c>
      <c r="F6811" s="18" t="inlineStr">
        <is>
          <t>F0329</t>
        </is>
      </c>
    </row>
    <row r="6812" ht="15.75" customHeight="1" s="108">
      <c r="A6812" s="18" t="inlineStr">
        <is>
          <t>Eva Löbau</t>
        </is>
      </c>
      <c r="B6812" s="18" t="n">
        <v>1</v>
      </c>
      <c r="C6812" s="18" t="n">
        <v>2011</v>
      </c>
      <c r="D6812" s="18" t="n">
        <v>2011</v>
      </c>
      <c r="E6812" s="18" t="inlineStr">
        <is>
          <t>Unknown</t>
        </is>
      </c>
      <c r="F6812" s="18" t="inlineStr">
        <is>
          <t>F0329</t>
        </is>
      </c>
    </row>
    <row r="6813" ht="15.75" customHeight="1" s="108">
      <c r="A6813" s="18" t="inlineStr">
        <is>
          <t>Helen Wiebensohn</t>
        </is>
      </c>
      <c r="B6813" s="18" t="n">
        <v>1</v>
      </c>
      <c r="C6813" s="18" t="n">
        <v>2011</v>
      </c>
      <c r="D6813" s="18" t="n">
        <v>2011</v>
      </c>
      <c r="E6813" s="18" t="inlineStr">
        <is>
          <t>Unknown</t>
        </is>
      </c>
      <c r="F6813" s="18" t="inlineStr">
        <is>
          <t>F0329</t>
        </is>
      </c>
    </row>
    <row r="6814" ht="15.75" customHeight="1" s="108">
      <c r="A6814" s="18" t="inlineStr">
        <is>
          <t>Adnan Maral</t>
        </is>
      </c>
      <c r="B6814" s="18" t="n">
        <v>1</v>
      </c>
      <c r="C6814" s="18" t="n">
        <v>2011</v>
      </c>
      <c r="D6814" s="18" t="n">
        <v>2011</v>
      </c>
      <c r="E6814" s="18" t="inlineStr">
        <is>
          <t>Unknown</t>
        </is>
      </c>
      <c r="F6814" s="18" t="inlineStr">
        <is>
          <t>F0329</t>
        </is>
      </c>
    </row>
    <row r="6815" ht="15.75" customHeight="1" s="108">
      <c r="A6815" s="18" t="inlineStr">
        <is>
          <t>Merle Wiebensohn</t>
        </is>
      </c>
      <c r="B6815" s="18" t="n">
        <v>1</v>
      </c>
      <c r="C6815" s="18" t="n">
        <v>2011</v>
      </c>
      <c r="D6815" s="18" t="n">
        <v>2011</v>
      </c>
      <c r="E6815" s="18" t="inlineStr">
        <is>
          <t>Unknown</t>
        </is>
      </c>
      <c r="F6815" s="18" t="inlineStr">
        <is>
          <t>F0329</t>
        </is>
      </c>
    </row>
    <row r="6816" ht="15.75" customHeight="1" s="108">
      <c r="A6816" s="18" t="inlineStr">
        <is>
          <t>Torsten Michaelis</t>
        </is>
      </c>
      <c r="B6816" s="18" t="n">
        <v>1</v>
      </c>
      <c r="C6816" s="18" t="n">
        <v>2011</v>
      </c>
      <c r="D6816" s="18" t="n">
        <v>2011</v>
      </c>
      <c r="E6816" s="18" t="inlineStr">
        <is>
          <t>Unknown</t>
        </is>
      </c>
      <c r="F6816" s="18" t="inlineStr">
        <is>
          <t>F0329</t>
        </is>
      </c>
    </row>
    <row r="6817" ht="15.75" customHeight="1" s="108">
      <c r="A6817" s="18" t="inlineStr">
        <is>
          <t>Rainer Sellien</t>
        </is>
      </c>
      <c r="B6817" s="18" t="n">
        <v>1</v>
      </c>
      <c r="C6817" s="18" t="n">
        <v>2011</v>
      </c>
      <c r="D6817" s="18" t="n">
        <v>2011</v>
      </c>
      <c r="E6817" s="18" t="inlineStr">
        <is>
          <t>Unknown</t>
        </is>
      </c>
      <c r="F6817" s="18" t="inlineStr">
        <is>
          <t>F0329</t>
        </is>
      </c>
    </row>
    <row r="6818" ht="15.75" customHeight="1" s="108">
      <c r="A6818" s="18" t="inlineStr">
        <is>
          <t>Michael Baral</t>
        </is>
      </c>
      <c r="B6818" s="18" t="n">
        <v>1</v>
      </c>
      <c r="C6818" s="18" t="n">
        <v>2011</v>
      </c>
      <c r="D6818" s="18" t="n">
        <v>2011</v>
      </c>
      <c r="E6818" s="18" t="inlineStr">
        <is>
          <t>Unknown</t>
        </is>
      </c>
      <c r="F6818" s="18" t="inlineStr">
        <is>
          <t>F0329</t>
        </is>
      </c>
    </row>
    <row r="6819" ht="15.75" customHeight="1" s="108">
      <c r="A6819" s="18" t="inlineStr">
        <is>
          <t>Marlon Putzke</t>
        </is>
      </c>
      <c r="B6819" s="18" t="n">
        <v>1</v>
      </c>
      <c r="C6819" s="18" t="n">
        <v>2011</v>
      </c>
      <c r="D6819" s="18" t="n">
        <v>2011</v>
      </c>
      <c r="E6819" s="18" t="inlineStr">
        <is>
          <t>Unknown</t>
        </is>
      </c>
      <c r="F6819" s="18" t="inlineStr">
        <is>
          <t>F0329</t>
        </is>
      </c>
    </row>
    <row r="6820" ht="15.75" customHeight="1" s="108">
      <c r="A6820" s="18" t="inlineStr">
        <is>
          <t>Herbert Olschok</t>
        </is>
      </c>
      <c r="B6820" s="18" t="n">
        <v>1</v>
      </c>
      <c r="C6820" s="18" t="n">
        <v>2011</v>
      </c>
      <c r="D6820" s="18" t="n">
        <v>2011</v>
      </c>
      <c r="E6820" s="18" t="inlineStr">
        <is>
          <t>Unknown</t>
        </is>
      </c>
      <c r="F6820" s="18" t="inlineStr">
        <is>
          <t>F0329</t>
        </is>
      </c>
    </row>
    <row r="6821" ht="15.75" customHeight="1" s="108">
      <c r="A6821" s="18" t="inlineStr">
        <is>
          <t>Karla Trippel</t>
        </is>
      </c>
      <c r="B6821" s="18" t="n">
        <v>1</v>
      </c>
      <c r="C6821" s="18" t="n">
        <v>2011</v>
      </c>
      <c r="D6821" s="18" t="n">
        <v>2011</v>
      </c>
      <c r="E6821" s="18" t="inlineStr">
        <is>
          <t>Unknown</t>
        </is>
      </c>
      <c r="F6821" s="18" t="inlineStr">
        <is>
          <t>F0329</t>
        </is>
      </c>
    </row>
    <row r="6822" ht="15.75" customHeight="1" s="108">
      <c r="A6822" s="18" t="inlineStr">
        <is>
          <t>Petra Schmidt-Schaller</t>
        </is>
      </c>
      <c r="B6822" s="18" t="n">
        <v>1</v>
      </c>
      <c r="C6822" s="18" t="n">
        <v>2011</v>
      </c>
      <c r="D6822" s="18" t="n">
        <v>2011</v>
      </c>
      <c r="E6822" s="18" t="inlineStr">
        <is>
          <t>Unknown</t>
        </is>
      </c>
      <c r="F6822" s="18" t="inlineStr">
        <is>
          <t>F0329</t>
        </is>
      </c>
    </row>
    <row r="6823" ht="15.75" customHeight="1" s="108">
      <c r="A6823" s="18" t="inlineStr">
        <is>
          <t>Annabelle Mandeng</t>
        </is>
      </c>
      <c r="B6823" s="18" t="n">
        <v>1</v>
      </c>
      <c r="C6823" s="18" t="n">
        <v>2011</v>
      </c>
      <c r="D6823" s="18" t="n">
        <v>2011</v>
      </c>
      <c r="E6823" s="18" t="inlineStr">
        <is>
          <t>Unknown</t>
        </is>
      </c>
      <c r="F6823" s="18" t="inlineStr">
        <is>
          <t>F0329</t>
        </is>
      </c>
    </row>
    <row r="6824" ht="15.75" customHeight="1" s="108">
      <c r="A6824" s="18" t="inlineStr">
        <is>
          <t>Janina Flieger</t>
        </is>
      </c>
      <c r="B6824" s="18" t="n">
        <v>1</v>
      </c>
      <c r="C6824" s="18" t="n">
        <v>2011</v>
      </c>
      <c r="D6824" s="18" t="n">
        <v>2011</v>
      </c>
      <c r="E6824" s="18" t="inlineStr">
        <is>
          <t>Unknown</t>
        </is>
      </c>
      <c r="F6824" s="18" t="inlineStr">
        <is>
          <t>F0329</t>
        </is>
      </c>
    </row>
    <row r="6825" ht="15.75" customHeight="1" s="108">
      <c r="A6825" s="18" t="inlineStr">
        <is>
          <t>Fritz Roth</t>
        </is>
      </c>
      <c r="B6825" s="18" t="n">
        <v>1</v>
      </c>
      <c r="C6825" s="18" t="n">
        <v>2011</v>
      </c>
      <c r="D6825" s="18" t="n">
        <v>2011</v>
      </c>
      <c r="E6825" s="18" t="inlineStr">
        <is>
          <t>Unknown</t>
        </is>
      </c>
      <c r="F6825" s="18" t="inlineStr">
        <is>
          <t>F0329</t>
        </is>
      </c>
    </row>
    <row r="6826" ht="15.75" customHeight="1" s="108">
      <c r="A6826" s="18" t="inlineStr">
        <is>
          <t>Heike Hanold-Lynch</t>
        </is>
      </c>
      <c r="B6826" s="18" t="n">
        <v>1</v>
      </c>
      <c r="C6826" s="18" t="n">
        <v>2011</v>
      </c>
      <c r="D6826" s="18" t="n">
        <v>2011</v>
      </c>
      <c r="E6826" s="18" t="inlineStr">
        <is>
          <t>Unknown</t>
        </is>
      </c>
      <c r="F6826" s="18" t="inlineStr">
        <is>
          <t>F0329</t>
        </is>
      </c>
    </row>
    <row r="6827" ht="15.75" customHeight="1" s="108">
      <c r="A6827" s="18" t="inlineStr">
        <is>
          <t>David Kaye</t>
        </is>
      </c>
      <c r="B6827" s="18" t="n">
        <v>1</v>
      </c>
      <c r="C6827" s="18" t="n">
        <v>2009</v>
      </c>
      <c r="D6827" s="18" t="n">
        <v>2009</v>
      </c>
      <c r="E6827" s="18" t="inlineStr">
        <is>
          <t>Up</t>
        </is>
      </c>
      <c r="F6827" s="18" t="inlineStr">
        <is>
          <t>F0330</t>
        </is>
      </c>
    </row>
    <row r="6828" ht="15.75" customHeight="1" s="108">
      <c r="A6828" s="18" t="inlineStr">
        <is>
          <t>Elie Docter</t>
        </is>
      </c>
      <c r="B6828" s="18" t="n">
        <v>1</v>
      </c>
      <c r="C6828" s="18" t="n">
        <v>2009</v>
      </c>
      <c r="D6828" s="18" t="n">
        <v>2009</v>
      </c>
      <c r="E6828" s="18" t="inlineStr">
        <is>
          <t>Up</t>
        </is>
      </c>
      <c r="F6828" s="18" t="inlineStr">
        <is>
          <t>F0330</t>
        </is>
      </c>
    </row>
    <row r="6829" ht="15.75" customHeight="1" s="108">
      <c r="A6829" s="18" t="inlineStr">
        <is>
          <t>Jeremy Leary</t>
        </is>
      </c>
      <c r="B6829" s="18" t="n">
        <v>1</v>
      </c>
      <c r="C6829" s="18" t="n">
        <v>2009</v>
      </c>
      <c r="D6829" s="18" t="n">
        <v>2009</v>
      </c>
      <c r="E6829" s="18" t="inlineStr">
        <is>
          <t>Up</t>
        </is>
      </c>
      <c r="F6829" s="18" t="inlineStr">
        <is>
          <t>F0330</t>
        </is>
      </c>
    </row>
    <row r="6830" ht="15.75" customHeight="1" s="108">
      <c r="A6830" s="18" t="inlineStr">
        <is>
          <t>Mark Andrews</t>
        </is>
      </c>
      <c r="B6830" s="18" t="n">
        <v>1</v>
      </c>
      <c r="C6830" s="18" t="n">
        <v>2009</v>
      </c>
      <c r="D6830" s="18" t="n">
        <v>2009</v>
      </c>
      <c r="E6830" s="18" t="inlineStr">
        <is>
          <t>Up</t>
        </is>
      </c>
      <c r="F6830" s="18" t="inlineStr">
        <is>
          <t>F0330</t>
        </is>
      </c>
    </row>
    <row r="6831" ht="15.75" customHeight="1" s="108">
      <c r="A6831" s="18" t="inlineStr">
        <is>
          <t>Brenda Chapman</t>
        </is>
      </c>
      <c r="B6831" s="18" t="n">
        <v>1</v>
      </c>
      <c r="C6831" s="18" t="n">
        <v>2009</v>
      </c>
      <c r="D6831" s="18" t="n">
        <v>2009</v>
      </c>
      <c r="E6831" s="18" t="inlineStr">
        <is>
          <t>Up</t>
        </is>
      </c>
      <c r="F6831" s="18" t="inlineStr">
        <is>
          <t>F0330</t>
        </is>
      </c>
    </row>
    <row r="6832" ht="15.75" customHeight="1" s="108">
      <c r="A6832" s="18" t="inlineStr">
        <is>
          <t>Emma Coats</t>
        </is>
      </c>
      <c r="B6832" s="18" t="n">
        <v>1</v>
      </c>
      <c r="C6832" s="18" t="n">
        <v>2009</v>
      </c>
      <c r="D6832" s="18" t="n">
        <v>2009</v>
      </c>
      <c r="E6832" s="18" t="inlineStr">
        <is>
          <t>Up</t>
        </is>
      </c>
      <c r="F6832" s="18" t="inlineStr">
        <is>
          <t>F0330</t>
        </is>
      </c>
    </row>
    <row r="6833" ht="15.75" customHeight="1" s="108">
      <c r="A6833" s="18" t="inlineStr">
        <is>
          <t>Valerie LaPointe</t>
        </is>
      </c>
      <c r="B6833" s="18" t="n">
        <v>1</v>
      </c>
      <c r="C6833" s="18" t="n">
        <v>2009</v>
      </c>
      <c r="D6833" s="18" t="n">
        <v>2009</v>
      </c>
      <c r="E6833" s="18" t="inlineStr">
        <is>
          <t>Up</t>
        </is>
      </c>
      <c r="F6833" s="18" t="inlineStr">
        <is>
          <t>F0330</t>
        </is>
      </c>
    </row>
    <row r="6834" ht="15.75" customHeight="1" s="108">
      <c r="A6834" s="18" t="inlineStr">
        <is>
          <t>Ben Burtt</t>
        </is>
      </c>
      <c r="B6834" s="18" t="n">
        <v>1</v>
      </c>
      <c r="C6834" s="18" t="n">
        <v>2008</v>
      </c>
      <c r="D6834" s="18" t="n">
        <v>2008</v>
      </c>
      <c r="E6834" s="18" t="inlineStr">
        <is>
          <t>WALL·E</t>
        </is>
      </c>
      <c r="F6834" s="18" t="inlineStr">
        <is>
          <t>F0331</t>
        </is>
      </c>
    </row>
    <row r="6835" ht="15.75" customHeight="1" s="108">
      <c r="A6835" s="18" t="inlineStr">
        <is>
          <t>Lori Richardson</t>
        </is>
      </c>
      <c r="B6835" s="18" t="n">
        <v>1</v>
      </c>
      <c r="C6835" s="18" t="n">
        <v>2008</v>
      </c>
      <c r="D6835" s="18" t="n">
        <v>2008</v>
      </c>
      <c r="E6835" s="18" t="inlineStr">
        <is>
          <t>WALL·E</t>
        </is>
      </c>
      <c r="F6835" s="18" t="inlineStr">
        <is>
          <t>F0331</t>
        </is>
      </c>
    </row>
    <row r="6836" ht="15.75" customHeight="1" s="108">
      <c r="A6836" s="18" t="inlineStr">
        <is>
          <t>Colette Whitaker</t>
        </is>
      </c>
      <c r="B6836" s="18" t="n">
        <v>1</v>
      </c>
      <c r="C6836" s="18" t="n">
        <v>2008</v>
      </c>
      <c r="D6836" s="18" t="n">
        <v>2008</v>
      </c>
      <c r="E6836" s="18" t="inlineStr">
        <is>
          <t>WALL·E</t>
        </is>
      </c>
      <c r="F6836" s="18" t="inlineStr">
        <is>
          <t>F0331</t>
        </is>
      </c>
    </row>
    <row r="6837" ht="15.75" customHeight="1" s="108">
      <c r="A6837" s="18" t="inlineStr">
        <is>
          <t>Kim Kopf</t>
        </is>
      </c>
      <c r="B6837" s="18" t="n">
        <v>1</v>
      </c>
      <c r="C6837" s="18" t="n">
        <v>2008</v>
      </c>
      <c r="D6837" s="18" t="n">
        <v>2008</v>
      </c>
      <c r="E6837" s="18" t="inlineStr">
        <is>
          <t>WALL·E</t>
        </is>
      </c>
      <c r="F6837" s="18" t="inlineStr">
        <is>
          <t>F0331</t>
        </is>
      </c>
    </row>
    <row r="6838" ht="15.75" customHeight="1" s="108">
      <c r="A6838" s="18" t="inlineStr">
        <is>
          <t>Niki McElroy</t>
        </is>
      </c>
      <c r="B6838" s="18" t="n">
        <v>1</v>
      </c>
      <c r="C6838" s="18" t="n">
        <v>2008</v>
      </c>
      <c r="D6838" s="18" t="n">
        <v>2008</v>
      </c>
      <c r="E6838" s="18" t="inlineStr">
        <is>
          <t>WALL·E</t>
        </is>
      </c>
      <c r="F6838" s="18" t="inlineStr">
        <is>
          <t>F0331</t>
        </is>
      </c>
    </row>
    <row r="6839" ht="15.75" customHeight="1" s="108">
      <c r="A6839" s="18" t="inlineStr">
        <is>
          <t>Garrett Palmer</t>
        </is>
      </c>
      <c r="B6839" s="18" t="n">
        <v>1</v>
      </c>
      <c r="C6839" s="18" t="n">
        <v>2008</v>
      </c>
      <c r="D6839" s="18" t="n">
        <v>2008</v>
      </c>
      <c r="E6839" s="18" t="inlineStr">
        <is>
          <t>WALL·E</t>
        </is>
      </c>
      <c r="F6839" s="18" t="inlineStr">
        <is>
          <t>F0331</t>
        </is>
      </c>
    </row>
    <row r="6840" ht="15.75" customHeight="1" s="108">
      <c r="A6840" s="18" t="inlineStr">
        <is>
          <t>Rick Gonzalez</t>
        </is>
      </c>
      <c r="B6840" s="18" t="n">
        <v>1</v>
      </c>
      <c r="C6840" s="18" t="n">
        <v>2005</v>
      </c>
      <c r="D6840" s="18" t="n">
        <v>2005</v>
      </c>
      <c r="E6840" s="18" t="inlineStr">
        <is>
          <t>War of the Worlds</t>
        </is>
      </c>
      <c r="F6840" s="18" t="inlineStr">
        <is>
          <t>F0332</t>
        </is>
      </c>
    </row>
    <row r="6841" ht="15.75" customHeight="1" s="108">
      <c r="A6841" s="18" t="inlineStr">
        <is>
          <t>Lenny Venito</t>
        </is>
      </c>
      <c r="B6841" s="18" t="n">
        <v>1</v>
      </c>
      <c r="C6841" s="18" t="n">
        <v>2005</v>
      </c>
      <c r="D6841" s="18" t="n">
        <v>2005</v>
      </c>
      <c r="E6841" s="18" t="inlineStr">
        <is>
          <t>War of the Worlds</t>
        </is>
      </c>
      <c r="F6841" s="18" t="inlineStr">
        <is>
          <t>F0332</t>
        </is>
      </c>
    </row>
    <row r="6842" ht="15.75" customHeight="1" s="108">
      <c r="A6842" s="18" t="inlineStr">
        <is>
          <t>Lisa Ann Walter</t>
        </is>
      </c>
      <c r="B6842" s="18" t="n">
        <v>1</v>
      </c>
      <c r="C6842" s="18" t="n">
        <v>2005</v>
      </c>
      <c r="D6842" s="18" t="n">
        <v>2005</v>
      </c>
      <c r="E6842" s="18" t="inlineStr">
        <is>
          <t>War of the Worlds</t>
        </is>
      </c>
      <c r="F6842" s="18" t="inlineStr">
        <is>
          <t>F0332</t>
        </is>
      </c>
    </row>
    <row r="6843" ht="15.75" customHeight="1" s="108">
      <c r="A6843" s="18" t="inlineStr">
        <is>
          <t>Ann Robinson</t>
        </is>
      </c>
      <c r="B6843" s="18" t="n">
        <v>1</v>
      </c>
      <c r="C6843" s="18" t="n">
        <v>2005</v>
      </c>
      <c r="D6843" s="18" t="n">
        <v>2005</v>
      </c>
      <c r="E6843" s="18" t="inlineStr">
        <is>
          <t>War of the Worlds</t>
        </is>
      </c>
      <c r="F6843" s="18" t="inlineStr">
        <is>
          <t>F0332</t>
        </is>
      </c>
    </row>
    <row r="6844" ht="15.75" customHeight="1" s="108">
      <c r="A6844" s="18" t="inlineStr">
        <is>
          <t>Gene Barry</t>
        </is>
      </c>
      <c r="B6844" s="18" t="n">
        <v>1</v>
      </c>
      <c r="C6844" s="18" t="n">
        <v>2005</v>
      </c>
      <c r="D6844" s="18" t="n">
        <v>2005</v>
      </c>
      <c r="E6844" s="18" t="inlineStr">
        <is>
          <t>War of the Worlds</t>
        </is>
      </c>
      <c r="F6844" s="18" t="inlineStr">
        <is>
          <t>F0332</t>
        </is>
      </c>
    </row>
    <row r="6845" ht="15.75" customHeight="1" s="108">
      <c r="A6845" s="18" t="inlineStr">
        <is>
          <t>David Alan Basche</t>
        </is>
      </c>
      <c r="B6845" s="18" t="n">
        <v>1</v>
      </c>
      <c r="C6845" s="18" t="n">
        <v>2005</v>
      </c>
      <c r="D6845" s="18" t="n">
        <v>2005</v>
      </c>
      <c r="E6845" s="18" t="inlineStr">
        <is>
          <t>War of the Worlds</t>
        </is>
      </c>
      <c r="F6845" s="18" t="inlineStr">
        <is>
          <t>F0332</t>
        </is>
      </c>
    </row>
    <row r="6846" ht="15.75" customHeight="1" s="108">
      <c r="A6846" s="18" t="inlineStr">
        <is>
          <t>Roz Abrams</t>
        </is>
      </c>
      <c r="B6846" s="18" t="n">
        <v>1</v>
      </c>
      <c r="C6846" s="18" t="n">
        <v>2005</v>
      </c>
      <c r="D6846" s="18" t="n">
        <v>2005</v>
      </c>
      <c r="E6846" s="18" t="inlineStr">
        <is>
          <t>War of the Worlds</t>
        </is>
      </c>
      <c r="F6846" s="18" t="inlineStr">
        <is>
          <t>F0332</t>
        </is>
      </c>
    </row>
    <row r="6847" ht="15.75" customHeight="1" s="108">
      <c r="A6847" s="18" t="inlineStr">
        <is>
          <t>Michael Brownlee</t>
        </is>
      </c>
      <c r="B6847" s="18" t="n">
        <v>1</v>
      </c>
      <c r="C6847" s="18" t="n">
        <v>2005</v>
      </c>
      <c r="D6847" s="18" t="n">
        <v>2005</v>
      </c>
      <c r="E6847" s="18" t="inlineStr">
        <is>
          <t>War of the Worlds</t>
        </is>
      </c>
      <c r="F6847" s="18" t="inlineStr">
        <is>
          <t>F0332</t>
        </is>
      </c>
    </row>
    <row r="6848" ht="15.75" customHeight="1" s="108">
      <c r="A6848" s="18" t="inlineStr">
        <is>
          <t>Camillia Monet</t>
        </is>
      </c>
      <c r="B6848" s="18" t="n">
        <v>1</v>
      </c>
      <c r="C6848" s="18" t="n">
        <v>2005</v>
      </c>
      <c r="D6848" s="18" t="n">
        <v>2005</v>
      </c>
      <c r="E6848" s="18" t="inlineStr">
        <is>
          <t>War of the Worlds</t>
        </is>
      </c>
      <c r="F6848" s="18" t="inlineStr">
        <is>
          <t>F0332</t>
        </is>
      </c>
    </row>
    <row r="6849" ht="15.75" customHeight="1" s="108">
      <c r="A6849" s="18" t="inlineStr">
        <is>
          <t>Marlon Young</t>
        </is>
      </c>
      <c r="B6849" s="18" t="n">
        <v>1</v>
      </c>
      <c r="C6849" s="18" t="n">
        <v>2005</v>
      </c>
      <c r="D6849" s="18" t="n">
        <v>2005</v>
      </c>
      <c r="E6849" s="18" t="inlineStr">
        <is>
          <t>War of the Worlds</t>
        </is>
      </c>
      <c r="F6849" s="18" t="inlineStr">
        <is>
          <t>F0332</t>
        </is>
      </c>
    </row>
    <row r="6850" ht="15.75" customHeight="1" s="108">
      <c r="A6850" s="18" t="inlineStr">
        <is>
          <t>John Eddins</t>
        </is>
      </c>
      <c r="B6850" s="18" t="n">
        <v>1</v>
      </c>
      <c r="C6850" s="18" t="n">
        <v>2005</v>
      </c>
      <c r="D6850" s="18" t="n">
        <v>2005</v>
      </c>
      <c r="E6850" s="18" t="inlineStr">
        <is>
          <t>War of the Worlds</t>
        </is>
      </c>
      <c r="F6850" s="18" t="inlineStr">
        <is>
          <t>F0332</t>
        </is>
      </c>
    </row>
    <row r="6851" ht="15.75" customHeight="1" s="108">
      <c r="A6851" s="18" t="inlineStr">
        <is>
          <t>Peter Gerety</t>
        </is>
      </c>
      <c r="B6851" s="18" t="n">
        <v>1</v>
      </c>
      <c r="C6851" s="18" t="n">
        <v>2005</v>
      </c>
      <c r="D6851" s="18" t="n">
        <v>2005</v>
      </c>
      <c r="E6851" s="18" t="inlineStr">
        <is>
          <t>War of the Worlds</t>
        </is>
      </c>
      <c r="F6851" s="18" t="inlineStr">
        <is>
          <t>F0332</t>
        </is>
      </c>
    </row>
    <row r="6852" ht="15.75" customHeight="1" s="108">
      <c r="A6852" s="18" t="inlineStr">
        <is>
          <t>Miguel Antonio Ferrer</t>
        </is>
      </c>
      <c r="B6852" s="18" t="n">
        <v>1</v>
      </c>
      <c r="C6852" s="18" t="n">
        <v>2005</v>
      </c>
      <c r="D6852" s="18" t="n">
        <v>2005</v>
      </c>
      <c r="E6852" s="18" t="inlineStr">
        <is>
          <t>War of the Worlds</t>
        </is>
      </c>
      <c r="F6852" s="18" t="inlineStr">
        <is>
          <t>F0332</t>
        </is>
      </c>
    </row>
    <row r="6853" ht="15.75" customHeight="1" s="108">
      <c r="A6853" s="18" t="inlineStr">
        <is>
          <t>January LaVoy</t>
        </is>
      </c>
      <c r="B6853" s="18" t="n">
        <v>1</v>
      </c>
      <c r="C6853" s="18" t="n">
        <v>2005</v>
      </c>
      <c r="D6853" s="18" t="n">
        <v>2005</v>
      </c>
      <c r="E6853" s="18" t="inlineStr">
        <is>
          <t>War of the Worlds</t>
        </is>
      </c>
      <c r="F6853" s="18" t="inlineStr">
        <is>
          <t>F0332</t>
        </is>
      </c>
    </row>
    <row r="6854" ht="15.75" customHeight="1" s="108">
      <c r="A6854" s="18" t="inlineStr">
        <is>
          <t>Stephen Gevedon</t>
        </is>
      </c>
      <c r="B6854" s="18" t="n">
        <v>1</v>
      </c>
      <c r="C6854" s="18" t="n">
        <v>2005</v>
      </c>
      <c r="D6854" s="18" t="n">
        <v>2005</v>
      </c>
      <c r="E6854" s="18" t="inlineStr">
        <is>
          <t>War of the Worlds</t>
        </is>
      </c>
      <c r="F6854" s="18" t="inlineStr">
        <is>
          <t>F0332</t>
        </is>
      </c>
    </row>
    <row r="6855" ht="15.75" customHeight="1" s="108">
      <c r="A6855" s="18" t="inlineStr">
        <is>
          <t>Marianne Ebert</t>
        </is>
      </c>
      <c r="B6855" s="18" t="n">
        <v>1</v>
      </c>
      <c r="C6855" s="18" t="n">
        <v>2005</v>
      </c>
      <c r="D6855" s="18" t="n">
        <v>2005</v>
      </c>
      <c r="E6855" s="18" t="inlineStr">
        <is>
          <t>War of the Worlds</t>
        </is>
      </c>
      <c r="F6855" s="18" t="inlineStr">
        <is>
          <t>F0332</t>
        </is>
      </c>
    </row>
    <row r="6856" ht="15.75" customHeight="1" s="108">
      <c r="A6856" s="18" t="inlineStr">
        <is>
          <t>Rafael Sardina</t>
        </is>
      </c>
      <c r="B6856" s="18" t="n">
        <v>1</v>
      </c>
      <c r="C6856" s="18" t="n">
        <v>2005</v>
      </c>
      <c r="D6856" s="18" t="n">
        <v>2005</v>
      </c>
      <c r="E6856" s="18" t="inlineStr">
        <is>
          <t>War of the Worlds</t>
        </is>
      </c>
      <c r="F6856" s="18" t="inlineStr">
        <is>
          <t>F0332</t>
        </is>
      </c>
    </row>
    <row r="6857" ht="15.75" customHeight="1" s="108">
      <c r="A6857" s="18" t="inlineStr">
        <is>
          <t>Ed Vassallo</t>
        </is>
      </c>
      <c r="B6857" s="18" t="n">
        <v>1</v>
      </c>
      <c r="C6857" s="18" t="n">
        <v>2005</v>
      </c>
      <c r="D6857" s="18" t="n">
        <v>2005</v>
      </c>
      <c r="E6857" s="18" t="inlineStr">
        <is>
          <t>War of the Worlds</t>
        </is>
      </c>
      <c r="F6857" s="18" t="inlineStr">
        <is>
          <t>F0332</t>
        </is>
      </c>
    </row>
    <row r="6858" ht="15.75" customHeight="1" s="108">
      <c r="A6858" s="18" t="inlineStr">
        <is>
          <t>Michael Arthur</t>
        </is>
      </c>
      <c r="B6858" s="18" t="n">
        <v>1</v>
      </c>
      <c r="C6858" s="18" t="n">
        <v>2005</v>
      </c>
      <c r="D6858" s="18" t="n">
        <v>2005</v>
      </c>
      <c r="E6858" s="18" t="inlineStr">
        <is>
          <t>War of the Worlds</t>
        </is>
      </c>
      <c r="F6858" s="18" t="inlineStr">
        <is>
          <t>F0332</t>
        </is>
      </c>
    </row>
    <row r="6859" ht="15.75" customHeight="1" s="108">
      <c r="A6859" s="18" t="inlineStr">
        <is>
          <t>Danny Hoch</t>
        </is>
      </c>
      <c r="B6859" s="18" t="n">
        <v>2</v>
      </c>
      <c r="C6859" s="18" t="n">
        <v>2001</v>
      </c>
      <c r="D6859" s="18" t="n">
        <v>2005</v>
      </c>
      <c r="E6859" s="18" t="inlineStr">
        <is>
          <t>War of the Worlds, Black Hawk Down</t>
        </is>
      </c>
      <c r="F6859" s="18" t="inlineStr">
        <is>
          <t>F0332, F0050</t>
        </is>
      </c>
    </row>
    <row r="6860" ht="15.75" customHeight="1" s="108">
      <c r="A6860" s="18" t="inlineStr">
        <is>
          <t>Sharrieff Pugh</t>
        </is>
      </c>
      <c r="B6860" s="18" t="n">
        <v>1</v>
      </c>
      <c r="C6860" s="18" t="n">
        <v>2005</v>
      </c>
      <c r="D6860" s="18" t="n">
        <v>2005</v>
      </c>
      <c r="E6860" s="18" t="inlineStr">
        <is>
          <t>War of the Worlds</t>
        </is>
      </c>
      <c r="F6860" s="18" t="inlineStr">
        <is>
          <t>F0332</t>
        </is>
      </c>
    </row>
    <row r="6861" ht="15.75" customHeight="1" s="108">
      <c r="A6861" s="18" t="inlineStr">
        <is>
          <t>Sam Sheridan</t>
        </is>
      </c>
      <c r="B6861" s="18" t="n">
        <v>1</v>
      </c>
      <c r="C6861" s="18" t="n">
        <v>2011</v>
      </c>
      <c r="D6861" s="18" t="n">
        <v>2011</v>
      </c>
      <c r="E6861" s="18" t="inlineStr">
        <is>
          <t>Warrior</t>
        </is>
      </c>
      <c r="F6861" s="18" t="inlineStr">
        <is>
          <t>F0333</t>
        </is>
      </c>
    </row>
    <row r="6862" ht="15.75" customHeight="1" s="108">
      <c r="A6862" s="18" t="inlineStr">
        <is>
          <t>Vanessa Martinez</t>
        </is>
      </c>
      <c r="B6862" s="18" t="n">
        <v>1</v>
      </c>
      <c r="C6862" s="18" t="n">
        <v>2011</v>
      </c>
      <c r="D6862" s="18" t="n">
        <v>2011</v>
      </c>
      <c r="E6862" s="18" t="inlineStr">
        <is>
          <t>Warrior</t>
        </is>
      </c>
      <c r="F6862" s="18" t="inlineStr">
        <is>
          <t>F0333</t>
        </is>
      </c>
    </row>
    <row r="6863" ht="15.75" customHeight="1" s="108">
      <c r="A6863" s="18" t="inlineStr">
        <is>
          <t>Denzel Whitaker</t>
        </is>
      </c>
      <c r="B6863" s="18" t="n">
        <v>1</v>
      </c>
      <c r="C6863" s="18" t="n">
        <v>2011</v>
      </c>
      <c r="D6863" s="18" t="n">
        <v>2011</v>
      </c>
      <c r="E6863" s="18" t="inlineStr">
        <is>
          <t>Warrior</t>
        </is>
      </c>
      <c r="F6863" s="18" t="inlineStr">
        <is>
          <t>F0333</t>
        </is>
      </c>
    </row>
    <row r="6864" ht="15.75" customHeight="1" s="108">
      <c r="A6864" s="18" t="inlineStr">
        <is>
          <t>Carlos Miranda</t>
        </is>
      </c>
      <c r="B6864" s="18" t="n">
        <v>1</v>
      </c>
      <c r="C6864" s="18" t="n">
        <v>2011</v>
      </c>
      <c r="D6864" s="18" t="n">
        <v>2011</v>
      </c>
      <c r="E6864" s="18" t="inlineStr">
        <is>
          <t>Warrior</t>
        </is>
      </c>
      <c r="F6864" s="18" t="inlineStr">
        <is>
          <t>F0333</t>
        </is>
      </c>
    </row>
    <row r="6865" ht="15.75" customHeight="1" s="108">
      <c r="A6865" s="18" t="inlineStr">
        <is>
          <t>Nick Lehane</t>
        </is>
      </c>
      <c r="B6865" s="18" t="n">
        <v>1</v>
      </c>
      <c r="C6865" s="18" t="n">
        <v>2011</v>
      </c>
      <c r="D6865" s="18" t="n">
        <v>2011</v>
      </c>
      <c r="E6865" s="18" t="inlineStr">
        <is>
          <t>Warrior</t>
        </is>
      </c>
      <c r="F6865" s="18" t="inlineStr">
        <is>
          <t>F0333</t>
        </is>
      </c>
    </row>
    <row r="6866" ht="15.75" customHeight="1" s="108">
      <c r="A6866" s="18" t="inlineStr">
        <is>
          <t>Laura Chinn</t>
        </is>
      </c>
      <c r="B6866" s="18" t="n">
        <v>1</v>
      </c>
      <c r="C6866" s="18" t="n">
        <v>2011</v>
      </c>
      <c r="D6866" s="18" t="n">
        <v>2011</v>
      </c>
      <c r="E6866" s="18" t="inlineStr">
        <is>
          <t>Warrior</t>
        </is>
      </c>
      <c r="F6866" s="18" t="inlineStr">
        <is>
          <t>F0333</t>
        </is>
      </c>
    </row>
    <row r="6867" ht="15.75" customHeight="1" s="108">
      <c r="A6867" s="18" t="inlineStr">
        <is>
          <t>Capri Thomas</t>
        </is>
      </c>
      <c r="B6867" s="18" t="n">
        <v>1</v>
      </c>
      <c r="C6867" s="18" t="n">
        <v>2011</v>
      </c>
      <c r="D6867" s="18" t="n">
        <v>2011</v>
      </c>
      <c r="E6867" s="18" t="inlineStr">
        <is>
          <t>Warrior</t>
        </is>
      </c>
      <c r="F6867" s="18" t="inlineStr">
        <is>
          <t>F0333</t>
        </is>
      </c>
    </row>
    <row r="6868" ht="15.75" customHeight="1" s="108">
      <c r="A6868" s="18" t="inlineStr">
        <is>
          <t>Lexi Cowan</t>
        </is>
      </c>
      <c r="B6868" s="18" t="n">
        <v>1</v>
      </c>
      <c r="C6868" s="18" t="n">
        <v>2011</v>
      </c>
      <c r="D6868" s="18" t="n">
        <v>2011</v>
      </c>
      <c r="E6868" s="18" t="inlineStr">
        <is>
          <t>Warrior</t>
        </is>
      </c>
      <c r="F6868" s="18" t="inlineStr">
        <is>
          <t>F0333</t>
        </is>
      </c>
    </row>
    <row r="6869" ht="15.75" customHeight="1" s="108">
      <c r="A6869" s="18" t="inlineStr">
        <is>
          <t>Dan Caldwell</t>
        </is>
      </c>
      <c r="B6869" s="18" t="n">
        <v>1</v>
      </c>
      <c r="C6869" s="18" t="n">
        <v>2011</v>
      </c>
      <c r="D6869" s="18" t="n">
        <v>2011</v>
      </c>
      <c r="E6869" s="18" t="inlineStr">
        <is>
          <t>Warrior</t>
        </is>
      </c>
      <c r="F6869" s="18" t="inlineStr">
        <is>
          <t>F0333</t>
        </is>
      </c>
    </row>
    <row r="6870" ht="15.75" customHeight="1" s="108">
      <c r="A6870" s="18" t="inlineStr">
        <is>
          <t>Timothy "Skyskrape" Katz</t>
        </is>
      </c>
      <c r="B6870" s="18" t="n">
        <v>1</v>
      </c>
      <c r="C6870" s="18" t="n">
        <v>2011</v>
      </c>
      <c r="D6870" s="18" t="n">
        <v>2011</v>
      </c>
      <c r="E6870" s="18" t="inlineStr">
        <is>
          <t>Warrior</t>
        </is>
      </c>
      <c r="F6870" s="18" t="inlineStr">
        <is>
          <t>F0333</t>
        </is>
      </c>
    </row>
    <row r="6871" ht="15.75" customHeight="1" s="108">
      <c r="A6871" s="18" t="inlineStr">
        <is>
          <t>Julia Stockstad</t>
        </is>
      </c>
      <c r="B6871" s="18" t="n">
        <v>1</v>
      </c>
      <c r="C6871" s="18" t="n">
        <v>2011</v>
      </c>
      <c r="D6871" s="18" t="n">
        <v>2011</v>
      </c>
      <c r="E6871" s="18" t="inlineStr">
        <is>
          <t>Warrior</t>
        </is>
      </c>
      <c r="F6871" s="18" t="inlineStr">
        <is>
          <t>F0333</t>
        </is>
      </c>
    </row>
    <row r="6872" ht="15.75" customHeight="1" s="108">
      <c r="A6872" s="18" t="inlineStr">
        <is>
          <t>Josh Rosenthal</t>
        </is>
      </c>
      <c r="B6872" s="18" t="n">
        <v>1</v>
      </c>
      <c r="C6872" s="18" t="n">
        <v>2011</v>
      </c>
      <c r="D6872" s="18" t="n">
        <v>2011</v>
      </c>
      <c r="E6872" s="18" t="inlineStr">
        <is>
          <t>Warrior</t>
        </is>
      </c>
      <c r="F6872" s="18" t="inlineStr">
        <is>
          <t>F0333</t>
        </is>
      </c>
    </row>
    <row r="6873" ht="15.75" customHeight="1" s="108">
      <c r="A6873" s="18" t="inlineStr">
        <is>
          <t>Kurt Angle</t>
        </is>
      </c>
      <c r="B6873" s="18" t="n">
        <v>1</v>
      </c>
      <c r="C6873" s="18" t="n">
        <v>2011</v>
      </c>
      <c r="D6873" s="18" t="n">
        <v>2011</v>
      </c>
      <c r="E6873" s="18" t="inlineStr">
        <is>
          <t>Warrior</t>
        </is>
      </c>
      <c r="F6873" s="18" t="inlineStr">
        <is>
          <t>F0333</t>
        </is>
      </c>
    </row>
    <row r="6874" ht="15.75" customHeight="1" s="108">
      <c r="A6874" s="18" t="inlineStr">
        <is>
          <t>Erik Apple</t>
        </is>
      </c>
      <c r="B6874" s="18" t="n">
        <v>1</v>
      </c>
      <c r="C6874" s="18" t="n">
        <v>2011</v>
      </c>
      <c r="D6874" s="18" t="n">
        <v>2011</v>
      </c>
      <c r="E6874" s="18" t="inlineStr">
        <is>
          <t>Warrior</t>
        </is>
      </c>
      <c r="F6874" s="18" t="inlineStr">
        <is>
          <t>F0333</t>
        </is>
      </c>
    </row>
    <row r="6875" ht="15.75" customHeight="1" s="108">
      <c r="A6875" s="18" t="inlineStr">
        <is>
          <t>Anthony Johnson</t>
        </is>
      </c>
      <c r="B6875" s="18" t="n">
        <v>1</v>
      </c>
      <c r="C6875" s="18" t="n">
        <v>2011</v>
      </c>
      <c r="D6875" s="18" t="n">
        <v>2011</v>
      </c>
      <c r="E6875" s="18" t="inlineStr">
        <is>
          <t>Warrior</t>
        </is>
      </c>
      <c r="F6875" s="18" t="inlineStr">
        <is>
          <t>F0333</t>
        </is>
      </c>
    </row>
    <row r="6876" ht="15.75" customHeight="1" s="108">
      <c r="A6876" s="18" t="inlineStr">
        <is>
          <t>Nate Marquardt</t>
        </is>
      </c>
      <c r="B6876" s="18" t="n">
        <v>1</v>
      </c>
      <c r="C6876" s="18" t="n">
        <v>2011</v>
      </c>
      <c r="D6876" s="18" t="n">
        <v>2011</v>
      </c>
      <c r="E6876" s="18" t="inlineStr">
        <is>
          <t>Warrior</t>
        </is>
      </c>
      <c r="F6876" s="18" t="inlineStr">
        <is>
          <t>F0333</t>
        </is>
      </c>
    </row>
    <row r="6877" ht="15.75" customHeight="1" s="108">
      <c r="A6877" s="18" t="inlineStr">
        <is>
          <t>Roan Carneiro</t>
        </is>
      </c>
      <c r="B6877" s="18" t="n">
        <v>1</v>
      </c>
      <c r="C6877" s="18" t="n">
        <v>2011</v>
      </c>
      <c r="D6877" s="18" t="n">
        <v>2011</v>
      </c>
      <c r="E6877" s="18" t="inlineStr">
        <is>
          <t>Warrior</t>
        </is>
      </c>
      <c r="F6877" s="18" t="inlineStr">
        <is>
          <t>F0333</t>
        </is>
      </c>
    </row>
    <row r="6878" ht="15.75" customHeight="1" s="108">
      <c r="A6878" s="18" t="inlineStr">
        <is>
          <t>Daniel Stevens</t>
        </is>
      </c>
      <c r="B6878" s="18" t="n">
        <v>1</v>
      </c>
      <c r="C6878" s="18" t="n">
        <v>2011</v>
      </c>
      <c r="D6878" s="18" t="n">
        <v>2011</v>
      </c>
      <c r="E6878" s="18" t="inlineStr">
        <is>
          <t>Warrior</t>
        </is>
      </c>
      <c r="F6878" s="18" t="inlineStr">
        <is>
          <t>F0333</t>
        </is>
      </c>
    </row>
    <row r="6879" ht="15.75" customHeight="1" s="108">
      <c r="A6879" s="18" t="inlineStr">
        <is>
          <t>Anthony N.</t>
        </is>
      </c>
      <c r="B6879" s="18" t="n">
        <v>1</v>
      </c>
      <c r="C6879" s="18" t="n">
        <v>2011</v>
      </c>
      <c r="D6879" s="18" t="n">
        <v>2011</v>
      </c>
      <c r="E6879" s="18" t="inlineStr">
        <is>
          <t>Warrior</t>
        </is>
      </c>
      <c r="F6879" s="18" t="inlineStr">
        <is>
          <t>F0333</t>
        </is>
      </c>
    </row>
    <row r="6880" ht="15.75" customHeight="1" s="108">
      <c r="A6880" s="18" t="inlineStr">
        <is>
          <t>Deborah Van Valkenburgh</t>
        </is>
      </c>
      <c r="B6880" s="18" t="n">
        <v>1</v>
      </c>
      <c r="C6880" s="18" t="n">
        <v>1979</v>
      </c>
      <c r="D6880" s="18" t="n">
        <v>1979</v>
      </c>
      <c r="E6880" s="18" t="inlineStr">
        <is>
          <t>The Warriors</t>
        </is>
      </c>
      <c r="F6880" s="18" t="inlineStr">
        <is>
          <t>F0334</t>
        </is>
      </c>
    </row>
    <row r="6881" ht="15.75" customHeight="1" s="108">
      <c r="A6881" s="18" t="inlineStr">
        <is>
          <t>Brian Tyler</t>
        </is>
      </c>
      <c r="B6881" s="18" t="n">
        <v>1</v>
      </c>
      <c r="C6881" s="18" t="n">
        <v>1979</v>
      </c>
      <c r="D6881" s="18" t="n">
        <v>1979</v>
      </c>
      <c r="E6881" s="18" t="inlineStr">
        <is>
          <t>The Warriors</t>
        </is>
      </c>
      <c r="F6881" s="18" t="inlineStr">
        <is>
          <t>F0334</t>
        </is>
      </c>
    </row>
    <row r="6882" ht="15.75" customHeight="1" s="108">
      <c r="A6882" s="18" t="inlineStr">
        <is>
          <t>Tom McKitterick</t>
        </is>
      </c>
      <c r="B6882" s="18" t="n">
        <v>1</v>
      </c>
      <c r="C6882" s="18" t="n">
        <v>1979</v>
      </c>
      <c r="D6882" s="18" t="n">
        <v>1979</v>
      </c>
      <c r="E6882" s="18" t="inlineStr">
        <is>
          <t>The Warriors</t>
        </is>
      </c>
      <c r="F6882" s="18" t="inlineStr">
        <is>
          <t>F0334</t>
        </is>
      </c>
    </row>
    <row r="6883" ht="15.75" customHeight="1" s="108">
      <c r="A6883" s="18" t="inlineStr">
        <is>
          <t>Marcelino Sánchez</t>
        </is>
      </c>
      <c r="B6883" s="18" t="n">
        <v>1</v>
      </c>
      <c r="C6883" s="18" t="n">
        <v>1979</v>
      </c>
      <c r="D6883" s="18" t="n">
        <v>1979</v>
      </c>
      <c r="E6883" s="18" t="inlineStr">
        <is>
          <t>The Warriors</t>
        </is>
      </c>
      <c r="F6883" s="18" t="inlineStr">
        <is>
          <t>F0334</t>
        </is>
      </c>
    </row>
    <row r="6884" ht="15.75" customHeight="1" s="108">
      <c r="A6884" s="18" t="inlineStr">
        <is>
          <t>Roger Hill</t>
        </is>
      </c>
      <c r="B6884" s="18" t="n">
        <v>1</v>
      </c>
      <c r="C6884" s="18" t="n">
        <v>1979</v>
      </c>
      <c r="D6884" s="18" t="n">
        <v>1979</v>
      </c>
      <c r="E6884" s="18" t="inlineStr">
        <is>
          <t>The Warriors</t>
        </is>
      </c>
      <c r="F6884" s="18" t="inlineStr">
        <is>
          <t>F0334</t>
        </is>
      </c>
    </row>
    <row r="6885" ht="15.75" customHeight="1" s="108">
      <c r="A6885" s="18" t="inlineStr">
        <is>
          <t>Steve James</t>
        </is>
      </c>
      <c r="B6885" s="18" t="n">
        <v>1</v>
      </c>
      <c r="C6885" s="18" t="n">
        <v>1979</v>
      </c>
      <c r="D6885" s="18" t="n">
        <v>1979</v>
      </c>
      <c r="E6885" s="18" t="inlineStr">
        <is>
          <t>The Warriors</t>
        </is>
      </c>
      <c r="F6885" s="18" t="inlineStr">
        <is>
          <t>F0334</t>
        </is>
      </c>
    </row>
    <row r="6886" ht="15.75" customHeight="1" s="108">
      <c r="A6886" s="18" t="inlineStr">
        <is>
          <t>Terry Michos</t>
        </is>
      </c>
      <c r="B6886" s="18" t="n">
        <v>1</v>
      </c>
      <c r="C6886" s="18" t="n">
        <v>1979</v>
      </c>
      <c r="D6886" s="18" t="n">
        <v>1979</v>
      </c>
      <c r="E6886" s="18" t="inlineStr">
        <is>
          <t>The Warriors</t>
        </is>
      </c>
      <c r="F6886" s="18" t="inlineStr">
        <is>
          <t>F0334</t>
        </is>
      </c>
    </row>
    <row r="6887" ht="15.75" customHeight="1" s="108">
      <c r="A6887" s="18" t="inlineStr">
        <is>
          <t>Lynne Thigpen</t>
        </is>
      </c>
      <c r="B6887" s="18" t="n">
        <v>1</v>
      </c>
      <c r="C6887" s="18" t="n">
        <v>1979</v>
      </c>
      <c r="D6887" s="18" t="n">
        <v>1979</v>
      </c>
      <c r="E6887" s="18" t="inlineStr">
        <is>
          <t>The Warriors</t>
        </is>
      </c>
      <c r="F6887" s="18" t="inlineStr">
        <is>
          <t>F0334</t>
        </is>
      </c>
    </row>
    <row r="6888" ht="15.75" customHeight="1" s="108">
      <c r="A6888" s="18" t="inlineStr">
        <is>
          <t>Mercedes Ruehl</t>
        </is>
      </c>
      <c r="B6888" s="18" t="n">
        <v>1</v>
      </c>
      <c r="C6888" s="18" t="n">
        <v>1979</v>
      </c>
      <c r="D6888" s="18" t="n">
        <v>1979</v>
      </c>
      <c r="E6888" s="18" t="inlineStr">
        <is>
          <t>The Warriors</t>
        </is>
      </c>
      <c r="F6888" s="18" t="inlineStr">
        <is>
          <t>F0334</t>
        </is>
      </c>
    </row>
    <row r="6889" ht="15.75" customHeight="1" s="108">
      <c r="A6889" s="18" t="inlineStr">
        <is>
          <t>John Snyder</t>
        </is>
      </c>
      <c r="B6889" s="18" t="n">
        <v>1</v>
      </c>
      <c r="C6889" s="18" t="n">
        <v>1979</v>
      </c>
      <c r="D6889" s="18" t="n">
        <v>1979</v>
      </c>
      <c r="E6889" s="18" t="inlineStr">
        <is>
          <t>The Warriors</t>
        </is>
      </c>
      <c r="F6889" s="18" t="inlineStr">
        <is>
          <t>F0334</t>
        </is>
      </c>
    </row>
    <row r="6890" ht="15.75" customHeight="1" s="108">
      <c r="A6890" s="18" t="inlineStr">
        <is>
          <t>Irwin Keyes</t>
        </is>
      </c>
      <c r="B6890" s="18" t="n">
        <v>1</v>
      </c>
      <c r="C6890" s="18" t="n">
        <v>1979</v>
      </c>
      <c r="D6890" s="18" t="n">
        <v>1979</v>
      </c>
      <c r="E6890" s="18" t="inlineStr">
        <is>
          <t>The Warriors</t>
        </is>
      </c>
      <c r="F6890" s="18" t="inlineStr">
        <is>
          <t>F0334</t>
        </is>
      </c>
    </row>
    <row r="6891" ht="15.75" customHeight="1" s="108">
      <c r="A6891" s="18" t="inlineStr">
        <is>
          <t>Antone Pagán</t>
        </is>
      </c>
      <c r="B6891" s="18" t="n">
        <v>1</v>
      </c>
      <c r="C6891" s="18" t="n">
        <v>1979</v>
      </c>
      <c r="D6891" s="18" t="n">
        <v>1979</v>
      </c>
      <c r="E6891" s="18" t="inlineStr">
        <is>
          <t>The Warriors</t>
        </is>
      </c>
      <c r="F6891" s="18" t="inlineStr">
        <is>
          <t>F0334</t>
        </is>
      </c>
    </row>
    <row r="6892" ht="15.75" customHeight="1" s="108">
      <c r="A6892" s="18" t="inlineStr">
        <is>
          <t>Sonny Landham</t>
        </is>
      </c>
      <c r="B6892" s="18" t="n">
        <v>1</v>
      </c>
      <c r="C6892" s="18" t="n">
        <v>1979</v>
      </c>
      <c r="D6892" s="18" t="n">
        <v>1979</v>
      </c>
      <c r="E6892" s="18" t="inlineStr">
        <is>
          <t>The Warriors</t>
        </is>
      </c>
      <c r="F6892" s="18" t="inlineStr">
        <is>
          <t>F0334</t>
        </is>
      </c>
    </row>
    <row r="6893" ht="15.75" customHeight="1" s="108">
      <c r="A6893" s="18" t="inlineStr">
        <is>
          <t>Thomas G. Waites</t>
        </is>
      </c>
      <c r="B6893" s="18" t="n">
        <v>1</v>
      </c>
      <c r="C6893" s="18" t="n">
        <v>1979</v>
      </c>
      <c r="D6893" s="18" t="n">
        <v>1979</v>
      </c>
      <c r="E6893" s="18" t="inlineStr">
        <is>
          <t>The Warriors</t>
        </is>
      </c>
      <c r="F6893" s="18" t="inlineStr">
        <is>
          <t>F0334</t>
        </is>
      </c>
    </row>
    <row r="6894" ht="15.75" customHeight="1" s="108">
      <c r="A6894" s="18" t="inlineStr">
        <is>
          <t>Johnny Barnes</t>
        </is>
      </c>
      <c r="B6894" s="18" t="n">
        <v>1</v>
      </c>
      <c r="C6894" s="18" t="n">
        <v>1979</v>
      </c>
      <c r="D6894" s="18" t="n">
        <v>1979</v>
      </c>
      <c r="E6894" s="18" t="inlineStr">
        <is>
          <t>The Warriors</t>
        </is>
      </c>
      <c r="F6894" s="18" t="inlineStr">
        <is>
          <t>F0334</t>
        </is>
      </c>
    </row>
    <row r="6895" ht="15.75" customHeight="1" s="108">
      <c r="A6895" s="18" t="inlineStr">
        <is>
          <t>George Lee Miles</t>
        </is>
      </c>
      <c r="B6895" s="18" t="n">
        <v>1</v>
      </c>
      <c r="C6895" s="18" t="n">
        <v>1979</v>
      </c>
      <c r="D6895" s="18" t="n">
        <v>1979</v>
      </c>
      <c r="E6895" s="18" t="inlineStr">
        <is>
          <t>The Warriors</t>
        </is>
      </c>
      <c r="F6895" s="18" t="inlineStr">
        <is>
          <t>F0334</t>
        </is>
      </c>
    </row>
    <row r="6896" ht="15.75" customHeight="1" s="108">
      <c r="A6896" s="18" t="inlineStr">
        <is>
          <t>Paul Greco</t>
        </is>
      </c>
      <c r="B6896" s="18" t="n">
        <v>1</v>
      </c>
      <c r="C6896" s="18" t="n">
        <v>1979</v>
      </c>
      <c r="D6896" s="18" t="n">
        <v>1979</v>
      </c>
      <c r="E6896" s="18" t="inlineStr">
        <is>
          <t>The Warriors</t>
        </is>
      </c>
      <c r="F6896" s="18" t="inlineStr">
        <is>
          <t>F0334</t>
        </is>
      </c>
    </row>
    <row r="6897" ht="15.75" customHeight="1" s="108">
      <c r="A6897" s="18" t="inlineStr">
        <is>
          <t>Iris Klein</t>
        </is>
      </c>
      <c r="B6897" s="18" t="n">
        <v>1</v>
      </c>
      <c r="C6897" s="18" t="n">
        <v>1979</v>
      </c>
      <c r="D6897" s="18" t="n">
        <v>1979</v>
      </c>
      <c r="E6897" s="18" t="inlineStr">
        <is>
          <t>The Warriors</t>
        </is>
      </c>
      <c r="F6897" s="18" t="inlineStr">
        <is>
          <t>F0334</t>
        </is>
      </c>
    </row>
    <row r="6898" ht="15.75" customHeight="1" s="108">
      <c r="A6898" s="18" t="inlineStr">
        <is>
          <t>Tony Clark</t>
        </is>
      </c>
      <c r="B6898" s="18" t="n">
        <v>1</v>
      </c>
      <c r="C6898" s="18" t="n">
        <v>1979</v>
      </c>
      <c r="D6898" s="18" t="n">
        <v>1979</v>
      </c>
      <c r="E6898" s="18" t="inlineStr">
        <is>
          <t>The Warriors</t>
        </is>
      </c>
      <c r="F6898" s="18" t="inlineStr">
        <is>
          <t>F0334</t>
        </is>
      </c>
    </row>
    <row r="6899" ht="15.75" customHeight="1" s="108">
      <c r="A6899" s="18" t="inlineStr">
        <is>
          <t>Robert Townsend</t>
        </is>
      </c>
      <c r="B6899" s="18" t="n">
        <v>1</v>
      </c>
      <c r="C6899" s="18" t="n">
        <v>1979</v>
      </c>
      <c r="D6899" s="18" t="n">
        <v>1979</v>
      </c>
      <c r="E6899" s="18" t="inlineStr">
        <is>
          <t>The Warriors</t>
        </is>
      </c>
      <c r="F6899" s="18" t="inlineStr">
        <is>
          <t>F0334</t>
        </is>
      </c>
    </row>
    <row r="6900" ht="15.75" customHeight="1" s="108">
      <c r="A6900" s="18" t="inlineStr">
        <is>
          <t>Ginny Ortiz</t>
        </is>
      </c>
      <c r="B6900" s="18" t="n">
        <v>1</v>
      </c>
      <c r="C6900" s="18" t="n">
        <v>1979</v>
      </c>
      <c r="D6900" s="18" t="n">
        <v>1979</v>
      </c>
      <c r="E6900" s="18" t="inlineStr">
        <is>
          <t>The Warriors</t>
        </is>
      </c>
      <c r="F6900" s="18" t="inlineStr">
        <is>
          <t>F0334</t>
        </is>
      </c>
    </row>
    <row r="6901" ht="15.75" customHeight="1" s="108">
      <c r="A6901" s="18" t="inlineStr">
        <is>
          <t>Edward Sewer</t>
        </is>
      </c>
      <c r="B6901" s="18" t="n">
        <v>1</v>
      </c>
      <c r="C6901" s="18" t="n">
        <v>1979</v>
      </c>
      <c r="D6901" s="18" t="n">
        <v>1979</v>
      </c>
      <c r="E6901" s="18" t="inlineStr">
        <is>
          <t>The Warriors</t>
        </is>
      </c>
      <c r="F6901" s="18" t="inlineStr">
        <is>
          <t>F0334</t>
        </is>
      </c>
    </row>
    <row r="6902" ht="15.75" customHeight="1" s="108">
      <c r="A6902" s="18" t="inlineStr">
        <is>
          <t>Joel Weiss</t>
        </is>
      </c>
      <c r="B6902" s="18" t="n">
        <v>1</v>
      </c>
      <c r="C6902" s="18" t="n">
        <v>1979</v>
      </c>
      <c r="D6902" s="18" t="n">
        <v>1979</v>
      </c>
      <c r="E6902" s="18" t="inlineStr">
        <is>
          <t>The Warriors</t>
        </is>
      </c>
      <c r="F6902" s="18" t="inlineStr">
        <is>
          <t>F0334</t>
        </is>
      </c>
    </row>
    <row r="6903" ht="15.75" customHeight="1" s="108">
      <c r="A6903" s="18" t="inlineStr">
        <is>
          <t>J.W. Smith</t>
        </is>
      </c>
      <c r="B6903" s="18" t="n">
        <v>1</v>
      </c>
      <c r="C6903" s="18" t="n">
        <v>1979</v>
      </c>
      <c r="D6903" s="18" t="n">
        <v>1979</v>
      </c>
      <c r="E6903" s="18" t="inlineStr">
        <is>
          <t>The Warriors</t>
        </is>
      </c>
      <c r="F6903" s="18" t="inlineStr">
        <is>
          <t>F0334</t>
        </is>
      </c>
    </row>
    <row r="6904" ht="15.75" customHeight="1" s="108">
      <c r="A6904" s="18" t="inlineStr">
        <is>
          <t>Doran Clark</t>
        </is>
      </c>
      <c r="B6904" s="18" t="n">
        <v>1</v>
      </c>
      <c r="C6904" s="18" t="n">
        <v>1979</v>
      </c>
      <c r="D6904" s="18" t="n">
        <v>1979</v>
      </c>
      <c r="E6904" s="18" t="inlineStr">
        <is>
          <t>The Warriors</t>
        </is>
      </c>
      <c r="F6904" s="18" t="inlineStr">
        <is>
          <t>F0334</t>
        </is>
      </c>
    </row>
    <row r="6905" ht="15.75" customHeight="1" s="108">
      <c r="A6905" s="18" t="inlineStr">
        <is>
          <t>Nicolas Wright</t>
        </is>
      </c>
      <c r="B6905" s="18" t="n">
        <v>1</v>
      </c>
      <c r="C6905" s="18" t="n">
        <v>2013</v>
      </c>
      <c r="D6905" s="18" t="n">
        <v>2013</v>
      </c>
      <c r="E6905" s="18" t="inlineStr">
        <is>
          <t>White House Down</t>
        </is>
      </c>
      <c r="F6905" s="18" t="inlineStr">
        <is>
          <t>F0335</t>
        </is>
      </c>
    </row>
    <row r="6906" ht="15.75" customHeight="1" s="108">
      <c r="A6906" s="18" t="inlineStr">
        <is>
          <t>Jimmi Simpson</t>
        </is>
      </c>
      <c r="B6906" s="18" t="n">
        <v>1</v>
      </c>
      <c r="C6906" s="18" t="n">
        <v>2013</v>
      </c>
      <c r="D6906" s="18" t="n">
        <v>2013</v>
      </c>
      <c r="E6906" s="18" t="inlineStr">
        <is>
          <t>White House Down</t>
        </is>
      </c>
      <c r="F6906" s="18" t="inlineStr">
        <is>
          <t>F0335</t>
        </is>
      </c>
    </row>
    <row r="6907" ht="15.75" customHeight="1" s="108">
      <c r="A6907" s="18" t="inlineStr">
        <is>
          <t>Michael Murphy</t>
        </is>
      </c>
      <c r="B6907" s="18" t="n">
        <v>2</v>
      </c>
      <c r="C6907" s="18" t="n">
        <v>2006</v>
      </c>
      <c r="D6907" s="18" t="n">
        <v>2013</v>
      </c>
      <c r="E6907" s="18" t="inlineStr">
        <is>
          <t>White House Down, X-Men: The Last Stand</t>
        </is>
      </c>
      <c r="F6907" s="18" t="inlineStr">
        <is>
          <t>F0335, F0346</t>
        </is>
      </c>
    </row>
    <row r="6908" ht="15.75" customHeight="1" s="108">
      <c r="A6908" s="18" t="inlineStr">
        <is>
          <t>Rachelle Lefevre</t>
        </is>
      </c>
      <c r="B6908" s="18" t="n">
        <v>1</v>
      </c>
      <c r="C6908" s="18" t="n">
        <v>2013</v>
      </c>
      <c r="D6908" s="18" t="n">
        <v>2013</v>
      </c>
      <c r="E6908" s="18" t="inlineStr">
        <is>
          <t>White House Down</t>
        </is>
      </c>
      <c r="F6908" s="18" t="inlineStr">
        <is>
          <t>F0335</t>
        </is>
      </c>
    </row>
    <row r="6909" ht="15.75" customHeight="1" s="108">
      <c r="A6909" s="18" t="inlineStr">
        <is>
          <t>Matt Craven</t>
        </is>
      </c>
      <c r="B6909" s="18" t="n">
        <v>2</v>
      </c>
      <c r="C6909" s="18" t="n">
        <v>2011</v>
      </c>
      <c r="D6909" s="18" t="n">
        <v>2013</v>
      </c>
      <c r="E6909" s="18" t="inlineStr">
        <is>
          <t>White House Down, X-Men: First Class</t>
        </is>
      </c>
      <c r="F6909" s="18" t="inlineStr">
        <is>
          <t>F0335, F0340</t>
        </is>
      </c>
    </row>
    <row r="6910" ht="15.75" customHeight="1" s="108">
      <c r="A6910" s="18" t="inlineStr">
        <is>
          <t>Jake Weber</t>
        </is>
      </c>
      <c r="B6910" s="18" t="n">
        <v>1</v>
      </c>
      <c r="C6910" s="18" t="n">
        <v>2013</v>
      </c>
      <c r="D6910" s="18" t="n">
        <v>2013</v>
      </c>
      <c r="E6910" s="18" t="inlineStr">
        <is>
          <t>White House Down</t>
        </is>
      </c>
      <c r="F6910" s="18" t="inlineStr">
        <is>
          <t>F0335</t>
        </is>
      </c>
    </row>
    <row r="6911" ht="15.75" customHeight="1" s="108">
      <c r="A6911" s="18" t="inlineStr">
        <is>
          <t>Peter Jacobson</t>
        </is>
      </c>
      <c r="B6911" s="18" t="n">
        <v>1</v>
      </c>
      <c r="C6911" s="18" t="n">
        <v>2013</v>
      </c>
      <c r="D6911" s="18" t="n">
        <v>2013</v>
      </c>
      <c r="E6911" s="18" t="inlineStr">
        <is>
          <t>White House Down</t>
        </is>
      </c>
      <c r="F6911" s="18" t="inlineStr">
        <is>
          <t>F0335</t>
        </is>
      </c>
    </row>
    <row r="6912" ht="15.75" customHeight="1" s="108">
      <c r="A6912" s="18" t="inlineStr">
        <is>
          <t>Barbara Williams</t>
        </is>
      </c>
      <c r="B6912" s="18" t="n">
        <v>1</v>
      </c>
      <c r="C6912" s="18" t="n">
        <v>2013</v>
      </c>
      <c r="D6912" s="18" t="n">
        <v>2013</v>
      </c>
      <c r="E6912" s="18" t="inlineStr">
        <is>
          <t>White House Down</t>
        </is>
      </c>
      <c r="F6912" s="18" t="inlineStr">
        <is>
          <t>F0335</t>
        </is>
      </c>
    </row>
    <row r="6913" ht="15.75" customHeight="1" s="108">
      <c r="A6913" s="18" t="inlineStr">
        <is>
          <t>Garcelle Beauvais</t>
        </is>
      </c>
      <c r="B6913" s="18" t="n">
        <v>1</v>
      </c>
      <c r="C6913" s="18" t="n">
        <v>2013</v>
      </c>
      <c r="D6913" s="18" t="n">
        <v>2013</v>
      </c>
      <c r="E6913" s="18" t="inlineStr">
        <is>
          <t>White House Down</t>
        </is>
      </c>
      <c r="F6913" s="18" t="inlineStr">
        <is>
          <t>F0335</t>
        </is>
      </c>
    </row>
    <row r="6914" ht="15.75" customHeight="1" s="108">
      <c r="A6914" s="18" t="inlineStr">
        <is>
          <t>Falk Hentschel</t>
        </is>
      </c>
      <c r="B6914" s="18" t="n">
        <v>1</v>
      </c>
      <c r="C6914" s="18" t="n">
        <v>2013</v>
      </c>
      <c r="D6914" s="18" t="n">
        <v>2013</v>
      </c>
      <c r="E6914" s="18" t="inlineStr">
        <is>
          <t>White House Down</t>
        </is>
      </c>
      <c r="F6914" s="18" t="inlineStr">
        <is>
          <t>F0335</t>
        </is>
      </c>
    </row>
    <row r="6915" ht="15.75" customHeight="1" s="108">
      <c r="A6915" s="18" t="inlineStr">
        <is>
          <t>Romano Orzari</t>
        </is>
      </c>
      <c r="B6915" s="18" t="n">
        <v>1</v>
      </c>
      <c r="C6915" s="18" t="n">
        <v>2013</v>
      </c>
      <c r="D6915" s="18" t="n">
        <v>2013</v>
      </c>
      <c r="E6915" s="18" t="inlineStr">
        <is>
          <t>White House Down</t>
        </is>
      </c>
      <c r="F6915" s="18" t="inlineStr">
        <is>
          <t>F0335</t>
        </is>
      </c>
    </row>
    <row r="6916" ht="15.75" customHeight="1" s="108">
      <c r="A6916" s="18" t="inlineStr">
        <is>
          <t>Jackie Geary</t>
        </is>
      </c>
      <c r="B6916" s="18" t="n">
        <v>1</v>
      </c>
      <c r="C6916" s="18" t="n">
        <v>2013</v>
      </c>
      <c r="D6916" s="18" t="n">
        <v>2013</v>
      </c>
      <c r="E6916" s="18" t="inlineStr">
        <is>
          <t>White House Down</t>
        </is>
      </c>
      <c r="F6916" s="18" t="inlineStr">
        <is>
          <t>F0335</t>
        </is>
      </c>
    </row>
    <row r="6917" ht="15.75" customHeight="1" s="108">
      <c r="A6917" s="18" t="inlineStr">
        <is>
          <t>Andrew Simms</t>
        </is>
      </c>
      <c r="B6917" s="18" t="n">
        <v>1</v>
      </c>
      <c r="C6917" s="18" t="n">
        <v>2013</v>
      </c>
      <c r="D6917" s="18" t="n">
        <v>2013</v>
      </c>
      <c r="E6917" s="18" t="inlineStr">
        <is>
          <t>White House Down</t>
        </is>
      </c>
      <c r="F6917" s="18" t="inlineStr">
        <is>
          <t>F0335</t>
        </is>
      </c>
    </row>
    <row r="6918" ht="15.75" customHeight="1" s="108">
      <c r="A6918" s="18" t="inlineStr">
        <is>
          <t>Cat Lemieux</t>
        </is>
      </c>
      <c r="B6918" s="18" t="n">
        <v>1</v>
      </c>
      <c r="C6918" s="18" t="n">
        <v>2013</v>
      </c>
      <c r="D6918" s="18" t="n">
        <v>2013</v>
      </c>
      <c r="E6918" s="18" t="inlineStr">
        <is>
          <t>White House Down</t>
        </is>
      </c>
      <c r="F6918" s="18" t="inlineStr">
        <is>
          <t>F0335</t>
        </is>
      </c>
    </row>
    <row r="6919" ht="15.75" customHeight="1" s="108">
      <c r="A6919" s="18" t="inlineStr">
        <is>
          <t>Vincent Leclerc</t>
        </is>
      </c>
      <c r="B6919" s="18" t="n">
        <v>1</v>
      </c>
      <c r="C6919" s="18" t="n">
        <v>2013</v>
      </c>
      <c r="D6919" s="18" t="n">
        <v>2013</v>
      </c>
      <c r="E6919" s="18" t="inlineStr">
        <is>
          <t>White House Down</t>
        </is>
      </c>
      <c r="F6919" s="18" t="inlineStr">
        <is>
          <t>F0335</t>
        </is>
      </c>
    </row>
    <row r="6920" ht="15.75" customHeight="1" s="108">
      <c r="A6920" s="18" t="inlineStr">
        <is>
          <t>Victor Cornfoot</t>
        </is>
      </c>
      <c r="B6920" s="18" t="n">
        <v>1</v>
      </c>
      <c r="C6920" s="18" t="n">
        <v>2013</v>
      </c>
      <c r="D6920" s="18" t="n">
        <v>2013</v>
      </c>
      <c r="E6920" s="18" t="inlineStr">
        <is>
          <t>White House Down</t>
        </is>
      </c>
      <c r="F6920" s="18" t="inlineStr">
        <is>
          <t>F0335</t>
        </is>
      </c>
    </row>
    <row r="6921" ht="15.75" customHeight="1" s="108">
      <c r="A6921" s="18" t="inlineStr">
        <is>
          <t>Anatoly Zinoviev</t>
        </is>
      </c>
      <c r="B6921" s="18" t="n">
        <v>1</v>
      </c>
      <c r="C6921" s="18" t="n">
        <v>2013</v>
      </c>
      <c r="D6921" s="18" t="n">
        <v>2013</v>
      </c>
      <c r="E6921" s="18" t="inlineStr">
        <is>
          <t>White House Down</t>
        </is>
      </c>
      <c r="F6921" s="18" t="inlineStr">
        <is>
          <t>F0335</t>
        </is>
      </c>
    </row>
    <row r="6922" ht="15.75" customHeight="1" s="108">
      <c r="A6922" s="18" t="inlineStr">
        <is>
          <t>Lee Villeneuve</t>
        </is>
      </c>
      <c r="B6922" s="18" t="n">
        <v>2</v>
      </c>
      <c r="C6922" s="18" t="n">
        <v>2013</v>
      </c>
      <c r="D6922" s="18" t="n">
        <v>2014</v>
      </c>
      <c r="E6922" s="18" t="inlineStr">
        <is>
          <t>White House Down, X-Men: Days of Future Past</t>
        </is>
      </c>
      <c r="F6922" s="18" t="inlineStr">
        <is>
          <t>F0335, F0341</t>
        </is>
      </c>
    </row>
    <row r="6923" ht="15.75" customHeight="1" s="108">
      <c r="A6923" s="18" t="inlineStr">
        <is>
          <t>Anthony Lemke</t>
        </is>
      </c>
      <c r="B6923" s="18" t="n">
        <v>1</v>
      </c>
      <c r="C6923" s="18" t="n">
        <v>2013</v>
      </c>
      <c r="D6923" s="18" t="n">
        <v>2013</v>
      </c>
      <c r="E6923" s="18" t="inlineStr">
        <is>
          <t>White House Down</t>
        </is>
      </c>
      <c r="F6923" s="18" t="inlineStr">
        <is>
          <t>F0335</t>
        </is>
      </c>
    </row>
    <row r="6924" ht="15.75" customHeight="1" s="108">
      <c r="A6924" s="18" t="inlineStr">
        <is>
          <t>Rich Moore</t>
        </is>
      </c>
      <c r="B6924" s="18" t="n">
        <v>1</v>
      </c>
      <c r="C6924" s="18" t="n">
        <v>2012</v>
      </c>
      <c r="D6924" s="18" t="n">
        <v>2012</v>
      </c>
      <c r="E6924" s="18" t="inlineStr">
        <is>
          <t>Wreck-It Ralph</t>
        </is>
      </c>
      <c r="F6924" s="18" t="inlineStr">
        <is>
          <t>F0336</t>
        </is>
      </c>
    </row>
    <row r="6925" ht="15.75" customHeight="1" s="108">
      <c r="A6925" s="18" t="inlineStr">
        <is>
          <t>Raymond S. Persi</t>
        </is>
      </c>
      <c r="B6925" s="18" t="n">
        <v>1</v>
      </c>
      <c r="C6925" s="18" t="n">
        <v>2012</v>
      </c>
      <c r="D6925" s="18" t="n">
        <v>2012</v>
      </c>
      <c r="E6925" s="18" t="inlineStr">
        <is>
          <t>Wreck-It Ralph</t>
        </is>
      </c>
      <c r="F6925" s="18" t="inlineStr">
        <is>
          <t>F0336</t>
        </is>
      </c>
    </row>
    <row r="6926" ht="15.75" customHeight="1" s="108">
      <c r="A6926" s="18" t="inlineStr">
        <is>
          <t>Jamie Elman</t>
        </is>
      </c>
      <c r="B6926" s="18" t="n">
        <v>2</v>
      </c>
      <c r="C6926" s="18" t="n">
        <v>2012</v>
      </c>
      <c r="D6926" s="18" t="n">
        <v>2018</v>
      </c>
      <c r="E6926" s="18" t="inlineStr">
        <is>
          <t>Wreck-It Ralph, Ralph Breaks the Internet</t>
        </is>
      </c>
      <c r="F6926" s="18" t="inlineStr">
        <is>
          <t>F0336, F0337</t>
        </is>
      </c>
    </row>
    <row r="6927" ht="15.75" customHeight="1" s="108">
      <c r="A6927" s="18" t="inlineStr">
        <is>
          <t>Adam Carolla</t>
        </is>
      </c>
      <c r="B6927" s="18" t="n">
        <v>1</v>
      </c>
      <c r="C6927" s="18" t="n">
        <v>2012</v>
      </c>
      <c r="D6927" s="18" t="n">
        <v>2012</v>
      </c>
      <c r="E6927" s="18" t="inlineStr">
        <is>
          <t>Wreck-It Ralph</t>
        </is>
      </c>
      <c r="F6927" s="18" t="inlineStr">
        <is>
          <t>F0336</t>
        </is>
      </c>
    </row>
    <row r="6928" ht="15.75" customHeight="1" s="108">
      <c r="A6928" s="18" t="inlineStr">
        <is>
          <t>Kevin Deters</t>
        </is>
      </c>
      <c r="B6928" s="18" t="n">
        <v>1</v>
      </c>
      <c r="C6928" s="18" t="n">
        <v>2012</v>
      </c>
      <c r="D6928" s="18" t="n">
        <v>2012</v>
      </c>
      <c r="E6928" s="18" t="inlineStr">
        <is>
          <t>Wreck-It Ralph</t>
        </is>
      </c>
      <c r="F6928" s="18" t="inlineStr">
        <is>
          <t>F0336</t>
        </is>
      </c>
    </row>
    <row r="6929" ht="15.75" customHeight="1" s="108">
      <c r="A6929" s="18" t="inlineStr">
        <is>
          <t>Phil Johnston</t>
        </is>
      </c>
      <c r="B6929" s="18" t="n">
        <v>2</v>
      </c>
      <c r="C6929" s="18" t="n">
        <v>2012</v>
      </c>
      <c r="D6929" s="18" t="n">
        <v>2018</v>
      </c>
      <c r="E6929" s="18" t="inlineStr">
        <is>
          <t>Wreck-It Ralph, Ralph Breaks the Internet</t>
        </is>
      </c>
      <c r="F6929" s="18" t="inlineStr">
        <is>
          <t>F0336, F0337</t>
        </is>
      </c>
    </row>
    <row r="6930" ht="15.75" customHeight="1" s="108">
      <c r="A6930" s="18" t="inlineStr">
        <is>
          <t>Roger Craig Smith</t>
        </is>
      </c>
      <c r="B6930" s="18" t="n">
        <v>1</v>
      </c>
      <c r="C6930" s="18" t="n">
        <v>2012</v>
      </c>
      <c r="D6930" s="18" t="n">
        <v>2012</v>
      </c>
      <c r="E6930" s="18" t="inlineStr">
        <is>
          <t>Wreck-It Ralph</t>
        </is>
      </c>
      <c r="F6930" s="18" t="inlineStr">
        <is>
          <t>F0336</t>
        </is>
      </c>
    </row>
    <row r="6931" ht="15.75" customHeight="1" s="108">
      <c r="A6931" s="18" t="inlineStr">
        <is>
          <t>Dennis Haysbert</t>
        </is>
      </c>
      <c r="B6931" s="18" t="n">
        <v>1</v>
      </c>
      <c r="C6931" s="18" t="n">
        <v>2012</v>
      </c>
      <c r="D6931" s="18" t="n">
        <v>2012</v>
      </c>
      <c r="E6931" s="18" t="inlineStr">
        <is>
          <t>Wreck-It Ralph</t>
        </is>
      </c>
      <c r="F6931" s="18" t="inlineStr">
        <is>
          <t>F0336</t>
        </is>
      </c>
    </row>
    <row r="6932" ht="15.75" customHeight="1" s="108">
      <c r="A6932" s="18" t="inlineStr">
        <is>
          <t>Stefanie Scott</t>
        </is>
      </c>
      <c r="B6932" s="18" t="n">
        <v>1</v>
      </c>
      <c r="C6932" s="18" t="n">
        <v>2012</v>
      </c>
      <c r="D6932" s="18" t="n">
        <v>2012</v>
      </c>
      <c r="E6932" s="18" t="inlineStr">
        <is>
          <t>Wreck-It Ralph</t>
        </is>
      </c>
      <c r="F6932" s="18" t="inlineStr">
        <is>
          <t>F0336</t>
        </is>
      </c>
    </row>
    <row r="6933" ht="15.75" customHeight="1" s="108">
      <c r="A6933" s="18" t="inlineStr">
        <is>
          <t>Josie Trinidad</t>
        </is>
      </c>
      <c r="B6933" s="18" t="n">
        <v>1</v>
      </c>
      <c r="C6933" s="18" t="n">
        <v>2012</v>
      </c>
      <c r="D6933" s="18" t="n">
        <v>2012</v>
      </c>
      <c r="E6933" s="18" t="inlineStr">
        <is>
          <t>Wreck-It Ralph</t>
        </is>
      </c>
      <c r="F6933" s="18" t="inlineStr">
        <is>
          <t>F0336</t>
        </is>
      </c>
    </row>
    <row r="6934" ht="15.75" customHeight="1" s="108">
      <c r="A6934" s="18" t="inlineStr">
        <is>
          <t>Cymbre Walk</t>
        </is>
      </c>
      <c r="B6934" s="18" t="n">
        <v>1</v>
      </c>
      <c r="C6934" s="18" t="n">
        <v>2012</v>
      </c>
      <c r="D6934" s="18" t="n">
        <v>2012</v>
      </c>
      <c r="E6934" s="18" t="inlineStr">
        <is>
          <t>Wreck-It Ralph</t>
        </is>
      </c>
      <c r="F6934" s="18" t="inlineStr">
        <is>
          <t>F0336</t>
        </is>
      </c>
    </row>
    <row r="6935" ht="15.75" customHeight="1" s="108">
      <c r="A6935" s="18" t="inlineStr">
        <is>
          <t>Brandon Scott</t>
        </is>
      </c>
      <c r="B6935" s="18" t="n">
        <v>1</v>
      </c>
      <c r="C6935" s="18" t="n">
        <v>2012</v>
      </c>
      <c r="D6935" s="18" t="n">
        <v>2012</v>
      </c>
      <c r="E6935" s="18" t="inlineStr">
        <is>
          <t>Wreck-It Ralph</t>
        </is>
      </c>
      <c r="F6935" s="18" t="inlineStr">
        <is>
          <t>F0336</t>
        </is>
      </c>
    </row>
    <row r="6936" ht="15.75" customHeight="1" s="108">
      <c r="A6936" s="18" t="inlineStr">
        <is>
          <t>Gerald C. Rivers</t>
        </is>
      </c>
      <c r="B6936" s="18" t="n">
        <v>1</v>
      </c>
      <c r="C6936" s="18" t="n">
        <v>2012</v>
      </c>
      <c r="D6936" s="18" t="n">
        <v>2012</v>
      </c>
      <c r="E6936" s="18" t="inlineStr">
        <is>
          <t>Wreck-It Ralph</t>
        </is>
      </c>
      <c r="F6936" s="18" t="inlineStr">
        <is>
          <t>F0336</t>
        </is>
      </c>
    </row>
    <row r="6937" ht="15.75" customHeight="1" s="108">
      <c r="A6937" s="18" t="inlineStr">
        <is>
          <t>Timothy Simons</t>
        </is>
      </c>
      <c r="B6937" s="18" t="n">
        <v>1</v>
      </c>
      <c r="C6937" s="18" t="n">
        <v>2018</v>
      </c>
      <c r="D6937" s="18" t="n">
        <v>2018</v>
      </c>
      <c r="E6937" s="18" t="inlineStr">
        <is>
          <t>Ralph Breaks the Internet</t>
        </is>
      </c>
      <c r="F6937" s="18" t="inlineStr">
        <is>
          <t>F0337</t>
        </is>
      </c>
    </row>
    <row r="6938" ht="15.75" customHeight="1" s="108">
      <c r="A6938" s="18" t="inlineStr">
        <is>
          <t>Mandy Moore</t>
        </is>
      </c>
      <c r="B6938" s="18" t="n">
        <v>1</v>
      </c>
      <c r="C6938" s="18" t="n">
        <v>2018</v>
      </c>
      <c r="D6938" s="18" t="n">
        <v>2018</v>
      </c>
      <c r="E6938" s="18" t="inlineStr">
        <is>
          <t>Ralph Breaks the Internet</t>
        </is>
      </c>
      <c r="F6938" s="18" t="inlineStr">
        <is>
          <t>F0337</t>
        </is>
      </c>
    </row>
    <row r="6939" ht="15.75" customHeight="1" s="108">
      <c r="A6939" s="18" t="inlineStr">
        <is>
          <t>Anika Noni Rose</t>
        </is>
      </c>
      <c r="B6939" s="18" t="n">
        <v>1</v>
      </c>
      <c r="C6939" s="18" t="n">
        <v>2018</v>
      </c>
      <c r="D6939" s="18" t="n">
        <v>2018</v>
      </c>
      <c r="E6939" s="18" t="inlineStr">
        <is>
          <t>Ralph Breaks the Internet</t>
        </is>
      </c>
      <c r="F6939" s="18" t="inlineStr">
        <is>
          <t>F0337</t>
        </is>
      </c>
    </row>
    <row r="6940" ht="15.75" customHeight="1" s="108">
      <c r="A6940" s="18" t="inlineStr">
        <is>
          <t>Irene Bedard</t>
        </is>
      </c>
      <c r="B6940" s="18" t="n">
        <v>1</v>
      </c>
      <c r="C6940" s="18" t="n">
        <v>2018</v>
      </c>
      <c r="D6940" s="18" t="n">
        <v>2018</v>
      </c>
      <c r="E6940" s="18" t="inlineStr">
        <is>
          <t>Ralph Breaks the Internet</t>
        </is>
      </c>
      <c r="F6940" s="18" t="inlineStr">
        <is>
          <t>F0337</t>
        </is>
      </c>
    </row>
    <row r="6941" ht="15.75" customHeight="1" s="108">
      <c r="A6941" s="18" t="inlineStr">
        <is>
          <t>Ali Wong</t>
        </is>
      </c>
      <c r="B6941" s="18" t="n">
        <v>1</v>
      </c>
      <c r="C6941" s="18" t="n">
        <v>2018</v>
      </c>
      <c r="D6941" s="18" t="n">
        <v>2018</v>
      </c>
      <c r="E6941" s="18" t="inlineStr">
        <is>
          <t>Ralph Breaks the Internet</t>
        </is>
      </c>
      <c r="F6941" s="18" t="inlineStr">
        <is>
          <t>F0337</t>
        </is>
      </c>
    </row>
    <row r="6942" ht="15.75" customHeight="1" s="108">
      <c r="A6942" s="18" t="inlineStr">
        <is>
          <t>Glozell Green</t>
        </is>
      </c>
      <c r="B6942" s="18" t="n">
        <v>1</v>
      </c>
      <c r="C6942" s="18" t="n">
        <v>2018</v>
      </c>
      <c r="D6942" s="18" t="n">
        <v>2018</v>
      </c>
      <c r="E6942" s="18" t="inlineStr">
        <is>
          <t>Ralph Breaks the Internet</t>
        </is>
      </c>
      <c r="F6942" s="18" t="inlineStr">
        <is>
          <t>F0337</t>
        </is>
      </c>
    </row>
    <row r="6943" ht="15.75" customHeight="1" s="108">
      <c r="A6943" s="18" t="inlineStr">
        <is>
          <t>Hamish Blake</t>
        </is>
      </c>
      <c r="B6943" s="18" t="n">
        <v>1</v>
      </c>
      <c r="C6943" s="18" t="n">
        <v>2018</v>
      </c>
      <c r="D6943" s="18" t="n">
        <v>2018</v>
      </c>
      <c r="E6943" s="18" t="inlineStr">
        <is>
          <t>Ralph Breaks the Internet</t>
        </is>
      </c>
      <c r="F6943" s="18" t="inlineStr">
        <is>
          <t>F0337</t>
        </is>
      </c>
    </row>
    <row r="6944" ht="15.75" customHeight="1" s="108">
      <c r="A6944" s="18" t="inlineStr">
        <is>
          <t>Auliʻi Cravalho</t>
        </is>
      </c>
      <c r="B6944" s="18" t="n">
        <v>1</v>
      </c>
      <c r="C6944" s="18" t="n">
        <v>2018</v>
      </c>
      <c r="D6944" s="18" t="n">
        <v>2018</v>
      </c>
      <c r="E6944" s="18" t="inlineStr">
        <is>
          <t>Ralph Breaks the Internet</t>
        </is>
      </c>
      <c r="F6944" s="18" t="inlineStr">
        <is>
          <t>F0337</t>
        </is>
      </c>
    </row>
    <row r="6945" ht="15.75" customHeight="1" s="108">
      <c r="A6945" s="18" t="inlineStr">
        <is>
          <t>Melissa Villaseñor</t>
        </is>
      </c>
      <c r="B6945" s="18" t="n">
        <v>1</v>
      </c>
      <c r="C6945" s="18" t="n">
        <v>2018</v>
      </c>
      <c r="D6945" s="18" t="n">
        <v>2018</v>
      </c>
      <c r="E6945" s="18" t="inlineStr">
        <is>
          <t>Ralph Breaks the Internet</t>
        </is>
      </c>
      <c r="F6945" s="18" t="inlineStr">
        <is>
          <t>F0337</t>
        </is>
      </c>
    </row>
    <row r="6946" ht="15.75" customHeight="1" s="108">
      <c r="A6946" s="18" t="inlineStr">
        <is>
          <t>Jennifer Hale</t>
        </is>
      </c>
      <c r="B6946" s="18" t="n">
        <v>1</v>
      </c>
      <c r="C6946" s="18" t="n">
        <v>2018</v>
      </c>
      <c r="D6946" s="18" t="n">
        <v>2018</v>
      </c>
      <c r="E6946" s="18" t="inlineStr">
        <is>
          <t>Ralph Breaks the Internet</t>
        </is>
      </c>
      <c r="F6946" s="18" t="inlineStr">
        <is>
          <t>F0337</t>
        </is>
      </c>
    </row>
    <row r="6947" ht="15.75" customHeight="1" s="108">
      <c r="A6947" s="18" t="inlineStr">
        <is>
          <t>Ming-Na Wen</t>
        </is>
      </c>
      <c r="B6947" s="18" t="n">
        <v>1</v>
      </c>
      <c r="C6947" s="18" t="n">
        <v>2018</v>
      </c>
      <c r="D6947" s="18" t="n">
        <v>2018</v>
      </c>
      <c r="E6947" s="18" t="inlineStr">
        <is>
          <t>Ralph Breaks the Internet</t>
        </is>
      </c>
      <c r="F6947" s="18" t="inlineStr">
        <is>
          <t>F0337</t>
        </is>
      </c>
    </row>
    <row r="6948" ht="15.75" customHeight="1" s="108">
      <c r="A6948" s="18" t="inlineStr">
        <is>
          <t>Della Saba</t>
        </is>
      </c>
      <c r="B6948" s="18" t="n">
        <v>1</v>
      </c>
      <c r="C6948" s="18" t="n">
        <v>2018</v>
      </c>
      <c r="D6948" s="18" t="n">
        <v>2018</v>
      </c>
      <c r="E6948" s="18" t="inlineStr">
        <is>
          <t>Ralph Breaks the Internet</t>
        </is>
      </c>
      <c r="F6948" s="18" t="inlineStr">
        <is>
          <t>F0337</t>
        </is>
      </c>
    </row>
    <row r="6949" ht="15.75" customHeight="1" s="108">
      <c r="A6949" s="18" t="inlineStr">
        <is>
          <t>Pamela Ribon</t>
        </is>
      </c>
      <c r="B6949" s="18" t="n">
        <v>1</v>
      </c>
      <c r="C6949" s="18" t="n">
        <v>2018</v>
      </c>
      <c r="D6949" s="18" t="n">
        <v>2018</v>
      </c>
      <c r="E6949" s="18" t="inlineStr">
        <is>
          <t>Ralph Breaks the Internet</t>
        </is>
      </c>
      <c r="F6949" s="18" t="inlineStr">
        <is>
          <t>F0337</t>
        </is>
      </c>
    </row>
    <row r="6950" ht="15.75" customHeight="1" s="108">
      <c r="A6950" s="18" t="inlineStr">
        <is>
          <t>Tom Davis</t>
        </is>
      </c>
      <c r="B6950" s="18" t="n">
        <v>1</v>
      </c>
      <c r="C6950" s="18" t="n">
        <v>2023</v>
      </c>
      <c r="D6950" s="18" t="n">
        <v>2023</v>
      </c>
      <c r="E6950" s="18" t="inlineStr">
        <is>
          <t>Wonka</t>
        </is>
      </c>
      <c r="F6950" s="18" t="inlineStr">
        <is>
          <t>F0338</t>
        </is>
      </c>
    </row>
    <row r="6951" ht="15.75" customHeight="1" s="108">
      <c r="A6951" s="18" t="inlineStr">
        <is>
          <t>Mathew Baynton</t>
        </is>
      </c>
      <c r="B6951" s="18" t="n">
        <v>1</v>
      </c>
      <c r="C6951" s="18" t="n">
        <v>2023</v>
      </c>
      <c r="D6951" s="18" t="n">
        <v>2023</v>
      </c>
      <c r="E6951" s="18" t="inlineStr">
        <is>
          <t>Wonka</t>
        </is>
      </c>
      <c r="F6951" s="18" t="inlineStr">
        <is>
          <t>F0338</t>
        </is>
      </c>
    </row>
    <row r="6952" ht="15.75" customHeight="1" s="108">
      <c r="A6952" s="18" t="inlineStr">
        <is>
          <t>Natasha Rothwell</t>
        </is>
      </c>
      <c r="B6952" s="18" t="n">
        <v>3</v>
      </c>
      <c r="C6952" s="18" t="n">
        <v>2020</v>
      </c>
      <c r="D6952" s="18" t="n">
        <v>2025</v>
      </c>
      <c r="E6952" s="18" t="inlineStr">
        <is>
          <t>Wonka, sonic the hedgehog, sonic the hedgehog 3</t>
        </is>
      </c>
      <c r="F6952" s="18" t="inlineStr">
        <is>
          <t>F0338, F0378, F0379</t>
        </is>
      </c>
    </row>
    <row r="6953" ht="15.75" customHeight="1" s="108">
      <c r="A6953" s="18" t="inlineStr">
        <is>
          <t>Rakhee Thakrar</t>
        </is>
      </c>
      <c r="B6953" s="18" t="n">
        <v>1</v>
      </c>
      <c r="C6953" s="18" t="n">
        <v>2023</v>
      </c>
      <c r="D6953" s="18" t="n">
        <v>2023</v>
      </c>
      <c r="E6953" s="18" t="inlineStr">
        <is>
          <t>Wonka</t>
        </is>
      </c>
      <c r="F6953" s="18" t="inlineStr">
        <is>
          <t>F0338</t>
        </is>
      </c>
    </row>
    <row r="6954" ht="15.75" customHeight="1" s="108">
      <c r="A6954" s="18" t="inlineStr">
        <is>
          <t>Rich Fulcher</t>
        </is>
      </c>
      <c r="B6954" s="18" t="n">
        <v>1</v>
      </c>
      <c r="C6954" s="18" t="n">
        <v>2023</v>
      </c>
      <c r="D6954" s="18" t="n">
        <v>2023</v>
      </c>
      <c r="E6954" s="18" t="inlineStr">
        <is>
          <t>Wonka</t>
        </is>
      </c>
      <c r="F6954" s="18" t="inlineStr">
        <is>
          <t>F0338</t>
        </is>
      </c>
    </row>
    <row r="6955" ht="15.75" customHeight="1" s="108">
      <c r="A6955" s="18" t="inlineStr">
        <is>
          <t>Kobna Holdbrook-Smith</t>
        </is>
      </c>
      <c r="B6955" s="18" t="n">
        <v>1</v>
      </c>
      <c r="C6955" s="18" t="n">
        <v>2023</v>
      </c>
      <c r="D6955" s="18" t="n">
        <v>2023</v>
      </c>
      <c r="E6955" s="18" t="inlineStr">
        <is>
          <t>Wonka</t>
        </is>
      </c>
      <c r="F6955" s="18" t="inlineStr">
        <is>
          <t>F0338</t>
        </is>
      </c>
    </row>
    <row r="6956" ht="15.75" customHeight="1" s="108">
      <c r="A6956" s="18" t="inlineStr">
        <is>
          <t>Ellie White</t>
        </is>
      </c>
      <c r="B6956" s="18" t="n">
        <v>1</v>
      </c>
      <c r="C6956" s="18" t="n">
        <v>2023</v>
      </c>
      <c r="D6956" s="18" t="n">
        <v>2023</v>
      </c>
      <c r="E6956" s="18" t="inlineStr">
        <is>
          <t>Wonka</t>
        </is>
      </c>
      <c r="F6956" s="18" t="inlineStr">
        <is>
          <t>F0338</t>
        </is>
      </c>
    </row>
    <row r="6957" ht="15.75" customHeight="1" s="108">
      <c r="A6957" s="18" t="inlineStr">
        <is>
          <t>Colin O'Brien</t>
        </is>
      </c>
      <c r="B6957" s="18" t="n">
        <v>1</v>
      </c>
      <c r="C6957" s="18" t="n">
        <v>2023</v>
      </c>
      <c r="D6957" s="18" t="n">
        <v>2023</v>
      </c>
      <c r="E6957" s="18" t="inlineStr">
        <is>
          <t>Wonka</t>
        </is>
      </c>
      <c r="F6957" s="18" t="inlineStr">
        <is>
          <t>F0338</t>
        </is>
      </c>
    </row>
    <row r="6958" ht="15.75" customHeight="1" s="108">
      <c r="A6958" s="18" t="inlineStr">
        <is>
          <t>Murray McArthur</t>
        </is>
      </c>
      <c r="B6958" s="18" t="n">
        <v>1</v>
      </c>
      <c r="C6958" s="18" t="n">
        <v>2023</v>
      </c>
      <c r="D6958" s="18" t="n">
        <v>2023</v>
      </c>
      <c r="E6958" s="18" t="inlineStr">
        <is>
          <t>Wonka</t>
        </is>
      </c>
      <c r="F6958" s="18" t="inlineStr">
        <is>
          <t>F0338</t>
        </is>
      </c>
    </row>
    <row r="6959" ht="15.75" customHeight="1" s="108">
      <c r="A6959" s="18" t="inlineStr">
        <is>
          <t>Charlotte Ritchie</t>
        </is>
      </c>
      <c r="B6959" s="18" t="n">
        <v>1</v>
      </c>
      <c r="C6959" s="18" t="n">
        <v>2023</v>
      </c>
      <c r="D6959" s="18" t="n">
        <v>2023</v>
      </c>
      <c r="E6959" s="18" t="inlineStr">
        <is>
          <t>Wonka</t>
        </is>
      </c>
      <c r="F6959" s="18" t="inlineStr">
        <is>
          <t>F0338</t>
        </is>
      </c>
    </row>
    <row r="6960" ht="15.75" customHeight="1" s="108">
      <c r="A6960" s="18" t="inlineStr">
        <is>
          <t>Phil Wang</t>
        </is>
      </c>
      <c r="B6960" s="18" t="n">
        <v>1</v>
      </c>
      <c r="C6960" s="18" t="n">
        <v>2023</v>
      </c>
      <c r="D6960" s="18" t="n">
        <v>2023</v>
      </c>
      <c r="E6960" s="18" t="inlineStr">
        <is>
          <t>Wonka</t>
        </is>
      </c>
      <c r="F6960" s="18" t="inlineStr">
        <is>
          <t>F0338</t>
        </is>
      </c>
    </row>
    <row r="6961" ht="15.75" customHeight="1" s="108">
      <c r="A6961" s="18" t="inlineStr">
        <is>
          <t>Isy Suttie</t>
        </is>
      </c>
      <c r="B6961" s="18" t="n">
        <v>1</v>
      </c>
      <c r="C6961" s="18" t="n">
        <v>2023</v>
      </c>
      <c r="D6961" s="18" t="n">
        <v>2023</v>
      </c>
      <c r="E6961" s="18" t="inlineStr">
        <is>
          <t>Wonka</t>
        </is>
      </c>
      <c r="F6961" s="18" t="inlineStr">
        <is>
          <t>F0338</t>
        </is>
      </c>
    </row>
    <row r="6962" ht="15.75" customHeight="1" s="108">
      <c r="A6962" s="18" t="inlineStr">
        <is>
          <t>Ian Bartholomew</t>
        </is>
      </c>
      <c r="B6962" s="18" t="n">
        <v>1</v>
      </c>
      <c r="C6962" s="18" t="n">
        <v>2023</v>
      </c>
      <c r="D6962" s="18" t="n">
        <v>2023</v>
      </c>
      <c r="E6962" s="18" t="inlineStr">
        <is>
          <t>Wonka</t>
        </is>
      </c>
      <c r="F6962" s="18" t="inlineStr">
        <is>
          <t>F0338</t>
        </is>
      </c>
    </row>
    <row r="6963" ht="15.75" customHeight="1" s="108">
      <c r="A6963" s="18" t="inlineStr">
        <is>
          <t>Sophie Winkleman</t>
        </is>
      </c>
      <c r="B6963" s="18" t="n">
        <v>1</v>
      </c>
      <c r="C6963" s="18" t="n">
        <v>2023</v>
      </c>
      <c r="D6963" s="18" t="n">
        <v>2023</v>
      </c>
      <c r="E6963" s="18" t="inlineStr">
        <is>
          <t>Wonka</t>
        </is>
      </c>
      <c r="F6963" s="18" t="inlineStr">
        <is>
          <t>F0338</t>
        </is>
      </c>
    </row>
    <row r="6964" ht="15.75" customHeight="1" s="108">
      <c r="A6964" s="18" t="inlineStr">
        <is>
          <t>Justin Edwards</t>
        </is>
      </c>
      <c r="B6964" s="18" t="n">
        <v>2</v>
      </c>
      <c r="C6964" s="18" t="n">
        <v>2019</v>
      </c>
      <c r="D6964" s="18" t="n">
        <v>2023</v>
      </c>
      <c r="E6964" s="18" t="inlineStr">
        <is>
          <t>Wonka, 1917</t>
        </is>
      </c>
      <c r="F6964" s="18" t="inlineStr">
        <is>
          <t>F0338, F0356</t>
        </is>
      </c>
    </row>
    <row r="6965" ht="15.75" customHeight="1" s="108">
      <c r="A6965" s="18" t="inlineStr">
        <is>
          <t>Michael Abubakar</t>
        </is>
      </c>
      <c r="B6965" s="18" t="n">
        <v>1</v>
      </c>
      <c r="C6965" s="18" t="n">
        <v>2023</v>
      </c>
      <c r="D6965" s="18" t="n">
        <v>2023</v>
      </c>
      <c r="E6965" s="18" t="inlineStr">
        <is>
          <t>Wonka</t>
        </is>
      </c>
      <c r="F6965" s="18" t="inlineStr">
        <is>
          <t>F0338</t>
        </is>
      </c>
    </row>
    <row r="6966" ht="15.75" customHeight="1" s="108">
      <c r="A6966" s="18" t="inlineStr">
        <is>
          <t>Tim FitzHigham</t>
        </is>
      </c>
      <c r="B6966" s="18" t="n">
        <v>1</v>
      </c>
      <c r="C6966" s="18" t="n">
        <v>2023</v>
      </c>
      <c r="D6966" s="18" t="n">
        <v>2023</v>
      </c>
      <c r="E6966" s="18" t="inlineStr">
        <is>
          <t>Wonka</t>
        </is>
      </c>
      <c r="F6966" s="18" t="inlineStr">
        <is>
          <t>F0338</t>
        </is>
      </c>
    </row>
    <row r="6967" ht="15.75" customHeight="1" s="108">
      <c r="A6967" s="18" t="inlineStr">
        <is>
          <t>Roy Kinnear</t>
        </is>
      </c>
      <c r="B6967" s="18" t="n">
        <v>1</v>
      </c>
      <c r="C6967" s="18" t="n">
        <v>1971</v>
      </c>
      <c r="D6967" s="18" t="n">
        <v>1971</v>
      </c>
      <c r="E6967" s="18" t="inlineStr">
        <is>
          <t>Willy Wonka &amp; the Chocolate Factory</t>
        </is>
      </c>
      <c r="F6967" s="18" t="inlineStr">
        <is>
          <t>F0339</t>
        </is>
      </c>
    </row>
    <row r="6968" ht="15.75" customHeight="1" s="108">
      <c r="A6968" s="18" t="inlineStr">
        <is>
          <t>Julie Dawn Cole</t>
        </is>
      </c>
      <c r="B6968" s="18" t="n">
        <v>1</v>
      </c>
      <c r="C6968" s="18" t="n">
        <v>1971</v>
      </c>
      <c r="D6968" s="18" t="n">
        <v>1971</v>
      </c>
      <c r="E6968" s="18" t="inlineStr">
        <is>
          <t>Willy Wonka &amp; the Chocolate Factory</t>
        </is>
      </c>
      <c r="F6968" s="18" t="inlineStr">
        <is>
          <t>F0339</t>
        </is>
      </c>
    </row>
    <row r="6969" ht="15.75" customHeight="1" s="108">
      <c r="A6969" s="18" t="inlineStr">
        <is>
          <t>Leonard Stone</t>
        </is>
      </c>
      <c r="B6969" s="18" t="n">
        <v>1</v>
      </c>
      <c r="C6969" s="18" t="n">
        <v>1971</v>
      </c>
      <c r="D6969" s="18" t="n">
        <v>1971</v>
      </c>
      <c r="E6969" s="18" t="inlineStr">
        <is>
          <t>Willy Wonka &amp; the Chocolate Factory</t>
        </is>
      </c>
      <c r="F6969" s="18" t="inlineStr">
        <is>
          <t>F0339</t>
        </is>
      </c>
    </row>
    <row r="6970" ht="15.75" customHeight="1" s="108">
      <c r="A6970" s="18" t="inlineStr">
        <is>
          <t>Denise Nickerson</t>
        </is>
      </c>
      <c r="B6970" s="18" t="n">
        <v>1</v>
      </c>
      <c r="C6970" s="18" t="n">
        <v>1971</v>
      </c>
      <c r="D6970" s="18" t="n">
        <v>1971</v>
      </c>
      <c r="E6970" s="18" t="inlineStr">
        <is>
          <t>Willy Wonka &amp; the Chocolate Factory</t>
        </is>
      </c>
      <c r="F6970" s="18" t="inlineStr">
        <is>
          <t>F0339</t>
        </is>
      </c>
    </row>
    <row r="6971" ht="15.75" customHeight="1" s="108">
      <c r="A6971" s="18" t="inlineStr">
        <is>
          <t>Ursula Reit</t>
        </is>
      </c>
      <c r="B6971" s="18" t="n">
        <v>1</v>
      </c>
      <c r="C6971" s="18" t="n">
        <v>1971</v>
      </c>
      <c r="D6971" s="18" t="n">
        <v>1971</v>
      </c>
      <c r="E6971" s="18" t="inlineStr">
        <is>
          <t>Willy Wonka &amp; the Chocolate Factory</t>
        </is>
      </c>
      <c r="F6971" s="18" t="inlineStr">
        <is>
          <t>F0339</t>
        </is>
      </c>
    </row>
    <row r="6972" ht="15.75" customHeight="1" s="108">
      <c r="A6972" s="18" t="inlineStr">
        <is>
          <t>Michael Böllner</t>
        </is>
      </c>
      <c r="B6972" s="18" t="n">
        <v>1</v>
      </c>
      <c r="C6972" s="18" t="n">
        <v>1971</v>
      </c>
      <c r="D6972" s="18" t="n">
        <v>1971</v>
      </c>
      <c r="E6972" s="18" t="inlineStr">
        <is>
          <t>Willy Wonka &amp; the Chocolate Factory</t>
        </is>
      </c>
      <c r="F6972" s="18" t="inlineStr">
        <is>
          <t>F0339</t>
        </is>
      </c>
    </row>
    <row r="6973" ht="15.75" customHeight="1" s="108">
      <c r="A6973" s="18" t="inlineStr">
        <is>
          <t>Diana Sowle</t>
        </is>
      </c>
      <c r="B6973" s="18" t="n">
        <v>1</v>
      </c>
      <c r="C6973" s="18" t="n">
        <v>1971</v>
      </c>
      <c r="D6973" s="18" t="n">
        <v>1971</v>
      </c>
      <c r="E6973" s="18" t="inlineStr">
        <is>
          <t>Willy Wonka &amp; the Chocolate Factory</t>
        </is>
      </c>
      <c r="F6973" s="18" t="inlineStr">
        <is>
          <t>F0339</t>
        </is>
      </c>
    </row>
    <row r="6974" ht="15.75" customHeight="1" s="108">
      <c r="A6974" s="18" t="inlineStr">
        <is>
          <t>Aubrey Woods</t>
        </is>
      </c>
      <c r="B6974" s="18" t="n">
        <v>1</v>
      </c>
      <c r="C6974" s="18" t="n">
        <v>1971</v>
      </c>
      <c r="D6974" s="18" t="n">
        <v>1971</v>
      </c>
      <c r="E6974" s="18" t="inlineStr">
        <is>
          <t>Willy Wonka &amp; the Chocolate Factory</t>
        </is>
      </c>
      <c r="F6974" s="18" t="inlineStr">
        <is>
          <t>F0339</t>
        </is>
      </c>
    </row>
    <row r="6975" ht="15.75" customHeight="1" s="108">
      <c r="A6975" s="18" t="inlineStr">
        <is>
          <t>David Battley</t>
        </is>
      </c>
      <c r="B6975" s="18" t="n">
        <v>1</v>
      </c>
      <c r="C6975" s="18" t="n">
        <v>1971</v>
      </c>
      <c r="D6975" s="18" t="n">
        <v>1971</v>
      </c>
      <c r="E6975" s="18" t="inlineStr">
        <is>
          <t>Willy Wonka &amp; the Chocolate Factory</t>
        </is>
      </c>
      <c r="F6975" s="18" t="inlineStr">
        <is>
          <t>F0339</t>
        </is>
      </c>
    </row>
    <row r="6976" ht="15.75" customHeight="1" s="108">
      <c r="A6976" s="18" t="inlineStr">
        <is>
          <t>Günter Meisner</t>
        </is>
      </c>
      <c r="B6976" s="18" t="n">
        <v>1</v>
      </c>
      <c r="C6976" s="18" t="n">
        <v>1971</v>
      </c>
      <c r="D6976" s="18" t="n">
        <v>1971</v>
      </c>
      <c r="E6976" s="18" t="inlineStr">
        <is>
          <t>Willy Wonka &amp; the Chocolate Factory</t>
        </is>
      </c>
      <c r="F6976" s="18" t="inlineStr">
        <is>
          <t>F0339</t>
        </is>
      </c>
    </row>
    <row r="6977" ht="15.75" customHeight="1" s="108">
      <c r="A6977" s="18" t="inlineStr">
        <is>
          <t>Peter Capell</t>
        </is>
      </c>
      <c r="B6977" s="18" t="n">
        <v>1</v>
      </c>
      <c r="C6977" s="18" t="n">
        <v>1971</v>
      </c>
      <c r="D6977" s="18" t="n">
        <v>1971</v>
      </c>
      <c r="E6977" s="18" t="inlineStr">
        <is>
          <t>Willy Wonka &amp; the Chocolate Factory</t>
        </is>
      </c>
      <c r="F6977" s="18" t="inlineStr">
        <is>
          <t>F0339</t>
        </is>
      </c>
    </row>
    <row r="6978" ht="15.75" customHeight="1" s="108">
      <c r="A6978" s="18" t="inlineStr">
        <is>
          <t>Werner Heyking</t>
        </is>
      </c>
      <c r="B6978" s="18" t="n">
        <v>1</v>
      </c>
      <c r="C6978" s="18" t="n">
        <v>1971</v>
      </c>
      <c r="D6978" s="18" t="n">
        <v>1971</v>
      </c>
      <c r="E6978" s="18" t="inlineStr">
        <is>
          <t>Willy Wonka &amp; the Chocolate Factory</t>
        </is>
      </c>
      <c r="F6978" s="18" t="inlineStr">
        <is>
          <t>F0339</t>
        </is>
      </c>
    </row>
    <row r="6979" ht="15.75" customHeight="1" s="108">
      <c r="A6979" s="18" t="inlineStr">
        <is>
          <t>Peter Stuart</t>
        </is>
      </c>
      <c r="B6979" s="18" t="n">
        <v>1</v>
      </c>
      <c r="C6979" s="18" t="n">
        <v>1971</v>
      </c>
      <c r="D6979" s="18" t="n">
        <v>1971</v>
      </c>
      <c r="E6979" s="18" t="inlineStr">
        <is>
          <t>Willy Wonka &amp; the Chocolate Factory</t>
        </is>
      </c>
      <c r="F6979" s="18" t="inlineStr">
        <is>
          <t>F0339</t>
        </is>
      </c>
    </row>
    <row r="6980" ht="15.75" customHeight="1" s="108">
      <c r="A6980" s="18" t="inlineStr">
        <is>
          <t>Franziska Liebing</t>
        </is>
      </c>
      <c r="B6980" s="18" t="n">
        <v>1</v>
      </c>
      <c r="C6980" s="18" t="n">
        <v>1971</v>
      </c>
      <c r="D6980" s="18" t="n">
        <v>1971</v>
      </c>
      <c r="E6980" s="18" t="inlineStr">
        <is>
          <t>Willy Wonka &amp; the Chocolate Factory</t>
        </is>
      </c>
      <c r="F6980" s="18" t="inlineStr">
        <is>
          <t>F0339</t>
        </is>
      </c>
    </row>
    <row r="6981" ht="15.75" customHeight="1" s="108">
      <c r="A6981" s="18" t="inlineStr">
        <is>
          <t>Ernst Ziegler</t>
        </is>
      </c>
      <c r="B6981" s="18" t="n">
        <v>1</v>
      </c>
      <c r="C6981" s="18" t="n">
        <v>1971</v>
      </c>
      <c r="D6981" s="18" t="n">
        <v>1971</v>
      </c>
      <c r="E6981" s="18" t="inlineStr">
        <is>
          <t>Willy Wonka &amp; the Chocolate Factory</t>
        </is>
      </c>
      <c r="F6981" s="18" t="inlineStr">
        <is>
          <t>F0339</t>
        </is>
      </c>
    </row>
    <row r="6982" ht="15.75" customHeight="1" s="108">
      <c r="A6982" s="18" t="inlineStr">
        <is>
          <t>Dora Altmann</t>
        </is>
      </c>
      <c r="B6982" s="18" t="n">
        <v>1</v>
      </c>
      <c r="C6982" s="18" t="n">
        <v>1971</v>
      </c>
      <c r="D6982" s="18" t="n">
        <v>1971</v>
      </c>
      <c r="E6982" s="18" t="inlineStr">
        <is>
          <t>Willy Wonka &amp; the Chocolate Factory</t>
        </is>
      </c>
      <c r="F6982" s="18" t="inlineStr">
        <is>
          <t>F0339</t>
        </is>
      </c>
    </row>
    <row r="6983" ht="15.75" customHeight="1" s="108">
      <c r="A6983" s="18" t="inlineStr">
        <is>
          <t>Pat Coombs</t>
        </is>
      </c>
      <c r="B6983" s="18" t="n">
        <v>1</v>
      </c>
      <c r="C6983" s="18" t="n">
        <v>1971</v>
      </c>
      <c r="D6983" s="18" t="n">
        <v>1971</v>
      </c>
      <c r="E6983" s="18" t="inlineStr">
        <is>
          <t>Willy Wonka &amp; the Chocolate Factory</t>
        </is>
      </c>
      <c r="F6983" s="18" t="inlineStr">
        <is>
          <t>F0339</t>
        </is>
      </c>
    </row>
    <row r="6984" ht="15.75" customHeight="1" s="108">
      <c r="A6984" s="18" t="inlineStr">
        <is>
          <t>Michael Goodliffe</t>
        </is>
      </c>
      <c r="B6984" s="18" t="n">
        <v>1</v>
      </c>
      <c r="C6984" s="18" t="n">
        <v>1971</v>
      </c>
      <c r="D6984" s="18" t="n">
        <v>1971</v>
      </c>
      <c r="E6984" s="18" t="inlineStr">
        <is>
          <t>Willy Wonka &amp; the Chocolate Factory</t>
        </is>
      </c>
      <c r="F6984" s="18" t="inlineStr">
        <is>
          <t>F0339</t>
        </is>
      </c>
    </row>
    <row r="6985" ht="15.75" customHeight="1" s="108">
      <c r="A6985" s="18" t="inlineStr">
        <is>
          <t>Kurt Großkurth</t>
        </is>
      </c>
      <c r="B6985" s="18" t="n">
        <v>1</v>
      </c>
      <c r="C6985" s="18" t="n">
        <v>1971</v>
      </c>
      <c r="D6985" s="18" t="n">
        <v>1971</v>
      </c>
      <c r="E6985" s="18" t="inlineStr">
        <is>
          <t>Willy Wonka &amp; the Chocolate Factory</t>
        </is>
      </c>
      <c r="F6985" s="18" t="inlineStr">
        <is>
          <t>F0339</t>
        </is>
      </c>
    </row>
    <row r="6986" ht="15.75" customHeight="1" s="108">
      <c r="A6986" s="18" t="inlineStr">
        <is>
          <t>Madeline Stuart</t>
        </is>
      </c>
      <c r="B6986" s="18" t="n">
        <v>1</v>
      </c>
      <c r="C6986" s="18" t="n">
        <v>1971</v>
      </c>
      <c r="D6986" s="18" t="n">
        <v>1971</v>
      </c>
      <c r="E6986" s="18" t="inlineStr">
        <is>
          <t>Willy Wonka &amp; the Chocolate Factory</t>
        </is>
      </c>
      <c r="F6986" s="18" t="inlineStr">
        <is>
          <t>F0339</t>
        </is>
      </c>
    </row>
    <row r="6987" ht="15.75" customHeight="1" s="108">
      <c r="A6987" s="18" t="inlineStr">
        <is>
          <t>Bob Roe</t>
        </is>
      </c>
      <c r="B6987" s="18" t="n">
        <v>1</v>
      </c>
      <c r="C6987" s="18" t="n">
        <v>1971</v>
      </c>
      <c r="D6987" s="18" t="n">
        <v>1971</v>
      </c>
      <c r="E6987" s="18" t="inlineStr">
        <is>
          <t>Willy Wonka &amp; the Chocolate Factory</t>
        </is>
      </c>
      <c r="F6987" s="18" t="inlineStr">
        <is>
          <t>F0339</t>
        </is>
      </c>
    </row>
    <row r="6988" ht="15.75" customHeight="1" s="108">
      <c r="A6988" s="18" t="inlineStr">
        <is>
          <t>Stephen Dunne</t>
        </is>
      </c>
      <c r="B6988" s="18" t="n">
        <v>1</v>
      </c>
      <c r="C6988" s="18" t="n">
        <v>1971</v>
      </c>
      <c r="D6988" s="18" t="n">
        <v>1971</v>
      </c>
      <c r="E6988" s="18" t="inlineStr">
        <is>
          <t>Willy Wonka &amp; the Chocolate Factory</t>
        </is>
      </c>
      <c r="F6988" s="18" t="inlineStr">
        <is>
          <t>F0339</t>
        </is>
      </c>
    </row>
    <row r="6989" ht="15.75" customHeight="1" s="108">
      <c r="A6989" s="18" t="inlineStr">
        <is>
          <t>Gloria Manon</t>
        </is>
      </c>
      <c r="B6989" s="18" t="n">
        <v>1</v>
      </c>
      <c r="C6989" s="18" t="n">
        <v>1971</v>
      </c>
      <c r="D6989" s="18" t="n">
        <v>1971</v>
      </c>
      <c r="E6989" s="18" t="inlineStr">
        <is>
          <t>Willy Wonka &amp; the Chocolate Factory</t>
        </is>
      </c>
      <c r="F6989" s="18" t="inlineStr">
        <is>
          <t>F0339</t>
        </is>
      </c>
    </row>
    <row r="6990" ht="15.75" customHeight="1" s="108">
      <c r="A6990" s="18" t="inlineStr">
        <is>
          <t>Victor Beaumont</t>
        </is>
      </c>
      <c r="B6990" s="18" t="n">
        <v>1</v>
      </c>
      <c r="C6990" s="18" t="n">
        <v>1971</v>
      </c>
      <c r="D6990" s="18" t="n">
        <v>1971</v>
      </c>
      <c r="E6990" s="18" t="inlineStr">
        <is>
          <t>Willy Wonka &amp; the Chocolate Factory</t>
        </is>
      </c>
      <c r="F6990" s="18" t="inlineStr">
        <is>
          <t>F0339</t>
        </is>
      </c>
    </row>
    <row r="6991" ht="15.75" customHeight="1" s="108">
      <c r="A6991" s="18" t="inlineStr">
        <is>
          <t>Caleb Landry Jones</t>
        </is>
      </c>
      <c r="B6991" s="18" t="n">
        <v>1</v>
      </c>
      <c r="C6991" s="18" t="n">
        <v>2011</v>
      </c>
      <c r="D6991" s="18" t="n">
        <v>2011</v>
      </c>
      <c r="E6991" s="18" t="inlineStr">
        <is>
          <t>X-Men: First Class</t>
        </is>
      </c>
      <c r="F6991" s="18" t="inlineStr">
        <is>
          <t>F0340</t>
        </is>
      </c>
    </row>
    <row r="6992" ht="15.75" customHeight="1" s="108">
      <c r="A6992" s="18" t="inlineStr">
        <is>
          <t>Álex González</t>
        </is>
      </c>
      <c r="B6992" s="18" t="n">
        <v>1</v>
      </c>
      <c r="C6992" s="18" t="n">
        <v>2011</v>
      </c>
      <c r="D6992" s="18" t="n">
        <v>2011</v>
      </c>
      <c r="E6992" s="18" t="inlineStr">
        <is>
          <t>X-Men: First Class</t>
        </is>
      </c>
      <c r="F6992" s="18" t="inlineStr">
        <is>
          <t>F0340</t>
        </is>
      </c>
    </row>
    <row r="6993" ht="15.75" customHeight="1" s="108">
      <c r="A6993" s="18" t="inlineStr">
        <is>
          <t>Laurence Belcher</t>
        </is>
      </c>
      <c r="B6993" s="18" t="n">
        <v>1</v>
      </c>
      <c r="C6993" s="18" t="n">
        <v>2011</v>
      </c>
      <c r="D6993" s="18" t="n">
        <v>2011</v>
      </c>
      <c r="E6993" s="18" t="inlineStr">
        <is>
          <t>X-Men: First Class</t>
        </is>
      </c>
      <c r="F6993" s="18" t="inlineStr">
        <is>
          <t>F0340</t>
        </is>
      </c>
    </row>
    <row r="6994" ht="15.75" customHeight="1" s="108">
      <c r="A6994" s="18" t="inlineStr">
        <is>
          <t>Beth Goddard</t>
        </is>
      </c>
      <c r="B6994" s="18" t="n">
        <v>1</v>
      </c>
      <c r="C6994" s="18" t="n">
        <v>2011</v>
      </c>
      <c r="D6994" s="18" t="n">
        <v>2011</v>
      </c>
      <c r="E6994" s="18" t="inlineStr">
        <is>
          <t>X-Men: First Class</t>
        </is>
      </c>
      <c r="F6994" s="18" t="inlineStr">
        <is>
          <t>F0340</t>
        </is>
      </c>
    </row>
    <row r="6995" ht="15.75" customHeight="1" s="108">
      <c r="A6995" s="18" t="inlineStr">
        <is>
          <t>Éva Magyar</t>
        </is>
      </c>
      <c r="B6995" s="18" t="n">
        <v>1</v>
      </c>
      <c r="C6995" s="18" t="n">
        <v>2011</v>
      </c>
      <c r="D6995" s="18" t="n">
        <v>2011</v>
      </c>
      <c r="E6995" s="18" t="inlineStr">
        <is>
          <t>X-Men: First Class</t>
        </is>
      </c>
      <c r="F6995" s="18" t="inlineStr">
        <is>
          <t>F0340</t>
        </is>
      </c>
    </row>
    <row r="6996" ht="15.75" customHeight="1" s="108">
      <c r="A6996" s="18" t="inlineStr">
        <is>
          <t>Don Creech</t>
        </is>
      </c>
      <c r="B6996" s="18" t="n">
        <v>1</v>
      </c>
      <c r="C6996" s="18" t="n">
        <v>2011</v>
      </c>
      <c r="D6996" s="18" t="n">
        <v>2011</v>
      </c>
      <c r="E6996" s="18" t="inlineStr">
        <is>
          <t>X-Men: First Class</t>
        </is>
      </c>
      <c r="F6996" s="18" t="inlineStr">
        <is>
          <t>F0340</t>
        </is>
      </c>
    </row>
    <row r="6997" ht="15.75" customHeight="1" s="108">
      <c r="A6997" s="18" t="inlineStr">
        <is>
          <t>Wilfried Hochholdinger</t>
        </is>
      </c>
      <c r="B6997" s="18" t="n">
        <v>1</v>
      </c>
      <c r="C6997" s="18" t="n">
        <v>2011</v>
      </c>
      <c r="D6997" s="18" t="n">
        <v>2011</v>
      </c>
      <c r="E6997" s="18" t="inlineStr">
        <is>
          <t>X-Men: First Class</t>
        </is>
      </c>
      <c r="F6997" s="18" t="inlineStr">
        <is>
          <t>F0340</t>
        </is>
      </c>
    </row>
    <row r="6998" ht="15.75" customHeight="1" s="108">
      <c r="A6998" s="18" t="inlineStr">
        <is>
          <t>Greg Kolpakchi</t>
        </is>
      </c>
      <c r="B6998" s="18" t="n">
        <v>1</v>
      </c>
      <c r="C6998" s="18" t="n">
        <v>2011</v>
      </c>
      <c r="D6998" s="18" t="n">
        <v>2011</v>
      </c>
      <c r="E6998" s="18" t="inlineStr">
        <is>
          <t>X-Men: First Class</t>
        </is>
      </c>
      <c r="F6998" s="18" t="inlineStr">
        <is>
          <t>F0340</t>
        </is>
      </c>
    </row>
    <row r="6999" ht="15.75" customHeight="1" s="108">
      <c r="A6999" s="18" t="inlineStr">
        <is>
          <t>Anna Paquin</t>
        </is>
      </c>
      <c r="B6999" s="18" t="n">
        <v>4</v>
      </c>
      <c r="C6999" s="18" t="n">
        <v>2000</v>
      </c>
      <c r="D6999" s="18" t="n">
        <v>2014</v>
      </c>
      <c r="E6999" s="18" t="inlineStr">
        <is>
          <t>X-Men: Days of Future Past, X-Men, X2: X-Men United, X-Men: The Last Stand</t>
        </is>
      </c>
      <c r="F6999" s="18" t="inlineStr">
        <is>
          <t>F0341, F0344, F0345, F0346</t>
        </is>
      </c>
    </row>
    <row r="7000" ht="15.75" customHeight="1" s="108">
      <c r="A7000" s="18" t="inlineStr">
        <is>
          <t>Shawn Ashmore</t>
        </is>
      </c>
      <c r="B7000" s="18" t="n">
        <v>3</v>
      </c>
      <c r="C7000" s="18" t="n">
        <v>2003</v>
      </c>
      <c r="D7000" s="18" t="n">
        <v>2014</v>
      </c>
      <c r="E7000" s="18" t="inlineStr">
        <is>
          <t>X-Men: Days of Future Past, X2: X-Men United, X-Men: The Last Stand</t>
        </is>
      </c>
      <c r="F7000" s="18" t="inlineStr">
        <is>
          <t>F0341, F0345, F0346</t>
        </is>
      </c>
    </row>
    <row r="7001" ht="15.75" customHeight="1" s="108">
      <c r="A7001" s="18" t="inlineStr">
        <is>
          <t>Daniel Cudmore</t>
        </is>
      </c>
      <c r="B7001" s="18" t="n">
        <v>3</v>
      </c>
      <c r="C7001" s="18" t="n">
        <v>2003</v>
      </c>
      <c r="D7001" s="18" t="n">
        <v>2014</v>
      </c>
      <c r="E7001" s="18" t="inlineStr">
        <is>
          <t>X-Men: Days of Future Past, X2: X-Men United, X-Men: The Last Stand</t>
        </is>
      </c>
      <c r="F7001" s="18" t="inlineStr">
        <is>
          <t>F0341, F0345, F0346</t>
        </is>
      </c>
    </row>
    <row r="7002" ht="15.75" customHeight="1" s="108">
      <c r="A7002" s="18" t="inlineStr">
        <is>
          <t>Fan Bingbing</t>
        </is>
      </c>
      <c r="B7002" s="18" t="n">
        <v>1</v>
      </c>
      <c r="C7002" s="18" t="n">
        <v>2014</v>
      </c>
      <c r="D7002" s="18" t="n">
        <v>2014</v>
      </c>
      <c r="E7002" s="18" t="inlineStr">
        <is>
          <t>X-Men: Days of Future Past</t>
        </is>
      </c>
      <c r="F7002" s="18" t="inlineStr">
        <is>
          <t>F0341</t>
        </is>
      </c>
    </row>
    <row r="7003" ht="15.75" customHeight="1" s="108">
      <c r="A7003" s="18" t="inlineStr">
        <is>
          <t>Adan Canto</t>
        </is>
      </c>
      <c r="B7003" s="18" t="n">
        <v>1</v>
      </c>
      <c r="C7003" s="18" t="n">
        <v>2014</v>
      </c>
      <c r="D7003" s="18" t="n">
        <v>2014</v>
      </c>
      <c r="E7003" s="18" t="inlineStr">
        <is>
          <t>X-Men: Days of Future Past</t>
        </is>
      </c>
      <c r="F7003" s="18" t="inlineStr">
        <is>
          <t>F0341</t>
        </is>
      </c>
    </row>
    <row r="7004" ht="15.75" customHeight="1" s="108">
      <c r="A7004" s="18" t="inlineStr">
        <is>
          <t>Booboo Stewart</t>
        </is>
      </c>
      <c r="B7004" s="18" t="n">
        <v>1</v>
      </c>
      <c r="C7004" s="18" t="n">
        <v>2014</v>
      </c>
      <c r="D7004" s="18" t="n">
        <v>2014</v>
      </c>
      <c r="E7004" s="18" t="inlineStr">
        <is>
          <t>X-Men: Days of Future Past</t>
        </is>
      </c>
      <c r="F7004" s="18" t="inlineStr">
        <is>
          <t>F0341</t>
        </is>
      </c>
    </row>
    <row r="7005" ht="15.75" customHeight="1" s="108">
      <c r="A7005" s="18" t="inlineStr">
        <is>
          <t>Evan Jonigkeit</t>
        </is>
      </c>
      <c r="B7005" s="18" t="n">
        <v>1</v>
      </c>
      <c r="C7005" s="18" t="n">
        <v>2014</v>
      </c>
      <c r="D7005" s="18" t="n">
        <v>2014</v>
      </c>
      <c r="E7005" s="18" t="inlineStr">
        <is>
          <t>X-Men: Days of Future Past</t>
        </is>
      </c>
      <c r="F7005" s="18" t="inlineStr">
        <is>
          <t>F0341</t>
        </is>
      </c>
    </row>
    <row r="7006" ht="15.75" customHeight="1" s="108">
      <c r="A7006" s="18" t="inlineStr">
        <is>
          <t>Mark Camacho</t>
        </is>
      </c>
      <c r="B7006" s="18" t="n">
        <v>1</v>
      </c>
      <c r="C7006" s="18" t="n">
        <v>2014</v>
      </c>
      <c r="D7006" s="18" t="n">
        <v>2014</v>
      </c>
      <c r="E7006" s="18" t="inlineStr">
        <is>
          <t>X-Men: Days of Future Past</t>
        </is>
      </c>
      <c r="F7006" s="18" t="inlineStr">
        <is>
          <t>F0341</t>
        </is>
      </c>
    </row>
    <row r="7007" ht="15.75" customHeight="1" s="108">
      <c r="A7007" s="18" t="inlineStr">
        <is>
          <t>Zehra Leverman</t>
        </is>
      </c>
      <c r="B7007" s="18" t="n">
        <v>1</v>
      </c>
      <c r="C7007" s="18" t="n">
        <v>2014</v>
      </c>
      <c r="D7007" s="18" t="n">
        <v>2014</v>
      </c>
      <c r="E7007" s="18" t="inlineStr">
        <is>
          <t>X-Men: Days of Future Past</t>
        </is>
      </c>
      <c r="F7007" s="18" t="inlineStr">
        <is>
          <t>F0341</t>
        </is>
      </c>
    </row>
    <row r="7008" ht="15.75" customHeight="1" s="108">
      <c r="A7008" s="18" t="inlineStr">
        <is>
          <t>Alexander Felici</t>
        </is>
      </c>
      <c r="B7008" s="18" t="n">
        <v>1</v>
      </c>
      <c r="C7008" s="18" t="n">
        <v>2014</v>
      </c>
      <c r="D7008" s="18" t="n">
        <v>2014</v>
      </c>
      <c r="E7008" s="18" t="inlineStr">
        <is>
          <t>X-Men: Days of Future Past</t>
        </is>
      </c>
      <c r="F7008" s="18" t="inlineStr">
        <is>
          <t>F0341</t>
        </is>
      </c>
    </row>
    <row r="7009" ht="15.75" customHeight="1" s="108">
      <c r="A7009" s="18" t="inlineStr">
        <is>
          <t>Massimo Cannistraro</t>
        </is>
      </c>
      <c r="B7009" s="18" t="n">
        <v>1</v>
      </c>
      <c r="C7009" s="18" t="n">
        <v>2014</v>
      </c>
      <c r="D7009" s="18" t="n">
        <v>2014</v>
      </c>
      <c r="E7009" s="18" t="inlineStr">
        <is>
          <t>X-Men: Days of Future Past</t>
        </is>
      </c>
      <c r="F7009" s="18" t="inlineStr">
        <is>
          <t>F0341</t>
        </is>
      </c>
    </row>
    <row r="7010" ht="15.75" customHeight="1" s="108">
      <c r="A7010" s="18" t="inlineStr">
        <is>
          <t>Sophie Turner</t>
        </is>
      </c>
      <c r="B7010" s="18" t="n">
        <v>2</v>
      </c>
      <c r="C7010" s="18" t="n">
        <v>2016</v>
      </c>
      <c r="D7010" s="18" t="n">
        <v>2022</v>
      </c>
      <c r="E7010" s="18" t="inlineStr">
        <is>
          <t>X-Men: Apocalypse, X-men dark phoenix</t>
        </is>
      </c>
      <c r="F7010" s="18" t="inlineStr">
        <is>
          <t>F0342, F0380</t>
        </is>
      </c>
    </row>
    <row r="7011" ht="15.75" customHeight="1" s="108">
      <c r="A7011" s="18" t="inlineStr">
        <is>
          <t>Tye Sheridan</t>
        </is>
      </c>
      <c r="B7011" s="18" t="n">
        <v>3</v>
      </c>
      <c r="C7011" s="18" t="n">
        <v>2016</v>
      </c>
      <c r="D7011" s="18" t="n">
        <v>2022</v>
      </c>
      <c r="E7011" s="18" t="inlineStr">
        <is>
          <t>X-Men: Apocalypse, Ready player one, X-men dark phoenix</t>
        </is>
      </c>
      <c r="F7011" s="18" t="inlineStr">
        <is>
          <t>F0342, F0352, F0380</t>
        </is>
      </c>
    </row>
    <row r="7012" ht="15.75" customHeight="1" s="108">
      <c r="A7012" s="18" t="inlineStr">
        <is>
          <t>Lana Condor</t>
        </is>
      </c>
      <c r="B7012" s="18" t="n">
        <v>1</v>
      </c>
      <c r="C7012" s="18" t="n">
        <v>2016</v>
      </c>
      <c r="D7012" s="18" t="n">
        <v>2016</v>
      </c>
      <c r="E7012" s="18" t="inlineStr">
        <is>
          <t>X-Men: Apocalypse</t>
        </is>
      </c>
      <c r="F7012" s="18" t="inlineStr">
        <is>
          <t>F0342</t>
        </is>
      </c>
    </row>
    <row r="7013" ht="15.75" customHeight="1" s="108">
      <c r="A7013" s="18" t="inlineStr">
        <is>
          <t>Warren Scherer</t>
        </is>
      </c>
      <c r="B7013" s="18" t="n">
        <v>1</v>
      </c>
      <c r="C7013" s="18" t="n">
        <v>2016</v>
      </c>
      <c r="D7013" s="18" t="n">
        <v>2016</v>
      </c>
      <c r="E7013" s="18" t="inlineStr">
        <is>
          <t>X-Men: Apocalypse</t>
        </is>
      </c>
      <c r="F7013" s="18" t="inlineStr">
        <is>
          <t>F0342</t>
        </is>
      </c>
    </row>
    <row r="7014" ht="15.75" customHeight="1" s="108">
      <c r="A7014" s="18" t="inlineStr">
        <is>
          <t>Rochelle Okoye</t>
        </is>
      </c>
      <c r="B7014" s="18" t="n">
        <v>1</v>
      </c>
      <c r="C7014" s="18" t="n">
        <v>2016</v>
      </c>
      <c r="D7014" s="18" t="n">
        <v>2016</v>
      </c>
      <c r="E7014" s="18" t="inlineStr">
        <is>
          <t>X-Men: Apocalypse</t>
        </is>
      </c>
      <c r="F7014" s="18" t="inlineStr">
        <is>
          <t>F0342</t>
        </is>
      </c>
    </row>
    <row r="7015" ht="15.75" customHeight="1" s="108">
      <c r="A7015" s="18" t="inlineStr">
        <is>
          <t>Monique Ganderton</t>
        </is>
      </c>
      <c r="B7015" s="18" t="n">
        <v>1</v>
      </c>
      <c r="C7015" s="18" t="n">
        <v>2016</v>
      </c>
      <c r="D7015" s="18" t="n">
        <v>2016</v>
      </c>
      <c r="E7015" s="18" t="inlineStr">
        <is>
          <t>X-Men: Apocalypse</t>
        </is>
      </c>
      <c r="F7015" s="18" t="inlineStr">
        <is>
          <t>F0342</t>
        </is>
      </c>
    </row>
    <row r="7016" ht="15.75" customHeight="1" s="108">
      <c r="A7016" s="18" t="inlineStr">
        <is>
          <t>Abdulla Hamam</t>
        </is>
      </c>
      <c r="B7016" s="18" t="n">
        <v>1</v>
      </c>
      <c r="C7016" s="18" t="n">
        <v>2016</v>
      </c>
      <c r="D7016" s="18" t="n">
        <v>2016</v>
      </c>
      <c r="E7016" s="18" t="inlineStr">
        <is>
          <t>X-Men: Apocalypse</t>
        </is>
      </c>
      <c r="F7016" s="18" t="inlineStr">
        <is>
          <t>F0342</t>
        </is>
      </c>
    </row>
    <row r="7017" ht="15.75" customHeight="1" s="108">
      <c r="A7017" s="18" t="inlineStr">
        <is>
          <t>Hesham Hammoud</t>
        </is>
      </c>
      <c r="B7017" s="18" t="n">
        <v>1</v>
      </c>
      <c r="C7017" s="18" t="n">
        <v>2016</v>
      </c>
      <c r="D7017" s="18" t="n">
        <v>2016</v>
      </c>
      <c r="E7017" s="18" t="inlineStr">
        <is>
          <t>X-Men: Apocalypse</t>
        </is>
      </c>
      <c r="F7017" s="18" t="inlineStr">
        <is>
          <t>F0342</t>
        </is>
      </c>
    </row>
    <row r="7018" ht="15.75" customHeight="1" s="108">
      <c r="A7018" s="18" t="inlineStr">
        <is>
          <t>Antonio Daniel Hidalgo</t>
        </is>
      </c>
      <c r="B7018" s="18" t="n">
        <v>1</v>
      </c>
      <c r="C7018" s="18" t="n">
        <v>2016</v>
      </c>
      <c r="D7018" s="18" t="n">
        <v>2016</v>
      </c>
      <c r="E7018" s="18" t="inlineStr">
        <is>
          <t>X-Men: Apocalypse</t>
        </is>
      </c>
      <c r="F7018" s="18" t="inlineStr">
        <is>
          <t>F0342</t>
        </is>
      </c>
    </row>
    <row r="7019" ht="15.75" customHeight="1" s="108">
      <c r="A7019" s="18" t="inlineStr">
        <is>
          <t>Al Maini</t>
        </is>
      </c>
      <c r="B7019" s="18" t="n">
        <v>1</v>
      </c>
      <c r="C7019" s="18" t="n">
        <v>2016</v>
      </c>
      <c r="D7019" s="18" t="n">
        <v>2016</v>
      </c>
      <c r="E7019" s="18" t="inlineStr">
        <is>
          <t>X-Men: Apocalypse</t>
        </is>
      </c>
      <c r="F7019" s="18" t="inlineStr">
        <is>
          <t>F0342</t>
        </is>
      </c>
    </row>
    <row r="7020" ht="15.75" customHeight="1" s="108">
      <c r="A7020" s="18" t="inlineStr">
        <is>
          <t>Berdj Garabedian</t>
        </is>
      </c>
      <c r="B7020" s="18" t="n">
        <v>1</v>
      </c>
      <c r="C7020" s="18" t="n">
        <v>2016</v>
      </c>
      <c r="D7020" s="18" t="n">
        <v>2016</v>
      </c>
      <c r="E7020" s="18" t="inlineStr">
        <is>
          <t>X-Men: Apocalypse</t>
        </is>
      </c>
      <c r="F7020" s="18" t="inlineStr">
        <is>
          <t>F0342</t>
        </is>
      </c>
    </row>
    <row r="7021" ht="15.75" customHeight="1" s="108">
      <c r="A7021" s="18" t="inlineStr">
        <is>
          <t>Anthony Konechny</t>
        </is>
      </c>
      <c r="B7021" s="18" t="n">
        <v>1</v>
      </c>
      <c r="C7021" s="18" t="n">
        <v>2016</v>
      </c>
      <c r="D7021" s="18" t="n">
        <v>2016</v>
      </c>
      <c r="E7021" s="18" t="inlineStr">
        <is>
          <t>X-Men: Apocalypse</t>
        </is>
      </c>
      <c r="F7021" s="18" t="inlineStr">
        <is>
          <t>F0342</t>
        </is>
      </c>
    </row>
    <row r="7022" ht="15.75" customHeight="1" s="108">
      <c r="A7022" s="18" t="inlineStr">
        <is>
          <t>Emma Elle Paterson</t>
        </is>
      </c>
      <c r="B7022" s="18" t="n">
        <v>1</v>
      </c>
      <c r="C7022" s="18" t="n">
        <v>2016</v>
      </c>
      <c r="D7022" s="18" t="n">
        <v>2016</v>
      </c>
      <c r="E7022" s="18" t="inlineStr">
        <is>
          <t>X-Men: Apocalypse</t>
        </is>
      </c>
      <c r="F7022" s="18" t="inlineStr">
        <is>
          <t>F0342</t>
        </is>
      </c>
    </row>
    <row r="7023" ht="15.75" customHeight="1" s="108">
      <c r="A7023" s="18" t="inlineStr">
        <is>
          <t>Manuel Sinor</t>
        </is>
      </c>
      <c r="B7023" s="18" t="n">
        <v>1</v>
      </c>
      <c r="C7023" s="18" t="n">
        <v>2016</v>
      </c>
      <c r="D7023" s="18" t="n">
        <v>2016</v>
      </c>
      <c r="E7023" s="18" t="inlineStr">
        <is>
          <t>X-Men: Apocalypse</t>
        </is>
      </c>
      <c r="F7023" s="18" t="inlineStr">
        <is>
          <t>F0342</t>
        </is>
      </c>
    </row>
    <row r="7024" ht="15.75" customHeight="1" s="108">
      <c r="A7024" s="18" t="inlineStr">
        <is>
          <t>Gustave Ouimet</t>
        </is>
      </c>
      <c r="B7024" s="18" t="n">
        <v>1</v>
      </c>
      <c r="C7024" s="18" t="n">
        <v>2016</v>
      </c>
      <c r="D7024" s="18" t="n">
        <v>2016</v>
      </c>
      <c r="E7024" s="18" t="inlineStr">
        <is>
          <t>X-Men: Apocalypse</t>
        </is>
      </c>
      <c r="F7024" s="18" t="inlineStr">
        <is>
          <t>F0342</t>
        </is>
      </c>
    </row>
    <row r="7025" ht="15.75" customHeight="1" s="108">
      <c r="A7025" s="18" t="inlineStr">
        <is>
          <t>Tim Pocock</t>
        </is>
      </c>
      <c r="B7025" s="18" t="n">
        <v>1</v>
      </c>
      <c r="C7025" s="18" t="n">
        <v>2009</v>
      </c>
      <c r="D7025" s="18" t="n">
        <v>2009</v>
      </c>
      <c r="E7025" s="18" t="inlineStr">
        <is>
          <t>X-Men Origins: Wolverine</t>
        </is>
      </c>
      <c r="F7025" s="18" t="inlineStr">
        <is>
          <t>F0343</t>
        </is>
      </c>
    </row>
    <row r="7026" ht="15.75" customHeight="1" s="108">
      <c r="A7026" s="18" t="inlineStr">
        <is>
          <t>Julia Blake</t>
        </is>
      </c>
      <c r="B7026" s="18" t="n">
        <v>1</v>
      </c>
      <c r="C7026" s="18" t="n">
        <v>2009</v>
      </c>
      <c r="D7026" s="18" t="n">
        <v>2009</v>
      </c>
      <c r="E7026" s="18" t="inlineStr">
        <is>
          <t>X-Men Origins: Wolverine</t>
        </is>
      </c>
      <c r="F7026" s="18" t="inlineStr">
        <is>
          <t>F0343</t>
        </is>
      </c>
    </row>
    <row r="7027" ht="15.75" customHeight="1" s="108">
      <c r="A7027" s="18" t="inlineStr">
        <is>
          <t>Troye Sivan</t>
        </is>
      </c>
      <c r="B7027" s="18" t="n">
        <v>1</v>
      </c>
      <c r="C7027" s="18" t="n">
        <v>2009</v>
      </c>
      <c r="D7027" s="18" t="n">
        <v>2009</v>
      </c>
      <c r="E7027" s="18" t="inlineStr">
        <is>
          <t>X-Men Origins: Wolverine</t>
        </is>
      </c>
      <c r="F7027" s="18" t="inlineStr">
        <is>
          <t>F0343</t>
        </is>
      </c>
    </row>
    <row r="7028" ht="15.75" customHeight="1" s="108">
      <c r="A7028" s="18" t="inlineStr">
        <is>
          <t>Michael-James Olsen</t>
        </is>
      </c>
      <c r="B7028" s="18" t="n">
        <v>1</v>
      </c>
      <c r="C7028" s="18" t="n">
        <v>2009</v>
      </c>
      <c r="D7028" s="18" t="n">
        <v>2009</v>
      </c>
      <c r="E7028" s="18" t="inlineStr">
        <is>
          <t>X-Men Origins: Wolverine</t>
        </is>
      </c>
      <c r="F7028" s="18" t="inlineStr">
        <is>
          <t>F0343</t>
        </is>
      </c>
    </row>
    <row r="7029" ht="15.75" customHeight="1" s="108">
      <c r="A7029" s="18" t="inlineStr">
        <is>
          <t>Peter O'Brien</t>
        </is>
      </c>
      <c r="B7029" s="18" t="n">
        <v>1</v>
      </c>
      <c r="C7029" s="18" t="n">
        <v>2009</v>
      </c>
      <c r="D7029" s="18" t="n">
        <v>2009</v>
      </c>
      <c r="E7029" s="18" t="inlineStr">
        <is>
          <t>X-Men Origins: Wolverine</t>
        </is>
      </c>
      <c r="F7029" s="18" t="inlineStr">
        <is>
          <t>F0343</t>
        </is>
      </c>
    </row>
    <row r="7030" ht="15.75" customHeight="1" s="108">
      <c r="A7030" s="18" t="inlineStr">
        <is>
          <t>Aaron Jeffery</t>
        </is>
      </c>
      <c r="B7030" s="18" t="n">
        <v>1</v>
      </c>
      <c r="C7030" s="18" t="n">
        <v>2009</v>
      </c>
      <c r="D7030" s="18" t="n">
        <v>2009</v>
      </c>
      <c r="E7030" s="18" t="inlineStr">
        <is>
          <t>X-Men Origins: Wolverine</t>
        </is>
      </c>
      <c r="F7030" s="18" t="inlineStr">
        <is>
          <t>F0343</t>
        </is>
      </c>
    </row>
    <row r="7031" ht="15.75" customHeight="1" s="108">
      <c r="A7031" s="18" t="inlineStr">
        <is>
          <t>Alice Parkinson</t>
        </is>
      </c>
      <c r="B7031" s="18" t="n">
        <v>1</v>
      </c>
      <c r="C7031" s="18" t="n">
        <v>2009</v>
      </c>
      <c r="D7031" s="18" t="n">
        <v>2009</v>
      </c>
      <c r="E7031" s="18" t="inlineStr">
        <is>
          <t>X-Men Origins: Wolverine</t>
        </is>
      </c>
      <c r="F7031" s="18" t="inlineStr">
        <is>
          <t>F0343</t>
        </is>
      </c>
    </row>
    <row r="7032" ht="15.75" customHeight="1" s="108">
      <c r="A7032" s="18" t="inlineStr">
        <is>
          <t>Philip A. Patterson</t>
        </is>
      </c>
      <c r="B7032" s="18" t="n">
        <v>1</v>
      </c>
      <c r="C7032" s="18" t="n">
        <v>2009</v>
      </c>
      <c r="D7032" s="18" t="n">
        <v>2009</v>
      </c>
      <c r="E7032" s="18" t="inlineStr">
        <is>
          <t>X-Men Origins: Wolverine</t>
        </is>
      </c>
      <c r="F7032" s="18" t="inlineStr">
        <is>
          <t>F0343</t>
        </is>
      </c>
    </row>
    <row r="7033" ht="15.75" customHeight="1" s="108">
      <c r="A7033" s="18" t="inlineStr">
        <is>
          <t>Anthony Gee</t>
        </is>
      </c>
      <c r="B7033" s="18" t="n">
        <v>1</v>
      </c>
      <c r="C7033" s="18" t="n">
        <v>2009</v>
      </c>
      <c r="D7033" s="18" t="n">
        <v>2009</v>
      </c>
      <c r="E7033" s="18" t="inlineStr">
        <is>
          <t>X-Men Origins: Wolverine</t>
        </is>
      </c>
      <c r="F7033" s="18" t="inlineStr">
        <is>
          <t>F0343</t>
        </is>
      </c>
    </row>
    <row r="7034" ht="15.75" customHeight="1" s="108">
      <c r="A7034" s="18" t="inlineStr">
        <is>
          <t>Karl Beattie</t>
        </is>
      </c>
      <c r="B7034" s="18" t="n">
        <v>1</v>
      </c>
      <c r="C7034" s="18" t="n">
        <v>2009</v>
      </c>
      <c r="D7034" s="18" t="n">
        <v>2009</v>
      </c>
      <c r="E7034" s="18" t="inlineStr">
        <is>
          <t>X-Men Origins: Wolverine</t>
        </is>
      </c>
      <c r="F7034" s="18" t="inlineStr">
        <is>
          <t>F0343</t>
        </is>
      </c>
    </row>
    <row r="7035" ht="15.75" customHeight="1" s="108">
      <c r="A7035" s="18" t="inlineStr">
        <is>
          <t>Tom O'Sullivan</t>
        </is>
      </c>
      <c r="B7035" s="18" t="n">
        <v>2</v>
      </c>
      <c r="C7035" s="18" t="n">
        <v>2009</v>
      </c>
      <c r="D7035" s="18" t="n">
        <v>2017</v>
      </c>
      <c r="E7035" s="18" t="inlineStr">
        <is>
          <t>X-Men Origins: Wolverine, alien covenant</t>
        </is>
      </c>
      <c r="F7035" s="18" t="inlineStr">
        <is>
          <t>F0343, F0361</t>
        </is>
      </c>
    </row>
    <row r="7036" ht="15.75" customHeight="1" s="108">
      <c r="A7036" s="18" t="inlineStr">
        <is>
          <t>Myles Pollard</t>
        </is>
      </c>
      <c r="B7036" s="18" t="n">
        <v>1</v>
      </c>
      <c r="C7036" s="18" t="n">
        <v>2009</v>
      </c>
      <c r="D7036" s="18" t="n">
        <v>2009</v>
      </c>
      <c r="E7036" s="18" t="inlineStr">
        <is>
          <t>X-Men Origins: Wolverine</t>
        </is>
      </c>
      <c r="F7036" s="18" t="inlineStr">
        <is>
          <t>F0343</t>
        </is>
      </c>
    </row>
    <row r="7037" ht="15.75" customHeight="1" s="108">
      <c r="A7037" s="18" t="inlineStr">
        <is>
          <t>Stephen Anderton</t>
        </is>
      </c>
      <c r="B7037" s="18" t="n">
        <v>1</v>
      </c>
      <c r="C7037" s="18" t="n">
        <v>2009</v>
      </c>
      <c r="D7037" s="18" t="n">
        <v>2009</v>
      </c>
      <c r="E7037" s="18" t="inlineStr">
        <is>
          <t>X-Men Origins: Wolverine</t>
        </is>
      </c>
      <c r="F7037" s="18" t="inlineStr">
        <is>
          <t>F0343</t>
        </is>
      </c>
    </row>
    <row r="7038" ht="15.75" customHeight="1" s="108">
      <c r="A7038" s="18" t="inlineStr">
        <is>
          <t>Chris Sadrinna</t>
        </is>
      </c>
      <c r="B7038" s="18" t="n">
        <v>1</v>
      </c>
      <c r="C7038" s="18" t="n">
        <v>2009</v>
      </c>
      <c r="D7038" s="18" t="n">
        <v>2009</v>
      </c>
      <c r="E7038" s="18" t="inlineStr">
        <is>
          <t>X-Men Origins: Wolverine</t>
        </is>
      </c>
      <c r="F7038" s="18" t="inlineStr">
        <is>
          <t>F0343</t>
        </is>
      </c>
    </row>
    <row r="7039" ht="15.75" customHeight="1" s="108">
      <c r="A7039" s="18" t="inlineStr">
        <is>
          <t>Septimus Caton</t>
        </is>
      </c>
      <c r="B7039" s="18" t="n">
        <v>1</v>
      </c>
      <c r="C7039" s="18" t="n">
        <v>2009</v>
      </c>
      <c r="D7039" s="18" t="n">
        <v>2009</v>
      </c>
      <c r="E7039" s="18" t="inlineStr">
        <is>
          <t>X-Men Origins: Wolverine</t>
        </is>
      </c>
      <c r="F7039" s="18" t="inlineStr">
        <is>
          <t>F0343</t>
        </is>
      </c>
    </row>
    <row r="7040" ht="15.75" customHeight="1" s="108">
      <c r="A7040" s="18" t="inlineStr">
        <is>
          <t>Matthew Dale</t>
        </is>
      </c>
      <c r="B7040" s="18" t="n">
        <v>1</v>
      </c>
      <c r="C7040" s="18" t="n">
        <v>2009</v>
      </c>
      <c r="D7040" s="18" t="n">
        <v>2009</v>
      </c>
      <c r="E7040" s="18" t="inlineStr">
        <is>
          <t>X-Men Origins: Wolverine</t>
        </is>
      </c>
      <c r="F7040" s="18" t="inlineStr">
        <is>
          <t>F0343</t>
        </is>
      </c>
    </row>
    <row r="7041" ht="15.75" customHeight="1" s="108">
      <c r="A7041" s="18" t="inlineStr">
        <is>
          <t>Nathin Art Butler</t>
        </is>
      </c>
      <c r="B7041" s="18" t="n">
        <v>1</v>
      </c>
      <c r="C7041" s="18" t="n">
        <v>2009</v>
      </c>
      <c r="D7041" s="18" t="n">
        <v>2009</v>
      </c>
      <c r="E7041" s="18" t="inlineStr">
        <is>
          <t>X-Men Origins: Wolverine</t>
        </is>
      </c>
      <c r="F7041" s="18" t="inlineStr">
        <is>
          <t>F0343</t>
        </is>
      </c>
    </row>
    <row r="7042" ht="15.75" customHeight="1" s="108">
      <c r="A7042" s="18" t="inlineStr">
        <is>
          <t>Peter Barry</t>
        </is>
      </c>
      <c r="B7042" s="18" t="n">
        <v>1</v>
      </c>
      <c r="C7042" s="18" t="n">
        <v>2009</v>
      </c>
      <c r="D7042" s="18" t="n">
        <v>2009</v>
      </c>
      <c r="E7042" s="18" t="inlineStr">
        <is>
          <t>X-Men Origins: Wolverine</t>
        </is>
      </c>
      <c r="F7042" s="18" t="inlineStr">
        <is>
          <t>F0343</t>
        </is>
      </c>
    </row>
    <row r="7043" ht="15.75" customHeight="1" s="108">
      <c r="A7043" s="18" t="inlineStr">
        <is>
          <t>Bruce Davison</t>
        </is>
      </c>
      <c r="B7043" s="18" t="n">
        <v>2</v>
      </c>
      <c r="C7043" s="18" t="n">
        <v>2000</v>
      </c>
      <c r="D7043" s="18" t="n">
        <v>2003</v>
      </c>
      <c r="E7043" s="18" t="inlineStr">
        <is>
          <t>X-Men, X2: X-Men United</t>
        </is>
      </c>
      <c r="F7043" s="18" t="inlineStr">
        <is>
          <t>F0344, F0345</t>
        </is>
      </c>
    </row>
    <row r="7044" ht="15.75" customHeight="1" s="108">
      <c r="A7044" s="18" t="inlineStr">
        <is>
          <t>Terry Anzur</t>
        </is>
      </c>
      <c r="B7044" s="18" t="n">
        <v>1</v>
      </c>
      <c r="C7044" s="18" t="n">
        <v>2000</v>
      </c>
      <c r="D7044" s="18" t="n">
        <v>2000</v>
      </c>
      <c r="E7044" s="18" t="inlineStr">
        <is>
          <t>X-Men</t>
        </is>
      </c>
      <c r="F7044" s="18" t="inlineStr">
        <is>
          <t>F0344</t>
        </is>
      </c>
    </row>
    <row r="7045" ht="15.75" customHeight="1" s="108">
      <c r="A7045" s="18" t="inlineStr">
        <is>
          <t>Bryan Singer</t>
        </is>
      </c>
      <c r="B7045" s="18" t="n">
        <v>1</v>
      </c>
      <c r="C7045" s="18" t="n">
        <v>2000</v>
      </c>
      <c r="D7045" s="18" t="n">
        <v>2000</v>
      </c>
      <c r="E7045" s="18" t="inlineStr">
        <is>
          <t>X-Men</t>
        </is>
      </c>
      <c r="F7045" s="18" t="inlineStr">
        <is>
          <t>F0344</t>
        </is>
      </c>
    </row>
    <row r="7046" ht="15.75" customHeight="1" s="108">
      <c r="A7046" s="18" t="inlineStr">
        <is>
          <t>Tom DeSanto</t>
        </is>
      </c>
      <c r="B7046" s="18" t="n">
        <v>1</v>
      </c>
      <c r="C7046" s="18" t="n">
        <v>2000</v>
      </c>
      <c r="D7046" s="18" t="n">
        <v>2000</v>
      </c>
      <c r="E7046" s="18" t="inlineStr">
        <is>
          <t>X-Men</t>
        </is>
      </c>
      <c r="F7046" s="18" t="inlineStr">
        <is>
          <t>F0344</t>
        </is>
      </c>
    </row>
    <row r="7047" ht="15.75" customHeight="1" s="108">
      <c r="A7047" s="18" t="inlineStr">
        <is>
          <t>Dick Anthony Williams</t>
        </is>
      </c>
      <c r="B7047" s="18" t="n">
        <v>1</v>
      </c>
      <c r="C7047" s="18" t="n">
        <v>2000</v>
      </c>
      <c r="D7047" s="18" t="n">
        <v>2000</v>
      </c>
      <c r="E7047" s="18" t="inlineStr">
        <is>
          <t>X-Men</t>
        </is>
      </c>
      <c r="F7047" s="18" t="inlineStr">
        <is>
          <t>F0344</t>
        </is>
      </c>
    </row>
    <row r="7048" ht="15.75" customHeight="1" s="108">
      <c r="A7048" s="18" t="inlineStr">
        <is>
          <t>Lauren Shuler Donner</t>
        </is>
      </c>
      <c r="B7048" s="18" t="n">
        <v>1</v>
      </c>
      <c r="C7048" s="18" t="n">
        <v>2000</v>
      </c>
      <c r="D7048" s="18" t="n">
        <v>2000</v>
      </c>
      <c r="E7048" s="18" t="inlineStr">
        <is>
          <t>X-Men</t>
        </is>
      </c>
      <c r="F7048" s="18" t="inlineStr">
        <is>
          <t>F0344</t>
        </is>
      </c>
    </row>
    <row r="7049" ht="15.75" customHeight="1" s="108">
      <c r="A7049" s="18" t="inlineStr">
        <is>
          <t>Patti Yasutake</t>
        </is>
      </c>
      <c r="B7049" s="18" t="n">
        <v>1</v>
      </c>
      <c r="C7049" s="18" t="n">
        <v>2000</v>
      </c>
      <c r="D7049" s="18" t="n">
        <v>2000</v>
      </c>
      <c r="E7049" s="18" t="inlineStr">
        <is>
          <t>X-Men</t>
        </is>
      </c>
      <c r="F7049" s="18" t="inlineStr">
        <is>
          <t>F0344</t>
        </is>
      </c>
    </row>
    <row r="7050" ht="15.75" customHeight="1" s="108">
      <c r="A7050" s="18" t="inlineStr">
        <is>
          <t>Rebecca Romijn</t>
        </is>
      </c>
      <c r="B7050" s="18" t="n">
        <v>3</v>
      </c>
      <c r="C7050" s="18" t="n">
        <v>2000</v>
      </c>
      <c r="D7050" s="18" t="n">
        <v>2006</v>
      </c>
      <c r="E7050" s="18" t="inlineStr">
        <is>
          <t>X-Men, X2: X-Men United, X-Men: The Last Stand</t>
        </is>
      </c>
      <c r="F7050" s="18" t="inlineStr">
        <is>
          <t>F0344, F0345, F0346</t>
        </is>
      </c>
    </row>
    <row r="7051" ht="15.75" customHeight="1" s="108">
      <c r="A7051" s="18" t="inlineStr">
        <is>
          <t>Doug McGrath</t>
        </is>
      </c>
      <c r="B7051" s="18" t="n">
        <v>1</v>
      </c>
      <c r="C7051" s="18" t="n">
        <v>2000</v>
      </c>
      <c r="D7051" s="18" t="n">
        <v>2000</v>
      </c>
      <c r="E7051" s="18" t="inlineStr">
        <is>
          <t>X-Men</t>
        </is>
      </c>
      <c r="F7051" s="18" t="inlineStr">
        <is>
          <t>F0344</t>
        </is>
      </c>
    </row>
    <row r="7052" ht="15.75" customHeight="1" s="108">
      <c r="A7052" s="18" t="inlineStr">
        <is>
          <t>Gordon J. Smith</t>
        </is>
      </c>
      <c r="B7052" s="18" t="n">
        <v>1</v>
      </c>
      <c r="C7052" s="18" t="n">
        <v>2000</v>
      </c>
      <c r="D7052" s="18" t="n">
        <v>2000</v>
      </c>
      <c r="E7052" s="18" t="inlineStr">
        <is>
          <t>X-Men</t>
        </is>
      </c>
      <c r="F7052" s="18" t="inlineStr">
        <is>
          <t>F0344</t>
        </is>
      </c>
    </row>
    <row r="7053" ht="15.75" customHeight="1" s="108">
      <c r="A7053" s="18" t="inlineStr">
        <is>
          <t>Bob Harras</t>
        </is>
      </c>
      <c r="B7053" s="18" t="n">
        <v>1</v>
      </c>
      <c r="C7053" s="18" t="n">
        <v>2000</v>
      </c>
      <c r="D7053" s="18" t="n">
        <v>2000</v>
      </c>
      <c r="E7053" s="18" t="inlineStr">
        <is>
          <t>X-Men</t>
        </is>
      </c>
      <c r="F7053" s="18" t="inlineStr">
        <is>
          <t>F0344</t>
        </is>
      </c>
    </row>
    <row r="7054" ht="15.75" customHeight="1" s="108">
      <c r="A7054" s="18" t="inlineStr">
        <is>
          <t>Avi Arad</t>
        </is>
      </c>
      <c r="B7054" s="18" t="n">
        <v>1</v>
      </c>
      <c r="C7054" s="18" t="n">
        <v>2000</v>
      </c>
      <c r="D7054" s="18" t="n">
        <v>2000</v>
      </c>
      <c r="E7054" s="18" t="inlineStr">
        <is>
          <t>X-Men</t>
        </is>
      </c>
      <c r="F7054" s="18" t="inlineStr">
        <is>
          <t>F0344</t>
        </is>
      </c>
    </row>
    <row r="7055" ht="15.75" customHeight="1" s="108">
      <c r="A7055" s="18" t="inlineStr">
        <is>
          <t>Samantha Brooks</t>
        </is>
      </c>
      <c r="B7055" s="18" t="n">
        <v>1</v>
      </c>
      <c r="C7055" s="18" t="n">
        <v>2000</v>
      </c>
      <c r="D7055" s="18" t="n">
        <v>2000</v>
      </c>
      <c r="E7055" s="18" t="inlineStr">
        <is>
          <t>X-Men</t>
        </is>
      </c>
      <c r="F7055" s="18" t="inlineStr">
        <is>
          <t>F0344</t>
        </is>
      </c>
    </row>
    <row r="7056" ht="15.75" customHeight="1" s="108">
      <c r="A7056" s="18" t="inlineStr">
        <is>
          <t>Alan Cumming</t>
        </is>
      </c>
      <c r="B7056" s="18" t="n">
        <v>1</v>
      </c>
      <c r="C7056" s="18" t="n">
        <v>2003</v>
      </c>
      <c r="D7056" s="18" t="n">
        <v>2003</v>
      </c>
      <c r="E7056" s="18" t="inlineStr">
        <is>
          <t>X2: X-Men United</t>
        </is>
      </c>
      <c r="F7056" s="18" t="inlineStr">
        <is>
          <t>F0345</t>
        </is>
      </c>
    </row>
    <row r="7057" ht="15.75" customHeight="1" s="108">
      <c r="A7057" s="18" t="inlineStr">
        <is>
          <t>Kelly Hu</t>
        </is>
      </c>
      <c r="B7057" s="18" t="n">
        <v>1</v>
      </c>
      <c r="C7057" s="18" t="n">
        <v>2003</v>
      </c>
      <c r="D7057" s="18" t="n">
        <v>2003</v>
      </c>
      <c r="E7057" s="18" t="inlineStr">
        <is>
          <t>X2: X-Men United</t>
        </is>
      </c>
      <c r="F7057" s="18" t="inlineStr">
        <is>
          <t>F0345</t>
        </is>
      </c>
    </row>
    <row r="7058" ht="15.75" customHeight="1" s="108">
      <c r="A7058" s="18" t="inlineStr">
        <is>
          <t>Katie Stuart</t>
        </is>
      </c>
      <c r="B7058" s="18" t="n">
        <v>1</v>
      </c>
      <c r="C7058" s="18" t="n">
        <v>2003</v>
      </c>
      <c r="D7058" s="18" t="n">
        <v>2003</v>
      </c>
      <c r="E7058" s="18" t="inlineStr">
        <is>
          <t>X2: X-Men United</t>
        </is>
      </c>
      <c r="F7058" s="18" t="inlineStr">
        <is>
          <t>F0345</t>
        </is>
      </c>
    </row>
    <row r="7059" ht="15.75" customHeight="1" s="108">
      <c r="A7059" s="18" t="inlineStr">
        <is>
          <t>Cotter Smith</t>
        </is>
      </c>
      <c r="B7059" s="18" t="n">
        <v>1</v>
      </c>
      <c r="C7059" s="18" t="n">
        <v>2003</v>
      </c>
      <c r="D7059" s="18" t="n">
        <v>2003</v>
      </c>
      <c r="E7059" s="18" t="inlineStr">
        <is>
          <t>X2: X-Men United</t>
        </is>
      </c>
      <c r="F7059" s="18" t="inlineStr">
        <is>
          <t>F0345</t>
        </is>
      </c>
    </row>
    <row r="7060" ht="15.75" customHeight="1" s="108">
      <c r="A7060" s="18" t="inlineStr">
        <is>
          <t>James Kirk</t>
        </is>
      </c>
      <c r="B7060" s="18" t="n">
        <v>1</v>
      </c>
      <c r="C7060" s="18" t="n">
        <v>2003</v>
      </c>
      <c r="D7060" s="18" t="n">
        <v>2003</v>
      </c>
      <c r="E7060" s="18" t="inlineStr">
        <is>
          <t>X2: X-Men United</t>
        </is>
      </c>
      <c r="F7060" s="18" t="inlineStr">
        <is>
          <t>F0345</t>
        </is>
      </c>
    </row>
    <row r="7061" ht="15.75" customHeight="1" s="108">
      <c r="A7061" s="18" t="inlineStr">
        <is>
          <t>Jill Teed</t>
        </is>
      </c>
      <c r="B7061" s="18" t="n">
        <v>1</v>
      </c>
      <c r="C7061" s="18" t="n">
        <v>2003</v>
      </c>
      <c r="D7061" s="18" t="n">
        <v>2003</v>
      </c>
      <c r="E7061" s="18" t="inlineStr">
        <is>
          <t>X2: X-Men United</t>
        </is>
      </c>
      <c r="F7061" s="18" t="inlineStr">
        <is>
          <t>F0345</t>
        </is>
      </c>
    </row>
    <row r="7062" ht="15.75" customHeight="1" s="108">
      <c r="A7062" s="18" t="inlineStr">
        <is>
          <t>Alf Humphreys</t>
        </is>
      </c>
      <c r="B7062" s="18" t="n">
        <v>1</v>
      </c>
      <c r="C7062" s="18" t="n">
        <v>2003</v>
      </c>
      <c r="D7062" s="18" t="n">
        <v>2003</v>
      </c>
      <c r="E7062" s="18" t="inlineStr">
        <is>
          <t>X2: X-Men United</t>
        </is>
      </c>
      <c r="F7062" s="18" t="inlineStr">
        <is>
          <t>F0345</t>
        </is>
      </c>
    </row>
    <row r="7063" ht="15.75" customHeight="1" s="108">
      <c r="A7063" s="18" t="inlineStr">
        <is>
          <t>Kea Wong</t>
        </is>
      </c>
      <c r="B7063" s="18" t="n">
        <v>1</v>
      </c>
      <c r="C7063" s="18" t="n">
        <v>2003</v>
      </c>
      <c r="D7063" s="18" t="n">
        <v>2003</v>
      </c>
      <c r="E7063" s="18" t="inlineStr">
        <is>
          <t>X2: X-Men United</t>
        </is>
      </c>
      <c r="F7063" s="18" t="inlineStr">
        <is>
          <t>F0345</t>
        </is>
      </c>
    </row>
    <row r="7064" ht="15.75" customHeight="1" s="108">
      <c r="A7064" s="18" t="inlineStr">
        <is>
          <t>Chiara Zanni</t>
        </is>
      </c>
      <c r="B7064" s="18" t="n">
        <v>1</v>
      </c>
      <c r="C7064" s="18" t="n">
        <v>2003</v>
      </c>
      <c r="D7064" s="18" t="n">
        <v>2003</v>
      </c>
      <c r="E7064" s="18" t="inlineStr">
        <is>
          <t>X2: X-Men United</t>
        </is>
      </c>
      <c r="F7064" s="18" t="inlineStr">
        <is>
          <t>F0345</t>
        </is>
      </c>
    </row>
    <row r="7065" ht="15.75" customHeight="1" s="108">
      <c r="A7065" s="18" t="inlineStr">
        <is>
          <t>Jackie A. Greenbank</t>
        </is>
      </c>
      <c r="B7065" s="18" t="n">
        <v>1</v>
      </c>
      <c r="C7065" s="18" t="n">
        <v>2003</v>
      </c>
      <c r="D7065" s="18" t="n">
        <v>2003</v>
      </c>
      <c r="E7065" s="18" t="inlineStr">
        <is>
          <t>X2: X-Men United</t>
        </is>
      </c>
      <c r="F7065" s="18" t="inlineStr">
        <is>
          <t>F0345</t>
        </is>
      </c>
    </row>
    <row r="7066" ht="15.75" customHeight="1" s="108">
      <c r="A7066" s="18" t="inlineStr">
        <is>
          <t>Michael Soltis</t>
        </is>
      </c>
      <c r="B7066" s="18" t="n">
        <v>1</v>
      </c>
      <c r="C7066" s="18" t="n">
        <v>2003</v>
      </c>
      <c r="D7066" s="18" t="n">
        <v>2003</v>
      </c>
      <c r="E7066" s="18" t="inlineStr">
        <is>
          <t>X2: X-Men United</t>
        </is>
      </c>
      <c r="F7066" s="18" t="inlineStr">
        <is>
          <t>F0345</t>
        </is>
      </c>
    </row>
    <row r="7067" ht="15.75" customHeight="1" s="108">
      <c r="A7067" s="18" t="inlineStr">
        <is>
          <t>Michael David Simms</t>
        </is>
      </c>
      <c r="B7067" s="18" t="n">
        <v>1</v>
      </c>
      <c r="C7067" s="18" t="n">
        <v>2003</v>
      </c>
      <c r="D7067" s="18" t="n">
        <v>2003</v>
      </c>
      <c r="E7067" s="18" t="inlineStr">
        <is>
          <t>X2: X-Men United</t>
        </is>
      </c>
      <c r="F7067" s="18" t="inlineStr">
        <is>
          <t>F0345</t>
        </is>
      </c>
    </row>
    <row r="7068" ht="15.75" customHeight="1" s="108">
      <c r="A7068" s="18" t="inlineStr">
        <is>
          <t>David Fabrizio</t>
        </is>
      </c>
      <c r="B7068" s="18" t="n">
        <v>1</v>
      </c>
      <c r="C7068" s="18" t="n">
        <v>2003</v>
      </c>
      <c r="D7068" s="18" t="n">
        <v>2003</v>
      </c>
      <c r="E7068" s="18" t="inlineStr">
        <is>
          <t>X2: X-Men United</t>
        </is>
      </c>
      <c r="F7068" s="18" t="inlineStr">
        <is>
          <t>F0345</t>
        </is>
      </c>
    </row>
    <row r="7069" ht="15.75" customHeight="1" s="108">
      <c r="A7069" s="18" t="inlineStr">
        <is>
          <t>Richard Bradshaw</t>
        </is>
      </c>
      <c r="B7069" s="18" t="n">
        <v>1</v>
      </c>
      <c r="C7069" s="18" t="n">
        <v>2003</v>
      </c>
      <c r="D7069" s="18" t="n">
        <v>2003</v>
      </c>
      <c r="E7069" s="18" t="inlineStr">
        <is>
          <t>X2: X-Men United</t>
        </is>
      </c>
      <c r="F7069" s="18" t="inlineStr">
        <is>
          <t>F0345</t>
        </is>
      </c>
    </row>
    <row r="7070" ht="15.75" customHeight="1" s="108">
      <c r="A7070" s="18" t="inlineStr">
        <is>
          <t>Vinnie Jones</t>
        </is>
      </c>
      <c r="B7070" s="18" t="n">
        <v>1</v>
      </c>
      <c r="C7070" s="18" t="n">
        <v>2006</v>
      </c>
      <c r="D7070" s="18" t="n">
        <v>2006</v>
      </c>
      <c r="E7070" s="18" t="inlineStr">
        <is>
          <t>X-Men: The Last Stand</t>
        </is>
      </c>
      <c r="F7070" s="18" t="inlineStr">
        <is>
          <t>F0346</t>
        </is>
      </c>
    </row>
    <row r="7071" ht="15.75" customHeight="1" s="108">
      <c r="A7071" s="18" t="inlineStr">
        <is>
          <t>Dania Ramirez</t>
        </is>
      </c>
      <c r="B7071" s="18" t="n">
        <v>1</v>
      </c>
      <c r="C7071" s="18" t="n">
        <v>2006</v>
      </c>
      <c r="D7071" s="18" t="n">
        <v>2006</v>
      </c>
      <c r="E7071" s="18" t="inlineStr">
        <is>
          <t>X-Men: The Last Stand</t>
        </is>
      </c>
      <c r="F7071" s="18" t="inlineStr">
        <is>
          <t>F0346</t>
        </is>
      </c>
    </row>
    <row r="7072" ht="15.75" customHeight="1" s="108">
      <c r="A7072" s="18" t="inlineStr">
        <is>
          <t>Shohreh Aghdashloo</t>
        </is>
      </c>
      <c r="B7072" s="18" t="n">
        <v>1</v>
      </c>
      <c r="C7072" s="18" t="n">
        <v>2006</v>
      </c>
      <c r="D7072" s="18" t="n">
        <v>2006</v>
      </c>
      <c r="E7072" s="18" t="inlineStr">
        <is>
          <t>X-Men: The Last Stand</t>
        </is>
      </c>
      <c r="F7072" s="18" t="inlineStr">
        <is>
          <t>F0346</t>
        </is>
      </c>
    </row>
    <row r="7073" ht="15.75" customHeight="1" s="108">
      <c r="A7073" s="18" t="inlineStr">
        <is>
          <t>Josef Sommer</t>
        </is>
      </c>
      <c r="B7073" s="18" t="n">
        <v>1</v>
      </c>
      <c r="C7073" s="18" t="n">
        <v>2006</v>
      </c>
      <c r="D7073" s="18" t="n">
        <v>2006</v>
      </c>
      <c r="E7073" s="18" t="inlineStr">
        <is>
          <t>X-Men: The Last Stand</t>
        </is>
      </c>
      <c r="F7073" s="18" t="inlineStr">
        <is>
          <t>F0346</t>
        </is>
      </c>
    </row>
    <row r="7074" ht="15.75" customHeight="1" s="108">
      <c r="A7074" s="18" t="inlineStr">
        <is>
          <t>Bill Duke</t>
        </is>
      </c>
      <c r="B7074" s="18" t="n">
        <v>1</v>
      </c>
      <c r="C7074" s="18" t="n">
        <v>2006</v>
      </c>
      <c r="D7074" s="18" t="n">
        <v>2006</v>
      </c>
      <c r="E7074" s="18" t="inlineStr">
        <is>
          <t>X-Men: The Last Stand</t>
        </is>
      </c>
      <c r="F7074" s="18" t="inlineStr">
        <is>
          <t>F0346</t>
        </is>
      </c>
    </row>
    <row r="7075" ht="15.75" customHeight="1" s="108">
      <c r="A7075" s="18" t="inlineStr">
        <is>
          <t>Eric Dane</t>
        </is>
      </c>
      <c r="B7075" s="18" t="n">
        <v>1</v>
      </c>
      <c r="C7075" s="18" t="n">
        <v>2006</v>
      </c>
      <c r="D7075" s="18" t="n">
        <v>2006</v>
      </c>
      <c r="E7075" s="18" t="inlineStr">
        <is>
          <t>X-Men: The Last Stand</t>
        </is>
      </c>
      <c r="F7075" s="18" t="inlineStr">
        <is>
          <t>F0346</t>
        </is>
      </c>
    </row>
    <row r="7076" ht="15.75" customHeight="1" s="108">
      <c r="A7076" s="18" t="inlineStr">
        <is>
          <t>Desiree Zurowski</t>
        </is>
      </c>
      <c r="B7076" s="18" t="n">
        <v>1</v>
      </c>
      <c r="C7076" s="18" t="n">
        <v>2006</v>
      </c>
      <c r="D7076" s="18" t="n">
        <v>2006</v>
      </c>
      <c r="E7076" s="18" t="inlineStr">
        <is>
          <t>X-Men: The Last Stand</t>
        </is>
      </c>
      <c r="F7076" s="18" t="inlineStr">
        <is>
          <t>F0346</t>
        </is>
      </c>
    </row>
    <row r="7077" ht="15.75" customHeight="1" s="108">
      <c r="A7077" s="18" t="inlineStr">
        <is>
          <t>Haley Ramm</t>
        </is>
      </c>
      <c r="B7077" s="18" t="n">
        <v>1</v>
      </c>
      <c r="C7077" s="18" t="n">
        <v>2006</v>
      </c>
      <c r="D7077" s="18" t="n">
        <v>2006</v>
      </c>
      <c r="E7077" s="18" t="inlineStr">
        <is>
          <t>X-Men: The Last Stand</t>
        </is>
      </c>
      <c r="F7077" s="18" t="inlineStr">
        <is>
          <t>F0346</t>
        </is>
      </c>
    </row>
    <row r="7078" ht="15.75" customHeight="1" s="108">
      <c r="A7078" s="18" t="inlineStr">
        <is>
          <t>Chris Claremont</t>
        </is>
      </c>
      <c r="B7078" s="18" t="n">
        <v>1</v>
      </c>
      <c r="C7078" s="18" t="n">
        <v>2006</v>
      </c>
      <c r="D7078" s="18" t="n">
        <v>2006</v>
      </c>
      <c r="E7078" s="18" t="inlineStr">
        <is>
          <t>X-Men: The Last Stand</t>
        </is>
      </c>
      <c r="F7078" s="18" t="inlineStr">
        <is>
          <t>F0346</t>
        </is>
      </c>
    </row>
    <row r="7079" ht="15.75" customHeight="1" s="108">
      <c r="A7079" s="18" t="inlineStr">
        <is>
          <t>Cayden Boyd</t>
        </is>
      </c>
      <c r="B7079" s="18" t="n">
        <v>1</v>
      </c>
      <c r="C7079" s="18" t="n">
        <v>2006</v>
      </c>
      <c r="D7079" s="18" t="n">
        <v>2006</v>
      </c>
      <c r="E7079" s="18" t="inlineStr">
        <is>
          <t>X-Men: The Last Stand</t>
        </is>
      </c>
      <c r="F7079" s="18" t="inlineStr">
        <is>
          <t>F0346</t>
        </is>
      </c>
    </row>
    <row r="7080" ht="15.75" customHeight="1" s="108">
      <c r="A7080" s="18" t="inlineStr">
        <is>
          <t>Tanya Newbould</t>
        </is>
      </c>
      <c r="B7080" s="18" t="n">
        <v>1</v>
      </c>
      <c r="C7080" s="18" t="n">
        <v>2006</v>
      </c>
      <c r="D7080" s="18" t="n">
        <v>2006</v>
      </c>
      <c r="E7080" s="18" t="inlineStr">
        <is>
          <t>X-Men: The Last Stand</t>
        </is>
      </c>
      <c r="F7080" s="18" t="inlineStr">
        <is>
          <t>F0346</t>
        </is>
      </c>
    </row>
    <row r="7081" ht="15.75" customHeight="1" s="108">
      <c r="A7081" s="18" t="inlineStr">
        <is>
          <t>Anthony Heald</t>
        </is>
      </c>
      <c r="B7081" s="18" t="n">
        <v>1</v>
      </c>
      <c r="C7081" s="18" t="n">
        <v>2006</v>
      </c>
      <c r="D7081" s="18" t="n">
        <v>2006</v>
      </c>
      <c r="E7081" s="18" t="inlineStr">
        <is>
          <t>X-Men: The Last Stand</t>
        </is>
      </c>
      <c r="F7081" s="18" t="inlineStr">
        <is>
          <t>F0346</t>
        </is>
      </c>
    </row>
    <row r="7082" ht="15.75" customHeight="1" s="108">
      <c r="A7082" s="18" t="inlineStr">
        <is>
          <t>Cameron Bright</t>
        </is>
      </c>
      <c r="B7082" s="18" t="n">
        <v>1</v>
      </c>
      <c r="C7082" s="18" t="n">
        <v>2006</v>
      </c>
      <c r="D7082" s="18" t="n">
        <v>2006</v>
      </c>
      <c r="E7082" s="18" t="inlineStr">
        <is>
          <t>X-Men: The Last Stand</t>
        </is>
      </c>
      <c r="F7082" s="18" t="inlineStr">
        <is>
          <t>F0346</t>
        </is>
      </c>
    </row>
    <row r="7083" ht="15.75" customHeight="1" s="108">
      <c r="A7083" s="18" t="inlineStr">
        <is>
          <t>Svetlana Khodchenkova</t>
        </is>
      </c>
      <c r="B7083" s="18" t="n">
        <v>1</v>
      </c>
      <c r="C7083" s="18" t="n">
        <v>2013</v>
      </c>
      <c r="D7083" s="18" t="n">
        <v>2013</v>
      </c>
      <c r="E7083" s="18" t="inlineStr">
        <is>
          <t>The Wolverine</t>
        </is>
      </c>
      <c r="F7083" s="18" t="inlineStr">
        <is>
          <t>F0347</t>
        </is>
      </c>
    </row>
    <row r="7084" ht="15.75" customHeight="1" s="108">
      <c r="A7084" s="18" t="inlineStr">
        <is>
          <t>Hal Yamanouchi</t>
        </is>
      </c>
      <c r="B7084" s="18" t="n">
        <v>1</v>
      </c>
      <c r="C7084" s="18" t="n">
        <v>2013</v>
      </c>
      <c r="D7084" s="18" t="n">
        <v>2013</v>
      </c>
      <c r="E7084" s="18" t="inlineStr">
        <is>
          <t>The Wolverine</t>
        </is>
      </c>
      <c r="F7084" s="18" t="inlineStr">
        <is>
          <t>F0347</t>
        </is>
      </c>
    </row>
    <row r="7085" ht="15.75" customHeight="1" s="108">
      <c r="A7085" s="18" t="inlineStr">
        <is>
          <t>Nobutaka Aoyagi</t>
        </is>
      </c>
      <c r="B7085" s="18" t="n">
        <v>1</v>
      </c>
      <c r="C7085" s="18" t="n">
        <v>2013</v>
      </c>
      <c r="D7085" s="18" t="n">
        <v>2013</v>
      </c>
      <c r="E7085" s="18" t="inlineStr">
        <is>
          <t>The Wolverine</t>
        </is>
      </c>
      <c r="F7085" s="18" t="inlineStr">
        <is>
          <t>F0347</t>
        </is>
      </c>
    </row>
    <row r="7086" ht="15.75" customHeight="1" s="108">
      <c r="A7086" s="18" t="inlineStr">
        <is>
          <t>Seiji Funamoto</t>
        </is>
      </c>
      <c r="B7086" s="18" t="n">
        <v>1</v>
      </c>
      <c r="C7086" s="18" t="n">
        <v>2013</v>
      </c>
      <c r="D7086" s="18" t="n">
        <v>2013</v>
      </c>
      <c r="E7086" s="18" t="inlineStr">
        <is>
          <t>The Wolverine</t>
        </is>
      </c>
      <c r="F7086" s="18" t="inlineStr">
        <is>
          <t>F0347</t>
        </is>
      </c>
    </row>
    <row r="7087" ht="15.75" customHeight="1" s="108">
      <c r="A7087" s="18" t="inlineStr">
        <is>
          <t>Shinji Ikefuji</t>
        </is>
      </c>
      <c r="B7087" s="18" t="n">
        <v>1</v>
      </c>
      <c r="C7087" s="18" t="n">
        <v>2013</v>
      </c>
      <c r="D7087" s="18" t="n">
        <v>2013</v>
      </c>
      <c r="E7087" s="18" t="inlineStr">
        <is>
          <t>The Wolverine</t>
        </is>
      </c>
      <c r="F7087" s="18" t="inlineStr">
        <is>
          <t>F0347</t>
        </is>
      </c>
    </row>
    <row r="7088" ht="15.75" customHeight="1" s="108">
      <c r="A7088" s="18" t="inlineStr">
        <is>
          <t>Qyoko Kudo</t>
        </is>
      </c>
      <c r="B7088" s="18" t="n">
        <v>1</v>
      </c>
      <c r="C7088" s="18" t="n">
        <v>2013</v>
      </c>
      <c r="D7088" s="18" t="n">
        <v>2013</v>
      </c>
      <c r="E7088" s="18" t="inlineStr">
        <is>
          <t>The Wolverine</t>
        </is>
      </c>
      <c r="F7088" s="18" t="inlineStr">
        <is>
          <t>F0347</t>
        </is>
      </c>
    </row>
    <row r="7089" ht="15.75" customHeight="1" s="108">
      <c r="A7089" s="18" t="inlineStr">
        <is>
          <t>Nobuaki Kakuda</t>
        </is>
      </c>
      <c r="B7089" s="18" t="n">
        <v>1</v>
      </c>
      <c r="C7089" s="18" t="n">
        <v>2013</v>
      </c>
      <c r="D7089" s="18" t="n">
        <v>2013</v>
      </c>
      <c r="E7089" s="18" t="inlineStr">
        <is>
          <t>The Wolverine</t>
        </is>
      </c>
      <c r="F7089" s="18" t="inlineStr">
        <is>
          <t>F0347</t>
        </is>
      </c>
    </row>
    <row r="7090" ht="15.75" customHeight="1" s="108">
      <c r="A7090" s="18" t="inlineStr">
        <is>
          <t>Chiharu Mizuno</t>
        </is>
      </c>
      <c r="B7090" s="18" t="n">
        <v>1</v>
      </c>
      <c r="C7090" s="18" t="n">
        <v>2013</v>
      </c>
      <c r="D7090" s="18" t="n">
        <v>2013</v>
      </c>
      <c r="E7090" s="18" t="inlineStr">
        <is>
          <t>The Wolverine</t>
        </is>
      </c>
      <c r="F7090" s="18" t="inlineStr">
        <is>
          <t>F0347</t>
        </is>
      </c>
    </row>
    <row r="7091" ht="15.75" customHeight="1" s="108">
      <c r="A7091" s="18" t="inlineStr">
        <is>
          <t>Takao Kinoshita</t>
        </is>
      </c>
      <c r="B7091" s="18" t="n">
        <v>1</v>
      </c>
      <c r="C7091" s="18" t="n">
        <v>2013</v>
      </c>
      <c r="D7091" s="18" t="n">
        <v>2013</v>
      </c>
      <c r="E7091" s="18" t="inlineStr">
        <is>
          <t>The Wolverine</t>
        </is>
      </c>
      <c r="F7091" s="18" t="inlineStr">
        <is>
          <t>F0347</t>
        </is>
      </c>
    </row>
    <row r="7092" ht="15.75" customHeight="1" s="108">
      <c r="A7092" s="18" t="inlineStr">
        <is>
          <t>Conrad Coleby</t>
        </is>
      </c>
      <c r="B7092" s="18" t="n">
        <v>1</v>
      </c>
      <c r="C7092" s="18" t="n">
        <v>2013</v>
      </c>
      <c r="D7092" s="18" t="n">
        <v>2013</v>
      </c>
      <c r="E7092" s="18" t="inlineStr">
        <is>
          <t>The Wolverine</t>
        </is>
      </c>
      <c r="F7092" s="18" t="inlineStr">
        <is>
          <t>F0347</t>
        </is>
      </c>
    </row>
    <row r="7093" ht="15.75" customHeight="1" s="108">
      <c r="A7093" s="18" t="inlineStr">
        <is>
          <t>Taris Tyler</t>
        </is>
      </c>
      <c r="B7093" s="18" t="n">
        <v>1</v>
      </c>
      <c r="C7093" s="18" t="n">
        <v>2013</v>
      </c>
      <c r="D7093" s="18" t="n">
        <v>2013</v>
      </c>
      <c r="E7093" s="18" t="inlineStr">
        <is>
          <t>The Wolverine</t>
        </is>
      </c>
      <c r="F7093" s="18" t="inlineStr">
        <is>
          <t>F0347</t>
        </is>
      </c>
    </row>
    <row r="7094" ht="15.75" customHeight="1" s="108">
      <c r="A7094" s="18" t="inlineStr">
        <is>
          <t>Sarah Naylor-Liddell</t>
        </is>
      </c>
      <c r="B7094" s="18" t="n">
        <v>1</v>
      </c>
      <c r="C7094" s="18" t="n">
        <v>2013</v>
      </c>
      <c r="D7094" s="18" t="n">
        <v>2013</v>
      </c>
      <c r="E7094" s="18" t="inlineStr">
        <is>
          <t>The Wolverine</t>
        </is>
      </c>
      <c r="F7094" s="18" t="inlineStr">
        <is>
          <t>F0347</t>
        </is>
      </c>
    </row>
    <row r="7095" ht="15.75" customHeight="1" s="108">
      <c r="A7095" s="18" t="inlineStr">
        <is>
          <t>Joshua Remilton</t>
        </is>
      </c>
      <c r="B7095" s="18" t="n">
        <v>1</v>
      </c>
      <c r="C7095" s="18" t="n">
        <v>2013</v>
      </c>
      <c r="D7095" s="18" t="n">
        <v>2013</v>
      </c>
      <c r="E7095" s="18" t="inlineStr">
        <is>
          <t>The Wolverine</t>
        </is>
      </c>
      <c r="F7095" s="18" t="inlineStr">
        <is>
          <t>F0347</t>
        </is>
      </c>
    </row>
    <row r="7096" ht="15.75" customHeight="1" s="108">
      <c r="A7096" s="18" t="inlineStr">
        <is>
          <t>Andy Owens</t>
        </is>
      </c>
      <c r="B7096" s="18" t="n">
        <v>1</v>
      </c>
      <c r="C7096" s="18" t="n">
        <v>2013</v>
      </c>
      <c r="D7096" s="18" t="n">
        <v>2013</v>
      </c>
      <c r="E7096" s="18" t="inlineStr">
        <is>
          <t>The Wolverine</t>
        </is>
      </c>
      <c r="F7096" s="18" t="inlineStr">
        <is>
          <t>F0347</t>
        </is>
      </c>
    </row>
    <row r="7097" ht="15.75" customHeight="1" s="108">
      <c r="A7097" s="18" t="inlineStr">
        <is>
          <t>Allan Poppleton</t>
        </is>
      </c>
      <c r="B7097" s="18" t="n">
        <v>1</v>
      </c>
      <c r="C7097" s="18" t="n">
        <v>2013</v>
      </c>
      <c r="D7097" s="18" t="n">
        <v>2013</v>
      </c>
      <c r="E7097" s="18" t="inlineStr">
        <is>
          <t>The Wolverine</t>
        </is>
      </c>
      <c r="F7097" s="18" t="inlineStr">
        <is>
          <t>F0347</t>
        </is>
      </c>
    </row>
    <row r="7098" ht="15.75" customHeight="1" s="108">
      <c r="A7098" s="18" t="inlineStr">
        <is>
          <t>Geoff Burke</t>
        </is>
      </c>
      <c r="B7098" s="18" t="n">
        <v>1</v>
      </c>
      <c r="C7098" s="18" t="n">
        <v>2013</v>
      </c>
      <c r="D7098" s="18" t="n">
        <v>2013</v>
      </c>
      <c r="E7098" s="18" t="inlineStr">
        <is>
          <t>The Wolverine</t>
        </is>
      </c>
      <c r="F7098" s="18" t="inlineStr">
        <is>
          <t>F0347</t>
        </is>
      </c>
    </row>
    <row r="7099" ht="15.75" customHeight="1" s="108">
      <c r="A7099" s="18" t="inlineStr">
        <is>
          <t>Yasuyo Shiba</t>
        </is>
      </c>
      <c r="B7099" s="18" t="n">
        <v>1</v>
      </c>
      <c r="C7099" s="18" t="n">
        <v>2013</v>
      </c>
      <c r="D7099" s="18" t="n">
        <v>2013</v>
      </c>
      <c r="E7099" s="18" t="inlineStr">
        <is>
          <t>The Wolverine</t>
        </is>
      </c>
      <c r="F7099" s="18" t="inlineStr">
        <is>
          <t>F0347</t>
        </is>
      </c>
    </row>
    <row r="7100" ht="15.75" customHeight="1" s="108">
      <c r="A7100" s="18" t="inlineStr">
        <is>
          <t>Mai Ishikawa</t>
        </is>
      </c>
      <c r="B7100" s="18" t="n">
        <v>1</v>
      </c>
      <c r="C7100" s="18" t="n">
        <v>2013</v>
      </c>
      <c r="D7100" s="18" t="n">
        <v>2013</v>
      </c>
      <c r="E7100" s="18" t="inlineStr">
        <is>
          <t>The Wolverine</t>
        </is>
      </c>
      <c r="F7100" s="18" t="inlineStr">
        <is>
          <t>F0347</t>
        </is>
      </c>
    </row>
    <row r="7101" ht="15.75" customHeight="1" s="108">
      <c r="A7101" s="18" t="inlineStr">
        <is>
          <t>Yaeko Kimura</t>
        </is>
      </c>
      <c r="B7101" s="18" t="n">
        <v>1</v>
      </c>
      <c r="C7101" s="18" t="n">
        <v>2013</v>
      </c>
      <c r="D7101" s="18" t="n">
        <v>2013</v>
      </c>
      <c r="E7101" s="18" t="inlineStr">
        <is>
          <t>The Wolverine</t>
        </is>
      </c>
      <c r="F7101" s="18" t="inlineStr">
        <is>
          <t>F0347</t>
        </is>
      </c>
    </row>
    <row r="7102" ht="15.75" customHeight="1" s="108">
      <c r="A7102" s="18" t="inlineStr">
        <is>
          <t>Ryuta Kimura</t>
        </is>
      </c>
      <c r="B7102" s="18" t="n">
        <v>1</v>
      </c>
      <c r="C7102" s="18" t="n">
        <v>2013</v>
      </c>
      <c r="D7102" s="18" t="n">
        <v>2013</v>
      </c>
      <c r="E7102" s="18" t="inlineStr">
        <is>
          <t>The Wolverine</t>
        </is>
      </c>
      <c r="F7102" s="18" t="inlineStr">
        <is>
          <t>F0347</t>
        </is>
      </c>
    </row>
    <row r="7103" ht="15.75" customHeight="1" s="108">
      <c r="A7103" s="18" t="inlineStr">
        <is>
          <t>Briden Starr</t>
        </is>
      </c>
      <c r="B7103" s="18" t="n">
        <v>1</v>
      </c>
      <c r="C7103" s="18" t="n">
        <v>2013</v>
      </c>
      <c r="D7103" s="18" t="n">
        <v>2013</v>
      </c>
      <c r="E7103" s="18" t="inlineStr">
        <is>
          <t>The Wolverine</t>
        </is>
      </c>
      <c r="F7103" s="18" t="inlineStr">
        <is>
          <t>F0347</t>
        </is>
      </c>
    </row>
    <row r="7104" ht="15.75" customHeight="1" s="108">
      <c r="A7104" s="18" t="inlineStr">
        <is>
          <t>Maria Lukasheva</t>
        </is>
      </c>
      <c r="B7104" s="18" t="n">
        <v>1</v>
      </c>
      <c r="C7104" s="18" t="n">
        <v>2013</v>
      </c>
      <c r="D7104" s="18" t="n">
        <v>2013</v>
      </c>
      <c r="E7104" s="18" t="inlineStr">
        <is>
          <t>The Wolverine</t>
        </is>
      </c>
      <c r="F7104" s="18" t="inlineStr">
        <is>
          <t>F0347</t>
        </is>
      </c>
    </row>
    <row r="7105" ht="15.75" customHeight="1" s="108">
      <c r="A7105" s="18" t="inlineStr">
        <is>
          <t>Nate Corddry</t>
        </is>
      </c>
      <c r="B7105" s="18" t="n">
        <v>1</v>
      </c>
      <c r="C7105" s="18" t="n">
        <v>2010</v>
      </c>
      <c r="D7105" s="18" t="n">
        <v>2010</v>
      </c>
      <c r="E7105" s="18" t="inlineStr">
        <is>
          <t>Yogi Bear</t>
        </is>
      </c>
      <c r="F7105" s="18" t="inlineStr">
        <is>
          <t>F0348</t>
        </is>
      </c>
    </row>
    <row r="7106" ht="15.75" customHeight="1" s="108">
      <c r="A7106" s="18" t="inlineStr">
        <is>
          <t>Andy Daly</t>
        </is>
      </c>
      <c r="B7106" s="18" t="n">
        <v>1</v>
      </c>
      <c r="C7106" s="18" t="n">
        <v>2010</v>
      </c>
      <c r="D7106" s="18" t="n">
        <v>2010</v>
      </c>
      <c r="E7106" s="18" t="inlineStr">
        <is>
          <t>Yogi Bear</t>
        </is>
      </c>
      <c r="F7106" s="18" t="inlineStr">
        <is>
          <t>F0348</t>
        </is>
      </c>
    </row>
    <row r="7107" ht="15.75" customHeight="1" s="108">
      <c r="A7107" s="18" t="inlineStr">
        <is>
          <t>David Stott</t>
        </is>
      </c>
      <c r="B7107" s="18" t="n">
        <v>1</v>
      </c>
      <c r="C7107" s="18" t="n">
        <v>2010</v>
      </c>
      <c r="D7107" s="18" t="n">
        <v>2010</v>
      </c>
      <c r="E7107" s="18" t="inlineStr">
        <is>
          <t>Yogi Bear</t>
        </is>
      </c>
      <c r="F7107" s="18" t="inlineStr">
        <is>
          <t>F0348</t>
        </is>
      </c>
    </row>
    <row r="7108" ht="15.75" customHeight="1" s="108">
      <c r="A7108" s="18" t="inlineStr">
        <is>
          <t>Greg Johnson</t>
        </is>
      </c>
      <c r="B7108" s="18" t="n">
        <v>1</v>
      </c>
      <c r="C7108" s="18" t="n">
        <v>2010</v>
      </c>
      <c r="D7108" s="18" t="n">
        <v>2010</v>
      </c>
      <c r="E7108" s="18" t="inlineStr">
        <is>
          <t>Yogi Bear</t>
        </is>
      </c>
      <c r="F7108" s="18" t="inlineStr">
        <is>
          <t>F0348</t>
        </is>
      </c>
    </row>
    <row r="7109" ht="15.75" customHeight="1" s="108">
      <c r="A7109" s="18" t="inlineStr">
        <is>
          <t>Patricia Aldersley</t>
        </is>
      </c>
      <c r="B7109" s="18" t="n">
        <v>1</v>
      </c>
      <c r="C7109" s="18" t="n">
        <v>2010</v>
      </c>
      <c r="D7109" s="18" t="n">
        <v>2010</v>
      </c>
      <c r="E7109" s="18" t="inlineStr">
        <is>
          <t>Yogi Bear</t>
        </is>
      </c>
      <c r="F7109" s="18" t="inlineStr">
        <is>
          <t>F0348</t>
        </is>
      </c>
    </row>
    <row r="7110" ht="15.75" customHeight="1" s="108">
      <c r="A7110" s="18" t="inlineStr">
        <is>
          <t>Tim McLachlan</t>
        </is>
      </c>
      <c r="B7110" s="18" t="n">
        <v>1</v>
      </c>
      <c r="C7110" s="18" t="n">
        <v>2010</v>
      </c>
      <c r="D7110" s="18" t="n">
        <v>2010</v>
      </c>
      <c r="E7110" s="18" t="inlineStr">
        <is>
          <t>Yogi Bear</t>
        </is>
      </c>
      <c r="F7110" s="18" t="inlineStr">
        <is>
          <t>F0348</t>
        </is>
      </c>
    </row>
    <row r="7111" ht="15.75" customHeight="1" s="108">
      <c r="A7111" s="18" t="inlineStr">
        <is>
          <t>Josh Robert Thompson</t>
        </is>
      </c>
      <c r="B7111" s="18" t="n">
        <v>1</v>
      </c>
      <c r="C7111" s="18" t="n">
        <v>2010</v>
      </c>
      <c r="D7111" s="18" t="n">
        <v>2010</v>
      </c>
      <c r="E7111" s="18" t="inlineStr">
        <is>
          <t>Yogi Bear</t>
        </is>
      </c>
      <c r="F7111" s="18" t="inlineStr">
        <is>
          <t>F0348</t>
        </is>
      </c>
    </row>
    <row r="7112" ht="15.75" customHeight="1" s="108">
      <c r="A7112" s="18" t="inlineStr">
        <is>
          <t>Hayden Vernon</t>
        </is>
      </c>
      <c r="B7112" s="18" t="n">
        <v>1</v>
      </c>
      <c r="C7112" s="18" t="n">
        <v>2010</v>
      </c>
      <c r="D7112" s="18" t="n">
        <v>2010</v>
      </c>
      <c r="E7112" s="18" t="inlineStr">
        <is>
          <t>Yogi Bear</t>
        </is>
      </c>
      <c r="F7112" s="18" t="inlineStr">
        <is>
          <t>F0348</t>
        </is>
      </c>
    </row>
    <row r="7113" ht="15.75" customHeight="1" s="108">
      <c r="A7113" s="18" t="inlineStr">
        <is>
          <t>Barry Duffield</t>
        </is>
      </c>
      <c r="B7113" s="18" t="n">
        <v>1</v>
      </c>
      <c r="C7113" s="18" t="n">
        <v>2010</v>
      </c>
      <c r="D7113" s="18" t="n">
        <v>2010</v>
      </c>
      <c r="E7113" s="18" t="inlineStr">
        <is>
          <t>Yogi Bear</t>
        </is>
      </c>
      <c r="F7113" s="18" t="inlineStr">
        <is>
          <t>F0348</t>
        </is>
      </c>
    </row>
    <row r="7114" ht="15.75" customHeight="1" s="108">
      <c r="A7114" s="18" t="inlineStr">
        <is>
          <t>Suzana Srpek</t>
        </is>
      </c>
      <c r="B7114" s="18" t="n">
        <v>1</v>
      </c>
      <c r="C7114" s="18" t="n">
        <v>2010</v>
      </c>
      <c r="D7114" s="18" t="n">
        <v>2010</v>
      </c>
      <c r="E7114" s="18" t="inlineStr">
        <is>
          <t>Yogi Bear</t>
        </is>
      </c>
      <c r="F7114" s="18" t="inlineStr">
        <is>
          <t>F0348</t>
        </is>
      </c>
    </row>
    <row r="7115" ht="15.75" customHeight="1" s="108">
      <c r="A7115" s="18" t="inlineStr">
        <is>
          <t>Anna Dawson</t>
        </is>
      </c>
      <c r="B7115" s="18" t="n">
        <v>1</v>
      </c>
      <c r="C7115" s="18" t="n">
        <v>2010</v>
      </c>
      <c r="D7115" s="18" t="n">
        <v>2010</v>
      </c>
      <c r="E7115" s="18" t="inlineStr">
        <is>
          <t>Yogi Bear</t>
        </is>
      </c>
      <c r="F7115" s="18" t="inlineStr">
        <is>
          <t>F0348</t>
        </is>
      </c>
    </row>
    <row r="7116" ht="15.75" customHeight="1" s="108">
      <c r="A7116" s="18" t="inlineStr">
        <is>
          <t>Mark Duplass</t>
        </is>
      </c>
      <c r="B7116" s="18" t="n">
        <v>1</v>
      </c>
      <c r="C7116" s="18" t="n">
        <v>2012</v>
      </c>
      <c r="D7116" s="18" t="n">
        <v>2012</v>
      </c>
      <c r="E7116" s="18" t="inlineStr">
        <is>
          <t>Zero Dark Thirty</t>
        </is>
      </c>
      <c r="F7116" s="18" t="inlineStr">
        <is>
          <t>F0349</t>
        </is>
      </c>
    </row>
    <row r="7117" ht="15.75" customHeight="1" s="108">
      <c r="A7117" s="18" t="inlineStr">
        <is>
          <t>Reda Kateb</t>
        </is>
      </c>
      <c r="B7117" s="18" t="n">
        <v>1</v>
      </c>
      <c r="C7117" s="18" t="n">
        <v>2012</v>
      </c>
      <c r="D7117" s="18" t="n">
        <v>2012</v>
      </c>
      <c r="E7117" s="18" t="inlineStr">
        <is>
          <t>Zero Dark Thirty</t>
        </is>
      </c>
      <c r="F7117" s="18" t="inlineStr">
        <is>
          <t>F0349</t>
        </is>
      </c>
    </row>
    <row r="7118" ht="15.75" customHeight="1" s="108">
      <c r="A7118" s="18" t="inlineStr">
        <is>
          <t>Ricky Sekhon</t>
        </is>
      </c>
      <c r="B7118" s="18" t="n">
        <v>1</v>
      </c>
      <c r="C7118" s="18" t="n">
        <v>2012</v>
      </c>
      <c r="D7118" s="18" t="n">
        <v>2012</v>
      </c>
      <c r="E7118" s="18" t="inlineStr">
        <is>
          <t>Zero Dark Thirty</t>
        </is>
      </c>
      <c r="F7118" s="18" t="inlineStr">
        <is>
          <t>F0349</t>
        </is>
      </c>
    </row>
    <row r="7119" ht="15.75" customHeight="1" s="108">
      <c r="A7119" s="18" t="inlineStr">
        <is>
          <t>J.J. Kandel</t>
        </is>
      </c>
      <c r="B7119" s="18" t="n">
        <v>1</v>
      </c>
      <c r="C7119" s="18" t="n">
        <v>2012</v>
      </c>
      <c r="D7119" s="18" t="n">
        <v>2012</v>
      </c>
      <c r="E7119" s="18" t="inlineStr">
        <is>
          <t>Zero Dark Thirty</t>
        </is>
      </c>
      <c r="F7119" s="18" t="inlineStr">
        <is>
          <t>F0349</t>
        </is>
      </c>
    </row>
    <row r="7120" ht="15.75" customHeight="1" s="108">
      <c r="A7120" s="18" t="inlineStr">
        <is>
          <t>Martin Delaney</t>
        </is>
      </c>
      <c r="B7120" s="18" t="n">
        <v>1</v>
      </c>
      <c r="C7120" s="18" t="n">
        <v>2012</v>
      </c>
      <c r="D7120" s="18" t="n">
        <v>2012</v>
      </c>
      <c r="E7120" s="18" t="inlineStr">
        <is>
          <t>Zero Dark Thirty</t>
        </is>
      </c>
      <c r="F7120" s="18" t="inlineStr">
        <is>
          <t>F0349</t>
        </is>
      </c>
    </row>
    <row r="7121" ht="15.75" customHeight="1" s="108">
      <c r="A7121" s="18" t="inlineStr">
        <is>
          <t>John Barrowman</t>
        </is>
      </c>
      <c r="B7121" s="18" t="n">
        <v>1</v>
      </c>
      <c r="C7121" s="18" t="n">
        <v>2012</v>
      </c>
      <c r="D7121" s="18" t="n">
        <v>2012</v>
      </c>
      <c r="E7121" s="18" t="inlineStr">
        <is>
          <t>Zero Dark Thirty</t>
        </is>
      </c>
      <c r="F7121" s="18" t="inlineStr">
        <is>
          <t>F0349</t>
        </is>
      </c>
    </row>
    <row r="7122" ht="15.75" customHeight="1" s="108">
      <c r="A7122" s="18" t="inlineStr">
        <is>
          <t>Jeff Mash</t>
        </is>
      </c>
      <c r="B7122" s="18" t="n">
        <v>1</v>
      </c>
      <c r="C7122" s="18" t="n">
        <v>2012</v>
      </c>
      <c r="D7122" s="18" t="n">
        <v>2012</v>
      </c>
      <c r="E7122" s="18" t="inlineStr">
        <is>
          <t>Zero Dark Thirty</t>
        </is>
      </c>
      <c r="F7122" s="18" t="inlineStr">
        <is>
          <t>F0349</t>
        </is>
      </c>
    </row>
    <row r="7123" ht="15.75" customHeight="1" s="108">
      <c r="A7123" s="18" t="inlineStr">
        <is>
          <t>Taylor Kinney</t>
        </is>
      </c>
      <c r="B7123" s="18" t="n">
        <v>1</v>
      </c>
      <c r="C7123" s="18" t="n">
        <v>2012</v>
      </c>
      <c r="D7123" s="18" t="n">
        <v>2012</v>
      </c>
      <c r="E7123" s="18" t="inlineStr">
        <is>
          <t>Zero Dark Thirty</t>
        </is>
      </c>
      <c r="F7123" s="18" t="inlineStr">
        <is>
          <t>F0349</t>
        </is>
      </c>
    </row>
    <row r="7124" ht="15.75" customHeight="1" s="108">
      <c r="A7124" s="18" t="inlineStr">
        <is>
          <t>Callan Mulvey</t>
        </is>
      </c>
      <c r="B7124" s="18" t="n">
        <v>1</v>
      </c>
      <c r="C7124" s="18" t="n">
        <v>2012</v>
      </c>
      <c r="D7124" s="18" t="n">
        <v>2012</v>
      </c>
      <c r="E7124" s="18" t="inlineStr">
        <is>
          <t>Zero Dark Thirty</t>
        </is>
      </c>
      <c r="F7124" s="18" t="inlineStr">
        <is>
          <t>F0349</t>
        </is>
      </c>
    </row>
    <row r="7125" ht="15.75" customHeight="1" s="108">
      <c r="A7125" s="18" t="inlineStr">
        <is>
          <t>Phil Somerville</t>
        </is>
      </c>
      <c r="B7125" s="18" t="n">
        <v>1</v>
      </c>
      <c r="C7125" s="18" t="n">
        <v>2012</v>
      </c>
      <c r="D7125" s="18" t="n">
        <v>2012</v>
      </c>
      <c r="E7125" s="18" t="inlineStr">
        <is>
          <t>Zero Dark Thirty</t>
        </is>
      </c>
      <c r="F7125" s="18" t="inlineStr">
        <is>
          <t>F0349</t>
        </is>
      </c>
    </row>
    <row r="7126" ht="15.75" customHeight="1" s="108">
      <c r="A7126" s="18" t="inlineStr">
        <is>
          <t>Nash Edgerton</t>
        </is>
      </c>
      <c r="B7126" s="18" t="n">
        <v>1</v>
      </c>
      <c r="C7126" s="18" t="n">
        <v>2012</v>
      </c>
      <c r="D7126" s="18" t="n">
        <v>2012</v>
      </c>
      <c r="E7126" s="18" t="inlineStr">
        <is>
          <t>Zero Dark Thirty</t>
        </is>
      </c>
      <c r="F7126" s="18" t="inlineStr">
        <is>
          <t>F0349</t>
        </is>
      </c>
    </row>
    <row r="7127" ht="15.75" customHeight="1" s="108">
      <c r="A7127" s="18" t="inlineStr">
        <is>
          <t>Jessica Ann Collins</t>
        </is>
      </c>
      <c r="B7127" s="18" t="n">
        <v>1</v>
      </c>
      <c r="C7127" s="18" t="n">
        <v>2012</v>
      </c>
      <c r="D7127" s="18" t="n">
        <v>2012</v>
      </c>
      <c r="E7127" s="18" t="inlineStr">
        <is>
          <t>Zero Dark Thirty</t>
        </is>
      </c>
      <c r="F7127" s="18" t="inlineStr">
        <is>
          <t>F0349</t>
        </is>
      </c>
    </row>
    <row r="7128" ht="15.75" customHeight="1" s="108">
      <c r="A7128" s="18" t="inlineStr">
        <is>
          <t>Alexander Karim</t>
        </is>
      </c>
      <c r="B7128" s="18" t="n">
        <v>1</v>
      </c>
      <c r="C7128" s="18" t="n">
        <v>2012</v>
      </c>
      <c r="D7128" s="18" t="n">
        <v>2012</v>
      </c>
      <c r="E7128" s="18" t="inlineStr">
        <is>
          <t>Zero Dark Thirty</t>
        </is>
      </c>
      <c r="F7128" s="18" t="inlineStr">
        <is>
          <t>F0349</t>
        </is>
      </c>
    </row>
    <row r="7129" ht="15.75" customHeight="1" s="108">
      <c r="A7129" s="18" t="inlineStr">
        <is>
          <t>Elias Koteas</t>
        </is>
      </c>
      <c r="B7129" s="18" t="n">
        <v>1</v>
      </c>
      <c r="C7129" s="18" t="n">
        <v>2007</v>
      </c>
      <c r="D7129" s="18" t="n">
        <v>2007</v>
      </c>
      <c r="E7129" s="18" t="inlineStr">
        <is>
          <t>Zodiac</t>
        </is>
      </c>
      <c r="F7129" s="18" t="inlineStr">
        <is>
          <t>F0350</t>
        </is>
      </c>
    </row>
    <row r="7130" ht="15.75" customHeight="1" s="108">
      <c r="A7130" s="18" t="inlineStr">
        <is>
          <t>Donal Logue</t>
        </is>
      </c>
      <c r="B7130" s="18" t="n">
        <v>1</v>
      </c>
      <c r="C7130" s="18" t="n">
        <v>2007</v>
      </c>
      <c r="D7130" s="18" t="n">
        <v>2007</v>
      </c>
      <c r="E7130" s="18" t="inlineStr">
        <is>
          <t>Zodiac</t>
        </is>
      </c>
      <c r="F7130" s="18" t="inlineStr">
        <is>
          <t>F0350</t>
        </is>
      </c>
    </row>
    <row r="7131" ht="15.75" customHeight="1" s="108">
      <c r="A7131" s="18" t="inlineStr">
        <is>
          <t>John Lacy</t>
        </is>
      </c>
      <c r="B7131" s="18" t="n">
        <v>1</v>
      </c>
      <c r="C7131" s="18" t="n">
        <v>2007</v>
      </c>
      <c r="D7131" s="18" t="n">
        <v>2007</v>
      </c>
      <c r="E7131" s="18" t="inlineStr">
        <is>
          <t>Zodiac</t>
        </is>
      </c>
      <c r="F7131" s="18" t="inlineStr">
        <is>
          <t>F0350</t>
        </is>
      </c>
    </row>
    <row r="7132" ht="15.75" customHeight="1" s="108">
      <c r="A7132" s="18" t="inlineStr">
        <is>
          <t>Ed Setrakian</t>
        </is>
      </c>
      <c r="B7132" s="18" t="n">
        <v>1</v>
      </c>
      <c r="C7132" s="18" t="n">
        <v>2007</v>
      </c>
      <c r="D7132" s="18" t="n">
        <v>2007</v>
      </c>
      <c r="E7132" s="18" t="inlineStr">
        <is>
          <t>Zodiac</t>
        </is>
      </c>
      <c r="F7132" s="18" t="inlineStr">
        <is>
          <t>F0350</t>
        </is>
      </c>
    </row>
    <row r="7133" ht="15.75" customHeight="1" s="108">
      <c r="A7133" s="18" t="inlineStr">
        <is>
          <t>John Getz</t>
        </is>
      </c>
      <c r="B7133" s="18" t="n">
        <v>1</v>
      </c>
      <c r="C7133" s="18" t="n">
        <v>2007</v>
      </c>
      <c r="D7133" s="18" t="n">
        <v>2007</v>
      </c>
      <c r="E7133" s="18" t="inlineStr">
        <is>
          <t>Zodiac</t>
        </is>
      </c>
      <c r="F7133" s="18" t="inlineStr">
        <is>
          <t>F0350</t>
        </is>
      </c>
    </row>
    <row r="7134" ht="15.75" customHeight="1" s="108">
      <c r="A7134" s="18" t="inlineStr">
        <is>
          <t>John Terry</t>
        </is>
      </c>
      <c r="B7134" s="18" t="n">
        <v>1</v>
      </c>
      <c r="C7134" s="18" t="n">
        <v>2007</v>
      </c>
      <c r="D7134" s="18" t="n">
        <v>2007</v>
      </c>
      <c r="E7134" s="18" t="inlineStr">
        <is>
          <t>Zodiac</t>
        </is>
      </c>
      <c r="F7134" s="18" t="inlineStr">
        <is>
          <t>F0350</t>
        </is>
      </c>
    </row>
    <row r="7135" ht="15.75" customHeight="1" s="108">
      <c r="A7135" s="18" t="inlineStr">
        <is>
          <t>Candy Clark</t>
        </is>
      </c>
      <c r="B7135" s="18" t="n">
        <v>1</v>
      </c>
      <c r="C7135" s="18" t="n">
        <v>2007</v>
      </c>
      <c r="D7135" s="18" t="n">
        <v>2007</v>
      </c>
      <c r="E7135" s="18" t="inlineStr">
        <is>
          <t>Zodiac</t>
        </is>
      </c>
      <c r="F7135" s="18" t="inlineStr">
        <is>
          <t>F0350</t>
        </is>
      </c>
    </row>
    <row r="7136" ht="15.75" customHeight="1" s="108">
      <c r="A7136" s="18" t="inlineStr">
        <is>
          <t>Ciara Hughes</t>
        </is>
      </c>
      <c r="B7136" s="18" t="n">
        <v>1</v>
      </c>
      <c r="C7136" s="18" t="n">
        <v>2007</v>
      </c>
      <c r="D7136" s="18" t="n">
        <v>2007</v>
      </c>
      <c r="E7136" s="18" t="inlineStr">
        <is>
          <t>Zodiac</t>
        </is>
      </c>
      <c r="F7136" s="18" t="inlineStr">
        <is>
          <t>F0350</t>
        </is>
      </c>
    </row>
    <row r="7137" ht="15.75" customHeight="1" s="108">
      <c r="A7137" s="18" t="inlineStr">
        <is>
          <t>Lee Norris</t>
        </is>
      </c>
      <c r="B7137" s="18" t="n">
        <v>1</v>
      </c>
      <c r="C7137" s="18" t="n">
        <v>2007</v>
      </c>
      <c r="D7137" s="18" t="n">
        <v>2007</v>
      </c>
      <c r="E7137" s="18" t="inlineStr">
        <is>
          <t>Zodiac</t>
        </is>
      </c>
      <c r="F7137" s="18" t="inlineStr">
        <is>
          <t>F0350</t>
        </is>
      </c>
    </row>
    <row r="7138" ht="15.75" customHeight="1" s="108">
      <c r="A7138" s="18" t="inlineStr">
        <is>
          <t>Patrick Scott Lewis</t>
        </is>
      </c>
      <c r="B7138" s="18" t="n">
        <v>1</v>
      </c>
      <c r="C7138" s="18" t="n">
        <v>2007</v>
      </c>
      <c r="D7138" s="18" t="n">
        <v>2007</v>
      </c>
      <c r="E7138" s="18" t="inlineStr">
        <is>
          <t>Zodiac</t>
        </is>
      </c>
      <c r="F7138" s="18" t="inlineStr">
        <is>
          <t>F0350</t>
        </is>
      </c>
    </row>
    <row r="7139" ht="15.75" customHeight="1" s="108">
      <c r="A7139" s="18" t="inlineStr">
        <is>
          <t>Pell James</t>
        </is>
      </c>
      <c r="B7139" s="18" t="n">
        <v>1</v>
      </c>
      <c r="C7139" s="18" t="n">
        <v>2007</v>
      </c>
      <c r="D7139" s="18" t="n">
        <v>2007</v>
      </c>
      <c r="E7139" s="18" t="inlineStr">
        <is>
          <t>Zodiac</t>
        </is>
      </c>
      <c r="F7139" s="18" t="inlineStr">
        <is>
          <t>F0350</t>
        </is>
      </c>
    </row>
    <row r="7140" ht="15.75" customHeight="1" s="108">
      <c r="A7140" s="18" t="inlineStr">
        <is>
          <t>Jason Wiles</t>
        </is>
      </c>
      <c r="B7140" s="18" t="n">
        <v>1</v>
      </c>
      <c r="C7140" s="18" t="n">
        <v>2007</v>
      </c>
      <c r="D7140" s="18" t="n">
        <v>2007</v>
      </c>
      <c r="E7140" s="18" t="inlineStr">
        <is>
          <t>Zodiac</t>
        </is>
      </c>
      <c r="F7140" s="18" t="inlineStr">
        <is>
          <t>F0350</t>
        </is>
      </c>
    </row>
    <row r="7141" ht="15.75" customHeight="1" s="108">
      <c r="A7141" s="18" t="inlineStr">
        <is>
          <t>Charles Schneider</t>
        </is>
      </c>
      <c r="B7141" s="18" t="n">
        <v>1</v>
      </c>
      <c r="C7141" s="18" t="n">
        <v>2007</v>
      </c>
      <c r="D7141" s="18" t="n">
        <v>2007</v>
      </c>
      <c r="E7141" s="18" t="inlineStr">
        <is>
          <t>Zodiac</t>
        </is>
      </c>
      <c r="F7141" s="18" t="inlineStr">
        <is>
          <t>F0350</t>
        </is>
      </c>
    </row>
    <row r="7142" ht="15.75" customHeight="1" s="108">
      <c r="A7142" s="18" t="inlineStr">
        <is>
          <t>James Carraway</t>
        </is>
      </c>
      <c r="B7142" s="18" t="n">
        <v>1</v>
      </c>
      <c r="C7142" s="18" t="n">
        <v>2007</v>
      </c>
      <c r="D7142" s="18" t="n">
        <v>2007</v>
      </c>
      <c r="E7142" s="18" t="inlineStr">
        <is>
          <t>Zodiac</t>
        </is>
      </c>
      <c r="F7142" s="18" t="inlineStr">
        <is>
          <t>F0350</t>
        </is>
      </c>
    </row>
    <row r="7143" ht="15.75" customHeight="1" s="108">
      <c r="A7143" s="18" t="inlineStr">
        <is>
          <t>Jason Mewes</t>
        </is>
      </c>
      <c r="B7143" s="18" t="n">
        <v>1</v>
      </c>
      <c r="C7143" s="18" t="n">
        <v>1999</v>
      </c>
      <c r="D7143" s="18" t="n">
        <v>1999</v>
      </c>
      <c r="E7143" s="18" t="inlineStr">
        <is>
          <t>Dogma</t>
        </is>
      </c>
      <c r="F7143" s="18" t="inlineStr">
        <is>
          <t>F0351</t>
        </is>
      </c>
    </row>
    <row r="7144" ht="15.75" customHeight="1" s="108">
      <c r="A7144" s="18" t="inlineStr">
        <is>
          <t>George Carlin</t>
        </is>
      </c>
      <c r="B7144" s="18" t="n">
        <v>1</v>
      </c>
      <c r="C7144" s="18" t="n">
        <v>1999</v>
      </c>
      <c r="D7144" s="18" t="n">
        <v>1999</v>
      </c>
      <c r="E7144" s="18" t="inlineStr">
        <is>
          <t>Dogma</t>
        </is>
      </c>
      <c r="F7144" s="18" t="inlineStr">
        <is>
          <t>F0351</t>
        </is>
      </c>
    </row>
    <row r="7145" ht="15.75" customHeight="1" s="108">
      <c r="A7145" s="18" t="inlineStr">
        <is>
          <t>Bud Cort</t>
        </is>
      </c>
      <c r="B7145" s="18" t="n">
        <v>1</v>
      </c>
      <c r="C7145" s="18" t="n">
        <v>1999</v>
      </c>
      <c r="D7145" s="18" t="n">
        <v>1999</v>
      </c>
      <c r="E7145" s="18" t="inlineStr">
        <is>
          <t>Dogma</t>
        </is>
      </c>
      <c r="F7145" s="18" t="inlineStr">
        <is>
          <t>F0351</t>
        </is>
      </c>
    </row>
    <row r="7146" ht="15.75" customHeight="1" s="108">
      <c r="A7146" s="18" t="inlineStr">
        <is>
          <t>Alanis Morissette</t>
        </is>
      </c>
      <c r="B7146" s="18" t="n">
        <v>1</v>
      </c>
      <c r="C7146" s="18" t="n">
        <v>1999</v>
      </c>
      <c r="D7146" s="18" t="n">
        <v>1999</v>
      </c>
      <c r="E7146" s="18" t="inlineStr">
        <is>
          <t>Dogma</t>
        </is>
      </c>
      <c r="F7146" s="18" t="inlineStr">
        <is>
          <t>F0351</t>
        </is>
      </c>
    </row>
    <row r="7147" ht="15.75" customHeight="1" s="108">
      <c r="A7147" s="18" t="inlineStr">
        <is>
          <t>Jeff Anderson</t>
        </is>
      </c>
      <c r="B7147" s="18" t="n">
        <v>1</v>
      </c>
      <c r="C7147" s="18" t="n">
        <v>1999</v>
      </c>
      <c r="D7147" s="18" t="n">
        <v>1999</v>
      </c>
      <c r="E7147" s="18" t="inlineStr">
        <is>
          <t>Dogma</t>
        </is>
      </c>
      <c r="F7147" s="18" t="inlineStr">
        <is>
          <t>F0351</t>
        </is>
      </c>
    </row>
    <row r="7148" ht="15.75" customHeight="1" s="108">
      <c r="A7148" s="18" t="inlineStr">
        <is>
          <t>Brian O'Halloran</t>
        </is>
      </c>
      <c r="B7148" s="18" t="n">
        <v>1</v>
      </c>
      <c r="C7148" s="18" t="n">
        <v>1999</v>
      </c>
      <c r="D7148" s="18" t="n">
        <v>1999</v>
      </c>
      <c r="E7148" s="18" t="inlineStr">
        <is>
          <t>Dogma</t>
        </is>
      </c>
      <c r="F7148" s="18" t="inlineStr">
        <is>
          <t>F0351</t>
        </is>
      </c>
    </row>
    <row r="7149" ht="15.75" customHeight="1" s="108">
      <c r="A7149" s="18" t="inlineStr">
        <is>
          <t>Janeane Garofalo</t>
        </is>
      </c>
      <c r="B7149" s="18" t="n">
        <v>1</v>
      </c>
      <c r="C7149" s="18" t="n">
        <v>1999</v>
      </c>
      <c r="D7149" s="18" t="n">
        <v>1999</v>
      </c>
      <c r="E7149" s="18" t="inlineStr">
        <is>
          <t>Dogma</t>
        </is>
      </c>
      <c r="F7149" s="18" t="inlineStr">
        <is>
          <t>F0351</t>
        </is>
      </c>
    </row>
    <row r="7150" ht="15.75" customHeight="1" s="108">
      <c r="A7150" s="18" t="inlineStr">
        <is>
          <t>Betty Aberlin</t>
        </is>
      </c>
      <c r="B7150" s="18" t="n">
        <v>1</v>
      </c>
      <c r="C7150" s="18" t="n">
        <v>1999</v>
      </c>
      <c r="D7150" s="18" t="n">
        <v>1999</v>
      </c>
      <c r="E7150" s="18" t="inlineStr">
        <is>
          <t>Dogma</t>
        </is>
      </c>
      <c r="F7150" s="18" t="inlineStr">
        <is>
          <t>F0351</t>
        </is>
      </c>
    </row>
    <row r="7151" ht="15.75" customHeight="1" s="108">
      <c r="A7151" s="18" t="inlineStr">
        <is>
          <t>King Mustafa Obafemi</t>
        </is>
      </c>
      <c r="B7151" s="18" t="n">
        <v>1</v>
      </c>
      <c r="C7151" s="18" t="n">
        <v>1999</v>
      </c>
      <c r="D7151" s="18" t="n">
        <v>1999</v>
      </c>
      <c r="E7151" s="18" t="inlineStr">
        <is>
          <t>Dogma</t>
        </is>
      </c>
      <c r="F7151" s="18" t="inlineStr">
        <is>
          <t>F0351</t>
        </is>
      </c>
    </row>
    <row r="7152" ht="15.75" customHeight="1" s="108">
      <c r="A7152" s="18" t="inlineStr">
        <is>
          <t>Guinevere Turner</t>
        </is>
      </c>
      <c r="B7152" s="18" t="n">
        <v>1</v>
      </c>
      <c r="C7152" s="18" t="n">
        <v>1999</v>
      </c>
      <c r="D7152" s="18" t="n">
        <v>1999</v>
      </c>
      <c r="E7152" s="18" t="inlineStr">
        <is>
          <t>Dogma</t>
        </is>
      </c>
      <c r="F7152" s="18" t="inlineStr">
        <is>
          <t>F0351</t>
        </is>
      </c>
    </row>
    <row r="7153" ht="15.75" customHeight="1" s="108">
      <c r="A7153" s="18" t="inlineStr">
        <is>
          <t>Bryan Johnson</t>
        </is>
      </c>
      <c r="B7153" s="18" t="n">
        <v>1</v>
      </c>
      <c r="C7153" s="18" t="n">
        <v>1999</v>
      </c>
      <c r="D7153" s="18" t="n">
        <v>1999</v>
      </c>
      <c r="E7153" s="18" t="inlineStr">
        <is>
          <t>Dogma</t>
        </is>
      </c>
      <c r="F7153" s="18" t="inlineStr">
        <is>
          <t>F0351</t>
        </is>
      </c>
    </row>
    <row r="7154" ht="15.75" customHeight="1" s="108">
      <c r="A7154" s="18" t="inlineStr">
        <is>
          <t>Walt Flanagan</t>
        </is>
      </c>
      <c r="B7154" s="18" t="n">
        <v>1</v>
      </c>
      <c r="C7154" s="18" t="n">
        <v>1999</v>
      </c>
      <c r="D7154" s="18" t="n">
        <v>1999</v>
      </c>
      <c r="E7154" s="18" t="inlineStr">
        <is>
          <t>Dogma</t>
        </is>
      </c>
      <c r="F7154" s="18" t="inlineStr">
        <is>
          <t>F0351</t>
        </is>
      </c>
    </row>
    <row r="7155" ht="15.75" customHeight="1" s="108">
      <c r="A7155" s="18" t="inlineStr">
        <is>
          <t>Jared Pfennigwerth</t>
        </is>
      </c>
      <c r="B7155" s="18" t="n">
        <v>1</v>
      </c>
      <c r="C7155" s="18" t="n">
        <v>1999</v>
      </c>
      <c r="D7155" s="18" t="n">
        <v>1999</v>
      </c>
      <c r="E7155" s="18" t="inlineStr">
        <is>
          <t>Dogma</t>
        </is>
      </c>
      <c r="F7155" s="18" t="inlineStr">
        <is>
          <t>F0351</t>
        </is>
      </c>
    </row>
    <row r="7156" ht="15.75" customHeight="1" s="108">
      <c r="A7156" s="18" t="inlineStr">
        <is>
          <t>Kitao Sakurai</t>
        </is>
      </c>
      <c r="B7156" s="18" t="n">
        <v>1</v>
      </c>
      <c r="C7156" s="18" t="n">
        <v>1999</v>
      </c>
      <c r="D7156" s="18" t="n">
        <v>1999</v>
      </c>
      <c r="E7156" s="18" t="inlineStr">
        <is>
          <t>Dogma</t>
        </is>
      </c>
      <c r="F7156" s="18" t="inlineStr">
        <is>
          <t>F0351</t>
        </is>
      </c>
    </row>
    <row r="7157" ht="15.75" customHeight="1" s="108">
      <c r="A7157" s="18" t="inlineStr">
        <is>
          <t>Barret Hackney</t>
        </is>
      </c>
      <c r="B7157" s="18" t="n">
        <v>1</v>
      </c>
      <c r="C7157" s="18" t="n">
        <v>1999</v>
      </c>
      <c r="D7157" s="18" t="n">
        <v>1999</v>
      </c>
      <c r="E7157" s="18" t="inlineStr">
        <is>
          <t>Dogma</t>
        </is>
      </c>
      <c r="F7157" s="18" t="inlineStr">
        <is>
          <t>F0351</t>
        </is>
      </c>
    </row>
    <row r="7158" ht="15.75" customHeight="1" s="108">
      <c r="A7158" s="18" t="inlineStr">
        <is>
          <t>Dan Etheridge</t>
        </is>
      </c>
      <c r="B7158" s="18" t="n">
        <v>1</v>
      </c>
      <c r="C7158" s="18" t="n">
        <v>1999</v>
      </c>
      <c r="D7158" s="18" t="n">
        <v>1999</v>
      </c>
      <c r="E7158" s="18" t="inlineStr">
        <is>
          <t>Dogma</t>
        </is>
      </c>
      <c r="F7158" s="18" t="inlineStr">
        <is>
          <t>F0351</t>
        </is>
      </c>
    </row>
    <row r="7159" ht="15.75" customHeight="1" s="108">
      <c r="A7159" s="18" t="inlineStr">
        <is>
          <t>Derek Milosavljevic</t>
        </is>
      </c>
      <c r="B7159" s="18" t="n">
        <v>1</v>
      </c>
      <c r="C7159" s="18" t="n">
        <v>1999</v>
      </c>
      <c r="D7159" s="18" t="n">
        <v>1999</v>
      </c>
      <c r="E7159" s="18" t="inlineStr">
        <is>
          <t>Dogma</t>
        </is>
      </c>
      <c r="F7159" s="18" t="inlineStr">
        <is>
          <t>F0351</t>
        </is>
      </c>
    </row>
    <row r="7160" ht="15.75" customHeight="1" s="108">
      <c r="A7160" s="18" t="inlineStr">
        <is>
          <t>Lesley Braden</t>
        </is>
      </c>
      <c r="B7160" s="18" t="n">
        <v>1</v>
      </c>
      <c r="C7160" s="18" t="n">
        <v>1999</v>
      </c>
      <c r="D7160" s="18" t="n">
        <v>1999</v>
      </c>
      <c r="E7160" s="18" t="inlineStr">
        <is>
          <t>Dogma</t>
        </is>
      </c>
      <c r="F7160" s="18" t="inlineStr">
        <is>
          <t>F0351</t>
        </is>
      </c>
    </row>
    <row r="7161" ht="15.75" customHeight="1" s="108">
      <c r="A7161" s="18" t="inlineStr">
        <is>
          <t>Nancy Bach</t>
        </is>
      </c>
      <c r="B7161" s="18" t="n">
        <v>1</v>
      </c>
      <c r="C7161" s="18" t="n">
        <v>1999</v>
      </c>
      <c r="D7161" s="18" t="n">
        <v>1999</v>
      </c>
      <c r="E7161" s="18" t="inlineStr">
        <is>
          <t>Dogma</t>
        </is>
      </c>
      <c r="F7161" s="18" t="inlineStr">
        <is>
          <t>F0351</t>
        </is>
      </c>
    </row>
    <row r="7162" ht="15.75" customHeight="1" s="108">
      <c r="A7162" s="18" t="inlineStr">
        <is>
          <t>Armando Rodriguez</t>
        </is>
      </c>
      <c r="B7162" s="18" t="n">
        <v>1</v>
      </c>
      <c r="C7162" s="18" t="n">
        <v>1999</v>
      </c>
      <c r="D7162" s="18" t="n">
        <v>1999</v>
      </c>
      <c r="E7162" s="18" t="inlineStr">
        <is>
          <t>Dogma</t>
        </is>
      </c>
      <c r="F7162" s="18" t="inlineStr">
        <is>
          <t>F0351</t>
        </is>
      </c>
    </row>
    <row r="7163" ht="15.75" customHeight="1" s="108">
      <c r="A7163" s="18" t="inlineStr">
        <is>
          <t>Scott Mosier</t>
        </is>
      </c>
      <c r="B7163" s="18" t="n">
        <v>1</v>
      </c>
      <c r="C7163" s="18" t="n">
        <v>1999</v>
      </c>
      <c r="D7163" s="18" t="n">
        <v>1999</v>
      </c>
      <c r="E7163" s="18" t="inlineStr">
        <is>
          <t>Dogma</t>
        </is>
      </c>
      <c r="F7163" s="18" t="inlineStr">
        <is>
          <t>F0351</t>
        </is>
      </c>
    </row>
    <row r="7164" ht="15.75" customHeight="1" s="108">
      <c r="A7164" s="18" t="inlineStr">
        <is>
          <t>Monica Hampton</t>
        </is>
      </c>
      <c r="B7164" s="18" t="n">
        <v>1</v>
      </c>
      <c r="C7164" s="18" t="n">
        <v>1999</v>
      </c>
      <c r="D7164" s="18" t="n">
        <v>1999</v>
      </c>
      <c r="E7164" s="18" t="inlineStr">
        <is>
          <t>Dogma</t>
        </is>
      </c>
      <c r="F7164" s="18" t="inlineStr">
        <is>
          <t>F0351</t>
        </is>
      </c>
    </row>
    <row r="7165" ht="15.75" customHeight="1" s="108">
      <c r="A7165" s="18" t="inlineStr">
        <is>
          <t>Robert DoQui</t>
        </is>
      </c>
      <c r="B7165" s="18" t="n">
        <v>1</v>
      </c>
      <c r="C7165" s="4" t="n"/>
      <c r="D7165" s="4" t="n"/>
      <c r="E7165" s="18" t="inlineStr">
        <is>
          <t>RoboCop</t>
        </is>
      </c>
      <c r="F7165" s="18" t="inlineStr">
        <is>
          <t>F0268</t>
        </is>
      </c>
    </row>
    <row r="7166" ht="15.75" customHeight="1" s="108">
      <c r="A7166" s="18" t="inlineStr">
        <is>
          <t>Ray Wise</t>
        </is>
      </c>
      <c r="B7166" s="18" t="n">
        <v>1</v>
      </c>
      <c r="C7166" s="4" t="n"/>
      <c r="D7166" s="4" t="n"/>
      <c r="E7166" s="18" t="inlineStr">
        <is>
          <t>RoboCop</t>
        </is>
      </c>
      <c r="F7166" s="18" t="inlineStr">
        <is>
          <t>F0268</t>
        </is>
      </c>
    </row>
    <row r="7167" ht="15.75" customHeight="1" s="108">
      <c r="A7167" s="18" t="inlineStr">
        <is>
          <t>Felton Perry</t>
        </is>
      </c>
      <c r="B7167" s="18" t="n">
        <v>1</v>
      </c>
      <c r="C7167" s="4" t="n"/>
      <c r="D7167" s="4" t="n"/>
      <c r="E7167" s="18" t="inlineStr">
        <is>
          <t>RoboCop</t>
        </is>
      </c>
      <c r="F7167" s="18" t="inlineStr">
        <is>
          <t>F0268</t>
        </is>
      </c>
    </row>
    <row r="7168" ht="15.75" customHeight="1" s="108">
      <c r="A7168" s="18" t="inlineStr">
        <is>
          <t>Paul McCrane</t>
        </is>
      </c>
      <c r="B7168" s="18" t="n">
        <v>1</v>
      </c>
      <c r="C7168" s="4" t="n"/>
      <c r="D7168" s="4" t="n"/>
      <c r="E7168" s="18" t="inlineStr">
        <is>
          <t>RoboCop</t>
        </is>
      </c>
      <c r="F7168" s="18" t="inlineStr">
        <is>
          <t>F0268</t>
        </is>
      </c>
    </row>
    <row r="7169" ht="15.75" customHeight="1" s="108">
      <c r="A7169" s="18" t="inlineStr">
        <is>
          <t>Jesse D. Goins</t>
        </is>
      </c>
      <c r="B7169" s="18" t="n">
        <v>1</v>
      </c>
      <c r="C7169" s="4" t="n"/>
      <c r="D7169" s="4" t="n"/>
      <c r="E7169" s="18" t="inlineStr">
        <is>
          <t>RoboCop</t>
        </is>
      </c>
      <c r="F7169" s="18" t="inlineStr">
        <is>
          <t>F0268</t>
        </is>
      </c>
    </row>
    <row r="7170" ht="15.75" customHeight="1" s="108">
      <c r="A7170" s="18" t="inlineStr">
        <is>
          <t>Del Zamora</t>
        </is>
      </c>
      <c r="B7170" s="18" t="n">
        <v>1</v>
      </c>
      <c r="C7170" s="4" t="n"/>
      <c r="D7170" s="4" t="n"/>
      <c r="E7170" s="18" t="inlineStr">
        <is>
          <t>RoboCop</t>
        </is>
      </c>
      <c r="F7170" s="18" t="inlineStr">
        <is>
          <t>F0268</t>
        </is>
      </c>
    </row>
    <row r="7171" ht="15.75" customHeight="1" s="108">
      <c r="A7171" s="18" t="inlineStr">
        <is>
          <t>Calvin Jung</t>
        </is>
      </c>
      <c r="B7171" s="18" t="n">
        <v>1</v>
      </c>
      <c r="C7171" s="4" t="n"/>
      <c r="D7171" s="4" t="n"/>
      <c r="E7171" s="18" t="inlineStr">
        <is>
          <t>RoboCop</t>
        </is>
      </c>
      <c r="F7171" s="18" t="inlineStr">
        <is>
          <t>F0268</t>
        </is>
      </c>
    </row>
    <row r="7172" ht="15.75" customHeight="1" s="108">
      <c r="A7172" s="18" t="inlineStr">
        <is>
          <t>Rick Lieberman</t>
        </is>
      </c>
      <c r="B7172" s="18" t="n">
        <v>1</v>
      </c>
      <c r="C7172" s="4" t="n"/>
      <c r="D7172" s="4" t="n"/>
      <c r="E7172" s="18" t="inlineStr">
        <is>
          <t>RoboCop</t>
        </is>
      </c>
      <c r="F7172" s="18" t="inlineStr">
        <is>
          <t>F0268</t>
        </is>
      </c>
    </row>
    <row r="7173" ht="15.75" customHeight="1" s="108">
      <c r="A7173" s="18" t="inlineStr">
        <is>
          <t>Lee de Broux</t>
        </is>
      </c>
      <c r="B7173" s="18" t="n">
        <v>1</v>
      </c>
      <c r="C7173" s="4" t="n"/>
      <c r="D7173" s="4" t="n"/>
      <c r="E7173" s="18" t="inlineStr">
        <is>
          <t>RoboCop</t>
        </is>
      </c>
      <c r="F7173" s="18" t="inlineStr">
        <is>
          <t>F0268</t>
        </is>
      </c>
    </row>
    <row r="7174" ht="15.75" customHeight="1" s="108">
      <c r="A7174" s="18" t="inlineStr">
        <is>
          <t>Mark Carlton</t>
        </is>
      </c>
      <c r="B7174" s="18" t="n">
        <v>1</v>
      </c>
      <c r="C7174" s="4" t="n"/>
      <c r="D7174" s="4" t="n"/>
      <c r="E7174" s="18" t="inlineStr">
        <is>
          <t>RoboCop</t>
        </is>
      </c>
      <c r="F7174" s="18" t="inlineStr">
        <is>
          <t>F0268</t>
        </is>
      </c>
    </row>
    <row r="7175" ht="15.75" customHeight="1" s="108">
      <c r="A7175" s="18" t="inlineStr">
        <is>
          <t>Edward Edwards</t>
        </is>
      </c>
      <c r="B7175" s="18" t="n">
        <v>1</v>
      </c>
      <c r="C7175" s="4" t="n"/>
      <c r="D7175" s="4" t="n"/>
      <c r="E7175" s="18" t="inlineStr">
        <is>
          <t>RoboCop</t>
        </is>
      </c>
      <c r="F7175" s="18" t="inlineStr">
        <is>
          <t>F0268</t>
        </is>
      </c>
    </row>
    <row r="7176" ht="15.75" customHeight="1" s="108">
      <c r="A7176" s="18" t="inlineStr">
        <is>
          <t>Michael Gregory</t>
        </is>
      </c>
      <c r="B7176" s="18" t="n">
        <v>1</v>
      </c>
      <c r="C7176" s="4" t="n"/>
      <c r="D7176" s="4" t="n"/>
      <c r="E7176" s="18" t="inlineStr">
        <is>
          <t>RoboCop</t>
        </is>
      </c>
      <c r="F7176" s="18" t="inlineStr">
        <is>
          <t>F0268</t>
        </is>
      </c>
    </row>
    <row r="7177" ht="15.75" customHeight="1" s="108">
      <c r="A7177" s="18" t="inlineStr">
        <is>
          <t>Freddie Hice</t>
        </is>
      </c>
      <c r="B7177" s="18" t="n">
        <v>1</v>
      </c>
      <c r="C7177" s="4" t="n"/>
      <c r="D7177" s="4" t="n"/>
      <c r="E7177" s="18" t="inlineStr">
        <is>
          <t>RoboCop</t>
        </is>
      </c>
      <c r="F7177" s="18" t="inlineStr">
        <is>
          <t>F0268</t>
        </is>
      </c>
    </row>
    <row r="7178" ht="15.75" customHeight="1" s="108">
      <c r="A7178" s="18" t="inlineStr">
        <is>
          <t>Neil Summers</t>
        </is>
      </c>
      <c r="B7178" s="18" t="n">
        <v>1</v>
      </c>
      <c r="C7178" s="4" t="n"/>
      <c r="D7178" s="4" t="n"/>
      <c r="E7178" s="18" t="inlineStr">
        <is>
          <t>RoboCop</t>
        </is>
      </c>
      <c r="F7178" s="18" t="inlineStr">
        <is>
          <t>F0268</t>
        </is>
      </c>
    </row>
    <row r="7179" ht="15.75" customHeight="1" s="108">
      <c r="A7179" s="18" t="inlineStr">
        <is>
          <t>Gene Wolande</t>
        </is>
      </c>
      <c r="B7179" s="18" t="n">
        <v>1</v>
      </c>
      <c r="C7179" s="4" t="n"/>
      <c r="D7179" s="4" t="n"/>
      <c r="E7179" s="18" t="inlineStr">
        <is>
          <t>RoboCop</t>
        </is>
      </c>
      <c r="F7179" s="18" t="inlineStr">
        <is>
          <t>F0268</t>
        </is>
      </c>
    </row>
    <row r="7180" ht="15.75" customHeight="1" s="108">
      <c r="A7180" s="18" t="inlineStr">
        <is>
          <t>Gregory Poudevigne</t>
        </is>
      </c>
      <c r="B7180" s="18" t="n">
        <v>1</v>
      </c>
      <c r="C7180" s="4" t="n"/>
      <c r="D7180" s="4" t="n"/>
      <c r="E7180" s="18" t="inlineStr">
        <is>
          <t>RoboCop</t>
        </is>
      </c>
      <c r="F7180" s="18" t="inlineStr">
        <is>
          <t>F0268</t>
        </is>
      </c>
    </row>
    <row r="7181" ht="15.75" customHeight="1" s="108">
      <c r="A7181" s="18" t="inlineStr">
        <is>
          <t>Charles Carroll</t>
        </is>
      </c>
      <c r="B7181" s="18" t="n">
        <v>1</v>
      </c>
      <c r="C7181" s="4" t="n"/>
      <c r="D7181" s="4" t="n"/>
      <c r="E7181" s="18" t="inlineStr">
        <is>
          <t>RoboCop</t>
        </is>
      </c>
      <c r="F7181" s="18" t="inlineStr">
        <is>
          <t>F0268</t>
        </is>
      </c>
    </row>
    <row r="7182" ht="15.75" customHeight="1" s="108">
      <c r="A7182" s="18" t="inlineStr">
        <is>
          <t>Kevin Page</t>
        </is>
      </c>
      <c r="B7182" s="18" t="n">
        <v>1</v>
      </c>
      <c r="C7182" s="4" t="n"/>
      <c r="D7182" s="4" t="n"/>
      <c r="E7182" s="18" t="inlineStr">
        <is>
          <t>RoboCop</t>
        </is>
      </c>
      <c r="F7182" s="18" t="inlineStr">
        <is>
          <t>F0268</t>
        </is>
      </c>
    </row>
    <row r="7183" ht="15.75" customHeight="1" s="108">
      <c r="A7183" s="18" t="inlineStr">
        <is>
          <t>Yolonda Williams</t>
        </is>
      </c>
      <c r="B7183" s="18" t="n">
        <v>1</v>
      </c>
      <c r="C7183" s="4" t="n"/>
      <c r="D7183" s="4" t="n"/>
      <c r="E7183" s="18" t="inlineStr">
        <is>
          <t>RoboCop</t>
        </is>
      </c>
      <c r="F7183" s="18" t="inlineStr">
        <is>
          <t>F0268</t>
        </is>
      </c>
    </row>
    <row r="7184" ht="15.75" customHeight="1" s="108">
      <c r="A7184" s="18" t="inlineStr">
        <is>
          <t>Tyrees Allen</t>
        </is>
      </c>
      <c r="B7184" s="18" t="n">
        <v>1</v>
      </c>
      <c r="C7184" s="4" t="n"/>
      <c r="D7184" s="4" t="n"/>
      <c r="E7184" s="18" t="inlineStr">
        <is>
          <t>RoboCop</t>
        </is>
      </c>
      <c r="F7184" s="18" t="inlineStr">
        <is>
          <t>F0268</t>
        </is>
      </c>
    </row>
    <row r="7185" ht="15.75" customHeight="1" s="108">
      <c r="A7185" s="18" t="inlineStr">
        <is>
          <t>John S. Davies</t>
        </is>
      </c>
      <c r="B7185" s="18" t="n">
        <v>1</v>
      </c>
      <c r="C7185" s="4" t="n"/>
      <c r="D7185" s="4" t="n"/>
      <c r="E7185" s="18" t="inlineStr">
        <is>
          <t>RoboCop</t>
        </is>
      </c>
      <c r="F7185" s="18" t="inlineStr">
        <is>
          <t>F0268</t>
        </is>
      </c>
    </row>
    <row r="7186" ht="15.75" customHeight="1" s="108">
      <c r="A7186" s="18" t="inlineStr">
        <is>
          <t>Laird Stuart</t>
        </is>
      </c>
      <c r="B7186" s="18" t="n">
        <v>1</v>
      </c>
      <c r="C7186" s="4" t="n"/>
      <c r="D7186" s="4" t="n"/>
      <c r="E7186" s="18" t="inlineStr">
        <is>
          <t>RoboCop</t>
        </is>
      </c>
      <c r="F7186" s="18" t="inlineStr">
        <is>
          <t>F0268</t>
        </is>
      </c>
    </row>
    <row r="7187" ht="15.75" customHeight="1" s="108">
      <c r="A7187" s="18" t="inlineStr">
        <is>
          <t>Stephen Berrier</t>
        </is>
      </c>
      <c r="B7187" s="18" t="n">
        <v>1</v>
      </c>
      <c r="C7187" s="4" t="n"/>
      <c r="D7187" s="4" t="n"/>
      <c r="E7187" s="18" t="inlineStr">
        <is>
          <t>RoboCop</t>
        </is>
      </c>
      <c r="F7187" s="18" t="inlineStr">
        <is>
          <t>F0268</t>
        </is>
      </c>
    </row>
    <row r="7188" ht="15.75" customHeight="1" s="108">
      <c r="A7188" s="18" t="inlineStr">
        <is>
          <t>Sage Parker</t>
        </is>
      </c>
      <c r="B7188" s="18" t="n">
        <v>1</v>
      </c>
      <c r="C7188" s="4" t="n"/>
      <c r="D7188" s="4" t="n"/>
      <c r="E7188" s="18" t="inlineStr">
        <is>
          <t>RoboCop</t>
        </is>
      </c>
      <c r="F7188" s="18" t="inlineStr">
        <is>
          <t>F0268</t>
        </is>
      </c>
    </row>
    <row r="7189">
      <c r="A7189" s="0" t="inlineStr">
        <is>
          <t>Olivia Cooke</t>
        </is>
      </c>
      <c r="B7189" s="0" t="n">
        <v>1</v>
      </c>
      <c r="C7189" s="0" t="n">
        <v>2018</v>
      </c>
      <c r="D7189" s="0" t="n">
        <v>2018</v>
      </c>
      <c r="E7189" s="0" t="inlineStr">
        <is>
          <t>Ready player one</t>
        </is>
      </c>
      <c r="F7189" s="0" t="inlineStr">
        <is>
          <t>F0352</t>
        </is>
      </c>
    </row>
    <row r="7190">
      <c r="A7190" s="0" t="inlineStr">
        <is>
          <t>Lena Waithe</t>
        </is>
      </c>
      <c r="B7190" s="0" t="n">
        <v>1</v>
      </c>
      <c r="C7190" s="0" t="n">
        <v>2018</v>
      </c>
      <c r="D7190" s="0" t="n">
        <v>2018</v>
      </c>
      <c r="E7190" s="0" t="inlineStr">
        <is>
          <t>Ready player one</t>
        </is>
      </c>
      <c r="F7190" s="0" t="inlineStr">
        <is>
          <t>F0352</t>
        </is>
      </c>
    </row>
    <row r="7191">
      <c r="A7191" s="0" t="inlineStr">
        <is>
          <t>Philip Zhao</t>
        </is>
      </c>
      <c r="B7191" s="0" t="n">
        <v>1</v>
      </c>
      <c r="C7191" s="0" t="n">
        <v>2018</v>
      </c>
      <c r="D7191" s="0" t="n">
        <v>2018</v>
      </c>
      <c r="E7191" s="0" t="inlineStr">
        <is>
          <t>Ready player one</t>
        </is>
      </c>
      <c r="F7191" s="0" t="inlineStr">
        <is>
          <t>F0352</t>
        </is>
      </c>
    </row>
    <row r="7192">
      <c r="A7192" s="0" t="inlineStr">
        <is>
          <t>Win Morisaki</t>
        </is>
      </c>
      <c r="B7192" s="0" t="n">
        <v>1</v>
      </c>
      <c r="C7192" s="0" t="n">
        <v>2018</v>
      </c>
      <c r="D7192" s="0" t="n">
        <v>2018</v>
      </c>
      <c r="E7192" s="0" t="inlineStr">
        <is>
          <t>Ready player one</t>
        </is>
      </c>
      <c r="F7192" s="0" t="inlineStr">
        <is>
          <t>F0352</t>
        </is>
      </c>
    </row>
    <row r="7193">
      <c r="A7193" s="0" t="inlineStr">
        <is>
          <t>Hannah John-Kamen</t>
        </is>
      </c>
      <c r="B7193" s="0" t="n">
        <v>1</v>
      </c>
      <c r="C7193" s="0" t="n">
        <v>2018</v>
      </c>
      <c r="D7193" s="0" t="n">
        <v>2018</v>
      </c>
      <c r="E7193" s="0" t="inlineStr">
        <is>
          <t>Ready player one</t>
        </is>
      </c>
      <c r="F7193" s="0" t="inlineStr">
        <is>
          <t>F0352</t>
        </is>
      </c>
    </row>
    <row r="7194">
      <c r="A7194" s="0" t="inlineStr">
        <is>
          <t>Susan Lynch</t>
        </is>
      </c>
      <c r="B7194" s="0" t="n">
        <v>1</v>
      </c>
      <c r="C7194" s="0" t="n">
        <v>2018</v>
      </c>
      <c r="D7194" s="0" t="n">
        <v>2018</v>
      </c>
      <c r="E7194" s="0" t="inlineStr">
        <is>
          <t>Ready player one</t>
        </is>
      </c>
      <c r="F7194" s="0" t="inlineStr">
        <is>
          <t>F0352</t>
        </is>
      </c>
    </row>
    <row r="7195">
      <c r="A7195" s="0" t="inlineStr">
        <is>
          <t>Clare Higgins</t>
        </is>
      </c>
      <c r="B7195" s="0" t="n">
        <v>1</v>
      </c>
      <c r="C7195" s="0" t="n">
        <v>2018</v>
      </c>
      <c r="D7195" s="0" t="n">
        <v>2018</v>
      </c>
      <c r="E7195" s="0" t="inlineStr">
        <is>
          <t>Ready player one</t>
        </is>
      </c>
      <c r="F7195" s="0" t="inlineStr">
        <is>
          <t>F0352</t>
        </is>
      </c>
    </row>
    <row r="7196">
      <c r="A7196" s="0" t="inlineStr">
        <is>
          <t>Perdita Weeks</t>
        </is>
      </c>
      <c r="B7196" s="0" t="n">
        <v>1</v>
      </c>
      <c r="C7196" s="0" t="n">
        <v>2018</v>
      </c>
      <c r="D7196" s="0" t="n">
        <v>2018</v>
      </c>
      <c r="E7196" s="0" t="inlineStr">
        <is>
          <t>Ready player one</t>
        </is>
      </c>
      <c r="F7196" s="0" t="inlineStr">
        <is>
          <t>F0352</t>
        </is>
      </c>
    </row>
    <row r="7197">
      <c r="A7197" s="0" t="inlineStr">
        <is>
          <t>Joel MacCormack</t>
        </is>
      </c>
      <c r="B7197" s="0" t="n">
        <v>1</v>
      </c>
      <c r="C7197" s="0" t="n">
        <v>2018</v>
      </c>
      <c r="D7197" s="0" t="n">
        <v>2018</v>
      </c>
      <c r="E7197" s="0" t="inlineStr">
        <is>
          <t>Ready player one</t>
        </is>
      </c>
      <c r="F7197" s="0" t="inlineStr">
        <is>
          <t>F0352</t>
        </is>
      </c>
    </row>
    <row r="7198">
      <c r="A7198" s="0" t="inlineStr">
        <is>
          <t>Leo Heller</t>
        </is>
      </c>
      <c r="B7198" s="0" t="n">
        <v>1</v>
      </c>
      <c r="C7198" s="0" t="n">
        <v>2018</v>
      </c>
      <c r="D7198" s="0" t="n">
        <v>2018</v>
      </c>
      <c r="E7198" s="0" t="inlineStr">
        <is>
          <t>Ready player one</t>
        </is>
      </c>
      <c r="F7198" s="0" t="inlineStr">
        <is>
          <t>F0352</t>
        </is>
      </c>
    </row>
    <row r="7199">
      <c r="A7199" s="0" t="inlineStr">
        <is>
          <t>Antonio Mattera</t>
        </is>
      </c>
      <c r="B7199" s="0" t="n">
        <v>1</v>
      </c>
      <c r="C7199" s="0" t="n">
        <v>2018</v>
      </c>
      <c r="D7199" s="0" t="n">
        <v>2018</v>
      </c>
      <c r="E7199" s="0" t="inlineStr">
        <is>
          <t>Ready player one</t>
        </is>
      </c>
      <c r="F7199" s="0" t="inlineStr">
        <is>
          <t>F0352</t>
        </is>
      </c>
    </row>
    <row r="7200">
      <c r="A7200" s="0" t="inlineStr">
        <is>
          <t>Ronkẹ Adékoluẹjo</t>
        </is>
      </c>
      <c r="B7200" s="0" t="n">
        <v>1</v>
      </c>
      <c r="C7200" s="0" t="n">
        <v>2018</v>
      </c>
      <c r="D7200" s="0" t="n">
        <v>2018</v>
      </c>
      <c r="E7200" s="0" t="inlineStr">
        <is>
          <t>Ready player one</t>
        </is>
      </c>
      <c r="F7200" s="0" t="inlineStr">
        <is>
          <t>F0352</t>
        </is>
      </c>
    </row>
    <row r="7201">
      <c r="A7201" s="0" t="inlineStr">
        <is>
          <t>William Gross</t>
        </is>
      </c>
      <c r="B7201" s="0" t="n">
        <v>1</v>
      </c>
      <c r="C7201" s="0" t="n">
        <v>2018</v>
      </c>
      <c r="D7201" s="0" t="n">
        <v>2018</v>
      </c>
      <c r="E7201" s="0" t="inlineStr">
        <is>
          <t>Ready player one</t>
        </is>
      </c>
      <c r="F7201" s="0" t="inlineStr">
        <is>
          <t>F0352</t>
        </is>
      </c>
    </row>
    <row r="7202">
      <c r="A7202" s="0" t="inlineStr">
        <is>
          <t>Gareth Mason</t>
        </is>
      </c>
      <c r="B7202" s="0" t="n">
        <v>1</v>
      </c>
      <c r="C7202" s="0" t="n">
        <v>2018</v>
      </c>
      <c r="D7202" s="0" t="n">
        <v>2018</v>
      </c>
      <c r="E7202" s="0" t="inlineStr">
        <is>
          <t>Ready player one</t>
        </is>
      </c>
      <c r="F7202" s="0" t="inlineStr">
        <is>
          <t>F0352</t>
        </is>
      </c>
    </row>
    <row r="7203">
      <c r="A7203" s="0" t="inlineStr">
        <is>
          <t>Lynne Wilmot</t>
        </is>
      </c>
      <c r="B7203" s="0" t="n">
        <v>1</v>
      </c>
      <c r="C7203" s="0" t="n">
        <v>2018</v>
      </c>
      <c r="D7203" s="0" t="n">
        <v>2018</v>
      </c>
      <c r="E7203" s="0" t="inlineStr">
        <is>
          <t>Ready player one</t>
        </is>
      </c>
      <c r="F7203" s="0" t="inlineStr">
        <is>
          <t>F0352</t>
        </is>
      </c>
    </row>
    <row r="7204">
      <c r="A7204" s="0" t="inlineStr">
        <is>
          <t>Jayden Fowora-Knight</t>
        </is>
      </c>
      <c r="B7204" s="0" t="n">
        <v>1</v>
      </c>
      <c r="C7204" s="0" t="n">
        <v>2018</v>
      </c>
      <c r="D7204" s="0" t="n">
        <v>2018</v>
      </c>
      <c r="E7204" s="0" t="inlineStr">
        <is>
          <t>Ready player one</t>
        </is>
      </c>
      <c r="F7204" s="0" t="inlineStr">
        <is>
          <t>F0352</t>
        </is>
      </c>
    </row>
    <row r="7205">
      <c r="A7205" s="0" t="inlineStr">
        <is>
          <t>Gavin Marshall</t>
        </is>
      </c>
      <c r="B7205" s="0" t="n">
        <v>1</v>
      </c>
      <c r="C7205" s="0" t="n">
        <v>2018</v>
      </c>
      <c r="D7205" s="0" t="n">
        <v>2018</v>
      </c>
      <c r="E7205" s="0" t="inlineStr">
        <is>
          <t>Ready player one</t>
        </is>
      </c>
      <c r="F7205" s="0" t="inlineStr">
        <is>
          <t>F0352</t>
        </is>
      </c>
    </row>
    <row r="7206">
      <c r="A7206" s="0" t="inlineStr">
        <is>
          <t>Mark Stanley</t>
        </is>
      </c>
      <c r="B7206" s="0" t="n">
        <v>1</v>
      </c>
      <c r="C7206" s="0" t="n">
        <v>2018</v>
      </c>
      <c r="D7206" s="0" t="n">
        <v>2018</v>
      </c>
      <c r="E7206" s="0" t="inlineStr">
        <is>
          <t>Ready player one</t>
        </is>
      </c>
      <c r="F7206" s="0" t="inlineStr">
        <is>
          <t>F0352</t>
        </is>
      </c>
    </row>
    <row r="7207">
      <c r="A7207" s="0" t="inlineStr">
        <is>
          <t>Emily Beacock</t>
        </is>
      </c>
      <c r="B7207" s="0" t="n">
        <v>1</v>
      </c>
      <c r="C7207" s="0" t="n">
        <v>2018</v>
      </c>
      <c r="D7207" s="0" t="n">
        <v>2018</v>
      </c>
      <c r="E7207" s="0" t="inlineStr">
        <is>
          <t>Ready player one</t>
        </is>
      </c>
      <c r="F7207" s="0" t="inlineStr">
        <is>
          <t>F0352</t>
        </is>
      </c>
    </row>
    <row r="7208">
      <c r="A7208" s="0" t="inlineStr">
        <is>
          <t>Rosanna Beacock</t>
        </is>
      </c>
      <c r="B7208" s="0" t="n">
        <v>1</v>
      </c>
      <c r="C7208" s="0" t="n">
        <v>2018</v>
      </c>
      <c r="D7208" s="0" t="n">
        <v>2018</v>
      </c>
      <c r="E7208" s="0" t="inlineStr">
        <is>
          <t>Ready player one</t>
        </is>
      </c>
      <c r="F7208" s="0" t="inlineStr">
        <is>
          <t>F0352</t>
        </is>
      </c>
    </row>
    <row r="7209">
      <c r="A7209" s="0" t="inlineStr">
        <is>
          <t>Gemma Refoufi</t>
        </is>
      </c>
      <c r="B7209" s="0" t="n">
        <v>1</v>
      </c>
      <c r="C7209" s="0" t="n">
        <v>2018</v>
      </c>
      <c r="D7209" s="0" t="n">
        <v>2018</v>
      </c>
      <c r="E7209" s="0" t="inlineStr">
        <is>
          <t>Ready player one</t>
        </is>
      </c>
      <c r="F7209" s="0" t="inlineStr">
        <is>
          <t>F0352</t>
        </is>
      </c>
    </row>
    <row r="7210">
      <c r="A7210" s="0" t="inlineStr">
        <is>
          <t>Sean Penn</t>
        </is>
      </c>
      <c r="B7210" s="0" t="n">
        <v>1</v>
      </c>
      <c r="C7210" s="0" t="n">
        <v>2025</v>
      </c>
      <c r="D7210" s="0" t="n">
        <v>2025</v>
      </c>
      <c r="E7210" s="0" t="inlineStr">
        <is>
          <t>One battle after another</t>
        </is>
      </c>
      <c r="F7210" s="0" t="inlineStr">
        <is>
          <t>F0353</t>
        </is>
      </c>
    </row>
    <row r="7211">
      <c r="A7211" s="0" t="inlineStr">
        <is>
          <t>Chase Infiniti</t>
        </is>
      </c>
      <c r="B7211" s="0" t="n">
        <v>1</v>
      </c>
      <c r="C7211" s="0" t="n">
        <v>2025</v>
      </c>
      <c r="D7211" s="0" t="n">
        <v>2025</v>
      </c>
      <c r="E7211" s="0" t="inlineStr">
        <is>
          <t>One battle after another</t>
        </is>
      </c>
      <c r="F7211" s="0" t="inlineStr">
        <is>
          <t>F0353</t>
        </is>
      </c>
    </row>
    <row r="7212">
      <c r="A7212" s="0" t="inlineStr">
        <is>
          <t>Teyana Taylor</t>
        </is>
      </c>
      <c r="B7212" s="0" t="n">
        <v>1</v>
      </c>
      <c r="C7212" s="0" t="n">
        <v>2025</v>
      </c>
      <c r="D7212" s="0" t="n">
        <v>2025</v>
      </c>
      <c r="E7212" s="0" t="inlineStr">
        <is>
          <t>One battle after another</t>
        </is>
      </c>
      <c r="F7212" s="0" t="inlineStr">
        <is>
          <t>F0353</t>
        </is>
      </c>
    </row>
    <row r="7213">
      <c r="A7213" s="0" t="inlineStr">
        <is>
          <t>D.W. Moffett</t>
        </is>
      </c>
      <c r="B7213" s="0" t="n">
        <v>1</v>
      </c>
      <c r="C7213" s="0" t="n">
        <v>2025</v>
      </c>
      <c r="D7213" s="0" t="n">
        <v>2025</v>
      </c>
      <c r="E7213" s="0" t="inlineStr">
        <is>
          <t>One battle after another</t>
        </is>
      </c>
      <c r="F7213" s="0" t="inlineStr">
        <is>
          <t>F0353</t>
        </is>
      </c>
    </row>
    <row r="7214">
      <c r="A7214" s="0" t="inlineStr">
        <is>
          <t>Paul Grimstad</t>
        </is>
      </c>
      <c r="B7214" s="0" t="n">
        <v>1</v>
      </c>
      <c r="C7214" s="0" t="n">
        <v>2025</v>
      </c>
      <c r="D7214" s="0" t="n">
        <v>2025</v>
      </c>
      <c r="E7214" s="0" t="inlineStr">
        <is>
          <t>One battle after another</t>
        </is>
      </c>
      <c r="F7214" s="0" t="inlineStr">
        <is>
          <t>F0353</t>
        </is>
      </c>
    </row>
    <row r="7215">
      <c r="A7215" s="0" t="inlineStr">
        <is>
          <t>Dijon</t>
        </is>
      </c>
      <c r="B7215" s="0" t="n">
        <v>1</v>
      </c>
      <c r="C7215" s="0" t="n">
        <v>2025</v>
      </c>
      <c r="D7215" s="0" t="n">
        <v>2025</v>
      </c>
      <c r="E7215" s="0" t="inlineStr">
        <is>
          <t>One battle after another</t>
        </is>
      </c>
      <c r="F7215" s="0" t="inlineStr">
        <is>
          <t>F0353</t>
        </is>
      </c>
    </row>
    <row r="7216">
      <c r="A7216" s="0" t="inlineStr">
        <is>
          <t>Kevin Tighe</t>
        </is>
      </c>
      <c r="B7216" s="0" t="n">
        <v>1</v>
      </c>
      <c r="C7216" s="0" t="n">
        <v>2025</v>
      </c>
      <c r="D7216" s="0" t="n">
        <v>2025</v>
      </c>
      <c r="E7216" s="0" t="inlineStr">
        <is>
          <t>One battle after another</t>
        </is>
      </c>
      <c r="F7216" s="0" t="inlineStr">
        <is>
          <t>F0353</t>
        </is>
      </c>
    </row>
    <row r="7217">
      <c r="A7217" s="0" t="inlineStr">
        <is>
          <t>John Hoogenakker</t>
        </is>
      </c>
      <c r="B7217" s="0" t="n">
        <v>1</v>
      </c>
      <c r="C7217" s="0" t="n">
        <v>2025</v>
      </c>
      <c r="D7217" s="0" t="n">
        <v>2025</v>
      </c>
      <c r="E7217" s="0" t="inlineStr">
        <is>
          <t>One battle after another</t>
        </is>
      </c>
      <c r="F7217" s="0" t="inlineStr">
        <is>
          <t>F0353</t>
        </is>
      </c>
    </row>
    <row r="7218">
      <c r="A7218" s="0" t="inlineStr">
        <is>
          <t>Eric Schweig</t>
        </is>
      </c>
      <c r="B7218" s="0" t="n">
        <v>1</v>
      </c>
      <c r="C7218" s="0" t="n">
        <v>2025</v>
      </c>
      <c r="D7218" s="0" t="n">
        <v>2025</v>
      </c>
      <c r="E7218" s="0" t="inlineStr">
        <is>
          <t>One battle after another</t>
        </is>
      </c>
      <c r="F7218" s="0" t="inlineStr">
        <is>
          <t>F0353</t>
        </is>
      </c>
    </row>
    <row r="7219">
      <c r="A7219" s="0" t="inlineStr">
        <is>
          <t>April Grace</t>
        </is>
      </c>
      <c r="B7219" s="0" t="n">
        <v>1</v>
      </c>
      <c r="C7219" s="0" t="n">
        <v>2025</v>
      </c>
      <c r="D7219" s="0" t="n">
        <v>2025</v>
      </c>
      <c r="E7219" s="0" t="inlineStr">
        <is>
          <t>One battle after another</t>
        </is>
      </c>
      <c r="F7219" s="0" t="inlineStr">
        <is>
          <t>F0353</t>
        </is>
      </c>
    </row>
    <row r="7220">
      <c r="A7220" s="0" t="inlineStr">
        <is>
          <t>Jim Downey</t>
        </is>
      </c>
      <c r="B7220" s="0" t="n">
        <v>1</v>
      </c>
      <c r="C7220" s="0" t="n">
        <v>2025</v>
      </c>
      <c r="D7220" s="0" t="n">
        <v>2025</v>
      </c>
      <c r="E7220" s="0" t="inlineStr">
        <is>
          <t>One battle after another</t>
        </is>
      </c>
      <c r="F7220" s="0" t="inlineStr">
        <is>
          <t>F0353</t>
        </is>
      </c>
    </row>
    <row r="7221">
      <c r="A7221" s="0" t="inlineStr">
        <is>
          <t>Alana Haim</t>
        </is>
      </c>
      <c r="B7221" s="0" t="n">
        <v>1</v>
      </c>
      <c r="C7221" s="0" t="n">
        <v>2025</v>
      </c>
      <c r="D7221" s="0" t="n">
        <v>2025</v>
      </c>
      <c r="E7221" s="0" t="inlineStr">
        <is>
          <t>One battle after another</t>
        </is>
      </c>
      <c r="F7221" s="0" t="inlineStr">
        <is>
          <t>F0353</t>
        </is>
      </c>
    </row>
    <row r="7222">
      <c r="A7222" s="0" t="inlineStr">
        <is>
          <t>Shayna McHayle</t>
        </is>
      </c>
      <c r="B7222" s="0" t="n">
        <v>1</v>
      </c>
      <c r="C7222" s="0" t="n">
        <v>2025</v>
      </c>
      <c r="D7222" s="0" t="n">
        <v>2025</v>
      </c>
      <c r="E7222" s="0" t="inlineStr">
        <is>
          <t>One battle after another</t>
        </is>
      </c>
      <c r="F7222" s="0" t="inlineStr">
        <is>
          <t>F0353</t>
        </is>
      </c>
    </row>
    <row r="7223">
      <c r="A7223" s="0" t="inlineStr">
        <is>
          <t>Brooklyn Demme</t>
        </is>
      </c>
      <c r="B7223" s="0" t="n">
        <v>1</v>
      </c>
      <c r="C7223" s="0" t="n">
        <v>2025</v>
      </c>
      <c r="D7223" s="0" t="n">
        <v>2025</v>
      </c>
      <c r="E7223" s="0" t="inlineStr">
        <is>
          <t>One battle after another</t>
        </is>
      </c>
      <c r="F7223" s="0" t="inlineStr">
        <is>
          <t>F0353</t>
        </is>
      </c>
    </row>
    <row r="7224">
      <c r="A7224" s="0" t="inlineStr">
        <is>
          <t>Sachi Diserafino</t>
        </is>
      </c>
      <c r="B7224" s="0" t="n">
        <v>1</v>
      </c>
      <c r="C7224" s="0" t="n">
        <v>2025</v>
      </c>
      <c r="D7224" s="0" t="n">
        <v>2025</v>
      </c>
      <c r="E7224" s="0" t="inlineStr">
        <is>
          <t>One battle after another</t>
        </is>
      </c>
      <c r="F7224" s="0" t="inlineStr">
        <is>
          <t>F0353</t>
        </is>
      </c>
    </row>
    <row r="7225">
      <c r="A7225" s="0" t="inlineStr">
        <is>
          <t>Melissa Dueñas</t>
        </is>
      </c>
      <c r="B7225" s="0" t="n">
        <v>1</v>
      </c>
      <c r="C7225" s="0" t="n">
        <v>2025</v>
      </c>
      <c r="D7225" s="0" t="n">
        <v>2025</v>
      </c>
      <c r="E7225" s="0" t="inlineStr">
        <is>
          <t>One battle after another</t>
        </is>
      </c>
      <c r="F7225" s="0" t="inlineStr">
        <is>
          <t>F0353</t>
        </is>
      </c>
    </row>
    <row r="7226">
      <c r="A7226" s="0" t="inlineStr">
        <is>
          <t>Vanessa Ganter</t>
        </is>
      </c>
      <c r="B7226" s="0" t="n">
        <v>1</v>
      </c>
      <c r="C7226" s="0" t="n">
        <v>2025</v>
      </c>
      <c r="D7226" s="0" t="n">
        <v>2025</v>
      </c>
      <c r="E7226" s="0" t="inlineStr">
        <is>
          <t>One battle after another</t>
        </is>
      </c>
      <c r="F7226" s="0" t="inlineStr">
        <is>
          <t>F0353</t>
        </is>
      </c>
    </row>
    <row r="7227">
      <c r="A7227" s="0" t="inlineStr">
        <is>
          <t>Otillia Gupta</t>
        </is>
      </c>
      <c r="B7227" s="0" t="n">
        <v>1</v>
      </c>
      <c r="C7227" s="0" t="n">
        <v>2025</v>
      </c>
      <c r="D7227" s="0" t="n">
        <v>2025</v>
      </c>
      <c r="E7227" s="0" t="inlineStr">
        <is>
          <t>One battle after another</t>
        </is>
      </c>
      <c r="F7227" s="0" t="inlineStr">
        <is>
          <t>F0353</t>
        </is>
      </c>
    </row>
    <row r="7228">
      <c r="A7228" s="0" t="inlineStr">
        <is>
          <t>Nia Leon</t>
        </is>
      </c>
      <c r="B7228" s="0" t="n">
        <v>1</v>
      </c>
      <c r="C7228" s="0" t="n">
        <v>2025</v>
      </c>
      <c r="D7228" s="0" t="n">
        <v>2025</v>
      </c>
      <c r="E7228" s="0" t="inlineStr">
        <is>
          <t>One battle after another</t>
        </is>
      </c>
      <c r="F7228" s="0" t="inlineStr">
        <is>
          <t>F0353</t>
        </is>
      </c>
    </row>
    <row r="7229">
      <c r="A7229" s="0" t="inlineStr">
        <is>
          <t>Peter N. Lyas III</t>
        </is>
      </c>
      <c r="B7229" s="0" t="n">
        <v>1</v>
      </c>
      <c r="C7229" s="0" t="n">
        <v>2025</v>
      </c>
      <c r="D7229" s="0" t="n">
        <v>2025</v>
      </c>
      <c r="E7229" s="0" t="inlineStr">
        <is>
          <t>One battle after another</t>
        </is>
      </c>
      <c r="F7229" s="0" t="inlineStr">
        <is>
          <t>F0353</t>
        </is>
      </c>
    </row>
    <row r="7230">
      <c r="A7230" s="0" t="inlineStr">
        <is>
          <t>Joe Silva</t>
        </is>
      </c>
      <c r="B7230" s="0" t="n">
        <v>1</v>
      </c>
      <c r="C7230" s="0" t="n">
        <v>2025</v>
      </c>
      <c r="D7230" s="0" t="n">
        <v>2025</v>
      </c>
      <c r="E7230" s="0" t="inlineStr">
        <is>
          <t>One battle after another</t>
        </is>
      </c>
      <c r="F7230" s="0" t="inlineStr">
        <is>
          <t>F0353</t>
        </is>
      </c>
    </row>
    <row r="7231">
      <c r="A7231" s="0" t="inlineStr">
        <is>
          <t>Jeffrey Massagli</t>
        </is>
      </c>
      <c r="B7231" s="0" t="n">
        <v>1</v>
      </c>
      <c r="C7231" s="0" t="n">
        <v>2025</v>
      </c>
      <c r="D7231" s="0" t="n">
        <v>2025</v>
      </c>
      <c r="E7231" s="0" t="inlineStr">
        <is>
          <t>One battle after another</t>
        </is>
      </c>
      <c r="F7231" s="0" t="inlineStr">
        <is>
          <t>F0353</t>
        </is>
      </c>
    </row>
    <row r="7232">
      <c r="A7232" s="0" t="inlineStr">
        <is>
          <t>Nicole J. Sunseri</t>
        </is>
      </c>
      <c r="B7232" s="0" t="n">
        <v>1</v>
      </c>
      <c r="C7232" s="0" t="n">
        <v>2025</v>
      </c>
      <c r="D7232" s="0" t="n">
        <v>2025</v>
      </c>
      <c r="E7232" s="0" t="inlineStr">
        <is>
          <t>One battle after another</t>
        </is>
      </c>
      <c r="F7232" s="0" t="inlineStr">
        <is>
          <t>F0353</t>
        </is>
      </c>
    </row>
    <row r="7233">
      <c r="A7233" s="0" t="inlineStr">
        <is>
          <t>Tisha Sloan</t>
        </is>
      </c>
      <c r="B7233" s="0" t="n">
        <v>1</v>
      </c>
      <c r="C7233" s="0" t="n">
        <v>2025</v>
      </c>
      <c r="D7233" s="0" t="n">
        <v>2025</v>
      </c>
      <c r="E7233" s="0" t="inlineStr">
        <is>
          <t>One battle after another</t>
        </is>
      </c>
      <c r="F7233" s="0" t="inlineStr">
        <is>
          <t>F0353</t>
        </is>
      </c>
    </row>
    <row r="7234">
      <c r="A7234" s="0" t="inlineStr">
        <is>
          <t>Hugh Keays-Byrne</t>
        </is>
      </c>
      <c r="B7234" s="0" t="n">
        <v>1</v>
      </c>
      <c r="C7234" s="0" t="n">
        <v>2015</v>
      </c>
      <c r="D7234" s="0" t="n">
        <v>2015</v>
      </c>
      <c r="E7234" s="0" t="inlineStr">
        <is>
          <t>Mad max fury road</t>
        </is>
      </c>
      <c r="F7234" s="0" t="inlineStr">
        <is>
          <t>F0354</t>
        </is>
      </c>
    </row>
    <row r="7235">
      <c r="A7235" s="0" t="inlineStr">
        <is>
          <t>Nathan Jones</t>
        </is>
      </c>
      <c r="B7235" s="0" t="n">
        <v>3</v>
      </c>
      <c r="C7235" s="0" t="n">
        <v>2015</v>
      </c>
      <c r="D7235" s="0" t="n">
        <v>2025</v>
      </c>
      <c r="E7235" s="0" t="inlineStr">
        <is>
          <t xml:space="preserve">Mad max fury road, furiosa, furiosa </t>
        </is>
      </c>
      <c r="F7235" s="0" t="inlineStr">
        <is>
          <t>F0354, F0370</t>
        </is>
      </c>
    </row>
    <row r="7236">
      <c r="A7236" s="0" t="inlineStr">
        <is>
          <t>Abbey Lee</t>
        </is>
      </c>
      <c r="B7236" s="0" t="n">
        <v>1</v>
      </c>
      <c r="C7236" s="0" t="n">
        <v>2015</v>
      </c>
      <c r="D7236" s="0" t="n">
        <v>2015</v>
      </c>
      <c r="E7236" s="0" t="inlineStr">
        <is>
          <t>Mad max fury road</t>
        </is>
      </c>
      <c r="F7236" s="0" t="inlineStr">
        <is>
          <t>F0354</t>
        </is>
      </c>
    </row>
    <row r="7237">
      <c r="A7237" s="0" t="inlineStr">
        <is>
          <t>Courtney Eaton</t>
        </is>
      </c>
      <c r="B7237" s="0" t="n">
        <v>1</v>
      </c>
      <c r="C7237" s="0" t="n">
        <v>2015</v>
      </c>
      <c r="D7237" s="0" t="n">
        <v>2015</v>
      </c>
      <c r="E7237" s="0" t="inlineStr">
        <is>
          <t>Mad max fury road</t>
        </is>
      </c>
      <c r="F7237" s="0" t="inlineStr">
        <is>
          <t>F0354</t>
        </is>
      </c>
    </row>
    <row r="7238">
      <c r="A7238" s="0" t="inlineStr">
        <is>
          <t>John Howard</t>
        </is>
      </c>
      <c r="B7238" s="0" t="n">
        <v>3</v>
      </c>
      <c r="C7238" s="0" t="n">
        <v>2015</v>
      </c>
      <c r="D7238" s="0" t="n">
        <v>2025</v>
      </c>
      <c r="E7238" s="0" t="inlineStr">
        <is>
          <t xml:space="preserve">Mad max fury road, furiosa, furiosa </t>
        </is>
      </c>
      <c r="F7238" s="0" t="inlineStr">
        <is>
          <t>F0354, F0370</t>
        </is>
      </c>
    </row>
    <row r="7239">
      <c r="A7239" s="0" t="inlineStr">
        <is>
          <t>Angus Sampson</t>
        </is>
      </c>
      <c r="B7239" s="0" t="n">
        <v>3</v>
      </c>
      <c r="C7239" s="0" t="n">
        <v>2015</v>
      </c>
      <c r="D7239" s="0" t="n">
        <v>2025</v>
      </c>
      <c r="E7239" s="0" t="inlineStr">
        <is>
          <t xml:space="preserve">Mad max fury road, furiosa, furiosa </t>
        </is>
      </c>
      <c r="F7239" s="0" t="inlineStr">
        <is>
          <t>F0354, F0370</t>
        </is>
      </c>
    </row>
    <row r="7240">
      <c r="A7240" s="0" t="inlineStr">
        <is>
          <t>Jennifer Hagan</t>
        </is>
      </c>
      <c r="B7240" s="0" t="n">
        <v>1</v>
      </c>
      <c r="C7240" s="0" t="n">
        <v>2015</v>
      </c>
      <c r="D7240" s="0" t="n">
        <v>2015</v>
      </c>
      <c r="E7240" s="0" t="inlineStr">
        <is>
          <t>Mad max fury road</t>
        </is>
      </c>
      <c r="F7240" s="0" t="inlineStr">
        <is>
          <t>F0354</t>
        </is>
      </c>
    </row>
    <row r="7241">
      <c r="A7241" s="0" t="inlineStr">
        <is>
          <t>Megan Gale</t>
        </is>
      </c>
      <c r="B7241" s="0" t="n">
        <v>1</v>
      </c>
      <c r="C7241" s="0" t="n">
        <v>2015</v>
      </c>
      <c r="D7241" s="0" t="n">
        <v>2015</v>
      </c>
      <c r="E7241" s="0" t="inlineStr">
        <is>
          <t>Mad max fury road</t>
        </is>
      </c>
      <c r="F7241" s="0" t="inlineStr">
        <is>
          <t>F0354</t>
        </is>
      </c>
    </row>
    <row r="7242">
      <c r="A7242" s="0" t="inlineStr">
        <is>
          <t>Melissa Jaffer</t>
        </is>
      </c>
      <c r="B7242" s="0" t="n">
        <v>1</v>
      </c>
      <c r="C7242" s="0" t="n">
        <v>2015</v>
      </c>
      <c r="D7242" s="0" t="n">
        <v>2015</v>
      </c>
      <c r="E7242" s="0" t="inlineStr">
        <is>
          <t>Mad max fury road</t>
        </is>
      </c>
      <c r="F7242" s="0" t="inlineStr">
        <is>
          <t>F0354</t>
        </is>
      </c>
    </row>
    <row r="7243">
      <c r="A7243" s="0" t="inlineStr">
        <is>
          <t>Melita Jurišić</t>
        </is>
      </c>
      <c r="B7243" s="0" t="n">
        <v>1</v>
      </c>
      <c r="C7243" s="0" t="n">
        <v>2015</v>
      </c>
      <c r="D7243" s="0" t="n">
        <v>2015</v>
      </c>
      <c r="E7243" s="0" t="inlineStr">
        <is>
          <t>Mad max fury road</t>
        </is>
      </c>
      <c r="F7243" s="0" t="inlineStr">
        <is>
          <t>F0354</t>
        </is>
      </c>
    </row>
    <row r="7244">
      <c r="A7244" s="0" t="inlineStr">
        <is>
          <t>Gillian Jones</t>
        </is>
      </c>
      <c r="B7244" s="0" t="n">
        <v>1</v>
      </c>
      <c r="C7244" s="0" t="n">
        <v>2015</v>
      </c>
      <c r="D7244" s="0" t="n">
        <v>2015</v>
      </c>
      <c r="E7244" s="0" t="inlineStr">
        <is>
          <t>Mad max fury road</t>
        </is>
      </c>
      <c r="F7244" s="0" t="inlineStr">
        <is>
          <t>F0354</t>
        </is>
      </c>
    </row>
    <row r="7245">
      <c r="A7245" s="0" t="inlineStr">
        <is>
          <t>Joy Smithers</t>
        </is>
      </c>
      <c r="B7245" s="0" t="n">
        <v>1</v>
      </c>
      <c r="C7245" s="0" t="n">
        <v>2015</v>
      </c>
      <c r="D7245" s="0" t="n">
        <v>2015</v>
      </c>
      <c r="E7245" s="0" t="inlineStr">
        <is>
          <t>Mad max fury road</t>
        </is>
      </c>
      <c r="F7245" s="0" t="inlineStr">
        <is>
          <t>F0354</t>
        </is>
      </c>
    </row>
    <row r="7246">
      <c r="A7246" s="0" t="inlineStr">
        <is>
          <t>Antoinette Kellerman</t>
        </is>
      </c>
      <c r="B7246" s="0" t="n">
        <v>1</v>
      </c>
      <c r="C7246" s="0" t="n">
        <v>2015</v>
      </c>
      <c r="D7246" s="0" t="n">
        <v>2015</v>
      </c>
      <c r="E7246" s="0" t="inlineStr">
        <is>
          <t>Mad max fury road</t>
        </is>
      </c>
      <c r="F7246" s="0" t="inlineStr">
        <is>
          <t>F0354</t>
        </is>
      </c>
    </row>
    <row r="7247">
      <c r="A7247" s="0" t="inlineStr">
        <is>
          <t>Christina Koch</t>
        </is>
      </c>
      <c r="B7247" s="0" t="n">
        <v>1</v>
      </c>
      <c r="C7247" s="0" t="n">
        <v>2015</v>
      </c>
      <c r="D7247" s="0" t="n">
        <v>2015</v>
      </c>
      <c r="E7247" s="0" t="inlineStr">
        <is>
          <t>Mad max fury road</t>
        </is>
      </c>
      <c r="F7247" s="0" t="inlineStr">
        <is>
          <t>F0354</t>
        </is>
      </c>
    </row>
    <row r="7248">
      <c r="A7248" s="0" t="inlineStr">
        <is>
          <t>Jon Iles</t>
        </is>
      </c>
      <c r="B7248" s="0" t="n">
        <v>1</v>
      </c>
      <c r="C7248" s="0" t="n">
        <v>2015</v>
      </c>
      <c r="D7248" s="0" t="n">
        <v>2015</v>
      </c>
      <c r="E7248" s="0" t="inlineStr">
        <is>
          <t>Mad max fury road</t>
        </is>
      </c>
      <c r="F7248" s="0" t="inlineStr">
        <is>
          <t>F0354</t>
        </is>
      </c>
    </row>
    <row r="7249">
      <c r="A7249" s="0" t="inlineStr">
        <is>
          <t>Quentin Kenihan</t>
        </is>
      </c>
      <c r="B7249" s="0" t="n">
        <v>1</v>
      </c>
      <c r="C7249" s="0" t="n">
        <v>2015</v>
      </c>
      <c r="D7249" s="0" t="n">
        <v>2015</v>
      </c>
      <c r="E7249" s="0" t="inlineStr">
        <is>
          <t>Mad max fury road</t>
        </is>
      </c>
      <c r="F7249" s="0" t="inlineStr">
        <is>
          <t>F0354</t>
        </is>
      </c>
    </row>
    <row r="7250">
      <c r="A7250" s="0" t="inlineStr">
        <is>
          <t>Coco Jack Gillies</t>
        </is>
      </c>
      <c r="B7250" s="0" t="n">
        <v>1</v>
      </c>
      <c r="C7250" s="0" t="n">
        <v>2015</v>
      </c>
      <c r="D7250" s="0" t="n">
        <v>2015</v>
      </c>
      <c r="E7250" s="0" t="inlineStr">
        <is>
          <t>Mad max fury road</t>
        </is>
      </c>
      <c r="F7250" s="0" t="inlineStr">
        <is>
          <t>F0354</t>
        </is>
      </c>
    </row>
    <row r="7251">
      <c r="A7251" s="0" t="inlineStr">
        <is>
          <t>Chris Patton</t>
        </is>
      </c>
      <c r="B7251" s="0" t="n">
        <v>1</v>
      </c>
      <c r="C7251" s="0" t="n">
        <v>2015</v>
      </c>
      <c r="D7251" s="0" t="n">
        <v>2015</v>
      </c>
      <c r="E7251" s="0" t="inlineStr">
        <is>
          <t>Mad max fury road</t>
        </is>
      </c>
      <c r="F7251" s="0" t="inlineStr">
        <is>
          <t>F0354</t>
        </is>
      </c>
    </row>
    <row r="7252">
      <c r="A7252" s="0" t="inlineStr">
        <is>
          <t>Richard Norton</t>
        </is>
      </c>
      <c r="B7252" s="0" t="n">
        <v>1</v>
      </c>
      <c r="C7252" s="0" t="n">
        <v>2015</v>
      </c>
      <c r="D7252" s="0" t="n">
        <v>2015</v>
      </c>
      <c r="E7252" s="0" t="inlineStr">
        <is>
          <t>Mad max fury road</t>
        </is>
      </c>
      <c r="F7252" s="0" t="inlineStr">
        <is>
          <t>F0354</t>
        </is>
      </c>
    </row>
    <row r="7253">
      <c r="A7253" s="0" t="inlineStr">
        <is>
          <t>Vincent Roxburgh</t>
        </is>
      </c>
      <c r="B7253" s="0" t="n">
        <v>1</v>
      </c>
      <c r="C7253" s="0" t="n">
        <v>2015</v>
      </c>
      <c r="D7253" s="0" t="n">
        <v>2015</v>
      </c>
      <c r="E7253" s="0" t="inlineStr">
        <is>
          <t>Mad max fury road</t>
        </is>
      </c>
      <c r="F7253" s="0" t="inlineStr">
        <is>
          <t>F0354</t>
        </is>
      </c>
    </row>
    <row r="7254">
      <c r="A7254" s="0" t="inlineStr">
        <is>
          <t>Edward James Olmos</t>
        </is>
      </c>
      <c r="B7254" s="0" t="n">
        <v>3</v>
      </c>
      <c r="C7254" s="0" t="n">
        <v>1982</v>
      </c>
      <c r="D7254" s="0" t="n">
        <v>2018</v>
      </c>
      <c r="E7254" s="0" t="inlineStr">
        <is>
          <t>2 guns, blade runner, blade runner 2049</t>
        </is>
      </c>
      <c r="F7254" s="0" t="inlineStr">
        <is>
          <t>F0355, F0365, F0366</t>
        </is>
      </c>
    </row>
    <row r="7255">
      <c r="A7255" s="0" t="inlineStr">
        <is>
          <t>Robert John Burke</t>
        </is>
      </c>
      <c r="B7255" s="0" t="n">
        <v>1</v>
      </c>
      <c r="C7255" s="0" t="n">
        <v>2013</v>
      </c>
      <c r="D7255" s="0" t="n">
        <v>2013</v>
      </c>
      <c r="E7255" s="0" t="inlineStr">
        <is>
          <t>2 guns</t>
        </is>
      </c>
      <c r="F7255" s="0" t="inlineStr">
        <is>
          <t>F0355</t>
        </is>
      </c>
    </row>
    <row r="7256">
      <c r="A7256" s="0" t="inlineStr">
        <is>
          <t>Greg Sproles</t>
        </is>
      </c>
      <c r="B7256" s="0" t="n">
        <v>1</v>
      </c>
      <c r="C7256" s="0" t="n">
        <v>2013</v>
      </c>
      <c r="D7256" s="0" t="n">
        <v>2013</v>
      </c>
      <c r="E7256" s="0" t="inlineStr">
        <is>
          <t>2 guns</t>
        </is>
      </c>
      <c r="F7256" s="0" t="inlineStr">
        <is>
          <t>F0355</t>
        </is>
      </c>
    </row>
    <row r="7257">
      <c r="A7257" s="0" t="inlineStr">
        <is>
          <t>Patrick Fischler</t>
        </is>
      </c>
      <c r="B7257" s="0" t="n">
        <v>1</v>
      </c>
      <c r="C7257" s="0" t="n">
        <v>2013</v>
      </c>
      <c r="D7257" s="0" t="n">
        <v>2013</v>
      </c>
      <c r="E7257" s="0" t="inlineStr">
        <is>
          <t>2 guns</t>
        </is>
      </c>
      <c r="F7257" s="0" t="inlineStr">
        <is>
          <t>F0355</t>
        </is>
      </c>
    </row>
    <row r="7258">
      <c r="A7258" s="0" t="inlineStr">
        <is>
          <t>Derek Solorsano</t>
        </is>
      </c>
      <c r="B7258" s="0" t="n">
        <v>1</v>
      </c>
      <c r="C7258" s="0" t="n">
        <v>2013</v>
      </c>
      <c r="D7258" s="0" t="n">
        <v>2013</v>
      </c>
      <c r="E7258" s="0" t="inlineStr">
        <is>
          <t>2 guns</t>
        </is>
      </c>
      <c r="F7258" s="0" t="inlineStr">
        <is>
          <t>F0355</t>
        </is>
      </c>
    </row>
    <row r="7259">
      <c r="A7259" s="0" t="inlineStr">
        <is>
          <t>Edgar Arreola</t>
        </is>
      </c>
      <c r="B7259" s="0" t="n">
        <v>1</v>
      </c>
      <c r="C7259" s="0" t="n">
        <v>2013</v>
      </c>
      <c r="D7259" s="0" t="n">
        <v>2013</v>
      </c>
      <c r="E7259" s="0" t="inlineStr">
        <is>
          <t>2 guns</t>
        </is>
      </c>
      <c r="F7259" s="0" t="inlineStr">
        <is>
          <t>F0355</t>
        </is>
      </c>
    </row>
    <row r="7260">
      <c r="A7260" s="0" t="inlineStr">
        <is>
          <t>Kyle Clements</t>
        </is>
      </c>
      <c r="B7260" s="0" t="n">
        <v>1</v>
      </c>
      <c r="C7260" s="0" t="n">
        <v>2013</v>
      </c>
      <c r="D7260" s="0" t="n">
        <v>2013</v>
      </c>
      <c r="E7260" s="0" t="inlineStr">
        <is>
          <t>2 guns</t>
        </is>
      </c>
      <c r="F7260" s="0" t="inlineStr">
        <is>
          <t>F0355</t>
        </is>
      </c>
    </row>
    <row r="7261">
      <c r="A7261" s="0" t="inlineStr">
        <is>
          <t>Christopher Matthew Cook</t>
        </is>
      </c>
      <c r="B7261" s="0" t="n">
        <v>1</v>
      </c>
      <c r="C7261" s="0" t="n">
        <v>2013</v>
      </c>
      <c r="D7261" s="0" t="n">
        <v>2013</v>
      </c>
      <c r="E7261" s="0" t="inlineStr">
        <is>
          <t>2 guns</t>
        </is>
      </c>
      <c r="F7261" s="0" t="inlineStr">
        <is>
          <t>F0355</t>
        </is>
      </c>
    </row>
    <row r="7262">
      <c r="A7262" s="0" t="inlineStr">
        <is>
          <t>Tim Bell</t>
        </is>
      </c>
      <c r="B7262" s="0" t="n">
        <v>1</v>
      </c>
      <c r="C7262" s="0" t="n">
        <v>2013</v>
      </c>
      <c r="D7262" s="0" t="n">
        <v>2013</v>
      </c>
      <c r="E7262" s="0" t="inlineStr">
        <is>
          <t>2 guns</t>
        </is>
      </c>
      <c r="F7262" s="0" t="inlineStr">
        <is>
          <t>F0355</t>
        </is>
      </c>
    </row>
    <row r="7263">
      <c r="A7263" s="0" t="inlineStr">
        <is>
          <t>Azure Parsons</t>
        </is>
      </c>
      <c r="B7263" s="0" t="n">
        <v>1</v>
      </c>
      <c r="C7263" s="0" t="n">
        <v>2013</v>
      </c>
      <c r="D7263" s="0" t="n">
        <v>2013</v>
      </c>
      <c r="E7263" s="0" t="inlineStr">
        <is>
          <t>2 guns</t>
        </is>
      </c>
      <c r="F7263" s="0" t="inlineStr">
        <is>
          <t>F0355</t>
        </is>
      </c>
    </row>
    <row r="7264">
      <c r="A7264" s="0" t="inlineStr">
        <is>
          <t>Jack Landry</t>
        </is>
      </c>
      <c r="B7264" s="0" t="n">
        <v>1</v>
      </c>
      <c r="C7264" s="0" t="n">
        <v>2013</v>
      </c>
      <c r="D7264" s="0" t="n">
        <v>2013</v>
      </c>
      <c r="E7264" s="0" t="inlineStr">
        <is>
          <t>2 guns</t>
        </is>
      </c>
      <c r="F7264" s="0" t="inlineStr">
        <is>
          <t>F0355</t>
        </is>
      </c>
    </row>
    <row r="7265">
      <c r="A7265" s="0" t="inlineStr">
        <is>
          <t>Ambyr Childers</t>
        </is>
      </c>
      <c r="B7265" s="0" t="n">
        <v>1</v>
      </c>
      <c r="C7265" s="0" t="n">
        <v>2013</v>
      </c>
      <c r="D7265" s="0" t="n">
        <v>2013</v>
      </c>
      <c r="E7265" s="0" t="inlineStr">
        <is>
          <t>2 guns</t>
        </is>
      </c>
      <c r="F7265" s="0" t="inlineStr">
        <is>
          <t>F0355</t>
        </is>
      </c>
    </row>
    <row r="7266">
      <c r="A7266" s="0" t="inlineStr">
        <is>
          <t>Robert Larriviere</t>
        </is>
      </c>
      <c r="B7266" s="0" t="n">
        <v>1</v>
      </c>
      <c r="C7266" s="0" t="n">
        <v>2013</v>
      </c>
      <c r="D7266" s="0" t="n">
        <v>2013</v>
      </c>
      <c r="E7266" s="0" t="inlineStr">
        <is>
          <t>2 guns</t>
        </is>
      </c>
      <c r="F7266" s="0" t="inlineStr">
        <is>
          <t>F0355</t>
        </is>
      </c>
    </row>
    <row r="7267">
      <c r="A7267" s="0" t="inlineStr">
        <is>
          <t>Lucy Faust</t>
        </is>
      </c>
      <c r="B7267" s="0" t="n">
        <v>1</v>
      </c>
      <c r="C7267" s="0" t="n">
        <v>2013</v>
      </c>
      <c r="D7267" s="0" t="n">
        <v>2013</v>
      </c>
      <c r="E7267" s="0" t="inlineStr">
        <is>
          <t>2 guns</t>
        </is>
      </c>
      <c r="F7267" s="0" t="inlineStr">
        <is>
          <t>F0355</t>
        </is>
      </c>
    </row>
    <row r="7268">
      <c r="A7268" s="0" t="inlineStr">
        <is>
          <t>George Wilson</t>
        </is>
      </c>
      <c r="B7268" s="0" t="n">
        <v>1</v>
      </c>
      <c r="C7268" s="0" t="n">
        <v>2013</v>
      </c>
      <c r="D7268" s="0" t="n">
        <v>2013</v>
      </c>
      <c r="E7268" s="0" t="inlineStr">
        <is>
          <t>2 guns</t>
        </is>
      </c>
      <c r="F7268" s="0" t="inlineStr">
        <is>
          <t>F0355</t>
        </is>
      </c>
    </row>
    <row r="7269">
      <c r="A7269" s="0" t="inlineStr">
        <is>
          <t>Yohance Myles</t>
        </is>
      </c>
      <c r="B7269" s="0" t="n">
        <v>1</v>
      </c>
      <c r="C7269" s="0" t="n">
        <v>2013</v>
      </c>
      <c r="D7269" s="0" t="n">
        <v>2013</v>
      </c>
      <c r="E7269" s="0" t="inlineStr">
        <is>
          <t>2 guns</t>
        </is>
      </c>
      <c r="F7269" s="0" t="inlineStr">
        <is>
          <t>F0355</t>
        </is>
      </c>
    </row>
    <row r="7270">
      <c r="A7270" s="0" t="inlineStr">
        <is>
          <t>Evie Thompson</t>
        </is>
      </c>
      <c r="B7270" s="0" t="n">
        <v>1</v>
      </c>
      <c r="C7270" s="0" t="n">
        <v>2013</v>
      </c>
      <c r="D7270" s="0" t="n">
        <v>2013</v>
      </c>
      <c r="E7270" s="0" t="inlineStr">
        <is>
          <t>2 guns</t>
        </is>
      </c>
      <c r="F7270" s="0" t="inlineStr">
        <is>
          <t>F0355</t>
        </is>
      </c>
    </row>
    <row r="7271">
      <c r="A7271" s="0" t="inlineStr">
        <is>
          <t>Jesus Jr.</t>
        </is>
      </c>
      <c r="B7271" s="0" t="n">
        <v>1</v>
      </c>
      <c r="C7271" s="0" t="n">
        <v>2013</v>
      </c>
      <c r="D7271" s="0" t="n">
        <v>2013</v>
      </c>
      <c r="E7271" s="0" t="inlineStr">
        <is>
          <t>2 guns</t>
        </is>
      </c>
      <c r="F7271" s="0" t="inlineStr">
        <is>
          <t>F0355</t>
        </is>
      </c>
    </row>
    <row r="7272">
      <c r="A7272" s="0" t="inlineStr">
        <is>
          <t>Doris Morgado</t>
        </is>
      </c>
      <c r="B7272" s="0" t="n">
        <v>1</v>
      </c>
      <c r="C7272" s="0" t="n">
        <v>2013</v>
      </c>
      <c r="D7272" s="0" t="n">
        <v>2013</v>
      </c>
      <c r="E7272" s="0" t="inlineStr">
        <is>
          <t>2 guns</t>
        </is>
      </c>
      <c r="F7272" s="0" t="inlineStr">
        <is>
          <t>F0355</t>
        </is>
      </c>
    </row>
    <row r="7273">
      <c r="A7273" s="0" t="inlineStr">
        <is>
          <t>Samuel Baca-Garcia</t>
        </is>
      </c>
      <c r="B7273" s="0" t="n">
        <v>1</v>
      </c>
      <c r="C7273" s="0" t="n">
        <v>2013</v>
      </c>
      <c r="D7273" s="0" t="n">
        <v>2013</v>
      </c>
      <c r="E7273" s="0" t="inlineStr">
        <is>
          <t>2 guns</t>
        </is>
      </c>
      <c r="F7273" s="0" t="inlineStr">
        <is>
          <t>F0355</t>
        </is>
      </c>
    </row>
    <row r="7274">
      <c r="A7274" s="0" t="inlineStr">
        <is>
          <t>Michael Beasley</t>
        </is>
      </c>
      <c r="B7274" s="0" t="n">
        <v>1</v>
      </c>
      <c r="C7274" s="0" t="n">
        <v>2013</v>
      </c>
      <c r="D7274" s="0" t="n">
        <v>2013</v>
      </c>
      <c r="E7274" s="0" t="inlineStr">
        <is>
          <t>2 guns</t>
        </is>
      </c>
      <c r="F7274" s="0" t="inlineStr">
        <is>
          <t>F0355</t>
        </is>
      </c>
    </row>
    <row r="7275">
      <c r="A7275" s="0" t="inlineStr">
        <is>
          <t>George MacKay</t>
        </is>
      </c>
      <c r="B7275" s="0" t="n">
        <v>1</v>
      </c>
      <c r="C7275" s="0" t="n">
        <v>2019</v>
      </c>
      <c r="D7275" s="0" t="n">
        <v>2019</v>
      </c>
      <c r="E7275" s="0" t="inlineStr">
        <is>
          <t>1917</t>
        </is>
      </c>
      <c r="F7275" s="0" t="inlineStr">
        <is>
          <t>F0356</t>
        </is>
      </c>
    </row>
    <row r="7276">
      <c r="A7276" s="0" t="inlineStr">
        <is>
          <t>Dean-Charles Chapman</t>
        </is>
      </c>
      <c r="B7276" s="0" t="n">
        <v>1</v>
      </c>
      <c r="C7276" s="0" t="n">
        <v>2019</v>
      </c>
      <c r="D7276" s="0" t="n">
        <v>2019</v>
      </c>
      <c r="E7276" s="0" t="inlineStr">
        <is>
          <t>1917</t>
        </is>
      </c>
      <c r="F7276" s="0" t="inlineStr">
        <is>
          <t>F0356</t>
        </is>
      </c>
    </row>
    <row r="7277">
      <c r="A7277" s="0" t="inlineStr">
        <is>
          <t>Claire Duburcq</t>
        </is>
      </c>
      <c r="B7277" s="0" t="n">
        <v>1</v>
      </c>
      <c r="C7277" s="0" t="n">
        <v>2019</v>
      </c>
      <c r="D7277" s="0" t="n">
        <v>2019</v>
      </c>
      <c r="E7277" s="0" t="inlineStr">
        <is>
          <t>1917</t>
        </is>
      </c>
      <c r="F7277" s="0" t="inlineStr">
        <is>
          <t>F0356</t>
        </is>
      </c>
    </row>
    <row r="7278">
      <c r="A7278" s="0" t="inlineStr">
        <is>
          <t>Chris Walley</t>
        </is>
      </c>
      <c r="B7278" s="0" t="n">
        <v>1</v>
      </c>
      <c r="C7278" s="0" t="n">
        <v>2019</v>
      </c>
      <c r="D7278" s="0" t="n">
        <v>2019</v>
      </c>
      <c r="E7278" s="0" t="inlineStr">
        <is>
          <t>1917</t>
        </is>
      </c>
      <c r="F7278" s="0" t="inlineStr">
        <is>
          <t>F0356</t>
        </is>
      </c>
    </row>
    <row r="7279">
      <c r="A7279" s="0" t="inlineStr">
        <is>
          <t>Nabhaan Rizwan</t>
        </is>
      </c>
      <c r="B7279" s="0" t="n">
        <v>1</v>
      </c>
      <c r="C7279" s="0" t="n">
        <v>2019</v>
      </c>
      <c r="D7279" s="0" t="n">
        <v>2019</v>
      </c>
      <c r="E7279" s="0" t="inlineStr">
        <is>
          <t>1917</t>
        </is>
      </c>
      <c r="F7279" s="0" t="inlineStr">
        <is>
          <t>F0356</t>
        </is>
      </c>
    </row>
    <row r="7280">
      <c r="A7280" s="0" t="inlineStr">
        <is>
          <t>Jamie Parker</t>
        </is>
      </c>
      <c r="B7280" s="0" t="n">
        <v>1</v>
      </c>
      <c r="C7280" s="0" t="n">
        <v>2019</v>
      </c>
      <c r="D7280" s="0" t="n">
        <v>2019</v>
      </c>
      <c r="E7280" s="0" t="inlineStr">
        <is>
          <t>1917</t>
        </is>
      </c>
      <c r="F7280" s="0" t="inlineStr">
        <is>
          <t>F0356</t>
        </is>
      </c>
    </row>
    <row r="7281">
      <c r="A7281" s="0" t="inlineStr">
        <is>
          <t>Tommy French</t>
        </is>
      </c>
      <c r="B7281" s="0" t="n">
        <v>1</v>
      </c>
      <c r="C7281" s="0" t="n">
        <v>2019</v>
      </c>
      <c r="D7281" s="0" t="n">
        <v>2019</v>
      </c>
      <c r="E7281" s="0" t="inlineStr">
        <is>
          <t>1917</t>
        </is>
      </c>
      <c r="F7281" s="0" t="inlineStr">
        <is>
          <t>F0356</t>
        </is>
      </c>
    </row>
    <row r="7282">
      <c r="A7282" s="0" t="inlineStr">
        <is>
          <t>Paul Tinto</t>
        </is>
      </c>
      <c r="B7282" s="0" t="n">
        <v>1</v>
      </c>
      <c r="C7282" s="0" t="n">
        <v>2019</v>
      </c>
      <c r="D7282" s="0" t="n">
        <v>2019</v>
      </c>
      <c r="E7282" s="0" t="inlineStr">
        <is>
          <t>1917</t>
        </is>
      </c>
      <c r="F7282" s="0" t="inlineStr">
        <is>
          <t>F0356</t>
        </is>
      </c>
    </row>
    <row r="7283">
      <c r="A7283" s="0" t="inlineStr">
        <is>
          <t>Billy Postlethwaite</t>
        </is>
      </c>
      <c r="B7283" s="0" t="n">
        <v>1</v>
      </c>
      <c r="C7283" s="0" t="n">
        <v>2019</v>
      </c>
      <c r="D7283" s="0" t="n">
        <v>2019</v>
      </c>
      <c r="E7283" s="0" t="inlineStr">
        <is>
          <t>1917</t>
        </is>
      </c>
      <c r="F7283" s="0" t="inlineStr">
        <is>
          <t>F0356</t>
        </is>
      </c>
    </row>
    <row r="7284">
      <c r="A7284" s="0" t="inlineStr">
        <is>
          <t>Richard McCabe</t>
        </is>
      </c>
      <c r="B7284" s="0" t="n">
        <v>1</v>
      </c>
      <c r="C7284" s="0" t="n">
        <v>2019</v>
      </c>
      <c r="D7284" s="0" t="n">
        <v>2019</v>
      </c>
      <c r="E7284" s="0" t="inlineStr">
        <is>
          <t>1917</t>
        </is>
      </c>
      <c r="F7284" s="0" t="inlineStr">
        <is>
          <t>F0356</t>
        </is>
      </c>
    </row>
    <row r="7285">
      <c r="A7285" s="0" t="inlineStr">
        <is>
          <t>Andy Apollo</t>
        </is>
      </c>
      <c r="B7285" s="0" t="n">
        <v>1</v>
      </c>
      <c r="C7285" s="0" t="n">
        <v>2019</v>
      </c>
      <c r="D7285" s="0" t="n">
        <v>2019</v>
      </c>
      <c r="E7285" s="0" t="inlineStr">
        <is>
          <t>1917</t>
        </is>
      </c>
      <c r="F7285" s="0" t="inlineStr">
        <is>
          <t>F0356</t>
        </is>
      </c>
    </row>
    <row r="7286">
      <c r="A7286" s="0" t="inlineStr">
        <is>
          <t>Josef Davies</t>
        </is>
      </c>
      <c r="B7286" s="0" t="n">
        <v>1</v>
      </c>
      <c r="C7286" s="0" t="n">
        <v>2019</v>
      </c>
      <c r="D7286" s="0" t="n">
        <v>2019</v>
      </c>
      <c r="E7286" s="0" t="inlineStr">
        <is>
          <t>1917</t>
        </is>
      </c>
      <c r="F7286" s="0" t="inlineStr">
        <is>
          <t>F0356</t>
        </is>
      </c>
    </row>
    <row r="7287">
      <c r="A7287" s="0" t="inlineStr">
        <is>
          <t>Gabriel Akuwudike</t>
        </is>
      </c>
      <c r="B7287" s="0" t="n">
        <v>1</v>
      </c>
      <c r="C7287" s="0" t="n">
        <v>2019</v>
      </c>
      <c r="D7287" s="0" t="n">
        <v>2019</v>
      </c>
      <c r="E7287" s="0" t="inlineStr">
        <is>
          <t>1917</t>
        </is>
      </c>
      <c r="F7287" s="0" t="inlineStr">
        <is>
          <t>F0356</t>
        </is>
      </c>
    </row>
    <row r="7288">
      <c r="A7288" s="0" t="inlineStr">
        <is>
          <t>Spike Leighton</t>
        </is>
      </c>
      <c r="B7288" s="0" t="n">
        <v>1</v>
      </c>
      <c r="C7288" s="0" t="n">
        <v>2019</v>
      </c>
      <c r="D7288" s="0" t="n">
        <v>2019</v>
      </c>
      <c r="E7288" s="0" t="inlineStr">
        <is>
          <t>1917</t>
        </is>
      </c>
      <c r="F7288" s="0" t="inlineStr">
        <is>
          <t>F0356</t>
        </is>
      </c>
    </row>
    <row r="7289">
      <c r="A7289" s="0" t="inlineStr">
        <is>
          <t>Gerran Howell</t>
        </is>
      </c>
      <c r="B7289" s="0" t="n">
        <v>1</v>
      </c>
      <c r="C7289" s="0" t="n">
        <v>2019</v>
      </c>
      <c r="D7289" s="0" t="n">
        <v>2019</v>
      </c>
      <c r="E7289" s="0" t="inlineStr">
        <is>
          <t>1917</t>
        </is>
      </c>
      <c r="F7289" s="0" t="inlineStr">
        <is>
          <t>F0356</t>
        </is>
      </c>
    </row>
    <row r="7290">
      <c r="A7290" s="0" t="inlineStr">
        <is>
          <t>Adam Hugill</t>
        </is>
      </c>
      <c r="B7290" s="0" t="n">
        <v>1</v>
      </c>
      <c r="C7290" s="0" t="n">
        <v>2019</v>
      </c>
      <c r="D7290" s="0" t="n">
        <v>2019</v>
      </c>
      <c r="E7290" s="0" t="inlineStr">
        <is>
          <t>1917</t>
        </is>
      </c>
      <c r="F7290" s="0" t="inlineStr">
        <is>
          <t>F0356</t>
        </is>
      </c>
    </row>
    <row r="7291">
      <c r="A7291" s="0" t="inlineStr">
        <is>
          <t>Benjamin Adams</t>
        </is>
      </c>
      <c r="B7291" s="0" t="n">
        <v>1</v>
      </c>
      <c r="C7291" s="0" t="n">
        <v>2019</v>
      </c>
      <c r="D7291" s="0" t="n">
        <v>2019</v>
      </c>
      <c r="E7291" s="0" t="inlineStr">
        <is>
          <t>1917</t>
        </is>
      </c>
      <c r="F7291" s="0" t="inlineStr">
        <is>
          <t>F0356</t>
        </is>
      </c>
    </row>
    <row r="7292">
      <c r="A7292" s="0" t="inlineStr">
        <is>
          <t>Anson Boon</t>
        </is>
      </c>
      <c r="B7292" s="0" t="n">
        <v>1</v>
      </c>
      <c r="C7292" s="0" t="n">
        <v>2019</v>
      </c>
      <c r="D7292" s="0" t="n">
        <v>2019</v>
      </c>
      <c r="E7292" s="0" t="inlineStr">
        <is>
          <t>1917</t>
        </is>
      </c>
      <c r="F7292" s="0" t="inlineStr">
        <is>
          <t>F0356</t>
        </is>
      </c>
    </row>
    <row r="7293">
      <c r="A7293" s="0" t="inlineStr">
        <is>
          <t>Kenny Fullwood</t>
        </is>
      </c>
      <c r="B7293" s="0" t="n">
        <v>1</v>
      </c>
      <c r="C7293" s="0" t="n">
        <v>2019</v>
      </c>
      <c r="D7293" s="0" t="n">
        <v>2019</v>
      </c>
      <c r="E7293" s="0" t="inlineStr">
        <is>
          <t>1917</t>
        </is>
      </c>
      <c r="F7293" s="0" t="inlineStr">
        <is>
          <t>F0356</t>
        </is>
      </c>
    </row>
    <row r="7294">
      <c r="A7294" s="0" t="inlineStr">
        <is>
          <t>Ryan Nolan</t>
        </is>
      </c>
      <c r="B7294" s="0" t="n">
        <v>1</v>
      </c>
      <c r="C7294" s="0" t="n">
        <v>2019</v>
      </c>
      <c r="D7294" s="0" t="n">
        <v>2019</v>
      </c>
      <c r="E7294" s="0" t="inlineStr">
        <is>
          <t>1917</t>
        </is>
      </c>
      <c r="F7294" s="0" t="inlineStr">
        <is>
          <t>F0356</t>
        </is>
      </c>
    </row>
    <row r="7295">
      <c r="A7295" s="0" t="inlineStr">
        <is>
          <t>Meagan Good</t>
        </is>
      </c>
      <c r="B7295" s="0" t="n">
        <v>1</v>
      </c>
      <c r="C7295" s="0" t="n">
        <v>2013</v>
      </c>
      <c r="D7295" s="0" t="n">
        <v>2013</v>
      </c>
      <c r="E7295" s="0" t="inlineStr">
        <is>
          <t>Anchorman 2</t>
        </is>
      </c>
      <c r="F7295" s="0" t="inlineStr">
        <is>
          <t>F0357</t>
        </is>
      </c>
    </row>
    <row r="7296">
      <c r="A7296" s="0" t="inlineStr">
        <is>
          <t>Judah Nelson</t>
        </is>
      </c>
      <c r="B7296" s="0" t="n">
        <v>1</v>
      </c>
      <c r="C7296" s="0" t="n">
        <v>2013</v>
      </c>
      <c r="D7296" s="0" t="n">
        <v>2013</v>
      </c>
      <c r="E7296" s="0" t="inlineStr">
        <is>
          <t>Anchorman 2</t>
        </is>
      </c>
      <c r="F7296" s="0" t="inlineStr">
        <is>
          <t>F0357</t>
        </is>
      </c>
    </row>
    <row r="7297">
      <c r="A7297" s="0" t="inlineStr">
        <is>
          <t>Josh Lawson</t>
        </is>
      </c>
      <c r="B7297" s="0" t="n">
        <v>1</v>
      </c>
      <c r="C7297" s="0" t="n">
        <v>2013</v>
      </c>
      <c r="D7297" s="0" t="n">
        <v>2013</v>
      </c>
      <c r="E7297" s="0" t="inlineStr">
        <is>
          <t>Anchorman 2</t>
        </is>
      </c>
      <c r="F7297" s="0" t="inlineStr">
        <is>
          <t>F0357</t>
        </is>
      </c>
    </row>
    <row r="7298">
      <c r="A7298" s="0" t="inlineStr">
        <is>
          <t>Bill Kurtis</t>
        </is>
      </c>
      <c r="B7298" s="0" t="n">
        <v>1</v>
      </c>
      <c r="C7298" s="0" t="n">
        <v>2013</v>
      </c>
      <c r="D7298" s="0" t="n">
        <v>2013</v>
      </c>
      <c r="E7298" s="0" t="inlineStr">
        <is>
          <t>Anchorman 2</t>
        </is>
      </c>
      <c r="F7298" s="0" t="inlineStr">
        <is>
          <t>F0357</t>
        </is>
      </c>
    </row>
    <row r="7299">
      <c r="A7299" s="0" t="inlineStr">
        <is>
          <t>Tom Clark</t>
        </is>
      </c>
      <c r="B7299" s="0" t="n">
        <v>1</v>
      </c>
      <c r="C7299" s="0" t="n">
        <v>2013</v>
      </c>
      <c r="D7299" s="0" t="n">
        <v>2013</v>
      </c>
      <c r="E7299" s="0" t="inlineStr">
        <is>
          <t>Anchorman 2</t>
        </is>
      </c>
      <c r="F7299" s="0" t="inlineStr">
        <is>
          <t>F0357</t>
        </is>
      </c>
    </row>
    <row r="7300">
      <c r="A7300" s="0" t="inlineStr">
        <is>
          <t>Jennifer Felton</t>
        </is>
      </c>
      <c r="B7300" s="0" t="n">
        <v>1</v>
      </c>
      <c r="C7300" s="0" t="n">
        <v>2013</v>
      </c>
      <c r="D7300" s="0" t="n">
        <v>2013</v>
      </c>
      <c r="E7300" s="0" t="inlineStr">
        <is>
          <t>Anchorman 2</t>
        </is>
      </c>
      <c r="F7300" s="0" t="inlineStr">
        <is>
          <t>F0357</t>
        </is>
      </c>
    </row>
    <row r="7301">
      <c r="A7301" s="0" t="inlineStr">
        <is>
          <t>Drake</t>
        </is>
      </c>
      <c r="B7301" s="0" t="n">
        <v>1</v>
      </c>
      <c r="C7301" s="0" t="n">
        <v>2013</v>
      </c>
      <c r="D7301" s="0" t="n">
        <v>2013</v>
      </c>
      <c r="E7301" s="0" t="inlineStr">
        <is>
          <t>Anchorman 2</t>
        </is>
      </c>
      <c r="F7301" s="0" t="inlineStr">
        <is>
          <t>F0357</t>
        </is>
      </c>
    </row>
    <row r="7302">
      <c r="A7302" s="0" t="inlineStr">
        <is>
          <t>Daisy Pareja</t>
        </is>
      </c>
      <c r="B7302" s="0" t="n">
        <v>1</v>
      </c>
      <c r="C7302" s="0" t="n">
        <v>2013</v>
      </c>
      <c r="D7302" s="0" t="n">
        <v>2013</v>
      </c>
      <c r="E7302" s="0" t="inlineStr">
        <is>
          <t>Anchorman 2</t>
        </is>
      </c>
      <c r="F7302" s="0" t="inlineStr">
        <is>
          <t>F0357</t>
        </is>
      </c>
    </row>
    <row r="7303">
      <c r="A7303" s="0" t="inlineStr">
        <is>
          <t>Pearl McKay</t>
        </is>
      </c>
      <c r="B7303" s="0" t="n">
        <v>1</v>
      </c>
      <c r="C7303" s="0" t="n">
        <v>2013</v>
      </c>
      <c r="D7303" s="0" t="n">
        <v>2013</v>
      </c>
      <c r="E7303" s="0" t="inlineStr">
        <is>
          <t>Anchorman 2</t>
        </is>
      </c>
      <c r="F7303" s="0" t="inlineStr">
        <is>
          <t>F0357</t>
        </is>
      </c>
    </row>
    <row r="7304">
      <c r="A7304" s="0" t="inlineStr">
        <is>
          <t>Axel Ferrell</t>
        </is>
      </c>
      <c r="B7304" s="0" t="n">
        <v>1</v>
      </c>
      <c r="C7304" s="0" t="n">
        <v>2013</v>
      </c>
      <c r="D7304" s="0" t="n">
        <v>2013</v>
      </c>
      <c r="E7304" s="0" t="inlineStr">
        <is>
          <t>Anchorman 2</t>
        </is>
      </c>
      <c r="F7304" s="0" t="inlineStr">
        <is>
          <t>F0357</t>
        </is>
      </c>
    </row>
    <row r="7305">
      <c r="A7305" s="0" t="inlineStr">
        <is>
          <t>Magnus Ferrell</t>
        </is>
      </c>
      <c r="B7305" s="0" t="n">
        <v>1</v>
      </c>
      <c r="C7305" s="0" t="n">
        <v>2013</v>
      </c>
      <c r="D7305" s="0" t="n">
        <v>2013</v>
      </c>
      <c r="E7305" s="0" t="inlineStr">
        <is>
          <t>Anchorman 2</t>
        </is>
      </c>
      <c r="F7305" s="0" t="inlineStr">
        <is>
          <t>F0357</t>
        </is>
      </c>
    </row>
    <row r="7306">
      <c r="A7306" s="0" t="inlineStr">
        <is>
          <t>Mattias Ferrell</t>
        </is>
      </c>
      <c r="B7306" s="0" t="n">
        <v>1</v>
      </c>
      <c r="C7306" s="0" t="n">
        <v>2013</v>
      </c>
      <c r="D7306" s="0" t="n">
        <v>2013</v>
      </c>
      <c r="E7306" s="0" t="inlineStr">
        <is>
          <t>Anchorman 2</t>
        </is>
      </c>
      <c r="F7306" s="0" t="inlineStr">
        <is>
          <t>F0357</t>
        </is>
      </c>
    </row>
    <row r="7307">
      <c r="A7307" s="0" t="inlineStr">
        <is>
          <t>Eliza Coupe</t>
        </is>
      </c>
      <c r="B7307" s="0" t="n">
        <v>1</v>
      </c>
      <c r="C7307" s="0" t="n">
        <v>2013</v>
      </c>
      <c r="D7307" s="0" t="n">
        <v>2013</v>
      </c>
      <c r="E7307" s="0" t="inlineStr">
        <is>
          <t>Anchorman 2</t>
        </is>
      </c>
      <c r="F7307" s="0" t="inlineStr">
        <is>
          <t>F0357</t>
        </is>
      </c>
    </row>
    <row r="7308">
      <c r="A7308" s="0" t="inlineStr">
        <is>
          <t>Matt Rebenkoff</t>
        </is>
      </c>
      <c r="B7308" s="0" t="n">
        <v>1</v>
      </c>
      <c r="C7308" s="0" t="n">
        <v>2013</v>
      </c>
      <c r="D7308" s="0" t="n">
        <v>2013</v>
      </c>
      <c r="E7308" s="0" t="inlineStr">
        <is>
          <t>Anchorman 2</t>
        </is>
      </c>
      <c r="F7308" s="0" t="inlineStr">
        <is>
          <t>F0357</t>
        </is>
      </c>
    </row>
    <row r="7309">
      <c r="A7309" s="0" t="inlineStr">
        <is>
          <t>Paul Schneider</t>
        </is>
      </c>
      <c r="B7309" s="0" t="n">
        <v>1</v>
      </c>
      <c r="C7309" s="0" t="n">
        <v>2013</v>
      </c>
      <c r="D7309" s="0" t="n">
        <v>2013</v>
      </c>
      <c r="E7309" s="0" t="inlineStr">
        <is>
          <t>Anchorman 2</t>
        </is>
      </c>
      <c r="F7309" s="0" t="inlineStr">
        <is>
          <t>F0357</t>
        </is>
      </c>
    </row>
    <row r="7310">
      <c r="A7310" s="0" t="inlineStr">
        <is>
          <t>Brian F. Durkin</t>
        </is>
      </c>
      <c r="B7310" s="0" t="n">
        <v>1</v>
      </c>
      <c r="C7310" s="0" t="n">
        <v>2013</v>
      </c>
      <c r="D7310" s="0" t="n">
        <v>2013</v>
      </c>
      <c r="E7310" s="0" t="inlineStr">
        <is>
          <t>Anchorman 2</t>
        </is>
      </c>
      <c r="F7310" s="0" t="inlineStr">
        <is>
          <t>F0357</t>
        </is>
      </c>
    </row>
    <row r="7311">
      <c r="A7311" s="0" t="inlineStr">
        <is>
          <t>Zoe Myers</t>
        </is>
      </c>
      <c r="B7311" s="0" t="n">
        <v>1</v>
      </c>
      <c r="C7311" s="0" t="n">
        <v>2013</v>
      </c>
      <c r="D7311" s="0" t="n">
        <v>2013</v>
      </c>
      <c r="E7311" s="0" t="inlineStr">
        <is>
          <t>Anchorman 2</t>
        </is>
      </c>
      <c r="F7311" s="0" t="inlineStr">
        <is>
          <t>F0357</t>
        </is>
      </c>
    </row>
    <row r="7312">
      <c r="A7312" s="0" t="inlineStr">
        <is>
          <t>Alicia Vikander</t>
        </is>
      </c>
      <c r="B7312" s="0" t="n">
        <v>1</v>
      </c>
      <c r="C7312" s="0" t="n">
        <v>2016</v>
      </c>
      <c r="D7312" s="0" t="n">
        <v>2016</v>
      </c>
      <c r="E7312" s="0" t="inlineStr">
        <is>
          <t>Jason bourne</t>
        </is>
      </c>
      <c r="F7312" s="0" t="inlineStr">
        <is>
          <t>F0358</t>
        </is>
      </c>
    </row>
    <row r="7313">
      <c r="A7313" s="0" t="inlineStr">
        <is>
          <t>Vincent Cassel</t>
        </is>
      </c>
      <c r="B7313" s="0" t="n">
        <v>1</v>
      </c>
      <c r="C7313" s="0" t="n">
        <v>2016</v>
      </c>
      <c r="D7313" s="0" t="n">
        <v>2016</v>
      </c>
      <c r="E7313" s="0" t="inlineStr">
        <is>
          <t>Jason bourne</t>
        </is>
      </c>
      <c r="F7313" s="0" t="inlineStr">
        <is>
          <t>F0358</t>
        </is>
      </c>
    </row>
    <row r="7314">
      <c r="A7314" s="0" t="inlineStr">
        <is>
          <t>Riz Ahmed</t>
        </is>
      </c>
      <c r="B7314" s="0" t="n">
        <v>2</v>
      </c>
      <c r="C7314" s="0" t="n">
        <v>2016</v>
      </c>
      <c r="D7314" s="0" t="n">
        <v>2016</v>
      </c>
      <c r="E7314" s="0" t="inlineStr">
        <is>
          <t>Jason bourne, Rogue one</t>
        </is>
      </c>
      <c r="F7314" s="0" t="inlineStr">
        <is>
          <t>F0358, F0385</t>
        </is>
      </c>
    </row>
    <row r="7315">
      <c r="A7315" s="0" t="inlineStr">
        <is>
          <t>Scott Shepherd</t>
        </is>
      </c>
      <c r="B7315" s="0" t="n">
        <v>2</v>
      </c>
      <c r="C7315" s="0" t="n">
        <v>2016</v>
      </c>
      <c r="D7315" s="0" t="n">
        <v>2022</v>
      </c>
      <c r="E7315" s="0" t="inlineStr">
        <is>
          <t>Jason bourne, X-men dark phoenix</t>
        </is>
      </c>
      <c r="F7315" s="0" t="inlineStr">
        <is>
          <t>F0358, F0380</t>
        </is>
      </c>
    </row>
    <row r="7316">
      <c r="A7316" s="0" t="inlineStr">
        <is>
          <t>Vinzenz Kiefer</t>
        </is>
      </c>
      <c r="B7316" s="0" t="n">
        <v>1</v>
      </c>
      <c r="C7316" s="0" t="n">
        <v>2016</v>
      </c>
      <c r="D7316" s="0" t="n">
        <v>2016</v>
      </c>
      <c r="E7316" s="0" t="inlineStr">
        <is>
          <t>Jason bourne</t>
        </is>
      </c>
      <c r="F7316" s="0" t="inlineStr">
        <is>
          <t>F0358</t>
        </is>
      </c>
    </row>
    <row r="7317">
      <c r="A7317" s="0" t="inlineStr">
        <is>
          <t>Stephen Kunken</t>
        </is>
      </c>
      <c r="B7317" s="0" t="n">
        <v>1</v>
      </c>
      <c r="C7317" s="0" t="n">
        <v>2016</v>
      </c>
      <c r="D7317" s="0" t="n">
        <v>2016</v>
      </c>
      <c r="E7317" s="0" t="inlineStr">
        <is>
          <t>Jason bourne</t>
        </is>
      </c>
      <c r="F7317" s="0" t="inlineStr">
        <is>
          <t>F0358</t>
        </is>
      </c>
    </row>
    <row r="7318">
      <c r="A7318" s="0" t="inlineStr">
        <is>
          <t>Kaya Yuzuki</t>
        </is>
      </c>
      <c r="B7318" s="0" t="n">
        <v>1</v>
      </c>
      <c r="C7318" s="0" t="n">
        <v>2016</v>
      </c>
      <c r="D7318" s="0" t="n">
        <v>2016</v>
      </c>
      <c r="E7318" s="0" t="inlineStr">
        <is>
          <t>Jason bourne</t>
        </is>
      </c>
      <c r="F7318" s="0" t="inlineStr">
        <is>
          <t>F0358</t>
        </is>
      </c>
    </row>
    <row r="7319">
      <c r="A7319" s="0" t="inlineStr">
        <is>
          <t>Lizzie Phillips</t>
        </is>
      </c>
      <c r="B7319" s="0" t="n">
        <v>1</v>
      </c>
      <c r="C7319" s="0" t="n">
        <v>2016</v>
      </c>
      <c r="D7319" s="0" t="n">
        <v>2016</v>
      </c>
      <c r="E7319" s="0" t="inlineStr">
        <is>
          <t>Jason bourne</t>
        </is>
      </c>
      <c r="F7319" s="0" t="inlineStr">
        <is>
          <t>F0358</t>
        </is>
      </c>
    </row>
    <row r="7320">
      <c r="A7320" s="0" t="inlineStr">
        <is>
          <t>Paris Stangl</t>
        </is>
      </c>
      <c r="B7320" s="0" t="n">
        <v>1</v>
      </c>
      <c r="C7320" s="0" t="n">
        <v>2016</v>
      </c>
      <c r="D7320" s="0" t="n">
        <v>2016</v>
      </c>
      <c r="E7320" s="0" t="inlineStr">
        <is>
          <t>Jason bourne</t>
        </is>
      </c>
      <c r="F7320" s="0" t="inlineStr">
        <is>
          <t>F0358</t>
        </is>
      </c>
    </row>
    <row r="7321">
      <c r="A7321" s="0" t="inlineStr">
        <is>
          <t>Matt Blair</t>
        </is>
      </c>
      <c r="B7321" s="0" t="n">
        <v>1</v>
      </c>
      <c r="C7321" s="0" t="n">
        <v>2016</v>
      </c>
      <c r="D7321" s="0" t="n">
        <v>2016</v>
      </c>
      <c r="E7321" s="0" t="inlineStr">
        <is>
          <t>Jason bourne</t>
        </is>
      </c>
      <c r="F7321" s="0" t="inlineStr">
        <is>
          <t>F0358</t>
        </is>
      </c>
    </row>
    <row r="7322">
      <c r="A7322" s="0" t="inlineStr">
        <is>
          <t>Amy De Bhrún</t>
        </is>
      </c>
      <c r="B7322" s="0" t="n">
        <v>1</v>
      </c>
      <c r="C7322" s="0" t="n">
        <v>2016</v>
      </c>
      <c r="D7322" s="0" t="n">
        <v>2016</v>
      </c>
      <c r="E7322" s="0" t="inlineStr">
        <is>
          <t>Jason bourne</t>
        </is>
      </c>
      <c r="F7322" s="0" t="inlineStr">
        <is>
          <t>F0358</t>
        </is>
      </c>
    </row>
    <row r="7323">
      <c r="A7323" s="0" t="inlineStr">
        <is>
          <t>Robin Crouch</t>
        </is>
      </c>
      <c r="B7323" s="0" t="n">
        <v>1</v>
      </c>
      <c r="C7323" s="0" t="n">
        <v>2016</v>
      </c>
      <c r="D7323" s="0" t="n">
        <v>2016</v>
      </c>
      <c r="E7323" s="0" t="inlineStr">
        <is>
          <t>Jason bourne</t>
        </is>
      </c>
      <c r="F7323" s="0" t="inlineStr">
        <is>
          <t>F0358</t>
        </is>
      </c>
    </row>
    <row r="7324">
      <c r="A7324" s="0" t="inlineStr">
        <is>
          <t>Joe Kennard</t>
        </is>
      </c>
      <c r="B7324" s="0" t="n">
        <v>1</v>
      </c>
      <c r="C7324" s="0" t="n">
        <v>2016</v>
      </c>
      <c r="D7324" s="0" t="n">
        <v>2016</v>
      </c>
      <c r="E7324" s="0" t="inlineStr">
        <is>
          <t>Jason bourne</t>
        </is>
      </c>
      <c r="F7324" s="0" t="inlineStr">
        <is>
          <t>F0358</t>
        </is>
      </c>
    </row>
    <row r="7325">
      <c r="A7325" s="0" t="inlineStr">
        <is>
          <t>Miguel Alves-Khan</t>
        </is>
      </c>
      <c r="B7325" s="0" t="n">
        <v>1</v>
      </c>
      <c r="C7325" s="0" t="n">
        <v>2016</v>
      </c>
      <c r="D7325" s="0" t="n">
        <v>2016</v>
      </c>
      <c r="E7325" s="0" t="inlineStr">
        <is>
          <t>Jason bourne</t>
        </is>
      </c>
      <c r="F7325" s="0" t="inlineStr">
        <is>
          <t>F0358</t>
        </is>
      </c>
    </row>
    <row r="7326">
      <c r="A7326" s="0" t="inlineStr">
        <is>
          <t>Gregg Henry</t>
        </is>
      </c>
      <c r="B7326" s="0" t="n">
        <v>1</v>
      </c>
      <c r="C7326" s="0" t="n">
        <v>2016</v>
      </c>
      <c r="D7326" s="0" t="n">
        <v>2016</v>
      </c>
      <c r="E7326" s="0" t="inlineStr">
        <is>
          <t>Jason bourne</t>
        </is>
      </c>
      <c r="F7326" s="0" t="inlineStr">
        <is>
          <t>F0358</t>
        </is>
      </c>
    </row>
    <row r="7327">
      <c r="A7327" s="0" t="inlineStr">
        <is>
          <t>Robert Stanton</t>
        </is>
      </c>
      <c r="B7327" s="0" t="n">
        <v>1</v>
      </c>
      <c r="C7327" s="0" t="n">
        <v>2016</v>
      </c>
      <c r="D7327" s="0" t="n">
        <v>2016</v>
      </c>
      <c r="E7327" s="0" t="inlineStr">
        <is>
          <t>Jason bourne</t>
        </is>
      </c>
      <c r="F7327" s="0" t="inlineStr">
        <is>
          <t>F0358</t>
        </is>
      </c>
    </row>
    <row r="7328">
      <c r="A7328" s="0" t="inlineStr">
        <is>
          <t>Duran Fulton Brown</t>
        </is>
      </c>
      <c r="B7328" s="0" t="n">
        <v>1</v>
      </c>
      <c r="C7328" s="0" t="n">
        <v>2016</v>
      </c>
      <c r="D7328" s="0" t="n">
        <v>2016</v>
      </c>
      <c r="E7328" s="0" t="inlineStr">
        <is>
          <t>Jason bourne</t>
        </is>
      </c>
      <c r="F7328" s="0" t="inlineStr">
        <is>
          <t>F0358</t>
        </is>
      </c>
    </row>
    <row r="7329">
      <c r="A7329" s="0" t="inlineStr">
        <is>
          <t>Charles Jarman</t>
        </is>
      </c>
      <c r="B7329" s="0" t="n">
        <v>1</v>
      </c>
      <c r="C7329" s="0" t="n">
        <v>2016</v>
      </c>
      <c r="D7329" s="0" t="n">
        <v>2016</v>
      </c>
      <c r="E7329" s="0" t="inlineStr">
        <is>
          <t>Jason bourne</t>
        </is>
      </c>
      <c r="F7329" s="0" t="inlineStr">
        <is>
          <t>F0358</t>
        </is>
      </c>
    </row>
    <row r="7330">
      <c r="A7330" s="0" t="inlineStr">
        <is>
          <t>Jay Vincent Diaz</t>
        </is>
      </c>
      <c r="B7330" s="0" t="n">
        <v>1</v>
      </c>
      <c r="C7330" s="0" t="n">
        <v>2016</v>
      </c>
      <c r="D7330" s="0" t="n">
        <v>2016</v>
      </c>
      <c r="E7330" s="0" t="inlineStr">
        <is>
          <t>Jason bourne</t>
        </is>
      </c>
      <c r="F7330" s="0" t="inlineStr">
        <is>
          <t>F0358</t>
        </is>
      </c>
    </row>
    <row r="7331">
      <c r="A7331" s="0" t="inlineStr">
        <is>
          <t>Richard Nunez</t>
        </is>
      </c>
      <c r="B7331" s="0" t="n">
        <v>1</v>
      </c>
      <c r="C7331" s="0" t="n">
        <v>2016</v>
      </c>
      <c r="D7331" s="0" t="n">
        <v>2016</v>
      </c>
      <c r="E7331" s="0" t="inlineStr">
        <is>
          <t>Jason bourne</t>
        </is>
      </c>
      <c r="F7331" s="0" t="inlineStr">
        <is>
          <t>F0358</t>
        </is>
      </c>
    </row>
    <row r="7332">
      <c r="A7332" s="0" t="inlineStr">
        <is>
          <t>Sonny Robertson</t>
        </is>
      </c>
      <c r="B7332" s="0" t="n">
        <v>1</v>
      </c>
      <c r="C7332" s="0" t="n">
        <v>2016</v>
      </c>
      <c r="D7332" s="0" t="n">
        <v>2016</v>
      </c>
      <c r="E7332" s="0" t="inlineStr">
        <is>
          <t>Jason bourne</t>
        </is>
      </c>
      <c r="F7332" s="0" t="inlineStr">
        <is>
          <t>F0358</t>
        </is>
      </c>
    </row>
    <row r="7333">
      <c r="A7333" s="0" t="inlineStr">
        <is>
          <t>James Dormuth</t>
        </is>
      </c>
      <c r="B7333" s="0" t="n">
        <v>1</v>
      </c>
      <c r="C7333" s="0" t="n">
        <v>2016</v>
      </c>
      <c r="D7333" s="0" t="n">
        <v>2016</v>
      </c>
      <c r="E7333" s="0" t="inlineStr">
        <is>
          <t>Jason bourne</t>
        </is>
      </c>
      <c r="F7333" s="0" t="inlineStr">
        <is>
          <t>F0358</t>
        </is>
      </c>
    </row>
    <row r="7334">
      <c r="A7334" s="0" t="inlineStr">
        <is>
          <t>Rhys Darby</t>
        </is>
      </c>
      <c r="B7334" s="0" t="n">
        <v>1</v>
      </c>
      <c r="C7334" s="0" t="n">
        <v>2017</v>
      </c>
      <c r="D7334" s="0" t="n">
        <v>2017</v>
      </c>
      <c r="E7334" s="0" t="inlineStr">
        <is>
          <t>Jumanji welcome to the jungle</t>
        </is>
      </c>
      <c r="F7334" s="0" t="inlineStr">
        <is>
          <t>F0359</t>
        </is>
      </c>
    </row>
    <row r="7335">
      <c r="A7335" s="0" t="inlineStr">
        <is>
          <t>Nick Jonas</t>
        </is>
      </c>
      <c r="B7335" s="0" t="n">
        <v>1</v>
      </c>
      <c r="C7335" s="0" t="n">
        <v>2017</v>
      </c>
      <c r="D7335" s="0" t="n">
        <v>2017</v>
      </c>
      <c r="E7335" s="0" t="inlineStr">
        <is>
          <t>Jumanji welcome to the jungle</t>
        </is>
      </c>
      <c r="F7335" s="0" t="inlineStr">
        <is>
          <t>F0359</t>
        </is>
      </c>
    </row>
    <row r="7336">
      <c r="A7336" s="0" t="inlineStr">
        <is>
          <t>Alex Wolff</t>
        </is>
      </c>
      <c r="B7336" s="0" t="n">
        <v>1</v>
      </c>
      <c r="C7336" s="0" t="n">
        <v>2017</v>
      </c>
      <c r="D7336" s="0" t="n">
        <v>2017</v>
      </c>
      <c r="E7336" s="0" t="inlineStr">
        <is>
          <t>Jumanji welcome to the jungle</t>
        </is>
      </c>
      <c r="F7336" s="0" t="inlineStr">
        <is>
          <t>F0359</t>
        </is>
      </c>
    </row>
    <row r="7337">
      <c r="A7337" s="0" t="inlineStr">
        <is>
          <t>Ser'Darius Blain</t>
        </is>
      </c>
      <c r="B7337" s="0" t="n">
        <v>1</v>
      </c>
      <c r="C7337" s="0" t="n">
        <v>2017</v>
      </c>
      <c r="D7337" s="0" t="n">
        <v>2017</v>
      </c>
      <c r="E7337" s="0" t="inlineStr">
        <is>
          <t>Jumanji welcome to the jungle</t>
        </is>
      </c>
      <c r="F7337" s="0" t="inlineStr">
        <is>
          <t>F0359</t>
        </is>
      </c>
    </row>
    <row r="7338">
      <c r="A7338" s="0" t="inlineStr">
        <is>
          <t>Madison Iseman</t>
        </is>
      </c>
      <c r="B7338" s="0" t="n">
        <v>1</v>
      </c>
      <c r="C7338" s="0" t="n">
        <v>2017</v>
      </c>
      <c r="D7338" s="0" t="n">
        <v>2017</v>
      </c>
      <c r="E7338" s="0" t="inlineStr">
        <is>
          <t>Jumanji welcome to the jungle</t>
        </is>
      </c>
      <c r="F7338" s="0" t="inlineStr">
        <is>
          <t>F0359</t>
        </is>
      </c>
    </row>
    <row r="7339">
      <c r="A7339" s="0" t="inlineStr">
        <is>
          <t>Morgan Turner</t>
        </is>
      </c>
      <c r="B7339" s="0" t="n">
        <v>1</v>
      </c>
      <c r="C7339" s="0" t="n">
        <v>2017</v>
      </c>
      <c r="D7339" s="0" t="n">
        <v>2017</v>
      </c>
      <c r="E7339" s="0" t="inlineStr">
        <is>
          <t>Jumanji welcome to the jungle</t>
        </is>
      </c>
      <c r="F7339" s="0" t="inlineStr">
        <is>
          <t>F0359</t>
        </is>
      </c>
    </row>
    <row r="7340">
      <c r="A7340" s="0" t="inlineStr">
        <is>
          <t>Sean Buxton</t>
        </is>
      </c>
      <c r="B7340" s="0" t="n">
        <v>1</v>
      </c>
      <c r="C7340" s="0" t="n">
        <v>2017</v>
      </c>
      <c r="D7340" s="0" t="n">
        <v>2017</v>
      </c>
      <c r="E7340" s="0" t="inlineStr">
        <is>
          <t>Jumanji welcome to the jungle</t>
        </is>
      </c>
      <c r="F7340" s="0" t="inlineStr">
        <is>
          <t>F0359</t>
        </is>
      </c>
    </row>
    <row r="7341">
      <c r="A7341" s="0" t="inlineStr">
        <is>
          <t>Mason Guccione</t>
        </is>
      </c>
      <c r="B7341" s="0" t="n">
        <v>1</v>
      </c>
      <c r="C7341" s="0" t="n">
        <v>2017</v>
      </c>
      <c r="D7341" s="0" t="n">
        <v>2017</v>
      </c>
      <c r="E7341" s="0" t="inlineStr">
        <is>
          <t>Jumanji welcome to the jungle</t>
        </is>
      </c>
      <c r="F7341" s="0" t="inlineStr">
        <is>
          <t>F0359</t>
        </is>
      </c>
    </row>
    <row r="7342">
      <c r="A7342" s="0" t="inlineStr">
        <is>
          <t>Marin Hinkle</t>
        </is>
      </c>
      <c r="B7342" s="0" t="n">
        <v>1</v>
      </c>
      <c r="C7342" s="0" t="n">
        <v>2017</v>
      </c>
      <c r="D7342" s="0" t="n">
        <v>2017</v>
      </c>
      <c r="E7342" s="0" t="inlineStr">
        <is>
          <t>Jumanji welcome to the jungle</t>
        </is>
      </c>
      <c r="F7342" s="0" t="inlineStr">
        <is>
          <t>F0359</t>
        </is>
      </c>
    </row>
    <row r="7343">
      <c r="A7343" s="0" t="inlineStr">
        <is>
          <t>Tracey Bonner</t>
        </is>
      </c>
      <c r="B7343" s="0" t="n">
        <v>1</v>
      </c>
      <c r="C7343" s="0" t="n">
        <v>2017</v>
      </c>
      <c r="D7343" s="0" t="n">
        <v>2017</v>
      </c>
      <c r="E7343" s="0" t="inlineStr">
        <is>
          <t>Jumanji welcome to the jungle</t>
        </is>
      </c>
      <c r="F7343" s="0" t="inlineStr">
        <is>
          <t>F0359</t>
        </is>
      </c>
    </row>
    <row r="7344">
      <c r="A7344" s="0" t="inlineStr">
        <is>
          <t>Najah Jackson</t>
        </is>
      </c>
      <c r="B7344" s="0" t="n">
        <v>1</v>
      </c>
      <c r="C7344" s="0" t="n">
        <v>2017</v>
      </c>
      <c r="D7344" s="0" t="n">
        <v>2017</v>
      </c>
      <c r="E7344" s="0" t="inlineStr">
        <is>
          <t>Jumanji welcome to the jungle</t>
        </is>
      </c>
      <c r="F7344" s="0" t="inlineStr">
        <is>
          <t>F0359</t>
        </is>
      </c>
    </row>
    <row r="7345">
      <c r="A7345" s="0" t="inlineStr">
        <is>
          <t>Natasha Charles Parker</t>
        </is>
      </c>
      <c r="B7345" s="0" t="n">
        <v>1</v>
      </c>
      <c r="C7345" s="0" t="n">
        <v>2017</v>
      </c>
      <c r="D7345" s="0" t="n">
        <v>2017</v>
      </c>
      <c r="E7345" s="0" t="inlineStr">
        <is>
          <t>Jumanji welcome to the jungle</t>
        </is>
      </c>
      <c r="F7345" s="0" t="inlineStr">
        <is>
          <t>F0359</t>
        </is>
      </c>
    </row>
    <row r="7346">
      <c r="A7346" s="0" t="inlineStr">
        <is>
          <t>Kat Altman</t>
        </is>
      </c>
      <c r="B7346" s="0" t="n">
        <v>1</v>
      </c>
      <c r="C7346" s="0" t="n">
        <v>2017</v>
      </c>
      <c r="D7346" s="0" t="n">
        <v>2017</v>
      </c>
      <c r="E7346" s="0" t="inlineStr">
        <is>
          <t>Jumanji welcome to the jungle</t>
        </is>
      </c>
      <c r="F7346" s="0" t="inlineStr">
        <is>
          <t>F0359</t>
        </is>
      </c>
    </row>
    <row r="7347">
      <c r="A7347" s="0" t="inlineStr">
        <is>
          <t>Maribeth Monroe</t>
        </is>
      </c>
      <c r="B7347" s="0" t="n">
        <v>1</v>
      </c>
      <c r="C7347" s="0" t="n">
        <v>2017</v>
      </c>
      <c r="D7347" s="0" t="n">
        <v>2017</v>
      </c>
      <c r="E7347" s="0" t="inlineStr">
        <is>
          <t>Jumanji welcome to the jungle</t>
        </is>
      </c>
      <c r="F7347" s="0" t="inlineStr">
        <is>
          <t>F0359</t>
        </is>
      </c>
    </row>
    <row r="7348">
      <c r="A7348" s="0" t="inlineStr">
        <is>
          <t>Missi Pyle</t>
        </is>
      </c>
      <c r="B7348" s="0" t="n">
        <v>1</v>
      </c>
      <c r="C7348" s="0" t="n">
        <v>2017</v>
      </c>
      <c r="D7348" s="0" t="n">
        <v>2017</v>
      </c>
      <c r="E7348" s="0" t="inlineStr">
        <is>
          <t>Jumanji welcome to the jungle</t>
        </is>
      </c>
      <c r="F7348" s="0" t="inlineStr">
        <is>
          <t>F0359</t>
        </is>
      </c>
    </row>
    <row r="7349">
      <c r="A7349" s="0" t="inlineStr">
        <is>
          <t>Michael Shacket</t>
        </is>
      </c>
      <c r="B7349" s="0" t="n">
        <v>1</v>
      </c>
      <c r="C7349" s="0" t="n">
        <v>2017</v>
      </c>
      <c r="D7349" s="0" t="n">
        <v>2017</v>
      </c>
      <c r="E7349" s="0" t="inlineStr">
        <is>
          <t>Jumanji welcome to the jungle</t>
        </is>
      </c>
      <c r="F7349" s="0" t="inlineStr">
        <is>
          <t>F0359</t>
        </is>
      </c>
    </row>
    <row r="7350">
      <c r="A7350" s="0" t="inlineStr">
        <is>
          <t>Jamie Renell</t>
        </is>
      </c>
      <c r="B7350" s="0" t="n">
        <v>1</v>
      </c>
      <c r="C7350" s="0" t="n">
        <v>2017</v>
      </c>
      <c r="D7350" s="0" t="n">
        <v>2017</v>
      </c>
      <c r="E7350" s="0" t="inlineStr">
        <is>
          <t>Jumanji welcome to the jungle</t>
        </is>
      </c>
      <c r="F7350" s="0" t="inlineStr">
        <is>
          <t>F0359</t>
        </is>
      </c>
    </row>
    <row r="7351">
      <c r="A7351" s="0" t="inlineStr">
        <is>
          <t>Carlease Burke</t>
        </is>
      </c>
      <c r="B7351" s="0" t="n">
        <v>1</v>
      </c>
      <c r="C7351" s="0" t="n">
        <v>2017</v>
      </c>
      <c r="D7351" s="0" t="n">
        <v>2017</v>
      </c>
      <c r="E7351" s="0" t="inlineStr">
        <is>
          <t>Jumanji welcome to the jungle</t>
        </is>
      </c>
      <c r="F7351" s="0" t="inlineStr">
        <is>
          <t>F0359</t>
        </is>
      </c>
    </row>
    <row r="7352">
      <c r="A7352" s="0" t="inlineStr">
        <is>
          <t>Jason New</t>
        </is>
      </c>
      <c r="B7352" s="0" t="n">
        <v>1</v>
      </c>
      <c r="C7352" s="0" t="n">
        <v>2017</v>
      </c>
      <c r="D7352" s="0" t="n">
        <v>2017</v>
      </c>
      <c r="E7352" s="0" t="inlineStr">
        <is>
          <t>Jumanji welcome to the jungle</t>
        </is>
      </c>
      <c r="F7352" s="0" t="inlineStr">
        <is>
          <t>F0359</t>
        </is>
      </c>
    </row>
    <row r="7353">
      <c r="A7353" s="0" t="inlineStr">
        <is>
          <t>William Tokarsky</t>
        </is>
      </c>
      <c r="B7353" s="0" t="n">
        <v>1</v>
      </c>
      <c r="C7353" s="0" t="n">
        <v>2017</v>
      </c>
      <c r="D7353" s="0" t="n">
        <v>2017</v>
      </c>
      <c r="E7353" s="0" t="inlineStr">
        <is>
          <t>Jumanji welcome to the jungle</t>
        </is>
      </c>
      <c r="F7353" s="0" t="inlineStr">
        <is>
          <t>F0359</t>
        </is>
      </c>
    </row>
    <row r="7354">
      <c r="A7354" s="0" t="inlineStr">
        <is>
          <t>Rob Mars</t>
        </is>
      </c>
      <c r="B7354" s="0" t="n">
        <v>1</v>
      </c>
      <c r="C7354" s="0" t="n">
        <v>2017</v>
      </c>
      <c r="D7354" s="0" t="n">
        <v>2017</v>
      </c>
      <c r="E7354" s="0" t="inlineStr">
        <is>
          <t>Jumanji welcome to the jungle</t>
        </is>
      </c>
      <c r="F7354" s="0" t="inlineStr">
        <is>
          <t>F0359</t>
        </is>
      </c>
    </row>
    <row r="7355">
      <c r="A7355" s="0" t="inlineStr">
        <is>
          <t>Callum Turner</t>
        </is>
      </c>
      <c r="B7355" s="0" t="n">
        <v>1</v>
      </c>
      <c r="C7355" s="0" t="n">
        <v>2018</v>
      </c>
      <c r="D7355" s="0" t="n">
        <v>2018</v>
      </c>
      <c r="E7355" s="0" t="inlineStr">
        <is>
          <t>Fantastic beasts: the crimes of grindelwald</t>
        </is>
      </c>
      <c r="F7355" s="0" t="inlineStr">
        <is>
          <t>F0360</t>
        </is>
      </c>
    </row>
    <row r="7356">
      <c r="A7356" s="0" t="inlineStr">
        <is>
          <t>Claudia Kim</t>
        </is>
      </c>
      <c r="B7356" s="0" t="n">
        <v>1</v>
      </c>
      <c r="C7356" s="0" t="n">
        <v>2018</v>
      </c>
      <c r="D7356" s="0" t="n">
        <v>2018</v>
      </c>
      <c r="E7356" s="0" t="inlineStr">
        <is>
          <t>Fantastic beasts: the crimes of grindelwald</t>
        </is>
      </c>
      <c r="F7356" s="0" t="inlineStr">
        <is>
          <t>F0360</t>
        </is>
      </c>
    </row>
    <row r="7357">
      <c r="A7357" s="0" t="inlineStr">
        <is>
          <t>William Nadylam</t>
        </is>
      </c>
      <c r="B7357" s="0" t="n">
        <v>1</v>
      </c>
      <c r="C7357" s="0" t="n">
        <v>2018</v>
      </c>
      <c r="D7357" s="0" t="n">
        <v>2018</v>
      </c>
      <c r="E7357" s="0" t="inlineStr">
        <is>
          <t>Fantastic beasts: the crimes of grindelwald</t>
        </is>
      </c>
      <c r="F7357" s="0" t="inlineStr">
        <is>
          <t>F0360</t>
        </is>
      </c>
    </row>
    <row r="7358">
      <c r="A7358" s="0" t="inlineStr">
        <is>
          <t>Ingvar E. Sigurðsson</t>
        </is>
      </c>
      <c r="B7358" s="0" t="n">
        <v>1</v>
      </c>
      <c r="C7358" s="0" t="n">
        <v>2018</v>
      </c>
      <c r="D7358" s="0" t="n">
        <v>2018</v>
      </c>
      <c r="E7358" s="0" t="inlineStr">
        <is>
          <t>Fantastic beasts: the crimes of grindelwald</t>
        </is>
      </c>
      <c r="F7358" s="0" t="inlineStr">
        <is>
          <t>F0360</t>
        </is>
      </c>
    </row>
    <row r="7359">
      <c r="A7359" s="0" t="inlineStr">
        <is>
          <t>Brontis Jodorowsky</t>
        </is>
      </c>
      <c r="B7359" s="0" t="n">
        <v>1</v>
      </c>
      <c r="C7359" s="0" t="n">
        <v>2018</v>
      </c>
      <c r="D7359" s="0" t="n">
        <v>2018</v>
      </c>
      <c r="E7359" s="0" t="inlineStr">
        <is>
          <t>Fantastic beasts: the crimes of grindelwald</t>
        </is>
      </c>
      <c r="F7359" s="0" t="inlineStr">
        <is>
          <t>F0360</t>
        </is>
      </c>
    </row>
    <row r="7360">
      <c r="A7360" s="0" t="inlineStr">
        <is>
          <t>Derek Riddell</t>
        </is>
      </c>
      <c r="B7360" s="0" t="n">
        <v>1</v>
      </c>
      <c r="C7360" s="0" t="n">
        <v>2018</v>
      </c>
      <c r="D7360" s="0" t="n">
        <v>2018</v>
      </c>
      <c r="E7360" s="0" t="inlineStr">
        <is>
          <t>Fantastic beasts: the crimes of grindelwald</t>
        </is>
      </c>
      <c r="F7360" s="0" t="inlineStr">
        <is>
          <t>F0360</t>
        </is>
      </c>
    </row>
    <row r="7361">
      <c r="A7361" s="0" t="inlineStr">
        <is>
          <t>David Sakurai</t>
        </is>
      </c>
      <c r="B7361" s="0" t="n">
        <v>1</v>
      </c>
      <c r="C7361" s="0" t="n">
        <v>2018</v>
      </c>
      <c r="D7361" s="0" t="n">
        <v>2018</v>
      </c>
      <c r="E7361" s="0" t="inlineStr">
        <is>
          <t>Fantastic beasts: the crimes of grindelwald</t>
        </is>
      </c>
      <c r="F7361" s="0" t="inlineStr">
        <is>
          <t>F0360</t>
        </is>
      </c>
    </row>
    <row r="7362">
      <c r="A7362" s="0" t="inlineStr">
        <is>
          <t>Fiona Glascott</t>
        </is>
      </c>
      <c r="B7362" s="0" t="n">
        <v>1</v>
      </c>
      <c r="C7362" s="0" t="n">
        <v>2018</v>
      </c>
      <c r="D7362" s="0" t="n">
        <v>2018</v>
      </c>
      <c r="E7362" s="0" t="inlineStr">
        <is>
          <t>Fantastic beasts: the crimes of grindelwald</t>
        </is>
      </c>
      <c r="F7362" s="0" t="inlineStr">
        <is>
          <t>F0360</t>
        </is>
      </c>
    </row>
    <row r="7363">
      <c r="A7363" s="0" t="inlineStr">
        <is>
          <t>Wolf Roth</t>
        </is>
      </c>
      <c r="B7363" s="0" t="n">
        <v>1</v>
      </c>
      <c r="C7363" s="0" t="n">
        <v>2018</v>
      </c>
      <c r="D7363" s="0" t="n">
        <v>2018</v>
      </c>
      <c r="E7363" s="0" t="inlineStr">
        <is>
          <t>Fantastic beasts: the crimes of grindelwald</t>
        </is>
      </c>
      <c r="F7363" s="0" t="inlineStr">
        <is>
          <t>F0360</t>
        </is>
      </c>
    </row>
    <row r="7364">
      <c r="A7364" s="0" t="inlineStr">
        <is>
          <t>Victoria Yeates</t>
        </is>
      </c>
      <c r="B7364" s="0" t="n">
        <v>1</v>
      </c>
      <c r="C7364" s="0" t="n">
        <v>2018</v>
      </c>
      <c r="D7364" s="0" t="n">
        <v>2018</v>
      </c>
      <c r="E7364" s="0" t="inlineStr">
        <is>
          <t>Fantastic beasts: the crimes of grindelwald</t>
        </is>
      </c>
      <c r="F7364" s="0" t="inlineStr">
        <is>
          <t>F0360</t>
        </is>
      </c>
    </row>
    <row r="7365">
      <c r="A7365" s="0" t="inlineStr">
        <is>
          <t>Poppy Corby-Tuech</t>
        </is>
      </c>
      <c r="B7365" s="0" t="n">
        <v>1</v>
      </c>
      <c r="C7365" s="0" t="n">
        <v>2018</v>
      </c>
      <c r="D7365" s="0" t="n">
        <v>2018</v>
      </c>
      <c r="E7365" s="0" t="inlineStr">
        <is>
          <t>Fantastic beasts: the crimes of grindelwald</t>
        </is>
      </c>
      <c r="F7365" s="0" t="inlineStr">
        <is>
          <t>F0360</t>
        </is>
      </c>
    </row>
    <row r="7366">
      <c r="A7366" s="0" t="inlineStr">
        <is>
          <t>Cornell John</t>
        </is>
      </c>
      <c r="B7366" s="0" t="n">
        <v>1</v>
      </c>
      <c r="C7366" s="0" t="n">
        <v>2018</v>
      </c>
      <c r="D7366" s="0" t="n">
        <v>2018</v>
      </c>
      <c r="E7366" s="0" t="inlineStr">
        <is>
          <t>Fantastic beasts: the crimes of grindelwald</t>
        </is>
      </c>
      <c r="F7366" s="0" t="inlineStr">
        <is>
          <t>F0360</t>
        </is>
      </c>
    </row>
    <row r="7367">
      <c r="A7367" s="0" t="inlineStr">
        <is>
          <t>Claudius Peters</t>
        </is>
      </c>
      <c r="B7367" s="0" t="n">
        <v>1</v>
      </c>
      <c r="C7367" s="0" t="n">
        <v>2018</v>
      </c>
      <c r="D7367" s="0" t="n">
        <v>2018</v>
      </c>
      <c r="E7367" s="0" t="inlineStr">
        <is>
          <t>Fantastic beasts: the crimes of grindelwald</t>
        </is>
      </c>
      <c r="F7367" s="0" t="inlineStr">
        <is>
          <t>F0360</t>
        </is>
      </c>
    </row>
    <row r="7368">
      <c r="A7368" s="0" t="inlineStr">
        <is>
          <t>Bart Soroczynski</t>
        </is>
      </c>
      <c r="B7368" s="0" t="n">
        <v>1</v>
      </c>
      <c r="C7368" s="0" t="n">
        <v>2018</v>
      </c>
      <c r="D7368" s="0" t="n">
        <v>2018</v>
      </c>
      <c r="E7368" s="0" t="inlineStr">
        <is>
          <t>Fantastic beasts: the crimes of grindelwald</t>
        </is>
      </c>
      <c r="F7368" s="0" t="inlineStr">
        <is>
          <t>F0360</t>
        </is>
      </c>
    </row>
    <row r="7369">
      <c r="A7369" s="0" t="inlineStr">
        <is>
          <t>Danielle Hugues</t>
        </is>
      </c>
      <c r="B7369" s="0" t="n">
        <v>1</v>
      </c>
      <c r="C7369" s="0" t="n">
        <v>2018</v>
      </c>
      <c r="D7369" s="0" t="n">
        <v>2018</v>
      </c>
      <c r="E7369" s="0" t="inlineStr">
        <is>
          <t>Fantastic beasts: the crimes of grindelwald</t>
        </is>
      </c>
      <c r="F7369" s="0" t="inlineStr">
        <is>
          <t>F0360</t>
        </is>
      </c>
    </row>
    <row r="7370">
      <c r="A7370" s="0" t="inlineStr">
        <is>
          <t>Alfie Simmons</t>
        </is>
      </c>
      <c r="B7370" s="0" t="n">
        <v>1</v>
      </c>
      <c r="C7370" s="0" t="n">
        <v>2018</v>
      </c>
      <c r="D7370" s="0" t="n">
        <v>2018</v>
      </c>
      <c r="E7370" s="0" t="inlineStr">
        <is>
          <t>Fantastic beasts: the crimes of grindelwald</t>
        </is>
      </c>
      <c r="F7370" s="0" t="inlineStr">
        <is>
          <t>F0360</t>
        </is>
      </c>
    </row>
    <row r="7371">
      <c r="A7371" s="0" t="inlineStr">
        <is>
          <t>Isaac Cortinovis Johnson</t>
        </is>
      </c>
      <c r="B7371" s="0" t="n">
        <v>1</v>
      </c>
      <c r="C7371" s="0" t="n">
        <v>2018</v>
      </c>
      <c r="D7371" s="0" t="n">
        <v>2018</v>
      </c>
      <c r="E7371" s="0" t="inlineStr">
        <is>
          <t>Fantastic beasts: the crimes of grindelwald</t>
        </is>
      </c>
      <c r="F7371" s="0" t="inlineStr">
        <is>
          <t>F0360</t>
        </is>
      </c>
    </row>
    <row r="7372">
      <c r="A7372" s="0" t="inlineStr">
        <is>
          <t>Olivia Popica</t>
        </is>
      </c>
      <c r="B7372" s="0" t="n">
        <v>1</v>
      </c>
      <c r="C7372" s="0" t="n">
        <v>2018</v>
      </c>
      <c r="D7372" s="0" t="n">
        <v>2018</v>
      </c>
      <c r="E7372" s="0" t="inlineStr">
        <is>
          <t>Fantastic beasts: the crimes of grindelwald</t>
        </is>
      </c>
      <c r="F7372" s="0" t="inlineStr">
        <is>
          <t>F0360</t>
        </is>
      </c>
    </row>
    <row r="7373">
      <c r="A7373" s="0" t="inlineStr">
        <is>
          <t>Jussie Smollett</t>
        </is>
      </c>
      <c r="B7373" s="0" t="n">
        <v>1</v>
      </c>
      <c r="C7373" s="0" t="n">
        <v>2017</v>
      </c>
      <c r="D7373" s="0" t="n">
        <v>2017</v>
      </c>
      <c r="E7373" s="0" t="inlineStr">
        <is>
          <t>alien covenant</t>
        </is>
      </c>
      <c r="F7373" s="0" t="inlineStr">
        <is>
          <t>F0361</t>
        </is>
      </c>
    </row>
    <row r="7374">
      <c r="A7374" s="0" t="inlineStr">
        <is>
          <t>Callie Hernandez</t>
        </is>
      </c>
      <c r="B7374" s="0" t="n">
        <v>1</v>
      </c>
      <c r="C7374" s="0" t="n">
        <v>2017</v>
      </c>
      <c r="D7374" s="0" t="n">
        <v>2017</v>
      </c>
      <c r="E7374" s="0" t="inlineStr">
        <is>
          <t>alien covenant</t>
        </is>
      </c>
      <c r="F7374" s="0" t="inlineStr">
        <is>
          <t>F0361</t>
        </is>
      </c>
    </row>
    <row r="7375">
      <c r="A7375" s="0" t="inlineStr">
        <is>
          <t>Amy Seimetz</t>
        </is>
      </c>
      <c r="B7375" s="0" t="n">
        <v>1</v>
      </c>
      <c r="C7375" s="0" t="n">
        <v>2017</v>
      </c>
      <c r="D7375" s="0" t="n">
        <v>2017</v>
      </c>
      <c r="E7375" s="0" t="inlineStr">
        <is>
          <t>alien covenant</t>
        </is>
      </c>
      <c r="F7375" s="0" t="inlineStr">
        <is>
          <t>F0361</t>
        </is>
      </c>
    </row>
    <row r="7376">
      <c r="A7376" s="0" t="inlineStr">
        <is>
          <t>Nathaniel Dean</t>
        </is>
      </c>
      <c r="B7376" s="0" t="n">
        <v>1</v>
      </c>
      <c r="C7376" s="0" t="n">
        <v>2017</v>
      </c>
      <c r="D7376" s="0" t="n">
        <v>2017</v>
      </c>
      <c r="E7376" s="0" t="inlineStr">
        <is>
          <t>alien covenant</t>
        </is>
      </c>
      <c r="F7376" s="0" t="inlineStr">
        <is>
          <t>F0361</t>
        </is>
      </c>
    </row>
    <row r="7377">
      <c r="A7377" s="0" t="inlineStr">
        <is>
          <t>Alexander England</t>
        </is>
      </c>
      <c r="B7377" s="0" t="n">
        <v>1</v>
      </c>
      <c r="C7377" s="0" t="n">
        <v>2017</v>
      </c>
      <c r="D7377" s="0" t="n">
        <v>2017</v>
      </c>
      <c r="E7377" s="0" t="inlineStr">
        <is>
          <t>alien covenant</t>
        </is>
      </c>
      <c r="F7377" s="0" t="inlineStr">
        <is>
          <t>F0361</t>
        </is>
      </c>
    </row>
    <row r="7378">
      <c r="A7378" s="0" t="inlineStr">
        <is>
          <t>Uli Latukefu</t>
        </is>
      </c>
      <c r="B7378" s="0" t="n">
        <v>1</v>
      </c>
      <c r="C7378" s="0" t="n">
        <v>2017</v>
      </c>
      <c r="D7378" s="0" t="n">
        <v>2017</v>
      </c>
      <c r="E7378" s="0" t="inlineStr">
        <is>
          <t>alien covenant</t>
        </is>
      </c>
      <c r="F7378" s="0" t="inlineStr">
        <is>
          <t>F0361</t>
        </is>
      </c>
    </row>
    <row r="7379">
      <c r="A7379" s="0" t="inlineStr">
        <is>
          <t>Tess Haubrich</t>
        </is>
      </c>
      <c r="B7379" s="0" t="n">
        <v>1</v>
      </c>
      <c r="C7379" s="0" t="n">
        <v>2017</v>
      </c>
      <c r="D7379" s="0" t="n">
        <v>2017</v>
      </c>
      <c r="E7379" s="0" t="inlineStr">
        <is>
          <t>alien covenant</t>
        </is>
      </c>
      <c r="F7379" s="0" t="inlineStr">
        <is>
          <t>F0361</t>
        </is>
      </c>
    </row>
    <row r="7380">
      <c r="A7380" s="0" t="inlineStr">
        <is>
          <t>Lorelei King</t>
        </is>
      </c>
      <c r="B7380" s="0" t="n">
        <v>1</v>
      </c>
      <c r="C7380" s="0" t="n">
        <v>2017</v>
      </c>
      <c r="D7380" s="0" t="n">
        <v>2017</v>
      </c>
      <c r="E7380" s="0" t="inlineStr">
        <is>
          <t>alien covenant</t>
        </is>
      </c>
      <c r="F7380" s="0" t="inlineStr">
        <is>
          <t>F0361</t>
        </is>
      </c>
    </row>
    <row r="7381">
      <c r="A7381" s="0" t="inlineStr">
        <is>
          <t>Andrew Crawford</t>
        </is>
      </c>
      <c r="B7381" s="0" t="n">
        <v>1</v>
      </c>
      <c r="C7381" s="0" t="n">
        <v>2017</v>
      </c>
      <c r="D7381" s="0" t="n">
        <v>2017</v>
      </c>
      <c r="E7381" s="0" t="inlineStr">
        <is>
          <t>alien covenant</t>
        </is>
      </c>
      <c r="F7381" s="0" t="inlineStr">
        <is>
          <t>F0361</t>
        </is>
      </c>
    </row>
    <row r="7382">
      <c r="A7382" s="0" t="inlineStr">
        <is>
          <t>Cailee Spaeny</t>
        </is>
      </c>
      <c r="B7382" s="0" t="n">
        <v>1</v>
      </c>
      <c r="C7382" s="0" t="n">
        <v>2025</v>
      </c>
      <c r="D7382" s="0" t="n">
        <v>2025</v>
      </c>
      <c r="E7382" s="0" t="inlineStr">
        <is>
          <t>alien romulus</t>
        </is>
      </c>
      <c r="F7382" s="0" t="inlineStr">
        <is>
          <t>F0362</t>
        </is>
      </c>
    </row>
    <row r="7383">
      <c r="A7383" s="0" t="inlineStr">
        <is>
          <t>David Jonsson</t>
        </is>
      </c>
      <c r="B7383" s="0" t="n">
        <v>1</v>
      </c>
      <c r="C7383" s="0" t="n">
        <v>2025</v>
      </c>
      <c r="D7383" s="0" t="n">
        <v>2025</v>
      </c>
      <c r="E7383" s="0" t="inlineStr">
        <is>
          <t>alien romulus</t>
        </is>
      </c>
      <c r="F7383" s="0" t="inlineStr">
        <is>
          <t>F0362</t>
        </is>
      </c>
    </row>
    <row r="7384">
      <c r="A7384" s="0" t="inlineStr">
        <is>
          <t>Archie Renaux</t>
        </is>
      </c>
      <c r="B7384" s="0" t="n">
        <v>1</v>
      </c>
      <c r="C7384" s="0" t="n">
        <v>2025</v>
      </c>
      <c r="D7384" s="0" t="n">
        <v>2025</v>
      </c>
      <c r="E7384" s="0" t="inlineStr">
        <is>
          <t>alien romulus</t>
        </is>
      </c>
      <c r="F7384" s="0" t="inlineStr">
        <is>
          <t>F0362</t>
        </is>
      </c>
    </row>
    <row r="7385">
      <c r="A7385" s="0" t="inlineStr">
        <is>
          <t>Spike Fearn</t>
        </is>
      </c>
      <c r="B7385" s="0" t="n">
        <v>1</v>
      </c>
      <c r="C7385" s="0" t="n">
        <v>2025</v>
      </c>
      <c r="D7385" s="0" t="n">
        <v>2025</v>
      </c>
      <c r="E7385" s="0" t="inlineStr">
        <is>
          <t>alien romulus</t>
        </is>
      </c>
      <c r="F7385" s="0" t="inlineStr">
        <is>
          <t>F0362</t>
        </is>
      </c>
    </row>
    <row r="7386">
      <c r="A7386" s="0" t="inlineStr">
        <is>
          <t>Aileen Wu</t>
        </is>
      </c>
      <c r="B7386" s="0" t="n">
        <v>1</v>
      </c>
      <c r="C7386" s="0" t="n">
        <v>2025</v>
      </c>
      <c r="D7386" s="0" t="n">
        <v>2025</v>
      </c>
      <c r="E7386" s="0" t="inlineStr">
        <is>
          <t>alien romulus</t>
        </is>
      </c>
      <c r="F7386" s="0" t="inlineStr">
        <is>
          <t>F0362</t>
        </is>
      </c>
    </row>
    <row r="7387">
      <c r="A7387" s="0" t="inlineStr">
        <is>
          <t>Rosie Ede</t>
        </is>
      </c>
      <c r="B7387" s="0" t="n">
        <v>1</v>
      </c>
      <c r="C7387" s="0" t="n">
        <v>2025</v>
      </c>
      <c r="D7387" s="0" t="n">
        <v>2025</v>
      </c>
      <c r="E7387" s="0" t="inlineStr">
        <is>
          <t>alien romulus</t>
        </is>
      </c>
      <c r="F7387" s="0" t="inlineStr">
        <is>
          <t>F0362</t>
        </is>
      </c>
    </row>
    <row r="7388">
      <c r="A7388" s="0" t="inlineStr">
        <is>
          <t>Soma Simon</t>
        </is>
      </c>
      <c r="B7388" s="0" t="n">
        <v>1</v>
      </c>
      <c r="C7388" s="0" t="n">
        <v>2025</v>
      </c>
      <c r="D7388" s="0" t="n">
        <v>2025</v>
      </c>
      <c r="E7388" s="0" t="inlineStr">
        <is>
          <t>alien romulus</t>
        </is>
      </c>
      <c r="F7388" s="0" t="inlineStr">
        <is>
          <t>F0362</t>
        </is>
      </c>
    </row>
    <row r="7389">
      <c r="A7389" s="0" t="inlineStr">
        <is>
          <t>Bence Okeke</t>
        </is>
      </c>
      <c r="B7389" s="0" t="n">
        <v>1</v>
      </c>
      <c r="C7389" s="0" t="n">
        <v>2025</v>
      </c>
      <c r="D7389" s="0" t="n">
        <v>2025</v>
      </c>
      <c r="E7389" s="0" t="inlineStr">
        <is>
          <t>alien romulus</t>
        </is>
      </c>
      <c r="F7389" s="0" t="inlineStr">
        <is>
          <t>F0362</t>
        </is>
      </c>
    </row>
    <row r="7390">
      <c r="A7390" s="0" t="inlineStr">
        <is>
          <t>Viktor Orizu</t>
        </is>
      </c>
      <c r="B7390" s="0" t="n">
        <v>1</v>
      </c>
      <c r="C7390" s="0" t="n">
        <v>2025</v>
      </c>
      <c r="D7390" s="0" t="n">
        <v>2025</v>
      </c>
      <c r="E7390" s="0" t="inlineStr">
        <is>
          <t>alien romulus</t>
        </is>
      </c>
      <c r="F7390" s="0" t="inlineStr">
        <is>
          <t>F0362</t>
        </is>
      </c>
    </row>
    <row r="7391">
      <c r="A7391" s="0" t="inlineStr">
        <is>
          <t>Robert Bobroczkyi</t>
        </is>
      </c>
      <c r="B7391" s="0" t="n">
        <v>1</v>
      </c>
      <c r="C7391" s="0" t="n">
        <v>2025</v>
      </c>
      <c r="D7391" s="0" t="n">
        <v>2025</v>
      </c>
      <c r="E7391" s="0" t="inlineStr">
        <is>
          <t>alien romulus</t>
        </is>
      </c>
      <c r="F7391" s="0" t="inlineStr">
        <is>
          <t>F0362</t>
        </is>
      </c>
    </row>
    <row r="7392">
      <c r="A7392" s="0" t="inlineStr">
        <is>
          <t>Trevor Newlin</t>
        </is>
      </c>
      <c r="B7392" s="0" t="n">
        <v>1</v>
      </c>
      <c r="C7392" s="0" t="n">
        <v>2025</v>
      </c>
      <c r="D7392" s="0" t="n">
        <v>2025</v>
      </c>
      <c r="E7392" s="0" t="inlineStr">
        <is>
          <t>alien romulus</t>
        </is>
      </c>
      <c r="F7392" s="0" t="inlineStr">
        <is>
          <t>F0362</t>
        </is>
      </c>
    </row>
    <row r="7393">
      <c r="A7393" s="0" t="inlineStr">
        <is>
          <t>Annemarie Griggs</t>
        </is>
      </c>
      <c r="B7393" s="0" t="n">
        <v>1</v>
      </c>
      <c r="C7393" s="0" t="n">
        <v>2025</v>
      </c>
      <c r="D7393" s="0" t="n">
        <v>2025</v>
      </c>
      <c r="E7393" s="0" t="inlineStr">
        <is>
          <t>alien romulus</t>
        </is>
      </c>
      <c r="F7393" s="0" t="inlineStr">
        <is>
          <t>F0362</t>
        </is>
      </c>
    </row>
    <row r="7394">
      <c r="A7394" s="0" t="inlineStr">
        <is>
          <t>Louis Cancelmi</t>
        </is>
      </c>
      <c r="B7394" s="0" t="n">
        <v>1</v>
      </c>
      <c r="C7394" s="0" t="n">
        <v>2014</v>
      </c>
      <c r="D7394" s="0" t="n">
        <v>2014</v>
      </c>
      <c r="E7394" s="0" t="inlineStr">
        <is>
          <t>amazing spider-man 2</t>
        </is>
      </c>
      <c r="F7394" s="0" t="inlineStr">
        <is>
          <t>F0363</t>
        </is>
      </c>
    </row>
    <row r="7395">
      <c r="A7395" s="0" t="inlineStr">
        <is>
          <t>Sarah Gadon</t>
        </is>
      </c>
      <c r="B7395" s="0" t="n">
        <v>1</v>
      </c>
      <c r="C7395" s="0" t="n">
        <v>2014</v>
      </c>
      <c r="D7395" s="0" t="n">
        <v>2014</v>
      </c>
      <c r="E7395" s="0" t="inlineStr">
        <is>
          <t>amazing spider-man 2</t>
        </is>
      </c>
      <c r="F7395" s="0" t="inlineStr">
        <is>
          <t>F0363</t>
        </is>
      </c>
    </row>
    <row r="7396">
      <c r="A7396" s="0" t="inlineStr">
        <is>
          <t>Michael Massee</t>
        </is>
      </c>
      <c r="B7396" s="0" t="n">
        <v>1</v>
      </c>
      <c r="C7396" s="0" t="n">
        <v>2014</v>
      </c>
      <c r="D7396" s="0" t="n">
        <v>2014</v>
      </c>
      <c r="E7396" s="0" t="inlineStr">
        <is>
          <t>amazing spider-man 2</t>
        </is>
      </c>
      <c r="F7396" s="0" t="inlineStr">
        <is>
          <t>F0363</t>
        </is>
      </c>
    </row>
    <row r="7397">
      <c r="A7397" s="0" t="inlineStr">
        <is>
          <t>Jorge Vega</t>
        </is>
      </c>
      <c r="B7397" s="0" t="n">
        <v>1</v>
      </c>
      <c r="C7397" s="0" t="n">
        <v>2014</v>
      </c>
      <c r="D7397" s="0" t="n">
        <v>2014</v>
      </c>
      <c r="E7397" s="0" t="inlineStr">
        <is>
          <t>amazing spider-man 2</t>
        </is>
      </c>
      <c r="F7397" s="0" t="inlineStr">
        <is>
          <t>F0363</t>
        </is>
      </c>
    </row>
    <row r="7398">
      <c r="A7398" s="0" t="inlineStr">
        <is>
          <t>Bill Heck</t>
        </is>
      </c>
      <c r="B7398" s="0" t="n">
        <v>1</v>
      </c>
      <c r="C7398" s="0" t="n">
        <v>2014</v>
      </c>
      <c r="D7398" s="0" t="n">
        <v>2014</v>
      </c>
      <c r="E7398" s="0" t="inlineStr">
        <is>
          <t>amazing spider-man 2</t>
        </is>
      </c>
      <c r="F7398" s="0" t="inlineStr">
        <is>
          <t>F0363</t>
        </is>
      </c>
    </row>
    <row r="7399">
      <c r="A7399" s="0" t="inlineStr">
        <is>
          <t>Teddy Coluca</t>
        </is>
      </c>
      <c r="B7399" s="0" t="n">
        <v>1</v>
      </c>
      <c r="C7399" s="0" t="n">
        <v>2014</v>
      </c>
      <c r="D7399" s="0" t="n">
        <v>2014</v>
      </c>
      <c r="E7399" s="0" t="inlineStr">
        <is>
          <t>amazing spider-man 2</t>
        </is>
      </c>
      <c r="F7399" s="0" t="inlineStr">
        <is>
          <t>F0363</t>
        </is>
      </c>
    </row>
    <row r="7400">
      <c r="A7400" s="0" t="inlineStr">
        <is>
          <t>Helen Stern</t>
        </is>
      </c>
      <c r="B7400" s="0" t="n">
        <v>1</v>
      </c>
      <c r="C7400" s="0" t="n">
        <v>2014</v>
      </c>
      <c r="D7400" s="0" t="n">
        <v>2014</v>
      </c>
      <c r="E7400" s="0" t="inlineStr">
        <is>
          <t>amazing spider-man 2</t>
        </is>
      </c>
      <c r="F7400" s="0" t="inlineStr">
        <is>
          <t>F0363</t>
        </is>
      </c>
    </row>
    <row r="7401">
      <c r="A7401" s="0" t="inlineStr">
        <is>
          <t>Aidy Bryant</t>
        </is>
      </c>
      <c r="B7401" s="0" t="n">
        <v>1</v>
      </c>
      <c r="C7401" s="0" t="n">
        <v>2014</v>
      </c>
      <c r="D7401" s="0" t="n">
        <v>2014</v>
      </c>
      <c r="E7401" s="0" t="inlineStr">
        <is>
          <t>amazing spider-man 2</t>
        </is>
      </c>
      <c r="F7401" s="0" t="inlineStr">
        <is>
          <t>F0363</t>
        </is>
      </c>
    </row>
    <row r="7402">
      <c r="A7402" s="0" t="inlineStr">
        <is>
          <t>Cal McCrystal</t>
        </is>
      </c>
      <c r="B7402" s="0" t="n">
        <v>1</v>
      </c>
      <c r="C7402" s="0" t="n">
        <v>2014</v>
      </c>
      <c r="D7402" s="0" t="n">
        <v>2014</v>
      </c>
      <c r="E7402" s="0" t="inlineStr">
        <is>
          <t>amazing spider-man 2</t>
        </is>
      </c>
      <c r="F7402" s="0" t="inlineStr">
        <is>
          <t>F0363</t>
        </is>
      </c>
    </row>
    <row r="7403">
      <c r="A7403" s="0" t="inlineStr">
        <is>
          <t>Anslem Richardson</t>
        </is>
      </c>
      <c r="B7403" s="0" t="n">
        <v>1</v>
      </c>
      <c r="C7403" s="0" t="n">
        <v>2014</v>
      </c>
      <c r="D7403" s="0" t="n">
        <v>2014</v>
      </c>
      <c r="E7403" s="0" t="inlineStr">
        <is>
          <t>amazing spider-man 2</t>
        </is>
      </c>
      <c r="F7403" s="0" t="inlineStr">
        <is>
          <t>F0363</t>
        </is>
      </c>
    </row>
    <row r="7404">
      <c r="A7404" s="0" t="inlineStr">
        <is>
          <t>Mark Doherty</t>
        </is>
      </c>
      <c r="B7404" s="0" t="n">
        <v>1</v>
      </c>
      <c r="C7404" s="0" t="n">
        <v>2014</v>
      </c>
      <c r="D7404" s="0" t="n">
        <v>2014</v>
      </c>
      <c r="E7404" s="0" t="inlineStr">
        <is>
          <t>amazing spider-man 2</t>
        </is>
      </c>
      <c r="F7404" s="0" t="inlineStr">
        <is>
          <t>F0363</t>
        </is>
      </c>
    </row>
    <row r="7405">
      <c r="A7405" s="0" t="inlineStr">
        <is>
          <t>James Colby</t>
        </is>
      </c>
      <c r="B7405" s="0" t="n">
        <v>1</v>
      </c>
      <c r="C7405" s="0" t="n">
        <v>2014</v>
      </c>
      <c r="D7405" s="0" t="n">
        <v>2014</v>
      </c>
      <c r="E7405" s="0" t="inlineStr">
        <is>
          <t>amazing spider-man 2</t>
        </is>
      </c>
      <c r="F7405" s="0" t="inlineStr">
        <is>
          <t>F0363</t>
        </is>
      </c>
    </row>
    <row r="7406">
      <c r="A7406" s="0" t="inlineStr">
        <is>
          <t>Charlie DePew</t>
        </is>
      </c>
      <c r="B7406" s="0" t="n">
        <v>1</v>
      </c>
      <c r="C7406" s="0" t="n">
        <v>2014</v>
      </c>
      <c r="D7406" s="0" t="n">
        <v>2014</v>
      </c>
      <c r="E7406" s="0" t="inlineStr">
        <is>
          <t>amazing spider-man 2</t>
        </is>
      </c>
      <c r="F7406" s="0" t="inlineStr">
        <is>
          <t>F0363</t>
        </is>
      </c>
    </row>
    <row r="7407">
      <c r="A7407" s="0" t="inlineStr">
        <is>
          <t>Robert Newman</t>
        </is>
      </c>
      <c r="B7407" s="0" t="n">
        <v>1</v>
      </c>
      <c r="C7407" s="0" t="n">
        <v>2014</v>
      </c>
      <c r="D7407" s="0" t="n">
        <v>2014</v>
      </c>
      <c r="E7407" s="0" t="inlineStr">
        <is>
          <t>amazing spider-man 2</t>
        </is>
      </c>
      <c r="F7407" s="0" t="inlineStr">
        <is>
          <t>F0363</t>
        </is>
      </c>
    </row>
    <row r="7408">
      <c r="A7408" s="0" t="inlineStr">
        <is>
          <t>Edie Falco</t>
        </is>
      </c>
      <c r="B7408" s="0" t="n">
        <v>1</v>
      </c>
      <c r="C7408" s="0" t="n">
        <v>2022</v>
      </c>
      <c r="D7408" s="0" t="n">
        <v>2022</v>
      </c>
      <c r="E7408" s="0" t="inlineStr">
        <is>
          <t>avatar way of water</t>
        </is>
      </c>
      <c r="F7408" s="0" t="inlineStr">
        <is>
          <t>F0364</t>
        </is>
      </c>
    </row>
    <row r="7409">
      <c r="A7409" s="0" t="inlineStr">
        <is>
          <t>Britain Dalton</t>
        </is>
      </c>
      <c r="B7409" s="0" t="n">
        <v>1</v>
      </c>
      <c r="C7409" s="0" t="n">
        <v>2022</v>
      </c>
      <c r="D7409" s="0" t="n">
        <v>2022</v>
      </c>
      <c r="E7409" s="0" t="inlineStr">
        <is>
          <t>avatar way of water</t>
        </is>
      </c>
      <c r="F7409" s="0" t="inlineStr">
        <is>
          <t>F0364</t>
        </is>
      </c>
    </row>
    <row r="7410">
      <c r="A7410" s="0" t="inlineStr">
        <is>
          <t>Jamie Flatters</t>
        </is>
      </c>
      <c r="B7410" s="0" t="n">
        <v>1</v>
      </c>
      <c r="C7410" s="0" t="n">
        <v>2022</v>
      </c>
      <c r="D7410" s="0" t="n">
        <v>2022</v>
      </c>
      <c r="E7410" s="0" t="inlineStr">
        <is>
          <t>avatar way of water</t>
        </is>
      </c>
      <c r="F7410" s="0" t="inlineStr">
        <is>
          <t>F0364</t>
        </is>
      </c>
    </row>
    <row r="7411">
      <c r="A7411" s="0" t="inlineStr">
        <is>
          <t>Trinity Jo-Li Bliss</t>
        </is>
      </c>
      <c r="B7411" s="0" t="n">
        <v>1</v>
      </c>
      <c r="C7411" s="0" t="n">
        <v>2022</v>
      </c>
      <c r="D7411" s="0" t="n">
        <v>2022</v>
      </c>
      <c r="E7411" s="0" t="inlineStr">
        <is>
          <t>avatar way of water</t>
        </is>
      </c>
      <c r="F7411" s="0" t="inlineStr">
        <is>
          <t>F0364</t>
        </is>
      </c>
    </row>
    <row r="7412">
      <c r="A7412" s="0" t="inlineStr">
        <is>
          <t>Jack Champion</t>
        </is>
      </c>
      <c r="B7412" s="0" t="n">
        <v>1</v>
      </c>
      <c r="C7412" s="0" t="n">
        <v>2022</v>
      </c>
      <c r="D7412" s="0" t="n">
        <v>2022</v>
      </c>
      <c r="E7412" s="0" t="inlineStr">
        <is>
          <t>avatar way of water</t>
        </is>
      </c>
      <c r="F7412" s="0" t="inlineStr">
        <is>
          <t>F0364</t>
        </is>
      </c>
    </row>
    <row r="7413">
      <c r="A7413" s="0" t="inlineStr">
        <is>
          <t>Brendan Cowell</t>
        </is>
      </c>
      <c r="B7413" s="0" t="n">
        <v>1</v>
      </c>
      <c r="C7413" s="0" t="n">
        <v>2022</v>
      </c>
      <c r="D7413" s="0" t="n">
        <v>2022</v>
      </c>
      <c r="E7413" s="0" t="inlineStr">
        <is>
          <t>avatar way of water</t>
        </is>
      </c>
      <c r="F7413" s="0" t="inlineStr">
        <is>
          <t>F0364</t>
        </is>
      </c>
    </row>
    <row r="7414">
      <c r="A7414" s="0" t="inlineStr">
        <is>
          <t>Bailey Bass</t>
        </is>
      </c>
      <c r="B7414" s="0" t="n">
        <v>1</v>
      </c>
      <c r="C7414" s="0" t="n">
        <v>2022</v>
      </c>
      <c r="D7414" s="0" t="n">
        <v>2022</v>
      </c>
      <c r="E7414" s="0" t="inlineStr">
        <is>
          <t>avatar way of water</t>
        </is>
      </c>
      <c r="F7414" s="0" t="inlineStr">
        <is>
          <t>F0364</t>
        </is>
      </c>
    </row>
    <row r="7415">
      <c r="A7415" s="0" t="inlineStr">
        <is>
          <t>Filip Geljo</t>
        </is>
      </c>
      <c r="B7415" s="0" t="n">
        <v>1</v>
      </c>
      <c r="C7415" s="0" t="n">
        <v>2022</v>
      </c>
      <c r="D7415" s="0" t="n">
        <v>2022</v>
      </c>
      <c r="E7415" s="0" t="inlineStr">
        <is>
          <t>avatar way of water</t>
        </is>
      </c>
      <c r="F7415" s="0" t="inlineStr">
        <is>
          <t>F0364</t>
        </is>
      </c>
    </row>
    <row r="7416">
      <c r="A7416" s="0" t="inlineStr">
        <is>
          <t>Duane Evans Jr.</t>
        </is>
      </c>
      <c r="B7416" s="0" t="n">
        <v>1</v>
      </c>
      <c r="C7416" s="0" t="n">
        <v>2022</v>
      </c>
      <c r="D7416" s="0" t="n">
        <v>2022</v>
      </c>
      <c r="E7416" s="0" t="inlineStr">
        <is>
          <t>avatar way of water</t>
        </is>
      </c>
      <c r="F7416" s="0" t="inlineStr">
        <is>
          <t>F0364</t>
        </is>
      </c>
    </row>
    <row r="7417">
      <c r="A7417" s="0" t="inlineStr">
        <is>
          <t>Robert Okumu</t>
        </is>
      </c>
      <c r="B7417" s="0" t="n">
        <v>1</v>
      </c>
      <c r="C7417" s="0" t="n">
        <v>2022</v>
      </c>
      <c r="D7417" s="0" t="n">
        <v>2022</v>
      </c>
      <c r="E7417" s="0" t="inlineStr">
        <is>
          <t>avatar way of water</t>
        </is>
      </c>
      <c r="F7417" s="0" t="inlineStr">
        <is>
          <t>F0364</t>
        </is>
      </c>
    </row>
    <row r="7418">
      <c r="A7418" s="0" t="inlineStr">
        <is>
          <t>Jennifer Stafford</t>
        </is>
      </c>
      <c r="B7418" s="0" t="n">
        <v>1</v>
      </c>
      <c r="C7418" s="0" t="n">
        <v>2022</v>
      </c>
      <c r="D7418" s="0" t="n">
        <v>2022</v>
      </c>
      <c r="E7418" s="0" t="inlineStr">
        <is>
          <t>avatar way of water</t>
        </is>
      </c>
      <c r="F7418" s="0" t="inlineStr">
        <is>
          <t>F0364</t>
        </is>
      </c>
    </row>
    <row r="7419">
      <c r="A7419" s="0" t="inlineStr">
        <is>
          <t>Keston John</t>
        </is>
      </c>
      <c r="B7419" s="0" t="n">
        <v>1</v>
      </c>
      <c r="C7419" s="0" t="n">
        <v>2022</v>
      </c>
      <c r="D7419" s="0" t="n">
        <v>2022</v>
      </c>
      <c r="E7419" s="0" t="inlineStr">
        <is>
          <t>avatar way of water</t>
        </is>
      </c>
      <c r="F7419" s="0" t="inlineStr">
        <is>
          <t>F0364</t>
        </is>
      </c>
    </row>
    <row r="7420">
      <c r="A7420" s="0" t="inlineStr">
        <is>
          <t>Alicia Vela-Bailey</t>
        </is>
      </c>
      <c r="B7420" s="0" t="n">
        <v>1</v>
      </c>
      <c r="C7420" s="0" t="n">
        <v>2022</v>
      </c>
      <c r="D7420" s="0" t="n">
        <v>2022</v>
      </c>
      <c r="E7420" s="0" t="inlineStr">
        <is>
          <t>avatar way of water</t>
        </is>
      </c>
      <c r="F7420" s="0" t="inlineStr">
        <is>
          <t>F0364</t>
        </is>
      </c>
    </row>
    <row r="7421">
      <c r="A7421" s="0" t="inlineStr">
        <is>
          <t>Johnny Alexander</t>
        </is>
      </c>
      <c r="B7421" s="0" t="n">
        <v>1</v>
      </c>
      <c r="C7421" s="0" t="n">
        <v>2022</v>
      </c>
      <c r="D7421" s="0" t="n">
        <v>2022</v>
      </c>
      <c r="E7421" s="0" t="inlineStr">
        <is>
          <t>avatar way of water</t>
        </is>
      </c>
      <c r="F7421" s="0" t="inlineStr">
        <is>
          <t>F0364</t>
        </is>
      </c>
    </row>
    <row r="7422">
      <c r="A7422" s="0" t="inlineStr">
        <is>
          <t>Kim Do</t>
        </is>
      </c>
      <c r="B7422" s="0" t="n">
        <v>1</v>
      </c>
      <c r="C7422" s="0" t="n">
        <v>2022</v>
      </c>
      <c r="D7422" s="0" t="n">
        <v>2022</v>
      </c>
      <c r="E7422" s="0" t="inlineStr">
        <is>
          <t>avatar way of water</t>
        </is>
      </c>
      <c r="F7422" s="0" t="inlineStr">
        <is>
          <t>F0364</t>
        </is>
      </c>
    </row>
    <row r="7423">
      <c r="A7423" s="0" t="inlineStr">
        <is>
          <t>Sean Young</t>
        </is>
      </c>
      <c r="B7423" s="0" t="n">
        <v>2</v>
      </c>
      <c r="C7423" s="0" t="n">
        <v>1982</v>
      </c>
      <c r="D7423" s="0" t="n">
        <v>2018</v>
      </c>
      <c r="E7423" s="0" t="inlineStr">
        <is>
          <t>blade runner, blade runner 2049</t>
        </is>
      </c>
      <c r="F7423" s="0" t="inlineStr">
        <is>
          <t>F0365, F0366</t>
        </is>
      </c>
    </row>
    <row r="7424">
      <c r="A7424" s="0" t="inlineStr">
        <is>
          <t>M. Emmet Walsh</t>
        </is>
      </c>
      <c r="B7424" s="0" t="n">
        <v>1</v>
      </c>
      <c r="C7424" s="0" t="n">
        <v>1982</v>
      </c>
      <c r="D7424" s="0" t="n">
        <v>1982</v>
      </c>
      <c r="E7424" s="0" t="inlineStr">
        <is>
          <t>blade runner</t>
        </is>
      </c>
      <c r="F7424" s="0" t="inlineStr">
        <is>
          <t>F0365</t>
        </is>
      </c>
    </row>
    <row r="7425">
      <c r="A7425" s="0" t="inlineStr">
        <is>
          <t>Daryl Hannah</t>
        </is>
      </c>
      <c r="B7425" s="0" t="n">
        <v>1</v>
      </c>
      <c r="C7425" s="0" t="n">
        <v>1982</v>
      </c>
      <c r="D7425" s="0" t="n">
        <v>1982</v>
      </c>
      <c r="E7425" s="0" t="inlineStr">
        <is>
          <t>blade runner</t>
        </is>
      </c>
      <c r="F7425" s="0" t="inlineStr">
        <is>
          <t>F0365</t>
        </is>
      </c>
    </row>
    <row r="7426">
      <c r="A7426" s="0" t="inlineStr">
        <is>
          <t>William Sanderson</t>
        </is>
      </c>
      <c r="B7426" s="0" t="n">
        <v>1</v>
      </c>
      <c r="C7426" s="0" t="n">
        <v>1982</v>
      </c>
      <c r="D7426" s="0" t="n">
        <v>1982</v>
      </c>
      <c r="E7426" s="0" t="inlineStr">
        <is>
          <t>blade runner</t>
        </is>
      </c>
      <c r="F7426" s="0" t="inlineStr">
        <is>
          <t>F0365</t>
        </is>
      </c>
    </row>
    <row r="7427">
      <c r="A7427" s="0" t="inlineStr">
        <is>
          <t>Brion James</t>
        </is>
      </c>
      <c r="B7427" s="0" t="n">
        <v>1</v>
      </c>
      <c r="C7427" s="0" t="n">
        <v>1982</v>
      </c>
      <c r="D7427" s="0" t="n">
        <v>1982</v>
      </c>
      <c r="E7427" s="0" t="inlineStr">
        <is>
          <t>blade runner</t>
        </is>
      </c>
      <c r="F7427" s="0" t="inlineStr">
        <is>
          <t>F0365</t>
        </is>
      </c>
    </row>
    <row r="7428">
      <c r="A7428" s="0" t="inlineStr">
        <is>
          <t>Joe Turkel</t>
        </is>
      </c>
      <c r="B7428" s="0" t="n">
        <v>1</v>
      </c>
      <c r="C7428" s="0" t="n">
        <v>1982</v>
      </c>
      <c r="D7428" s="0" t="n">
        <v>1982</v>
      </c>
      <c r="E7428" s="0" t="inlineStr">
        <is>
          <t>blade runner</t>
        </is>
      </c>
      <c r="F7428" s="0" t="inlineStr">
        <is>
          <t>F0365</t>
        </is>
      </c>
    </row>
    <row r="7429">
      <c r="A7429" s="0" t="inlineStr">
        <is>
          <t>Joanna Cassidy</t>
        </is>
      </c>
      <c r="B7429" s="0" t="n">
        <v>1</v>
      </c>
      <c r="C7429" s="0" t="n">
        <v>1982</v>
      </c>
      <c r="D7429" s="0" t="n">
        <v>1982</v>
      </c>
      <c r="E7429" s="0" t="inlineStr">
        <is>
          <t>blade runner</t>
        </is>
      </c>
      <c r="F7429" s="0" t="inlineStr">
        <is>
          <t>F0365</t>
        </is>
      </c>
    </row>
    <row r="7430">
      <c r="A7430" s="0" t="inlineStr">
        <is>
          <t>James Hong</t>
        </is>
      </c>
      <c r="B7430" s="0" t="n">
        <v>1</v>
      </c>
      <c r="C7430" s="0" t="n">
        <v>1982</v>
      </c>
      <c r="D7430" s="0" t="n">
        <v>1982</v>
      </c>
      <c r="E7430" s="0" t="inlineStr">
        <is>
          <t>blade runner</t>
        </is>
      </c>
      <c r="F7430" s="0" t="inlineStr">
        <is>
          <t>F0365</t>
        </is>
      </c>
    </row>
    <row r="7431">
      <c r="A7431" s="0" t="inlineStr">
        <is>
          <t>Morgan Paull</t>
        </is>
      </c>
      <c r="B7431" s="0" t="n">
        <v>1</v>
      </c>
      <c r="C7431" s="0" t="n">
        <v>1982</v>
      </c>
      <c r="D7431" s="0" t="n">
        <v>1982</v>
      </c>
      <c r="E7431" s="0" t="inlineStr">
        <is>
          <t>blade runner</t>
        </is>
      </c>
      <c r="F7431" s="0" t="inlineStr">
        <is>
          <t>F0365</t>
        </is>
      </c>
    </row>
    <row r="7432">
      <c r="A7432" s="0" t="inlineStr">
        <is>
          <t>Kevin Thompson</t>
        </is>
      </c>
      <c r="B7432" s="0" t="n">
        <v>1</v>
      </c>
      <c r="C7432" s="0" t="n">
        <v>1982</v>
      </c>
      <c r="D7432" s="0" t="n">
        <v>1982</v>
      </c>
      <c r="E7432" s="0" t="inlineStr">
        <is>
          <t>blade runner</t>
        </is>
      </c>
      <c r="F7432" s="0" t="inlineStr">
        <is>
          <t>F0365</t>
        </is>
      </c>
    </row>
    <row r="7433">
      <c r="A7433" s="0" t="inlineStr">
        <is>
          <t>John Edward Allen</t>
        </is>
      </c>
      <c r="B7433" s="0" t="n">
        <v>1</v>
      </c>
      <c r="C7433" s="0" t="n">
        <v>1982</v>
      </c>
      <c r="D7433" s="0" t="n">
        <v>1982</v>
      </c>
      <c r="E7433" s="0" t="inlineStr">
        <is>
          <t>blade runner</t>
        </is>
      </c>
      <c r="F7433" s="0" t="inlineStr">
        <is>
          <t>F0365</t>
        </is>
      </c>
    </row>
    <row r="7434">
      <c r="A7434" s="0" t="inlineStr">
        <is>
          <t>Hy Pyke</t>
        </is>
      </c>
      <c r="B7434" s="0" t="n">
        <v>1</v>
      </c>
      <c r="C7434" s="0" t="n">
        <v>1982</v>
      </c>
      <c r="D7434" s="0" t="n">
        <v>1982</v>
      </c>
      <c r="E7434" s="0" t="inlineStr">
        <is>
          <t>blade runner</t>
        </is>
      </c>
      <c r="F7434" s="0" t="inlineStr">
        <is>
          <t>F0365</t>
        </is>
      </c>
    </row>
    <row r="7435">
      <c r="A7435" s="0" t="inlineStr">
        <is>
          <t>Kimiko Hiroshige</t>
        </is>
      </c>
      <c r="B7435" s="0" t="n">
        <v>1</v>
      </c>
      <c r="C7435" s="0" t="n">
        <v>1982</v>
      </c>
      <c r="D7435" s="0" t="n">
        <v>1982</v>
      </c>
      <c r="E7435" s="0" t="inlineStr">
        <is>
          <t>blade runner</t>
        </is>
      </c>
      <c r="F7435" s="0" t="inlineStr">
        <is>
          <t>F0365</t>
        </is>
      </c>
    </row>
    <row r="7436">
      <c r="A7436" s="0" t="inlineStr">
        <is>
          <t>Bob Okazaki</t>
        </is>
      </c>
      <c r="B7436" s="0" t="n">
        <v>1</v>
      </c>
      <c r="C7436" s="0" t="n">
        <v>1982</v>
      </c>
      <c r="D7436" s="0" t="n">
        <v>1982</v>
      </c>
      <c r="E7436" s="0" t="inlineStr">
        <is>
          <t>blade runner</t>
        </is>
      </c>
      <c r="F7436" s="0" t="inlineStr">
        <is>
          <t>F0365</t>
        </is>
      </c>
    </row>
    <row r="7437">
      <c r="A7437" s="0" t="inlineStr">
        <is>
          <t>Carolyn DeMirjian</t>
        </is>
      </c>
      <c r="B7437" s="0" t="n">
        <v>1</v>
      </c>
      <c r="C7437" s="0" t="n">
        <v>1982</v>
      </c>
      <c r="D7437" s="0" t="n">
        <v>1982</v>
      </c>
      <c r="E7437" s="0" t="inlineStr">
        <is>
          <t>blade runner</t>
        </is>
      </c>
      <c r="F7437" s="0" t="inlineStr">
        <is>
          <t>F0365</t>
        </is>
      </c>
    </row>
    <row r="7438">
      <c r="A7438" s="0" t="inlineStr">
        <is>
          <t>Ben Astar</t>
        </is>
      </c>
      <c r="B7438" s="0" t="n">
        <v>1</v>
      </c>
      <c r="C7438" s="0" t="n">
        <v>1982</v>
      </c>
      <c r="D7438" s="0" t="n">
        <v>1982</v>
      </c>
      <c r="E7438" s="0" t="inlineStr">
        <is>
          <t>blade runner</t>
        </is>
      </c>
      <c r="F7438" s="0" t="inlineStr">
        <is>
          <t>F0365</t>
        </is>
      </c>
    </row>
    <row r="7439">
      <c r="A7439" s="0" t="inlineStr">
        <is>
          <t>Dawna Lee Heising</t>
        </is>
      </c>
      <c r="B7439" s="0" t="n">
        <v>1</v>
      </c>
      <c r="C7439" s="0" t="n">
        <v>1982</v>
      </c>
      <c r="D7439" s="0" t="n">
        <v>1982</v>
      </c>
      <c r="E7439" s="0" t="inlineStr">
        <is>
          <t>blade runner</t>
        </is>
      </c>
      <c r="F7439" s="0" t="inlineStr">
        <is>
          <t>F0365</t>
        </is>
      </c>
    </row>
    <row r="7440">
      <c r="A7440" s="0" t="inlineStr">
        <is>
          <t>Alexis Rhee</t>
        </is>
      </c>
      <c r="B7440" s="0" t="n">
        <v>1</v>
      </c>
      <c r="C7440" s="0" t="n">
        <v>1982</v>
      </c>
      <c r="D7440" s="0" t="n">
        <v>1982</v>
      </c>
      <c r="E7440" s="0" t="inlineStr">
        <is>
          <t>blade runner</t>
        </is>
      </c>
      <c r="F7440" s="0" t="inlineStr">
        <is>
          <t>F0365</t>
        </is>
      </c>
    </row>
    <row r="7441">
      <c r="A7441" s="0" t="inlineStr">
        <is>
          <t>Judith Burnett</t>
        </is>
      </c>
      <c r="B7441" s="0" t="n">
        <v>1</v>
      </c>
      <c r="C7441" s="0" t="n">
        <v>1982</v>
      </c>
      <c r="D7441" s="0" t="n">
        <v>1982</v>
      </c>
      <c r="E7441" s="0" t="inlineStr">
        <is>
          <t>blade runner</t>
        </is>
      </c>
      <c r="F7441" s="0" t="inlineStr">
        <is>
          <t>F0365</t>
        </is>
      </c>
    </row>
    <row r="7442">
      <c r="A7442" s="0" t="inlineStr">
        <is>
          <t>Leo Gorcey Jr.</t>
        </is>
      </c>
      <c r="B7442" s="0" t="n">
        <v>1</v>
      </c>
      <c r="C7442" s="0" t="n">
        <v>1982</v>
      </c>
      <c r="D7442" s="0" t="n">
        <v>1982</v>
      </c>
      <c r="E7442" s="0" t="inlineStr">
        <is>
          <t>blade runner</t>
        </is>
      </c>
      <c r="F7442" s="0" t="inlineStr">
        <is>
          <t>F0365</t>
        </is>
      </c>
    </row>
    <row r="7443">
      <c r="A7443" s="0" t="inlineStr">
        <is>
          <t>Sharon Hesky</t>
        </is>
      </c>
      <c r="B7443" s="0" t="n">
        <v>1</v>
      </c>
      <c r="C7443" s="0" t="n">
        <v>1982</v>
      </c>
      <c r="D7443" s="0" t="n">
        <v>1982</v>
      </c>
      <c r="E7443" s="0" t="inlineStr">
        <is>
          <t>blade runner</t>
        </is>
      </c>
      <c r="F7443" s="0" t="inlineStr">
        <is>
          <t>F0365</t>
        </is>
      </c>
    </row>
    <row r="7444">
      <c r="A7444" s="0" t="inlineStr">
        <is>
          <t>Kelly Hine</t>
        </is>
      </c>
      <c r="B7444" s="0" t="n">
        <v>1</v>
      </c>
      <c r="C7444" s="0" t="n">
        <v>1982</v>
      </c>
      <c r="D7444" s="0" t="n">
        <v>1982</v>
      </c>
      <c r="E7444" s="0" t="inlineStr">
        <is>
          <t>blade runner</t>
        </is>
      </c>
      <c r="F7444" s="0" t="inlineStr">
        <is>
          <t>F0365</t>
        </is>
      </c>
    </row>
    <row r="7445">
      <c r="A7445" s="0" t="inlineStr">
        <is>
          <t>Tom Hutchinson</t>
        </is>
      </c>
      <c r="B7445" s="0" t="n">
        <v>1</v>
      </c>
      <c r="C7445" s="0" t="n">
        <v>1982</v>
      </c>
      <c r="D7445" s="0" t="n">
        <v>1982</v>
      </c>
      <c r="E7445" s="0" t="inlineStr">
        <is>
          <t>blade runner</t>
        </is>
      </c>
      <c r="F7445" s="0" t="inlineStr">
        <is>
          <t>F0365</t>
        </is>
      </c>
    </row>
    <row r="7446">
      <c r="A7446" s="0" t="inlineStr">
        <is>
          <t>Charles Knapp</t>
        </is>
      </c>
      <c r="B7446" s="0" t="n">
        <v>1</v>
      </c>
      <c r="C7446" s="0" t="n">
        <v>1982</v>
      </c>
      <c r="D7446" s="0" t="n">
        <v>1982</v>
      </c>
      <c r="E7446" s="0" t="inlineStr">
        <is>
          <t>blade runner</t>
        </is>
      </c>
      <c r="F7446" s="0" t="inlineStr">
        <is>
          <t>F0365</t>
        </is>
      </c>
    </row>
    <row r="7447">
      <c r="A7447" s="0" t="inlineStr">
        <is>
          <t>Rose Mascari</t>
        </is>
      </c>
      <c r="B7447" s="0" t="n">
        <v>1</v>
      </c>
      <c r="C7447" s="0" t="n">
        <v>1982</v>
      </c>
      <c r="D7447" s="0" t="n">
        <v>1982</v>
      </c>
      <c r="E7447" s="0" t="inlineStr">
        <is>
          <t>blade runner</t>
        </is>
      </c>
      <c r="F7447" s="0" t="inlineStr">
        <is>
          <t>F0365</t>
        </is>
      </c>
    </row>
    <row r="7448">
      <c r="A7448" s="0" t="inlineStr">
        <is>
          <t>Jiro Okazaki</t>
        </is>
      </c>
      <c r="B7448" s="0" t="n">
        <v>1</v>
      </c>
      <c r="C7448" s="0" t="n">
        <v>1982</v>
      </c>
      <c r="D7448" s="0" t="n">
        <v>1982</v>
      </c>
      <c r="E7448" s="0" t="inlineStr">
        <is>
          <t>blade runner</t>
        </is>
      </c>
      <c r="F7448" s="0" t="inlineStr">
        <is>
          <t>F0365</t>
        </is>
      </c>
    </row>
    <row r="7449">
      <c r="A7449" s="0" t="inlineStr">
        <is>
          <t>Steve Pope</t>
        </is>
      </c>
      <c r="B7449" s="0" t="n">
        <v>1</v>
      </c>
      <c r="C7449" s="0" t="n">
        <v>1982</v>
      </c>
      <c r="D7449" s="0" t="n">
        <v>1982</v>
      </c>
      <c r="E7449" s="0" t="inlineStr">
        <is>
          <t>blade runner</t>
        </is>
      </c>
      <c r="F7449" s="0" t="inlineStr">
        <is>
          <t>F0365</t>
        </is>
      </c>
    </row>
    <row r="7450">
      <c r="A7450" s="0" t="inlineStr">
        <is>
          <t>Sylvia Hoeks</t>
        </is>
      </c>
      <c r="B7450" s="0" t="n">
        <v>1</v>
      </c>
      <c r="C7450" s="0" t="n">
        <v>2018</v>
      </c>
      <c r="D7450" s="0" t="n">
        <v>2018</v>
      </c>
      <c r="E7450" s="0" t="inlineStr">
        <is>
          <t>blade runner 2049</t>
        </is>
      </c>
      <c r="F7450" s="0" t="inlineStr">
        <is>
          <t>F0366</t>
        </is>
      </c>
    </row>
    <row r="7451">
      <c r="A7451" s="0" t="inlineStr">
        <is>
          <t>Carla Juri</t>
        </is>
      </c>
      <c r="B7451" s="0" t="n">
        <v>1</v>
      </c>
      <c r="C7451" s="0" t="n">
        <v>2018</v>
      </c>
      <c r="D7451" s="0" t="n">
        <v>2018</v>
      </c>
      <c r="E7451" s="0" t="inlineStr">
        <is>
          <t>blade runner 2049</t>
        </is>
      </c>
      <c r="F7451" s="0" t="inlineStr">
        <is>
          <t>F0366</t>
        </is>
      </c>
    </row>
    <row r="7452">
      <c r="A7452" s="0" t="inlineStr">
        <is>
          <t>Hiam Abbass</t>
        </is>
      </c>
      <c r="B7452" s="0" t="n">
        <v>1</v>
      </c>
      <c r="C7452" s="0" t="n">
        <v>2018</v>
      </c>
      <c r="D7452" s="0" t="n">
        <v>2018</v>
      </c>
      <c r="E7452" s="0" t="inlineStr">
        <is>
          <t>blade runner 2049</t>
        </is>
      </c>
      <c r="F7452" s="0" t="inlineStr">
        <is>
          <t>F0366</t>
        </is>
      </c>
    </row>
    <row r="7453">
      <c r="A7453" s="0" t="inlineStr">
        <is>
          <t>Lennie James</t>
        </is>
      </c>
      <c r="B7453" s="0" t="n">
        <v>1</v>
      </c>
      <c r="C7453" s="0" t="n">
        <v>2018</v>
      </c>
      <c r="D7453" s="0" t="n">
        <v>2018</v>
      </c>
      <c r="E7453" s="0" t="inlineStr">
        <is>
          <t>blade runner 2049</t>
        </is>
      </c>
      <c r="F7453" s="0" t="inlineStr">
        <is>
          <t>F0366</t>
        </is>
      </c>
    </row>
    <row r="7454">
      <c r="A7454" s="0" t="inlineStr">
        <is>
          <t>Sallie Harmsen</t>
        </is>
      </c>
      <c r="B7454" s="0" t="n">
        <v>1</v>
      </c>
      <c r="C7454" s="0" t="n">
        <v>2018</v>
      </c>
      <c r="D7454" s="0" t="n">
        <v>2018</v>
      </c>
      <c r="E7454" s="0" t="inlineStr">
        <is>
          <t>blade runner 2049</t>
        </is>
      </c>
      <c r="F7454" s="0" t="inlineStr">
        <is>
          <t>F0366</t>
        </is>
      </c>
    </row>
    <row r="7455">
      <c r="A7455" s="0" t="inlineStr">
        <is>
          <t>Loren Peta</t>
        </is>
      </c>
      <c r="B7455" s="0" t="n">
        <v>1</v>
      </c>
      <c r="C7455" s="0" t="n">
        <v>2018</v>
      </c>
      <c r="D7455" s="0" t="n">
        <v>2018</v>
      </c>
      <c r="E7455" s="0" t="inlineStr">
        <is>
          <t>blade runner 2049</t>
        </is>
      </c>
      <c r="F7455" s="0" t="inlineStr">
        <is>
          <t>F0366</t>
        </is>
      </c>
    </row>
    <row r="7456">
      <c r="A7456" s="0" t="inlineStr">
        <is>
          <t>Mark Arnold</t>
        </is>
      </c>
      <c r="B7456" s="0" t="n">
        <v>1</v>
      </c>
      <c r="C7456" s="0" t="n">
        <v>2018</v>
      </c>
      <c r="D7456" s="0" t="n">
        <v>2018</v>
      </c>
      <c r="E7456" s="0" t="inlineStr">
        <is>
          <t>blade runner 2049</t>
        </is>
      </c>
      <c r="F7456" s="0" t="inlineStr">
        <is>
          <t>F0366</t>
        </is>
      </c>
    </row>
    <row r="7457">
      <c r="A7457" s="0" t="inlineStr">
        <is>
          <t>Krista Kosonen</t>
        </is>
      </c>
      <c r="B7457" s="0" t="n">
        <v>1</v>
      </c>
      <c r="C7457" s="0" t="n">
        <v>2018</v>
      </c>
      <c r="D7457" s="0" t="n">
        <v>2018</v>
      </c>
      <c r="E7457" s="0" t="inlineStr">
        <is>
          <t>blade runner 2049</t>
        </is>
      </c>
      <c r="F7457" s="0" t="inlineStr">
        <is>
          <t>F0366</t>
        </is>
      </c>
    </row>
    <row r="7458">
      <c r="A7458" s="0" t="inlineStr">
        <is>
          <t>David Benson</t>
        </is>
      </c>
      <c r="B7458" s="0" t="n">
        <v>1</v>
      </c>
      <c r="C7458" s="0" t="n">
        <v>2018</v>
      </c>
      <c r="D7458" s="0" t="n">
        <v>2018</v>
      </c>
      <c r="E7458" s="0" t="inlineStr">
        <is>
          <t>blade runner 2049</t>
        </is>
      </c>
      <c r="F7458" s="0" t="inlineStr">
        <is>
          <t>F0366</t>
        </is>
      </c>
    </row>
    <row r="7459">
      <c r="A7459" s="0" t="inlineStr">
        <is>
          <t>Kingston Taylor</t>
        </is>
      </c>
      <c r="B7459" s="0" t="n">
        <v>1</v>
      </c>
      <c r="C7459" s="0" t="n">
        <v>2018</v>
      </c>
      <c r="D7459" s="0" t="n">
        <v>2018</v>
      </c>
      <c r="E7459" s="0" t="inlineStr">
        <is>
          <t>blade runner 2049</t>
        </is>
      </c>
      <c r="F7459" s="0" t="inlineStr">
        <is>
          <t>F0366</t>
        </is>
      </c>
    </row>
    <row r="7460">
      <c r="A7460" s="0" t="inlineStr">
        <is>
          <t>Ben Thompson</t>
        </is>
      </c>
      <c r="B7460" s="0" t="n">
        <v>1</v>
      </c>
      <c r="C7460" s="0" t="n">
        <v>2018</v>
      </c>
      <c r="D7460" s="0" t="n">
        <v>2018</v>
      </c>
      <c r="E7460" s="0" t="inlineStr">
        <is>
          <t>blade runner 2049</t>
        </is>
      </c>
      <c r="F7460" s="0" t="inlineStr">
        <is>
          <t>F0366</t>
        </is>
      </c>
    </row>
    <row r="7461">
      <c r="A7461" s="0" t="inlineStr">
        <is>
          <t>Ellie Wright</t>
        </is>
      </c>
      <c r="B7461" s="0" t="n">
        <v>1</v>
      </c>
      <c r="C7461" s="0" t="n">
        <v>2018</v>
      </c>
      <c r="D7461" s="0" t="n">
        <v>2018</v>
      </c>
      <c r="E7461" s="0" t="inlineStr">
        <is>
          <t>blade runner 2049</t>
        </is>
      </c>
      <c r="F7461" s="0" t="inlineStr">
        <is>
          <t>F0366</t>
        </is>
      </c>
    </row>
    <row r="7462">
      <c r="A7462" s="0" t="inlineStr">
        <is>
          <t>Suzie Kennedy</t>
        </is>
      </c>
      <c r="B7462" s="0" t="n">
        <v>1</v>
      </c>
      <c r="C7462" s="0" t="n">
        <v>2018</v>
      </c>
      <c r="D7462" s="0" t="n">
        <v>2018</v>
      </c>
      <c r="E7462" s="0" t="inlineStr">
        <is>
          <t>blade runner 2049</t>
        </is>
      </c>
      <c r="F7462" s="0" t="inlineStr">
        <is>
          <t>F0366</t>
        </is>
      </c>
    </row>
    <row r="7463">
      <c r="A7463" s="0" t="inlineStr">
        <is>
          <t>Stephen Triffitt</t>
        </is>
      </c>
      <c r="B7463" s="0" t="n">
        <v>1</v>
      </c>
      <c r="C7463" s="0" t="n">
        <v>2018</v>
      </c>
      <c r="D7463" s="0" t="n">
        <v>2018</v>
      </c>
      <c r="E7463" s="0" t="inlineStr">
        <is>
          <t>blade runner 2049</t>
        </is>
      </c>
      <c r="F7463" s="0" t="inlineStr">
        <is>
          <t>F0366</t>
        </is>
      </c>
    </row>
    <row r="7464">
      <c r="A7464" s="0" t="inlineStr">
        <is>
          <t>Vilma Szécsi</t>
        </is>
      </c>
      <c r="B7464" s="0" t="n">
        <v>1</v>
      </c>
      <c r="C7464" s="0" t="n">
        <v>2018</v>
      </c>
      <c r="D7464" s="0" t="n">
        <v>2018</v>
      </c>
      <c r="E7464" s="0" t="inlineStr">
        <is>
          <t>blade runner 2049</t>
        </is>
      </c>
      <c r="F7464" s="0" t="inlineStr">
        <is>
          <t>F0366</t>
        </is>
      </c>
    </row>
    <row r="7465">
      <c r="A7465" s="0" t="inlineStr">
        <is>
          <t>Kincsö Sánta</t>
        </is>
      </c>
      <c r="B7465" s="0" t="n">
        <v>1</v>
      </c>
      <c r="C7465" s="0" t="n">
        <v>2018</v>
      </c>
      <c r="D7465" s="0" t="n">
        <v>2018</v>
      </c>
      <c r="E7465" s="0" t="inlineStr">
        <is>
          <t>blade runner 2049</t>
        </is>
      </c>
      <c r="F7465" s="0" t="inlineStr">
        <is>
          <t>F0366</t>
        </is>
      </c>
    </row>
    <row r="7466">
      <c r="A7466" s="0" t="inlineStr">
        <is>
          <t>Stephen McKinley Henderson</t>
        </is>
      </c>
      <c r="B7466" s="0" t="n">
        <v>2</v>
      </c>
      <c r="C7466" s="0" t="n">
        <v>2021</v>
      </c>
      <c r="D7466" s="0" t="n">
        <v>2021</v>
      </c>
      <c r="E7466" s="0" t="inlineStr">
        <is>
          <t xml:space="preserve">dune, dune </t>
        </is>
      </c>
      <c r="F7466" s="0" t="inlineStr">
        <is>
          <t>F0367</t>
        </is>
      </c>
    </row>
    <row r="7467">
      <c r="A7467" s="0" t="inlineStr">
        <is>
          <t>Sharon Duncan-Brewster</t>
        </is>
      </c>
      <c r="B7467" s="0" t="n">
        <v>3</v>
      </c>
      <c r="C7467" s="0" t="n">
        <v>2016</v>
      </c>
      <c r="D7467" s="0" t="n">
        <v>2021</v>
      </c>
      <c r="E7467" s="0" t="inlineStr">
        <is>
          <t xml:space="preserve">dune, Rogue one, dune </t>
        </is>
      </c>
      <c r="F7467" s="0" t="inlineStr">
        <is>
          <t>F0367, F0385</t>
        </is>
      </c>
    </row>
    <row r="7468">
      <c r="A7468" s="0" t="inlineStr">
        <is>
          <t>Chang Chen</t>
        </is>
      </c>
      <c r="B7468" s="0" t="n">
        <v>2</v>
      </c>
      <c r="C7468" s="0" t="n">
        <v>2021</v>
      </c>
      <c r="D7468" s="0" t="n">
        <v>2021</v>
      </c>
      <c r="E7468" s="0" t="inlineStr">
        <is>
          <t xml:space="preserve">dune, dune </t>
        </is>
      </c>
      <c r="F7468" s="0" t="inlineStr">
        <is>
          <t>F0367</t>
        </is>
      </c>
    </row>
    <row r="7469">
      <c r="A7469" s="0" t="inlineStr">
        <is>
          <t>Charlotte Rampling</t>
        </is>
      </c>
      <c r="B7469" s="0" t="n">
        <v>3</v>
      </c>
      <c r="C7469" s="0" t="n">
        <v>2021</v>
      </c>
      <c r="D7469" s="0" t="n">
        <v>2024</v>
      </c>
      <c r="E7469" s="0" t="inlineStr">
        <is>
          <t xml:space="preserve">dune, dune  part two, dune </t>
        </is>
      </c>
      <c r="F7469" s="0" t="inlineStr">
        <is>
          <t>F0367, F0368</t>
        </is>
      </c>
    </row>
    <row r="7470">
      <c r="A7470" s="0" t="inlineStr">
        <is>
          <t>Babs Olusanmokun</t>
        </is>
      </c>
      <c r="B7470" s="0" t="n">
        <v>3</v>
      </c>
      <c r="C7470" s="0" t="n">
        <v>2021</v>
      </c>
      <c r="D7470" s="0" t="n">
        <v>2024</v>
      </c>
      <c r="E7470" s="0" t="inlineStr">
        <is>
          <t xml:space="preserve">dune, dune  part two, dune </t>
        </is>
      </c>
      <c r="F7470" s="0" t="inlineStr">
        <is>
          <t>F0367, F0368</t>
        </is>
      </c>
    </row>
    <row r="7471">
      <c r="A7471" s="0" t="inlineStr">
        <is>
          <t>Benjamin Clementine</t>
        </is>
      </c>
      <c r="B7471" s="0" t="n">
        <v>2</v>
      </c>
      <c r="C7471" s="0" t="n">
        <v>2021</v>
      </c>
      <c r="D7471" s="0" t="n">
        <v>2021</v>
      </c>
      <c r="E7471" s="0" t="inlineStr">
        <is>
          <t xml:space="preserve">dune, dune </t>
        </is>
      </c>
      <c r="F7471" s="0" t="inlineStr">
        <is>
          <t>F0367</t>
        </is>
      </c>
    </row>
    <row r="7472">
      <c r="A7472" s="0" t="inlineStr">
        <is>
          <t>Souad Faress</t>
        </is>
      </c>
      <c r="B7472" s="0" t="n">
        <v>2</v>
      </c>
      <c r="C7472" s="0" t="n">
        <v>2021</v>
      </c>
      <c r="D7472" s="0" t="n">
        <v>2021</v>
      </c>
      <c r="E7472" s="0" t="inlineStr">
        <is>
          <t xml:space="preserve">dune, dune </t>
        </is>
      </c>
      <c r="F7472" s="0" t="inlineStr">
        <is>
          <t>F0367</t>
        </is>
      </c>
    </row>
    <row r="7473">
      <c r="A7473" s="0" t="inlineStr">
        <is>
          <t>Golda Rosheuvel</t>
        </is>
      </c>
      <c r="B7473" s="0" t="n">
        <v>2</v>
      </c>
      <c r="C7473" s="0" t="n">
        <v>2021</v>
      </c>
      <c r="D7473" s="0" t="n">
        <v>2021</v>
      </c>
      <c r="E7473" s="0" t="inlineStr">
        <is>
          <t xml:space="preserve">dune, dune </t>
        </is>
      </c>
      <c r="F7473" s="0" t="inlineStr">
        <is>
          <t>F0367</t>
        </is>
      </c>
    </row>
    <row r="7474">
      <c r="A7474" s="0" t="inlineStr">
        <is>
          <t>Seun Shote</t>
        </is>
      </c>
      <c r="B7474" s="0" t="n">
        <v>2</v>
      </c>
      <c r="C7474" s="0" t="n">
        <v>2021</v>
      </c>
      <c r="D7474" s="0" t="n">
        <v>2021</v>
      </c>
      <c r="E7474" s="0" t="inlineStr">
        <is>
          <t xml:space="preserve">dune, dune </t>
        </is>
      </c>
      <c r="F7474" s="0" t="inlineStr">
        <is>
          <t>F0367</t>
        </is>
      </c>
    </row>
    <row r="7475">
      <c r="A7475" s="0" t="inlineStr">
        <is>
          <t>Neil Bell</t>
        </is>
      </c>
      <c r="B7475" s="0" t="n">
        <v>2</v>
      </c>
      <c r="C7475" s="0" t="n">
        <v>2021</v>
      </c>
      <c r="D7475" s="0" t="n">
        <v>2021</v>
      </c>
      <c r="E7475" s="0" t="inlineStr">
        <is>
          <t xml:space="preserve">dune, dune </t>
        </is>
      </c>
      <c r="F7475" s="0" t="inlineStr">
        <is>
          <t>F0367</t>
        </is>
      </c>
    </row>
    <row r="7476">
      <c r="A7476" s="0" t="inlineStr">
        <is>
          <t>Oliver Ryan</t>
        </is>
      </c>
      <c r="B7476" s="0" t="n">
        <v>2</v>
      </c>
      <c r="C7476" s="0" t="n">
        <v>2021</v>
      </c>
      <c r="D7476" s="0" t="n">
        <v>2021</v>
      </c>
      <c r="E7476" s="0" t="inlineStr">
        <is>
          <t xml:space="preserve">dune, dune </t>
        </is>
      </c>
      <c r="F7476" s="0" t="inlineStr">
        <is>
          <t>F0367</t>
        </is>
      </c>
    </row>
    <row r="7477">
      <c r="A7477" s="0" t="inlineStr">
        <is>
          <t>Stephen Collins</t>
        </is>
      </c>
      <c r="B7477" s="0" t="n">
        <v>2</v>
      </c>
      <c r="C7477" s="0" t="n">
        <v>2021</v>
      </c>
      <c r="D7477" s="0" t="n">
        <v>2021</v>
      </c>
      <c r="E7477" s="0" t="inlineStr">
        <is>
          <t xml:space="preserve">dune, dune </t>
        </is>
      </c>
      <c r="F7477" s="0" t="inlineStr">
        <is>
          <t>F0367</t>
        </is>
      </c>
    </row>
    <row r="7478">
      <c r="A7478" s="0" t="inlineStr">
        <is>
          <t>Benjamin Dilloway</t>
        </is>
      </c>
      <c r="B7478" s="0" t="n">
        <v>2</v>
      </c>
      <c r="C7478" s="0" t="n">
        <v>2021</v>
      </c>
      <c r="D7478" s="0" t="n">
        <v>2021</v>
      </c>
      <c r="E7478" s="0" t="inlineStr">
        <is>
          <t xml:space="preserve">dune, dune </t>
        </is>
      </c>
      <c r="F7478" s="0" t="inlineStr">
        <is>
          <t>F0367</t>
        </is>
      </c>
    </row>
    <row r="7479">
      <c r="A7479" s="0" t="inlineStr">
        <is>
          <t>Elmi Rashid Elmi</t>
        </is>
      </c>
      <c r="B7479" s="0" t="n">
        <v>2</v>
      </c>
      <c r="C7479" s="0" t="n">
        <v>2021</v>
      </c>
      <c r="D7479" s="0" t="n">
        <v>2021</v>
      </c>
      <c r="E7479" s="0" t="inlineStr">
        <is>
          <t xml:space="preserve">dune, dune </t>
        </is>
      </c>
      <c r="F7479" s="0" t="inlineStr">
        <is>
          <t>F0367</t>
        </is>
      </c>
    </row>
    <row r="7480">
      <c r="A7480" s="0" t="inlineStr">
        <is>
          <t>Tachia Newall</t>
        </is>
      </c>
      <c r="B7480" s="0" t="n">
        <v>2</v>
      </c>
      <c r="C7480" s="0" t="n">
        <v>2021</v>
      </c>
      <c r="D7480" s="0" t="n">
        <v>2021</v>
      </c>
      <c r="E7480" s="0" t="inlineStr">
        <is>
          <t xml:space="preserve">dune, dune </t>
        </is>
      </c>
      <c r="F7480" s="0" t="inlineStr">
        <is>
          <t>F0367</t>
        </is>
      </c>
    </row>
    <row r="7481">
      <c r="A7481" s="0" t="inlineStr">
        <is>
          <t>Gloria Obianyo</t>
        </is>
      </c>
      <c r="B7481" s="0" t="n">
        <v>2</v>
      </c>
      <c r="C7481" s="0" t="n">
        <v>2021</v>
      </c>
      <c r="D7481" s="0" t="n">
        <v>2021</v>
      </c>
      <c r="E7481" s="0" t="inlineStr">
        <is>
          <t xml:space="preserve">dune, dune </t>
        </is>
      </c>
      <c r="F7481" s="0" t="inlineStr">
        <is>
          <t>F0367</t>
        </is>
      </c>
    </row>
    <row r="7482">
      <c r="A7482" s="0" t="inlineStr">
        <is>
          <t>Fehinti Balogun</t>
        </is>
      </c>
      <c r="B7482" s="0" t="n">
        <v>2</v>
      </c>
      <c r="C7482" s="0" t="n">
        <v>2021</v>
      </c>
      <c r="D7482" s="0" t="n">
        <v>2021</v>
      </c>
      <c r="E7482" s="0" t="inlineStr">
        <is>
          <t xml:space="preserve">dune, dune </t>
        </is>
      </c>
      <c r="F7482" s="0" t="inlineStr">
        <is>
          <t>F0367</t>
        </is>
      </c>
    </row>
    <row r="7483">
      <c r="A7483" s="0" t="inlineStr">
        <is>
          <t>Souheila Yacoub</t>
        </is>
      </c>
      <c r="B7483" s="0" t="n">
        <v>1</v>
      </c>
      <c r="C7483" s="0" t="n">
        <v>2024</v>
      </c>
      <c r="D7483" s="0" t="n">
        <v>2024</v>
      </c>
      <c r="E7483" s="0" t="inlineStr">
        <is>
          <t>dune  part two</t>
        </is>
      </c>
      <c r="F7483" s="0" t="inlineStr">
        <is>
          <t>F0368</t>
        </is>
      </c>
    </row>
    <row r="7484">
      <c r="A7484" s="0" t="inlineStr">
        <is>
          <t>Alison Halstead</t>
        </is>
      </c>
      <c r="B7484" s="0" t="n">
        <v>1</v>
      </c>
      <c r="C7484" s="0" t="n">
        <v>2024</v>
      </c>
      <c r="D7484" s="0" t="n">
        <v>2024</v>
      </c>
      <c r="E7484" s="0" t="inlineStr">
        <is>
          <t>dune  part two</t>
        </is>
      </c>
      <c r="F7484" s="0" t="inlineStr">
        <is>
          <t>F0368</t>
        </is>
      </c>
    </row>
    <row r="7485">
      <c r="A7485" s="0" t="inlineStr">
        <is>
          <t>Giusi Merli</t>
        </is>
      </c>
      <c r="B7485" s="0" t="n">
        <v>1</v>
      </c>
      <c r="C7485" s="0" t="n">
        <v>2024</v>
      </c>
      <c r="D7485" s="0" t="n">
        <v>2024</v>
      </c>
      <c r="E7485" s="0" t="inlineStr">
        <is>
          <t>dune  part two</t>
        </is>
      </c>
      <c r="F7485" s="0" t="inlineStr">
        <is>
          <t>F0368</t>
        </is>
      </c>
    </row>
    <row r="7486">
      <c r="A7486" s="0" t="inlineStr">
        <is>
          <t>Kait Tenison</t>
        </is>
      </c>
      <c r="B7486" s="0" t="n">
        <v>1</v>
      </c>
      <c r="C7486" s="0" t="n">
        <v>2024</v>
      </c>
      <c r="D7486" s="0" t="n">
        <v>2024</v>
      </c>
      <c r="E7486" s="0" t="inlineStr">
        <is>
          <t>dune  part two</t>
        </is>
      </c>
      <c r="F7486" s="0" t="inlineStr">
        <is>
          <t>F0368</t>
        </is>
      </c>
    </row>
    <row r="7487">
      <c r="A7487" s="0" t="inlineStr">
        <is>
          <t>Tara Breathnach</t>
        </is>
      </c>
      <c r="B7487" s="0" t="n">
        <v>1</v>
      </c>
      <c r="C7487" s="0" t="n">
        <v>2024</v>
      </c>
      <c r="D7487" s="0" t="n">
        <v>2024</v>
      </c>
      <c r="E7487" s="0" t="inlineStr">
        <is>
          <t>dune  part two</t>
        </is>
      </c>
      <c r="F7487" s="0" t="inlineStr">
        <is>
          <t>F0368</t>
        </is>
      </c>
    </row>
    <row r="7488">
      <c r="A7488" s="0" t="inlineStr">
        <is>
          <t>Akiko Hitomi</t>
        </is>
      </c>
      <c r="B7488" s="0" t="n">
        <v>1</v>
      </c>
      <c r="C7488" s="0" t="n">
        <v>2024</v>
      </c>
      <c r="D7488" s="0" t="n">
        <v>2024</v>
      </c>
      <c r="E7488" s="0" t="inlineStr">
        <is>
          <t>dune  part two</t>
        </is>
      </c>
      <c r="F7488" s="0" t="inlineStr">
        <is>
          <t>F0368</t>
        </is>
      </c>
    </row>
    <row r="7489">
      <c r="A7489" s="0" t="inlineStr">
        <is>
          <t>Imola Gáspár</t>
        </is>
      </c>
      <c r="B7489" s="0" t="n">
        <v>1</v>
      </c>
      <c r="C7489" s="0" t="n">
        <v>2024</v>
      </c>
      <c r="D7489" s="0" t="n">
        <v>2024</v>
      </c>
      <c r="E7489" s="0" t="inlineStr">
        <is>
          <t>dune  part two</t>
        </is>
      </c>
      <c r="F7489" s="0" t="inlineStr">
        <is>
          <t>F0368</t>
        </is>
      </c>
    </row>
    <row r="7490">
      <c r="A7490" s="0" t="inlineStr">
        <is>
          <t>Alison Adnet</t>
        </is>
      </c>
      <c r="B7490" s="0" t="n">
        <v>1</v>
      </c>
      <c r="C7490" s="0" t="n">
        <v>2024</v>
      </c>
      <c r="D7490" s="0" t="n">
        <v>2024</v>
      </c>
      <c r="E7490" s="0" t="inlineStr">
        <is>
          <t>dune  part two</t>
        </is>
      </c>
      <c r="F7490" s="0" t="inlineStr">
        <is>
          <t>F0368</t>
        </is>
      </c>
    </row>
    <row r="7491">
      <c r="A7491" s="0" t="inlineStr">
        <is>
          <t>Hamza Baissa</t>
        </is>
      </c>
      <c r="B7491" s="0" t="n">
        <v>1</v>
      </c>
      <c r="C7491" s="0" t="n">
        <v>2024</v>
      </c>
      <c r="D7491" s="0" t="n">
        <v>2024</v>
      </c>
      <c r="E7491" s="0" t="inlineStr">
        <is>
          <t>dune  part two</t>
        </is>
      </c>
      <c r="F7491" s="0" t="inlineStr">
        <is>
          <t>F0368</t>
        </is>
      </c>
    </row>
    <row r="7492">
      <c r="A7492" s="0" t="inlineStr">
        <is>
          <t>Hassan Najib</t>
        </is>
      </c>
      <c r="B7492" s="0" t="n">
        <v>1</v>
      </c>
      <c r="C7492" s="0" t="n">
        <v>2024</v>
      </c>
      <c r="D7492" s="0" t="n">
        <v>2024</v>
      </c>
      <c r="E7492" s="0" t="inlineStr">
        <is>
          <t>dune  part two</t>
        </is>
      </c>
      <c r="F7492" s="0" t="inlineStr">
        <is>
          <t>F0368</t>
        </is>
      </c>
    </row>
    <row r="7493">
      <c r="A7493" s="0" t="inlineStr">
        <is>
          <t>Jasper Ryan-Cater</t>
        </is>
      </c>
      <c r="B7493" s="0" t="n">
        <v>1</v>
      </c>
      <c r="C7493" s="0" t="n">
        <v>2024</v>
      </c>
      <c r="D7493" s="0" t="n">
        <v>2024</v>
      </c>
      <c r="E7493" s="0" t="inlineStr">
        <is>
          <t>dune  part two</t>
        </is>
      </c>
      <c r="F7493" s="0" t="inlineStr">
        <is>
          <t>F0368</t>
        </is>
      </c>
    </row>
    <row r="7494">
      <c r="A7494" s="0" t="inlineStr">
        <is>
          <t>Omar Elbooz</t>
        </is>
      </c>
      <c r="B7494" s="0" t="n">
        <v>1</v>
      </c>
      <c r="C7494" s="0" t="n">
        <v>2024</v>
      </c>
      <c r="D7494" s="0" t="n">
        <v>2024</v>
      </c>
      <c r="E7494" s="0" t="inlineStr">
        <is>
          <t>dune  part two</t>
        </is>
      </c>
      <c r="F7494" s="0" t="inlineStr">
        <is>
          <t>F0368</t>
        </is>
      </c>
    </row>
    <row r="7495">
      <c r="A7495" s="0" t="inlineStr">
        <is>
          <t>Abdelkarim Hussein Seli Mohamed Hassanin</t>
        </is>
      </c>
      <c r="B7495" s="0" t="n">
        <v>1</v>
      </c>
      <c r="C7495" s="0" t="n">
        <v>2024</v>
      </c>
      <c r="D7495" s="0" t="n">
        <v>2024</v>
      </c>
      <c r="E7495" s="0" t="inlineStr">
        <is>
          <t>dune  part two</t>
        </is>
      </c>
      <c r="F7495" s="0" t="inlineStr">
        <is>
          <t>F0368</t>
        </is>
      </c>
    </row>
    <row r="7496">
      <c r="A7496" s="0" t="inlineStr">
        <is>
          <t>Joseph Beddelem</t>
        </is>
      </c>
      <c r="B7496" s="0" t="n">
        <v>1</v>
      </c>
      <c r="C7496" s="0" t="n">
        <v>2024</v>
      </c>
      <c r="D7496" s="0" t="n">
        <v>2024</v>
      </c>
      <c r="E7496" s="0" t="inlineStr">
        <is>
          <t>dune  part two</t>
        </is>
      </c>
      <c r="F7496" s="0" t="inlineStr">
        <is>
          <t>F0368</t>
        </is>
      </c>
    </row>
    <row r="7497">
      <c r="A7497" s="0" t="inlineStr">
        <is>
          <t>Xavier Alba Royo</t>
        </is>
      </c>
      <c r="B7497" s="0" t="n">
        <v>1</v>
      </c>
      <c r="C7497" s="0" t="n">
        <v>2024</v>
      </c>
      <c r="D7497" s="0" t="n">
        <v>2024</v>
      </c>
      <c r="E7497" s="0" t="inlineStr">
        <is>
          <t>dune  part two</t>
        </is>
      </c>
      <c r="F7497" s="0" t="inlineStr">
        <is>
          <t>F0368</t>
        </is>
      </c>
    </row>
    <row r="7498">
      <c r="A7498" s="0" t="inlineStr">
        <is>
          <t>Rachid Abbad</t>
        </is>
      </c>
      <c r="B7498" s="0" t="n">
        <v>1</v>
      </c>
      <c r="C7498" s="0" t="n">
        <v>2024</v>
      </c>
      <c r="D7498" s="0" t="n">
        <v>2024</v>
      </c>
      <c r="E7498" s="0" t="inlineStr">
        <is>
          <t>dune  part two</t>
        </is>
      </c>
      <c r="F7498" s="0" t="inlineStr">
        <is>
          <t>F0368</t>
        </is>
      </c>
    </row>
    <row r="7499">
      <c r="A7499" s="0" t="inlineStr">
        <is>
          <t>Elizabeth Perkins</t>
        </is>
      </c>
      <c r="B7499" s="0" t="n">
        <v>2</v>
      </c>
      <c r="C7499" s="0" t="n">
        <v>2003</v>
      </c>
      <c r="D7499" s="0" t="n">
        <v>2003</v>
      </c>
      <c r="E7499" s="0" t="inlineStr">
        <is>
          <t>finding nemo,  finding nemo</t>
        </is>
      </c>
      <c r="F7499" s="0" t="inlineStr">
        <is>
          <t>F0369</t>
        </is>
      </c>
    </row>
    <row r="7500">
      <c r="A7500" s="0" t="inlineStr">
        <is>
          <t>Nicholas Bird</t>
        </is>
      </c>
      <c r="B7500" s="0" t="n">
        <v>2</v>
      </c>
      <c r="C7500" s="0" t="n">
        <v>2003</v>
      </c>
      <c r="D7500" s="0" t="n">
        <v>2003</v>
      </c>
      <c r="E7500" s="0" t="inlineStr">
        <is>
          <t>finding nemo,  finding nemo</t>
        </is>
      </c>
      <c r="F7500" s="0" t="inlineStr">
        <is>
          <t>F0369</t>
        </is>
      </c>
    </row>
    <row r="7501">
      <c r="A7501" s="0" t="inlineStr">
        <is>
          <t>Bill Hunter</t>
        </is>
      </c>
      <c r="B7501" s="0" t="n">
        <v>2</v>
      </c>
      <c r="C7501" s="0" t="n">
        <v>2003</v>
      </c>
      <c r="D7501" s="0" t="n">
        <v>2003</v>
      </c>
      <c r="E7501" s="0" t="inlineStr">
        <is>
          <t>finding nemo,  finding nemo</t>
        </is>
      </c>
      <c r="F7501" s="0" t="inlineStr">
        <is>
          <t>F0369</t>
        </is>
      </c>
    </row>
    <row r="7502">
      <c r="A7502" s="0" t="inlineStr">
        <is>
          <t>LuLu Ebeling</t>
        </is>
      </c>
      <c r="B7502" s="0" t="n">
        <v>2</v>
      </c>
      <c r="C7502" s="0" t="n">
        <v>2003</v>
      </c>
      <c r="D7502" s="0" t="n">
        <v>2003</v>
      </c>
      <c r="E7502" s="0" t="inlineStr">
        <is>
          <t>finding nemo,  finding nemo</t>
        </is>
      </c>
      <c r="F7502" s="0" t="inlineStr">
        <is>
          <t>F0369</t>
        </is>
      </c>
    </row>
    <row r="7503">
      <c r="A7503" s="0" t="inlineStr">
        <is>
          <t>Jordan Ranft</t>
        </is>
      </c>
      <c r="B7503" s="0" t="n">
        <v>2</v>
      </c>
      <c r="C7503" s="0" t="n">
        <v>2003</v>
      </c>
      <c r="D7503" s="0" t="n">
        <v>2003</v>
      </c>
      <c r="E7503" s="0" t="inlineStr">
        <is>
          <t>finding nemo,  finding nemo</t>
        </is>
      </c>
      <c r="F7503" s="0" t="inlineStr">
        <is>
          <t>F0369</t>
        </is>
      </c>
    </row>
    <row r="7504">
      <c r="A7504" s="0" t="inlineStr">
        <is>
          <t>Erica Beck</t>
        </is>
      </c>
      <c r="B7504" s="0" t="n">
        <v>2</v>
      </c>
      <c r="C7504" s="0" t="n">
        <v>2003</v>
      </c>
      <c r="D7504" s="0" t="n">
        <v>2003</v>
      </c>
      <c r="E7504" s="0" t="inlineStr">
        <is>
          <t>finding nemo,  finding nemo</t>
        </is>
      </c>
      <c r="F7504" s="0" t="inlineStr">
        <is>
          <t>F0369</t>
        </is>
      </c>
    </row>
    <row r="7505">
      <c r="A7505" s="0" t="inlineStr">
        <is>
          <t>Erik Per Sullivan</t>
        </is>
      </c>
      <c r="B7505" s="0" t="n">
        <v>2</v>
      </c>
      <c r="C7505" s="0" t="n">
        <v>2003</v>
      </c>
      <c r="D7505" s="0" t="n">
        <v>2003</v>
      </c>
      <c r="E7505" s="0" t="inlineStr">
        <is>
          <t>finding nemo,  finding nemo</t>
        </is>
      </c>
      <c r="F7505" s="0" t="inlineStr">
        <is>
          <t>F0369</t>
        </is>
      </c>
    </row>
    <row r="7506">
      <c r="A7506" s="0" t="inlineStr">
        <is>
          <t>Nicole Miller</t>
        </is>
      </c>
      <c r="B7506" s="0" t="n">
        <v>2</v>
      </c>
      <c r="C7506" s="0" t="n">
        <v>2003</v>
      </c>
      <c r="D7506" s="0" t="n">
        <v>2003</v>
      </c>
      <c r="E7506" s="0" t="inlineStr">
        <is>
          <t>finding nemo,  finding nemo</t>
        </is>
      </c>
      <c r="F7506" s="0" t="inlineStr">
        <is>
          <t>F0369</t>
        </is>
      </c>
    </row>
    <row r="7507">
      <c r="A7507" s="0" t="inlineStr">
        <is>
          <t>Geoff Brooks</t>
        </is>
      </c>
      <c r="B7507" s="0" t="n">
        <v>2</v>
      </c>
      <c r="C7507" s="0" t="n">
        <v>2003</v>
      </c>
      <c r="D7507" s="0" t="n">
        <v>2003</v>
      </c>
      <c r="E7507" s="0" t="inlineStr">
        <is>
          <t>finding nemo,  finding nemo</t>
        </is>
      </c>
      <c r="F7507" s="0" t="inlineStr">
        <is>
          <t>F0369</t>
        </is>
      </c>
    </row>
    <row r="7508">
      <c r="A7508" s="0" t="inlineStr">
        <is>
          <t>Lisa Peers</t>
        </is>
      </c>
      <c r="B7508" s="0" t="n">
        <v>2</v>
      </c>
      <c r="C7508" s="0" t="n">
        <v>2003</v>
      </c>
      <c r="D7508" s="0" t="n">
        <v>2003</v>
      </c>
      <c r="E7508" s="0" t="inlineStr">
        <is>
          <t>finding nemo,  finding nemo</t>
        </is>
      </c>
      <c r="F7508" s="0" t="inlineStr">
        <is>
          <t>F0369</t>
        </is>
      </c>
    </row>
    <row r="7509">
      <c r="A7509" s="0" t="inlineStr">
        <is>
          <t>Tom Burke</t>
        </is>
      </c>
      <c r="B7509" s="0" t="n">
        <v>2</v>
      </c>
      <c r="C7509" s="0" t="n">
        <v>2025</v>
      </c>
      <c r="D7509" s="0" t="n">
        <v>2025</v>
      </c>
      <c r="E7509" s="0" t="inlineStr">
        <is>
          <t xml:space="preserve">furiosa, furiosa </t>
        </is>
      </c>
      <c r="F7509" s="0" t="inlineStr">
        <is>
          <t>F0370</t>
        </is>
      </c>
    </row>
    <row r="7510">
      <c r="A7510" s="0" t="inlineStr">
        <is>
          <t>Alyla Browne</t>
        </is>
      </c>
      <c r="B7510" s="0" t="n">
        <v>3</v>
      </c>
      <c r="C7510" s="0" t="n">
        <v>2025</v>
      </c>
      <c r="D7510" s="0" t="n">
        <v>2025</v>
      </c>
      <c r="E7510" s="0" t="inlineStr">
        <is>
          <t xml:space="preserve">furiosa, sonic the hedgehog 3, furiosa </t>
        </is>
      </c>
      <c r="F7510" s="0" t="inlineStr">
        <is>
          <t>F0370, F0379</t>
        </is>
      </c>
    </row>
    <row r="7511">
      <c r="A7511" s="0" t="inlineStr">
        <is>
          <t>George Shevtsov</t>
        </is>
      </c>
      <c r="B7511" s="0" t="n">
        <v>2</v>
      </c>
      <c r="C7511" s="0" t="n">
        <v>2025</v>
      </c>
      <c r="D7511" s="0" t="n">
        <v>2025</v>
      </c>
      <c r="E7511" s="0" t="inlineStr">
        <is>
          <t xml:space="preserve">furiosa, furiosa </t>
        </is>
      </c>
      <c r="F7511" s="0" t="inlineStr">
        <is>
          <t>F0370</t>
        </is>
      </c>
    </row>
    <row r="7512">
      <c r="A7512" s="0" t="inlineStr">
        <is>
          <t>Charlee Fraser</t>
        </is>
      </c>
      <c r="B7512" s="0" t="n">
        <v>2</v>
      </c>
      <c r="C7512" s="0" t="n">
        <v>2025</v>
      </c>
      <c r="D7512" s="0" t="n">
        <v>2025</v>
      </c>
      <c r="E7512" s="0" t="inlineStr">
        <is>
          <t xml:space="preserve">furiosa, furiosa </t>
        </is>
      </c>
      <c r="F7512" s="0" t="inlineStr">
        <is>
          <t>F0370</t>
        </is>
      </c>
    </row>
    <row r="7513">
      <c r="A7513" s="0" t="inlineStr">
        <is>
          <t>Rahel Romahn</t>
        </is>
      </c>
      <c r="B7513" s="0" t="n">
        <v>2</v>
      </c>
      <c r="C7513" s="0" t="n">
        <v>2025</v>
      </c>
      <c r="D7513" s="0" t="n">
        <v>2025</v>
      </c>
      <c r="E7513" s="0" t="inlineStr">
        <is>
          <t xml:space="preserve">furiosa, furiosa </t>
        </is>
      </c>
      <c r="F7513" s="0" t="inlineStr">
        <is>
          <t>F0370</t>
        </is>
      </c>
    </row>
    <row r="7514">
      <c r="A7514" s="0" t="inlineStr">
        <is>
          <t>CJ. Bloomfield</t>
        </is>
      </c>
      <c r="B7514" s="0" t="n">
        <v>2</v>
      </c>
      <c r="C7514" s="0" t="n">
        <v>2025</v>
      </c>
      <c r="D7514" s="0" t="n">
        <v>2025</v>
      </c>
      <c r="E7514" s="0" t="inlineStr">
        <is>
          <t xml:space="preserve">furiosa, furiosa </t>
        </is>
      </c>
      <c r="F7514" s="0" t="inlineStr">
        <is>
          <t>F0370</t>
        </is>
      </c>
    </row>
    <row r="7515">
      <c r="A7515" s="0" t="inlineStr">
        <is>
          <t>Guy Spence</t>
        </is>
      </c>
      <c r="B7515" s="0" t="n">
        <v>2</v>
      </c>
      <c r="C7515" s="0" t="n">
        <v>2025</v>
      </c>
      <c r="D7515" s="0" t="n">
        <v>2025</v>
      </c>
      <c r="E7515" s="0" t="inlineStr">
        <is>
          <t xml:space="preserve">furiosa, furiosa </t>
        </is>
      </c>
      <c r="F7515" s="0" t="inlineStr">
        <is>
          <t>F0370</t>
        </is>
      </c>
    </row>
    <row r="7516">
      <c r="A7516" s="0" t="inlineStr">
        <is>
          <t>Robert Jones</t>
        </is>
      </c>
      <c r="B7516" s="0" t="n">
        <v>2</v>
      </c>
      <c r="C7516" s="0" t="n">
        <v>2025</v>
      </c>
      <c r="D7516" s="0" t="n">
        <v>2025</v>
      </c>
      <c r="E7516" s="0" t="inlineStr">
        <is>
          <t xml:space="preserve">furiosa, furiosa </t>
        </is>
      </c>
      <c r="F7516" s="0" t="inlineStr">
        <is>
          <t>F0370</t>
        </is>
      </c>
    </row>
    <row r="7517">
      <c r="A7517" s="0" t="inlineStr">
        <is>
          <t>Clarence John Ryan</t>
        </is>
      </c>
      <c r="B7517" s="0" t="n">
        <v>2</v>
      </c>
      <c r="C7517" s="0" t="n">
        <v>2025</v>
      </c>
      <c r="D7517" s="0" t="n">
        <v>2025</v>
      </c>
      <c r="E7517" s="0" t="inlineStr">
        <is>
          <t xml:space="preserve">furiosa, furiosa </t>
        </is>
      </c>
      <c r="F7517" s="0" t="inlineStr">
        <is>
          <t>F0370</t>
        </is>
      </c>
    </row>
    <row r="7518">
      <c r="A7518" s="0" t="inlineStr">
        <is>
          <t>Tim Burns</t>
        </is>
      </c>
      <c r="B7518" s="0" t="n">
        <v>2</v>
      </c>
      <c r="C7518" s="0" t="n">
        <v>2025</v>
      </c>
      <c r="D7518" s="0" t="n">
        <v>2025</v>
      </c>
      <c r="E7518" s="0" t="inlineStr">
        <is>
          <t xml:space="preserve">furiosa, furiosa </t>
        </is>
      </c>
      <c r="F7518" s="0" t="inlineStr">
        <is>
          <t>F0370</t>
        </is>
      </c>
    </row>
    <row r="7519">
      <c r="A7519" s="0" t="inlineStr">
        <is>
          <t>Tim Rogers</t>
        </is>
      </c>
      <c r="B7519" s="0" t="n">
        <v>2</v>
      </c>
      <c r="C7519" s="0" t="n">
        <v>2025</v>
      </c>
      <c r="D7519" s="0" t="n">
        <v>2025</v>
      </c>
      <c r="E7519" s="0" t="inlineStr">
        <is>
          <t xml:space="preserve">furiosa, furiosa </t>
        </is>
      </c>
      <c r="F7519" s="0" t="inlineStr">
        <is>
          <t>F0370</t>
        </is>
      </c>
    </row>
    <row r="7520">
      <c r="A7520" s="0" t="inlineStr">
        <is>
          <t>Florence Mezzara</t>
        </is>
      </c>
      <c r="B7520" s="0" t="n">
        <v>2</v>
      </c>
      <c r="C7520" s="0" t="n">
        <v>2025</v>
      </c>
      <c r="D7520" s="0" t="n">
        <v>2025</v>
      </c>
      <c r="E7520" s="0" t="inlineStr">
        <is>
          <t xml:space="preserve">furiosa, furiosa </t>
        </is>
      </c>
      <c r="F7520" s="0" t="inlineStr">
        <is>
          <t>F0370</t>
        </is>
      </c>
    </row>
    <row r="7521">
      <c r="A7521" s="0" t="inlineStr">
        <is>
          <t>Quaden Bayles</t>
        </is>
      </c>
      <c r="B7521" s="0" t="n">
        <v>2</v>
      </c>
      <c r="C7521" s="0" t="n">
        <v>2025</v>
      </c>
      <c r="D7521" s="0" t="n">
        <v>2025</v>
      </c>
      <c r="E7521" s="0" t="inlineStr">
        <is>
          <t xml:space="preserve">furiosa, furiosa </t>
        </is>
      </c>
      <c r="F7521" s="0" t="inlineStr">
        <is>
          <t>F0370</t>
        </is>
      </c>
    </row>
    <row r="7522">
      <c r="A7522" s="0" t="inlineStr">
        <is>
          <t>Peter Stephens</t>
        </is>
      </c>
      <c r="B7522" s="0" t="n">
        <v>2</v>
      </c>
      <c r="C7522" s="0" t="n">
        <v>2025</v>
      </c>
      <c r="D7522" s="0" t="n">
        <v>2025</v>
      </c>
      <c r="E7522" s="0" t="inlineStr">
        <is>
          <t xml:space="preserve">furiosa, furiosa </t>
        </is>
      </c>
      <c r="F7522" s="0" t="inlineStr">
        <is>
          <t>F0370</t>
        </is>
      </c>
    </row>
    <row r="7523">
      <c r="A7523" s="0" t="inlineStr">
        <is>
          <t>Sean Millis</t>
        </is>
      </c>
      <c r="B7523" s="0" t="n">
        <v>2</v>
      </c>
      <c r="C7523" s="0" t="n">
        <v>2025</v>
      </c>
      <c r="D7523" s="0" t="n">
        <v>2025</v>
      </c>
      <c r="E7523" s="0" t="inlineStr">
        <is>
          <t xml:space="preserve">furiosa, furiosa </t>
        </is>
      </c>
      <c r="F7523" s="0" t="inlineStr">
        <is>
          <t>F0370</t>
        </is>
      </c>
    </row>
    <row r="7524">
      <c r="A7524" s="0" t="inlineStr">
        <is>
          <t>Dylan Adonis</t>
        </is>
      </c>
      <c r="B7524" s="0" t="n">
        <v>2</v>
      </c>
      <c r="C7524" s="0" t="n">
        <v>2025</v>
      </c>
      <c r="D7524" s="0" t="n">
        <v>2025</v>
      </c>
      <c r="E7524" s="0" t="inlineStr">
        <is>
          <t xml:space="preserve">furiosa, furiosa </t>
        </is>
      </c>
      <c r="F7524" s="0" t="inlineStr">
        <is>
          <t>F0370</t>
        </is>
      </c>
    </row>
    <row r="7525">
      <c r="A7525" s="0" t="inlineStr">
        <is>
          <t>Linda Cardellini</t>
        </is>
      </c>
      <c r="B7525" s="0" t="n">
        <v>2</v>
      </c>
      <c r="C7525" s="0" t="n">
        <v>2018</v>
      </c>
      <c r="D7525" s="0" t="n">
        <v>2018</v>
      </c>
      <c r="E7525" s="0" t="inlineStr">
        <is>
          <t xml:space="preserve">green book, green book </t>
        </is>
      </c>
      <c r="F7525" s="0" t="inlineStr">
        <is>
          <t>F0371</t>
        </is>
      </c>
    </row>
    <row r="7526">
      <c r="A7526" s="0" t="inlineStr">
        <is>
          <t>Dimiter D. Marinov</t>
        </is>
      </c>
      <c r="B7526" s="0" t="n">
        <v>2</v>
      </c>
      <c r="C7526" s="0" t="n">
        <v>2018</v>
      </c>
      <c r="D7526" s="0" t="n">
        <v>2018</v>
      </c>
      <c r="E7526" s="0" t="inlineStr">
        <is>
          <t xml:space="preserve">green book, green book </t>
        </is>
      </c>
      <c r="F7526" s="0" t="inlineStr">
        <is>
          <t>F0371</t>
        </is>
      </c>
    </row>
    <row r="7527">
      <c r="A7527" s="0" t="inlineStr">
        <is>
          <t>Mike Hatton</t>
        </is>
      </c>
      <c r="B7527" s="0" t="n">
        <v>2</v>
      </c>
      <c r="C7527" s="0" t="n">
        <v>2018</v>
      </c>
      <c r="D7527" s="0" t="n">
        <v>2018</v>
      </c>
      <c r="E7527" s="0" t="inlineStr">
        <is>
          <t xml:space="preserve">green book, green book </t>
        </is>
      </c>
      <c r="F7527" s="0" t="inlineStr">
        <is>
          <t>F0371</t>
        </is>
      </c>
    </row>
    <row r="7528">
      <c r="A7528" s="0" t="inlineStr">
        <is>
          <t>P.J. Byrne</t>
        </is>
      </c>
      <c r="B7528" s="0" t="n">
        <v>2</v>
      </c>
      <c r="C7528" s="0" t="n">
        <v>2018</v>
      </c>
      <c r="D7528" s="0" t="n">
        <v>2018</v>
      </c>
      <c r="E7528" s="0" t="inlineStr">
        <is>
          <t xml:space="preserve">green book, green book </t>
        </is>
      </c>
      <c r="F7528" s="0" t="inlineStr">
        <is>
          <t>F0371</t>
        </is>
      </c>
    </row>
    <row r="7529">
      <c r="A7529" s="0" t="inlineStr">
        <is>
          <t>Joe Cortese</t>
        </is>
      </c>
      <c r="B7529" s="0" t="n">
        <v>2</v>
      </c>
      <c r="C7529" s="0" t="n">
        <v>2018</v>
      </c>
      <c r="D7529" s="0" t="n">
        <v>2018</v>
      </c>
      <c r="E7529" s="0" t="inlineStr">
        <is>
          <t xml:space="preserve">green book, green book </t>
        </is>
      </c>
      <c r="F7529" s="0" t="inlineStr">
        <is>
          <t>F0371</t>
        </is>
      </c>
    </row>
    <row r="7530">
      <c r="A7530" s="0" t="inlineStr">
        <is>
          <t>Mary Agnes Nixon</t>
        </is>
      </c>
      <c r="B7530" s="0" t="n">
        <v>2</v>
      </c>
      <c r="C7530" s="0" t="n">
        <v>2018</v>
      </c>
      <c r="D7530" s="0" t="n">
        <v>2018</v>
      </c>
      <c r="E7530" s="0" t="inlineStr">
        <is>
          <t xml:space="preserve">green book, green book </t>
        </is>
      </c>
      <c r="F7530" s="0" t="inlineStr">
        <is>
          <t>F0371</t>
        </is>
      </c>
    </row>
    <row r="7531">
      <c r="A7531" s="0" t="inlineStr">
        <is>
          <t>Von Lewis</t>
        </is>
      </c>
      <c r="B7531" s="0" t="n">
        <v>2</v>
      </c>
      <c r="C7531" s="0" t="n">
        <v>2018</v>
      </c>
      <c r="D7531" s="0" t="n">
        <v>2018</v>
      </c>
      <c r="E7531" s="0" t="inlineStr">
        <is>
          <t xml:space="preserve">green book, green book </t>
        </is>
      </c>
      <c r="F7531" s="0" t="inlineStr">
        <is>
          <t>F0371</t>
        </is>
      </c>
    </row>
    <row r="7532">
      <c r="A7532" s="0" t="inlineStr">
        <is>
          <t>Jon Sortland</t>
        </is>
      </c>
      <c r="B7532" s="0" t="n">
        <v>2</v>
      </c>
      <c r="C7532" s="0" t="n">
        <v>2018</v>
      </c>
      <c r="D7532" s="0" t="n">
        <v>2018</v>
      </c>
      <c r="E7532" s="0" t="inlineStr">
        <is>
          <t xml:space="preserve">green book, green book </t>
        </is>
      </c>
      <c r="F7532" s="0" t="inlineStr">
        <is>
          <t>F0371</t>
        </is>
      </c>
    </row>
    <row r="7533">
      <c r="A7533" s="0" t="inlineStr">
        <is>
          <t>Don Stark</t>
        </is>
      </c>
      <c r="B7533" s="0" t="n">
        <v>2</v>
      </c>
      <c r="C7533" s="0" t="n">
        <v>2018</v>
      </c>
      <c r="D7533" s="0" t="n">
        <v>2018</v>
      </c>
      <c r="E7533" s="0" t="inlineStr">
        <is>
          <t xml:space="preserve">green book, green book </t>
        </is>
      </c>
      <c r="F7533" s="0" t="inlineStr">
        <is>
          <t>F0371</t>
        </is>
      </c>
    </row>
    <row r="7534">
      <c r="A7534" s="0" t="inlineStr">
        <is>
          <t>Anthony Mangano</t>
        </is>
      </c>
      <c r="B7534" s="0" t="n">
        <v>2</v>
      </c>
      <c r="C7534" s="0" t="n">
        <v>2018</v>
      </c>
      <c r="D7534" s="0" t="n">
        <v>2018</v>
      </c>
      <c r="E7534" s="0" t="inlineStr">
        <is>
          <t xml:space="preserve">green book, green book </t>
        </is>
      </c>
      <c r="F7534" s="0" t="inlineStr">
        <is>
          <t>F0371</t>
        </is>
      </c>
    </row>
    <row r="7535">
      <c r="A7535" s="0" t="inlineStr">
        <is>
          <t>Paul Sloan</t>
        </is>
      </c>
      <c r="B7535" s="0" t="n">
        <v>2</v>
      </c>
      <c r="C7535" s="0" t="n">
        <v>2018</v>
      </c>
      <c r="D7535" s="0" t="n">
        <v>2018</v>
      </c>
      <c r="E7535" s="0" t="inlineStr">
        <is>
          <t xml:space="preserve">green book, green book </t>
        </is>
      </c>
      <c r="F7535" s="0" t="inlineStr">
        <is>
          <t>F0371</t>
        </is>
      </c>
    </row>
    <row r="7536">
      <c r="A7536" s="0" t="inlineStr">
        <is>
          <t>Quinn Duffy</t>
        </is>
      </c>
      <c r="B7536" s="0" t="n">
        <v>2</v>
      </c>
      <c r="C7536" s="0" t="n">
        <v>2018</v>
      </c>
      <c r="D7536" s="0" t="n">
        <v>2018</v>
      </c>
      <c r="E7536" s="0" t="inlineStr">
        <is>
          <t xml:space="preserve">green book, green book </t>
        </is>
      </c>
      <c r="F7536" s="0" t="inlineStr">
        <is>
          <t>F0371</t>
        </is>
      </c>
    </row>
    <row r="7537">
      <c r="A7537" s="0" t="inlineStr">
        <is>
          <t>Seth Hurwitz</t>
        </is>
      </c>
      <c r="B7537" s="0" t="n">
        <v>2</v>
      </c>
      <c r="C7537" s="0" t="n">
        <v>2018</v>
      </c>
      <c r="D7537" s="0" t="n">
        <v>2018</v>
      </c>
      <c r="E7537" s="0" t="inlineStr">
        <is>
          <t xml:space="preserve">green book, green book </t>
        </is>
      </c>
      <c r="F7537" s="0" t="inlineStr">
        <is>
          <t>F0371</t>
        </is>
      </c>
    </row>
    <row r="7538">
      <c r="A7538" s="0" t="inlineStr">
        <is>
          <t>Hudson Galloway</t>
        </is>
      </c>
      <c r="B7538" s="0" t="n">
        <v>2</v>
      </c>
      <c r="C7538" s="0" t="n">
        <v>2018</v>
      </c>
      <c r="D7538" s="0" t="n">
        <v>2018</v>
      </c>
      <c r="E7538" s="0" t="inlineStr">
        <is>
          <t xml:space="preserve">green book, green book </t>
        </is>
      </c>
      <c r="F7538" s="0" t="inlineStr">
        <is>
          <t>F0371</t>
        </is>
      </c>
    </row>
    <row r="7539">
      <c r="A7539" s="0" t="inlineStr">
        <is>
          <t>Gavin Foley</t>
        </is>
      </c>
      <c r="B7539" s="0" t="n">
        <v>2</v>
      </c>
      <c r="C7539" s="0" t="n">
        <v>2018</v>
      </c>
      <c r="D7539" s="0" t="n">
        <v>2018</v>
      </c>
      <c r="E7539" s="0" t="inlineStr">
        <is>
          <t xml:space="preserve">green book, green book </t>
        </is>
      </c>
      <c r="F7539" s="0" t="inlineStr">
        <is>
          <t>F0371</t>
        </is>
      </c>
    </row>
    <row r="7540">
      <c r="A7540" s="0" t="inlineStr">
        <is>
          <t>Iqbal Theba</t>
        </is>
      </c>
      <c r="B7540" s="0" t="n">
        <v>2</v>
      </c>
      <c r="C7540" s="0" t="n">
        <v>2018</v>
      </c>
      <c r="D7540" s="0" t="n">
        <v>2018</v>
      </c>
      <c r="E7540" s="0" t="inlineStr">
        <is>
          <t xml:space="preserve">green book, green book </t>
        </is>
      </c>
      <c r="F7540" s="0" t="inlineStr">
        <is>
          <t>F0371</t>
        </is>
      </c>
    </row>
    <row r="7541">
      <c r="A7541" s="0" t="inlineStr">
        <is>
          <t>Ricky Muse</t>
        </is>
      </c>
      <c r="B7541" s="0" t="n">
        <v>2</v>
      </c>
      <c r="C7541" s="0" t="n">
        <v>2018</v>
      </c>
      <c r="D7541" s="0" t="n">
        <v>2018</v>
      </c>
      <c r="E7541" s="0" t="inlineStr">
        <is>
          <t xml:space="preserve">green book, green book </t>
        </is>
      </c>
      <c r="F7541" s="0" t="inlineStr">
        <is>
          <t>F0371</t>
        </is>
      </c>
    </row>
    <row r="7542">
      <c r="A7542" s="0" t="inlineStr">
        <is>
          <t>Montrel Miller</t>
        </is>
      </c>
      <c r="B7542" s="0" t="n">
        <v>2</v>
      </c>
      <c r="C7542" s="0" t="n">
        <v>2018</v>
      </c>
      <c r="D7542" s="0" t="n">
        <v>2018</v>
      </c>
      <c r="E7542" s="0" t="inlineStr">
        <is>
          <t xml:space="preserve">green book, green book </t>
        </is>
      </c>
      <c r="F7542" s="0" t="inlineStr">
        <is>
          <t>F0371</t>
        </is>
      </c>
    </row>
    <row r="7543">
      <c r="A7543" s="0" t="inlineStr">
        <is>
          <t>Rodolfo Vallelonga</t>
        </is>
      </c>
      <c r="B7543" s="0" t="n">
        <v>2</v>
      </c>
      <c r="C7543" s="0" t="n">
        <v>2018</v>
      </c>
      <c r="D7543" s="0" t="n">
        <v>2018</v>
      </c>
      <c r="E7543" s="0" t="inlineStr">
        <is>
          <t xml:space="preserve">green book, green book </t>
        </is>
      </c>
      <c r="F7543" s="0" t="inlineStr">
        <is>
          <t>F0371</t>
        </is>
      </c>
    </row>
    <row r="7544">
      <c r="A7544" s="0" t="inlineStr">
        <is>
          <t>Louis Venere</t>
        </is>
      </c>
      <c r="B7544" s="0" t="n">
        <v>2</v>
      </c>
      <c r="C7544" s="0" t="n">
        <v>2018</v>
      </c>
      <c r="D7544" s="0" t="n">
        <v>2018</v>
      </c>
      <c r="E7544" s="0" t="inlineStr">
        <is>
          <t xml:space="preserve">green book, green book </t>
        </is>
      </c>
      <c r="F7544" s="0" t="inlineStr">
        <is>
          <t>F0371</t>
        </is>
      </c>
    </row>
    <row r="7545">
      <c r="A7545" s="0" t="inlineStr">
        <is>
          <t>Frank Vallelonga</t>
        </is>
      </c>
      <c r="B7545" s="0" t="n">
        <v>2</v>
      </c>
      <c r="C7545" s="0" t="n">
        <v>2018</v>
      </c>
      <c r="D7545" s="0" t="n">
        <v>2018</v>
      </c>
      <c r="E7545" s="0" t="inlineStr">
        <is>
          <t xml:space="preserve">green book, green book </t>
        </is>
      </c>
      <c r="F7545" s="0" t="inlineStr">
        <is>
          <t>F0371</t>
        </is>
      </c>
    </row>
    <row r="7546">
      <c r="A7546" s="0" t="inlineStr">
        <is>
          <t>Don DiPetta</t>
        </is>
      </c>
      <c r="B7546" s="0" t="n">
        <v>2</v>
      </c>
      <c r="C7546" s="0" t="n">
        <v>2018</v>
      </c>
      <c r="D7546" s="0" t="n">
        <v>2018</v>
      </c>
      <c r="E7546" s="0" t="inlineStr">
        <is>
          <t xml:space="preserve">green book, green book </t>
        </is>
      </c>
      <c r="F7546" s="0" t="inlineStr">
        <is>
          <t>F0371</t>
        </is>
      </c>
    </row>
    <row r="7547">
      <c r="A7547" s="0" t="inlineStr">
        <is>
          <t>Jenna Laurenzo</t>
        </is>
      </c>
      <c r="B7547" s="0" t="n">
        <v>2</v>
      </c>
      <c r="C7547" s="0" t="n">
        <v>2018</v>
      </c>
      <c r="D7547" s="0" t="n">
        <v>2018</v>
      </c>
      <c r="E7547" s="0" t="inlineStr">
        <is>
          <t xml:space="preserve">green book, green book </t>
        </is>
      </c>
      <c r="F7547" s="0" t="inlineStr">
        <is>
          <t>F0371</t>
        </is>
      </c>
    </row>
    <row r="7548">
      <c r="A7548" s="0" t="inlineStr">
        <is>
          <t>Suehyla El-Attar Young</t>
        </is>
      </c>
      <c r="B7548" s="0" t="n">
        <v>2</v>
      </c>
      <c r="C7548" s="0" t="n">
        <v>2018</v>
      </c>
      <c r="D7548" s="0" t="n">
        <v>2018</v>
      </c>
      <c r="E7548" s="0" t="inlineStr">
        <is>
          <t xml:space="preserve">green book, green book </t>
        </is>
      </c>
      <c r="F7548" s="0" t="inlineStr">
        <is>
          <t>F0371</t>
        </is>
      </c>
    </row>
    <row r="7549">
      <c r="A7549" s="0" t="inlineStr">
        <is>
          <t>Derrick Spears</t>
        </is>
      </c>
      <c r="B7549" s="0" t="n">
        <v>2</v>
      </c>
      <c r="C7549" s="0" t="n">
        <v>2018</v>
      </c>
      <c r="D7549" s="0" t="n">
        <v>2018</v>
      </c>
      <c r="E7549" s="0" t="inlineStr">
        <is>
          <t xml:space="preserve">green book, green book </t>
        </is>
      </c>
      <c r="F7549" s="0" t="inlineStr">
        <is>
          <t>F0371</t>
        </is>
      </c>
    </row>
    <row r="7550">
      <c r="A7550" s="0" t="inlineStr">
        <is>
          <t>Dan Stevens</t>
        </is>
      </c>
      <c r="B7550" s="0" t="n">
        <v>1</v>
      </c>
      <c r="C7550" s="0" t="n">
        <v>2024</v>
      </c>
      <c r="D7550" s="0" t="n">
        <v>2024</v>
      </c>
      <c r="E7550" s="0" t="inlineStr">
        <is>
          <t>godzilla x kong  the new empire</t>
        </is>
      </c>
      <c r="F7550" s="0" t="inlineStr">
        <is>
          <t>F0372</t>
        </is>
      </c>
    </row>
    <row r="7551">
      <c r="A7551" s="0" t="inlineStr">
        <is>
          <t>Fala Chen</t>
        </is>
      </c>
      <c r="B7551" s="0" t="n">
        <v>1</v>
      </c>
      <c r="C7551" s="0" t="n">
        <v>2024</v>
      </c>
      <c r="D7551" s="0" t="n">
        <v>2024</v>
      </c>
      <c r="E7551" s="0" t="inlineStr">
        <is>
          <t>godzilla x kong  the new empire</t>
        </is>
      </c>
      <c r="F7551" s="0" t="inlineStr">
        <is>
          <t>F0372</t>
        </is>
      </c>
    </row>
    <row r="7552">
      <c r="A7552" s="0" t="inlineStr">
        <is>
          <t>Rachel House</t>
        </is>
      </c>
      <c r="B7552" s="0" t="n">
        <v>1</v>
      </c>
      <c r="C7552" s="0" t="n">
        <v>2024</v>
      </c>
      <c r="D7552" s="0" t="n">
        <v>2024</v>
      </c>
      <c r="E7552" s="0" t="inlineStr">
        <is>
          <t>godzilla x kong  the new empire</t>
        </is>
      </c>
      <c r="F7552" s="0" t="inlineStr">
        <is>
          <t>F0372</t>
        </is>
      </c>
    </row>
    <row r="7553">
      <c r="A7553" s="0" t="inlineStr">
        <is>
          <t>Ron Smyck</t>
        </is>
      </c>
      <c r="B7553" s="0" t="n">
        <v>1</v>
      </c>
      <c r="C7553" s="0" t="n">
        <v>2024</v>
      </c>
      <c r="D7553" s="0" t="n">
        <v>2024</v>
      </c>
      <c r="E7553" s="0" t="inlineStr">
        <is>
          <t>godzilla x kong  the new empire</t>
        </is>
      </c>
      <c r="F7553" s="0" t="inlineStr">
        <is>
          <t>F0372</t>
        </is>
      </c>
    </row>
    <row r="7554">
      <c r="A7554" s="0" t="inlineStr">
        <is>
          <t>Chantelle Jamieson</t>
        </is>
      </c>
      <c r="B7554" s="0" t="n">
        <v>1</v>
      </c>
      <c r="C7554" s="0" t="n">
        <v>2024</v>
      </c>
      <c r="D7554" s="0" t="n">
        <v>2024</v>
      </c>
      <c r="E7554" s="0" t="inlineStr">
        <is>
          <t>godzilla x kong  the new empire</t>
        </is>
      </c>
      <c r="F7554" s="0" t="inlineStr">
        <is>
          <t>F0372</t>
        </is>
      </c>
    </row>
    <row r="7555">
      <c r="A7555" s="0" t="inlineStr">
        <is>
          <t>Greg Hatton</t>
        </is>
      </c>
      <c r="B7555" s="0" t="n">
        <v>1</v>
      </c>
      <c r="C7555" s="0" t="n">
        <v>2024</v>
      </c>
      <c r="D7555" s="0" t="n">
        <v>2024</v>
      </c>
      <c r="E7555" s="0" t="inlineStr">
        <is>
          <t>godzilla x kong  the new empire</t>
        </is>
      </c>
      <c r="F7555" s="0" t="inlineStr">
        <is>
          <t>F0372</t>
        </is>
      </c>
    </row>
    <row r="7556">
      <c r="A7556" s="0" t="inlineStr">
        <is>
          <t>Kevin Copeland</t>
        </is>
      </c>
      <c r="B7556" s="0" t="n">
        <v>1</v>
      </c>
      <c r="C7556" s="0" t="n">
        <v>2024</v>
      </c>
      <c r="D7556" s="0" t="n">
        <v>2024</v>
      </c>
      <c r="E7556" s="0" t="inlineStr">
        <is>
          <t>godzilla x kong  the new empire</t>
        </is>
      </c>
      <c r="F7556" s="0" t="inlineStr">
        <is>
          <t>F0372</t>
        </is>
      </c>
    </row>
    <row r="7557">
      <c r="A7557" s="0" t="inlineStr">
        <is>
          <t>Tess Dobre</t>
        </is>
      </c>
      <c r="B7557" s="0" t="n">
        <v>1</v>
      </c>
      <c r="C7557" s="0" t="n">
        <v>2024</v>
      </c>
      <c r="D7557" s="0" t="n">
        <v>2024</v>
      </c>
      <c r="E7557" s="0" t="inlineStr">
        <is>
          <t>godzilla x kong  the new empire</t>
        </is>
      </c>
      <c r="F7557" s="0" t="inlineStr">
        <is>
          <t>F0372</t>
        </is>
      </c>
    </row>
    <row r="7558">
      <c r="A7558" s="0" t="inlineStr">
        <is>
          <t>Tim Carroll</t>
        </is>
      </c>
      <c r="B7558" s="0" t="n">
        <v>1</v>
      </c>
      <c r="C7558" s="0" t="n">
        <v>2024</v>
      </c>
      <c r="D7558" s="0" t="n">
        <v>2024</v>
      </c>
      <c r="E7558" s="0" t="inlineStr">
        <is>
          <t>godzilla x kong  the new empire</t>
        </is>
      </c>
      <c r="F7558" s="0" t="inlineStr">
        <is>
          <t>F0372</t>
        </is>
      </c>
    </row>
    <row r="7559">
      <c r="A7559" s="0" t="inlineStr">
        <is>
          <t>Anthony Brandon Wong</t>
        </is>
      </c>
      <c r="B7559" s="0" t="n">
        <v>1</v>
      </c>
      <c r="C7559" s="0" t="n">
        <v>2024</v>
      </c>
      <c r="D7559" s="0" t="n">
        <v>2024</v>
      </c>
      <c r="E7559" s="0" t="inlineStr">
        <is>
          <t>godzilla x kong  the new empire</t>
        </is>
      </c>
      <c r="F7559" s="0" t="inlineStr">
        <is>
          <t>F0372</t>
        </is>
      </c>
    </row>
    <row r="7560">
      <c r="A7560" s="0" t="inlineStr">
        <is>
          <t>Sophia Emberson-Bain</t>
        </is>
      </c>
      <c r="B7560" s="0" t="n">
        <v>1</v>
      </c>
      <c r="C7560" s="0" t="n">
        <v>2024</v>
      </c>
      <c r="D7560" s="0" t="n">
        <v>2024</v>
      </c>
      <c r="E7560" s="0" t="inlineStr">
        <is>
          <t>godzilla x kong  the new empire</t>
        </is>
      </c>
      <c r="F7560" s="0" t="inlineStr">
        <is>
          <t>F0372</t>
        </is>
      </c>
    </row>
    <row r="7561">
      <c r="A7561" s="0" t="inlineStr">
        <is>
          <t>Chika Ikogwe</t>
        </is>
      </c>
      <c r="B7561" s="0" t="n">
        <v>1</v>
      </c>
      <c r="C7561" s="0" t="n">
        <v>2024</v>
      </c>
      <c r="D7561" s="0" t="n">
        <v>2024</v>
      </c>
      <c r="E7561" s="0" t="inlineStr">
        <is>
          <t>godzilla x kong  the new empire</t>
        </is>
      </c>
      <c r="F7561" s="0" t="inlineStr">
        <is>
          <t>F0372</t>
        </is>
      </c>
    </row>
    <row r="7562">
      <c r="A7562" s="0" t="inlineStr">
        <is>
          <t>Vincent B. Gorce</t>
        </is>
      </c>
      <c r="B7562" s="0" t="n">
        <v>1</v>
      </c>
      <c r="C7562" s="0" t="n">
        <v>2024</v>
      </c>
      <c r="D7562" s="0" t="n">
        <v>2024</v>
      </c>
      <c r="E7562" s="0" t="inlineStr">
        <is>
          <t>godzilla x kong  the new empire</t>
        </is>
      </c>
      <c r="F7562" s="0" t="inlineStr">
        <is>
          <t>F0372</t>
        </is>
      </c>
    </row>
    <row r="7563">
      <c r="A7563" s="0" t="inlineStr">
        <is>
          <t>Zhou Yeye</t>
        </is>
      </c>
      <c r="B7563" s="0" t="n">
        <v>1</v>
      </c>
      <c r="C7563" s="0" t="n">
        <v>2024</v>
      </c>
      <c r="D7563" s="0" t="n">
        <v>2024</v>
      </c>
      <c r="E7563" s="0" t="inlineStr">
        <is>
          <t>godzilla x kong  the new empire</t>
        </is>
      </c>
      <c r="F7563" s="0" t="inlineStr">
        <is>
          <t>F0372</t>
        </is>
      </c>
    </row>
    <row r="7564">
      <c r="A7564" s="0" t="inlineStr">
        <is>
          <t>Jamaliah Othman</t>
        </is>
      </c>
      <c r="B7564" s="0" t="n">
        <v>1</v>
      </c>
      <c r="C7564" s="0" t="n">
        <v>2024</v>
      </c>
      <c r="D7564" s="0" t="n">
        <v>2024</v>
      </c>
      <c r="E7564" s="0" t="inlineStr">
        <is>
          <t>godzilla x kong  the new empire</t>
        </is>
      </c>
      <c r="F7564" s="0" t="inlineStr">
        <is>
          <t>F0372</t>
        </is>
      </c>
    </row>
    <row r="7565">
      <c r="A7565" s="0" t="inlineStr">
        <is>
          <t>Nick Lawler</t>
        </is>
      </c>
      <c r="B7565" s="0" t="n">
        <v>1</v>
      </c>
      <c r="C7565" s="0" t="n">
        <v>2024</v>
      </c>
      <c r="D7565" s="0" t="n">
        <v>2024</v>
      </c>
      <c r="E7565" s="0" t="inlineStr">
        <is>
          <t>godzilla x kong  the new empire</t>
        </is>
      </c>
      <c r="F7565" s="0" t="inlineStr">
        <is>
          <t>F0372</t>
        </is>
      </c>
    </row>
    <row r="7566">
      <c r="A7566" s="0" t="inlineStr">
        <is>
          <t>Jordy Campbell</t>
        </is>
      </c>
      <c r="B7566" s="0" t="n">
        <v>1</v>
      </c>
      <c r="C7566" s="0" t="n">
        <v>2024</v>
      </c>
      <c r="D7566" s="0" t="n">
        <v>2024</v>
      </c>
      <c r="E7566" s="0" t="inlineStr">
        <is>
          <t>godzilla x kong  the new empire</t>
        </is>
      </c>
      <c r="F7566" s="0" t="inlineStr">
        <is>
          <t>F0372</t>
        </is>
      </c>
    </row>
    <row r="7567">
      <c r="A7567" s="0" t="inlineStr">
        <is>
          <t>Cassie Riley</t>
        </is>
      </c>
      <c r="B7567" s="0" t="n">
        <v>1</v>
      </c>
      <c r="C7567" s="0" t="n">
        <v>2024</v>
      </c>
      <c r="D7567" s="0" t="n">
        <v>2024</v>
      </c>
      <c r="E7567" s="0" t="inlineStr">
        <is>
          <t>godzilla x kong  the new empire</t>
        </is>
      </c>
      <c r="F7567" s="0" t="inlineStr">
        <is>
          <t>F0372</t>
        </is>
      </c>
    </row>
    <row r="7568">
      <c r="A7568" s="0" t="inlineStr">
        <is>
          <t>Robert Clavero</t>
        </is>
      </c>
      <c r="B7568" s="0" t="n">
        <v>1</v>
      </c>
      <c r="C7568" s="0" t="n">
        <v>2024</v>
      </c>
      <c r="D7568" s="0" t="n">
        <v>2024</v>
      </c>
      <c r="E7568" s="0" t="inlineStr">
        <is>
          <t>godzilla x kong  the new empire</t>
        </is>
      </c>
      <c r="F7568" s="0" t="inlineStr">
        <is>
          <t>F0372</t>
        </is>
      </c>
    </row>
    <row r="7569">
      <c r="A7569" s="0" t="inlineStr">
        <is>
          <t>Patrick Moroney</t>
        </is>
      </c>
      <c r="B7569" s="0" t="n">
        <v>1</v>
      </c>
      <c r="C7569" s="0" t="n">
        <v>2024</v>
      </c>
      <c r="D7569" s="0" t="n">
        <v>2024</v>
      </c>
      <c r="E7569" s="0" t="inlineStr">
        <is>
          <t>godzilla x kong  the new empire</t>
        </is>
      </c>
      <c r="F7569" s="0" t="inlineStr">
        <is>
          <t>F0372</t>
        </is>
      </c>
    </row>
    <row r="7570">
      <c r="A7570" s="0" t="inlineStr">
        <is>
          <t>Selma Blair</t>
        </is>
      </c>
      <c r="B7570" s="0" t="n">
        <v>1</v>
      </c>
      <c r="C7570" s="0" t="n">
        <v>2004</v>
      </c>
      <c r="D7570" s="0" t="n">
        <v>2004</v>
      </c>
      <c r="E7570" s="0" t="inlineStr">
        <is>
          <t>hellboy</t>
        </is>
      </c>
      <c r="F7570" s="0" t="inlineStr">
        <is>
          <t>F0373</t>
        </is>
      </c>
    </row>
    <row r="7571">
      <c r="A7571" s="0" t="inlineStr">
        <is>
          <t>Doug Jones</t>
        </is>
      </c>
      <c r="B7571" s="0" t="n">
        <v>1</v>
      </c>
      <c r="C7571" s="0" t="n">
        <v>2004</v>
      </c>
      <c r="D7571" s="0" t="n">
        <v>2004</v>
      </c>
      <c r="E7571" s="0" t="inlineStr">
        <is>
          <t>hellboy</t>
        </is>
      </c>
      <c r="F7571" s="0" t="inlineStr">
        <is>
          <t>F0373</t>
        </is>
      </c>
    </row>
    <row r="7572">
      <c r="A7572" s="0" t="inlineStr">
        <is>
          <t>Rupert Evans</t>
        </is>
      </c>
      <c r="B7572" s="0" t="n">
        <v>1</v>
      </c>
      <c r="C7572" s="0" t="n">
        <v>2004</v>
      </c>
      <c r="D7572" s="0" t="n">
        <v>2004</v>
      </c>
      <c r="E7572" s="0" t="inlineStr">
        <is>
          <t>hellboy</t>
        </is>
      </c>
      <c r="F7572" s="0" t="inlineStr">
        <is>
          <t>F0373</t>
        </is>
      </c>
    </row>
    <row r="7573">
      <c r="A7573" s="0" t="inlineStr">
        <is>
          <t>Bridget Hodson</t>
        </is>
      </c>
      <c r="B7573" s="0" t="n">
        <v>1</v>
      </c>
      <c r="C7573" s="0" t="n">
        <v>2004</v>
      </c>
      <c r="D7573" s="0" t="n">
        <v>2004</v>
      </c>
      <c r="E7573" s="0" t="inlineStr">
        <is>
          <t>hellboy</t>
        </is>
      </c>
      <c r="F7573" s="0" t="inlineStr">
        <is>
          <t>F0373</t>
        </is>
      </c>
    </row>
    <row r="7574">
      <c r="A7574" s="0" t="inlineStr">
        <is>
          <t>Kevin Trainor</t>
        </is>
      </c>
      <c r="B7574" s="0" t="n">
        <v>1</v>
      </c>
      <c r="C7574" s="0" t="n">
        <v>2004</v>
      </c>
      <c r="D7574" s="0" t="n">
        <v>2004</v>
      </c>
      <c r="E7574" s="0" t="inlineStr">
        <is>
          <t>hellboy</t>
        </is>
      </c>
      <c r="F7574" s="0" t="inlineStr">
        <is>
          <t>F0373</t>
        </is>
      </c>
    </row>
    <row r="7575">
      <c r="A7575" s="0" t="inlineStr">
        <is>
          <t>James Babson</t>
        </is>
      </c>
      <c r="B7575" s="0" t="n">
        <v>1</v>
      </c>
      <c r="C7575" s="0" t="n">
        <v>2004</v>
      </c>
      <c r="D7575" s="0" t="n">
        <v>2004</v>
      </c>
      <c r="E7575" s="0" t="inlineStr">
        <is>
          <t>hellboy</t>
        </is>
      </c>
      <c r="F7575" s="0" t="inlineStr">
        <is>
          <t>F0373</t>
        </is>
      </c>
    </row>
    <row r="7576">
      <c r="A7576" s="0" t="inlineStr">
        <is>
          <t>Stephen Fisher</t>
        </is>
      </c>
      <c r="B7576" s="0" t="n">
        <v>1</v>
      </c>
      <c r="C7576" s="0" t="n">
        <v>2004</v>
      </c>
      <c r="D7576" s="0" t="n">
        <v>2004</v>
      </c>
      <c r="E7576" s="0" t="inlineStr">
        <is>
          <t>hellboy</t>
        </is>
      </c>
      <c r="F7576" s="0" t="inlineStr">
        <is>
          <t>F0373</t>
        </is>
      </c>
    </row>
    <row r="7577">
      <c r="A7577" s="0" t="inlineStr">
        <is>
          <t>Garth Cooper</t>
        </is>
      </c>
      <c r="B7577" s="0" t="n">
        <v>1</v>
      </c>
      <c r="C7577" s="0" t="n">
        <v>2004</v>
      </c>
      <c r="D7577" s="0" t="n">
        <v>2004</v>
      </c>
      <c r="E7577" s="0" t="inlineStr">
        <is>
          <t>hellboy</t>
        </is>
      </c>
      <c r="F7577" s="0" t="inlineStr">
        <is>
          <t>F0373</t>
        </is>
      </c>
    </row>
    <row r="7578">
      <c r="A7578" s="0" t="inlineStr">
        <is>
          <t>Jim Howick</t>
        </is>
      </c>
      <c r="B7578" s="0" t="n">
        <v>1</v>
      </c>
      <c r="C7578" s="0" t="n">
        <v>2004</v>
      </c>
      <c r="D7578" s="0" t="n">
        <v>2004</v>
      </c>
      <c r="E7578" s="0" t="inlineStr">
        <is>
          <t>hellboy</t>
        </is>
      </c>
      <c r="F7578" s="0" t="inlineStr">
        <is>
          <t>F0373</t>
        </is>
      </c>
    </row>
    <row r="7579">
      <c r="A7579" s="0" t="inlineStr">
        <is>
          <t>Mark Taylor</t>
        </is>
      </c>
      <c r="B7579" s="0" t="n">
        <v>1</v>
      </c>
      <c r="C7579" s="0" t="n">
        <v>2004</v>
      </c>
      <c r="D7579" s="0" t="n">
        <v>2004</v>
      </c>
      <c r="E7579" s="0" t="inlineStr">
        <is>
          <t>hellboy</t>
        </is>
      </c>
      <c r="F7579" s="0" t="inlineStr">
        <is>
          <t>F0373</t>
        </is>
      </c>
    </row>
    <row r="7580">
      <c r="A7580" s="0" t="inlineStr">
        <is>
          <t>Daniel Aarsman</t>
        </is>
      </c>
      <c r="B7580" s="0" t="n">
        <v>1</v>
      </c>
      <c r="C7580" s="0" t="n">
        <v>2004</v>
      </c>
      <c r="D7580" s="0" t="n">
        <v>2004</v>
      </c>
      <c r="E7580" s="0" t="inlineStr">
        <is>
          <t>hellboy</t>
        </is>
      </c>
      <c r="F7580" s="0" t="inlineStr">
        <is>
          <t>F0373</t>
        </is>
      </c>
    </row>
    <row r="7581">
      <c r="A7581" s="0" t="inlineStr">
        <is>
          <t>Bettina Ask</t>
        </is>
      </c>
      <c r="B7581" s="0" t="n">
        <v>1</v>
      </c>
      <c r="C7581" s="0" t="n">
        <v>2004</v>
      </c>
      <c r="D7581" s="0" t="n">
        <v>2004</v>
      </c>
      <c r="E7581" s="0" t="inlineStr">
        <is>
          <t>hellboy</t>
        </is>
      </c>
      <c r="F7581" s="0" t="inlineStr">
        <is>
          <t>F0373</t>
        </is>
      </c>
    </row>
    <row r="7582">
      <c r="A7582" s="0" t="inlineStr">
        <is>
          <t>Álvaro Navarro</t>
        </is>
      </c>
      <c r="B7582" s="0" t="n">
        <v>1</v>
      </c>
      <c r="C7582" s="0" t="n">
        <v>2004</v>
      </c>
      <c r="D7582" s="0" t="n">
        <v>2004</v>
      </c>
      <c r="E7582" s="0" t="inlineStr">
        <is>
          <t>hellboy</t>
        </is>
      </c>
      <c r="F7582" s="0" t="inlineStr">
        <is>
          <t>F0373</t>
        </is>
      </c>
    </row>
    <row r="7583">
      <c r="A7583" s="0" t="inlineStr">
        <is>
          <t>Emilio Navarro</t>
        </is>
      </c>
      <c r="B7583" s="0" t="n">
        <v>1</v>
      </c>
      <c r="C7583" s="0" t="n">
        <v>2004</v>
      </c>
      <c r="D7583" s="0" t="n">
        <v>2004</v>
      </c>
      <c r="E7583" s="0" t="inlineStr">
        <is>
          <t>hellboy</t>
        </is>
      </c>
      <c r="F7583" s="0" t="inlineStr">
        <is>
          <t>F0373</t>
        </is>
      </c>
    </row>
    <row r="7584">
      <c r="A7584" s="0" t="inlineStr">
        <is>
          <t>Rory Copus</t>
        </is>
      </c>
      <c r="B7584" s="0" t="n">
        <v>1</v>
      </c>
      <c r="C7584" s="0" t="n">
        <v>2004</v>
      </c>
      <c r="D7584" s="0" t="n">
        <v>2004</v>
      </c>
      <c r="E7584" s="0" t="inlineStr">
        <is>
          <t>hellboy</t>
        </is>
      </c>
      <c r="F7584" s="0" t="inlineStr">
        <is>
          <t>F0373</t>
        </is>
      </c>
    </row>
    <row r="7585">
      <c r="A7585" s="0" t="inlineStr">
        <is>
          <t>Tara Hugo</t>
        </is>
      </c>
      <c r="B7585" s="0" t="n">
        <v>1</v>
      </c>
      <c r="C7585" s="0" t="n">
        <v>2004</v>
      </c>
      <c r="D7585" s="0" t="n">
        <v>2004</v>
      </c>
      <c r="E7585" s="0" t="inlineStr">
        <is>
          <t>hellboy</t>
        </is>
      </c>
      <c r="F7585" s="0" t="inlineStr">
        <is>
          <t>F0373</t>
        </is>
      </c>
    </row>
    <row r="7586">
      <c r="A7586" s="0" t="inlineStr">
        <is>
          <t>Richard Haas</t>
        </is>
      </c>
      <c r="B7586" s="0" t="n">
        <v>1</v>
      </c>
      <c r="C7586" s="0" t="n">
        <v>2004</v>
      </c>
      <c r="D7586" s="0" t="n">
        <v>2004</v>
      </c>
      <c r="E7586" s="0" t="inlineStr">
        <is>
          <t>hellboy</t>
        </is>
      </c>
      <c r="F7586" s="0" t="inlineStr">
        <is>
          <t>F0373</t>
        </is>
      </c>
    </row>
    <row r="7587">
      <c r="A7587" s="0" t="inlineStr">
        <is>
          <t>Andrea Miltner</t>
        </is>
      </c>
      <c r="B7587" s="0" t="n">
        <v>1</v>
      </c>
      <c r="C7587" s="0" t="n">
        <v>2004</v>
      </c>
      <c r="D7587" s="0" t="n">
        <v>2004</v>
      </c>
      <c r="E7587" s="0" t="inlineStr">
        <is>
          <t>hellboy</t>
        </is>
      </c>
      <c r="F7587" s="0" t="inlineStr">
        <is>
          <t>F0373</t>
        </is>
      </c>
    </row>
    <row r="7588">
      <c r="A7588" s="0" t="inlineStr">
        <is>
          <t>Jo Eastwood</t>
        </is>
      </c>
      <c r="B7588" s="0" t="n">
        <v>1</v>
      </c>
      <c r="C7588" s="0" t="n">
        <v>2004</v>
      </c>
      <c r="D7588" s="0" t="n">
        <v>2004</v>
      </c>
      <c r="E7588" s="0" t="inlineStr">
        <is>
          <t>hellboy</t>
        </is>
      </c>
      <c r="F7588" s="0" t="inlineStr">
        <is>
          <t>F0373</t>
        </is>
      </c>
    </row>
    <row r="7589">
      <c r="A7589" s="0" t="inlineStr">
        <is>
          <t>Charles Grisham</t>
        </is>
      </c>
      <c r="B7589" s="0" t="n">
        <v>1</v>
      </c>
      <c r="C7589" s="0" t="n">
        <v>2004</v>
      </c>
      <c r="D7589" s="0" t="n">
        <v>2004</v>
      </c>
      <c r="E7589" s="0" t="inlineStr">
        <is>
          <t>hellboy</t>
        </is>
      </c>
      <c r="F7589" s="0" t="inlineStr">
        <is>
          <t>F0373</t>
        </is>
      </c>
    </row>
    <row r="7590">
      <c r="A7590" s="0" t="inlineStr">
        <is>
          <t>Jan Holíček</t>
        </is>
      </c>
      <c r="B7590" s="0" t="n">
        <v>1</v>
      </c>
      <c r="C7590" s="0" t="n">
        <v>2004</v>
      </c>
      <c r="D7590" s="0" t="n">
        <v>2004</v>
      </c>
      <c r="E7590" s="0" t="inlineStr">
        <is>
          <t>hellboy</t>
        </is>
      </c>
      <c r="F7590" s="0" t="inlineStr">
        <is>
          <t>F0373</t>
        </is>
      </c>
    </row>
    <row r="7591">
      <c r="A7591" s="0" t="inlineStr">
        <is>
          <t>Dean Winters</t>
        </is>
      </c>
      <c r="B7591" s="0" t="n">
        <v>1</v>
      </c>
      <c r="C7591" s="0" t="n">
        <v>2014</v>
      </c>
      <c r="D7591" s="0" t="n">
        <v>2014</v>
      </c>
      <c r="E7591" s="0" t="inlineStr">
        <is>
          <t>john wick</t>
        </is>
      </c>
      <c r="F7591" s="0" t="inlineStr">
        <is>
          <t>F0374</t>
        </is>
      </c>
    </row>
    <row r="7592">
      <c r="A7592" s="0" t="inlineStr">
        <is>
          <t>Adrianne Palicki</t>
        </is>
      </c>
      <c r="B7592" s="0" t="n">
        <v>1</v>
      </c>
      <c r="C7592" s="0" t="n">
        <v>2014</v>
      </c>
      <c r="D7592" s="0" t="n">
        <v>2014</v>
      </c>
      <c r="E7592" s="0" t="inlineStr">
        <is>
          <t>john wick</t>
        </is>
      </c>
      <c r="F7592" s="0" t="inlineStr">
        <is>
          <t>F0374</t>
        </is>
      </c>
    </row>
    <row r="7593">
      <c r="A7593" s="0" t="inlineStr">
        <is>
          <t>Omer Barnea</t>
        </is>
      </c>
      <c r="B7593" s="0" t="n">
        <v>1</v>
      </c>
      <c r="C7593" s="0" t="n">
        <v>2014</v>
      </c>
      <c r="D7593" s="0" t="n">
        <v>2014</v>
      </c>
      <c r="E7593" s="0" t="inlineStr">
        <is>
          <t>john wick</t>
        </is>
      </c>
      <c r="F7593" s="0" t="inlineStr">
        <is>
          <t>F0374</t>
        </is>
      </c>
    </row>
    <row r="7594">
      <c r="A7594" s="0" t="inlineStr">
        <is>
          <t>Toby Leonard Moore</t>
        </is>
      </c>
      <c r="B7594" s="0" t="n">
        <v>1</v>
      </c>
      <c r="C7594" s="0" t="n">
        <v>2014</v>
      </c>
      <c r="D7594" s="0" t="n">
        <v>2014</v>
      </c>
      <c r="E7594" s="0" t="inlineStr">
        <is>
          <t>john wick</t>
        </is>
      </c>
      <c r="F7594" s="0" t="inlineStr">
        <is>
          <t>F0374</t>
        </is>
      </c>
    </row>
    <row r="7595">
      <c r="A7595" s="0" t="inlineStr">
        <is>
          <t>Bridget Regan</t>
        </is>
      </c>
      <c r="B7595" s="0" t="n">
        <v>1</v>
      </c>
      <c r="C7595" s="0" t="n">
        <v>2014</v>
      </c>
      <c r="D7595" s="0" t="n">
        <v>2014</v>
      </c>
      <c r="E7595" s="0" t="inlineStr">
        <is>
          <t>john wick</t>
        </is>
      </c>
      <c r="F7595" s="0" t="inlineStr">
        <is>
          <t>F0374</t>
        </is>
      </c>
    </row>
    <row r="7596">
      <c r="A7596" s="0" t="inlineStr">
        <is>
          <t>Kazy Tauginas</t>
        </is>
      </c>
      <c r="B7596" s="0" t="n">
        <v>1</v>
      </c>
      <c r="C7596" s="0" t="n">
        <v>2014</v>
      </c>
      <c r="D7596" s="0" t="n">
        <v>2014</v>
      </c>
      <c r="E7596" s="0" t="inlineStr">
        <is>
          <t>john wick</t>
        </is>
      </c>
      <c r="F7596" s="0" t="inlineStr">
        <is>
          <t>F0374</t>
        </is>
      </c>
    </row>
    <row r="7597">
      <c r="A7597" s="0" t="inlineStr">
        <is>
          <t>Alexander Frekey</t>
        </is>
      </c>
      <c r="B7597" s="0" t="n">
        <v>1</v>
      </c>
      <c r="C7597" s="0" t="n">
        <v>2014</v>
      </c>
      <c r="D7597" s="0" t="n">
        <v>2014</v>
      </c>
      <c r="E7597" s="0" t="inlineStr">
        <is>
          <t>john wick</t>
        </is>
      </c>
      <c r="F7597" s="0" t="inlineStr">
        <is>
          <t>F0374</t>
        </is>
      </c>
    </row>
    <row r="7598">
      <c r="A7598" s="0" t="inlineStr">
        <is>
          <t>Thomas Sadoski</t>
        </is>
      </c>
      <c r="B7598" s="0" t="n">
        <v>3</v>
      </c>
      <c r="C7598" s="0" t="n">
        <v>2014</v>
      </c>
      <c r="D7598" s="0" t="n">
        <v>2017</v>
      </c>
      <c r="E7598" s="0" t="inlineStr">
        <is>
          <t xml:space="preserve">john wick, john wick chapter 2, john wick chapter 2 </t>
        </is>
      </c>
      <c r="F7598" s="0" t="inlineStr">
        <is>
          <t>F0374, F0375</t>
        </is>
      </c>
    </row>
    <row r="7599">
      <c r="A7599" s="0" t="inlineStr">
        <is>
          <t>Clarke Peters</t>
        </is>
      </c>
      <c r="B7599" s="0" t="n">
        <v>1</v>
      </c>
      <c r="C7599" s="0" t="n">
        <v>2014</v>
      </c>
      <c r="D7599" s="0" t="n">
        <v>2014</v>
      </c>
      <c r="E7599" s="0" t="inlineStr">
        <is>
          <t>john wick</t>
        </is>
      </c>
      <c r="F7599" s="0" t="inlineStr">
        <is>
          <t>F0374</t>
        </is>
      </c>
    </row>
    <row r="7600">
      <c r="A7600" s="0" t="inlineStr">
        <is>
          <t>Gameela Wright</t>
        </is>
      </c>
      <c r="B7600" s="0" t="n">
        <v>1</v>
      </c>
      <c r="C7600" s="0" t="n">
        <v>2014</v>
      </c>
      <c r="D7600" s="0" t="n">
        <v>2014</v>
      </c>
      <c r="E7600" s="0" t="inlineStr">
        <is>
          <t>john wick</t>
        </is>
      </c>
      <c r="F7600" s="0" t="inlineStr">
        <is>
          <t>F0374</t>
        </is>
      </c>
    </row>
    <row r="7601">
      <c r="A7601" s="0" t="inlineStr">
        <is>
          <t>Munro M. Bonnell</t>
        </is>
      </c>
      <c r="B7601" s="0" t="n">
        <v>1</v>
      </c>
      <c r="C7601" s="0" t="n">
        <v>2014</v>
      </c>
      <c r="D7601" s="0" t="n">
        <v>2014</v>
      </c>
      <c r="E7601" s="0" t="inlineStr">
        <is>
          <t>john wick</t>
        </is>
      </c>
      <c r="F7601" s="0" t="inlineStr">
        <is>
          <t>F0374</t>
        </is>
      </c>
    </row>
    <row r="7602">
      <c r="A7602" s="0" t="inlineStr">
        <is>
          <t>Patricia Squire</t>
        </is>
      </c>
      <c r="B7602" s="0" t="n">
        <v>1</v>
      </c>
      <c r="C7602" s="0" t="n">
        <v>2014</v>
      </c>
      <c r="D7602" s="0" t="n">
        <v>2014</v>
      </c>
      <c r="E7602" s="0" t="inlineStr">
        <is>
          <t>john wick</t>
        </is>
      </c>
      <c r="F7602" s="0" t="inlineStr">
        <is>
          <t>F0374</t>
        </is>
      </c>
    </row>
    <row r="7603">
      <c r="A7603" s="0" t="inlineStr">
        <is>
          <t>Vladimir Troitsky</t>
        </is>
      </c>
      <c r="B7603" s="0" t="n">
        <v>1</v>
      </c>
      <c r="C7603" s="0" t="n">
        <v>2014</v>
      </c>
      <c r="D7603" s="0" t="n">
        <v>2014</v>
      </c>
      <c r="E7603" s="0" t="inlineStr">
        <is>
          <t>john wick</t>
        </is>
      </c>
      <c r="F7603" s="0" t="inlineStr">
        <is>
          <t>F0374</t>
        </is>
      </c>
    </row>
    <row r="7604">
      <c r="A7604" s="0" t="inlineStr">
        <is>
          <t>Scott Tixier</t>
        </is>
      </c>
      <c r="B7604" s="0" t="n">
        <v>1</v>
      </c>
      <c r="C7604" s="0" t="n">
        <v>2014</v>
      </c>
      <c r="D7604" s="0" t="n">
        <v>2014</v>
      </c>
      <c r="E7604" s="0" t="inlineStr">
        <is>
          <t>john wick</t>
        </is>
      </c>
      <c r="F7604" s="0" t="inlineStr">
        <is>
          <t>F0374</t>
        </is>
      </c>
    </row>
    <row r="7605">
      <c r="A7605" s="0" t="inlineStr">
        <is>
          <t>Riccardo Scamarcio</t>
        </is>
      </c>
      <c r="B7605" s="0" t="n">
        <v>2</v>
      </c>
      <c r="C7605" s="0" t="n">
        <v>2017</v>
      </c>
      <c r="D7605" s="0" t="n">
        <v>2017</v>
      </c>
      <c r="E7605" s="0" t="inlineStr">
        <is>
          <t xml:space="preserve">john wick chapter 2, john wick chapter 2 </t>
        </is>
      </c>
      <c r="F7605" s="0" t="inlineStr">
        <is>
          <t>F0375</t>
        </is>
      </c>
    </row>
    <row r="7606">
      <c r="A7606" s="0" t="inlineStr">
        <is>
          <t>Claudia Gerini</t>
        </is>
      </c>
      <c r="B7606" s="0" t="n">
        <v>2</v>
      </c>
      <c r="C7606" s="0" t="n">
        <v>2017</v>
      </c>
      <c r="D7606" s="0" t="n">
        <v>2017</v>
      </c>
      <c r="E7606" s="0" t="inlineStr">
        <is>
          <t xml:space="preserve">john wick chapter 2, john wick chapter 2 </t>
        </is>
      </c>
      <c r="F7606" s="0" t="inlineStr">
        <is>
          <t>F0375</t>
        </is>
      </c>
    </row>
    <row r="7607">
      <c r="A7607" s="0" t="inlineStr">
        <is>
          <t>Wass Stevens</t>
        </is>
      </c>
      <c r="B7607" s="0" t="n">
        <v>2</v>
      </c>
      <c r="C7607" s="0" t="n">
        <v>2017</v>
      </c>
      <c r="D7607" s="0" t="n">
        <v>2017</v>
      </c>
      <c r="E7607" s="0" t="inlineStr">
        <is>
          <t xml:space="preserve">john wick chapter 2, john wick chapter 2 </t>
        </is>
      </c>
      <c r="F7607" s="0" t="inlineStr">
        <is>
          <t>F0375</t>
        </is>
      </c>
    </row>
    <row r="7608">
      <c r="A7608" s="0" t="inlineStr">
        <is>
          <t>Erik Frandsen</t>
        </is>
      </c>
      <c r="B7608" s="0" t="n">
        <v>2</v>
      </c>
      <c r="C7608" s="0" t="n">
        <v>2017</v>
      </c>
      <c r="D7608" s="0" t="n">
        <v>2017</v>
      </c>
      <c r="E7608" s="0" t="inlineStr">
        <is>
          <t xml:space="preserve">john wick chapter 2, john wick chapter 2 </t>
        </is>
      </c>
      <c r="F7608" s="0" t="inlineStr">
        <is>
          <t>F0375</t>
        </is>
      </c>
    </row>
    <row r="7609">
      <c r="A7609" s="0" t="inlineStr">
        <is>
          <t>Perry Yung</t>
        </is>
      </c>
      <c r="B7609" s="0" t="n">
        <v>2</v>
      </c>
      <c r="C7609" s="0" t="n">
        <v>2017</v>
      </c>
      <c r="D7609" s="0" t="n">
        <v>2017</v>
      </c>
      <c r="E7609" s="0" t="inlineStr">
        <is>
          <t xml:space="preserve">john wick chapter 2, john wick chapter 2 </t>
        </is>
      </c>
      <c r="F7609" s="0" t="inlineStr">
        <is>
          <t>F0375</t>
        </is>
      </c>
    </row>
    <row r="7610">
      <c r="A7610" s="0" t="inlineStr">
        <is>
          <t>Youma Diakite</t>
        </is>
      </c>
      <c r="B7610" s="0" t="n">
        <v>2</v>
      </c>
      <c r="C7610" s="0" t="n">
        <v>2017</v>
      </c>
      <c r="D7610" s="0" t="n">
        <v>2017</v>
      </c>
      <c r="E7610" s="0" t="inlineStr">
        <is>
          <t xml:space="preserve">john wick chapter 2, john wick chapter 2 </t>
        </is>
      </c>
      <c r="F7610" s="0" t="inlineStr">
        <is>
          <t>F0375</t>
        </is>
      </c>
    </row>
    <row r="7611">
      <c r="A7611" s="0" t="inlineStr">
        <is>
          <t>Luca Mosca</t>
        </is>
      </c>
      <c r="B7611" s="0" t="n">
        <v>2</v>
      </c>
      <c r="C7611" s="0" t="n">
        <v>2017</v>
      </c>
      <c r="D7611" s="0" t="n">
        <v>2017</v>
      </c>
      <c r="E7611" s="0" t="inlineStr">
        <is>
          <t xml:space="preserve">john wick chapter 2, john wick chapter 2 </t>
        </is>
      </c>
      <c r="F7611" s="0" t="inlineStr">
        <is>
          <t>F0375</t>
        </is>
      </c>
    </row>
    <row r="7612">
      <c r="A7612" s="0" t="inlineStr">
        <is>
          <t>Midori Nakamura</t>
        </is>
      </c>
      <c r="B7612" s="0" t="n">
        <v>2</v>
      </c>
      <c r="C7612" s="0" t="n">
        <v>2017</v>
      </c>
      <c r="D7612" s="0" t="n">
        <v>2017</v>
      </c>
      <c r="E7612" s="0" t="inlineStr">
        <is>
          <t xml:space="preserve">john wick chapter 2, john wick chapter 2 </t>
        </is>
      </c>
      <c r="F7612" s="0" t="inlineStr">
        <is>
          <t>F0375</t>
        </is>
      </c>
    </row>
    <row r="7613">
      <c r="A7613" s="0" t="inlineStr">
        <is>
          <t>Mario Donatone</t>
        </is>
      </c>
      <c r="B7613" s="0" t="n">
        <v>2</v>
      </c>
      <c r="C7613" s="0" t="n">
        <v>2017</v>
      </c>
      <c r="D7613" s="0" t="n">
        <v>2017</v>
      </c>
      <c r="E7613" s="0" t="inlineStr">
        <is>
          <t xml:space="preserve">john wick chapter 2, john wick chapter 2 </t>
        </is>
      </c>
      <c r="F7613" s="0" t="inlineStr">
        <is>
          <t>F0375</t>
        </is>
      </c>
    </row>
    <row r="7614">
      <c r="A7614" s="0" t="inlineStr">
        <is>
          <t>Giorgio Carminati</t>
        </is>
      </c>
      <c r="B7614" s="0" t="n">
        <v>2</v>
      </c>
      <c r="C7614" s="0" t="n">
        <v>2017</v>
      </c>
      <c r="D7614" s="0" t="n">
        <v>2017</v>
      </c>
      <c r="E7614" s="0" t="inlineStr">
        <is>
          <t xml:space="preserve">john wick chapter 2, john wick chapter 2 </t>
        </is>
      </c>
      <c r="F7614" s="0" t="inlineStr">
        <is>
          <t>F0375</t>
        </is>
      </c>
    </row>
    <row r="7615">
      <c r="A7615" s="0" t="inlineStr">
        <is>
          <t>Elli</t>
        </is>
      </c>
      <c r="B7615" s="0" t="n">
        <v>2</v>
      </c>
      <c r="C7615" s="0" t="n">
        <v>2017</v>
      </c>
      <c r="D7615" s="0" t="n">
        <v>2017</v>
      </c>
      <c r="E7615" s="0" t="inlineStr">
        <is>
          <t xml:space="preserve">john wick chapter 2, john wick chapter 2 </t>
        </is>
      </c>
      <c r="F7615" s="0" t="inlineStr">
        <is>
          <t>F0375</t>
        </is>
      </c>
    </row>
    <row r="7616">
      <c r="A7616" s="0" t="inlineStr">
        <is>
          <t>Thaddeus Daniels</t>
        </is>
      </c>
      <c r="B7616" s="0" t="n">
        <v>2</v>
      </c>
      <c r="C7616" s="0" t="n">
        <v>2017</v>
      </c>
      <c r="D7616" s="0" t="n">
        <v>2017</v>
      </c>
      <c r="E7616" s="0" t="inlineStr">
        <is>
          <t xml:space="preserve">john wick chapter 2, john wick chapter 2 </t>
        </is>
      </c>
      <c r="F7616" s="0" t="inlineStr">
        <is>
          <t>F0375</t>
        </is>
      </c>
    </row>
    <row r="7617">
      <c r="A7617" s="0" t="inlineStr">
        <is>
          <t>Margaret Daly</t>
        </is>
      </c>
      <c r="B7617" s="0" t="n">
        <v>3</v>
      </c>
      <c r="C7617" s="0" t="n">
        <v>2017</v>
      </c>
      <c r="D7617" s="0" t="n">
        <v>2019</v>
      </c>
      <c r="E7617" s="0" t="inlineStr">
        <is>
          <t xml:space="preserve">john wick chapter 2, John wick chapter 3, john wick chapter 2 </t>
        </is>
      </c>
      <c r="F7617" s="0" t="inlineStr">
        <is>
          <t>F0375, F0391</t>
        </is>
      </c>
    </row>
    <row r="7618">
      <c r="A7618" s="0" t="inlineStr">
        <is>
          <t>Christine Hollingsworth</t>
        </is>
      </c>
      <c r="B7618" s="0" t="n">
        <v>2</v>
      </c>
      <c r="C7618" s="0" t="n">
        <v>2017</v>
      </c>
      <c r="D7618" s="0" t="n">
        <v>2017</v>
      </c>
      <c r="E7618" s="0" t="inlineStr">
        <is>
          <t xml:space="preserve">john wick chapter 2, john wick chapter 2 </t>
        </is>
      </c>
      <c r="F7618" s="0" t="inlineStr">
        <is>
          <t>F0375</t>
        </is>
      </c>
    </row>
    <row r="7619">
      <c r="A7619" s="0" t="inlineStr">
        <is>
          <t>Ciscandra Nostalghia</t>
        </is>
      </c>
      <c r="B7619" s="0" t="n">
        <v>2</v>
      </c>
      <c r="C7619" s="0" t="n">
        <v>2017</v>
      </c>
      <c r="D7619" s="0" t="n">
        <v>2017</v>
      </c>
      <c r="E7619" s="0" t="inlineStr">
        <is>
          <t xml:space="preserve">john wick chapter 2, john wick chapter 2 </t>
        </is>
      </c>
      <c r="F7619" s="0" t="inlineStr">
        <is>
          <t>F0375</t>
        </is>
      </c>
    </row>
    <row r="7620">
      <c r="A7620" s="0" t="inlineStr">
        <is>
          <t>Chukwudi Iwuji</t>
        </is>
      </c>
      <c r="B7620" s="0" t="n">
        <v>2</v>
      </c>
      <c r="C7620" s="0" t="n">
        <v>2017</v>
      </c>
      <c r="D7620" s="0" t="n">
        <v>2017</v>
      </c>
      <c r="E7620" s="0" t="inlineStr">
        <is>
          <t xml:space="preserve">john wick chapter 2, john wick chapter 2 </t>
        </is>
      </c>
      <c r="F7620" s="0" t="inlineStr">
        <is>
          <t>F0375</t>
        </is>
      </c>
    </row>
    <row r="7621">
      <c r="A7621" s="0" t="inlineStr">
        <is>
          <t>Steven Yeun</t>
        </is>
      </c>
      <c r="B7621" s="0" t="n">
        <v>1</v>
      </c>
      <c r="C7621" s="0" t="n">
        <v>2025</v>
      </c>
      <c r="D7621" s="0" t="n">
        <v>2025</v>
      </c>
      <c r="E7621" s="0" t="inlineStr">
        <is>
          <t>mickey 17</t>
        </is>
      </c>
      <c r="F7621" s="0" t="inlineStr">
        <is>
          <t>F0376</t>
        </is>
      </c>
    </row>
    <row r="7622">
      <c r="A7622" s="0" t="inlineStr">
        <is>
          <t>Toni Collette</t>
        </is>
      </c>
      <c r="B7622" s="0" t="n">
        <v>1</v>
      </c>
      <c r="C7622" s="0" t="n">
        <v>2025</v>
      </c>
      <c r="D7622" s="0" t="n">
        <v>2025</v>
      </c>
      <c r="E7622" s="0" t="inlineStr">
        <is>
          <t>mickey 17</t>
        </is>
      </c>
      <c r="F7622" s="0" t="inlineStr">
        <is>
          <t>F0376</t>
        </is>
      </c>
    </row>
    <row r="7623">
      <c r="A7623" s="0" t="inlineStr">
        <is>
          <t>Anamaria Vartolomei</t>
        </is>
      </c>
      <c r="B7623" s="0" t="n">
        <v>1</v>
      </c>
      <c r="C7623" s="0" t="n">
        <v>2025</v>
      </c>
      <c r="D7623" s="0" t="n">
        <v>2025</v>
      </c>
      <c r="E7623" s="0" t="inlineStr">
        <is>
          <t>mickey 17</t>
        </is>
      </c>
      <c r="F7623" s="0" t="inlineStr">
        <is>
          <t>F0376</t>
        </is>
      </c>
    </row>
    <row r="7624">
      <c r="A7624" s="0" t="inlineStr">
        <is>
          <t>Daniel Henshall</t>
        </is>
      </c>
      <c r="B7624" s="0" t="n">
        <v>1</v>
      </c>
      <c r="C7624" s="0" t="n">
        <v>2025</v>
      </c>
      <c r="D7624" s="0" t="n">
        <v>2025</v>
      </c>
      <c r="E7624" s="0" t="inlineStr">
        <is>
          <t>mickey 17</t>
        </is>
      </c>
      <c r="F7624" s="0" t="inlineStr">
        <is>
          <t>F0376</t>
        </is>
      </c>
    </row>
    <row r="7625">
      <c r="A7625" s="0" t="inlineStr">
        <is>
          <t>Patsy Ferran</t>
        </is>
      </c>
      <c r="B7625" s="0" t="n">
        <v>1</v>
      </c>
      <c r="C7625" s="0" t="n">
        <v>2025</v>
      </c>
      <c r="D7625" s="0" t="n">
        <v>2025</v>
      </c>
      <c r="E7625" s="0" t="inlineStr">
        <is>
          <t>mickey 17</t>
        </is>
      </c>
      <c r="F7625" s="0" t="inlineStr">
        <is>
          <t>F0376</t>
        </is>
      </c>
    </row>
    <row r="7626">
      <c r="A7626" s="0" t="inlineStr">
        <is>
          <t>Holliday Grainger</t>
        </is>
      </c>
      <c r="B7626" s="0" t="n">
        <v>1</v>
      </c>
      <c r="C7626" s="0" t="n">
        <v>2025</v>
      </c>
      <c r="D7626" s="0" t="n">
        <v>2025</v>
      </c>
      <c r="E7626" s="0" t="inlineStr">
        <is>
          <t>mickey 17</t>
        </is>
      </c>
      <c r="F7626" s="0" t="inlineStr">
        <is>
          <t>F0376</t>
        </is>
      </c>
    </row>
    <row r="7627">
      <c r="A7627" s="0" t="inlineStr">
        <is>
          <t>Michael Monroe</t>
        </is>
      </c>
      <c r="B7627" s="0" t="n">
        <v>1</v>
      </c>
      <c r="C7627" s="0" t="n">
        <v>2025</v>
      </c>
      <c r="D7627" s="0" t="n">
        <v>2025</v>
      </c>
      <c r="E7627" s="0" t="inlineStr">
        <is>
          <t>mickey 17</t>
        </is>
      </c>
      <c r="F7627" s="0" t="inlineStr">
        <is>
          <t>F0376</t>
        </is>
      </c>
    </row>
    <row r="7628">
      <c r="A7628" s="0" t="inlineStr">
        <is>
          <t>Cameron Britton</t>
        </is>
      </c>
      <c r="B7628" s="0" t="n">
        <v>1</v>
      </c>
      <c r="C7628" s="0" t="n">
        <v>2025</v>
      </c>
      <c r="D7628" s="0" t="n">
        <v>2025</v>
      </c>
      <c r="E7628" s="0" t="inlineStr">
        <is>
          <t>mickey 17</t>
        </is>
      </c>
      <c r="F7628" s="0" t="inlineStr">
        <is>
          <t>F0376</t>
        </is>
      </c>
    </row>
    <row r="7629">
      <c r="A7629" s="0" t="inlineStr">
        <is>
          <t>Edward Davis</t>
        </is>
      </c>
      <c r="B7629" s="0" t="n">
        <v>1</v>
      </c>
      <c r="C7629" s="0" t="n">
        <v>2025</v>
      </c>
      <c r="D7629" s="0" t="n">
        <v>2025</v>
      </c>
      <c r="E7629" s="0" t="inlineStr">
        <is>
          <t>mickey 17</t>
        </is>
      </c>
      <c r="F7629" s="0" t="inlineStr">
        <is>
          <t>F0376</t>
        </is>
      </c>
    </row>
    <row r="7630">
      <c r="A7630" s="0" t="inlineStr">
        <is>
          <t>Ian Hanmore</t>
        </is>
      </c>
      <c r="B7630" s="0" t="n">
        <v>1</v>
      </c>
      <c r="C7630" s="0" t="n">
        <v>2025</v>
      </c>
      <c r="D7630" s="0" t="n">
        <v>2025</v>
      </c>
      <c r="E7630" s="0" t="inlineStr">
        <is>
          <t>mickey 17</t>
        </is>
      </c>
      <c r="F7630" s="0" t="inlineStr">
        <is>
          <t>F0376</t>
        </is>
      </c>
    </row>
    <row r="7631">
      <c r="A7631" s="0" t="inlineStr">
        <is>
          <t>Lloyd Hutchinson</t>
        </is>
      </c>
      <c r="B7631" s="0" t="n">
        <v>1</v>
      </c>
      <c r="C7631" s="0" t="n">
        <v>2025</v>
      </c>
      <c r="D7631" s="0" t="n">
        <v>2025</v>
      </c>
      <c r="E7631" s="0" t="inlineStr">
        <is>
          <t>mickey 17</t>
        </is>
      </c>
      <c r="F7631" s="0" t="inlineStr">
        <is>
          <t>F0376</t>
        </is>
      </c>
    </row>
    <row r="7632">
      <c r="A7632" s="0" t="inlineStr">
        <is>
          <t>Christian Patterson</t>
        </is>
      </c>
      <c r="B7632" s="0" t="n">
        <v>1</v>
      </c>
      <c r="C7632" s="0" t="n">
        <v>2025</v>
      </c>
      <c r="D7632" s="0" t="n">
        <v>2025</v>
      </c>
      <c r="E7632" s="0" t="inlineStr">
        <is>
          <t>mickey 17</t>
        </is>
      </c>
      <c r="F7632" s="0" t="inlineStr">
        <is>
          <t>F0376</t>
        </is>
      </c>
    </row>
    <row r="7633">
      <c r="A7633" s="0" t="inlineStr">
        <is>
          <t>Samuel Blenkin</t>
        </is>
      </c>
      <c r="B7633" s="0" t="n">
        <v>1</v>
      </c>
      <c r="C7633" s="0" t="n">
        <v>2025</v>
      </c>
      <c r="D7633" s="0" t="n">
        <v>2025</v>
      </c>
      <c r="E7633" s="0" t="inlineStr">
        <is>
          <t>mickey 17</t>
        </is>
      </c>
      <c r="F7633" s="0" t="inlineStr">
        <is>
          <t>F0376</t>
        </is>
      </c>
    </row>
    <row r="7634">
      <c r="A7634" s="0" t="inlineStr">
        <is>
          <t>Sabet Choudhury</t>
        </is>
      </c>
      <c r="B7634" s="0" t="n">
        <v>1</v>
      </c>
      <c r="C7634" s="0" t="n">
        <v>2025</v>
      </c>
      <c r="D7634" s="0" t="n">
        <v>2025</v>
      </c>
      <c r="E7634" s="0" t="inlineStr">
        <is>
          <t>mickey 17</t>
        </is>
      </c>
      <c r="F7634" s="0" t="inlineStr">
        <is>
          <t>F0376</t>
        </is>
      </c>
    </row>
    <row r="7635">
      <c r="A7635" s="0" t="inlineStr">
        <is>
          <t>Rose Shalloo</t>
        </is>
      </c>
      <c r="B7635" s="0" t="n">
        <v>1</v>
      </c>
      <c r="C7635" s="0" t="n">
        <v>2025</v>
      </c>
      <c r="D7635" s="0" t="n">
        <v>2025</v>
      </c>
      <c r="E7635" s="0" t="inlineStr">
        <is>
          <t>mickey 17</t>
        </is>
      </c>
      <c r="F7635" s="0" t="inlineStr">
        <is>
          <t>F0376</t>
        </is>
      </c>
    </row>
    <row r="7636">
      <c r="A7636" s="0" t="inlineStr">
        <is>
          <t>Bronwyn James</t>
        </is>
      </c>
      <c r="B7636" s="0" t="n">
        <v>1</v>
      </c>
      <c r="C7636" s="0" t="n">
        <v>2025</v>
      </c>
      <c r="D7636" s="0" t="n">
        <v>2025</v>
      </c>
      <c r="E7636" s="0" t="inlineStr">
        <is>
          <t>mickey 17</t>
        </is>
      </c>
      <c r="F7636" s="0" t="inlineStr">
        <is>
          <t>F0376</t>
        </is>
      </c>
    </row>
    <row r="7637">
      <c r="A7637" s="0" t="inlineStr">
        <is>
          <t>Milo James</t>
        </is>
      </c>
      <c r="B7637" s="0" t="n">
        <v>1</v>
      </c>
      <c r="C7637" s="0" t="n">
        <v>2025</v>
      </c>
      <c r="D7637" s="0" t="n">
        <v>2025</v>
      </c>
      <c r="E7637" s="0" t="inlineStr">
        <is>
          <t>mickey 17</t>
        </is>
      </c>
      <c r="F7637" s="0" t="inlineStr">
        <is>
          <t>F0376</t>
        </is>
      </c>
    </row>
    <row r="7638">
      <c r="A7638" s="0" t="inlineStr">
        <is>
          <t>Jude Mack</t>
        </is>
      </c>
      <c r="B7638" s="0" t="n">
        <v>1</v>
      </c>
      <c r="C7638" s="0" t="n">
        <v>2025</v>
      </c>
      <c r="D7638" s="0" t="n">
        <v>2025</v>
      </c>
      <c r="E7638" s="0" t="inlineStr">
        <is>
          <t>mickey 17</t>
        </is>
      </c>
      <c r="F7638" s="0" t="inlineStr">
        <is>
          <t>F0376</t>
        </is>
      </c>
    </row>
    <row r="7639">
      <c r="A7639" s="0" t="inlineStr">
        <is>
          <t>Thomas Turgoose</t>
        </is>
      </c>
      <c r="B7639" s="0" t="n">
        <v>1</v>
      </c>
      <c r="C7639" s="0" t="n">
        <v>2025</v>
      </c>
      <c r="D7639" s="0" t="n">
        <v>2025</v>
      </c>
      <c r="E7639" s="0" t="inlineStr">
        <is>
          <t>mickey 17</t>
        </is>
      </c>
      <c r="F7639" s="0" t="inlineStr">
        <is>
          <t>F0376</t>
        </is>
      </c>
    </row>
    <row r="7640">
      <c r="A7640" s="0" t="inlineStr">
        <is>
          <t>Adam Colborne</t>
        </is>
      </c>
      <c r="B7640" s="0" t="n">
        <v>1</v>
      </c>
      <c r="C7640" s="0" t="n">
        <v>2025</v>
      </c>
      <c r="D7640" s="0" t="n">
        <v>2025</v>
      </c>
      <c r="E7640" s="0" t="inlineStr">
        <is>
          <t>mickey 17</t>
        </is>
      </c>
      <c r="F7640" s="0" t="inlineStr">
        <is>
          <t>F0376</t>
        </is>
      </c>
    </row>
    <row r="7641">
      <c r="A7641" s="0" t="inlineStr">
        <is>
          <t>Tom Cawte</t>
        </is>
      </c>
      <c r="B7641" s="0" t="n">
        <v>1</v>
      </c>
      <c r="C7641" s="0" t="n">
        <v>2025</v>
      </c>
      <c r="D7641" s="0" t="n">
        <v>2025</v>
      </c>
      <c r="E7641" s="0" t="inlineStr">
        <is>
          <t>mickey 17</t>
        </is>
      </c>
      <c r="F7641" s="0" t="inlineStr">
        <is>
          <t>F0376</t>
        </is>
      </c>
    </row>
    <row r="7642">
      <c r="A7642" s="0" t="inlineStr">
        <is>
          <t>Ellen Robertson</t>
        </is>
      </c>
      <c r="B7642" s="0" t="n">
        <v>1</v>
      </c>
      <c r="C7642" s="0" t="n">
        <v>2025</v>
      </c>
      <c r="D7642" s="0" t="n">
        <v>2025</v>
      </c>
      <c r="E7642" s="0" t="inlineStr">
        <is>
          <t>mickey 17</t>
        </is>
      </c>
      <c r="F7642" s="0" t="inlineStr">
        <is>
          <t>F0376</t>
        </is>
      </c>
    </row>
    <row r="7643">
      <c r="A7643" s="0" t="inlineStr">
        <is>
          <t>Sam Woodhams</t>
        </is>
      </c>
      <c r="B7643" s="0" t="n">
        <v>1</v>
      </c>
      <c r="C7643" s="0" t="n">
        <v>2025</v>
      </c>
      <c r="D7643" s="0" t="n">
        <v>2025</v>
      </c>
      <c r="E7643" s="0" t="inlineStr">
        <is>
          <t>mickey 17</t>
        </is>
      </c>
      <c r="F7643" s="0" t="inlineStr">
        <is>
          <t>F0376</t>
        </is>
      </c>
    </row>
    <row r="7644">
      <c r="A7644" s="0" t="inlineStr">
        <is>
          <t>Kayla Meikle</t>
        </is>
      </c>
      <c r="B7644" s="0" t="n">
        <v>1</v>
      </c>
      <c r="C7644" s="0" t="n">
        <v>2025</v>
      </c>
      <c r="D7644" s="0" t="n">
        <v>2025</v>
      </c>
      <c r="E7644" s="0" t="inlineStr">
        <is>
          <t>mickey 17</t>
        </is>
      </c>
      <c r="F7644" s="0" t="inlineStr">
        <is>
          <t>F0376</t>
        </is>
      </c>
    </row>
    <row r="7645">
      <c r="A7645" s="0" t="inlineStr">
        <is>
          <t>Haydn Gwynne</t>
        </is>
      </c>
      <c r="B7645" s="0" t="n">
        <v>1</v>
      </c>
      <c r="C7645" s="0" t="n">
        <v>2025</v>
      </c>
      <c r="D7645" s="0" t="n">
        <v>2025</v>
      </c>
      <c r="E7645" s="0" t="inlineStr">
        <is>
          <t>mickey 17</t>
        </is>
      </c>
      <c r="F7645" s="0" t="inlineStr">
        <is>
          <t>F0376</t>
        </is>
      </c>
    </row>
    <row r="7646">
      <c r="A7646" s="0" t="inlineStr">
        <is>
          <t>Carla Gugino</t>
        </is>
      </c>
      <c r="B7646" s="0" t="n">
        <v>1</v>
      </c>
      <c r="C7646" s="0" t="n">
        <v>2006</v>
      </c>
      <c r="D7646" s="0" t="n">
        <v>2006</v>
      </c>
      <c r="E7646" s="0" t="inlineStr">
        <is>
          <t>night at the museum</t>
        </is>
      </c>
      <c r="F7646" s="0" t="inlineStr">
        <is>
          <t>F0377</t>
        </is>
      </c>
    </row>
    <row r="7647">
      <c r="A7647" s="0" t="inlineStr">
        <is>
          <t>Dick Van Dyke</t>
        </is>
      </c>
      <c r="B7647" s="0" t="n">
        <v>1</v>
      </c>
      <c r="C7647" s="0" t="n">
        <v>2006</v>
      </c>
      <c r="D7647" s="0" t="n">
        <v>2006</v>
      </c>
      <c r="E7647" s="0" t="inlineStr">
        <is>
          <t>night at the museum</t>
        </is>
      </c>
      <c r="F7647" s="0" t="inlineStr">
        <is>
          <t>F0377</t>
        </is>
      </c>
    </row>
    <row r="7648">
      <c r="A7648" s="0" t="inlineStr">
        <is>
          <t>Mickey Rooney</t>
        </is>
      </c>
      <c r="B7648" s="0" t="n">
        <v>1</v>
      </c>
      <c r="C7648" s="0" t="n">
        <v>2006</v>
      </c>
      <c r="D7648" s="0" t="n">
        <v>2006</v>
      </c>
      <c r="E7648" s="0" t="inlineStr">
        <is>
          <t>night at the museum</t>
        </is>
      </c>
      <c r="F7648" s="0" t="inlineStr">
        <is>
          <t>F0377</t>
        </is>
      </c>
    </row>
    <row r="7649">
      <c r="A7649" s="0" t="inlineStr">
        <is>
          <t>Bill Cobbs</t>
        </is>
      </c>
      <c r="B7649" s="0" t="n">
        <v>1</v>
      </c>
      <c r="C7649" s="0" t="n">
        <v>2006</v>
      </c>
      <c r="D7649" s="0" t="n">
        <v>2006</v>
      </c>
      <c r="E7649" s="0" t="inlineStr">
        <is>
          <t>night at the museum</t>
        </is>
      </c>
      <c r="F7649" s="0" t="inlineStr">
        <is>
          <t>F0377</t>
        </is>
      </c>
    </row>
    <row r="7650">
      <c r="A7650" s="0" t="inlineStr">
        <is>
          <t>Kim Raver</t>
        </is>
      </c>
      <c r="B7650" s="0" t="n">
        <v>1</v>
      </c>
      <c r="C7650" s="0" t="n">
        <v>2006</v>
      </c>
      <c r="D7650" s="0" t="n">
        <v>2006</v>
      </c>
      <c r="E7650" s="0" t="inlineStr">
        <is>
          <t>night at the museum</t>
        </is>
      </c>
      <c r="F7650" s="0" t="inlineStr">
        <is>
          <t>F0377</t>
        </is>
      </c>
    </row>
    <row r="7651">
      <c r="A7651" s="0" t="inlineStr">
        <is>
          <t>Charlie Murphy</t>
        </is>
      </c>
      <c r="B7651" s="0" t="n">
        <v>1</v>
      </c>
      <c r="C7651" s="0" t="n">
        <v>2006</v>
      </c>
      <c r="D7651" s="0" t="n">
        <v>2006</v>
      </c>
      <c r="E7651" s="0" t="inlineStr">
        <is>
          <t>night at the museum</t>
        </is>
      </c>
      <c r="F7651" s="0" t="inlineStr">
        <is>
          <t>F0377</t>
        </is>
      </c>
    </row>
    <row r="7652">
      <c r="A7652" s="0" t="inlineStr">
        <is>
          <t>Dan Rizzuto</t>
        </is>
      </c>
      <c r="B7652" s="0" t="n">
        <v>1</v>
      </c>
      <c r="C7652" s="0" t="n">
        <v>2006</v>
      </c>
      <c r="D7652" s="0" t="n">
        <v>2006</v>
      </c>
      <c r="E7652" s="0" t="inlineStr">
        <is>
          <t>night at the museum</t>
        </is>
      </c>
      <c r="F7652" s="0" t="inlineStr">
        <is>
          <t>F0377</t>
        </is>
      </c>
    </row>
    <row r="7653">
      <c r="A7653" s="0" t="inlineStr">
        <is>
          <t>Jody Racicot</t>
        </is>
      </c>
      <c r="B7653" s="0" t="n">
        <v>1</v>
      </c>
      <c r="C7653" s="0" t="n">
        <v>2006</v>
      </c>
      <c r="D7653" s="0" t="n">
        <v>2006</v>
      </c>
      <c r="E7653" s="0" t="inlineStr">
        <is>
          <t>night at the museum</t>
        </is>
      </c>
      <c r="F7653" s="0" t="inlineStr">
        <is>
          <t>F0377</t>
        </is>
      </c>
    </row>
    <row r="7654">
      <c r="A7654" s="0" t="inlineStr">
        <is>
          <t>Anne Meara</t>
        </is>
      </c>
      <c r="B7654" s="0" t="n">
        <v>1</v>
      </c>
      <c r="C7654" s="0" t="n">
        <v>2006</v>
      </c>
      <c r="D7654" s="0" t="n">
        <v>2006</v>
      </c>
      <c r="E7654" s="0" t="inlineStr">
        <is>
          <t>night at the museum</t>
        </is>
      </c>
      <c r="F7654" s="0" t="inlineStr">
        <is>
          <t>F0377</t>
        </is>
      </c>
    </row>
    <row r="7655">
      <c r="A7655" s="0" t="inlineStr">
        <is>
          <t>Martin Christopher</t>
        </is>
      </c>
      <c r="B7655" s="0" t="n">
        <v>1</v>
      </c>
      <c r="C7655" s="0" t="n">
        <v>2006</v>
      </c>
      <c r="D7655" s="0" t="n">
        <v>2006</v>
      </c>
      <c r="E7655" s="0" t="inlineStr">
        <is>
          <t>night at the museum</t>
        </is>
      </c>
      <c r="F7655" s="0" t="inlineStr">
        <is>
          <t>F0377</t>
        </is>
      </c>
    </row>
    <row r="7656">
      <c r="A7656" s="0" t="inlineStr">
        <is>
          <t>Martin Sims</t>
        </is>
      </c>
      <c r="B7656" s="0" t="n">
        <v>1</v>
      </c>
      <c r="C7656" s="0" t="n">
        <v>2006</v>
      </c>
      <c r="D7656" s="0" t="n">
        <v>2006</v>
      </c>
      <c r="E7656" s="0" t="inlineStr">
        <is>
          <t>night at the museum</t>
        </is>
      </c>
      <c r="F7656" s="0" t="inlineStr">
        <is>
          <t>F0377</t>
        </is>
      </c>
    </row>
    <row r="7657">
      <c r="A7657" s="0" t="inlineStr">
        <is>
          <t>Teagle F. Bougere</t>
        </is>
      </c>
      <c r="B7657" s="0" t="n">
        <v>1</v>
      </c>
      <c r="C7657" s="0" t="n">
        <v>2006</v>
      </c>
      <c r="D7657" s="0" t="n">
        <v>2006</v>
      </c>
      <c r="E7657" s="0" t="inlineStr">
        <is>
          <t>night at the museum</t>
        </is>
      </c>
      <c r="F7657" s="0" t="inlineStr">
        <is>
          <t>F0377</t>
        </is>
      </c>
    </row>
    <row r="7658">
      <c r="A7658" s="0" t="inlineStr">
        <is>
          <t>Nico McEown</t>
        </is>
      </c>
      <c r="B7658" s="0" t="n">
        <v>1</v>
      </c>
      <c r="C7658" s="0" t="n">
        <v>2006</v>
      </c>
      <c r="D7658" s="0" t="n">
        <v>2006</v>
      </c>
      <c r="E7658" s="0" t="inlineStr">
        <is>
          <t>night at the museum</t>
        </is>
      </c>
      <c r="F7658" s="0" t="inlineStr">
        <is>
          <t>F0377</t>
        </is>
      </c>
    </row>
    <row r="7659">
      <c r="A7659" s="0" t="inlineStr">
        <is>
          <t>Neal McDonough</t>
        </is>
      </c>
      <c r="B7659" s="0" t="n">
        <v>1</v>
      </c>
      <c r="C7659" s="0" t="n">
        <v>2020</v>
      </c>
      <c r="D7659" s="0" t="n">
        <v>2020</v>
      </c>
      <c r="E7659" s="0" t="inlineStr">
        <is>
          <t>sonic the hedgehog</t>
        </is>
      </c>
      <c r="F7659" s="0" t="inlineStr">
        <is>
          <t>F0378</t>
        </is>
      </c>
    </row>
    <row r="7660">
      <c r="A7660" s="0" t="inlineStr">
        <is>
          <t>Tom Butler</t>
        </is>
      </c>
      <c r="B7660" s="0" t="n">
        <v>2</v>
      </c>
      <c r="C7660" s="0" t="n">
        <v>2020</v>
      </c>
      <c r="D7660" s="0" t="n">
        <v>2025</v>
      </c>
      <c r="E7660" s="0" t="inlineStr">
        <is>
          <t>sonic the hedgehog, sonic the hedgehog 3</t>
        </is>
      </c>
      <c r="F7660" s="0" t="inlineStr">
        <is>
          <t>F0378, F0379</t>
        </is>
      </c>
    </row>
    <row r="7661">
      <c r="A7661" s="0" t="inlineStr">
        <is>
          <t>Frank C. Turner</t>
        </is>
      </c>
      <c r="B7661" s="0" t="n">
        <v>1</v>
      </c>
      <c r="C7661" s="0" t="n">
        <v>2020</v>
      </c>
      <c r="D7661" s="0" t="n">
        <v>2020</v>
      </c>
      <c r="E7661" s="0" t="inlineStr">
        <is>
          <t>sonic the hedgehog</t>
        </is>
      </c>
      <c r="F7661" s="0" t="inlineStr">
        <is>
          <t>F0378</t>
        </is>
      </c>
    </row>
    <row r="7662">
      <c r="A7662" s="0" t="inlineStr">
        <is>
          <t>Melody Nosipho Niemann</t>
        </is>
      </c>
      <c r="B7662" s="0" t="n">
        <v>1</v>
      </c>
      <c r="C7662" s="0" t="n">
        <v>2020</v>
      </c>
      <c r="D7662" s="0" t="n">
        <v>2020</v>
      </c>
      <c r="E7662" s="0" t="inlineStr">
        <is>
          <t>sonic the hedgehog</t>
        </is>
      </c>
      <c r="F7662" s="0" t="inlineStr">
        <is>
          <t>F0378</t>
        </is>
      </c>
    </row>
    <row r="7663">
      <c r="A7663" s="0" t="inlineStr">
        <is>
          <t>Shannon Chan-Kent</t>
        </is>
      </c>
      <c r="B7663" s="0" t="n">
        <v>1</v>
      </c>
      <c r="C7663" s="0" t="n">
        <v>2020</v>
      </c>
      <c r="D7663" s="0" t="n">
        <v>2020</v>
      </c>
      <c r="E7663" s="0" t="inlineStr">
        <is>
          <t>sonic the hedgehog</t>
        </is>
      </c>
      <c r="F7663" s="0" t="inlineStr">
        <is>
          <t>F0378</t>
        </is>
      </c>
    </row>
    <row r="7664">
      <c r="A7664" s="0" t="inlineStr">
        <is>
          <t>Elfina Luk</t>
        </is>
      </c>
      <c r="B7664" s="0" t="n">
        <v>1</v>
      </c>
      <c r="C7664" s="0" t="n">
        <v>2020</v>
      </c>
      <c r="D7664" s="0" t="n">
        <v>2020</v>
      </c>
      <c r="E7664" s="0" t="inlineStr">
        <is>
          <t>sonic the hedgehog</t>
        </is>
      </c>
      <c r="F7664" s="0" t="inlineStr">
        <is>
          <t>F0378</t>
        </is>
      </c>
    </row>
    <row r="7665">
      <c r="A7665" s="0" t="inlineStr">
        <is>
          <t>Michael Hogan</t>
        </is>
      </c>
      <c r="B7665" s="0" t="n">
        <v>1</v>
      </c>
      <c r="C7665" s="0" t="n">
        <v>2020</v>
      </c>
      <c r="D7665" s="0" t="n">
        <v>2020</v>
      </c>
      <c r="E7665" s="0" t="inlineStr">
        <is>
          <t>sonic the hedgehog</t>
        </is>
      </c>
      <c r="F7665" s="0" t="inlineStr">
        <is>
          <t>F0378</t>
        </is>
      </c>
    </row>
    <row r="7666">
      <c r="A7666" s="0" t="inlineStr">
        <is>
          <t>Peter Bryant</t>
        </is>
      </c>
      <c r="B7666" s="0" t="n">
        <v>1</v>
      </c>
      <c r="C7666" s="0" t="n">
        <v>2020</v>
      </c>
      <c r="D7666" s="0" t="n">
        <v>2020</v>
      </c>
      <c r="E7666" s="0" t="inlineStr">
        <is>
          <t>sonic the hedgehog</t>
        </is>
      </c>
      <c r="F7666" s="0" t="inlineStr">
        <is>
          <t>F0378</t>
        </is>
      </c>
    </row>
    <row r="7667">
      <c r="A7667" s="0" t="inlineStr">
        <is>
          <t>Jeremy Arnold</t>
        </is>
      </c>
      <c r="B7667" s="0" t="n">
        <v>1</v>
      </c>
      <c r="C7667" s="0" t="n">
        <v>2020</v>
      </c>
      <c r="D7667" s="0" t="n">
        <v>2020</v>
      </c>
      <c r="E7667" s="0" t="inlineStr">
        <is>
          <t>sonic the hedgehog</t>
        </is>
      </c>
      <c r="F7667" s="0" t="inlineStr">
        <is>
          <t>F0378</t>
        </is>
      </c>
    </row>
    <row r="7668">
      <c r="A7668" s="0" t="inlineStr">
        <is>
          <t>Jeanie Cloutier</t>
        </is>
      </c>
      <c r="B7668" s="0" t="n">
        <v>1</v>
      </c>
      <c r="C7668" s="0" t="n">
        <v>2020</v>
      </c>
      <c r="D7668" s="0" t="n">
        <v>2020</v>
      </c>
      <c r="E7668" s="0" t="inlineStr">
        <is>
          <t>sonic the hedgehog</t>
        </is>
      </c>
      <c r="F7668" s="0" t="inlineStr">
        <is>
          <t>F0378</t>
        </is>
      </c>
    </row>
    <row r="7669">
      <c r="A7669" s="0" t="inlineStr">
        <is>
          <t>Emma Oliver</t>
        </is>
      </c>
      <c r="B7669" s="0" t="n">
        <v>1</v>
      </c>
      <c r="C7669" s="0" t="n">
        <v>2020</v>
      </c>
      <c r="D7669" s="0" t="n">
        <v>2020</v>
      </c>
      <c r="E7669" s="0" t="inlineStr">
        <is>
          <t>sonic the hedgehog</t>
        </is>
      </c>
      <c r="F7669" s="0" t="inlineStr">
        <is>
          <t>F0378</t>
        </is>
      </c>
    </row>
    <row r="7670">
      <c r="A7670" s="0" t="inlineStr">
        <is>
          <t>Bailey Skodje</t>
        </is>
      </c>
      <c r="B7670" s="0" t="n">
        <v>1</v>
      </c>
      <c r="C7670" s="0" t="n">
        <v>2020</v>
      </c>
      <c r="D7670" s="0" t="n">
        <v>2020</v>
      </c>
      <c r="E7670" s="0" t="inlineStr">
        <is>
          <t>sonic the hedgehog</t>
        </is>
      </c>
      <c r="F7670" s="0" t="inlineStr">
        <is>
          <t>F0378</t>
        </is>
      </c>
    </row>
    <row r="7671">
      <c r="A7671" s="0" t="inlineStr">
        <is>
          <t>Dean Petriw</t>
        </is>
      </c>
      <c r="B7671" s="0" t="n">
        <v>1</v>
      </c>
      <c r="C7671" s="0" t="n">
        <v>2020</v>
      </c>
      <c r="D7671" s="0" t="n">
        <v>2020</v>
      </c>
      <c r="E7671" s="0" t="inlineStr">
        <is>
          <t>sonic the hedgehog</t>
        </is>
      </c>
      <c r="F7671" s="0" t="inlineStr">
        <is>
          <t>F0378</t>
        </is>
      </c>
    </row>
    <row r="7672">
      <c r="A7672" s="0" t="inlineStr">
        <is>
          <t>Jeff Sanca</t>
        </is>
      </c>
      <c r="B7672" s="0" t="n">
        <v>1</v>
      </c>
      <c r="C7672" s="0" t="n">
        <v>2020</v>
      </c>
      <c r="D7672" s="0" t="n">
        <v>2020</v>
      </c>
      <c r="E7672" s="0" t="inlineStr">
        <is>
          <t>sonic the hedgehog</t>
        </is>
      </c>
      <c r="F7672" s="0" t="inlineStr">
        <is>
          <t>F0378</t>
        </is>
      </c>
    </row>
    <row r="7673">
      <c r="A7673" s="0" t="inlineStr">
        <is>
          <t>Lisa Chandler</t>
        </is>
      </c>
      <c r="B7673" s="0" t="n">
        <v>1</v>
      </c>
      <c r="C7673" s="0" t="n">
        <v>2020</v>
      </c>
      <c r="D7673" s="0" t="n">
        <v>2020</v>
      </c>
      <c r="E7673" s="0" t="inlineStr">
        <is>
          <t>sonic the hedgehog</t>
        </is>
      </c>
      <c r="F7673" s="0" t="inlineStr">
        <is>
          <t>F0378</t>
        </is>
      </c>
    </row>
    <row r="7674">
      <c r="A7674" s="0" t="inlineStr">
        <is>
          <t>Chris Gailus</t>
        </is>
      </c>
      <c r="B7674" s="0" t="n">
        <v>1</v>
      </c>
      <c r="C7674" s="0" t="n">
        <v>2020</v>
      </c>
      <c r="D7674" s="0" t="n">
        <v>2020</v>
      </c>
      <c r="E7674" s="0" t="inlineStr">
        <is>
          <t>sonic the hedgehog</t>
        </is>
      </c>
      <c r="F7674" s="0" t="inlineStr">
        <is>
          <t>F0378</t>
        </is>
      </c>
    </row>
    <row r="7675">
      <c r="A7675" s="0" t="inlineStr">
        <is>
          <t>Bethel Lee</t>
        </is>
      </c>
      <c r="B7675" s="0" t="n">
        <v>1</v>
      </c>
      <c r="C7675" s="0" t="n">
        <v>2020</v>
      </c>
      <c r="D7675" s="0" t="n">
        <v>2020</v>
      </c>
      <c r="E7675" s="0" t="inlineStr">
        <is>
          <t>sonic the hedgehog</t>
        </is>
      </c>
      <c r="F7675" s="0" t="inlineStr">
        <is>
          <t>F0378</t>
        </is>
      </c>
    </row>
    <row r="7676">
      <c r="A7676" s="0" t="inlineStr">
        <is>
          <t>Anthony Santiago</t>
        </is>
      </c>
      <c r="B7676" s="0" t="n">
        <v>1</v>
      </c>
      <c r="C7676" s="0" t="n">
        <v>2020</v>
      </c>
      <c r="D7676" s="0" t="n">
        <v>2020</v>
      </c>
      <c r="E7676" s="0" t="inlineStr">
        <is>
          <t>sonic the hedgehog</t>
        </is>
      </c>
      <c r="F7676" s="0" t="inlineStr">
        <is>
          <t>F0378</t>
        </is>
      </c>
    </row>
    <row r="7677">
      <c r="A7677" s="0" t="inlineStr">
        <is>
          <t>Jeremiah Oh</t>
        </is>
      </c>
      <c r="B7677" s="0" t="n">
        <v>1</v>
      </c>
      <c r="C7677" s="0" t="n">
        <v>2020</v>
      </c>
      <c r="D7677" s="0" t="n">
        <v>2020</v>
      </c>
      <c r="E7677" s="0" t="inlineStr">
        <is>
          <t>sonic the hedgehog</t>
        </is>
      </c>
      <c r="F7677" s="0" t="inlineStr">
        <is>
          <t>F0378</t>
        </is>
      </c>
    </row>
    <row r="7678">
      <c r="A7678" s="0" t="inlineStr">
        <is>
          <t>Charles Heffernan</t>
        </is>
      </c>
      <c r="B7678" s="0" t="n">
        <v>1</v>
      </c>
      <c r="C7678" s="0" t="n">
        <v>2020</v>
      </c>
      <c r="D7678" s="0" t="n">
        <v>2020</v>
      </c>
      <c r="E7678" s="0" t="inlineStr">
        <is>
          <t>sonic the hedgehog</t>
        </is>
      </c>
      <c r="F7678" s="0" t="inlineStr">
        <is>
          <t>F0378</t>
        </is>
      </c>
    </row>
    <row r="7679">
      <c r="A7679" s="0" t="inlineStr">
        <is>
          <t>Terence Kelly</t>
        </is>
      </c>
      <c r="B7679" s="0" t="n">
        <v>1</v>
      </c>
      <c r="C7679" s="0" t="n">
        <v>2020</v>
      </c>
      <c r="D7679" s="0" t="n">
        <v>2020</v>
      </c>
      <c r="E7679" s="0" t="inlineStr">
        <is>
          <t>sonic the hedgehog</t>
        </is>
      </c>
      <c r="F7679" s="0" t="inlineStr">
        <is>
          <t>F0378</t>
        </is>
      </c>
    </row>
    <row r="7680">
      <c r="A7680" s="0" t="inlineStr">
        <is>
          <t>Colleen O'Shaughnessey</t>
        </is>
      </c>
      <c r="B7680" s="0" t="n">
        <v>1</v>
      </c>
      <c r="C7680" s="0" t="n">
        <v>2025</v>
      </c>
      <c r="D7680" s="0" t="n">
        <v>2025</v>
      </c>
      <c r="E7680" s="0" t="inlineStr">
        <is>
          <t>sonic the hedgehog 3</t>
        </is>
      </c>
      <c r="F7680" s="0" t="inlineStr">
        <is>
          <t>F0379</t>
        </is>
      </c>
    </row>
    <row r="7681">
      <c r="A7681" s="0" t="inlineStr">
        <is>
          <t>Krysten Ritter</t>
        </is>
      </c>
      <c r="B7681" s="0" t="n">
        <v>1</v>
      </c>
      <c r="C7681" s="0" t="n">
        <v>2025</v>
      </c>
      <c r="D7681" s="0" t="n">
        <v>2025</v>
      </c>
      <c r="E7681" s="0" t="inlineStr">
        <is>
          <t>sonic the hedgehog 3</t>
        </is>
      </c>
      <c r="F7681" s="0" t="inlineStr">
        <is>
          <t>F0379</t>
        </is>
      </c>
    </row>
    <row r="7682">
      <c r="A7682" s="0" t="inlineStr">
        <is>
          <t>Shemar Moore</t>
        </is>
      </c>
      <c r="B7682" s="0" t="n">
        <v>1</v>
      </c>
      <c r="C7682" s="0" t="n">
        <v>2025</v>
      </c>
      <c r="D7682" s="0" t="n">
        <v>2025</v>
      </c>
      <c r="E7682" s="0" t="inlineStr">
        <is>
          <t>sonic the hedgehog 3</t>
        </is>
      </c>
      <c r="F7682" s="0" t="inlineStr">
        <is>
          <t>F0379</t>
        </is>
      </c>
    </row>
    <row r="7683">
      <c r="A7683" s="0" t="inlineStr">
        <is>
          <t>Sofia Pernas</t>
        </is>
      </c>
      <c r="B7683" s="0" t="n">
        <v>1</v>
      </c>
      <c r="C7683" s="0" t="n">
        <v>2025</v>
      </c>
      <c r="D7683" s="0" t="n">
        <v>2025</v>
      </c>
      <c r="E7683" s="0" t="inlineStr">
        <is>
          <t>sonic the hedgehog 3</t>
        </is>
      </c>
      <c r="F7683" s="0" t="inlineStr">
        <is>
          <t>F0379</t>
        </is>
      </c>
    </row>
    <row r="7684">
      <c r="A7684" s="0" t="inlineStr">
        <is>
          <t>James Wolk</t>
        </is>
      </c>
      <c r="B7684" s="0" t="n">
        <v>1</v>
      </c>
      <c r="C7684" s="0" t="n">
        <v>2025</v>
      </c>
      <c r="D7684" s="0" t="n">
        <v>2025</v>
      </c>
      <c r="E7684" s="0" t="inlineStr">
        <is>
          <t>sonic the hedgehog 3</t>
        </is>
      </c>
      <c r="F7684" s="0" t="inlineStr">
        <is>
          <t>F0379</t>
        </is>
      </c>
    </row>
    <row r="7685">
      <c r="A7685" s="0" t="inlineStr">
        <is>
          <t>Brett Tutor</t>
        </is>
      </c>
      <c r="B7685" s="0" t="n">
        <v>1</v>
      </c>
      <c r="C7685" s="0" t="n">
        <v>2025</v>
      </c>
      <c r="D7685" s="0" t="n">
        <v>2025</v>
      </c>
      <c r="E7685" s="0" t="inlineStr">
        <is>
          <t>sonic the hedgehog 3</t>
        </is>
      </c>
      <c r="F7685" s="0" t="inlineStr">
        <is>
          <t>F0379</t>
        </is>
      </c>
    </row>
    <row r="7686">
      <c r="A7686" s="0" t="inlineStr">
        <is>
          <t>Richard Sutton</t>
        </is>
      </c>
      <c r="B7686" s="0" t="n">
        <v>1</v>
      </c>
      <c r="C7686" s="0" t="n">
        <v>2025</v>
      </c>
      <c r="D7686" s="0" t="n">
        <v>2025</v>
      </c>
      <c r="E7686" s="0" t="inlineStr">
        <is>
          <t>sonic the hedgehog 3</t>
        </is>
      </c>
      <c r="F7686" s="0" t="inlineStr">
        <is>
          <t>F0379</t>
        </is>
      </c>
    </row>
    <row r="7687">
      <c r="A7687" s="0" t="inlineStr">
        <is>
          <t>Will Austin</t>
        </is>
      </c>
      <c r="B7687" s="0" t="n">
        <v>1</v>
      </c>
      <c r="C7687" s="0" t="n">
        <v>2025</v>
      </c>
      <c r="D7687" s="0" t="n">
        <v>2025</v>
      </c>
      <c r="E7687" s="0" t="inlineStr">
        <is>
          <t>sonic the hedgehog 3</t>
        </is>
      </c>
      <c r="F7687" s="0" t="inlineStr">
        <is>
          <t>F0379</t>
        </is>
      </c>
    </row>
    <row r="7688">
      <c r="A7688" s="0" t="inlineStr">
        <is>
          <t>Bola Okun</t>
        </is>
      </c>
      <c r="B7688" s="0" t="n">
        <v>1</v>
      </c>
      <c r="C7688" s="0" t="n">
        <v>2025</v>
      </c>
      <c r="D7688" s="0" t="n">
        <v>2025</v>
      </c>
      <c r="E7688" s="0" t="inlineStr">
        <is>
          <t>sonic the hedgehog 3</t>
        </is>
      </c>
      <c r="F7688" s="0" t="inlineStr">
        <is>
          <t>F0379</t>
        </is>
      </c>
    </row>
    <row r="7689">
      <c r="A7689" s="0" t="inlineStr">
        <is>
          <t>Reggie Banigo</t>
        </is>
      </c>
      <c r="B7689" s="0" t="n">
        <v>1</v>
      </c>
      <c r="C7689" s="0" t="n">
        <v>2025</v>
      </c>
      <c r="D7689" s="0" t="n">
        <v>2025</v>
      </c>
      <c r="E7689" s="0" t="inlineStr">
        <is>
          <t>sonic the hedgehog 3</t>
        </is>
      </c>
      <c r="F7689" s="0" t="inlineStr">
        <is>
          <t>F0379</t>
        </is>
      </c>
    </row>
    <row r="7690">
      <c r="A7690" s="0" t="inlineStr">
        <is>
          <t>Barry Calvert</t>
        </is>
      </c>
      <c r="B7690" s="0" t="n">
        <v>1</v>
      </c>
      <c r="C7690" s="0" t="n">
        <v>2025</v>
      </c>
      <c r="D7690" s="0" t="n">
        <v>2025</v>
      </c>
      <c r="E7690" s="0" t="inlineStr">
        <is>
          <t>sonic the hedgehog 3</t>
        </is>
      </c>
      <c r="F7690" s="0" t="inlineStr">
        <is>
          <t>F0379</t>
        </is>
      </c>
    </row>
    <row r="7691">
      <c r="A7691" s="0" t="inlineStr">
        <is>
          <t>Brendan Murphy</t>
        </is>
      </c>
      <c r="B7691" s="0" t="n">
        <v>1</v>
      </c>
      <c r="C7691" s="0" t="n">
        <v>2025</v>
      </c>
      <c r="D7691" s="0" t="n">
        <v>2025</v>
      </c>
      <c r="E7691" s="0" t="inlineStr">
        <is>
          <t>sonic the hedgehog 3</t>
        </is>
      </c>
      <c r="F7691" s="0" t="inlineStr">
        <is>
          <t>F0379</t>
        </is>
      </c>
    </row>
    <row r="7692">
      <c r="A7692" s="0" t="inlineStr">
        <is>
          <t>Toru Nakahara</t>
        </is>
      </c>
      <c r="B7692" s="0" t="n">
        <v>1</v>
      </c>
      <c r="C7692" s="0" t="n">
        <v>2025</v>
      </c>
      <c r="D7692" s="0" t="n">
        <v>2025</v>
      </c>
      <c r="E7692" s="0" t="inlineStr">
        <is>
          <t>sonic the hedgehog 3</t>
        </is>
      </c>
      <c r="F7692" s="0" t="inlineStr">
        <is>
          <t>F0379</t>
        </is>
      </c>
    </row>
    <row r="7693">
      <c r="A7693" s="0" t="inlineStr">
        <is>
          <t>Mariko Nishino</t>
        </is>
      </c>
      <c r="B7693" s="0" t="n">
        <v>1</v>
      </c>
      <c r="C7693" s="0" t="n">
        <v>2025</v>
      </c>
      <c r="D7693" s="0" t="n">
        <v>2025</v>
      </c>
      <c r="E7693" s="0" t="inlineStr">
        <is>
          <t>sonic the hedgehog 3</t>
        </is>
      </c>
      <c r="F7693" s="0" t="inlineStr">
        <is>
          <t>F0379</t>
        </is>
      </c>
    </row>
    <row r="7694">
      <c r="A7694" s="0" t="inlineStr">
        <is>
          <t>Jimmy Moneta</t>
        </is>
      </c>
      <c r="B7694" s="0" t="n">
        <v>2</v>
      </c>
      <c r="C7694" s="0" t="n">
        <v>2023</v>
      </c>
      <c r="D7694" s="0" t="n">
        <v>2025</v>
      </c>
      <c r="E7694" s="0" t="inlineStr">
        <is>
          <t>sonic the hedgehog 3, John wick chapter 4</t>
        </is>
      </c>
      <c r="F7694" s="0" t="inlineStr">
        <is>
          <t>F0379, F0392</t>
        </is>
      </c>
    </row>
    <row r="7695">
      <c r="A7695" s="0" t="inlineStr">
        <is>
          <t>Brian d'Arcy James</t>
        </is>
      </c>
      <c r="B7695" s="0" t="n">
        <v>1</v>
      </c>
      <c r="C7695" s="0" t="n">
        <v>2022</v>
      </c>
      <c r="D7695" s="0" t="n">
        <v>2022</v>
      </c>
      <c r="E7695" s="0" t="inlineStr">
        <is>
          <t>X-men dark phoenix</t>
        </is>
      </c>
      <c r="F7695" s="0" t="inlineStr">
        <is>
          <t>F0380</t>
        </is>
      </c>
    </row>
    <row r="7696">
      <c r="A7696" s="0" t="inlineStr">
        <is>
          <t>Halston Sage</t>
        </is>
      </c>
      <c r="B7696" s="0" t="n">
        <v>1</v>
      </c>
      <c r="C7696" s="0" t="n">
        <v>2022</v>
      </c>
      <c r="D7696" s="0" t="n">
        <v>2022</v>
      </c>
      <c r="E7696" s="0" t="inlineStr">
        <is>
          <t>X-men dark phoenix</t>
        </is>
      </c>
      <c r="F7696" s="0" t="inlineStr">
        <is>
          <t>F0380</t>
        </is>
      </c>
    </row>
    <row r="7697">
      <c r="A7697" s="0" t="inlineStr">
        <is>
          <t>Lamar Johnson</t>
        </is>
      </c>
      <c r="B7697" s="0" t="n">
        <v>1</v>
      </c>
      <c r="C7697" s="0" t="n">
        <v>2022</v>
      </c>
      <c r="D7697" s="0" t="n">
        <v>2022</v>
      </c>
      <c r="E7697" s="0" t="inlineStr">
        <is>
          <t>X-men dark phoenix</t>
        </is>
      </c>
      <c r="F7697" s="0" t="inlineStr">
        <is>
          <t>F0380</t>
        </is>
      </c>
    </row>
    <row r="7698">
      <c r="A7698" s="0" t="inlineStr">
        <is>
          <t>Summer Fontana</t>
        </is>
      </c>
      <c r="B7698" s="0" t="n">
        <v>1</v>
      </c>
      <c r="C7698" s="0" t="n">
        <v>2022</v>
      </c>
      <c r="D7698" s="0" t="n">
        <v>2022</v>
      </c>
      <c r="E7698" s="0" t="inlineStr">
        <is>
          <t>X-men dark phoenix</t>
        </is>
      </c>
      <c r="F7698" s="0" t="inlineStr">
        <is>
          <t>F0380</t>
        </is>
      </c>
    </row>
    <row r="7699">
      <c r="A7699" s="0" t="inlineStr">
        <is>
          <t>Hannah Emily Anderson</t>
        </is>
      </c>
      <c r="B7699" s="0" t="n">
        <v>1</v>
      </c>
      <c r="C7699" s="0" t="n">
        <v>2022</v>
      </c>
      <c r="D7699" s="0" t="n">
        <v>2022</v>
      </c>
      <c r="E7699" s="0" t="inlineStr">
        <is>
          <t>X-men dark phoenix</t>
        </is>
      </c>
      <c r="F7699" s="0" t="inlineStr">
        <is>
          <t>F0380</t>
        </is>
      </c>
    </row>
    <row r="7700">
      <c r="A7700" s="0" t="inlineStr">
        <is>
          <t>Josh McLaglen</t>
        </is>
      </c>
      <c r="B7700" s="0" t="n">
        <v>1</v>
      </c>
      <c r="C7700" s="0" t="n">
        <v>2022</v>
      </c>
      <c r="D7700" s="0" t="n">
        <v>2022</v>
      </c>
      <c r="E7700" s="0" t="inlineStr">
        <is>
          <t>X-men dark phoenix</t>
        </is>
      </c>
      <c r="F7700" s="0" t="inlineStr">
        <is>
          <t>F0380</t>
        </is>
      </c>
    </row>
    <row r="7701">
      <c r="A7701" s="0" t="inlineStr">
        <is>
          <t>Todd Hallowell</t>
        </is>
      </c>
      <c r="B7701" s="0" t="n">
        <v>1</v>
      </c>
      <c r="C7701" s="0" t="n">
        <v>2022</v>
      </c>
      <c r="D7701" s="0" t="n">
        <v>2022</v>
      </c>
      <c r="E7701" s="0" t="inlineStr">
        <is>
          <t>X-men dark phoenix</t>
        </is>
      </c>
      <c r="F7701" s="0" t="inlineStr">
        <is>
          <t>F0380</t>
        </is>
      </c>
    </row>
    <row r="7702">
      <c r="A7702" s="0" t="inlineStr">
        <is>
          <t>Julianne Jain</t>
        </is>
      </c>
      <c r="B7702" s="0" t="n">
        <v>1</v>
      </c>
      <c r="C7702" s="0" t="n">
        <v>2022</v>
      </c>
      <c r="D7702" s="0" t="n">
        <v>2022</v>
      </c>
      <c r="E7702" s="0" t="inlineStr">
        <is>
          <t>X-men dark phoenix</t>
        </is>
      </c>
      <c r="F7702" s="0" t="inlineStr">
        <is>
          <t>F0380</t>
        </is>
      </c>
    </row>
    <row r="7703">
      <c r="A7703" s="0" t="inlineStr">
        <is>
          <t>Michael Kives</t>
        </is>
      </c>
      <c r="B7703" s="0" t="n">
        <v>1</v>
      </c>
      <c r="C7703" s="0" t="n">
        <v>2022</v>
      </c>
      <c r="D7703" s="0" t="n">
        <v>2022</v>
      </c>
      <c r="E7703" s="0" t="inlineStr">
        <is>
          <t>X-men dark phoenix</t>
        </is>
      </c>
      <c r="F7703" s="0" t="inlineStr">
        <is>
          <t>F0380</t>
        </is>
      </c>
    </row>
    <row r="7704">
      <c r="A7704" s="0" t="inlineStr">
        <is>
          <t>Karen Ivany</t>
        </is>
      </c>
      <c r="B7704" s="0" t="n">
        <v>1</v>
      </c>
      <c r="C7704" s="0" t="n">
        <v>2022</v>
      </c>
      <c r="D7704" s="0" t="n">
        <v>2022</v>
      </c>
      <c r="E7704" s="0" t="inlineStr">
        <is>
          <t>X-men dark phoenix</t>
        </is>
      </c>
      <c r="F7704" s="0" t="inlineStr">
        <is>
          <t>F0380</t>
        </is>
      </c>
    </row>
    <row r="7705">
      <c r="A7705" s="0" t="inlineStr">
        <is>
          <t>Lynne Adams</t>
        </is>
      </c>
      <c r="B7705" s="0" t="n">
        <v>1</v>
      </c>
      <c r="C7705" s="0" t="n">
        <v>2022</v>
      </c>
      <c r="D7705" s="0" t="n">
        <v>2022</v>
      </c>
      <c r="E7705" s="0" t="inlineStr">
        <is>
          <t>X-men dark phoenix</t>
        </is>
      </c>
      <c r="F7705" s="0" t="inlineStr">
        <is>
          <t>F0380</t>
        </is>
      </c>
    </row>
    <row r="7706">
      <c r="A7706" s="0" t="inlineStr">
        <is>
          <t>Alex Gravenstein</t>
        </is>
      </c>
      <c r="B7706" s="0" t="n">
        <v>1</v>
      </c>
      <c r="C7706" s="0" t="n">
        <v>2022</v>
      </c>
      <c r="D7706" s="0" t="n">
        <v>2022</v>
      </c>
      <c r="E7706" s="0" t="inlineStr">
        <is>
          <t>X-men dark phoenix</t>
        </is>
      </c>
      <c r="F7706" s="0" t="inlineStr">
        <is>
          <t>F0380</t>
        </is>
      </c>
    </row>
    <row r="7707">
      <c r="A7707" s="0" t="inlineStr">
        <is>
          <t>Daniel Rindress-Kay</t>
        </is>
      </c>
      <c r="B7707" s="0" t="n">
        <v>1</v>
      </c>
      <c r="C7707" s="0" t="n">
        <v>2022</v>
      </c>
      <c r="D7707" s="0" t="n">
        <v>2022</v>
      </c>
      <c r="E7707" s="0" t="inlineStr">
        <is>
          <t>X-men dark phoenix</t>
        </is>
      </c>
      <c r="F7707" s="0" t="inlineStr">
        <is>
          <t>F0380</t>
        </is>
      </c>
    </row>
    <row r="7708">
      <c r="A7708" s="0" t="inlineStr">
        <is>
          <t>Raphael Grosz-Harvey</t>
        </is>
      </c>
      <c r="B7708" s="0" t="n">
        <v>1</v>
      </c>
      <c r="C7708" s="0" t="n">
        <v>2022</v>
      </c>
      <c r="D7708" s="0" t="n">
        <v>2022</v>
      </c>
      <c r="E7708" s="0" t="inlineStr">
        <is>
          <t>X-men dark phoenix</t>
        </is>
      </c>
      <c r="F7708" s="0" t="inlineStr">
        <is>
          <t>F0380</t>
        </is>
      </c>
    </row>
    <row r="7709">
      <c r="A7709" s="0" t="inlineStr">
        <is>
          <t>Orphée Ladouceur-Nguyen</t>
        </is>
      </c>
      <c r="B7709" s="0" t="n">
        <v>1</v>
      </c>
      <c r="C7709" s="0" t="n">
        <v>2022</v>
      </c>
      <c r="D7709" s="0" t="n">
        <v>2022</v>
      </c>
      <c r="E7709" s="0" t="inlineStr">
        <is>
          <t>X-men dark phoenix</t>
        </is>
      </c>
      <c r="F7709" s="0" t="inlineStr">
        <is>
          <t>F0380</t>
        </is>
      </c>
    </row>
    <row r="7710">
      <c r="A7710" s="0" t="inlineStr">
        <is>
          <t>Richard Dagenais</t>
        </is>
      </c>
      <c r="B7710" s="0" t="n">
        <v>1</v>
      </c>
      <c r="C7710" s="0" t="n">
        <v>2022</v>
      </c>
      <c r="D7710" s="0" t="n">
        <v>2022</v>
      </c>
      <c r="E7710" s="0" t="inlineStr">
        <is>
          <t>X-men dark phoenix</t>
        </is>
      </c>
      <c r="F7710" s="0" t="inlineStr">
        <is>
          <t>F0380</t>
        </is>
      </c>
    </row>
    <row r="7711">
      <c r="A7711" s="0" t="inlineStr">
        <is>
          <t>Dan Duran</t>
        </is>
      </c>
      <c r="B7711" s="0" t="n">
        <v>1</v>
      </c>
      <c r="C7711" s="0" t="n">
        <v>2022</v>
      </c>
      <c r="D7711" s="0" t="n">
        <v>2022</v>
      </c>
      <c r="E7711" s="0" t="inlineStr">
        <is>
          <t>X-men dark phoenix</t>
        </is>
      </c>
      <c r="F7711" s="0" t="inlineStr">
        <is>
          <t>F0380</t>
        </is>
      </c>
    </row>
    <row r="7712">
      <c r="A7712" s="0" t="inlineStr">
        <is>
          <t>Isabel Farias Lehoux</t>
        </is>
      </c>
      <c r="B7712" s="0" t="n">
        <v>1</v>
      </c>
      <c r="C7712" s="0" t="n">
        <v>2022</v>
      </c>
      <c r="D7712" s="0" t="n">
        <v>2022</v>
      </c>
      <c r="E7712" s="0" t="inlineStr">
        <is>
          <t>X-men dark phoenix</t>
        </is>
      </c>
      <c r="F7712" s="0" t="inlineStr">
        <is>
          <t>F0380</t>
        </is>
      </c>
    </row>
    <row r="7713">
      <c r="A7713" s="0" t="inlineStr">
        <is>
          <t>David Duchovny</t>
        </is>
      </c>
      <c r="B7713" s="0" t="n">
        <v>1</v>
      </c>
      <c r="C7713" s="0" t="n">
        <v>2001</v>
      </c>
      <c r="D7713" s="0" t="n">
        <v>2001</v>
      </c>
      <c r="E7713" s="0" t="inlineStr">
        <is>
          <t>Evolution</t>
        </is>
      </c>
      <c r="F7713" s="0" t="inlineStr">
        <is>
          <t>F0381</t>
        </is>
      </c>
    </row>
    <row r="7714">
      <c r="A7714" s="0" t="inlineStr">
        <is>
          <t>Orlando Jones</t>
        </is>
      </c>
      <c r="B7714" s="0" t="n">
        <v>1</v>
      </c>
      <c r="C7714" s="0" t="n">
        <v>2001</v>
      </c>
      <c r="D7714" s="0" t="n">
        <v>2001</v>
      </c>
      <c r="E7714" s="0" t="inlineStr">
        <is>
          <t>Evolution</t>
        </is>
      </c>
      <c r="F7714" s="0" t="inlineStr">
        <is>
          <t>F0381</t>
        </is>
      </c>
    </row>
    <row r="7715">
      <c r="A7715" s="0" t="inlineStr">
        <is>
          <t>Ethan Suplee</t>
        </is>
      </c>
      <c r="B7715" s="0" t="n">
        <v>1</v>
      </c>
      <c r="C7715" s="0" t="n">
        <v>2001</v>
      </c>
      <c r="D7715" s="0" t="n">
        <v>2001</v>
      </c>
      <c r="E7715" s="0" t="inlineStr">
        <is>
          <t>Evolution</t>
        </is>
      </c>
      <c r="F7715" s="0" t="inlineStr">
        <is>
          <t>F0381</t>
        </is>
      </c>
    </row>
    <row r="7716">
      <c r="A7716" s="0" t="inlineStr">
        <is>
          <t>Michael Bower</t>
        </is>
      </c>
      <c r="B7716" s="0" t="n">
        <v>1</v>
      </c>
      <c r="C7716" s="0" t="n">
        <v>2001</v>
      </c>
      <c r="D7716" s="0" t="n">
        <v>2001</v>
      </c>
      <c r="E7716" s="0" t="inlineStr">
        <is>
          <t>Evolution</t>
        </is>
      </c>
      <c r="F7716" s="0" t="inlineStr">
        <is>
          <t>F0381</t>
        </is>
      </c>
    </row>
    <row r="7717">
      <c r="A7717" s="0" t="inlineStr">
        <is>
          <t>Pat Kilbane</t>
        </is>
      </c>
      <c r="B7717" s="0" t="n">
        <v>1</v>
      </c>
      <c r="C7717" s="0" t="n">
        <v>2001</v>
      </c>
      <c r="D7717" s="0" t="n">
        <v>2001</v>
      </c>
      <c r="E7717" s="0" t="inlineStr">
        <is>
          <t>Evolution</t>
        </is>
      </c>
      <c r="F7717" s="0" t="inlineStr">
        <is>
          <t>F0381</t>
        </is>
      </c>
    </row>
    <row r="7718">
      <c r="A7718" s="0" t="inlineStr">
        <is>
          <t>Michelle Wolff</t>
        </is>
      </c>
      <c r="B7718" s="0" t="n">
        <v>1</v>
      </c>
      <c r="C7718" s="0" t="n">
        <v>2001</v>
      </c>
      <c r="D7718" s="0" t="n">
        <v>2001</v>
      </c>
      <c r="E7718" s="0" t="inlineStr">
        <is>
          <t>Evolution</t>
        </is>
      </c>
      <c r="F7718" s="0" t="inlineStr">
        <is>
          <t>F0381</t>
        </is>
      </c>
    </row>
    <row r="7719">
      <c r="A7719" s="0" t="inlineStr">
        <is>
          <t>Katharine Towne</t>
        </is>
      </c>
      <c r="B7719" s="0" t="n">
        <v>1</v>
      </c>
      <c r="C7719" s="0" t="n">
        <v>2001</v>
      </c>
      <c r="D7719" s="0" t="n">
        <v>2001</v>
      </c>
      <c r="E7719" s="0" t="inlineStr">
        <is>
          <t>Evolution</t>
        </is>
      </c>
      <c r="F7719" s="0" t="inlineStr">
        <is>
          <t>F0381</t>
        </is>
      </c>
    </row>
    <row r="7720">
      <c r="A7720" s="0" t="inlineStr">
        <is>
          <t>Stephanie Hodge</t>
        </is>
      </c>
      <c r="B7720" s="0" t="n">
        <v>1</v>
      </c>
      <c r="C7720" s="0" t="n">
        <v>2001</v>
      </c>
      <c r="D7720" s="0" t="n">
        <v>2001</v>
      </c>
      <c r="E7720" s="0" t="inlineStr">
        <is>
          <t>Evolution</t>
        </is>
      </c>
      <c r="F7720" s="0" t="inlineStr">
        <is>
          <t>F0381</t>
        </is>
      </c>
    </row>
    <row r="7721">
      <c r="A7721" s="0" t="inlineStr">
        <is>
          <t>Jerry Trainor</t>
        </is>
      </c>
      <c r="B7721" s="0" t="n">
        <v>1</v>
      </c>
      <c r="C7721" s="0" t="n">
        <v>2001</v>
      </c>
      <c r="D7721" s="0" t="n">
        <v>2001</v>
      </c>
      <c r="E7721" s="0" t="inlineStr">
        <is>
          <t>Evolution</t>
        </is>
      </c>
      <c r="F7721" s="0" t="inlineStr">
        <is>
          <t>F0381</t>
        </is>
      </c>
    </row>
    <row r="7722">
      <c r="A7722" s="0" t="inlineStr">
        <is>
          <t>Jennifer Savidge</t>
        </is>
      </c>
      <c r="B7722" s="0" t="n">
        <v>1</v>
      </c>
      <c r="C7722" s="0" t="n">
        <v>2001</v>
      </c>
      <c r="D7722" s="0" t="n">
        <v>2001</v>
      </c>
      <c r="E7722" s="0" t="inlineStr">
        <is>
          <t>Evolution</t>
        </is>
      </c>
      <c r="F7722" s="0" t="inlineStr">
        <is>
          <t>F0381</t>
        </is>
      </c>
    </row>
    <row r="7723">
      <c r="A7723" s="0" t="inlineStr">
        <is>
          <t>Wendy Braun</t>
        </is>
      </c>
      <c r="B7723" s="0" t="n">
        <v>1</v>
      </c>
      <c r="C7723" s="0" t="n">
        <v>2001</v>
      </c>
      <c r="D7723" s="0" t="n">
        <v>2001</v>
      </c>
      <c r="E7723" s="0" t="inlineStr">
        <is>
          <t>Evolution</t>
        </is>
      </c>
      <c r="F7723" s="0" t="inlineStr">
        <is>
          <t>F0381</t>
        </is>
      </c>
    </row>
    <row r="7724">
      <c r="A7724" s="0" t="inlineStr">
        <is>
          <t>Michael Chapman</t>
        </is>
      </c>
      <c r="B7724" s="0" t="n">
        <v>1</v>
      </c>
      <c r="C7724" s="0" t="n">
        <v>2001</v>
      </c>
      <c r="D7724" s="0" t="n">
        <v>2001</v>
      </c>
      <c r="E7724" s="0" t="inlineStr">
        <is>
          <t>Evolution</t>
        </is>
      </c>
      <c r="F7724" s="0" t="inlineStr">
        <is>
          <t>F0381</t>
        </is>
      </c>
    </row>
    <row r="7725">
      <c r="A7725" s="0" t="inlineStr">
        <is>
          <t>Mary Pat Gleason</t>
        </is>
      </c>
      <c r="B7725" s="0" t="n">
        <v>1</v>
      </c>
      <c r="C7725" s="0" t="n">
        <v>2001</v>
      </c>
      <c r="D7725" s="0" t="n">
        <v>2001</v>
      </c>
      <c r="E7725" s="0" t="inlineStr">
        <is>
          <t>Evolution</t>
        </is>
      </c>
      <c r="F7725" s="0" t="inlineStr">
        <is>
          <t>F0381</t>
        </is>
      </c>
    </row>
    <row r="7726">
      <c r="A7726" s="0" t="inlineStr">
        <is>
          <t>Andrew Bowen</t>
        </is>
      </c>
      <c r="B7726" s="0" t="n">
        <v>1</v>
      </c>
      <c r="C7726" s="0" t="n">
        <v>2001</v>
      </c>
      <c r="D7726" s="0" t="n">
        <v>2001</v>
      </c>
      <c r="E7726" s="0" t="inlineStr">
        <is>
          <t>Evolution</t>
        </is>
      </c>
      <c r="F7726" s="0" t="inlineStr">
        <is>
          <t>F0381</t>
        </is>
      </c>
    </row>
    <row r="7727">
      <c r="A7727" s="0" t="inlineStr">
        <is>
          <t>Ashley Clark</t>
        </is>
      </c>
      <c r="B7727" s="0" t="n">
        <v>1</v>
      </c>
      <c r="C7727" s="0" t="n">
        <v>2001</v>
      </c>
      <c r="D7727" s="0" t="n">
        <v>2001</v>
      </c>
      <c r="E7727" s="0" t="inlineStr">
        <is>
          <t>Evolution</t>
        </is>
      </c>
      <c r="F7727" s="0" t="inlineStr">
        <is>
          <t>F0381</t>
        </is>
      </c>
    </row>
    <row r="7728">
      <c r="A7728" s="0" t="inlineStr">
        <is>
          <t>Lynn Cohen</t>
        </is>
      </c>
      <c r="B7728" s="0" t="n">
        <v>2</v>
      </c>
      <c r="C7728" s="0" t="n">
        <v>2013</v>
      </c>
      <c r="D7728" s="0" t="n">
        <v>2016</v>
      </c>
      <c r="E7728" s="0" t="inlineStr">
        <is>
          <t>Catching  fire, Catching fire</t>
        </is>
      </c>
      <c r="F7728" s="0" t="inlineStr">
        <is>
          <t>F0382, F0384</t>
        </is>
      </c>
    </row>
    <row r="7729">
      <c r="A7729" s="0" t="inlineStr">
        <is>
          <t>Bobby Jordan</t>
        </is>
      </c>
      <c r="B7729" s="0" t="n">
        <v>2</v>
      </c>
      <c r="C7729" s="0" t="n">
        <v>2013</v>
      </c>
      <c r="D7729" s="0" t="n">
        <v>2016</v>
      </c>
      <c r="E7729" s="0" t="inlineStr">
        <is>
          <t>Catching  fire, Catching fire</t>
        </is>
      </c>
      <c r="F7729" s="0" t="inlineStr">
        <is>
          <t>F0382, F0384</t>
        </is>
      </c>
    </row>
    <row r="7730">
      <c r="A7730" s="0" t="inlineStr">
        <is>
          <t>Taylor St. Clair</t>
        </is>
      </c>
      <c r="B7730" s="0" t="n">
        <v>2</v>
      </c>
      <c r="C7730" s="0" t="n">
        <v>2013</v>
      </c>
      <c r="D7730" s="0" t="n">
        <v>2016</v>
      </c>
      <c r="E7730" s="0" t="inlineStr">
        <is>
          <t>Catching  fire, Catching fire</t>
        </is>
      </c>
      <c r="F7730" s="0" t="inlineStr">
        <is>
          <t>F0382, F0384</t>
        </is>
      </c>
    </row>
    <row r="7731">
      <c r="A7731" s="0" t="inlineStr">
        <is>
          <t>Afemo Omilami</t>
        </is>
      </c>
      <c r="B7731" s="0" t="n">
        <v>2</v>
      </c>
      <c r="C7731" s="0" t="n">
        <v>2013</v>
      </c>
      <c r="D7731" s="0" t="n">
        <v>2016</v>
      </c>
      <c r="E7731" s="0" t="inlineStr">
        <is>
          <t>Catching  fire, Catching fire</t>
        </is>
      </c>
      <c r="F7731" s="0" t="inlineStr">
        <is>
          <t>F0382, F0384</t>
        </is>
      </c>
    </row>
    <row r="7732">
      <c r="A7732" s="0" t="inlineStr">
        <is>
          <t>Kimberley Drummond</t>
        </is>
      </c>
      <c r="B7732" s="0" t="n">
        <v>2</v>
      </c>
      <c r="C7732" s="0" t="n">
        <v>2013</v>
      </c>
      <c r="D7732" s="0" t="n">
        <v>2016</v>
      </c>
      <c r="E7732" s="0" t="inlineStr">
        <is>
          <t>Catching  fire, Catching fire</t>
        </is>
      </c>
      <c r="F7732" s="0" t="inlineStr">
        <is>
          <t>F0382, F0384</t>
        </is>
      </c>
    </row>
    <row r="7733">
      <c r="A7733" s="0" t="inlineStr">
        <is>
          <t>Deena Beasley</t>
        </is>
      </c>
      <c r="B7733" s="0" t="n">
        <v>2</v>
      </c>
      <c r="C7733" s="0" t="n">
        <v>2013</v>
      </c>
      <c r="D7733" s="0" t="n">
        <v>2016</v>
      </c>
      <c r="E7733" s="0" t="inlineStr">
        <is>
          <t>Catching  fire, Catching fire</t>
        </is>
      </c>
      <c r="F7733" s="0" t="inlineStr">
        <is>
          <t>F0382, F0384</t>
        </is>
      </c>
    </row>
    <row r="7734">
      <c r="A7734" s="0" t="inlineStr">
        <is>
          <t>Leon Lamar</t>
        </is>
      </c>
      <c r="B7734" s="0" t="n">
        <v>2</v>
      </c>
      <c r="C7734" s="0" t="n">
        <v>2013</v>
      </c>
      <c r="D7734" s="0" t="n">
        <v>2016</v>
      </c>
      <c r="E7734" s="0" t="inlineStr">
        <is>
          <t>Catching  fire, Catching fire</t>
        </is>
      </c>
      <c r="F7734" s="0" t="inlineStr">
        <is>
          <t>F0382, F0384</t>
        </is>
      </c>
    </row>
    <row r="7735">
      <c r="A7735" s="0" t="inlineStr">
        <is>
          <t>Mandy Neuhaus</t>
        </is>
      </c>
      <c r="B7735" s="0" t="n">
        <v>2</v>
      </c>
      <c r="C7735" s="0" t="n">
        <v>2013</v>
      </c>
      <c r="D7735" s="0" t="n">
        <v>2016</v>
      </c>
      <c r="E7735" s="0" t="inlineStr">
        <is>
          <t>Catching  fire, Catching fire</t>
        </is>
      </c>
      <c r="F7735" s="0" t="inlineStr">
        <is>
          <t>F0382, F0384</t>
        </is>
      </c>
    </row>
    <row r="7736">
      <c r="A7736" s="0" t="inlineStr">
        <is>
          <t>Wilbur Fitzgerald</t>
        </is>
      </c>
      <c r="B7736" s="0" t="n">
        <v>2</v>
      </c>
      <c r="C7736" s="0" t="n">
        <v>2013</v>
      </c>
      <c r="D7736" s="0" t="n">
        <v>2016</v>
      </c>
      <c r="E7736" s="0" t="inlineStr">
        <is>
          <t>Catching  fire, Catching fire</t>
        </is>
      </c>
      <c r="F7736" s="0" t="inlineStr">
        <is>
          <t>F0382, F0384</t>
        </is>
      </c>
    </row>
    <row r="7737">
      <c r="A7737" s="0" t="inlineStr">
        <is>
          <t>Michelle Forbes</t>
        </is>
      </c>
      <c r="B7737" s="0" t="n">
        <v>1</v>
      </c>
      <c r="C7737" s="0" t="n">
        <v>2015</v>
      </c>
      <c r="D7737" s="0" t="n">
        <v>2015</v>
      </c>
      <c r="E7737" s="0" t="inlineStr">
        <is>
          <t>Mockingjay part 2</t>
        </is>
      </c>
      <c r="F7737" s="0" t="inlineStr">
        <is>
          <t>F0383</t>
        </is>
      </c>
    </row>
    <row r="7738">
      <c r="A7738" s="0" t="inlineStr">
        <is>
          <t>Meta Golding</t>
        </is>
      </c>
      <c r="B7738" s="0" t="n">
        <v>1</v>
      </c>
      <c r="C7738" s="0" t="n">
        <v>2015</v>
      </c>
      <c r="D7738" s="0" t="n">
        <v>2015</v>
      </c>
      <c r="E7738" s="0" t="inlineStr">
        <is>
          <t>Mockingjay part 2</t>
        </is>
      </c>
      <c r="F7738" s="0" t="inlineStr">
        <is>
          <t>F0383</t>
        </is>
      </c>
    </row>
    <row r="7739">
      <c r="A7739" s="0" t="inlineStr">
        <is>
          <t>Misty Ormiston</t>
        </is>
      </c>
      <c r="B7739" s="0" t="n">
        <v>1</v>
      </c>
      <c r="C7739" s="0" t="n">
        <v>2015</v>
      </c>
      <c r="D7739" s="0" t="n">
        <v>2015</v>
      </c>
      <c r="E7739" s="0" t="inlineStr">
        <is>
          <t>Mockingjay part 2</t>
        </is>
      </c>
      <c r="F7739" s="0" t="inlineStr">
        <is>
          <t>F0383</t>
        </is>
      </c>
    </row>
    <row r="7740">
      <c r="A7740" s="0" t="inlineStr">
        <is>
          <t>Kim Ormiston</t>
        </is>
      </c>
      <c r="B7740" s="0" t="n">
        <v>1</v>
      </c>
      <c r="C7740" s="0" t="n">
        <v>2015</v>
      </c>
      <c r="D7740" s="0" t="n">
        <v>2015</v>
      </c>
      <c r="E7740" s="0" t="inlineStr">
        <is>
          <t>Mockingjay part 2</t>
        </is>
      </c>
      <c r="F7740" s="0" t="inlineStr">
        <is>
          <t>F0383</t>
        </is>
      </c>
    </row>
    <row r="7741">
      <c r="A7741" s="0" t="inlineStr">
        <is>
          <t>Donnie Yen</t>
        </is>
      </c>
      <c r="B7741" s="0" t="n">
        <v>2</v>
      </c>
      <c r="C7741" s="0" t="n">
        <v>2016</v>
      </c>
      <c r="D7741" s="0" t="n">
        <v>2023</v>
      </c>
      <c r="E7741" s="0" t="inlineStr">
        <is>
          <t>Rogue one, John wick chapter 4</t>
        </is>
      </c>
      <c r="F7741" s="0" t="inlineStr">
        <is>
          <t>F0385, F0392</t>
        </is>
      </c>
    </row>
    <row r="7742">
      <c r="A7742" s="0" t="inlineStr">
        <is>
          <t>Jiang Wen</t>
        </is>
      </c>
      <c r="B7742" s="0" t="n">
        <v>1</v>
      </c>
      <c r="C7742" s="0" t="n">
        <v>2016</v>
      </c>
      <c r="D7742" s="0" t="n">
        <v>2016</v>
      </c>
      <c r="E7742" s="0" t="inlineStr">
        <is>
          <t>Rogue one</t>
        </is>
      </c>
      <c r="F7742" s="0" t="inlineStr">
        <is>
          <t>F0385</t>
        </is>
      </c>
    </row>
    <row r="7743">
      <c r="A7743" s="0" t="inlineStr">
        <is>
          <t>Genevieve O'Reilly</t>
        </is>
      </c>
      <c r="B7743" s="0" t="n">
        <v>1</v>
      </c>
      <c r="C7743" s="0" t="n">
        <v>2016</v>
      </c>
      <c r="D7743" s="0" t="n">
        <v>2016</v>
      </c>
      <c r="E7743" s="0" t="inlineStr">
        <is>
          <t>Rogue one</t>
        </is>
      </c>
      <c r="F7743" s="0" t="inlineStr">
        <is>
          <t>F0385</t>
        </is>
      </c>
    </row>
    <row r="7744">
      <c r="A7744" s="0" t="inlineStr">
        <is>
          <t>Ben Daniels</t>
        </is>
      </c>
      <c r="B7744" s="0" t="n">
        <v>1</v>
      </c>
      <c r="C7744" s="0" t="n">
        <v>2016</v>
      </c>
      <c r="D7744" s="0" t="n">
        <v>2016</v>
      </c>
      <c r="E7744" s="0" t="inlineStr">
        <is>
          <t>Rogue one</t>
        </is>
      </c>
      <c r="F7744" s="0" t="inlineStr">
        <is>
          <t>F0385</t>
        </is>
      </c>
    </row>
    <row r="7745">
      <c r="A7745" s="0" t="inlineStr">
        <is>
          <t>Paul Kasey</t>
        </is>
      </c>
      <c r="B7745" s="0" t="n">
        <v>1</v>
      </c>
      <c r="C7745" s="0" t="n">
        <v>2016</v>
      </c>
      <c r="D7745" s="0" t="n">
        <v>2016</v>
      </c>
      <c r="E7745" s="0" t="inlineStr">
        <is>
          <t>Rogue one</t>
        </is>
      </c>
      <c r="F7745" s="0" t="inlineStr">
        <is>
          <t>F0385</t>
        </is>
      </c>
    </row>
    <row r="7746">
      <c r="A7746" s="0" t="inlineStr">
        <is>
          <t>Stephen Stanton</t>
        </is>
      </c>
      <c r="B7746" s="0" t="n">
        <v>1</v>
      </c>
      <c r="C7746" s="0" t="n">
        <v>2016</v>
      </c>
      <c r="D7746" s="0" t="n">
        <v>2016</v>
      </c>
      <c r="E7746" s="0" t="inlineStr">
        <is>
          <t>Rogue one</t>
        </is>
      </c>
      <c r="F7746" s="0" t="inlineStr">
        <is>
          <t>F0385</t>
        </is>
      </c>
    </row>
    <row r="7747">
      <c r="A7747" s="0" t="inlineStr">
        <is>
          <t>Ian McElhinney</t>
        </is>
      </c>
      <c r="B7747" s="0" t="n">
        <v>1</v>
      </c>
      <c r="C7747" s="0" t="n">
        <v>2016</v>
      </c>
      <c r="D7747" s="0" t="n">
        <v>2016</v>
      </c>
      <c r="E7747" s="0" t="inlineStr">
        <is>
          <t>Rogue one</t>
        </is>
      </c>
      <c r="F7747" s="0" t="inlineStr">
        <is>
          <t>F0385</t>
        </is>
      </c>
    </row>
    <row r="7748">
      <c r="A7748" s="0" t="inlineStr">
        <is>
          <t>Ingvild Deila</t>
        </is>
      </c>
      <c r="B7748" s="0" t="n">
        <v>1</v>
      </c>
      <c r="C7748" s="0" t="n">
        <v>2016</v>
      </c>
      <c r="D7748" s="0" t="n">
        <v>2016</v>
      </c>
      <c r="E7748" s="0" t="inlineStr">
        <is>
          <t>Rogue one</t>
        </is>
      </c>
      <c r="F7748" s="0" t="inlineStr">
        <is>
          <t>F0385</t>
        </is>
      </c>
    </row>
    <row r="7749">
      <c r="A7749" s="0" t="inlineStr">
        <is>
          <t>Valene Kane</t>
        </is>
      </c>
      <c r="B7749" s="0" t="n">
        <v>1</v>
      </c>
      <c r="C7749" s="0" t="n">
        <v>2016</v>
      </c>
      <c r="D7749" s="0" t="n">
        <v>2016</v>
      </c>
      <c r="E7749" s="0" t="inlineStr">
        <is>
          <t>Rogue one</t>
        </is>
      </c>
      <c r="F7749" s="0" t="inlineStr">
        <is>
          <t>F0385</t>
        </is>
      </c>
    </row>
    <row r="7750">
      <c r="A7750" s="0" t="inlineStr">
        <is>
          <t>Beau Gadsdon</t>
        </is>
      </c>
      <c r="B7750" s="0" t="n">
        <v>1</v>
      </c>
      <c r="C7750" s="0" t="n">
        <v>2016</v>
      </c>
      <c r="D7750" s="0" t="n">
        <v>2016</v>
      </c>
      <c r="E7750" s="0" t="inlineStr">
        <is>
          <t>Rogue one</t>
        </is>
      </c>
      <c r="F7750" s="0" t="inlineStr">
        <is>
          <t>F0385</t>
        </is>
      </c>
    </row>
    <row r="7751">
      <c r="A7751" s="0" t="inlineStr">
        <is>
          <t>Dolly Gadsdon</t>
        </is>
      </c>
      <c r="B7751" s="0" t="n">
        <v>1</v>
      </c>
      <c r="C7751" s="0" t="n">
        <v>2016</v>
      </c>
      <c r="D7751" s="0" t="n">
        <v>2016</v>
      </c>
      <c r="E7751" s="0" t="inlineStr">
        <is>
          <t>Rogue one</t>
        </is>
      </c>
      <c r="F7751" s="0" t="inlineStr">
        <is>
          <t>F0385</t>
        </is>
      </c>
    </row>
    <row r="7752">
      <c r="A7752" s="0" t="inlineStr">
        <is>
          <t>Duncan Pow</t>
        </is>
      </c>
      <c r="B7752" s="0" t="n">
        <v>1</v>
      </c>
      <c r="C7752" s="0" t="n">
        <v>2016</v>
      </c>
      <c r="D7752" s="0" t="n">
        <v>2016</v>
      </c>
      <c r="E7752" s="0" t="inlineStr">
        <is>
          <t>Rogue one</t>
        </is>
      </c>
      <c r="F7752" s="0" t="inlineStr">
        <is>
          <t>F0385</t>
        </is>
      </c>
    </row>
    <row r="7753">
      <c r="A7753" s="0" t="inlineStr">
        <is>
          <t>Emilia Clarke</t>
        </is>
      </c>
      <c r="B7753" s="0" t="n">
        <v>1</v>
      </c>
      <c r="C7753" s="0" t="n">
        <v>2018</v>
      </c>
      <c r="D7753" s="0" t="n">
        <v>2018</v>
      </c>
      <c r="E7753" s="0" t="inlineStr">
        <is>
          <t>Solo a star wars story</t>
        </is>
      </c>
      <c r="F7753" s="0" t="inlineStr">
        <is>
          <t>F0386</t>
        </is>
      </c>
    </row>
    <row r="7754">
      <c r="A7754" s="0" t="inlineStr">
        <is>
          <t>Phoebe Waller-Bridge</t>
        </is>
      </c>
      <c r="B7754" s="0" t="n">
        <v>1</v>
      </c>
      <c r="C7754" s="0" t="n">
        <v>2018</v>
      </c>
      <c r="D7754" s="0" t="n">
        <v>2018</v>
      </c>
      <c r="E7754" s="0" t="inlineStr">
        <is>
          <t>Solo a star wars story</t>
        </is>
      </c>
      <c r="F7754" s="0" t="inlineStr">
        <is>
          <t>F0386</t>
        </is>
      </c>
    </row>
    <row r="7755">
      <c r="A7755" s="0" t="inlineStr">
        <is>
          <t>Erin Kellyman</t>
        </is>
      </c>
      <c r="B7755" s="0" t="n">
        <v>1</v>
      </c>
      <c r="C7755" s="0" t="n">
        <v>2018</v>
      </c>
      <c r="D7755" s="0" t="n">
        <v>2018</v>
      </c>
      <c r="E7755" s="0" t="inlineStr">
        <is>
          <t>Solo a star wars story</t>
        </is>
      </c>
      <c r="F7755" s="0" t="inlineStr">
        <is>
          <t>F0386</t>
        </is>
      </c>
    </row>
    <row r="7756">
      <c r="A7756" s="0" t="inlineStr">
        <is>
          <t>Linda Hunt</t>
        </is>
      </c>
      <c r="B7756" s="0" t="n">
        <v>1</v>
      </c>
      <c r="C7756" s="0" t="n">
        <v>2018</v>
      </c>
      <c r="D7756" s="0" t="n">
        <v>2018</v>
      </c>
      <c r="E7756" s="0" t="inlineStr">
        <is>
          <t>Solo a star wars story</t>
        </is>
      </c>
      <c r="F7756" s="0" t="inlineStr">
        <is>
          <t>F0386</t>
        </is>
      </c>
    </row>
    <row r="7757">
      <c r="A7757" s="0" t="inlineStr">
        <is>
          <t>Ian Kenny</t>
        </is>
      </c>
      <c r="B7757" s="0" t="n">
        <v>1</v>
      </c>
      <c r="C7757" s="0" t="n">
        <v>2018</v>
      </c>
      <c r="D7757" s="0" t="n">
        <v>2018</v>
      </c>
      <c r="E7757" s="0" t="inlineStr">
        <is>
          <t>Solo a star wars story</t>
        </is>
      </c>
      <c r="F7757" s="0" t="inlineStr">
        <is>
          <t>F0386</t>
        </is>
      </c>
    </row>
    <row r="7758">
      <c r="A7758" s="0" t="inlineStr">
        <is>
          <t>Anna Francolini</t>
        </is>
      </c>
      <c r="B7758" s="0" t="n">
        <v>1</v>
      </c>
      <c r="C7758" s="0" t="n">
        <v>2018</v>
      </c>
      <c r="D7758" s="0" t="n">
        <v>2018</v>
      </c>
      <c r="E7758" s="0" t="inlineStr">
        <is>
          <t>Solo a star wars story</t>
        </is>
      </c>
      <c r="F7758" s="0" t="inlineStr">
        <is>
          <t>F0386</t>
        </is>
      </c>
    </row>
    <row r="7759">
      <c r="A7759" s="0" t="inlineStr">
        <is>
          <t>Andrew Woodall</t>
        </is>
      </c>
      <c r="B7759" s="0" t="n">
        <v>1</v>
      </c>
      <c r="C7759" s="0" t="n">
        <v>2018</v>
      </c>
      <c r="D7759" s="0" t="n">
        <v>2018</v>
      </c>
      <c r="E7759" s="0" t="inlineStr">
        <is>
          <t>Solo a star wars story</t>
        </is>
      </c>
      <c r="F7759" s="0" t="inlineStr">
        <is>
          <t>F0386</t>
        </is>
      </c>
    </row>
    <row r="7760">
      <c r="A7760" s="0" t="inlineStr">
        <is>
          <t>Shaquille Ali-Yebuah</t>
        </is>
      </c>
      <c r="B7760" s="0" t="n">
        <v>1</v>
      </c>
      <c r="C7760" s="0" t="n">
        <v>2018</v>
      </c>
      <c r="D7760" s="0" t="n">
        <v>2018</v>
      </c>
      <c r="E7760" s="0" t="inlineStr">
        <is>
          <t>Solo a star wars story</t>
        </is>
      </c>
      <c r="F7760" s="0" t="inlineStr">
        <is>
          <t>F0386</t>
        </is>
      </c>
    </row>
    <row r="7761">
      <c r="A7761" s="0" t="inlineStr">
        <is>
          <t>Eben Figueiredo</t>
        </is>
      </c>
      <c r="B7761" s="0" t="n">
        <v>1</v>
      </c>
      <c r="C7761" s="0" t="n">
        <v>2018</v>
      </c>
      <c r="D7761" s="0" t="n">
        <v>2018</v>
      </c>
      <c r="E7761" s="0" t="inlineStr">
        <is>
          <t>Solo a star wars story</t>
        </is>
      </c>
      <c r="F7761" s="0" t="inlineStr">
        <is>
          <t>F0386</t>
        </is>
      </c>
    </row>
    <row r="7762">
      <c r="A7762" s="0" t="inlineStr">
        <is>
          <t>Aaron Heffernan</t>
        </is>
      </c>
      <c r="B7762" s="0" t="n">
        <v>1</v>
      </c>
      <c r="C7762" s="0" t="n">
        <v>2018</v>
      </c>
      <c r="D7762" s="0" t="n">
        <v>2018</v>
      </c>
      <c r="E7762" s="0" t="inlineStr">
        <is>
          <t>Solo a star wars story</t>
        </is>
      </c>
      <c r="F7762" s="0" t="inlineStr">
        <is>
          <t>F0386</t>
        </is>
      </c>
    </row>
    <row r="7763">
      <c r="A7763" s="0" t="inlineStr">
        <is>
          <t>Hal Fowler</t>
        </is>
      </c>
      <c r="B7763" s="0" t="n">
        <v>1</v>
      </c>
      <c r="C7763" s="0" t="n">
        <v>2018</v>
      </c>
      <c r="D7763" s="0" t="n">
        <v>2018</v>
      </c>
      <c r="E7763" s="0" t="inlineStr">
        <is>
          <t>Solo a star wars story</t>
        </is>
      </c>
      <c r="F7763" s="0" t="inlineStr">
        <is>
          <t>F0386</t>
        </is>
      </c>
    </row>
    <row r="7764">
      <c r="A7764" s="0" t="inlineStr">
        <is>
          <t>Damian Farrell</t>
        </is>
      </c>
      <c r="B7764" s="0" t="n">
        <v>1</v>
      </c>
      <c r="C7764" s="0" t="n">
        <v>2018</v>
      </c>
      <c r="D7764" s="0" t="n">
        <v>2018</v>
      </c>
      <c r="E7764" s="0" t="inlineStr">
        <is>
          <t>Solo a star wars story</t>
        </is>
      </c>
      <c r="F7764" s="0" t="inlineStr">
        <is>
          <t>F0386</t>
        </is>
      </c>
    </row>
    <row r="7765">
      <c r="A7765" s="0" t="inlineStr">
        <is>
          <t>Charlotte Louise</t>
        </is>
      </c>
      <c r="B7765" s="0" t="n">
        <v>1</v>
      </c>
      <c r="C7765" s="0" t="n">
        <v>2018</v>
      </c>
      <c r="D7765" s="0" t="n">
        <v>2018</v>
      </c>
      <c r="E7765" s="0" t="inlineStr">
        <is>
          <t>Solo a star wars story</t>
        </is>
      </c>
      <c r="F7765" s="0" t="inlineStr">
        <is>
          <t>F0386</t>
        </is>
      </c>
    </row>
    <row r="7766">
      <c r="A7766" s="0" t="inlineStr">
        <is>
          <t>Sema-Tawi Smart</t>
        </is>
      </c>
      <c r="B7766" s="0" t="n">
        <v>1</v>
      </c>
      <c r="C7766" s="0" t="n">
        <v>2018</v>
      </c>
      <c r="D7766" s="0" t="n">
        <v>2018</v>
      </c>
      <c r="E7766" s="0" t="inlineStr">
        <is>
          <t>Solo a star wars story</t>
        </is>
      </c>
      <c r="F7766" s="0" t="inlineStr">
        <is>
          <t>F0386</t>
        </is>
      </c>
    </row>
    <row r="7767">
      <c r="A7767" s="0" t="inlineStr">
        <is>
          <t>Dee Tails</t>
        </is>
      </c>
      <c r="B7767" s="0" t="n">
        <v>1</v>
      </c>
      <c r="C7767" s="0" t="n">
        <v>2018</v>
      </c>
      <c r="D7767" s="0" t="n">
        <v>2018</v>
      </c>
      <c r="E7767" s="0" t="inlineStr">
        <is>
          <t>Solo a star wars story</t>
        </is>
      </c>
      <c r="F7767" s="0" t="inlineStr">
        <is>
          <t>F0386</t>
        </is>
      </c>
    </row>
    <row r="7768">
      <c r="A7768" s="0" t="inlineStr">
        <is>
          <t>Attila Vajda</t>
        </is>
      </c>
      <c r="B7768" s="0" t="n">
        <v>1</v>
      </c>
      <c r="C7768" s="0" t="n">
        <v>2018</v>
      </c>
      <c r="D7768" s="0" t="n">
        <v>2018</v>
      </c>
      <c r="E7768" s="0" t="inlineStr">
        <is>
          <t>Solo a star wars story</t>
        </is>
      </c>
      <c r="F7768" s="0" t="inlineStr">
        <is>
          <t>F0386</t>
        </is>
      </c>
    </row>
    <row r="7769">
      <c r="A7769" s="0" t="inlineStr">
        <is>
          <t>Fraser Kelly</t>
        </is>
      </c>
      <c r="B7769" s="0" t="n">
        <v>1</v>
      </c>
      <c r="C7769" s="0" t="n">
        <v>2018</v>
      </c>
      <c r="D7769" s="0" t="n">
        <v>2018</v>
      </c>
      <c r="E7769" s="0" t="inlineStr">
        <is>
          <t>Solo a star wars story</t>
        </is>
      </c>
      <c r="F7769" s="0" t="inlineStr">
        <is>
          <t>F0386</t>
        </is>
      </c>
    </row>
    <row r="7770">
      <c r="A7770" s="0" t="inlineStr">
        <is>
          <t>Lily Newmark</t>
        </is>
      </c>
      <c r="B7770" s="0" t="n">
        <v>1</v>
      </c>
      <c r="C7770" s="0" t="n">
        <v>2018</v>
      </c>
      <c r="D7770" s="0" t="n">
        <v>2018</v>
      </c>
      <c r="E7770" s="0" t="inlineStr">
        <is>
          <t>Solo a star wars story</t>
        </is>
      </c>
      <c r="F7770" s="0" t="inlineStr">
        <is>
          <t>F0386</t>
        </is>
      </c>
    </row>
    <row r="7771">
      <c r="A7771" s="0" t="inlineStr">
        <is>
          <t>John David Washington</t>
        </is>
      </c>
      <c r="B7771" s="0" t="n">
        <v>1</v>
      </c>
      <c r="C7771" s="0" t="n">
        <v>2020</v>
      </c>
      <c r="D7771" s="0" t="n">
        <v>2020</v>
      </c>
      <c r="E7771" s="0" t="inlineStr">
        <is>
          <t>Tenet</t>
        </is>
      </c>
      <c r="F7771" s="0" t="inlineStr">
        <is>
          <t>F0387</t>
        </is>
      </c>
    </row>
    <row r="7772">
      <c r="A7772" s="0" t="inlineStr">
        <is>
          <t>Dimple Kapadia</t>
        </is>
      </c>
      <c r="B7772" s="0" t="n">
        <v>1</v>
      </c>
      <c r="C7772" s="0" t="n">
        <v>2020</v>
      </c>
      <c r="D7772" s="0" t="n">
        <v>2020</v>
      </c>
      <c r="E7772" s="0" t="inlineStr">
        <is>
          <t>Tenet</t>
        </is>
      </c>
      <c r="F7772" s="0" t="inlineStr">
        <is>
          <t>F0387</t>
        </is>
      </c>
    </row>
    <row r="7773">
      <c r="A7773" s="0" t="inlineStr">
        <is>
          <t>Martin Donovan</t>
        </is>
      </c>
      <c r="B7773" s="0" t="n">
        <v>1</v>
      </c>
      <c r="C7773" s="0" t="n">
        <v>2020</v>
      </c>
      <c r="D7773" s="0" t="n">
        <v>2020</v>
      </c>
      <c r="E7773" s="0" t="inlineStr">
        <is>
          <t>Tenet</t>
        </is>
      </c>
      <c r="F7773" s="0" t="inlineStr">
        <is>
          <t>F0387</t>
        </is>
      </c>
    </row>
    <row r="7774">
      <c r="A7774" s="0" t="inlineStr">
        <is>
          <t>Fiona Dourif</t>
        </is>
      </c>
      <c r="B7774" s="0" t="n">
        <v>1</v>
      </c>
      <c r="C7774" s="0" t="n">
        <v>2020</v>
      </c>
      <c r="D7774" s="0" t="n">
        <v>2020</v>
      </c>
      <c r="E7774" s="0" t="inlineStr">
        <is>
          <t>Tenet</t>
        </is>
      </c>
      <c r="F7774" s="0" t="inlineStr">
        <is>
          <t>F0387</t>
        </is>
      </c>
    </row>
    <row r="7775">
      <c r="A7775" s="0" t="inlineStr">
        <is>
          <t>Himesh Patel</t>
        </is>
      </c>
      <c r="B7775" s="0" t="n">
        <v>1</v>
      </c>
      <c r="C7775" s="0" t="n">
        <v>2020</v>
      </c>
      <c r="D7775" s="0" t="n">
        <v>2020</v>
      </c>
      <c r="E7775" s="0" t="inlineStr">
        <is>
          <t>Tenet</t>
        </is>
      </c>
      <c r="F7775" s="0" t="inlineStr">
        <is>
          <t>F0387</t>
        </is>
      </c>
    </row>
    <row r="7776">
      <c r="A7776" s="0" t="inlineStr">
        <is>
          <t>Laurie Shepherd</t>
        </is>
      </c>
      <c r="B7776" s="0" t="n">
        <v>1</v>
      </c>
      <c r="C7776" s="0" t="n">
        <v>2020</v>
      </c>
      <c r="D7776" s="0" t="n">
        <v>2020</v>
      </c>
      <c r="E7776" s="0" t="inlineStr">
        <is>
          <t>Tenet</t>
        </is>
      </c>
      <c r="F7776" s="0" t="inlineStr">
        <is>
          <t>F0387</t>
        </is>
      </c>
    </row>
    <row r="7777">
      <c r="A7777" s="0" t="inlineStr">
        <is>
          <t>Juhan Ulfsak</t>
        </is>
      </c>
      <c r="B7777" s="0" t="n">
        <v>1</v>
      </c>
      <c r="C7777" s="0" t="n">
        <v>2020</v>
      </c>
      <c r="D7777" s="0" t="n">
        <v>2020</v>
      </c>
      <c r="E7777" s="0" t="inlineStr">
        <is>
          <t>Tenet</t>
        </is>
      </c>
      <c r="F7777" s="0" t="inlineStr">
        <is>
          <t>F0387</t>
        </is>
      </c>
    </row>
    <row r="7778">
      <c r="A7778" s="0" t="inlineStr">
        <is>
          <t>Ivo Uukkivi</t>
        </is>
      </c>
      <c r="B7778" s="0" t="n">
        <v>1</v>
      </c>
      <c r="C7778" s="0" t="n">
        <v>2020</v>
      </c>
      <c r="D7778" s="0" t="n">
        <v>2020</v>
      </c>
      <c r="E7778" s="0" t="inlineStr">
        <is>
          <t>Tenet</t>
        </is>
      </c>
      <c r="F7778" s="0" t="inlineStr">
        <is>
          <t>F0387</t>
        </is>
      </c>
    </row>
    <row r="7779">
      <c r="A7779" s="0" t="inlineStr">
        <is>
          <t>Rich Ceraulo Ko</t>
        </is>
      </c>
      <c r="B7779" s="0" t="n">
        <v>1</v>
      </c>
      <c r="C7779" s="0" t="n">
        <v>2020</v>
      </c>
      <c r="D7779" s="0" t="n">
        <v>2020</v>
      </c>
      <c r="E7779" s="0" t="inlineStr">
        <is>
          <t>Tenet</t>
        </is>
      </c>
      <c r="F7779" s="0" t="inlineStr">
        <is>
          <t>F0387</t>
        </is>
      </c>
    </row>
    <row r="7780">
      <c r="A7780" s="0" t="inlineStr">
        <is>
          <t>Jonathan Camp</t>
        </is>
      </c>
      <c r="B7780" s="0" t="n">
        <v>1</v>
      </c>
      <c r="C7780" s="0" t="n">
        <v>2020</v>
      </c>
      <c r="D7780" s="0" t="n">
        <v>2020</v>
      </c>
      <c r="E7780" s="0" t="inlineStr">
        <is>
          <t>Tenet</t>
        </is>
      </c>
      <c r="F7780" s="0" t="inlineStr">
        <is>
          <t>F0387</t>
        </is>
      </c>
    </row>
    <row r="7781">
      <c r="A7781" s="0" t="inlineStr">
        <is>
          <t>Sander Rebane</t>
        </is>
      </c>
      <c r="B7781" s="0" t="n">
        <v>1</v>
      </c>
      <c r="C7781" s="0" t="n">
        <v>2020</v>
      </c>
      <c r="D7781" s="0" t="n">
        <v>2020</v>
      </c>
      <c r="E7781" s="0" t="inlineStr">
        <is>
          <t>Tenet</t>
        </is>
      </c>
      <c r="F7781" s="0" t="inlineStr">
        <is>
          <t>F0387</t>
        </is>
      </c>
    </row>
    <row r="7782">
      <c r="A7782" s="0" t="inlineStr">
        <is>
          <t>Denzil Smith</t>
        </is>
      </c>
      <c r="B7782" s="0" t="n">
        <v>1</v>
      </c>
      <c r="C7782" s="0" t="n">
        <v>2020</v>
      </c>
      <c r="D7782" s="0" t="n">
        <v>2020</v>
      </c>
      <c r="E7782" s="0" t="inlineStr">
        <is>
          <t>Tenet</t>
        </is>
      </c>
      <c r="F7782" s="0" t="inlineStr">
        <is>
          <t>F0387</t>
        </is>
      </c>
    </row>
    <row r="7783">
      <c r="A7783" s="0" t="inlineStr">
        <is>
          <t>Jeremy Theobald</t>
        </is>
      </c>
      <c r="B7783" s="0" t="n">
        <v>1</v>
      </c>
      <c r="C7783" s="0" t="n">
        <v>2020</v>
      </c>
      <c r="D7783" s="0" t="n">
        <v>2020</v>
      </c>
      <c r="E7783" s="0" t="inlineStr">
        <is>
          <t>Tenet</t>
        </is>
      </c>
      <c r="F7783" s="0" t="inlineStr">
        <is>
          <t>F0387</t>
        </is>
      </c>
    </row>
    <row r="7784">
      <c r="A7784" s="0" t="inlineStr">
        <is>
          <t>Tom Nolan</t>
        </is>
      </c>
      <c r="B7784" s="0" t="n">
        <v>1</v>
      </c>
      <c r="C7784" s="0" t="n">
        <v>2020</v>
      </c>
      <c r="D7784" s="0" t="n">
        <v>2020</v>
      </c>
      <c r="E7784" s="0" t="inlineStr">
        <is>
          <t>Tenet</t>
        </is>
      </c>
      <c r="F7784" s="0" t="inlineStr">
        <is>
          <t>F0387</t>
        </is>
      </c>
    </row>
    <row r="7785">
      <c r="A7785" s="0" t="inlineStr">
        <is>
          <t>Marcel Sabat</t>
        </is>
      </c>
      <c r="B7785" s="0" t="n">
        <v>1</v>
      </c>
      <c r="C7785" s="0" t="n">
        <v>2020</v>
      </c>
      <c r="D7785" s="0" t="n">
        <v>2020</v>
      </c>
      <c r="E7785" s="0" t="inlineStr">
        <is>
          <t>Tenet</t>
        </is>
      </c>
      <c r="F7785" s="0" t="inlineStr">
        <is>
          <t>F0387</t>
        </is>
      </c>
    </row>
    <row r="7786">
      <c r="A7786" s="0" t="inlineStr">
        <is>
          <t>Julia-Maria Arnolds</t>
        </is>
      </c>
      <c r="B7786" s="0" t="n">
        <v>1</v>
      </c>
      <c r="C7786" s="0" t="n">
        <v>2020</v>
      </c>
      <c r="D7786" s="0" t="n">
        <v>2020</v>
      </c>
      <c r="E7786" s="0" t="inlineStr">
        <is>
          <t>Tenet</t>
        </is>
      </c>
      <c r="F7786" s="0" t="inlineStr">
        <is>
          <t>F0387</t>
        </is>
      </c>
    </row>
    <row r="7787">
      <c r="A7787" s="0" t="inlineStr">
        <is>
          <t>Jack Cutmore-Scott</t>
        </is>
      </c>
      <c r="B7787" s="0" t="n">
        <v>1</v>
      </c>
      <c r="C7787" s="0" t="n">
        <v>2020</v>
      </c>
      <c r="D7787" s="0" t="n">
        <v>2020</v>
      </c>
      <c r="E7787" s="0" t="inlineStr">
        <is>
          <t>Tenet</t>
        </is>
      </c>
      <c r="F7787" s="0" t="inlineStr">
        <is>
          <t>F0387</t>
        </is>
      </c>
    </row>
    <row r="7788">
      <c r="A7788" s="0" t="inlineStr">
        <is>
          <t>Adam Cropper</t>
        </is>
      </c>
      <c r="B7788" s="0" t="n">
        <v>1</v>
      </c>
      <c r="C7788" s="0" t="n">
        <v>2020</v>
      </c>
      <c r="D7788" s="0" t="n">
        <v>2020</v>
      </c>
      <c r="E7788" s="0" t="inlineStr">
        <is>
          <t>Tenet</t>
        </is>
      </c>
      <c r="F7788" s="0" t="inlineStr">
        <is>
          <t>F0387</t>
        </is>
      </c>
    </row>
    <row r="7789">
      <c r="A7789" s="0" t="inlineStr">
        <is>
          <t>Pedro Pascal</t>
        </is>
      </c>
      <c r="B7789" s="0" t="n">
        <v>2</v>
      </c>
      <c r="C7789" s="0" t="n">
        <v>2022</v>
      </c>
      <c r="D7789" s="0" t="n">
        <v>2022</v>
      </c>
      <c r="E7789" s="0" t="inlineStr">
        <is>
          <t xml:space="preserve">Unbearable weight of massive talent, Unbearable weight of massive talent </t>
        </is>
      </c>
      <c r="F7789" s="0" t="inlineStr">
        <is>
          <t>F0388</t>
        </is>
      </c>
    </row>
    <row r="7790">
      <c r="A7790" s="0" t="inlineStr">
        <is>
          <t>Sharon Horgan</t>
        </is>
      </c>
      <c r="B7790" s="0" t="n">
        <v>2</v>
      </c>
      <c r="C7790" s="0" t="n">
        <v>2022</v>
      </c>
      <c r="D7790" s="0" t="n">
        <v>2022</v>
      </c>
      <c r="E7790" s="0" t="inlineStr">
        <is>
          <t xml:space="preserve">Unbearable weight of massive talent, Unbearable weight of massive talent </t>
        </is>
      </c>
      <c r="F7790" s="0" t="inlineStr">
        <is>
          <t>F0388</t>
        </is>
      </c>
    </row>
    <row r="7791">
      <c r="A7791" s="0" t="inlineStr">
        <is>
          <t>Alessandra Mastronardi</t>
        </is>
      </c>
      <c r="B7791" s="0" t="n">
        <v>2</v>
      </c>
      <c r="C7791" s="0" t="n">
        <v>2022</v>
      </c>
      <c r="D7791" s="0" t="n">
        <v>2022</v>
      </c>
      <c r="E7791" s="0" t="inlineStr">
        <is>
          <t xml:space="preserve">Unbearable weight of massive talent, Unbearable weight of massive talent </t>
        </is>
      </c>
      <c r="F7791" s="0" t="inlineStr">
        <is>
          <t>F0388</t>
        </is>
      </c>
    </row>
    <row r="7792">
      <c r="A7792" s="0" t="inlineStr">
        <is>
          <t>Jacob Scipio</t>
        </is>
      </c>
      <c r="B7792" s="0" t="n">
        <v>2</v>
      </c>
      <c r="C7792" s="0" t="n">
        <v>2022</v>
      </c>
      <c r="D7792" s="0" t="n">
        <v>2022</v>
      </c>
      <c r="E7792" s="0" t="inlineStr">
        <is>
          <t xml:space="preserve">Unbearable weight of massive talent, Unbearable weight of massive talent </t>
        </is>
      </c>
      <c r="F7792" s="0" t="inlineStr">
        <is>
          <t>F0388</t>
        </is>
      </c>
    </row>
    <row r="7793">
      <c r="A7793" s="0" t="inlineStr">
        <is>
          <t>Paco León</t>
        </is>
      </c>
      <c r="B7793" s="0" t="n">
        <v>2</v>
      </c>
      <c r="C7793" s="0" t="n">
        <v>2022</v>
      </c>
      <c r="D7793" s="0" t="n">
        <v>2022</v>
      </c>
      <c r="E7793" s="0" t="inlineStr">
        <is>
          <t xml:space="preserve">Unbearable weight of massive talent, Unbearable weight of massive talent </t>
        </is>
      </c>
      <c r="F7793" s="0" t="inlineStr">
        <is>
          <t>F0388</t>
        </is>
      </c>
    </row>
    <row r="7794">
      <c r="A7794" s="0" t="inlineStr">
        <is>
          <t>Katrin Vankova</t>
        </is>
      </c>
      <c r="B7794" s="0" t="n">
        <v>2</v>
      </c>
      <c r="C7794" s="0" t="n">
        <v>2022</v>
      </c>
      <c r="D7794" s="0" t="n">
        <v>2022</v>
      </c>
      <c r="E7794" s="0" t="inlineStr">
        <is>
          <t xml:space="preserve">Unbearable weight of massive talent, Unbearable weight of massive talent </t>
        </is>
      </c>
      <c r="F7794" s="0" t="inlineStr">
        <is>
          <t>F0388</t>
        </is>
      </c>
    </row>
    <row r="7795">
      <c r="A7795" s="0" t="inlineStr">
        <is>
          <t>Demi Moore</t>
        </is>
      </c>
      <c r="B7795" s="0" t="n">
        <v>2</v>
      </c>
      <c r="C7795" s="0" t="n">
        <v>2022</v>
      </c>
      <c r="D7795" s="0" t="n">
        <v>2022</v>
      </c>
      <c r="E7795" s="0" t="inlineStr">
        <is>
          <t xml:space="preserve">Unbearable weight of massive talent, Unbearable weight of massive talent </t>
        </is>
      </c>
      <c r="F7795" s="0" t="inlineStr">
        <is>
          <t>F0388</t>
        </is>
      </c>
    </row>
    <row r="7796">
      <c r="A7796" s="0" t="inlineStr">
        <is>
          <t>Anna Mhairi</t>
        </is>
      </c>
      <c r="B7796" s="0" t="n">
        <v>2</v>
      </c>
      <c r="C7796" s="0" t="n">
        <v>2022</v>
      </c>
      <c r="D7796" s="0" t="n">
        <v>2022</v>
      </c>
      <c r="E7796" s="0" t="inlineStr">
        <is>
          <t xml:space="preserve">Unbearable weight of massive talent, Unbearable weight of massive talent </t>
        </is>
      </c>
      <c r="F7796" s="0" t="inlineStr">
        <is>
          <t>F0388</t>
        </is>
      </c>
    </row>
    <row r="7797">
      <c r="A7797" s="0" t="inlineStr">
        <is>
          <t>David Gordon Green</t>
        </is>
      </c>
      <c r="B7797" s="0" t="n">
        <v>2</v>
      </c>
      <c r="C7797" s="0" t="n">
        <v>2022</v>
      </c>
      <c r="D7797" s="0" t="n">
        <v>2022</v>
      </c>
      <c r="E7797" s="0" t="inlineStr">
        <is>
          <t xml:space="preserve">Unbearable weight of massive talent, Unbearable weight of massive talent </t>
        </is>
      </c>
      <c r="F7797" s="0" t="inlineStr">
        <is>
          <t>F0388</t>
        </is>
      </c>
    </row>
    <row r="7798">
      <c r="A7798" s="0" t="inlineStr">
        <is>
          <t>Luke McQueen</t>
        </is>
      </c>
      <c r="B7798" s="0" t="n">
        <v>2</v>
      </c>
      <c r="C7798" s="0" t="n">
        <v>2022</v>
      </c>
      <c r="D7798" s="0" t="n">
        <v>2022</v>
      </c>
      <c r="E7798" s="0" t="inlineStr">
        <is>
          <t xml:space="preserve">Unbearable weight of massive talent, Unbearable weight of massive talent </t>
        </is>
      </c>
      <c r="F7798" s="0" t="inlineStr">
        <is>
          <t>F0388</t>
        </is>
      </c>
    </row>
    <row r="7799">
      <c r="A7799" s="0" t="inlineStr">
        <is>
          <t>Joanna Bobin</t>
        </is>
      </c>
      <c r="B7799" s="0" t="n">
        <v>2</v>
      </c>
      <c r="C7799" s="0" t="n">
        <v>2022</v>
      </c>
      <c r="D7799" s="0" t="n">
        <v>2022</v>
      </c>
      <c r="E7799" s="0" t="inlineStr">
        <is>
          <t xml:space="preserve">Unbearable weight of massive talent, Unbearable weight of massive talent </t>
        </is>
      </c>
      <c r="F7799" s="0" t="inlineStr">
        <is>
          <t>F0388</t>
        </is>
      </c>
    </row>
    <row r="7800">
      <c r="A7800" s="0" t="inlineStr">
        <is>
          <t>Enrique Martínez</t>
        </is>
      </c>
      <c r="B7800" s="0" t="n">
        <v>2</v>
      </c>
      <c r="C7800" s="0" t="n">
        <v>2022</v>
      </c>
      <c r="D7800" s="0" t="n">
        <v>2022</v>
      </c>
      <c r="E7800" s="0" t="inlineStr">
        <is>
          <t xml:space="preserve">Unbearable weight of massive talent, Unbearable weight of massive talent </t>
        </is>
      </c>
      <c r="F7800" s="0" t="inlineStr">
        <is>
          <t>F0388</t>
        </is>
      </c>
    </row>
    <row r="7801">
      <c r="A7801" s="0" t="inlineStr">
        <is>
          <t>Manuel Tallafé</t>
        </is>
      </c>
      <c r="B7801" s="0" t="n">
        <v>2</v>
      </c>
      <c r="C7801" s="0" t="n">
        <v>2022</v>
      </c>
      <c r="D7801" s="0" t="n">
        <v>2022</v>
      </c>
      <c r="E7801" s="0" t="inlineStr">
        <is>
          <t xml:space="preserve">Unbearable weight of massive talent, Unbearable weight of massive talent </t>
        </is>
      </c>
      <c r="F7801" s="0" t="inlineStr">
        <is>
          <t>F0388</t>
        </is>
      </c>
    </row>
    <row r="7802">
      <c r="A7802" s="0" t="inlineStr">
        <is>
          <t>László Szívós</t>
        </is>
      </c>
      <c r="B7802" s="0" t="n">
        <v>2</v>
      </c>
      <c r="C7802" s="0" t="n">
        <v>2022</v>
      </c>
      <c r="D7802" s="0" t="n">
        <v>2022</v>
      </c>
      <c r="E7802" s="0" t="inlineStr">
        <is>
          <t xml:space="preserve">Unbearable weight of massive talent, Unbearable weight of massive talent </t>
        </is>
      </c>
      <c r="F7802" s="0" t="inlineStr">
        <is>
          <t>F0388</t>
        </is>
      </c>
    </row>
    <row r="7803">
      <c r="A7803" s="0" t="inlineStr">
        <is>
          <t>Ricard Balada</t>
        </is>
      </c>
      <c r="B7803" s="0" t="n">
        <v>2</v>
      </c>
      <c r="C7803" s="0" t="n">
        <v>2022</v>
      </c>
      <c r="D7803" s="0" t="n">
        <v>2022</v>
      </c>
      <c r="E7803" s="0" t="inlineStr">
        <is>
          <t xml:space="preserve">Unbearable weight of massive talent, Unbearable weight of massive talent </t>
        </is>
      </c>
      <c r="F7803" s="0" t="inlineStr">
        <is>
          <t>F0388</t>
        </is>
      </c>
    </row>
    <row r="7804">
      <c r="A7804" s="0" t="inlineStr">
        <is>
          <t>Jaime Ordóñez</t>
        </is>
      </c>
      <c r="B7804" s="0" t="n">
        <v>2</v>
      </c>
      <c r="C7804" s="0" t="n">
        <v>2022</v>
      </c>
      <c r="D7804" s="0" t="n">
        <v>2022</v>
      </c>
      <c r="E7804" s="0" t="inlineStr">
        <is>
          <t xml:space="preserve">Unbearable weight of massive talent, Unbearable weight of massive talent </t>
        </is>
      </c>
      <c r="F7804" s="0" t="inlineStr">
        <is>
          <t>F0388</t>
        </is>
      </c>
    </row>
    <row r="7805">
      <c r="A7805" s="0" t="inlineStr">
        <is>
          <t>Rebecca Finch</t>
        </is>
      </c>
      <c r="B7805" s="0" t="n">
        <v>2</v>
      </c>
      <c r="C7805" s="0" t="n">
        <v>2022</v>
      </c>
      <c r="D7805" s="0" t="n">
        <v>2022</v>
      </c>
      <c r="E7805" s="0" t="inlineStr">
        <is>
          <t xml:space="preserve">Unbearable weight of massive talent, Unbearable weight of massive talent </t>
        </is>
      </c>
      <c r="F7805" s="0" t="inlineStr">
        <is>
          <t>F0388</t>
        </is>
      </c>
    </row>
    <row r="7806">
      <c r="A7806" s="0" t="inlineStr">
        <is>
          <t>Jackson Serafim</t>
        </is>
      </c>
      <c r="B7806" s="0" t="n">
        <v>2</v>
      </c>
      <c r="C7806" s="0" t="n">
        <v>2022</v>
      </c>
      <c r="D7806" s="0" t="n">
        <v>2022</v>
      </c>
      <c r="E7806" s="0" t="inlineStr">
        <is>
          <t xml:space="preserve">Unbearable weight of massive talent, Unbearable weight of massive talent </t>
        </is>
      </c>
      <c r="F7806" s="0" t="inlineStr">
        <is>
          <t>F0388</t>
        </is>
      </c>
    </row>
    <row r="7807">
      <c r="A7807" s="0" t="inlineStr">
        <is>
          <t>Jesus Armando Campos Flores</t>
        </is>
      </c>
      <c r="B7807" s="0" t="n">
        <v>2</v>
      </c>
      <c r="C7807" s="0" t="n">
        <v>2022</v>
      </c>
      <c r="D7807" s="0" t="n">
        <v>2022</v>
      </c>
      <c r="E7807" s="0" t="inlineStr">
        <is>
          <t xml:space="preserve">Unbearable weight of massive talent, Unbearable weight of massive talent </t>
        </is>
      </c>
      <c r="F7807" s="0" t="inlineStr">
        <is>
          <t>F0388</t>
        </is>
      </c>
    </row>
    <row r="7808">
      <c r="A7808" s="0" t="inlineStr">
        <is>
          <t>Christine Grace Szarkó</t>
        </is>
      </c>
      <c r="B7808" s="0" t="n">
        <v>2</v>
      </c>
      <c r="C7808" s="0" t="n">
        <v>2022</v>
      </c>
      <c r="D7808" s="0" t="n">
        <v>2022</v>
      </c>
      <c r="E7808" s="0" t="inlineStr">
        <is>
          <t xml:space="preserve">Unbearable weight of massive talent, Unbearable weight of massive talent </t>
        </is>
      </c>
      <c r="F7808" s="0" t="inlineStr">
        <is>
          <t>F0388</t>
        </is>
      </c>
    </row>
    <row r="7809">
      <c r="A7809" s="0" t="inlineStr">
        <is>
          <t>Caroline Boulton</t>
        </is>
      </c>
      <c r="B7809" s="0" t="n">
        <v>2</v>
      </c>
      <c r="C7809" s="0" t="n">
        <v>2022</v>
      </c>
      <c r="D7809" s="0" t="n">
        <v>2022</v>
      </c>
      <c r="E7809" s="0" t="inlineStr">
        <is>
          <t xml:space="preserve">Unbearable weight of massive talent, Unbearable weight of massive talent </t>
        </is>
      </c>
      <c r="F7809" s="0" t="inlineStr">
        <is>
          <t>F0388</t>
        </is>
      </c>
    </row>
    <row r="7810">
      <c r="A7810" s="0" t="inlineStr">
        <is>
          <t>Paula Parducz</t>
        </is>
      </c>
      <c r="B7810" s="0" t="n">
        <v>2</v>
      </c>
      <c r="C7810" s="0" t="n">
        <v>2022</v>
      </c>
      <c r="D7810" s="0" t="n">
        <v>2022</v>
      </c>
      <c r="E7810" s="0" t="inlineStr">
        <is>
          <t xml:space="preserve">Unbearable weight of massive talent, Unbearable weight of massive talent </t>
        </is>
      </c>
      <c r="F7810" s="0" t="inlineStr">
        <is>
          <t>F0388</t>
        </is>
      </c>
    </row>
    <row r="7811">
      <c r="A7811" s="0" t="inlineStr">
        <is>
          <t>Tamás Buza</t>
        </is>
      </c>
      <c r="B7811" s="0" t="n">
        <v>2</v>
      </c>
      <c r="C7811" s="0" t="n">
        <v>2022</v>
      </c>
      <c r="D7811" s="0" t="n">
        <v>2022</v>
      </c>
      <c r="E7811" s="0" t="inlineStr">
        <is>
          <t xml:space="preserve">Unbearable weight of massive talent, Unbearable weight of massive talent </t>
        </is>
      </c>
      <c r="F7811" s="0" t="inlineStr">
        <is>
          <t>F0388</t>
        </is>
      </c>
    </row>
    <row r="7812">
      <c r="A7812" s="0" t="inlineStr">
        <is>
          <t>Mario Pérez</t>
        </is>
      </c>
      <c r="B7812" s="0" t="n">
        <v>2</v>
      </c>
      <c r="C7812" s="0" t="n">
        <v>2022</v>
      </c>
      <c r="D7812" s="0" t="n">
        <v>2022</v>
      </c>
      <c r="E7812" s="0" t="inlineStr">
        <is>
          <t xml:space="preserve">Unbearable weight of massive talent, Unbearable weight of massive talent </t>
        </is>
      </c>
      <c r="F7812" s="0" t="inlineStr">
        <is>
          <t>F0388</t>
        </is>
      </c>
    </row>
    <row r="7813">
      <c r="A7813" s="0" t="inlineStr">
        <is>
          <t>Francisco Grey</t>
        </is>
      </c>
      <c r="B7813" s="0" t="n">
        <v>2</v>
      </c>
      <c r="C7813" s="0" t="n">
        <v>2022</v>
      </c>
      <c r="D7813" s="0" t="n">
        <v>2022</v>
      </c>
      <c r="E7813" s="0" t="inlineStr">
        <is>
          <t xml:space="preserve">Unbearable weight of massive talent, Unbearable weight of massive talent </t>
        </is>
      </c>
      <c r="F7813" s="0" t="inlineStr">
        <is>
          <t>F0388</t>
        </is>
      </c>
    </row>
    <row r="7814">
      <c r="A7814" s="0" t="inlineStr">
        <is>
          <t>Erwin Leder</t>
        </is>
      </c>
      <c r="B7814" s="0" t="n">
        <v>2</v>
      </c>
      <c r="C7814" s="0" t="n">
        <v>2003</v>
      </c>
      <c r="D7814" s="0" t="n">
        <v>2003</v>
      </c>
      <c r="E7814" s="0" t="inlineStr">
        <is>
          <t xml:space="preserve">Underworld, Underworld </t>
        </is>
      </c>
      <c r="F7814" s="0" t="inlineStr">
        <is>
          <t>F0389</t>
        </is>
      </c>
    </row>
    <row r="7815">
      <c r="A7815" s="0" t="inlineStr">
        <is>
          <t>Robbie Gee</t>
        </is>
      </c>
      <c r="B7815" s="0" t="n">
        <v>2</v>
      </c>
      <c r="C7815" s="0" t="n">
        <v>2003</v>
      </c>
      <c r="D7815" s="0" t="n">
        <v>2003</v>
      </c>
      <c r="E7815" s="0" t="inlineStr">
        <is>
          <t xml:space="preserve">Underworld, Underworld </t>
        </is>
      </c>
      <c r="F7815" s="0" t="inlineStr">
        <is>
          <t>F0389</t>
        </is>
      </c>
    </row>
    <row r="7816">
      <c r="A7816" s="0" t="inlineStr">
        <is>
          <t>Wentworth Miller</t>
        </is>
      </c>
      <c r="B7816" s="0" t="n">
        <v>2</v>
      </c>
      <c r="C7816" s="0" t="n">
        <v>2003</v>
      </c>
      <c r="D7816" s="0" t="n">
        <v>2003</v>
      </c>
      <c r="E7816" s="0" t="inlineStr">
        <is>
          <t xml:space="preserve">Underworld, Underworld </t>
        </is>
      </c>
      <c r="F7816" s="0" t="inlineStr">
        <is>
          <t>F0389</t>
        </is>
      </c>
    </row>
    <row r="7817">
      <c r="A7817" s="0" t="inlineStr">
        <is>
          <t>Dennis J. Kozeluh</t>
        </is>
      </c>
      <c r="B7817" s="0" t="n">
        <v>2</v>
      </c>
      <c r="C7817" s="0" t="n">
        <v>2003</v>
      </c>
      <c r="D7817" s="0" t="n">
        <v>2003</v>
      </c>
      <c r="E7817" s="0" t="inlineStr">
        <is>
          <t xml:space="preserve">Underworld, Underworld </t>
        </is>
      </c>
      <c r="F7817" s="0" t="inlineStr">
        <is>
          <t>F0389</t>
        </is>
      </c>
    </row>
    <row r="7818">
      <c r="A7818" s="0" t="inlineStr">
        <is>
          <t>Todd Schneider</t>
        </is>
      </c>
      <c r="B7818" s="0" t="n">
        <v>2</v>
      </c>
      <c r="C7818" s="0" t="n">
        <v>2003</v>
      </c>
      <c r="D7818" s="0" t="n">
        <v>2003</v>
      </c>
      <c r="E7818" s="0" t="inlineStr">
        <is>
          <t xml:space="preserve">Underworld, Underworld </t>
        </is>
      </c>
      <c r="F7818" s="0" t="inlineStr">
        <is>
          <t>F0389</t>
        </is>
      </c>
    </row>
    <row r="7819">
      <c r="A7819" s="0" t="inlineStr">
        <is>
          <t>Sándor Bolla</t>
        </is>
      </c>
      <c r="B7819" s="0" t="n">
        <v>2</v>
      </c>
      <c r="C7819" s="0" t="n">
        <v>2003</v>
      </c>
      <c r="D7819" s="0" t="n">
        <v>2003</v>
      </c>
      <c r="E7819" s="0" t="inlineStr">
        <is>
          <t xml:space="preserve">Underworld, Underworld </t>
        </is>
      </c>
      <c r="F7819" s="0" t="inlineStr">
        <is>
          <t>F0389</t>
        </is>
      </c>
    </row>
    <row r="7820">
      <c r="A7820" s="0" t="inlineStr">
        <is>
          <t>Zsuzsa Barsi</t>
        </is>
      </c>
      <c r="B7820" s="0" t="n">
        <v>2</v>
      </c>
      <c r="C7820" s="0" t="n">
        <v>2003</v>
      </c>
      <c r="D7820" s="0" t="n">
        <v>2003</v>
      </c>
      <c r="E7820" s="0" t="inlineStr">
        <is>
          <t xml:space="preserve">Underworld, Underworld </t>
        </is>
      </c>
      <c r="F7820" s="0" t="inlineStr">
        <is>
          <t>F0389</t>
        </is>
      </c>
    </row>
    <row r="7821">
      <c r="A7821" s="0" t="inlineStr">
        <is>
          <t>Andreas Patton</t>
        </is>
      </c>
      <c r="B7821" s="0" t="n">
        <v>2</v>
      </c>
      <c r="C7821" s="0" t="n">
        <v>2003</v>
      </c>
      <c r="D7821" s="0" t="n">
        <v>2003</v>
      </c>
      <c r="E7821" s="0" t="inlineStr">
        <is>
          <t xml:space="preserve">Underworld, Underworld </t>
        </is>
      </c>
      <c r="F7821" s="0" t="inlineStr">
        <is>
          <t>F0389</t>
        </is>
      </c>
    </row>
    <row r="7822">
      <c r="A7822" s="0" t="inlineStr">
        <is>
          <t>Jázmin Dammak</t>
        </is>
      </c>
      <c r="B7822" s="0" t="n">
        <v>2</v>
      </c>
      <c r="C7822" s="0" t="n">
        <v>2003</v>
      </c>
      <c r="D7822" s="0" t="n">
        <v>2003</v>
      </c>
      <c r="E7822" s="0" t="inlineStr">
        <is>
          <t xml:space="preserve">Underworld, Underworld </t>
        </is>
      </c>
      <c r="F7822" s="0" t="inlineStr">
        <is>
          <t>F0389</t>
        </is>
      </c>
    </row>
    <row r="7823">
      <c r="A7823" s="0" t="inlineStr">
        <is>
          <t>Judit Kuchta</t>
        </is>
      </c>
      <c r="B7823" s="0" t="n">
        <v>2</v>
      </c>
      <c r="C7823" s="0" t="n">
        <v>2003</v>
      </c>
      <c r="D7823" s="0" t="n">
        <v>2003</v>
      </c>
      <c r="E7823" s="0" t="inlineStr">
        <is>
          <t xml:space="preserve">Underworld, Underworld </t>
        </is>
      </c>
      <c r="F7823" s="0" t="inlineStr">
        <is>
          <t>F0389</t>
        </is>
      </c>
    </row>
    <row r="7824">
      <c r="A7824" s="0" t="inlineStr">
        <is>
          <t>Vanessa Nagy</t>
        </is>
      </c>
      <c r="B7824" s="0" t="n">
        <v>2</v>
      </c>
      <c r="C7824" s="0" t="n">
        <v>2003</v>
      </c>
      <c r="D7824" s="0" t="n">
        <v>2003</v>
      </c>
      <c r="E7824" s="0" t="inlineStr">
        <is>
          <t xml:space="preserve">Underworld, Underworld </t>
        </is>
      </c>
      <c r="F7824" s="0" t="inlineStr">
        <is>
          <t>F0389</t>
        </is>
      </c>
    </row>
    <row r="7825">
      <c r="A7825" s="0" t="inlineStr">
        <is>
          <t>Atilla Pinke</t>
        </is>
      </c>
      <c r="B7825" s="0" t="n">
        <v>2</v>
      </c>
      <c r="C7825" s="0" t="n">
        <v>2003</v>
      </c>
      <c r="D7825" s="0" t="n">
        <v>2003</v>
      </c>
      <c r="E7825" s="0" t="inlineStr">
        <is>
          <t xml:space="preserve">Underworld, Underworld </t>
        </is>
      </c>
      <c r="F7825" s="0" t="inlineStr">
        <is>
          <t>F0389</t>
        </is>
      </c>
    </row>
    <row r="7826">
      <c r="A7826" s="0" t="inlineStr">
        <is>
          <t>Ildikó Kovács</t>
        </is>
      </c>
      <c r="B7826" s="0" t="n">
        <v>2</v>
      </c>
      <c r="C7826" s="0" t="n">
        <v>2003</v>
      </c>
      <c r="D7826" s="0" t="n">
        <v>2003</v>
      </c>
      <c r="E7826" s="0" t="inlineStr">
        <is>
          <t xml:space="preserve">Underworld, Underworld </t>
        </is>
      </c>
      <c r="F7826" s="0" t="inlineStr">
        <is>
          <t>F0389</t>
        </is>
      </c>
    </row>
    <row r="7827">
      <c r="A7827" s="0" t="inlineStr">
        <is>
          <t>Sándor Boros</t>
        </is>
      </c>
      <c r="B7827" s="0" t="n">
        <v>2</v>
      </c>
      <c r="C7827" s="0" t="n">
        <v>2003</v>
      </c>
      <c r="D7827" s="0" t="n">
        <v>2003</v>
      </c>
      <c r="E7827" s="0" t="inlineStr">
        <is>
          <t xml:space="preserve">Underworld, Underworld </t>
        </is>
      </c>
      <c r="F7827" s="0" t="inlineStr">
        <is>
          <t>F0389</t>
        </is>
      </c>
    </row>
    <row r="7828">
      <c r="A7828" s="0" t="inlineStr">
        <is>
          <t>János Oláh</t>
        </is>
      </c>
      <c r="B7828" s="0" t="n">
        <v>2</v>
      </c>
      <c r="C7828" s="0" t="n">
        <v>2003</v>
      </c>
      <c r="D7828" s="0" t="n">
        <v>2003</v>
      </c>
      <c r="E7828" s="0" t="inlineStr">
        <is>
          <t xml:space="preserve">Underworld, Underworld </t>
        </is>
      </c>
      <c r="F7828" s="0" t="inlineStr">
        <is>
          <t>F0389</t>
        </is>
      </c>
    </row>
    <row r="7829">
      <c r="A7829" s="0" t="inlineStr">
        <is>
          <t>Kurt Carley</t>
        </is>
      </c>
      <c r="B7829" s="0" t="n">
        <v>2</v>
      </c>
      <c r="C7829" s="0" t="n">
        <v>2003</v>
      </c>
      <c r="D7829" s="0" t="n">
        <v>2003</v>
      </c>
      <c r="E7829" s="0" t="inlineStr">
        <is>
          <t xml:space="preserve">Underworld, Underworld </t>
        </is>
      </c>
      <c r="F7829" s="0" t="inlineStr">
        <is>
          <t>F0389</t>
        </is>
      </c>
    </row>
    <row r="7830">
      <c r="A7830" s="0" t="inlineStr">
        <is>
          <t>Mark Dacascos</t>
        </is>
      </c>
      <c r="B7830" s="0" t="n">
        <v>1</v>
      </c>
      <c r="C7830" s="0" t="n">
        <v>2019</v>
      </c>
      <c r="D7830" s="0" t="n">
        <v>2019</v>
      </c>
      <c r="E7830" s="0" t="inlineStr">
        <is>
          <t>John wick chapter 3</t>
        </is>
      </c>
      <c r="F7830" s="0" t="inlineStr">
        <is>
          <t>F0391</t>
        </is>
      </c>
    </row>
    <row r="7831">
      <c r="A7831" s="0" t="inlineStr">
        <is>
          <t>Asia Kate Dillon</t>
        </is>
      </c>
      <c r="B7831" s="0" t="n">
        <v>1</v>
      </c>
      <c r="C7831" s="0" t="n">
        <v>2019</v>
      </c>
      <c r="D7831" s="0" t="n">
        <v>2019</v>
      </c>
      <c r="E7831" s="0" t="inlineStr">
        <is>
          <t>John wick chapter 3</t>
        </is>
      </c>
      <c r="F7831" s="0" t="inlineStr">
        <is>
          <t>F0391</t>
        </is>
      </c>
    </row>
    <row r="7832">
      <c r="A7832" s="0" t="inlineStr">
        <is>
          <t>Jerome Flynn</t>
        </is>
      </c>
      <c r="B7832" s="0" t="n">
        <v>1</v>
      </c>
      <c r="C7832" s="0" t="n">
        <v>2019</v>
      </c>
      <c r="D7832" s="0" t="n">
        <v>2019</v>
      </c>
      <c r="E7832" s="0" t="inlineStr">
        <is>
          <t>John wick chapter 3</t>
        </is>
      </c>
      <c r="F7832" s="0" t="inlineStr">
        <is>
          <t>F0391</t>
        </is>
      </c>
    </row>
    <row r="7833">
      <c r="A7833" s="0" t="inlineStr">
        <is>
          <t>Robin Lord Taylor</t>
        </is>
      </c>
      <c r="B7833" s="0" t="n">
        <v>1</v>
      </c>
      <c r="C7833" s="0" t="n">
        <v>2019</v>
      </c>
      <c r="D7833" s="0" t="n">
        <v>2019</v>
      </c>
      <c r="E7833" s="0" t="inlineStr">
        <is>
          <t>John wick chapter 3</t>
        </is>
      </c>
      <c r="F7833" s="0" t="inlineStr">
        <is>
          <t>F0391</t>
        </is>
      </c>
    </row>
    <row r="7834">
      <c r="A7834" s="0" t="inlineStr">
        <is>
          <t>Susan Blommaert</t>
        </is>
      </c>
      <c r="B7834" s="0" t="n">
        <v>1</v>
      </c>
      <c r="C7834" s="0" t="n">
        <v>2019</v>
      </c>
      <c r="D7834" s="0" t="n">
        <v>2019</v>
      </c>
      <c r="E7834" s="0" t="inlineStr">
        <is>
          <t>John wick chapter 3</t>
        </is>
      </c>
      <c r="F7834" s="0" t="inlineStr">
        <is>
          <t>F0391</t>
        </is>
      </c>
    </row>
    <row r="7835">
      <c r="A7835" s="0" t="inlineStr">
        <is>
          <t>Unity Phelan</t>
        </is>
      </c>
      <c r="B7835" s="0" t="n">
        <v>1</v>
      </c>
      <c r="C7835" s="0" t="n">
        <v>2019</v>
      </c>
      <c r="D7835" s="0" t="n">
        <v>2019</v>
      </c>
      <c r="E7835" s="0" t="inlineStr">
        <is>
          <t>John wick chapter 3</t>
        </is>
      </c>
      <c r="F7835" s="0" t="inlineStr">
        <is>
          <t>F0391</t>
        </is>
      </c>
    </row>
    <row r="7836">
      <c r="A7836" s="0" t="inlineStr">
        <is>
          <t>Andrea Sooch</t>
        </is>
      </c>
      <c r="B7836" s="0" t="n">
        <v>1</v>
      </c>
      <c r="C7836" s="0" t="n">
        <v>2019</v>
      </c>
      <c r="D7836" s="0" t="n">
        <v>2019</v>
      </c>
      <c r="E7836" s="0" t="inlineStr">
        <is>
          <t>John wick chapter 3</t>
        </is>
      </c>
      <c r="F7836" s="0" t="inlineStr">
        <is>
          <t>F0391</t>
        </is>
      </c>
    </row>
    <row r="7837">
      <c r="A7837" s="0" t="inlineStr">
        <is>
          <t>Sergio Delavicci</t>
        </is>
      </c>
      <c r="B7837" s="0" t="n">
        <v>1</v>
      </c>
      <c r="C7837" s="0" t="n">
        <v>2019</v>
      </c>
      <c r="D7837" s="0" t="n">
        <v>2019</v>
      </c>
      <c r="E7837" s="0" t="inlineStr">
        <is>
          <t>John wick chapter 3</t>
        </is>
      </c>
      <c r="F7837" s="0" t="inlineStr">
        <is>
          <t>F0391</t>
        </is>
      </c>
    </row>
    <row r="7838">
      <c r="A7838" s="0" t="inlineStr">
        <is>
          <t>Cecep Arif Rahman</t>
        </is>
      </c>
      <c r="B7838" s="0" t="n">
        <v>1</v>
      </c>
      <c r="C7838" s="0" t="n">
        <v>2019</v>
      </c>
      <c r="D7838" s="0" t="n">
        <v>2019</v>
      </c>
      <c r="E7838" s="0" t="inlineStr">
        <is>
          <t>John wick chapter 3</t>
        </is>
      </c>
      <c r="F7838" s="0" t="inlineStr">
        <is>
          <t>F0391</t>
        </is>
      </c>
    </row>
    <row r="7839">
      <c r="A7839" s="0" t="inlineStr">
        <is>
          <t>Tiler Peck</t>
        </is>
      </c>
      <c r="B7839" s="0" t="n">
        <v>1</v>
      </c>
      <c r="C7839" s="0" t="n">
        <v>2019</v>
      </c>
      <c r="D7839" s="0" t="n">
        <v>2019</v>
      </c>
      <c r="E7839" s="0" t="inlineStr">
        <is>
          <t>John wick chapter 3</t>
        </is>
      </c>
      <c r="F7839" s="0" t="inlineStr">
        <is>
          <t>F0391</t>
        </is>
      </c>
    </row>
    <row r="7840">
      <c r="A7840" s="0" t="inlineStr">
        <is>
          <t>Baily Jones</t>
        </is>
      </c>
      <c r="B7840" s="0" t="n">
        <v>1</v>
      </c>
      <c r="C7840" s="0" t="n">
        <v>2019</v>
      </c>
      <c r="D7840" s="0" t="n">
        <v>2019</v>
      </c>
      <c r="E7840" s="0" t="inlineStr">
        <is>
          <t>John wick chapter 3</t>
        </is>
      </c>
      <c r="F7840" s="0" t="inlineStr">
        <is>
          <t>F0391</t>
        </is>
      </c>
    </row>
    <row r="7841">
      <c r="A7841" s="0" t="inlineStr">
        <is>
          <t>India Bradley</t>
        </is>
      </c>
      <c r="B7841" s="0" t="n">
        <v>1</v>
      </c>
      <c r="C7841" s="0" t="n">
        <v>2019</v>
      </c>
      <c r="D7841" s="0" t="n">
        <v>2019</v>
      </c>
      <c r="E7841" s="0" t="inlineStr">
        <is>
          <t>John wick chapter 3</t>
        </is>
      </c>
      <c r="F7841" s="0" t="inlineStr">
        <is>
          <t>F0391</t>
        </is>
      </c>
    </row>
    <row r="7842">
      <c r="A7842" s="0" t="inlineStr">
        <is>
          <t>Olivia MacKinnon</t>
        </is>
      </c>
      <c r="B7842" s="0" t="n">
        <v>1</v>
      </c>
      <c r="C7842" s="0" t="n">
        <v>2019</v>
      </c>
      <c r="D7842" s="0" t="n">
        <v>2019</v>
      </c>
      <c r="E7842" s="0" t="inlineStr">
        <is>
          <t>John wick chapter 3</t>
        </is>
      </c>
      <c r="F7842" s="0" t="inlineStr">
        <is>
          <t>F0391</t>
        </is>
      </c>
    </row>
    <row r="7843">
      <c r="A7843" s="0" t="inlineStr">
        <is>
          <t>Sarah Villwock</t>
        </is>
      </c>
      <c r="B7843" s="0" t="n">
        <v>1</v>
      </c>
      <c r="C7843" s="0" t="n">
        <v>2019</v>
      </c>
      <c r="D7843" s="0" t="n">
        <v>2019</v>
      </c>
      <c r="E7843" s="0" t="inlineStr">
        <is>
          <t>John wick chapter 3</t>
        </is>
      </c>
      <c r="F7843" s="0" t="inlineStr">
        <is>
          <t>F0391</t>
        </is>
      </c>
    </row>
    <row r="7844">
      <c r="A7844" s="0" t="inlineStr">
        <is>
          <t>Eliza Blutt</t>
        </is>
      </c>
      <c r="B7844" s="0" t="n">
        <v>1</v>
      </c>
      <c r="C7844" s="0" t="n">
        <v>2019</v>
      </c>
      <c r="D7844" s="0" t="n">
        <v>2019</v>
      </c>
      <c r="E7844" s="0" t="inlineStr">
        <is>
          <t>John wick chapter 3</t>
        </is>
      </c>
      <c r="F7844" s="0" t="inlineStr">
        <is>
          <t>F0391</t>
        </is>
      </c>
    </row>
    <row r="7845">
      <c r="A7845" s="0" t="inlineStr">
        <is>
          <t>Harrison Coll</t>
        </is>
      </c>
      <c r="B7845" s="0" t="n">
        <v>1</v>
      </c>
      <c r="C7845" s="0" t="n">
        <v>2019</v>
      </c>
      <c r="D7845" s="0" t="n">
        <v>2019</v>
      </c>
      <c r="E7845" s="0" t="inlineStr">
        <is>
          <t>John wick chapter 3</t>
        </is>
      </c>
      <c r="F7845" s="0" t="inlineStr">
        <is>
          <t>F0391</t>
        </is>
      </c>
    </row>
    <row r="7846">
      <c r="A7846" s="0" t="inlineStr">
        <is>
          <t>Boban Marjanović</t>
        </is>
      </c>
      <c r="B7846" s="0" t="n">
        <v>1</v>
      </c>
      <c r="C7846" s="0" t="n">
        <v>2019</v>
      </c>
      <c r="D7846" s="0" t="n">
        <v>2019</v>
      </c>
      <c r="E7846" s="0" t="inlineStr">
        <is>
          <t>John wick chapter 3</t>
        </is>
      </c>
      <c r="F7846" s="0" t="inlineStr">
        <is>
          <t>F0391</t>
        </is>
      </c>
    </row>
    <row r="7847">
      <c r="A7847" s="0" t="inlineStr">
        <is>
          <t>Maxim Beloserkovsky</t>
        </is>
      </c>
      <c r="B7847" s="0" t="n">
        <v>1</v>
      </c>
      <c r="C7847" s="0" t="n">
        <v>2019</v>
      </c>
      <c r="D7847" s="0" t="n">
        <v>2019</v>
      </c>
      <c r="E7847" s="0" t="inlineStr">
        <is>
          <t>John wick chapter 3</t>
        </is>
      </c>
      <c r="F7847" s="0" t="inlineStr">
        <is>
          <t>F0391</t>
        </is>
      </c>
    </row>
    <row r="7848">
      <c r="A7848" s="0" t="inlineStr">
        <is>
          <t>Charles Askegard</t>
        </is>
      </c>
      <c r="B7848" s="0" t="n">
        <v>1</v>
      </c>
      <c r="C7848" s="0" t="n">
        <v>2019</v>
      </c>
      <c r="D7848" s="0" t="n">
        <v>2019</v>
      </c>
      <c r="E7848" s="0" t="inlineStr">
        <is>
          <t>John wick chapter 3</t>
        </is>
      </c>
      <c r="F7848" s="0" t="inlineStr">
        <is>
          <t>F0391</t>
        </is>
      </c>
    </row>
    <row r="7849">
      <c r="A7849" s="0" t="inlineStr">
        <is>
          <t>Rina Sawayama</t>
        </is>
      </c>
      <c r="B7849" s="0" t="n">
        <v>1</v>
      </c>
      <c r="C7849" s="0" t="n">
        <v>2023</v>
      </c>
      <c r="D7849" s="0" t="n">
        <v>2023</v>
      </c>
      <c r="E7849" s="0" t="inlineStr">
        <is>
          <t>John wick chapter 4</t>
        </is>
      </c>
      <c r="F7849" s="0" t="inlineStr">
        <is>
          <t>F0392</t>
        </is>
      </c>
    </row>
    <row r="7850">
      <c r="A7850" s="0" t="inlineStr">
        <is>
          <t>Aimée Kwan</t>
        </is>
      </c>
      <c r="B7850" s="0" t="n">
        <v>1</v>
      </c>
      <c r="C7850" s="0" t="n">
        <v>2023</v>
      </c>
      <c r="D7850" s="0" t="n">
        <v>2023</v>
      </c>
      <c r="E7850" s="0" t="inlineStr">
        <is>
          <t>John wick chapter 4</t>
        </is>
      </c>
      <c r="F7850" s="0" t="inlineStr">
        <is>
          <t>F0392</t>
        </is>
      </c>
    </row>
    <row r="7851">
      <c r="A7851" s="0" t="inlineStr">
        <is>
          <t>Marko Zaror</t>
        </is>
      </c>
      <c r="B7851" s="0" t="n">
        <v>1</v>
      </c>
      <c r="C7851" s="0" t="n">
        <v>2023</v>
      </c>
      <c r="D7851" s="0" t="n">
        <v>2023</v>
      </c>
      <c r="E7851" s="0" t="inlineStr">
        <is>
          <t>John wick chapter 4</t>
        </is>
      </c>
      <c r="F7851" s="0" t="inlineStr">
        <is>
          <t>F0392</t>
        </is>
      </c>
    </row>
    <row r="7852">
      <c r="A7852" s="0" t="inlineStr">
        <is>
          <t>Shamier Anderson</t>
        </is>
      </c>
      <c r="B7852" s="0" t="n">
        <v>1</v>
      </c>
      <c r="C7852" s="0" t="n">
        <v>2023</v>
      </c>
      <c r="D7852" s="0" t="n">
        <v>2023</v>
      </c>
      <c r="E7852" s="0" t="inlineStr">
        <is>
          <t>John wick chapter 4</t>
        </is>
      </c>
      <c r="F7852" s="0" t="inlineStr">
        <is>
          <t>F0392</t>
        </is>
      </c>
    </row>
    <row r="7853">
      <c r="A7853" s="0" t="inlineStr">
        <is>
          <t>Yoshinori Tashiro</t>
        </is>
      </c>
      <c r="B7853" s="0" t="n">
        <v>1</v>
      </c>
      <c r="C7853" s="0" t="n">
        <v>2023</v>
      </c>
      <c r="D7853" s="0" t="n">
        <v>2023</v>
      </c>
      <c r="E7853" s="0" t="inlineStr">
        <is>
          <t>John wick chapter 4</t>
        </is>
      </c>
      <c r="F7853" s="0" t="inlineStr">
        <is>
          <t>F0392</t>
        </is>
      </c>
    </row>
    <row r="7854">
      <c r="A7854" s="0" t="inlineStr">
        <is>
          <t>Hishofuji Hiroki</t>
        </is>
      </c>
      <c r="B7854" s="0" t="n">
        <v>1</v>
      </c>
      <c r="C7854" s="0" t="n">
        <v>2023</v>
      </c>
      <c r="D7854" s="0" t="n">
        <v>2023</v>
      </c>
      <c r="E7854" s="0" t="inlineStr">
        <is>
          <t>John wick chapter 4</t>
        </is>
      </c>
      <c r="F7854" s="0" t="inlineStr">
        <is>
          <t>F0392</t>
        </is>
      </c>
    </row>
    <row r="7855">
      <c r="A7855" s="0" t="inlineStr">
        <is>
          <t>Daiki Suzuki</t>
        </is>
      </c>
      <c r="B7855" s="0" t="n">
        <v>1</v>
      </c>
      <c r="C7855" s="0" t="n">
        <v>2023</v>
      </c>
      <c r="D7855" s="0" t="n">
        <v>2023</v>
      </c>
      <c r="E7855" s="0" t="inlineStr">
        <is>
          <t>John wick chapter 4</t>
        </is>
      </c>
      <c r="F7855" s="0" t="inlineStr">
        <is>
          <t>F0392</t>
        </is>
      </c>
    </row>
    <row r="7856">
      <c r="A7856" s="0" t="inlineStr">
        <is>
          <t>Julia Asuka Riedl</t>
        </is>
      </c>
      <c r="B7856" s="0" t="n">
        <v>1</v>
      </c>
      <c r="C7856" s="0" t="n">
        <v>2023</v>
      </c>
      <c r="D7856" s="0" t="n">
        <v>2023</v>
      </c>
      <c r="E7856" s="0" t="inlineStr">
        <is>
          <t>John wick chapter 4</t>
        </is>
      </c>
      <c r="F7856" s="0" t="inlineStr">
        <is>
          <t>F0392</t>
        </is>
      </c>
    </row>
    <row r="7857">
      <c r="A7857" s="0" t="inlineStr">
        <is>
          <t>Milena Rendón</t>
        </is>
      </c>
      <c r="B7857" s="0" t="n">
        <v>1</v>
      </c>
      <c r="C7857" s="0" t="n">
        <v>2023</v>
      </c>
      <c r="D7857" s="0" t="n">
        <v>2023</v>
      </c>
      <c r="E7857" s="0" t="inlineStr">
        <is>
          <t>John wick chapter 4</t>
        </is>
      </c>
      <c r="F7857" s="0" t="inlineStr">
        <is>
          <t>F0392</t>
        </is>
      </c>
    </row>
    <row r="7858">
      <c r="A7858" s="0" t="inlineStr">
        <is>
          <t>Ivy Quainoo</t>
        </is>
      </c>
      <c r="B7858" s="0" t="n">
        <v>1</v>
      </c>
      <c r="C7858" s="0" t="n">
        <v>2023</v>
      </c>
      <c r="D7858" s="0" t="n">
        <v>2023</v>
      </c>
      <c r="E7858" s="0" t="inlineStr">
        <is>
          <t>John wick chapter 4</t>
        </is>
      </c>
      <c r="F7858" s="0" t="inlineStr">
        <is>
          <t>F0392</t>
        </is>
      </c>
    </row>
    <row r="7859">
      <c r="A7859" s="0" t="inlineStr">
        <is>
          <t>Irina Trifanov</t>
        </is>
      </c>
      <c r="B7859" s="0" t="n">
        <v>1</v>
      </c>
      <c r="C7859" s="0" t="n">
        <v>2023</v>
      </c>
      <c r="D7859" s="0" t="n">
        <v>2023</v>
      </c>
      <c r="E7859" s="0" t="inlineStr">
        <is>
          <t>John wick chapter 4</t>
        </is>
      </c>
      <c r="F7859" s="0" t="inlineStr">
        <is>
          <t>F0392</t>
        </is>
      </c>
    </row>
    <row r="7860">
      <c r="A7860" s="0" t="inlineStr">
        <is>
          <t>Iryna Fedorova</t>
        </is>
      </c>
      <c r="B7860" s="0" t="n">
        <v>1</v>
      </c>
      <c r="C7860" s="0" t="n">
        <v>2023</v>
      </c>
      <c r="D7860" s="0" t="n">
        <v>2023</v>
      </c>
      <c r="E7860" s="0" t="inlineStr">
        <is>
          <t>John wick chapter 4</t>
        </is>
      </c>
      <c r="F7860" s="0" t="inlineStr">
        <is>
          <t>F0392</t>
        </is>
      </c>
    </row>
    <row r="7861">
      <c r="A7861" s="0" t="inlineStr">
        <is>
          <t>Andrej Kaminsky</t>
        </is>
      </c>
      <c r="B7861" s="0" t="n">
        <v>1</v>
      </c>
      <c r="C7861" s="0" t="n">
        <v>2023</v>
      </c>
      <c r="D7861" s="0" t="n">
        <v>2023</v>
      </c>
      <c r="E7861" s="0" t="inlineStr">
        <is>
          <t>John wick chapter 4</t>
        </is>
      </c>
      <c r="F7861" s="0" t="inlineStr">
        <is>
          <t>F0392</t>
        </is>
      </c>
    </row>
    <row r="7862">
      <c r="A7862" s="0" t="inlineStr">
        <is>
          <t>Sven Marquardt</t>
        </is>
      </c>
      <c r="B7862" s="0" t="n">
        <v>1</v>
      </c>
      <c r="C7862" s="0" t="n">
        <v>2023</v>
      </c>
      <c r="D7862" s="0" t="n">
        <v>2023</v>
      </c>
      <c r="E7862" s="0" t="inlineStr">
        <is>
          <t>John wick chapter 4</t>
        </is>
      </c>
      <c r="F7862" s="0" t="inlineStr">
        <is>
          <t>F0392</t>
        </is>
      </c>
    </row>
    <row r="7863">
      <c r="A7863" s="0" t="inlineStr">
        <is>
          <t>Raicho Vasilev</t>
        </is>
      </c>
      <c r="B7863" s="0" t="n">
        <v>1</v>
      </c>
      <c r="C7863" s="0" t="n">
        <v>2023</v>
      </c>
      <c r="D7863" s="0" t="n">
        <v>2023</v>
      </c>
      <c r="E7863" s="0" t="inlineStr">
        <is>
          <t>John wick chapter 4</t>
        </is>
      </c>
      <c r="F7863" s="0" t="inlineStr">
        <is>
          <t>F0392</t>
        </is>
      </c>
    </row>
    <row r="7864">
      <c r="A7864" s="0" t="inlineStr">
        <is>
          <t>Lous and the Yakuza</t>
        </is>
      </c>
      <c r="B7864" s="0" t="n">
        <v>1</v>
      </c>
      <c r="C7864" s="0" t="n">
        <v>2023</v>
      </c>
      <c r="D7864" s="0" t="n">
        <v>2023</v>
      </c>
      <c r="E7864" s="0" t="inlineStr">
        <is>
          <t>John wick chapter 4</t>
        </is>
      </c>
      <c r="F7864" s="0" t="inlineStr">
        <is>
          <t>F0392</t>
        </is>
      </c>
    </row>
    <row r="7865">
      <c r="A7865" s="0" t="inlineStr">
        <is>
          <t>Christoph Hofmann</t>
        </is>
      </c>
      <c r="B7865" s="0" t="n">
        <v>1</v>
      </c>
      <c r="C7865" s="0" t="n">
        <v>2023</v>
      </c>
      <c r="D7865" s="0" t="n">
        <v>2023</v>
      </c>
      <c r="E7865" s="0" t="inlineStr">
        <is>
          <t>John wick chapter 4</t>
        </is>
      </c>
      <c r="F7865" s="0" t="inlineStr">
        <is>
          <t>F0392</t>
        </is>
      </c>
    </row>
    <row r="7866">
      <c r="A7866" s="0" t="inlineStr">
        <is>
          <t>Vhelma Richardson</t>
        </is>
      </c>
      <c r="B7866" s="0" t="n">
        <v>1</v>
      </c>
      <c r="C7866" s="0" t="n">
        <v>2023</v>
      </c>
      <c r="D7866" s="0" t="n">
        <v>2023</v>
      </c>
      <c r="E7866" s="0" t="inlineStr">
        <is>
          <t>John wick chapter 4</t>
        </is>
      </c>
      <c r="F7866" s="0" t="inlineStr">
        <is>
          <t>F0392</t>
        </is>
      </c>
    </row>
    <row r="7867">
      <c r="A7867" s="0" t="inlineStr">
        <is>
          <t>Josh Lucas</t>
        </is>
      </c>
      <c r="B7867" s="0" t="n">
        <v>1</v>
      </c>
      <c r="C7867" s="0" t="n">
        <v>2019</v>
      </c>
      <c r="D7867" s="0" t="n">
        <v>2019</v>
      </c>
      <c r="E7867" s="0" t="inlineStr">
        <is>
          <t>Le Mans ‘66</t>
        </is>
      </c>
      <c r="F7867" s="0" t="inlineStr">
        <is>
          <t>F0393</t>
        </is>
      </c>
    </row>
    <row r="7868">
      <c r="A7868" s="0" t="inlineStr">
        <is>
          <t>Noah Jupe</t>
        </is>
      </c>
      <c r="B7868" s="0" t="n">
        <v>1</v>
      </c>
      <c r="C7868" s="0" t="n">
        <v>2019</v>
      </c>
      <c r="D7868" s="0" t="n">
        <v>2019</v>
      </c>
      <c r="E7868" s="0" t="inlineStr">
        <is>
          <t>Le Mans ‘66</t>
        </is>
      </c>
      <c r="F7868" s="0" t="inlineStr">
        <is>
          <t>F0393</t>
        </is>
      </c>
    </row>
    <row r="7869">
      <c r="A7869" s="0" t="inlineStr">
        <is>
          <t>Tracy Letts</t>
        </is>
      </c>
      <c r="B7869" s="0" t="n">
        <v>1</v>
      </c>
      <c r="C7869" s="0" t="n">
        <v>2019</v>
      </c>
      <c r="D7869" s="0" t="n">
        <v>2019</v>
      </c>
      <c r="E7869" s="0" t="inlineStr">
        <is>
          <t>Le Mans ‘66</t>
        </is>
      </c>
      <c r="F7869" s="0" t="inlineStr">
        <is>
          <t>F0393</t>
        </is>
      </c>
    </row>
    <row r="7870">
      <c r="A7870" s="0" t="inlineStr">
        <is>
          <t>Remo Girone</t>
        </is>
      </c>
      <c r="B7870" s="0" t="n">
        <v>1</v>
      </c>
      <c r="C7870" s="0" t="n">
        <v>2019</v>
      </c>
      <c r="D7870" s="0" t="n">
        <v>2019</v>
      </c>
      <c r="E7870" s="0" t="inlineStr">
        <is>
          <t>Le Mans ‘66</t>
        </is>
      </c>
      <c r="F7870" s="0" t="inlineStr">
        <is>
          <t>F0393</t>
        </is>
      </c>
    </row>
    <row r="7871">
      <c r="A7871" s="0" t="inlineStr">
        <is>
          <t>Ray McKinnon</t>
        </is>
      </c>
      <c r="B7871" s="0" t="n">
        <v>1</v>
      </c>
      <c r="C7871" s="0" t="n">
        <v>2019</v>
      </c>
      <c r="D7871" s="0" t="n">
        <v>2019</v>
      </c>
      <c r="E7871" s="0" t="inlineStr">
        <is>
          <t>Le Mans ‘66</t>
        </is>
      </c>
      <c r="F7871" s="0" t="inlineStr">
        <is>
          <t>F0393</t>
        </is>
      </c>
    </row>
    <row r="7872">
      <c r="A7872" s="0" t="inlineStr">
        <is>
          <t>JJ Feild</t>
        </is>
      </c>
      <c r="B7872" s="0" t="n">
        <v>1</v>
      </c>
      <c r="C7872" s="0" t="n">
        <v>2019</v>
      </c>
      <c r="D7872" s="0" t="n">
        <v>2019</v>
      </c>
      <c r="E7872" s="0" t="inlineStr">
        <is>
          <t>Le Mans ‘66</t>
        </is>
      </c>
      <c r="F7872" s="0" t="inlineStr">
        <is>
          <t>F0393</t>
        </is>
      </c>
    </row>
    <row r="7873">
      <c r="A7873" s="0" t="inlineStr">
        <is>
          <t>Jack McMullen</t>
        </is>
      </c>
      <c r="B7873" s="0" t="n">
        <v>1</v>
      </c>
      <c r="C7873" s="0" t="n">
        <v>2019</v>
      </c>
      <c r="D7873" s="0" t="n">
        <v>2019</v>
      </c>
      <c r="E7873" s="0" t="inlineStr">
        <is>
          <t>Le Mans ‘66</t>
        </is>
      </c>
      <c r="F7873" s="0" t="inlineStr">
        <is>
          <t>F0393</t>
        </is>
      </c>
    </row>
    <row r="7874">
      <c r="A7874" s="0" t="inlineStr">
        <is>
          <t>Corrado Invernizzi</t>
        </is>
      </c>
      <c r="B7874" s="0" t="n">
        <v>1</v>
      </c>
      <c r="C7874" s="0" t="n">
        <v>2019</v>
      </c>
      <c r="D7874" s="0" t="n">
        <v>2019</v>
      </c>
      <c r="E7874" s="0" t="inlineStr">
        <is>
          <t>Le Mans ‘66</t>
        </is>
      </c>
      <c r="F7874" s="0" t="inlineStr">
        <is>
          <t>F0393</t>
        </is>
      </c>
    </row>
    <row r="7875">
      <c r="A7875" s="0" t="inlineStr">
        <is>
          <t>Joe Williamson</t>
        </is>
      </c>
      <c r="B7875" s="0" t="n">
        <v>1</v>
      </c>
      <c r="C7875" s="0" t="n">
        <v>2019</v>
      </c>
      <c r="D7875" s="0" t="n">
        <v>2019</v>
      </c>
      <c r="E7875" s="0" t="inlineStr">
        <is>
          <t>Le Mans ‘66</t>
        </is>
      </c>
      <c r="F7875" s="0" t="inlineStr">
        <is>
          <t>F0393</t>
        </is>
      </c>
    </row>
    <row r="7876">
      <c r="A7876" s="0" t="inlineStr">
        <is>
          <t>Ian Harding</t>
        </is>
      </c>
      <c r="B7876" s="0" t="n">
        <v>1</v>
      </c>
      <c r="C7876" s="0" t="n">
        <v>2019</v>
      </c>
      <c r="D7876" s="0" t="n">
        <v>2019</v>
      </c>
      <c r="E7876" s="0" t="inlineStr">
        <is>
          <t>Le Mans ‘66</t>
        </is>
      </c>
      <c r="F7876" s="0" t="inlineStr">
        <is>
          <t>F0393</t>
        </is>
      </c>
    </row>
    <row r="7877">
      <c r="A7877" s="0" t="inlineStr">
        <is>
          <t>Christopher Darga</t>
        </is>
      </c>
      <c r="B7877" s="0" t="n">
        <v>1</v>
      </c>
      <c r="C7877" s="0" t="n">
        <v>2019</v>
      </c>
      <c r="D7877" s="0" t="n">
        <v>2019</v>
      </c>
      <c r="E7877" s="0" t="inlineStr">
        <is>
          <t>Le Mans ‘66</t>
        </is>
      </c>
      <c r="F7877" s="0" t="inlineStr">
        <is>
          <t>F0393</t>
        </is>
      </c>
    </row>
    <row r="7878">
      <c r="A7878" s="0" t="inlineStr">
        <is>
          <t>Shawn Law</t>
        </is>
      </c>
      <c r="B7878" s="0" t="n">
        <v>1</v>
      </c>
      <c r="C7878" s="0" t="n">
        <v>2019</v>
      </c>
      <c r="D7878" s="0" t="n">
        <v>2019</v>
      </c>
      <c r="E7878" s="0" t="inlineStr">
        <is>
          <t>Le Mans ‘66</t>
        </is>
      </c>
      <c r="F7878" s="0" t="inlineStr">
        <is>
          <t>F0393</t>
        </is>
      </c>
    </row>
    <row r="7879">
      <c r="A7879" s="0" t="inlineStr">
        <is>
          <t>Darrin Prescott</t>
        </is>
      </c>
      <c r="B7879" s="0" t="n">
        <v>1</v>
      </c>
      <c r="C7879" s="0" t="n">
        <v>2019</v>
      </c>
      <c r="D7879" s="0" t="n">
        <v>2019</v>
      </c>
      <c r="E7879" s="0" t="inlineStr">
        <is>
          <t>Le Mans ‘66</t>
        </is>
      </c>
      <c r="F7879" s="0" t="inlineStr">
        <is>
          <t>F0393</t>
        </is>
      </c>
    </row>
    <row r="7880">
      <c r="A7880" s="0" t="inlineStr">
        <is>
          <t>Alex Gurney</t>
        </is>
      </c>
      <c r="B7880" s="0" t="n">
        <v>1</v>
      </c>
      <c r="C7880" s="0" t="n">
        <v>2019</v>
      </c>
      <c r="D7880" s="0" t="n">
        <v>2019</v>
      </c>
      <c r="E7880" s="0" t="inlineStr">
        <is>
          <t>Le Mans ‘66</t>
        </is>
      </c>
      <c r="F7880" s="0" t="inlineStr">
        <is>
          <t>F0393</t>
        </is>
      </c>
    </row>
    <row r="7881">
      <c r="A7881" s="0" t="inlineStr">
        <is>
          <t>Ben Collins</t>
        </is>
      </c>
      <c r="B7881" s="0" t="n">
        <v>1</v>
      </c>
      <c r="C7881" s="0" t="n">
        <v>2019</v>
      </c>
      <c r="D7881" s="0" t="n">
        <v>2019</v>
      </c>
      <c r="E7881" s="0" t="inlineStr">
        <is>
          <t>Le Mans ‘66</t>
        </is>
      </c>
      <c r="F7881" s="0" t="inlineStr">
        <is>
          <t>F0393</t>
        </is>
      </c>
    </row>
    <row r="7882">
      <c r="A7882" s="0" t="inlineStr">
        <is>
          <t>Francesco Bauco</t>
        </is>
      </c>
      <c r="B7882" s="0" t="n">
        <v>1</v>
      </c>
      <c r="C7882" s="0" t="n">
        <v>2019</v>
      </c>
      <c r="D7882" s="0" t="n">
        <v>2019</v>
      </c>
      <c r="E7882" s="0" t="inlineStr">
        <is>
          <t>Le Mans ‘66</t>
        </is>
      </c>
      <c r="F7882" s="0" t="inlineStr">
        <is>
          <t>F0393</t>
        </is>
      </c>
    </row>
    <row r="7883">
      <c r="A7883" s="0" t="inlineStr">
        <is>
          <t>Guido Cocomello</t>
        </is>
      </c>
      <c r="B7883" s="0" t="n">
        <v>1</v>
      </c>
      <c r="C7883" s="0" t="n">
        <v>2019</v>
      </c>
      <c r="D7883" s="0" t="n">
        <v>2019</v>
      </c>
      <c r="E7883" s="0" t="inlineStr">
        <is>
          <t>Le Mans ‘66</t>
        </is>
      </c>
      <c r="F7883" s="0" t="inlineStr">
        <is>
          <t>F0393</t>
        </is>
      </c>
    </row>
    <row r="7884">
      <c r="A7884" s="0" t="inlineStr">
        <is>
          <t>Adam Mayfield</t>
        </is>
      </c>
      <c r="B7884" s="0" t="n">
        <v>1</v>
      </c>
      <c r="C7884" s="0" t="n">
        <v>2019</v>
      </c>
      <c r="D7884" s="0" t="n">
        <v>2019</v>
      </c>
      <c r="E7884" s="0" t="inlineStr">
        <is>
          <t>Le Mans ‘66</t>
        </is>
      </c>
      <c r="F7884" s="0" t="inlineStr">
        <is>
          <t>F0393</t>
        </is>
      </c>
    </row>
    <row r="7885">
      <c r="A7885" s="0" t="inlineStr">
        <is>
          <t>Sean Carrigan</t>
        </is>
      </c>
      <c r="B7885" s="0" t="n">
        <v>1</v>
      </c>
      <c r="C7885" s="0" t="n">
        <v>2019</v>
      </c>
      <c r="D7885" s="0" t="n">
        <v>2019</v>
      </c>
      <c r="E7885" s="0" t="inlineStr">
        <is>
          <t>Le Mans ‘66</t>
        </is>
      </c>
      <c r="F7885" s="0" t="inlineStr">
        <is>
          <t>F0393</t>
        </is>
      </c>
    </row>
    <row r="7886">
      <c r="A7886" s="0" t="inlineStr">
        <is>
          <t>Lachlan Buchanan</t>
        </is>
      </c>
      <c r="B7886" s="0" t="n">
        <v>1</v>
      </c>
      <c r="C7886" s="0" t="n">
        <v>2019</v>
      </c>
      <c r="D7886" s="0" t="n">
        <v>2019</v>
      </c>
      <c r="E7886" s="0" t="inlineStr">
        <is>
          <t>Le Mans ‘66</t>
        </is>
      </c>
      <c r="F7886" s="0" t="inlineStr">
        <is>
          <t>F0393</t>
        </is>
      </c>
    </row>
    <row r="7887">
      <c r="A7887" s="0" t="inlineStr">
        <is>
          <t>Giles Matthey</t>
        </is>
      </c>
      <c r="B7887" s="0" t="n">
        <v>1</v>
      </c>
      <c r="C7887" s="0" t="n">
        <v>2019</v>
      </c>
      <c r="D7887" s="0" t="n">
        <v>2019</v>
      </c>
      <c r="E7887" s="0" t="inlineStr">
        <is>
          <t>Le Mans ‘66</t>
        </is>
      </c>
      <c r="F7887" s="0" t="inlineStr">
        <is>
          <t>F0393</t>
        </is>
      </c>
    </row>
    <row r="7888">
      <c r="A7888" s="0" t="inlineStr">
        <is>
          <t>Rudolf Martin</t>
        </is>
      </c>
      <c r="B7888" s="0" t="n">
        <v>1</v>
      </c>
      <c r="C7888" s="0" t="n">
        <v>2019</v>
      </c>
      <c r="D7888" s="0" t="n">
        <v>2019</v>
      </c>
      <c r="E7888" s="0" t="inlineStr">
        <is>
          <t>Le Mans ‘66</t>
        </is>
      </c>
      <c r="F7888" s="0" t="inlineStr">
        <is>
          <t>F0393</t>
        </is>
      </c>
    </row>
    <row r="7889">
      <c r="A7889" s="0" t="inlineStr">
        <is>
          <t>Evan Arnold</t>
        </is>
      </c>
      <c r="B7889" s="0" t="n">
        <v>1</v>
      </c>
      <c r="C7889" s="0" t="n">
        <v>2019</v>
      </c>
      <c r="D7889" s="0" t="n">
        <v>2019</v>
      </c>
      <c r="E7889" s="0" t="inlineStr">
        <is>
          <t>Le Mans ‘66</t>
        </is>
      </c>
      <c r="F7889" s="0" t="inlineStr">
        <is>
          <t>F0393</t>
        </is>
      </c>
    </row>
    <row r="7890">
      <c r="A7890" s="0" t="inlineStr">
        <is>
          <t>Darin Cooper</t>
        </is>
      </c>
      <c r="B7890" s="0" t="n">
        <v>1</v>
      </c>
      <c r="C7890" s="0" t="n">
        <v>2019</v>
      </c>
      <c r="D7890" s="0" t="n">
        <v>2019</v>
      </c>
      <c r="E7890" s="0" t="inlineStr">
        <is>
          <t>Le Mans ‘66</t>
        </is>
      </c>
      <c r="F7890" s="0" t="inlineStr">
        <is>
          <t>F0393</t>
        </is>
      </c>
    </row>
    <row r="7891">
      <c r="A7891" s="0" t="inlineStr">
        <is>
          <t>Harry Carey Jr.</t>
        </is>
      </c>
      <c r="B7891" s="0" t="n">
        <v>1</v>
      </c>
      <c r="C7891" s="0" t="n">
        <v>1990</v>
      </c>
      <c r="D7891" s="0" t="n">
        <v>1990</v>
      </c>
      <c r="E7891" s="0" t="inlineStr">
        <is>
          <t>Back to the Future Part III</t>
        </is>
      </c>
      <c r="F7891" s="0" t="inlineStr">
        <is>
          <t>F0035</t>
        </is>
      </c>
    </row>
    <row r="7892">
      <c r="A7892" s="0" t="inlineStr">
        <is>
          <t>Gabriel Casseus</t>
        </is>
      </c>
      <c r="B7892" s="0" t="n">
        <v>1</v>
      </c>
      <c r="C7892" s="0" t="n">
        <v>2001</v>
      </c>
      <c r="D7892" s="0" t="n">
        <v>2001</v>
      </c>
      <c r="E7892" s="0" t="inlineStr">
        <is>
          <t>Black Hawk Down</t>
        </is>
      </c>
      <c r="F7892" s="0" t="inlineStr">
        <is>
          <t>F0050</t>
        </is>
      </c>
    </row>
    <row r="7893">
      <c r="A7893" s="0" t="inlineStr">
        <is>
          <t>Ioan Gruffudd</t>
        </is>
      </c>
      <c r="B7893" s="0" t="n">
        <v>1</v>
      </c>
      <c r="C7893" s="0" t="n">
        <v>2001</v>
      </c>
      <c r="D7893" s="0" t="n">
        <v>2001</v>
      </c>
      <c r="E7893" s="0" t="inlineStr">
        <is>
          <t>Black Hawk Down</t>
        </is>
      </c>
      <c r="F7893" s="0" t="inlineStr">
        <is>
          <t>F0050</t>
        </is>
      </c>
    </row>
    <row r="7894">
      <c r="A7894" s="0" t="inlineStr">
        <is>
          <t>Richard Tyson</t>
        </is>
      </c>
      <c r="B7894" s="0" t="n">
        <v>1</v>
      </c>
      <c r="C7894" s="0" t="n">
        <v>2001</v>
      </c>
      <c r="D7894" s="0" t="n">
        <v>2001</v>
      </c>
      <c r="E7894" s="0" t="inlineStr">
        <is>
          <t>Black Hawk Down</t>
        </is>
      </c>
      <c r="F7894" s="0" t="inlineStr">
        <is>
          <t>F0050</t>
        </is>
      </c>
    </row>
    <row r="7895">
      <c r="A7895" s="0" t="inlineStr">
        <is>
          <t>Ian Virgo</t>
        </is>
      </c>
      <c r="B7895" s="0" t="n">
        <v>1</v>
      </c>
      <c r="C7895" s="0" t="n">
        <v>2001</v>
      </c>
      <c r="D7895" s="0" t="n">
        <v>2001</v>
      </c>
      <c r="E7895" s="0" t="inlineStr">
        <is>
          <t>Black Hawk Down</t>
        </is>
      </c>
      <c r="F7895" s="0" t="inlineStr">
        <is>
          <t>F0050</t>
        </is>
      </c>
    </row>
    <row r="7896">
      <c r="A7896" s="0" t="inlineStr">
        <is>
          <t>Chris Beetem</t>
        </is>
      </c>
      <c r="B7896" s="0" t="n">
        <v>1</v>
      </c>
      <c r="C7896" s="0" t="n">
        <v>2001</v>
      </c>
      <c r="D7896" s="0" t="n">
        <v>2001</v>
      </c>
      <c r="E7896" s="0" t="inlineStr">
        <is>
          <t>Black Hawk Down</t>
        </is>
      </c>
      <c r="F7896" s="0" t="inlineStr">
        <is>
          <t>F0050</t>
        </is>
      </c>
    </row>
    <row r="7897">
      <c r="A7897" s="0" t="inlineStr">
        <is>
          <t>Lauren Pratt</t>
        </is>
      </c>
      <c r="B7897" s="0" t="n">
        <v>1</v>
      </c>
      <c r="C7897" s="0" t="n">
        <v>1997</v>
      </c>
      <c r="D7897" s="0" t="n">
        <v>1997</v>
      </c>
      <c r="E7897" s="0" t="inlineStr">
        <is>
          <t>Con Air</t>
        </is>
      </c>
      <c r="F7897" s="0" t="inlineStr">
        <is>
          <t>F0068</t>
        </is>
      </c>
    </row>
    <row r="7898">
      <c r="A7898" s="0" t="inlineStr">
        <is>
          <t>Jack Conley</t>
        </is>
      </c>
      <c r="B7898" s="0" t="n">
        <v>1</v>
      </c>
      <c r="C7898" s="0" t="n">
        <v>2009</v>
      </c>
      <c r="D7898" s="0" t="n">
        <v>2009</v>
      </c>
      <c r="E7898" s="0" t="inlineStr">
        <is>
          <t>Fast &amp; Furious</t>
        </is>
      </c>
      <c r="F7898" s="0" t="inlineStr">
        <is>
          <t>F0104</t>
        </is>
      </c>
    </row>
    <row r="7899">
      <c r="A7899" s="0" t="inlineStr">
        <is>
          <t>Liza Lapira</t>
        </is>
      </c>
      <c r="B7899" s="0" t="n">
        <v>1</v>
      </c>
      <c r="C7899" s="0" t="n">
        <v>2009</v>
      </c>
      <c r="D7899" s="0" t="n">
        <v>2009</v>
      </c>
      <c r="E7899" s="0" t="inlineStr">
        <is>
          <t>Fast &amp; Furious</t>
        </is>
      </c>
      <c r="F7899" s="0" t="inlineStr">
        <is>
          <t>F0104</t>
        </is>
      </c>
    </row>
    <row r="7900">
      <c r="A7900" s="0" t="inlineStr">
        <is>
          <t>Mirtha Michelle</t>
        </is>
      </c>
      <c r="B7900" s="0" t="n">
        <v>1</v>
      </c>
      <c r="C7900" s="0" t="n">
        <v>2009</v>
      </c>
      <c r="D7900" s="0" t="n">
        <v>2009</v>
      </c>
      <c r="E7900" s="0" t="inlineStr">
        <is>
          <t>Fast &amp; Furious</t>
        </is>
      </c>
      <c r="F7900" s="0" t="inlineStr">
        <is>
          <t>F0104</t>
        </is>
      </c>
    </row>
    <row r="7901">
      <c r="A7901" s="0" t="inlineStr">
        <is>
          <t>Alejandro Patiño</t>
        </is>
      </c>
      <c r="B7901" s="0" t="n">
        <v>1</v>
      </c>
      <c r="C7901" s="0" t="n">
        <v>2009</v>
      </c>
      <c r="D7901" s="0" t="n">
        <v>2009</v>
      </c>
      <c r="E7901" s="0" t="inlineStr">
        <is>
          <t>Fast &amp; Furious</t>
        </is>
      </c>
      <c r="F7901" s="0" t="inlineStr">
        <is>
          <t>F0104</t>
        </is>
      </c>
    </row>
    <row r="7902">
      <c r="A7902" s="0" t="inlineStr">
        <is>
          <t>Joe Hursley</t>
        </is>
      </c>
      <c r="B7902" s="0" t="n">
        <v>1</v>
      </c>
      <c r="C7902" s="0" t="n">
        <v>2009</v>
      </c>
      <c r="D7902" s="0" t="n">
        <v>2009</v>
      </c>
      <c r="E7902" s="0" t="inlineStr">
        <is>
          <t>Fast &amp; Furious</t>
        </is>
      </c>
      <c r="F7902" s="0" t="inlineStr">
        <is>
          <t>F0104</t>
        </is>
      </c>
    </row>
    <row r="7903">
      <c r="A7903" s="0" t="inlineStr">
        <is>
          <t>Cesar Garcia</t>
        </is>
      </c>
      <c r="B7903" s="0" t="n">
        <v>1</v>
      </c>
      <c r="C7903" s="0" t="n">
        <v>2009</v>
      </c>
      <c r="D7903" s="0" t="n">
        <v>2009</v>
      </c>
      <c r="E7903" s="0" t="inlineStr">
        <is>
          <t>Fast &amp; Furious</t>
        </is>
      </c>
      <c r="F7903" s="0" t="inlineStr">
        <is>
          <t>F0104</t>
        </is>
      </c>
    </row>
    <row r="7904">
      <c r="A7904" s="0" t="inlineStr">
        <is>
          <t>Wilmer Calderon</t>
        </is>
      </c>
      <c r="B7904" s="0" t="n">
        <v>1</v>
      </c>
      <c r="C7904" s="0" t="n">
        <v>2009</v>
      </c>
      <c r="D7904" s="0" t="n">
        <v>2009</v>
      </c>
      <c r="E7904" s="0" t="inlineStr">
        <is>
          <t>Fast &amp; Furious</t>
        </is>
      </c>
      <c r="F7904" s="0" t="inlineStr">
        <is>
          <t>F0104</t>
        </is>
      </c>
    </row>
    <row r="7905">
      <c r="A7905" s="0" t="inlineStr">
        <is>
          <t>J. J. Soria</t>
        </is>
      </c>
      <c r="B7905" s="0" t="n">
        <v>1</v>
      </c>
      <c r="C7905" s="0" t="n">
        <v>2009</v>
      </c>
      <c r="D7905" s="0" t="n">
        <v>2009</v>
      </c>
      <c r="E7905" s="0" t="inlineStr">
        <is>
          <t>Fast &amp; Furious</t>
        </is>
      </c>
      <c r="F7905" s="0" t="inlineStr">
        <is>
          <t>F0104</t>
        </is>
      </c>
    </row>
    <row r="7906">
      <c r="A7906" s="0" t="inlineStr">
        <is>
          <t>Don Thai Theerathada</t>
        </is>
      </c>
      <c r="B7906" s="0" t="n">
        <v>1</v>
      </c>
      <c r="C7906" s="0" t="n">
        <v>2009</v>
      </c>
      <c r="D7906" s="0" t="n">
        <v>2009</v>
      </c>
      <c r="E7906" s="0" t="inlineStr">
        <is>
          <t>Fast &amp; Furious</t>
        </is>
      </c>
      <c r="F7906" s="0" t="inlineStr">
        <is>
          <t>F0104</t>
        </is>
      </c>
    </row>
    <row r="7907">
      <c r="A7907" s="0" t="inlineStr">
        <is>
          <t>Robert Miano</t>
        </is>
      </c>
      <c r="B7907" s="0" t="n">
        <v>1</v>
      </c>
      <c r="C7907" s="0" t="n">
        <v>2009</v>
      </c>
      <c r="D7907" s="0" t="n">
        <v>2009</v>
      </c>
      <c r="E7907" s="0" t="inlineStr">
        <is>
          <t>Fast &amp; Furious</t>
        </is>
      </c>
      <c r="F7907" s="0" t="inlineStr">
        <is>
          <t>F0104</t>
        </is>
      </c>
    </row>
    <row r="7908">
      <c r="A7908" s="0" t="inlineStr">
        <is>
          <t>Luis Moncada</t>
        </is>
      </c>
      <c r="B7908" s="0" t="n">
        <v>1</v>
      </c>
      <c r="C7908" s="0" t="n">
        <v>2009</v>
      </c>
      <c r="D7908" s="0" t="n">
        <v>2009</v>
      </c>
      <c r="E7908" s="0" t="inlineStr">
        <is>
          <t>Fast &amp; Furious</t>
        </is>
      </c>
      <c r="F7908" s="0" t="inlineStr">
        <is>
          <t>F0104</t>
        </is>
      </c>
    </row>
    <row r="7909">
      <c r="A7909" s="0" t="inlineStr">
        <is>
          <t>McCaleb Burnett</t>
        </is>
      </c>
      <c r="B7909" s="0" t="n">
        <v>1</v>
      </c>
      <c r="C7909" s="0" t="n">
        <v>2009</v>
      </c>
      <c r="D7909" s="0" t="n">
        <v>2009</v>
      </c>
      <c r="E7909" s="0" t="inlineStr">
        <is>
          <t>Fast &amp; Furious</t>
        </is>
      </c>
      <c r="F7909" s="0" t="inlineStr">
        <is>
          <t>F0104</t>
        </is>
      </c>
    </row>
    <row r="7910">
      <c r="A7910" s="0" t="inlineStr">
        <is>
          <t>Greg Collins</t>
        </is>
      </c>
      <c r="B7910" s="0" t="n">
        <v>1</v>
      </c>
      <c r="C7910" s="0" t="n">
        <v>2009</v>
      </c>
      <c r="D7910" s="0" t="n">
        <v>2009</v>
      </c>
      <c r="E7910" s="0" t="inlineStr">
        <is>
          <t>Fast &amp; Furious</t>
        </is>
      </c>
      <c r="F7910" s="0" t="inlineStr">
        <is>
          <t>F0104</t>
        </is>
      </c>
    </row>
    <row r="7911">
      <c r="A7911" s="0" t="inlineStr">
        <is>
          <t>Garrett Hines</t>
        </is>
      </c>
      <c r="B7911" s="0" t="n">
        <v>1</v>
      </c>
      <c r="C7911" s="0" t="n">
        <v>2011</v>
      </c>
      <c r="D7911" s="0" t="n">
        <v>2011</v>
      </c>
      <c r="E7911" s="0" t="inlineStr">
        <is>
          <t>Green Lantern</t>
        </is>
      </c>
      <c r="F7911" s="0" t="inlineStr">
        <is>
          <t>F0128</t>
        </is>
      </c>
    </row>
    <row r="7912">
      <c r="A7912" s="0" t="inlineStr">
        <is>
          <t>Douglas M. Griffin</t>
        </is>
      </c>
      <c r="B7912" s="0" t="n">
        <v>1</v>
      </c>
      <c r="C7912" s="0" t="n">
        <v>2011</v>
      </c>
      <c r="D7912" s="0" t="n">
        <v>2011</v>
      </c>
      <c r="E7912" s="0" t="inlineStr">
        <is>
          <t>Green Lantern</t>
        </is>
      </c>
      <c r="F7912" s="0" t="inlineStr">
        <is>
          <t>F0128</t>
        </is>
      </c>
    </row>
    <row r="7913">
      <c r="A7913" s="0" t="inlineStr">
        <is>
          <t>Armando Leduc</t>
        </is>
      </c>
      <c r="B7913" s="0" t="n">
        <v>1</v>
      </c>
      <c r="C7913" s="0" t="n">
        <v>2011</v>
      </c>
      <c r="D7913" s="0" t="n">
        <v>2011</v>
      </c>
      <c r="E7913" s="0" t="inlineStr">
        <is>
          <t>Green Lantern</t>
        </is>
      </c>
      <c r="F7913" s="0" t="inlineStr">
        <is>
          <t>F0128</t>
        </is>
      </c>
    </row>
    <row r="7914">
      <c r="A7914" s="0" t="inlineStr">
        <is>
          <t>Melanie Hebert</t>
        </is>
      </c>
      <c r="B7914" s="0" t="n">
        <v>1</v>
      </c>
      <c r="C7914" s="0" t="n">
        <v>2011</v>
      </c>
      <c r="D7914" s="0" t="n">
        <v>2011</v>
      </c>
      <c r="E7914" s="0" t="inlineStr">
        <is>
          <t>Green Lantern</t>
        </is>
      </c>
      <c r="F7914" s="0" t="inlineStr">
        <is>
          <t>F0128</t>
        </is>
      </c>
    </row>
    <row r="7915">
      <c r="A7915" s="0" t="inlineStr">
        <is>
          <t>LaTonya Norton</t>
        </is>
      </c>
      <c r="B7915" s="0" t="n">
        <v>1</v>
      </c>
      <c r="C7915" s="0" t="n">
        <v>2011</v>
      </c>
      <c r="D7915" s="0" t="n">
        <v>2011</v>
      </c>
      <c r="E7915" s="0" t="inlineStr">
        <is>
          <t>Green Lantern</t>
        </is>
      </c>
      <c r="F7915" s="0" t="inlineStr">
        <is>
          <t>F0128</t>
        </is>
      </c>
    </row>
    <row r="7916">
      <c r="A7916" s="0" t="inlineStr">
        <is>
          <t>Amy Hill</t>
        </is>
      </c>
      <c r="B7916" s="0" t="n">
        <v>1</v>
      </c>
      <c r="C7916" s="0" t="n">
        <v>2016</v>
      </c>
      <c r="D7916" s="0" t="n">
        <v>2016</v>
      </c>
      <c r="E7916" s="0" t="inlineStr">
        <is>
          <t>Lego DC Comics Super Heroes: Justice League - Gotham City Breakout</t>
        </is>
      </c>
      <c r="F7916" s="0" t="inlineStr">
        <is>
          <t>F0198</t>
        </is>
      </c>
    </row>
    <row r="7917">
      <c r="A7917" s="0" t="inlineStr">
        <is>
          <t>Sarah Hyland</t>
        </is>
      </c>
      <c r="B7917" s="0" t="n">
        <v>1</v>
      </c>
      <c r="C7917" s="0" t="n">
        <v>2016</v>
      </c>
      <c r="D7917" s="0" t="n">
        <v>2016</v>
      </c>
      <c r="E7917" s="0" t="inlineStr">
        <is>
          <t>Lego DC Comics Super Heroes: Justice League - Gotham City Breakout</t>
        </is>
      </c>
      <c r="F7917" s="0" t="inlineStr">
        <is>
          <t>F0198</t>
        </is>
      </c>
    </row>
    <row r="7918">
      <c r="A7918" s="0" t="inlineStr">
        <is>
          <t>Vanessa Marshall</t>
        </is>
      </c>
      <c r="B7918" s="0" t="n">
        <v>1</v>
      </c>
      <c r="C7918" s="0" t="n">
        <v>2016</v>
      </c>
      <c r="D7918" s="0" t="n">
        <v>2016</v>
      </c>
      <c r="E7918" s="0" t="inlineStr">
        <is>
          <t>Lego DC Comics Super Heroes: Justice League - Gotham City Breakout</t>
        </is>
      </c>
      <c r="F7918" s="0" t="inlineStr">
        <is>
          <t>F0198</t>
        </is>
      </c>
    </row>
    <row r="7919">
      <c r="A7919" s="0" t="inlineStr">
        <is>
          <t>Hynden Walch</t>
        </is>
      </c>
      <c r="B7919" s="0" t="n">
        <v>1</v>
      </c>
      <c r="C7919" s="0" t="n">
        <v>2016</v>
      </c>
      <c r="D7919" s="0" t="n">
        <v>2016</v>
      </c>
      <c r="E7919" s="0" t="inlineStr">
        <is>
          <t>Lego DC Comics Super Heroes: Justice League - Gotham City Breakout</t>
        </is>
      </c>
      <c r="F7919" s="0" t="inlineStr">
        <is>
          <t>F0198</t>
        </is>
      </c>
    </row>
    <row r="7920">
      <c r="A7920" s="0" t="inlineStr">
        <is>
          <t>Tim Kang</t>
        </is>
      </c>
      <c r="B7920" s="0" t="n">
        <v>1</v>
      </c>
      <c r="C7920" s="0" t="n">
        <v>2008</v>
      </c>
      <c r="D7920" s="0" t="n">
        <v>2008</v>
      </c>
      <c r="E7920" s="0" t="inlineStr">
        <is>
          <t>Rambo</t>
        </is>
      </c>
      <c r="F7920" s="0" t="inlineStr">
        <is>
          <t>F0261</t>
        </is>
      </c>
    </row>
    <row r="7921">
      <c r="A7921" s="0" t="inlineStr">
        <is>
          <t>Jake La Botz</t>
        </is>
      </c>
      <c r="B7921" s="0" t="n">
        <v>1</v>
      </c>
      <c r="C7921" s="0" t="n">
        <v>2008</v>
      </c>
      <c r="D7921" s="0" t="n">
        <v>2008</v>
      </c>
      <c r="E7921" s="0" t="inlineStr">
        <is>
          <t>Rambo</t>
        </is>
      </c>
      <c r="F7921" s="0" t="inlineStr">
        <is>
          <t>F0261</t>
        </is>
      </c>
    </row>
    <row r="7922">
      <c r="A7922" s="0" t="inlineStr">
        <is>
          <t>Maung Maung Khin</t>
        </is>
      </c>
      <c r="B7922" s="0" t="n">
        <v>1</v>
      </c>
      <c r="C7922" s="0" t="n">
        <v>2008</v>
      </c>
      <c r="D7922" s="0" t="n">
        <v>2008</v>
      </c>
      <c r="E7922" s="0" t="inlineStr">
        <is>
          <t>Rambo</t>
        </is>
      </c>
      <c r="F7922" s="0" t="inlineStr">
        <is>
          <t>F0261</t>
        </is>
      </c>
    </row>
    <row r="7923">
      <c r="A7923" s="0" t="inlineStr">
        <is>
          <t>Paul Schulze</t>
        </is>
      </c>
      <c r="B7923" s="0" t="n">
        <v>1</v>
      </c>
      <c r="C7923" s="0" t="n">
        <v>2008</v>
      </c>
      <c r="D7923" s="0" t="n">
        <v>2008</v>
      </c>
      <c r="E7923" s="0" t="inlineStr">
        <is>
          <t>Rambo</t>
        </is>
      </c>
      <c r="F7923" s="0" t="inlineStr">
        <is>
          <t>F0261</t>
        </is>
      </c>
    </row>
    <row r="7924">
      <c r="A7924" s="0" t="inlineStr">
        <is>
          <t>Cameron Pearson</t>
        </is>
      </c>
      <c r="B7924" s="0" t="n">
        <v>1</v>
      </c>
      <c r="C7924" s="0" t="n">
        <v>2008</v>
      </c>
      <c r="D7924" s="0" t="n">
        <v>2008</v>
      </c>
      <c r="E7924" s="0" t="inlineStr">
        <is>
          <t>Rambo</t>
        </is>
      </c>
      <c r="F7924" s="0" t="inlineStr">
        <is>
          <t>F0261</t>
        </is>
      </c>
    </row>
    <row r="7925">
      <c r="A7925" s="0" t="inlineStr">
        <is>
          <t>Thomas Peterson</t>
        </is>
      </c>
      <c r="B7925" s="0" t="n">
        <v>1</v>
      </c>
      <c r="C7925" s="0" t="n">
        <v>2008</v>
      </c>
      <c r="D7925" s="0" t="n">
        <v>2008</v>
      </c>
      <c r="E7925" s="0" t="inlineStr">
        <is>
          <t>Rambo</t>
        </is>
      </c>
      <c r="F7925" s="0" t="inlineStr">
        <is>
          <t>F0261</t>
        </is>
      </c>
    </row>
    <row r="7926">
      <c r="A7926" s="0" t="inlineStr">
        <is>
          <t>Tony Skarberg</t>
        </is>
      </c>
      <c r="B7926" s="0" t="n">
        <v>1</v>
      </c>
      <c r="C7926" s="0" t="n">
        <v>2008</v>
      </c>
      <c r="D7926" s="0" t="n">
        <v>2008</v>
      </c>
      <c r="E7926" s="0" t="inlineStr">
        <is>
          <t>Rambo</t>
        </is>
      </c>
      <c r="F7926" s="0" t="inlineStr">
        <is>
          <t>F0261</t>
        </is>
      </c>
    </row>
    <row r="7927">
      <c r="A7927" s="0" t="inlineStr">
        <is>
          <t>James With</t>
        </is>
      </c>
      <c r="B7927" s="0" t="n">
        <v>1</v>
      </c>
      <c r="C7927" s="0" t="n">
        <v>2008</v>
      </c>
      <c r="D7927" s="0" t="n">
        <v>2008</v>
      </c>
      <c r="E7927" s="0" t="inlineStr">
        <is>
          <t>Rambo</t>
        </is>
      </c>
      <c r="F7927" s="0" t="inlineStr">
        <is>
          <t>F0261</t>
        </is>
      </c>
    </row>
    <row r="7928">
      <c r="A7928" s="0" t="inlineStr">
        <is>
          <t>Kasikorn Niyompattana</t>
        </is>
      </c>
      <c r="B7928" s="0" t="n">
        <v>1</v>
      </c>
      <c r="C7928" s="0" t="n">
        <v>2008</v>
      </c>
      <c r="D7928" s="0" t="n">
        <v>2008</v>
      </c>
      <c r="E7928" s="0" t="inlineStr">
        <is>
          <t>Rambo</t>
        </is>
      </c>
      <c r="F7928" s="0" t="inlineStr">
        <is>
          <t>F0261</t>
        </is>
      </c>
    </row>
    <row r="7929">
      <c r="A7929" s="0" t="inlineStr">
        <is>
          <t>Shaliew 'Lek' Bamrungbun</t>
        </is>
      </c>
      <c r="B7929" s="0" t="n">
        <v>1</v>
      </c>
      <c r="C7929" s="0" t="n">
        <v>2008</v>
      </c>
      <c r="D7929" s="0" t="n">
        <v>2008</v>
      </c>
      <c r="E7929" s="0" t="inlineStr">
        <is>
          <t>Rambo</t>
        </is>
      </c>
      <c r="F7929" s="0" t="inlineStr">
        <is>
          <t>F0261</t>
        </is>
      </c>
    </row>
    <row r="7930">
      <c r="A7930" s="0" t="inlineStr">
        <is>
          <t>Suppakorn Kitsuwan</t>
        </is>
      </c>
      <c r="B7930" s="0" t="n">
        <v>1</v>
      </c>
      <c r="C7930" s="0" t="n">
        <v>2008</v>
      </c>
      <c r="D7930" s="0" t="n">
        <v>2008</v>
      </c>
      <c r="E7930" s="0" t="inlineStr">
        <is>
          <t>Rambo</t>
        </is>
      </c>
      <c r="F7930" s="0" t="inlineStr">
        <is>
          <t>F0261</t>
        </is>
      </c>
    </row>
    <row r="7931">
      <c r="A7931" s="0" t="inlineStr">
        <is>
          <t>Aung Aay Noi</t>
        </is>
      </c>
      <c r="B7931" s="0" t="n">
        <v>1</v>
      </c>
      <c r="C7931" s="0" t="n">
        <v>2008</v>
      </c>
      <c r="D7931" s="0" t="n">
        <v>2008</v>
      </c>
      <c r="E7931" s="0" t="inlineStr">
        <is>
          <t>Rambo</t>
        </is>
      </c>
      <c r="F7931" s="0" t="inlineStr">
        <is>
          <t>F0261</t>
        </is>
      </c>
    </row>
    <row r="7932">
      <c r="A7932" s="0" t="inlineStr">
        <is>
          <t>Ken Howard</t>
        </is>
      </c>
      <c r="B7932" s="0" t="n">
        <v>1</v>
      </c>
      <c r="C7932" s="0" t="n">
        <v>2008</v>
      </c>
      <c r="D7932" s="0" t="n">
        <v>2008</v>
      </c>
      <c r="E7932" s="0" t="inlineStr">
        <is>
          <t>Rambo</t>
        </is>
      </c>
      <c r="F7932" s="0" t="inlineStr">
        <is>
          <t>F0261</t>
        </is>
      </c>
    </row>
    <row r="7933">
      <c r="A7933" s="0" t="inlineStr">
        <is>
          <t>Aung Theng</t>
        </is>
      </c>
      <c r="B7933" s="0" t="n">
        <v>1</v>
      </c>
      <c r="C7933" s="0" t="n">
        <v>2008</v>
      </c>
      <c r="D7933" s="0" t="n">
        <v>2008</v>
      </c>
      <c r="E7933" s="0" t="inlineStr">
        <is>
          <t>Rambo</t>
        </is>
      </c>
      <c r="F7933" s="0" t="inlineStr">
        <is>
          <t>F0261</t>
        </is>
      </c>
    </row>
    <row r="7934">
      <c r="A7934" s="0" t="inlineStr">
        <is>
          <t>Pornpop 'Tor' Kampusiri</t>
        </is>
      </c>
      <c r="B7934" s="0" t="n">
        <v>1</v>
      </c>
      <c r="C7934" s="0" t="n">
        <v>2008</v>
      </c>
      <c r="D7934" s="0" t="n">
        <v>2008</v>
      </c>
      <c r="E7934" s="0" t="inlineStr">
        <is>
          <t>Rambo</t>
        </is>
      </c>
      <c r="F7934" s="0" t="inlineStr">
        <is>
          <t>F0261</t>
        </is>
      </c>
    </row>
    <row r="7935">
      <c r="A7935" s="0" t="inlineStr">
        <is>
          <t>Wasawat Panyarat</t>
        </is>
      </c>
      <c r="B7935" s="0" t="n">
        <v>1</v>
      </c>
      <c r="C7935" s="0" t="n">
        <v>2008</v>
      </c>
      <c r="D7935" s="0" t="n">
        <v>2008</v>
      </c>
      <c r="E7935" s="0" t="inlineStr">
        <is>
          <t>Rambo</t>
        </is>
      </c>
      <c r="F7935" s="0" t="inlineStr">
        <is>
          <t>F0261</t>
        </is>
      </c>
    </row>
    <row r="7936">
      <c r="A7936" s="0" t="inlineStr">
        <is>
          <t>Kammul Kawtep</t>
        </is>
      </c>
      <c r="B7936" s="0" t="n">
        <v>1</v>
      </c>
      <c r="C7936" s="0" t="n">
        <v>2008</v>
      </c>
      <c r="D7936" s="0" t="n">
        <v>2008</v>
      </c>
      <c r="E7936" s="0" t="inlineStr">
        <is>
          <t>Rambo</t>
        </is>
      </c>
      <c r="F7936" s="0" t="inlineStr">
        <is>
          <t>F0261</t>
        </is>
      </c>
    </row>
    <row r="7937">
      <c r="A7937" s="0" t="inlineStr">
        <is>
          <t>Sornram Patchimtasanakarn</t>
        </is>
      </c>
      <c r="B7937" s="0" t="n">
        <v>1</v>
      </c>
      <c r="C7937" s="0" t="n">
        <v>2008</v>
      </c>
      <c r="D7937" s="0" t="n">
        <v>2008</v>
      </c>
      <c r="E7937" s="0" t="inlineStr">
        <is>
          <t>Rambo</t>
        </is>
      </c>
      <c r="F7937" s="0" t="inlineStr">
        <is>
          <t>F0261</t>
        </is>
      </c>
    </row>
    <row r="7938">
      <c r="A7938" s="0" t="inlineStr">
        <is>
          <t>Noa 'Arunee Prijareonsuk' Jei</t>
        </is>
      </c>
      <c r="B7938" s="0" t="n">
        <v>1</v>
      </c>
      <c r="C7938" s="0" t="n">
        <v>2008</v>
      </c>
      <c r="D7938" s="0" t="n">
        <v>2008</v>
      </c>
      <c r="E7938" s="0" t="inlineStr">
        <is>
          <t>Rambo</t>
        </is>
      </c>
      <c r="F7938" s="0" t="inlineStr">
        <is>
          <t>F0261</t>
        </is>
      </c>
    </row>
    <row r="7939">
      <c r="A7939" s="0" t="inlineStr">
        <is>
          <t>Kjam Saen</t>
        </is>
      </c>
      <c r="B7939" s="0" t="n">
        <v>1</v>
      </c>
      <c r="C7939" s="0" t="n">
        <v>2008</v>
      </c>
      <c r="D7939" s="0" t="n">
        <v>2008</v>
      </c>
      <c r="E7939" s="0" t="inlineStr">
        <is>
          <t>Rambo</t>
        </is>
      </c>
      <c r="F7939" s="0" t="inlineStr">
        <is>
          <t>F0261</t>
        </is>
      </c>
    </row>
    <row r="7940">
      <c r="A7940" s="0" t="inlineStr">
        <is>
          <t>Aun Lung Su</t>
        </is>
      </c>
      <c r="B7940" s="0" t="n">
        <v>1</v>
      </c>
      <c r="C7940" s="0" t="n">
        <v>2008</v>
      </c>
      <c r="D7940" s="0" t="n">
        <v>2008</v>
      </c>
      <c r="E7940" s="0" t="inlineStr">
        <is>
          <t>Rambo</t>
        </is>
      </c>
      <c r="F7940" s="0" t="inlineStr">
        <is>
          <t>F0261</t>
        </is>
      </c>
    </row>
    <row r="7941">
      <c r="A7941" s="0" t="inlineStr">
        <is>
          <t>Pan Dokngam</t>
        </is>
      </c>
      <c r="B7941" s="0" t="n">
        <v>1</v>
      </c>
      <c r="C7941" s="0" t="n">
        <v>2008</v>
      </c>
      <c r="D7941" s="0" t="n">
        <v>2008</v>
      </c>
      <c r="E7941" s="0" t="inlineStr">
        <is>
          <t>Rambo</t>
        </is>
      </c>
      <c r="F7941" s="0" t="inlineStr">
        <is>
          <t>F0261</t>
        </is>
      </c>
    </row>
    <row r="7942">
      <c r="A7942" s="0" t="inlineStr">
        <is>
          <t>Han Pik</t>
        </is>
      </c>
      <c r="B7942" s="0" t="n">
        <v>1</v>
      </c>
      <c r="C7942" s="0" t="n">
        <v>2008</v>
      </c>
      <c r="D7942" s="0" t="n">
        <v>2008</v>
      </c>
      <c r="E7942" s="0" t="inlineStr">
        <is>
          <t>Rambo</t>
        </is>
      </c>
      <c r="F7942" s="0" t="inlineStr">
        <is>
          <t>F0261</t>
        </is>
      </c>
    </row>
    <row r="7943">
      <c r="A7943" s="0" t="inlineStr">
        <is>
          <t>Tip Tiya</t>
        </is>
      </c>
      <c r="B7943" s="0" t="n">
        <v>1</v>
      </c>
      <c r="C7943" s="0" t="n">
        <v>2008</v>
      </c>
      <c r="D7943" s="0" t="n">
        <v>2008</v>
      </c>
      <c r="E7943" s="0" t="inlineStr">
        <is>
          <t>Rambo</t>
        </is>
      </c>
      <c r="F7943" s="0" t="inlineStr">
        <is>
          <t>F0261</t>
        </is>
      </c>
    </row>
    <row r="7944">
      <c r="A7944" s="0" t="inlineStr">
        <is>
          <t>Nee Lungjai</t>
        </is>
      </c>
      <c r="B7944" s="0" t="n">
        <v>1</v>
      </c>
      <c r="C7944" s="0" t="n">
        <v>2008</v>
      </c>
      <c r="D7944" s="0" t="n">
        <v>2008</v>
      </c>
      <c r="E7944" s="0" t="inlineStr">
        <is>
          <t>Rambo</t>
        </is>
      </c>
      <c r="F7944" s="0" t="inlineStr">
        <is>
          <t>F0261</t>
        </is>
      </c>
    </row>
    <row r="7945">
      <c r="A7945" s="0" t="inlineStr">
        <is>
          <t>Ko Asung</t>
        </is>
      </c>
      <c r="B7945" s="0" t="n">
        <v>1</v>
      </c>
      <c r="C7945" s="0" t="n">
        <v>2013</v>
      </c>
      <c r="D7945" s="0" t="n">
        <v>2013</v>
      </c>
      <c r="E7945" s="0" t="inlineStr">
        <is>
          <t>Snowpiercer</t>
        </is>
      </c>
      <c r="F7945" s="0" t="inlineStr">
        <is>
          <t>F0283</t>
        </is>
      </c>
    </row>
    <row r="7946">
      <c r="A7946" s="0" t="inlineStr">
        <is>
          <t>Amy Lyn Elliott</t>
        </is>
      </c>
      <c r="B7946" s="0" t="n">
        <v>1</v>
      </c>
      <c r="C7946" s="0" t="n">
        <v>2015</v>
      </c>
      <c r="D7946" s="0" t="n">
        <v>2015</v>
      </c>
      <c r="E7946" s="0" t="inlineStr">
        <is>
          <t>Southpaw</t>
        </is>
      </c>
      <c r="F7946" s="0" t="inlineStr">
        <is>
          <t>F0286</t>
        </is>
      </c>
    </row>
    <row r="7947">
      <c r="A7947" s="0" t="inlineStr">
        <is>
          <t>Danielle Brickman</t>
        </is>
      </c>
      <c r="B7947" s="0" t="n">
        <v>1</v>
      </c>
      <c r="C7947" s="0" t="n">
        <v>2015</v>
      </c>
      <c r="D7947" s="0" t="n">
        <v>2015</v>
      </c>
      <c r="E7947" s="0" t="inlineStr">
        <is>
          <t>Southpaw</t>
        </is>
      </c>
      <c r="F7947" s="0" t="inlineStr">
        <is>
          <t>F0286</t>
        </is>
      </c>
    </row>
    <row r="7948">
      <c r="A7948" s="0" t="inlineStr">
        <is>
          <t>Siaosi Fonua</t>
        </is>
      </c>
      <c r="B7948" s="0" t="n">
        <v>1</v>
      </c>
      <c r="C7948" s="0" t="n">
        <v>2012</v>
      </c>
      <c r="D7948" s="0" t="n">
        <v>2012</v>
      </c>
      <c r="E7948" s="0" t="inlineStr">
        <is>
          <t>Zero Dark Thirty</t>
        </is>
      </c>
      <c r="F7948" s="0" t="inlineStr">
        <is>
          <t>F0349</t>
        </is>
      </c>
    </row>
  </sheetData>
  <mergeCells count="2">
    <mergeCell ref="A2:F2"/>
    <mergeCell ref="A1:F1"/>
  </mergeCells>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Z1009"/>
  <sheetViews>
    <sheetView workbookViewId="0">
      <selection activeCell="A1" sqref="A1"/>
    </sheetView>
  </sheetViews>
  <sheetFormatPr baseColWidth="8" defaultColWidth="14.43" defaultRowHeight="15" customHeight="1"/>
  <cols>
    <col width="28" customWidth="1" style="108" min="1" max="1"/>
    <col width="12" customWidth="1" style="108" min="2" max="2"/>
    <col width="13" customWidth="1" style="108" min="3" max="4"/>
    <col width="65" customWidth="1" style="108" min="5" max="5"/>
    <col width="35" customWidth="1" style="108" min="6" max="6"/>
  </cols>
  <sheetData>
    <row r="1" ht="23.25" customHeight="1" s="108">
      <c r="A1" s="119" t="inlineStr">
        <is>
          <t>🎥 DIRECTORS</t>
        </is>
      </c>
      <c r="G1" s="4" t="n"/>
      <c r="H1" s="4" t="n"/>
      <c r="I1" s="4" t="n"/>
      <c r="J1" s="4" t="n"/>
      <c r="K1" s="4" t="n"/>
      <c r="L1" s="4" t="n"/>
      <c r="M1" s="4" t="n"/>
      <c r="N1" s="4" t="n"/>
      <c r="O1" s="4" t="n"/>
      <c r="P1" s="4" t="n"/>
      <c r="Q1" s="4" t="n"/>
      <c r="R1" s="4" t="n"/>
      <c r="S1" s="4" t="n"/>
      <c r="T1" s="4" t="n"/>
      <c r="U1" s="4" t="n"/>
      <c r="V1" s="4" t="n"/>
      <c r="W1" s="4" t="n"/>
      <c r="X1" s="4" t="n"/>
      <c r="Y1" s="4" t="n"/>
      <c r="Z1" s="4" t="n"/>
    </row>
    <row r="2">
      <c r="A2" s="120" t="inlineStr">
        <is>
          <t>Search or filter this sheet by director to see every film in your collection credited to them.</t>
        </is>
      </c>
      <c r="G2" s="4" t="n"/>
      <c r="H2" s="4" t="n"/>
      <c r="I2" s="4" t="n"/>
      <c r="J2" s="4" t="n"/>
      <c r="K2" s="4" t="n"/>
      <c r="L2" s="4" t="n"/>
      <c r="M2" s="4" t="n"/>
      <c r="N2" s="4" t="n"/>
      <c r="O2" s="4" t="n"/>
      <c r="P2" s="4" t="n"/>
      <c r="Q2" s="4" t="n"/>
      <c r="R2" s="4" t="n"/>
      <c r="S2" s="4" t="n"/>
      <c r="T2" s="4" t="n"/>
      <c r="U2" s="4" t="n"/>
      <c r="V2" s="4" t="n"/>
      <c r="W2" s="4" t="n"/>
      <c r="X2" s="4" t="n"/>
      <c r="Y2" s="4" t="n"/>
      <c r="Z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62" t="inlineStr">
        <is>
          <t>Director</t>
        </is>
      </c>
      <c r="B4" s="62" t="inlineStr">
        <is>
          <t>Films Owned</t>
        </is>
      </c>
      <c r="C4" s="62" t="inlineStr">
        <is>
          <t>Earliest Film</t>
        </is>
      </c>
      <c r="D4" s="62" t="inlineStr">
        <is>
          <t>Latest Film</t>
        </is>
      </c>
      <c r="E4" s="62" t="inlineStr">
        <is>
          <t>Films in Collection</t>
        </is>
      </c>
      <c r="F4" s="62" t="inlineStr">
        <is>
          <t>Film IDs</t>
        </is>
      </c>
      <c r="G4" s="4" t="n"/>
      <c r="H4" s="4" t="n"/>
      <c r="I4" s="4" t="n"/>
      <c r="J4" s="4" t="n"/>
      <c r="K4" s="4" t="n"/>
      <c r="L4" s="4" t="n"/>
      <c r="M4" s="4" t="n"/>
      <c r="N4" s="4" t="n"/>
      <c r="O4" s="4" t="n"/>
      <c r="P4" s="4" t="n"/>
      <c r="Q4" s="4" t="n"/>
      <c r="R4" s="4" t="n"/>
      <c r="S4" s="4" t="n"/>
      <c r="T4" s="4" t="n"/>
      <c r="U4" s="4" t="n"/>
      <c r="V4" s="4" t="n"/>
      <c r="W4" s="4" t="n"/>
      <c r="X4" s="4" t="n"/>
      <c r="Y4" s="4" t="n"/>
      <c r="Z4" s="4" t="n"/>
    </row>
    <row r="5" ht="45" customHeight="1" s="108">
      <c r="A5" s="4" t="inlineStr">
        <is>
          <t>Michael Bay</t>
        </is>
      </c>
      <c r="B5" s="4" t="n">
        <v>8</v>
      </c>
      <c r="C5" s="4" t="n">
        <v>1995</v>
      </c>
      <c r="D5" s="4" t="n">
        <v>2017</v>
      </c>
      <c r="E5" s="19" t="inlineStr">
        <is>
          <t>Bad Boys, Bad Boys II, Pearl Harbor, Transformers, Transformers: Revenge of the Fallen, Transformers: Dark of the Moon, Transformers: Age of Extinction, Transformers: The Last Knight</t>
        </is>
      </c>
      <c r="F5" s="4" t="inlineStr">
        <is>
          <t>F0036, F0037, F0246, F0316, F0317, F0318, F0319, F0320</t>
        </is>
      </c>
      <c r="G5" s="4" t="n"/>
      <c r="H5" s="4" t="n"/>
      <c r="I5" s="4" t="n"/>
      <c r="J5" s="4" t="n"/>
      <c r="K5" s="4" t="n"/>
      <c r="L5" s="4" t="n"/>
      <c r="M5" s="4" t="n"/>
      <c r="N5" s="4" t="n"/>
      <c r="O5" s="4" t="n"/>
      <c r="P5" s="4" t="n"/>
      <c r="Q5" s="4" t="n"/>
      <c r="R5" s="4" t="n"/>
      <c r="S5" s="4" t="n"/>
      <c r="T5" s="4" t="n"/>
      <c r="U5" s="4" t="n"/>
      <c r="V5" s="4" t="n"/>
      <c r="W5" s="4" t="n"/>
      <c r="X5" s="4" t="n"/>
      <c r="Y5" s="4" t="n"/>
      <c r="Z5" s="4" t="n"/>
    </row>
    <row r="6" ht="30" customHeight="1" s="108">
      <c r="A6" s="4" t="inlineStr">
        <is>
          <t>Christopher Nolan</t>
        </is>
      </c>
      <c r="B6" s="4" t="n">
        <v>8</v>
      </c>
      <c r="C6" s="4" t="n">
        <v>2005</v>
      </c>
      <c r="D6" s="4" t="n">
        <v>2023</v>
      </c>
      <c r="E6" s="19" t="inlineStr">
        <is>
          <t>Batman Begins, The Dark Knight, The Dark Knight Rises, Inception, Interstellar, Oppenheimer, The Prestige, Tenet</t>
        </is>
      </c>
      <c r="F6" s="4" t="inlineStr">
        <is>
          <t>F0043, F0044, F0045, F0165, F0168, F0242, F0257, F0387</t>
        </is>
      </c>
      <c r="G6" s="4" t="n"/>
      <c r="H6" s="4" t="n"/>
      <c r="I6" s="4" t="n"/>
      <c r="J6" s="4" t="n"/>
      <c r="K6" s="4" t="n"/>
      <c r="L6" s="4" t="n"/>
      <c r="M6" s="4" t="n"/>
      <c r="N6" s="4" t="n"/>
      <c r="O6" s="4" t="n"/>
      <c r="P6" s="4" t="n"/>
      <c r="Q6" s="4" t="n"/>
      <c r="R6" s="4" t="n"/>
      <c r="S6" s="4" t="n"/>
      <c r="T6" s="4" t="n"/>
      <c r="U6" s="4" t="n"/>
      <c r="V6" s="4" t="n"/>
      <c r="W6" s="4" t="n"/>
      <c r="X6" s="4" t="n"/>
      <c r="Y6" s="4" t="n"/>
      <c r="Z6" s="4" t="n"/>
    </row>
    <row r="7" ht="60" customHeight="1" s="108">
      <c r="A7" s="4" t="inlineStr">
        <is>
          <t>Peter Jackson</t>
        </is>
      </c>
      <c r="B7" s="4" t="n">
        <v>7</v>
      </c>
      <c r="C7" s="4" t="n">
        <v>2001</v>
      </c>
      <c r="D7" s="4" t="n">
        <v>2014</v>
      </c>
      <c r="E7" s="19" t="inlineStr">
        <is>
          <t>The Hobbit: An Unexpected Journey, The Hobbit: The Desolation of Smaug, The Hobbit: The Battle of the Five Armies, King Kong, The Lord of the Rings: The Fellowship of the Ring, The Lord of the Rings: The Two Towers, The Lord of the Rings: The Return of the King</t>
        </is>
      </c>
      <c r="F7" s="4" t="inlineStr">
        <is>
          <t>F0150, F0151, F0152, F0188, F0203, F0204, F0205</t>
        </is>
      </c>
      <c r="G7" s="4" t="n"/>
      <c r="H7" s="4" t="n"/>
      <c r="I7" s="4" t="n"/>
      <c r="J7" s="4" t="n"/>
      <c r="K7" s="4" t="n"/>
      <c r="L7" s="4" t="n"/>
      <c r="M7" s="4" t="n"/>
      <c r="N7" s="4" t="n"/>
      <c r="O7" s="4" t="n"/>
      <c r="P7" s="4" t="n"/>
      <c r="Q7" s="4" t="n"/>
      <c r="R7" s="4" t="n"/>
      <c r="S7" s="4" t="n"/>
      <c r="T7" s="4" t="n"/>
      <c r="U7" s="4" t="n"/>
      <c r="V7" s="4" t="n"/>
      <c r="W7" s="4" t="n"/>
      <c r="X7" s="4" t="n"/>
      <c r="Y7" s="4" t="n"/>
      <c r="Z7" s="4" t="n"/>
    </row>
    <row r="8" ht="30" customHeight="1" s="108">
      <c r="A8" s="4" t="inlineStr">
        <is>
          <t>Ridley Scott</t>
        </is>
      </c>
      <c r="B8" s="4" t="n">
        <v>8</v>
      </c>
      <c r="C8" s="4" t="n">
        <v>1979</v>
      </c>
      <c r="D8" s="4" t="n">
        <v>2017</v>
      </c>
      <c r="E8" s="19" t="inlineStr">
        <is>
          <t>Alien, Black Hawk Down, Body of Lies, The Martian, Prometheus, Robin Hood, alien covenant, blade runner</t>
        </is>
      </c>
      <c r="F8" s="4" t="inlineStr">
        <is>
          <t>F0015, F0050, F0051, F0213, F0259, F0267, F0361, F0365</t>
        </is>
      </c>
      <c r="G8" s="4" t="n"/>
      <c r="H8" s="4" t="n"/>
      <c r="I8" s="4" t="n"/>
      <c r="J8" s="4" t="n"/>
      <c r="K8" s="4" t="n"/>
      <c r="L8" s="4" t="n"/>
      <c r="M8" s="4" t="n"/>
      <c r="N8" s="4" t="n"/>
      <c r="O8" s="4" t="n"/>
      <c r="P8" s="4" t="n"/>
      <c r="Q8" s="4" t="n"/>
      <c r="R8" s="4" t="n"/>
      <c r="S8" s="4" t="n"/>
      <c r="T8" s="4" t="n"/>
      <c r="U8" s="4" t="n"/>
      <c r="V8" s="4" t="n"/>
      <c r="W8" s="4" t="n"/>
      <c r="X8" s="4" t="n"/>
      <c r="Y8" s="4" t="n"/>
      <c r="Z8" s="4" t="n"/>
    </row>
    <row r="9" ht="30" customHeight="1" s="108">
      <c r="A9" s="4" t="inlineStr">
        <is>
          <t>Bryan Singer</t>
        </is>
      </c>
      <c r="B9" s="4" t="n">
        <v>5</v>
      </c>
      <c r="C9" s="4" t="n">
        <v>2000</v>
      </c>
      <c r="D9" s="4" t="n">
        <v>2018</v>
      </c>
      <c r="E9" s="19" t="inlineStr">
        <is>
          <t>Bohemian Rhapsody, X-Men: Days of Future Past, X-Men: Apocalypse, X-Men, X2: X-Men United</t>
        </is>
      </c>
      <c r="F9" s="4" t="inlineStr">
        <is>
          <t>F0052, F0341, F0342, F0344, F0345</t>
        </is>
      </c>
      <c r="G9" s="4" t="n"/>
      <c r="H9" s="4" t="n"/>
      <c r="I9" s="4" t="n"/>
      <c r="J9" s="4" t="n"/>
      <c r="K9" s="4" t="n"/>
      <c r="L9" s="4" t="n"/>
      <c r="M9" s="4" t="n"/>
      <c r="N9" s="4" t="n"/>
      <c r="O9" s="4" t="n"/>
      <c r="P9" s="4" t="n"/>
      <c r="Q9" s="4" t="n"/>
      <c r="R9" s="4" t="n"/>
      <c r="S9" s="4" t="n"/>
      <c r="T9" s="4" t="n"/>
      <c r="U9" s="4" t="n"/>
      <c r="V9" s="4" t="n"/>
      <c r="W9" s="4" t="n"/>
      <c r="X9" s="4" t="n"/>
      <c r="Y9" s="4" t="n"/>
      <c r="Z9" s="4" t="n"/>
    </row>
    <row r="10" ht="45" customHeight="1" s="108">
      <c r="A10" s="4" t="inlineStr">
        <is>
          <t>Christopher McQuarrie</t>
        </is>
      </c>
      <c r="B10" s="4" t="n">
        <v>5</v>
      </c>
      <c r="C10" s="4" t="n">
        <v>2012</v>
      </c>
      <c r="D10" s="4" t="n">
        <v>2025</v>
      </c>
      <c r="E10" s="19" t="inlineStr">
        <is>
          <t>Jack Reacher, Mission: Impossible - Rogue Nation, Mission: Impossible - Fallout, Mission: Impossible - Dead Reckoning Part One, Mission: Impossible - The Final Reckoning</t>
        </is>
      </c>
      <c r="F10" s="4" t="inlineStr">
        <is>
          <t>F0171, F0225, F0226, F0227, F0228</t>
        </is>
      </c>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inlineStr">
        <is>
          <t>David Fincher</t>
        </is>
      </c>
      <c r="B11" s="4" t="n">
        <v>5</v>
      </c>
      <c r="C11" s="4" t="n">
        <v>1992</v>
      </c>
      <c r="D11" s="4" t="n">
        <v>2011</v>
      </c>
      <c r="E11" s="19" t="inlineStr">
        <is>
          <t>Alien³, Fight Club, The Girl with the Dragon Tattoo, Se7en, Zodiac</t>
        </is>
      </c>
      <c r="F11" s="4" t="inlineStr">
        <is>
          <t>F0017, F0112, F0120, F0276, F0350</t>
        </is>
      </c>
      <c r="G11" s="4" t="n"/>
      <c r="H11" s="4" t="n"/>
      <c r="I11" s="4" t="n"/>
      <c r="J11" s="4" t="n"/>
      <c r="K11" s="4" t="n"/>
      <c r="L11" s="4" t="n"/>
      <c r="M11" s="4" t="n"/>
      <c r="N11" s="4" t="n"/>
      <c r="O11" s="4" t="n"/>
      <c r="P11" s="4" t="n"/>
      <c r="Q11" s="4" t="n"/>
      <c r="R11" s="4" t="n"/>
      <c r="S11" s="4" t="n"/>
      <c r="T11" s="4" t="n"/>
      <c r="U11" s="4" t="n"/>
      <c r="V11" s="4" t="n"/>
      <c r="W11" s="4" t="n"/>
      <c r="X11" s="4" t="n"/>
      <c r="Y11" s="4" t="n"/>
      <c r="Z11" s="4" t="n"/>
    </row>
    <row r="12" ht="60" customHeight="1" s="108">
      <c r="A12" s="4" t="inlineStr">
        <is>
          <t>David Yates</t>
        </is>
      </c>
      <c r="B12" s="4" t="n">
        <v>6</v>
      </c>
      <c r="C12" s="4" t="n">
        <v>2007</v>
      </c>
      <c r="D12" s="4" t="n">
        <v>2018</v>
      </c>
      <c r="E12" s="19" t="inlineStr">
        <is>
          <t>Fantastic Beasts and Where to Find Them, Harry Potter and the Order of the Phoenix, Harry Potter and the Half-Blood Prince, Harry Potter and the Deathly Hallows: Part 1, Harry Potter and the Deathly Hallows: Part 2, Fantastic beasts: the crimes of grindelwald</t>
        </is>
      </c>
      <c r="F12" s="4" t="inlineStr">
        <is>
          <t>F0100, F0141, F0142, F0143, F0144, F0360</t>
        </is>
      </c>
      <c r="G12" s="4" t="n"/>
      <c r="H12" s="4" t="n"/>
      <c r="I12" s="4" t="n"/>
      <c r="J12" s="4" t="n"/>
      <c r="K12" s="4" t="n"/>
      <c r="L12" s="4" t="n"/>
      <c r="M12" s="4" t="n"/>
      <c r="N12" s="4" t="n"/>
      <c r="O12" s="4" t="n"/>
      <c r="P12" s="4" t="n"/>
      <c r="Q12" s="4" t="n"/>
      <c r="R12" s="4" t="n"/>
      <c r="S12" s="4" t="n"/>
      <c r="T12" s="4" t="n"/>
      <c r="U12" s="4" t="n"/>
      <c r="V12" s="4" t="n"/>
      <c r="W12" s="4" t="n"/>
      <c r="X12" s="4" t="n"/>
      <c r="Y12" s="4" t="n"/>
      <c r="Z12" s="4" t="n"/>
    </row>
    <row r="13" ht="30" customHeight="1" s="108">
      <c r="A13" s="4" t="inlineStr">
        <is>
          <t>J.J. Abrams</t>
        </is>
      </c>
      <c r="B13" s="4" t="n">
        <v>5</v>
      </c>
      <c r="C13" s="4" t="n">
        <v>2006</v>
      </c>
      <c r="D13" s="4" t="n">
        <v>2019</v>
      </c>
      <c r="E13" s="19" t="inlineStr">
        <is>
          <t>Mission: Impossible III, Star Trek, Star Wars: The Force Awakens, Star Wars: The Rise of Skywalker, Super 8</t>
        </is>
      </c>
      <c r="F13" s="4" t="inlineStr">
        <is>
          <t>F0223, F0291, F0298, F0300, F0302</t>
        </is>
      </c>
      <c r="G13" s="4" t="n"/>
      <c r="H13" s="4" t="n"/>
      <c r="I13" s="4" t="n"/>
      <c r="J13" s="4" t="n"/>
      <c r="K13" s="4" t="n"/>
      <c r="L13" s="4" t="n"/>
      <c r="M13" s="4" t="n"/>
      <c r="N13" s="4" t="n"/>
      <c r="O13" s="4" t="n"/>
      <c r="P13" s="4" t="n"/>
      <c r="Q13" s="4" t="n"/>
      <c r="R13" s="4" t="n"/>
      <c r="S13" s="4" t="n"/>
      <c r="T13" s="4" t="n"/>
      <c r="U13" s="4" t="n"/>
      <c r="V13" s="4" t="n"/>
      <c r="W13" s="4" t="n"/>
      <c r="X13" s="4" t="n"/>
      <c r="Y13" s="4" t="n"/>
      <c r="Z13" s="4" t="n"/>
    </row>
    <row r="14" ht="30" customHeight="1" s="108">
      <c r="A14" s="4" t="inlineStr">
        <is>
          <t>Justin Lin</t>
        </is>
      </c>
      <c r="B14" s="4" t="n">
        <v>5</v>
      </c>
      <c r="C14" s="4" t="n">
        <v>2006</v>
      </c>
      <c r="D14" s="4" t="n">
        <v>2021</v>
      </c>
      <c r="E14" s="19" t="inlineStr">
        <is>
          <t>The Fast and the Furious: Tokyo Drift, Fast &amp; Furious, Fast Five, Fast &amp; Furious 6, F9: The Fast Saga</t>
        </is>
      </c>
      <c r="F14" s="4" t="inlineStr">
        <is>
          <t>F0103, F0104, F0105, F0106, F0109</t>
        </is>
      </c>
      <c r="G14" s="4" t="n"/>
      <c r="H14" s="4" t="n"/>
      <c r="I14" s="4" t="n"/>
      <c r="J14" s="4" t="n"/>
      <c r="K14" s="4" t="n"/>
      <c r="L14" s="4" t="n"/>
      <c r="M14" s="4" t="n"/>
      <c r="N14" s="4" t="n"/>
      <c r="O14" s="4" t="n"/>
      <c r="P14" s="4" t="n"/>
      <c r="Q14" s="4" t="n"/>
      <c r="R14" s="4" t="n"/>
      <c r="S14" s="4" t="n"/>
      <c r="T14" s="4" t="n"/>
      <c r="U14" s="4" t="n"/>
      <c r="V14" s="4" t="n"/>
      <c r="W14" s="4" t="n"/>
      <c r="X14" s="4" t="n"/>
      <c r="Y14" s="4" t="n"/>
      <c r="Z14" s="4" t="n"/>
    </row>
    <row r="15" ht="30" customHeight="1" s="108">
      <c r="A15" s="4" t="inlineStr">
        <is>
          <t>Steven Spielberg</t>
        </is>
      </c>
      <c r="B15" s="4" t="n">
        <v>6</v>
      </c>
      <c r="C15" s="4" t="n">
        <v>1993</v>
      </c>
      <c r="D15" s="4" t="n">
        <v>2018</v>
      </c>
      <c r="E15" s="19" t="inlineStr">
        <is>
          <t>The BFG, Catch Me If You Can, Jurassic Park, The Lost World: Jurassic Park, War of the Worlds, Ready player one</t>
        </is>
      </c>
      <c r="F15" s="4" t="inlineStr">
        <is>
          <t>F0047, F0064, F0176, F0177, F0332, F0352</t>
        </is>
      </c>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inlineStr">
        <is>
          <t>Carlos Saldanha</t>
        </is>
      </c>
      <c r="B16" s="4" t="n">
        <v>4</v>
      </c>
      <c r="C16" s="4" t="n">
        <v>2006</v>
      </c>
      <c r="D16" s="4" t="n">
        <v>2014</v>
      </c>
      <c r="E16" s="19" t="inlineStr">
        <is>
          <t>Ice Age: The Meltdown, Ice Age: Dawn of the Dinosaurs, Rio, Rio 2</t>
        </is>
      </c>
      <c r="F16" s="4" t="inlineStr">
        <is>
          <t>F0160, F0161, F0265, F0266</t>
        </is>
      </c>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inlineStr">
        <is>
          <t>Edgar Wright</t>
        </is>
      </c>
      <c r="B17" s="4" t="n">
        <v>4</v>
      </c>
      <c r="C17" s="4" t="n">
        <v>2004</v>
      </c>
      <c r="D17" s="4" t="n">
        <v>2017</v>
      </c>
      <c r="E17" s="19" t="inlineStr">
        <is>
          <t>Baby Driver, Shaun of the Dead, Hot Fuzz, The World's End</t>
        </is>
      </c>
      <c r="F17" s="4" t="inlineStr">
        <is>
          <t>F0032, F0070, F0071, F0072</t>
        </is>
      </c>
      <c r="G17" s="4" t="n"/>
      <c r="H17" s="4" t="n"/>
      <c r="I17" s="4" t="n"/>
      <c r="J17" s="4" t="n"/>
      <c r="K17" s="4" t="n"/>
      <c r="L17" s="4" t="n"/>
      <c r="M17" s="4" t="n"/>
      <c r="N17" s="4" t="n"/>
      <c r="O17" s="4" t="n"/>
      <c r="P17" s="4" t="n"/>
      <c r="Q17" s="4" t="n"/>
      <c r="R17" s="4" t="n"/>
      <c r="S17" s="4" t="n"/>
      <c r="T17" s="4" t="n"/>
      <c r="U17" s="4" t="n"/>
      <c r="V17" s="4" t="n"/>
      <c r="W17" s="4" t="n"/>
      <c r="X17" s="4" t="n"/>
      <c r="Y17" s="4" t="n"/>
      <c r="Z17" s="4" t="n"/>
    </row>
    <row r="18" ht="45" customHeight="1" s="108">
      <c r="A18" s="4" t="inlineStr">
        <is>
          <t>George Lucas</t>
        </is>
      </c>
      <c r="B18" s="4" t="n">
        <v>4</v>
      </c>
      <c r="C18" s="4" t="n">
        <v>1977</v>
      </c>
      <c r="D18" s="4" t="n">
        <v>2005</v>
      </c>
      <c r="E18" s="19" t="inlineStr">
        <is>
          <t>Star Wars: Episode I – The Phantom Menace, Star Wars: Episode II – Attack of the Clones, Star Wars: Episode III – Revenge of the Sith, Star Wars: Episode IV – A New Hope</t>
        </is>
      </c>
      <c r="F18" s="4" t="inlineStr">
        <is>
          <t>F0292, F0293, F0294, F0295</t>
        </is>
      </c>
      <c r="G18" s="4" t="n"/>
      <c r="H18" s="4" t="n"/>
      <c r="I18" s="4" t="n"/>
      <c r="J18" s="4" t="n"/>
      <c r="K18" s="4" t="n"/>
      <c r="L18" s="4" t="n"/>
      <c r="M18" s="4" t="n"/>
      <c r="N18" s="4" t="n"/>
      <c r="O18" s="4" t="n"/>
      <c r="P18" s="4" t="n"/>
      <c r="Q18" s="4" t="n"/>
      <c r="R18" s="4" t="n"/>
      <c r="S18" s="4" t="n"/>
      <c r="T18" s="4" t="n"/>
      <c r="U18" s="4" t="n"/>
      <c r="V18" s="4" t="n"/>
      <c r="W18" s="4" t="n"/>
      <c r="X18" s="4" t="n"/>
      <c r="Y18" s="4" t="n"/>
      <c r="Z18" s="4" t="n"/>
    </row>
    <row r="19" ht="30" customHeight="1" s="108">
      <c r="A19" s="4" t="inlineStr">
        <is>
          <t>Paul Greengrass</t>
        </is>
      </c>
      <c r="B19" s="4" t="n">
        <v>5</v>
      </c>
      <c r="C19" s="4" t="n">
        <v>2004</v>
      </c>
      <c r="D19" s="4" t="n">
        <v>2016</v>
      </c>
      <c r="E19" s="19" t="inlineStr">
        <is>
          <t>The Bourne Supremacy, The Bourne Ultimatum, Captain Phillips, Green Zone, Jason bourne</t>
        </is>
      </c>
      <c r="F19" s="4" t="inlineStr">
        <is>
          <t>F0054, F0055, F0062, F0129, F0358</t>
        </is>
      </c>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inlineStr">
        <is>
          <t>Pierre Coffin</t>
        </is>
      </c>
      <c r="B20" s="4" t="n">
        <v>4</v>
      </c>
      <c r="C20" s="4" t="n">
        <v>2010</v>
      </c>
      <c r="D20" s="4" t="n">
        <v>2017</v>
      </c>
      <c r="E20" s="19" t="inlineStr">
        <is>
          <t>Despicable Me, Despicable Me 2, Despicable Me 3, Minions</t>
        </is>
      </c>
      <c r="F20" s="4" t="inlineStr">
        <is>
          <t>F0082, F0083, F0084, F0220</t>
        </is>
      </c>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108">
      <c r="A21" s="4" t="inlineStr">
        <is>
          <t>Todd Phillips</t>
        </is>
      </c>
      <c r="B21" s="4" t="n">
        <v>4</v>
      </c>
      <c r="C21" s="4" t="n">
        <v>2009</v>
      </c>
      <c r="D21" s="4" t="n">
        <v>2013</v>
      </c>
      <c r="E21" s="19" t="inlineStr">
        <is>
          <t>Due Date, The Hangover, The Hangover Part II, The Hangover Part III</t>
        </is>
      </c>
      <c r="F21" s="4" t="inlineStr">
        <is>
          <t>F0091, F0134, F0135, F0136</t>
        </is>
      </c>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108">
      <c r="A22" s="4" t="inlineStr">
        <is>
          <t>Andrew Stanton</t>
        </is>
      </c>
      <c r="B22" s="4" t="n">
        <v>5</v>
      </c>
      <c r="C22" s="4" t="n">
        <v>1998</v>
      </c>
      <c r="D22" s="4" t="n">
        <v>2016</v>
      </c>
      <c r="E22" s="19" t="inlineStr">
        <is>
          <t>A Bug's Life, Finding Dory, WALL·E, finding nemo,  finding nemo</t>
        </is>
      </c>
      <c r="F22" s="4" t="inlineStr">
        <is>
          <t>F0012, F0113, F0331, F0369</t>
        </is>
      </c>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08">
      <c r="A23" s="4" t="inlineStr">
        <is>
          <t>Antoine Fuqua</t>
        </is>
      </c>
      <c r="B23" s="4" t="n">
        <v>3</v>
      </c>
      <c r="C23" s="4" t="n">
        <v>2013</v>
      </c>
      <c r="D23" s="4" t="n">
        <v>2016</v>
      </c>
      <c r="E23" s="19" t="inlineStr">
        <is>
          <t>The Magnificent Seven, Olympus Has Fallen, Southpaw</t>
        </is>
      </c>
      <c r="F23" s="4" t="inlineStr">
        <is>
          <t>F0207, F0240, F0286</t>
        </is>
      </c>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08">
      <c r="A24" s="4" t="inlineStr">
        <is>
          <t>Brett Ratner</t>
        </is>
      </c>
      <c r="B24" s="4" t="n">
        <v>3</v>
      </c>
      <c r="C24" s="4" t="n">
        <v>2006</v>
      </c>
      <c r="D24" s="4" t="n">
        <v>2014</v>
      </c>
      <c r="E24" s="19" t="inlineStr">
        <is>
          <t>Hercules, Rush Hour 3, X-Men: The Last Stand</t>
        </is>
      </c>
      <c r="F24" s="4" t="inlineStr">
        <is>
          <t>F0147, F0271, F0346</t>
        </is>
      </c>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08">
      <c r="A25" s="4" t="inlineStr">
        <is>
          <t>Chris Renaud</t>
        </is>
      </c>
      <c r="B25" s="4" t="n">
        <v>3</v>
      </c>
      <c r="C25" s="4" t="n">
        <v>2010</v>
      </c>
      <c r="D25" s="4" t="n">
        <v>2016</v>
      </c>
      <c r="E25" s="19" t="inlineStr">
        <is>
          <t>Despicable Me, Despicable Me 2, The Secret Life of Pets</t>
        </is>
      </c>
      <c r="F25" s="4" t="inlineStr">
        <is>
          <t>F0082, F0083, F0274</t>
        </is>
      </c>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08">
      <c r="A26" s="4" t="inlineStr">
        <is>
          <t>Christopher Miller</t>
        </is>
      </c>
      <c r="B26" s="4" t="n">
        <v>3</v>
      </c>
      <c r="C26" s="4" t="n">
        <v>2012</v>
      </c>
      <c r="D26" s="4" t="n">
        <v>2014</v>
      </c>
      <c r="E26" s="19" t="inlineStr">
        <is>
          <t>21 Jump Street, 22 Jump Street, The Lego Movie</t>
        </is>
      </c>
      <c r="F26" s="4" t="inlineStr">
        <is>
          <t>F0007, F0008, F0195</t>
        </is>
      </c>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08">
      <c r="A27" s="4" t="inlineStr">
        <is>
          <t>David Leitch</t>
        </is>
      </c>
      <c r="B27" s="4" t="n">
        <v>3</v>
      </c>
      <c r="C27" s="4" t="n">
        <v>2018</v>
      </c>
      <c r="D27" s="4" t="n">
        <v>2024</v>
      </c>
      <c r="E27" s="19" t="inlineStr">
        <is>
          <t>Deadpool 2, The Fall Guy, Fast &amp; Furious Presents: Hobbs &amp; Shaw</t>
        </is>
      </c>
      <c r="F27" s="4" t="inlineStr">
        <is>
          <t>F0077, F0099, F0111</t>
        </is>
      </c>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08">
      <c r="A28" s="4" t="inlineStr">
        <is>
          <t>Dennis Dugan</t>
        </is>
      </c>
      <c r="B28" s="4" t="n">
        <v>3</v>
      </c>
      <c r="C28" s="4" t="n">
        <v>2010</v>
      </c>
      <c r="D28" s="4" t="n">
        <v>2013</v>
      </c>
      <c r="E28" s="19" t="inlineStr">
        <is>
          <t>Grown Ups, Grown Ups 2, Just Go with It</t>
        </is>
      </c>
      <c r="F28" s="4" t="inlineStr">
        <is>
          <t>F0131, F0132, F0183</t>
        </is>
      </c>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08">
      <c r="A29" s="4" t="inlineStr">
        <is>
          <t>Doug Liman</t>
        </is>
      </c>
      <c r="B29" s="4" t="n">
        <v>3</v>
      </c>
      <c r="C29" s="4" t="n">
        <v>2002</v>
      </c>
      <c r="D29" s="4" t="n">
        <v>2008</v>
      </c>
      <c r="E29" s="19" t="inlineStr">
        <is>
          <t>The Bourne Identity, Jumper, Mr. &amp; Mrs. Smith</t>
        </is>
      </c>
      <c r="F29" s="4" t="inlineStr">
        <is>
          <t>F0053, F0175, F0231</t>
        </is>
      </c>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08">
      <c r="A30" s="4" t="inlineStr">
        <is>
          <t>F. Gary Gray</t>
        </is>
      </c>
      <c r="B30" s="4" t="n">
        <v>3</v>
      </c>
      <c r="C30" s="4" t="n">
        <v>2009</v>
      </c>
      <c r="D30" s="4" t="n">
        <v>2017</v>
      </c>
      <c r="E30" s="19" t="inlineStr">
        <is>
          <t>The Fate of the Furious, Law Abiding Citizen, Straight Outta Compton</t>
        </is>
      </c>
      <c r="F30" s="4" t="inlineStr">
        <is>
          <t>F0108, F0191, F0301</t>
        </is>
      </c>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08">
      <c r="A31" s="4" t="inlineStr">
        <is>
          <t>Guy Ritchie</t>
        </is>
      </c>
      <c r="B31" s="4" t="n">
        <v>3</v>
      </c>
      <c r="C31" s="4" t="n">
        <v>2009</v>
      </c>
      <c r="D31" s="4" t="n">
        <v>2020</v>
      </c>
      <c r="E31" s="19" t="inlineStr">
        <is>
          <t>The Gentlemen, Sherlock Holmes, Sherlock Holmes: A Game of Shadows</t>
        </is>
      </c>
      <c r="F31" s="4" t="inlineStr">
        <is>
          <t>F0119, F0278, F0279</t>
        </is>
      </c>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08">
      <c r="A32" s="4" t="inlineStr">
        <is>
          <t>John Lasseter</t>
        </is>
      </c>
      <c r="B32" s="4" t="n">
        <v>3</v>
      </c>
      <c r="C32" s="4" t="n">
        <v>1995</v>
      </c>
      <c r="D32" s="4" t="n">
        <v>1999</v>
      </c>
      <c r="E32" s="19" t="inlineStr">
        <is>
          <t>A Bug's Life, Toy Story, Toy Story 2</t>
        </is>
      </c>
      <c r="F32" s="4" t="inlineStr">
        <is>
          <t>F0012, F0312, F0313</t>
        </is>
      </c>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08">
      <c r="A33" s="4" t="inlineStr">
        <is>
          <t>Jon Favreau</t>
        </is>
      </c>
      <c r="B33" s="4" t="n">
        <v>3</v>
      </c>
      <c r="C33" s="4" t="n">
        <v>2003</v>
      </c>
      <c r="D33" s="4" t="n">
        <v>2014</v>
      </c>
      <c r="E33" s="19" t="inlineStr">
        <is>
          <t>Chef, Cowboys &amp; Aliens, Elf</t>
        </is>
      </c>
      <c r="F33" s="4" t="inlineStr">
        <is>
          <t>F0065, F0073, F0092</t>
        </is>
      </c>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08">
      <c r="A34" s="4" t="inlineStr">
        <is>
          <t>Lana Wachowski</t>
        </is>
      </c>
      <c r="B34" s="4" t="n">
        <v>3</v>
      </c>
      <c r="C34" s="4" t="n">
        <v>1999</v>
      </c>
      <c r="D34" s="4" t="n">
        <v>2003</v>
      </c>
      <c r="E34" s="19" t="inlineStr">
        <is>
          <t>The Matrix, The Matrix Reloaded, The Matrix Revolutions</t>
        </is>
      </c>
      <c r="F34" s="4" t="inlineStr">
        <is>
          <t>F0214, F0215, F0216</t>
        </is>
      </c>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08">
      <c r="A35" s="4" t="inlineStr">
        <is>
          <t>Lee Unkrich</t>
        </is>
      </c>
      <c r="B35" s="4" t="n">
        <v>3</v>
      </c>
      <c r="C35" s="4" t="n">
        <v>1999</v>
      </c>
      <c r="D35" s="4" t="n">
        <v>2010</v>
      </c>
      <c r="E35" s="19" t="inlineStr">
        <is>
          <t>Monsters, Inc., Toy Story 2, Toy Story 3</t>
        </is>
      </c>
      <c r="F35" s="4" t="inlineStr">
        <is>
          <t>F0229, F0313, F0314</t>
        </is>
      </c>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08">
      <c r="A36" s="4" t="inlineStr">
        <is>
          <t>Lilly Wachowski</t>
        </is>
      </c>
      <c r="B36" s="4" t="n">
        <v>3</v>
      </c>
      <c r="C36" s="4" t="n">
        <v>1999</v>
      </c>
      <c r="D36" s="4" t="n">
        <v>2003</v>
      </c>
      <c r="E36" s="19" t="inlineStr">
        <is>
          <t>The Matrix, The Matrix Reloaded, The Matrix Revolutions</t>
        </is>
      </c>
      <c r="F36" s="4" t="inlineStr">
        <is>
          <t>F0214, F0215, F0216</t>
        </is>
      </c>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08">
      <c r="A37" s="4" t="inlineStr">
        <is>
          <t>Louis Leterrier</t>
        </is>
      </c>
      <c r="B37" s="4" t="n">
        <v>3</v>
      </c>
      <c r="C37" s="4" t="n">
        <v>2010</v>
      </c>
      <c r="D37" s="4" t="n">
        <v>2023</v>
      </c>
      <c r="E37" s="19" t="inlineStr">
        <is>
          <t>Clash of the Titans, Fast X, Grimsby</t>
        </is>
      </c>
      <c r="F37" s="4" t="inlineStr">
        <is>
          <t>F0066, F0110, F0130</t>
        </is>
      </c>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08">
      <c r="A38" s="4" t="inlineStr">
        <is>
          <t>Matt Reeves</t>
        </is>
      </c>
      <c r="B38" s="4" t="n">
        <v>3</v>
      </c>
      <c r="C38" s="4" t="n">
        <v>2014</v>
      </c>
      <c r="D38" s="4" t="n">
        <v>2022</v>
      </c>
      <c r="E38" s="19" t="inlineStr">
        <is>
          <t>The Batman, Dawn of the Planet of the Apes, War for the Planet of the Apes</t>
        </is>
      </c>
      <c r="F38" s="4" t="inlineStr">
        <is>
          <t>F0042, F0254, F0255</t>
        </is>
      </c>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08">
      <c r="A39" s="4" t="inlineStr">
        <is>
          <t>Paul Feig</t>
        </is>
      </c>
      <c r="B39" s="4" t="n">
        <v>3</v>
      </c>
      <c r="C39" s="4" t="n">
        <v>2011</v>
      </c>
      <c r="D39" s="4" t="n">
        <v>2015</v>
      </c>
      <c r="E39" s="19" t="inlineStr">
        <is>
          <t>Bridesmaids, The Heat, Spy</t>
        </is>
      </c>
      <c r="F39" s="4" t="inlineStr">
        <is>
          <t>F0058, F0146, F0290</t>
        </is>
      </c>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08">
      <c r="A40" s="4" t="inlineStr">
        <is>
          <t>Pete Docter</t>
        </is>
      </c>
      <c r="B40" s="4" t="n">
        <v>7</v>
      </c>
      <c r="C40" s="4" t="n">
        <v>2001</v>
      </c>
      <c r="D40" s="4" t="n">
        <v>2015</v>
      </c>
      <c r="E40" s="19" t="inlineStr">
        <is>
          <t>Inside Out, Monsters, Inc., Up, Monsters, Inc., Monsters, Inc., Monsters, Inc., Monsters, Inc.</t>
        </is>
      </c>
      <c r="F40" s="4" t="inlineStr">
        <is>
          <t>F0167, F0229, F0330</t>
        </is>
      </c>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08">
      <c r="A41" s="4" t="inlineStr">
        <is>
          <t>Phil Lord</t>
        </is>
      </c>
      <c r="B41" s="4" t="n">
        <v>3</v>
      </c>
      <c r="C41" s="4" t="n">
        <v>2012</v>
      </c>
      <c r="D41" s="4" t="n">
        <v>2014</v>
      </c>
      <c r="E41" s="19" t="inlineStr">
        <is>
          <t>21 Jump Street, 22 Jump Street, The Lego Movie</t>
        </is>
      </c>
      <c r="F41" s="4" t="inlineStr">
        <is>
          <t>F0007, F0008, F0195</t>
        </is>
      </c>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08">
      <c r="A42" s="4" t="inlineStr">
        <is>
          <t>Quentin Tarantino</t>
        </is>
      </c>
      <c r="B42" s="4" t="n">
        <v>3</v>
      </c>
      <c r="C42" s="4" t="n">
        <v>2009</v>
      </c>
      <c r="D42" s="4" t="n">
        <v>2019</v>
      </c>
      <c r="E42" s="19" t="inlineStr">
        <is>
          <t>Django Unchained, Inglourious Basterds, Once Upon a Time… in Hollywood</t>
        </is>
      </c>
      <c r="F42" s="4" t="inlineStr">
        <is>
          <t>F0090, F0166, F0241</t>
        </is>
      </c>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08">
      <c r="A43" s="4" t="inlineStr">
        <is>
          <t>Robert Zemeckis</t>
        </is>
      </c>
      <c r="B43" s="4" t="n">
        <v>3</v>
      </c>
      <c r="C43" s="4" t="n">
        <v>1985</v>
      </c>
      <c r="D43" s="4" t="n">
        <v>1990</v>
      </c>
      <c r="E43" s="19" t="inlineStr">
        <is>
          <t>Back to the Future, Back to the Future Part II, Back to the Future Part III</t>
        </is>
      </c>
      <c r="F43" s="4" t="inlineStr">
        <is>
          <t>F0033, F0034, F0035</t>
        </is>
      </c>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08">
      <c r="A44" s="4" t="inlineStr">
        <is>
          <t>Sam Raimi</t>
        </is>
      </c>
      <c r="B44" s="4" t="n">
        <v>3</v>
      </c>
      <c r="C44" s="4" t="n">
        <v>2002</v>
      </c>
      <c r="D44" s="4" t="n">
        <v>2007</v>
      </c>
      <c r="E44" s="19" t="inlineStr">
        <is>
          <t>Spider-Man, Spider-Man 2, Spider-Man 3</t>
        </is>
      </c>
      <c r="F44" s="4" t="inlineStr">
        <is>
          <t>F0287, F0288, F0289</t>
        </is>
      </c>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08">
      <c r="A45" s="4" t="inlineStr">
        <is>
          <t>Anthony Russo</t>
        </is>
      </c>
      <c r="B45" s="4" t="n">
        <v>2</v>
      </c>
      <c r="C45" s="4" t="n">
        <v>2018</v>
      </c>
      <c r="D45" s="4" t="n">
        <v>2019</v>
      </c>
      <c r="E45" s="19" t="inlineStr">
        <is>
          <t>Avengers: Infinity War, Avengers: Endgame</t>
        </is>
      </c>
      <c r="F45" s="4" t="inlineStr">
        <is>
          <t>F0030, F0031</t>
        </is>
      </c>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08">
      <c r="A46" s="4" t="inlineStr">
        <is>
          <t>Barry Sonnenfeld</t>
        </is>
      </c>
      <c r="B46" s="4" t="n">
        <v>2</v>
      </c>
      <c r="C46" s="4" t="n">
        <v>1997</v>
      </c>
      <c r="D46" s="4" t="n">
        <v>2012</v>
      </c>
      <c r="E46" s="19" t="inlineStr">
        <is>
          <t>Men in Black, Men in Black 3</t>
        </is>
      </c>
      <c r="F46" s="4" t="inlineStr">
        <is>
          <t>F0218, F0219</t>
        </is>
      </c>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08">
      <c r="A47" s="4" t="inlineStr">
        <is>
          <t>Chris Columbus</t>
        </is>
      </c>
      <c r="B47" s="4" t="n">
        <v>2</v>
      </c>
      <c r="C47" s="4" t="n">
        <v>2001</v>
      </c>
      <c r="D47" s="4" t="n">
        <v>2002</v>
      </c>
      <c r="E47" s="19" t="inlineStr">
        <is>
          <t>Harry Potter and the Philosopher's Stone, Harry Potter and the Chamber of Secrets</t>
        </is>
      </c>
      <c r="F47" s="4" t="inlineStr">
        <is>
          <t>F0137, F0138</t>
        </is>
      </c>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08">
      <c r="A48" s="4" t="inlineStr">
        <is>
          <t>Chris Sanders</t>
        </is>
      </c>
      <c r="B48" s="4" t="n">
        <v>2</v>
      </c>
      <c r="C48" s="4" t="n">
        <v>2010</v>
      </c>
      <c r="D48" s="4" t="n">
        <v>2013</v>
      </c>
      <c r="E48" s="19" t="inlineStr">
        <is>
          <t>The Croods, How to Train Your Dragon</t>
        </is>
      </c>
      <c r="F48" s="4" t="inlineStr">
        <is>
          <t>F0075, F0154</t>
        </is>
      </c>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08">
      <c r="A49" s="4" t="inlineStr">
        <is>
          <t>Colin Trevorrow</t>
        </is>
      </c>
      <c r="B49" s="4" t="n">
        <v>2</v>
      </c>
      <c r="C49" s="4" t="n">
        <v>2015</v>
      </c>
      <c r="D49" s="4" t="n">
        <v>2022</v>
      </c>
      <c r="E49" s="19" t="inlineStr">
        <is>
          <t>Jurassic World, Jurassic World Dominion</t>
        </is>
      </c>
      <c r="F49" s="4" t="inlineStr">
        <is>
          <t>F0179, F0181</t>
        </is>
      </c>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08">
      <c r="A50" s="4" t="inlineStr">
        <is>
          <t>Dean DeBlois</t>
        </is>
      </c>
      <c r="B50" s="4" t="n">
        <v>2</v>
      </c>
      <c r="C50" s="4" t="n">
        <v>2010</v>
      </c>
      <c r="D50" s="4" t="n">
        <v>2014</v>
      </c>
      <c r="E50" s="19" t="inlineStr">
        <is>
          <t>How to Train Your Dragon, How to Train Your Dragon 2</t>
        </is>
      </c>
      <c r="F50" s="4" t="inlineStr">
        <is>
          <t>F0154, F0155</t>
        </is>
      </c>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08">
      <c r="A51" s="4" t="inlineStr">
        <is>
          <t>Eric Brevig</t>
        </is>
      </c>
      <c r="B51" s="4" t="n">
        <v>2</v>
      </c>
      <c r="C51" s="4" t="n">
        <v>2008</v>
      </c>
      <c r="D51" s="4" t="n">
        <v>2010</v>
      </c>
      <c r="E51" s="19" t="inlineStr">
        <is>
          <t>Journey to the Center of the Earth, Yogi Bear</t>
        </is>
      </c>
      <c r="F51" s="4" t="inlineStr">
        <is>
          <t>F0174, F0348</t>
        </is>
      </c>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08">
      <c r="A52" s="4" t="inlineStr">
        <is>
          <t>Ethan Coen</t>
        </is>
      </c>
      <c r="B52" s="4" t="n">
        <v>2</v>
      </c>
      <c r="C52" s="4" t="n">
        <v>1998</v>
      </c>
      <c r="D52" s="4" t="n">
        <v>2010</v>
      </c>
      <c r="E52" s="19" t="inlineStr">
        <is>
          <t>The Big Lebowski, True Grit</t>
        </is>
      </c>
      <c r="F52" s="4" t="inlineStr">
        <is>
          <t>F0049, F0325</t>
        </is>
      </c>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08">
      <c r="A53" s="4" t="inlineStr">
        <is>
          <t>Gareth Edwards</t>
        </is>
      </c>
      <c r="B53" s="4" t="n">
        <v>3</v>
      </c>
      <c r="C53" s="4" t="n">
        <v>2014</v>
      </c>
      <c r="D53" s="4" t="n">
        <v>2025</v>
      </c>
      <c r="E53" s="19" t="inlineStr">
        <is>
          <t>Godzilla, Jurassic World Rebirth, Rogue one</t>
        </is>
      </c>
      <c r="F53" s="4" t="inlineStr">
        <is>
          <t>F0121, F0182, F0385</t>
        </is>
      </c>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08">
      <c r="A54" s="4" t="inlineStr">
        <is>
          <t>Gavin O'Connor</t>
        </is>
      </c>
      <c r="B54" s="4" t="n">
        <v>2</v>
      </c>
      <c r="C54" s="4" t="n">
        <v>2011</v>
      </c>
      <c r="D54" s="4" t="n">
        <v>2016</v>
      </c>
      <c r="E54" s="19" t="inlineStr">
        <is>
          <t>The Accountant, Warrior</t>
        </is>
      </c>
      <c r="F54" s="4" t="inlineStr">
        <is>
          <t>F0013, F0333</t>
        </is>
      </c>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08">
      <c r="A55" s="4" t="inlineStr">
        <is>
          <t>Greg Mottola</t>
        </is>
      </c>
      <c r="B55" s="4" t="n">
        <v>2</v>
      </c>
      <c r="C55" s="4" t="n">
        <v>2007</v>
      </c>
      <c r="D55" s="4" t="n">
        <v>2011</v>
      </c>
      <c r="E55" s="19" t="inlineStr">
        <is>
          <t>Paul, Superbad</t>
        </is>
      </c>
      <c r="F55" s="4" t="inlineStr">
        <is>
          <t>F0245, F0303</t>
        </is>
      </c>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08">
      <c r="A56" s="4" t="inlineStr">
        <is>
          <t>James Cameron</t>
        </is>
      </c>
      <c r="B56" s="4" t="n">
        <v>3</v>
      </c>
      <c r="C56" s="4" t="n">
        <v>1986</v>
      </c>
      <c r="D56" s="4" t="n">
        <v>2022</v>
      </c>
      <c r="E56" s="19" t="inlineStr">
        <is>
          <t>Aliens, Avatar, avatar way of water</t>
        </is>
      </c>
      <c r="F56" s="4" t="inlineStr">
        <is>
          <t>F0016, F0028, F0364</t>
        </is>
      </c>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08">
      <c r="A57" s="4" t="inlineStr">
        <is>
          <t>James Mangold</t>
        </is>
      </c>
      <c r="B57" s="4" t="n">
        <v>3</v>
      </c>
      <c r="C57" s="4" t="n">
        <v>2013</v>
      </c>
      <c r="D57" s="4" t="n">
        <v>2019</v>
      </c>
      <c r="E57" s="19" t="inlineStr">
        <is>
          <t>Logan, The Wolverine, Le Mans ‘66</t>
        </is>
      </c>
      <c r="F57" s="4" t="inlineStr">
        <is>
          <t>F0201, F0347, F0393</t>
        </is>
      </c>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08">
      <c r="A58" s="4" t="inlineStr">
        <is>
          <t>Joe Russo</t>
        </is>
      </c>
      <c r="B58" s="4" t="n">
        <v>2</v>
      </c>
      <c r="C58" s="4" t="n">
        <v>2018</v>
      </c>
      <c r="D58" s="4" t="n">
        <v>2019</v>
      </c>
      <c r="E58" s="19" t="inlineStr">
        <is>
          <t>Avengers: Infinity War, Avengers: Endgame</t>
        </is>
      </c>
      <c r="F58" s="4" t="inlineStr">
        <is>
          <t>F0030, F0031</t>
        </is>
      </c>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08">
      <c r="A59" s="4" t="inlineStr">
        <is>
          <t>Joel Coen</t>
        </is>
      </c>
      <c r="B59" s="4" t="n">
        <v>2</v>
      </c>
      <c r="C59" s="4" t="n">
        <v>1998</v>
      </c>
      <c r="D59" s="4" t="n">
        <v>2010</v>
      </c>
      <c r="E59" s="19" t="inlineStr">
        <is>
          <t>The Big Lebowski, True Grit</t>
        </is>
      </c>
      <c r="F59" s="4" t="inlineStr">
        <is>
          <t>F0049, F0325</t>
        </is>
      </c>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08">
      <c r="A60" s="4" t="inlineStr">
        <is>
          <t>Jonathan Liebesman</t>
        </is>
      </c>
      <c r="B60" s="4" t="n">
        <v>2</v>
      </c>
      <c r="C60" s="4" t="n">
        <v>2011</v>
      </c>
      <c r="D60" s="4" t="n">
        <v>2014</v>
      </c>
      <c r="E60" s="19" t="inlineStr">
        <is>
          <t>Battle: Los Angeles, Teenage Mutant Ninja Turtles</t>
        </is>
      </c>
      <c r="F60" s="4" t="inlineStr">
        <is>
          <t>F0046, F0309</t>
        </is>
      </c>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08">
      <c r="A61" s="4" t="inlineStr">
        <is>
          <t>Joseph Kosinski</t>
        </is>
      </c>
      <c r="B61" s="4" t="n">
        <v>2</v>
      </c>
      <c r="C61" s="4" t="n">
        <v>2013</v>
      </c>
      <c r="D61" s="4" t="n">
        <v>2025</v>
      </c>
      <c r="E61" s="19" t="inlineStr">
        <is>
          <t>F1, Oblivion</t>
        </is>
      </c>
      <c r="F61" s="4" t="inlineStr">
        <is>
          <t>F0098, F0239</t>
        </is>
      </c>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08">
      <c r="A62" s="4" t="inlineStr">
        <is>
          <t>Kyle Balda</t>
        </is>
      </c>
      <c r="B62" s="4" t="n">
        <v>2</v>
      </c>
      <c r="C62" s="4" t="n">
        <v>2015</v>
      </c>
      <c r="D62" s="4" t="n">
        <v>2017</v>
      </c>
      <c r="E62" s="19" t="inlineStr">
        <is>
          <t>Despicable Me 3, Minions</t>
        </is>
      </c>
      <c r="F62" s="4" t="inlineStr">
        <is>
          <t>F0084, F0220</t>
        </is>
      </c>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08">
      <c r="A63" s="4" t="inlineStr">
        <is>
          <t>Larry Charles</t>
        </is>
      </c>
      <c r="B63" s="4" t="n">
        <v>2</v>
      </c>
      <c r="C63" s="4" t="n">
        <v>2009</v>
      </c>
      <c r="D63" s="4" t="n">
        <v>2012</v>
      </c>
      <c r="E63" s="19" t="inlineStr">
        <is>
          <t>Brüno, The Dictator</t>
        </is>
      </c>
      <c r="F63" s="4" t="inlineStr">
        <is>
          <t>F0059, F0085</t>
        </is>
      </c>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08">
      <c r="A64" s="4" t="inlineStr">
        <is>
          <t>Len Wiseman</t>
        </is>
      </c>
      <c r="B64" s="4" t="n">
        <v>4</v>
      </c>
      <c r="C64" s="4" t="n">
        <v>2003</v>
      </c>
      <c r="D64" s="4" t="n">
        <v>2007</v>
      </c>
      <c r="E64" s="19" t="inlineStr">
        <is>
          <t xml:space="preserve">Live Free or Die Hard, Underworld: Evolution, Underworld, Underworld </t>
        </is>
      </c>
      <c r="F64" s="4" t="inlineStr">
        <is>
          <t>F0086, F0326, F0389</t>
        </is>
      </c>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08">
      <c r="A65" s="4" t="inlineStr">
        <is>
          <t>Martin Campbell</t>
        </is>
      </c>
      <c r="B65" s="4" t="n">
        <v>2</v>
      </c>
      <c r="C65" s="4" t="n">
        <v>2006</v>
      </c>
      <c r="D65" s="4" t="n">
        <v>2011</v>
      </c>
      <c r="E65" s="19" t="inlineStr">
        <is>
          <t>Casino Royale, Green Lantern</t>
        </is>
      </c>
      <c r="F65" s="4" t="inlineStr">
        <is>
          <t>F0001, F0128</t>
        </is>
      </c>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08">
      <c r="A66" s="4" t="inlineStr">
        <is>
          <t>Matthew Vaughn</t>
        </is>
      </c>
      <c r="B66" s="4" t="n">
        <v>2</v>
      </c>
      <c r="C66" s="4" t="n">
        <v>2010</v>
      </c>
      <c r="D66" s="4" t="n">
        <v>2011</v>
      </c>
      <c r="E66" s="19" t="inlineStr">
        <is>
          <t>Kick-Ass, X-Men: First Class</t>
        </is>
      </c>
      <c r="F66" s="4" t="inlineStr">
        <is>
          <t>F0185, F0340</t>
        </is>
      </c>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08">
      <c r="A67" s="4" t="inlineStr">
        <is>
          <t>Neill Blomkamp</t>
        </is>
      </c>
      <c r="B67" s="4" t="n">
        <v>2</v>
      </c>
      <c r="C67" s="4" t="n">
        <v>2009</v>
      </c>
      <c r="D67" s="4" t="n">
        <v>2013</v>
      </c>
      <c r="E67" s="19" t="inlineStr">
        <is>
          <t>District 9, Elysium</t>
        </is>
      </c>
      <c r="F67" s="4" t="inlineStr">
        <is>
          <t>F0088, F0093</t>
        </is>
      </c>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08">
      <c r="A68" s="4" t="inlineStr">
        <is>
          <t>Patrick Hughes</t>
        </is>
      </c>
      <c r="B68" s="4" t="n">
        <v>2</v>
      </c>
      <c r="C68" s="4" t="n">
        <v>2014</v>
      </c>
      <c r="D68" s="4" t="n">
        <v>2017</v>
      </c>
      <c r="E68" s="19" t="inlineStr">
        <is>
          <t>The Expendables 3, The Hitman's Bodyguard</t>
        </is>
      </c>
      <c r="F68" s="4" t="inlineStr">
        <is>
          <t>F0097, F0149</t>
        </is>
      </c>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08">
      <c r="A69" s="4" t="inlineStr">
        <is>
          <t>Paul King</t>
        </is>
      </c>
      <c r="B69" s="4" t="n">
        <v>2</v>
      </c>
      <c r="C69" s="4" t="n">
        <v>2014</v>
      </c>
      <c r="D69" s="4" t="n">
        <v>2023</v>
      </c>
      <c r="E69" s="19" t="inlineStr">
        <is>
          <t>Paddington, Wonka</t>
        </is>
      </c>
      <c r="F69" s="4" t="inlineStr">
        <is>
          <t>F0244, F0338</t>
        </is>
      </c>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08">
      <c r="A70" s="4" t="inlineStr">
        <is>
          <t>Rich Moore</t>
        </is>
      </c>
      <c r="B70" s="4" t="n">
        <v>2</v>
      </c>
      <c r="C70" s="4" t="n">
        <v>2012</v>
      </c>
      <c r="D70" s="4" t="n">
        <v>2018</v>
      </c>
      <c r="E70" s="19" t="inlineStr">
        <is>
          <t>Wreck-It Ralph, Ralph Breaks the Internet</t>
        </is>
      </c>
      <c r="F70" s="4" t="inlineStr">
        <is>
          <t>F0336, F0337</t>
        </is>
      </c>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08">
      <c r="A71" s="4" t="inlineStr">
        <is>
          <t>Roland Emmerich</t>
        </is>
      </c>
      <c r="B71" s="4" t="n">
        <v>2</v>
      </c>
      <c r="C71" s="4" t="n">
        <v>2009</v>
      </c>
      <c r="D71" s="4" t="n">
        <v>2013</v>
      </c>
      <c r="E71" s="19" t="inlineStr">
        <is>
          <t>2012, White House Down</t>
        </is>
      </c>
      <c r="F71" s="4" t="inlineStr">
        <is>
          <t>F0006, F0335</t>
        </is>
      </c>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08">
      <c r="A72" s="4" t="inlineStr">
        <is>
          <t>Ron Howard</t>
        </is>
      </c>
      <c r="B72" s="4" t="n">
        <v>3</v>
      </c>
      <c r="C72" s="4" t="n">
        <v>2009</v>
      </c>
      <c r="D72" s="4" t="n">
        <v>2018</v>
      </c>
      <c r="E72" s="19" t="inlineStr">
        <is>
          <t>Angels &amp; Demons, Rush, Solo a star wars story</t>
        </is>
      </c>
      <c r="F72" s="4" t="inlineStr">
        <is>
          <t>F0023, F0270, F0386</t>
        </is>
      </c>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08">
      <c r="A73" s="4" t="inlineStr">
        <is>
          <t>Sam Mendes</t>
        </is>
      </c>
      <c r="B73" s="4" t="n">
        <v>3</v>
      </c>
      <c r="C73" s="4" t="n">
        <v>2012</v>
      </c>
      <c r="D73" s="4" t="n">
        <v>2019</v>
      </c>
      <c r="E73" s="19" t="inlineStr">
        <is>
          <t>Skyfall, Spectre, 1917</t>
        </is>
      </c>
      <c r="F73" s="4" t="inlineStr">
        <is>
          <t>F0003, F0004, F0356</t>
        </is>
      </c>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08">
      <c r="A74" s="4" t="inlineStr">
        <is>
          <t>Seth MacFarlane</t>
        </is>
      </c>
      <c r="B74" s="4" t="n">
        <v>2</v>
      </c>
      <c r="C74" s="4" t="n">
        <v>2012</v>
      </c>
      <c r="D74" s="4" t="n">
        <v>2014</v>
      </c>
      <c r="E74" s="19" t="inlineStr">
        <is>
          <t>A Million Ways to Die in the West, Ted</t>
        </is>
      </c>
      <c r="F74" s="4" t="inlineStr">
        <is>
          <t>F0021, F0308</t>
        </is>
      </c>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08">
      <c r="A75" s="4" t="inlineStr">
        <is>
          <t>Shane Black</t>
        </is>
      </c>
      <c r="B75" s="4" t="n">
        <v>2</v>
      </c>
      <c r="C75" s="4" t="n">
        <v>2013</v>
      </c>
      <c r="D75" s="4" t="n">
        <v>2016</v>
      </c>
      <c r="E75" s="19" t="inlineStr">
        <is>
          <t>Iron Man 3, The Nice Guys</t>
        </is>
      </c>
      <c r="F75" s="4" t="inlineStr">
        <is>
          <t>F0169, F0235</t>
        </is>
      </c>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08">
      <c r="A76" s="4" t="inlineStr">
        <is>
          <t>Shawn Levy</t>
        </is>
      </c>
      <c r="B76" s="4" t="n">
        <v>3</v>
      </c>
      <c r="C76" s="4" t="n">
        <v>2006</v>
      </c>
      <c r="D76" s="4" t="n">
        <v>2024</v>
      </c>
      <c r="E76" s="19" t="inlineStr">
        <is>
          <t>Deadpool &amp; Wolverine, Night at the Museum: Battle of the Smithsonian, night at the museum</t>
        </is>
      </c>
      <c r="F76" s="4" t="inlineStr">
        <is>
          <t>F0078, F0236, F0377</t>
        </is>
      </c>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08">
      <c r="A77" s="4" t="inlineStr">
        <is>
          <t>Simon West</t>
        </is>
      </c>
      <c r="B77" s="4" t="n">
        <v>2</v>
      </c>
      <c r="C77" s="4" t="n">
        <v>1997</v>
      </c>
      <c r="D77" s="4" t="n">
        <v>2012</v>
      </c>
      <c r="E77" s="19" t="inlineStr">
        <is>
          <t>Con Air, The Expendables 2</t>
        </is>
      </c>
      <c r="F77" s="4" t="inlineStr">
        <is>
          <t>F0068, F0096</t>
        </is>
      </c>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08">
      <c r="A78" s="4" t="inlineStr">
        <is>
          <t>Sylvester Stallone</t>
        </is>
      </c>
      <c r="B78" s="4" t="n">
        <v>2</v>
      </c>
      <c r="C78" s="4" t="n">
        <v>2008</v>
      </c>
      <c r="D78" s="4" t="n">
        <v>2010</v>
      </c>
      <c r="E78" s="19" t="inlineStr">
        <is>
          <t>The Expendables, Rambo</t>
        </is>
      </c>
      <c r="F78" s="4" t="inlineStr">
        <is>
          <t>F0095, F0261</t>
        </is>
      </c>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08">
      <c r="A79" s="4" t="inlineStr">
        <is>
          <t>Tom Hooper</t>
        </is>
      </c>
      <c r="B79" s="4" t="n">
        <v>2</v>
      </c>
      <c r="C79" s="4" t="n">
        <v>2010</v>
      </c>
      <c r="D79" s="4" t="n">
        <v>2012</v>
      </c>
      <c r="E79" s="19" t="inlineStr">
        <is>
          <t>The King's Speech, Les Misérables</t>
        </is>
      </c>
      <c r="F79" s="4" t="inlineStr">
        <is>
          <t>F0189, F0199</t>
        </is>
      </c>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08">
      <c r="A80" s="4" t="inlineStr">
        <is>
          <t>Wes Ball</t>
        </is>
      </c>
      <c r="B80" s="4" t="n">
        <v>2</v>
      </c>
      <c r="C80" s="4" t="n">
        <v>2014</v>
      </c>
      <c r="D80" s="4" t="n">
        <v>2024</v>
      </c>
      <c r="E80" s="19" t="inlineStr">
        <is>
          <t>The Maze Runner, Kingdom of the Planet of the Apes</t>
        </is>
      </c>
      <c r="F80" s="4" t="inlineStr">
        <is>
          <t>F0217, F0256</t>
        </is>
      </c>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08">
      <c r="A81" s="4" t="inlineStr">
        <is>
          <t>Aaron Harvey</t>
        </is>
      </c>
      <c r="B81" s="4" t="n">
        <v>1</v>
      </c>
      <c r="C81" s="4" t="n">
        <v>2011</v>
      </c>
      <c r="D81" s="4" t="n">
        <v>2011</v>
      </c>
      <c r="E81" s="19" t="inlineStr">
        <is>
          <t>Catch.44</t>
        </is>
      </c>
      <c r="F81" s="4" t="inlineStr">
        <is>
          <t>F0063</t>
        </is>
      </c>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08">
      <c r="A82" s="4" t="inlineStr">
        <is>
          <t>Aaron Horvath</t>
        </is>
      </c>
      <c r="B82" s="4" t="n">
        <v>1</v>
      </c>
      <c r="C82" s="4" t="n">
        <v>2023</v>
      </c>
      <c r="D82" s="4" t="n">
        <v>2023</v>
      </c>
      <c r="E82" s="19" t="inlineStr">
        <is>
          <t>The Super Mario Bros. Movie</t>
        </is>
      </c>
      <c r="F82" s="4" t="inlineStr">
        <is>
          <t>F0212</t>
        </is>
      </c>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08">
      <c r="A83" s="4" t="inlineStr">
        <is>
          <t>Adam Deacon</t>
        </is>
      </c>
      <c r="B83" s="4" t="n">
        <v>1</v>
      </c>
      <c r="C83" s="4" t="n">
        <v>2011</v>
      </c>
      <c r="D83" s="4" t="n">
        <v>2011</v>
      </c>
      <c r="E83" s="19" t="inlineStr">
        <is>
          <t>Anuvahood</t>
        </is>
      </c>
      <c r="F83" s="4" t="inlineStr">
        <is>
          <t>F0024</t>
        </is>
      </c>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08">
      <c r="A84" s="4" t="inlineStr">
        <is>
          <t>Adam McKay</t>
        </is>
      </c>
      <c r="B84" s="4" t="n">
        <v>2</v>
      </c>
      <c r="C84" s="4" t="n">
        <v>2004</v>
      </c>
      <c r="D84" s="4" t="n">
        <v>2013</v>
      </c>
      <c r="E84" s="19" t="inlineStr">
        <is>
          <t>Anchorman: The Legend of Ron Burgundy, Anchorman 2</t>
        </is>
      </c>
      <c r="F84" s="4" t="inlineStr">
        <is>
          <t>F0022, F0357</t>
        </is>
      </c>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08">
      <c r="A85" s="4" t="inlineStr">
        <is>
          <t>Adam Wingard</t>
        </is>
      </c>
      <c r="B85" s="4" t="n">
        <v>2</v>
      </c>
      <c r="C85" s="4" t="n">
        <v>2021</v>
      </c>
      <c r="D85" s="4" t="n">
        <v>2024</v>
      </c>
      <c r="E85" s="19" t="inlineStr">
        <is>
          <t>Godzilla vs. Kong, godzilla x kong  the new empire</t>
        </is>
      </c>
      <c r="F85" s="4" t="inlineStr">
        <is>
          <t>F0123, F0372</t>
        </is>
      </c>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08">
      <c r="A86" s="4" t="inlineStr">
        <is>
          <t>Alfonso Cuarón</t>
        </is>
      </c>
      <c r="B86" s="4" t="n">
        <v>1</v>
      </c>
      <c r="C86" s="4" t="n">
        <v>2004</v>
      </c>
      <c r="D86" s="4" t="n">
        <v>2004</v>
      </c>
      <c r="E86" s="19" t="inlineStr">
        <is>
          <t>Harry Potter and the Prisoner of Azkaban</t>
        </is>
      </c>
      <c r="F86" s="4" t="inlineStr">
        <is>
          <t>F0139</t>
        </is>
      </c>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08">
      <c r="A87" s="4" t="inlineStr">
        <is>
          <t>Andrew Dominik</t>
        </is>
      </c>
      <c r="B87" s="4" t="n">
        <v>1</v>
      </c>
      <c r="C87" s="4" t="n">
        <v>2012</v>
      </c>
      <c r="D87" s="4" t="n">
        <v>2012</v>
      </c>
      <c r="E87" s="19" t="inlineStr">
        <is>
          <t>Killing Them Softly</t>
        </is>
      </c>
      <c r="F87" s="4" t="inlineStr">
        <is>
          <t>F0187</t>
        </is>
      </c>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08">
      <c r="A88" s="4" t="inlineStr">
        <is>
          <t>Angus MacLane</t>
        </is>
      </c>
      <c r="B88" s="4" t="n">
        <v>1</v>
      </c>
      <c r="C88" s="4" t="n">
        <v>2016</v>
      </c>
      <c r="D88" s="4" t="n">
        <v>2016</v>
      </c>
      <c r="E88" s="19" t="inlineStr">
        <is>
          <t>Finding Dory</t>
        </is>
      </c>
      <c r="F88" s="4" t="inlineStr">
        <is>
          <t>F0113</t>
        </is>
      </c>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08">
      <c r="A89" s="4" t="inlineStr">
        <is>
          <t>Asger Leth</t>
        </is>
      </c>
      <c r="B89" s="4" t="n">
        <v>1</v>
      </c>
      <c r="C89" s="4" t="n">
        <v>2012</v>
      </c>
      <c r="D89" s="4" t="n">
        <v>2012</v>
      </c>
      <c r="E89" s="19" t="inlineStr">
        <is>
          <t>Man on a Ledge</t>
        </is>
      </c>
      <c r="F89" s="4" t="inlineStr">
        <is>
          <t>F0210</t>
        </is>
      </c>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08">
      <c r="A90" s="4" t="inlineStr">
        <is>
          <t>Ash Brannon</t>
        </is>
      </c>
      <c r="B90" s="4" t="n">
        <v>1</v>
      </c>
      <c r="C90" s="4" t="n">
        <v>1999</v>
      </c>
      <c r="D90" s="4" t="n">
        <v>1999</v>
      </c>
      <c r="E90" s="19" t="inlineStr">
        <is>
          <t>Toy Story 2</t>
        </is>
      </c>
      <c r="F90" s="4" t="inlineStr">
        <is>
          <t>F0313</t>
        </is>
      </c>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08">
      <c r="A91" s="4" t="inlineStr">
        <is>
          <t>Asif Kapadia</t>
        </is>
      </c>
      <c r="B91" s="4" t="n">
        <v>1</v>
      </c>
      <c r="C91" s="4" t="n">
        <v>2010</v>
      </c>
      <c r="D91" s="4" t="n">
        <v>2010</v>
      </c>
      <c r="E91" s="19" t="inlineStr">
        <is>
          <t>Senna</t>
        </is>
      </c>
      <c r="F91" s="4" t="inlineStr">
        <is>
          <t>F0275</t>
        </is>
      </c>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08">
      <c r="A92" s="4" t="inlineStr">
        <is>
          <t>Baz Luhrmann</t>
        </is>
      </c>
      <c r="B92" s="4" t="n">
        <v>1</v>
      </c>
      <c r="C92" s="4" t="n">
        <v>2013</v>
      </c>
      <c r="D92" s="4" t="n">
        <v>2013</v>
      </c>
      <c r="E92" s="19" t="inlineStr">
        <is>
          <t>The Great Gatsby</t>
        </is>
      </c>
      <c r="F92" s="4" t="inlineStr">
        <is>
          <t>F0126</t>
        </is>
      </c>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08">
      <c r="A93" s="4" t="inlineStr">
        <is>
          <t>Ben Affleck</t>
        </is>
      </c>
      <c r="B93" s="4" t="n">
        <v>1</v>
      </c>
      <c r="C93" s="4" t="n">
        <v>2012</v>
      </c>
      <c r="D93" s="4" t="n">
        <v>2012</v>
      </c>
      <c r="E93" s="19" t="inlineStr">
        <is>
          <t>Argo</t>
        </is>
      </c>
      <c r="F93" s="4" t="inlineStr">
        <is>
          <t>F0025</t>
        </is>
      </c>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08">
      <c r="A94" s="4" t="inlineStr">
        <is>
          <t>Ben Palmer</t>
        </is>
      </c>
      <c r="B94" s="4" t="n">
        <v>1</v>
      </c>
      <c r="C94" s="4" t="n">
        <v>2011</v>
      </c>
      <c r="D94" s="4" t="n">
        <v>2011</v>
      </c>
      <c r="E94" s="19" t="inlineStr">
        <is>
          <t>The Inbetweeners Movie</t>
        </is>
      </c>
      <c r="F94" s="4" t="inlineStr">
        <is>
          <t>F0163</t>
        </is>
      </c>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08">
      <c r="A95" s="4" t="inlineStr">
        <is>
          <t>Ben Sharpsteen</t>
        </is>
      </c>
      <c r="B95" s="4" t="n">
        <v>1</v>
      </c>
      <c r="C95" s="4" t="n">
        <v>1940</v>
      </c>
      <c r="D95" s="4" t="n">
        <v>1940</v>
      </c>
      <c r="E95" s="19" t="inlineStr">
        <is>
          <t>Pinocchio</t>
        </is>
      </c>
      <c r="F95" s="4" t="inlineStr">
        <is>
          <t>F0248</t>
        </is>
      </c>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08">
      <c r="A96" s="4" t="inlineStr">
        <is>
          <t>Ben Stiller</t>
        </is>
      </c>
      <c r="B96" s="4" t="n">
        <v>1</v>
      </c>
      <c r="C96" s="4" t="n">
        <v>2008</v>
      </c>
      <c r="D96" s="4" t="n">
        <v>2008</v>
      </c>
      <c r="E96" s="19" t="inlineStr">
        <is>
          <t>Tropic Thunder</t>
        </is>
      </c>
      <c r="F96" s="4" t="inlineStr">
        <is>
          <t>F0324</t>
        </is>
      </c>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08">
      <c r="A97" s="4" t="inlineStr">
        <is>
          <t>Bill Roberts</t>
        </is>
      </c>
      <c r="B97" s="4" t="n">
        <v>1</v>
      </c>
      <c r="C97" s="4" t="n">
        <v>1940</v>
      </c>
      <c r="D97" s="4" t="n">
        <v>1940</v>
      </c>
      <c r="E97" s="19" t="inlineStr">
        <is>
          <t>Pinocchio</t>
        </is>
      </c>
      <c r="F97" s="4" t="inlineStr">
        <is>
          <t>F0248</t>
        </is>
      </c>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08">
      <c r="A98" s="4" t="inlineStr">
        <is>
          <t>Björn Stein</t>
        </is>
      </c>
      <c r="B98" s="4" t="n">
        <v>1</v>
      </c>
      <c r="C98" s="4" t="n">
        <v>2012</v>
      </c>
      <c r="D98" s="4" t="n">
        <v>2012</v>
      </c>
      <c r="E98" s="19" t="inlineStr">
        <is>
          <t>Underworld: Awakening</t>
        </is>
      </c>
      <c r="F98" s="4" t="inlineStr">
        <is>
          <t>F0328</t>
        </is>
      </c>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08">
      <c r="A99" s="4" t="inlineStr">
        <is>
          <t>Bob Peterson</t>
        </is>
      </c>
      <c r="B99" s="4" t="n">
        <v>1</v>
      </c>
      <c r="C99" s="4" t="n">
        <v>2009</v>
      </c>
      <c r="D99" s="4" t="n">
        <v>2009</v>
      </c>
      <c r="E99" s="19" t="inlineStr">
        <is>
          <t>Up</t>
        </is>
      </c>
      <c r="F99" s="4" t="inlineStr">
        <is>
          <t>F0330</t>
        </is>
      </c>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08">
      <c r="A100" s="4" t="inlineStr">
        <is>
          <t>Bong Joon Ho</t>
        </is>
      </c>
      <c r="B100" s="4" t="n">
        <v>2</v>
      </c>
      <c r="C100" s="4" t="n">
        <v>2013</v>
      </c>
      <c r="D100" s="4" t="n">
        <v>2025</v>
      </c>
      <c r="E100" s="19" t="inlineStr">
        <is>
          <t>Snowpiercer, mickey 17</t>
        </is>
      </c>
      <c r="F100" s="4" t="inlineStr">
        <is>
          <t>F0283, F0376</t>
        </is>
      </c>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08">
      <c r="A101" s="4" t="inlineStr">
        <is>
          <t>Brad Bird</t>
        </is>
      </c>
      <c r="B101" s="4" t="n">
        <v>1</v>
      </c>
      <c r="C101" s="4" t="n">
        <v>2011</v>
      </c>
      <c r="D101" s="4" t="n">
        <v>2011</v>
      </c>
      <c r="E101" s="19" t="inlineStr">
        <is>
          <t>Mission: Impossible - Ghost Protocol</t>
        </is>
      </c>
      <c r="F101" s="4" t="inlineStr">
        <is>
          <t>F0224</t>
        </is>
      </c>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08">
      <c r="A102" s="4" t="inlineStr">
        <is>
          <t>Brandon Vietti</t>
        </is>
      </c>
      <c r="B102" s="4" t="n">
        <v>1</v>
      </c>
      <c r="C102" s="4" t="n">
        <v>2015</v>
      </c>
      <c r="D102" s="4" t="n">
        <v>2015</v>
      </c>
      <c r="E102" s="19" t="inlineStr">
        <is>
          <t>Lego DC Comics Super Heroes: Justice League vs. Bizarro League</t>
        </is>
      </c>
      <c r="F102" s="4" t="inlineStr">
        <is>
          <t>F0197</t>
        </is>
      </c>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08">
      <c r="A103" s="4" t="inlineStr">
        <is>
          <t>Brian De Palma</t>
        </is>
      </c>
      <c r="B103" s="4" t="n">
        <v>1</v>
      </c>
      <c r="C103" s="4" t="n">
        <v>1996</v>
      </c>
      <c r="D103" s="4" t="n">
        <v>1996</v>
      </c>
      <c r="E103" s="19" t="inlineStr">
        <is>
          <t>Mission: Impossible</t>
        </is>
      </c>
      <c r="F103" s="4" t="inlineStr">
        <is>
          <t>F0221</t>
        </is>
      </c>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08">
      <c r="A104" s="4" t="inlineStr">
        <is>
          <t>Camille Delamarre</t>
        </is>
      </c>
      <c r="B104" s="4" t="n">
        <v>1</v>
      </c>
      <c r="C104" s="4" t="n">
        <v>2015</v>
      </c>
      <c r="D104" s="4" t="n">
        <v>2015</v>
      </c>
      <c r="E104" s="19" t="inlineStr">
        <is>
          <t>The Transporter Refueled</t>
        </is>
      </c>
      <c r="F104" s="4" t="inlineStr">
        <is>
          <t>F0323</t>
        </is>
      </c>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08">
      <c r="A105" s="4" t="inlineStr">
        <is>
          <t>Cary Joji Fukunaga</t>
        </is>
      </c>
      <c r="B105" s="4" t="n">
        <v>1</v>
      </c>
      <c r="C105" s="4" t="n">
        <v>2021</v>
      </c>
      <c r="D105" s="4" t="n">
        <v>2021</v>
      </c>
      <c r="E105" s="19" t="inlineStr">
        <is>
          <t>No Time to Die</t>
        </is>
      </c>
      <c r="F105" s="4" t="inlineStr">
        <is>
          <t>F0005</t>
        </is>
      </c>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08">
      <c r="A106" s="4" t="inlineStr">
        <is>
          <t>Chris Buck</t>
        </is>
      </c>
      <c r="B106" s="4" t="n">
        <v>1</v>
      </c>
      <c r="C106" s="4" t="n">
        <v>2013</v>
      </c>
      <c r="D106" s="4" t="n">
        <v>2013</v>
      </c>
      <c r="E106" s="19" t="inlineStr">
        <is>
          <t>Frozen</t>
        </is>
      </c>
      <c r="F106" s="4" t="inlineStr">
        <is>
          <t>F0116</t>
        </is>
      </c>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08">
      <c r="A107" s="4" t="inlineStr">
        <is>
          <t>Chris McKay</t>
        </is>
      </c>
      <c r="B107" s="4" t="n">
        <v>1</v>
      </c>
      <c r="C107" s="4" t="n">
        <v>2017</v>
      </c>
      <c r="D107" s="4" t="n">
        <v>2017</v>
      </c>
      <c r="E107" s="19" t="inlineStr">
        <is>
          <t>The Lego Batman Movie</t>
        </is>
      </c>
      <c r="F107" s="4" t="inlineStr">
        <is>
          <t>F0193</t>
        </is>
      </c>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08">
      <c r="A108" s="4" t="inlineStr">
        <is>
          <t>Chris Williams</t>
        </is>
      </c>
      <c r="B108" s="4" t="n">
        <v>1</v>
      </c>
      <c r="C108" s="4" t="n">
        <v>2014</v>
      </c>
      <c r="D108" s="4" t="n">
        <v>2014</v>
      </c>
      <c r="E108" s="19" t="inlineStr">
        <is>
          <t>Big Hero 6</t>
        </is>
      </c>
      <c r="F108" s="4" t="inlineStr">
        <is>
          <t>F0048</t>
        </is>
      </c>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08">
      <c r="A109" s="4" t="inlineStr">
        <is>
          <t>Christophe Lourdelet</t>
        </is>
      </c>
      <c r="B109" s="4" t="n">
        <v>1</v>
      </c>
      <c r="C109" s="4" t="n">
        <v>2016</v>
      </c>
      <c r="D109" s="4" t="n">
        <v>2016</v>
      </c>
      <c r="E109" s="19" t="inlineStr">
        <is>
          <t>Sing</t>
        </is>
      </c>
      <c r="F109" s="4" t="inlineStr">
        <is>
          <t>F0280</t>
        </is>
      </c>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08">
      <c r="A110" s="4" t="inlineStr">
        <is>
          <t>Clint Eastwood</t>
        </is>
      </c>
      <c r="B110" s="4" t="n">
        <v>1</v>
      </c>
      <c r="C110" s="4" t="n">
        <v>2008</v>
      </c>
      <c r="D110" s="4" t="n">
        <v>2008</v>
      </c>
      <c r="E110" s="19" t="inlineStr">
        <is>
          <t>Gran Torino</t>
        </is>
      </c>
      <c r="F110" s="4" t="inlineStr">
        <is>
          <t>F0125</t>
        </is>
      </c>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08">
      <c r="A111" s="4" t="inlineStr">
        <is>
          <t>Cody Cameron</t>
        </is>
      </c>
      <c r="B111" s="4" t="n">
        <v>1</v>
      </c>
      <c r="C111" s="4" t="n">
        <v>2013</v>
      </c>
      <c r="D111" s="4" t="n">
        <v>2013</v>
      </c>
      <c r="E111" s="19" t="inlineStr">
        <is>
          <t>Cloudy with a Chance of Meatballs 2</t>
        </is>
      </c>
      <c r="F111" s="4" t="inlineStr">
        <is>
          <t>F0067</t>
        </is>
      </c>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08">
      <c r="A112" s="4" t="inlineStr">
        <is>
          <t>Damon Beesley</t>
        </is>
      </c>
      <c r="B112" s="4" t="n">
        <v>1</v>
      </c>
      <c r="C112" s="4" t="n">
        <v>2014</v>
      </c>
      <c r="D112" s="4" t="n">
        <v>2014</v>
      </c>
      <c r="E112" s="19" t="inlineStr">
        <is>
          <t>The Inbetweeners 2</t>
        </is>
      </c>
      <c r="F112" s="4" t="inlineStr">
        <is>
          <t>F0164</t>
        </is>
      </c>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08">
      <c r="A113" s="4" t="inlineStr">
        <is>
          <t>Dan Mazer</t>
        </is>
      </c>
      <c r="B113" s="4" t="n">
        <v>1</v>
      </c>
      <c r="C113" s="4" t="n">
        <v>2016</v>
      </c>
      <c r="D113" s="4" t="n">
        <v>2016</v>
      </c>
      <c r="E113" s="19" t="inlineStr">
        <is>
          <t>Dirty Grandpa</t>
        </is>
      </c>
      <c r="F113" s="4" t="inlineStr">
        <is>
          <t>F0087</t>
        </is>
      </c>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08">
      <c r="A114" s="4" t="inlineStr">
        <is>
          <t>Dan Scanlon</t>
        </is>
      </c>
      <c r="B114" s="4" t="n">
        <v>1</v>
      </c>
      <c r="C114" s="4" t="n">
        <v>2013</v>
      </c>
      <c r="D114" s="4" t="n">
        <v>2013</v>
      </c>
      <c r="E114" s="19" t="inlineStr">
        <is>
          <t>Monsters University</t>
        </is>
      </c>
      <c r="F114" s="4" t="inlineStr">
        <is>
          <t>F0230</t>
        </is>
      </c>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08">
      <c r="A115" s="4" t="inlineStr">
        <is>
          <t>Daniel Espinosa</t>
        </is>
      </c>
      <c r="B115" s="4" t="n">
        <v>1</v>
      </c>
      <c r="C115" s="4" t="n">
        <v>2012</v>
      </c>
      <c r="D115" s="4" t="n">
        <v>2012</v>
      </c>
      <c r="E115" s="19" t="inlineStr">
        <is>
          <t>Safe House</t>
        </is>
      </c>
      <c r="F115" s="4" t="inlineStr">
        <is>
          <t>F0272</t>
        </is>
      </c>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08">
      <c r="A116" s="4" t="inlineStr">
        <is>
          <t>Daniel Toland</t>
        </is>
      </c>
      <c r="B116" s="4" t="n">
        <v>1</v>
      </c>
      <c r="C116" s="4" t="n">
        <v>2011</v>
      </c>
      <c r="D116" s="4" t="n">
        <v>2011</v>
      </c>
      <c r="E116" s="19" t="inlineStr">
        <is>
          <t>Anuvahood</t>
        </is>
      </c>
      <c r="F116" s="4" t="inlineStr">
        <is>
          <t>F0024</t>
        </is>
      </c>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08">
      <c r="A117" s="4" t="inlineStr">
        <is>
          <t>Danny Boyle</t>
        </is>
      </c>
      <c r="B117" s="4" t="n">
        <v>1</v>
      </c>
      <c r="C117" s="4" t="n">
        <v>2008</v>
      </c>
      <c r="D117" s="4" t="n">
        <v>2008</v>
      </c>
      <c r="E117" s="19" t="inlineStr">
        <is>
          <t>Slumdog Millionaire</t>
        </is>
      </c>
      <c r="F117" s="4" t="inlineStr">
        <is>
          <t>F0281</t>
        </is>
      </c>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08">
      <c r="A118" s="4" t="inlineStr">
        <is>
          <t>Darren Aronofsky</t>
        </is>
      </c>
      <c r="B118" s="4" t="n">
        <v>1</v>
      </c>
      <c r="C118" s="4" t="n">
        <v>2014</v>
      </c>
      <c r="D118" s="4" t="n">
        <v>2014</v>
      </c>
      <c r="E118" s="19" t="inlineStr">
        <is>
          <t>Noah</t>
        </is>
      </c>
      <c r="F118" s="4" t="inlineStr">
        <is>
          <t>F0238</t>
        </is>
      </c>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08">
      <c r="A119" s="4" t="inlineStr">
        <is>
          <t>David Ayer</t>
        </is>
      </c>
      <c r="B119" s="4" t="n">
        <v>1</v>
      </c>
      <c r="C119" s="4" t="n">
        <v>2014</v>
      </c>
      <c r="D119" s="4" t="n">
        <v>2014</v>
      </c>
      <c r="E119" s="19" t="inlineStr">
        <is>
          <t>Fury</t>
        </is>
      </c>
      <c r="F119" s="4" t="inlineStr">
        <is>
          <t>F0117</t>
        </is>
      </c>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08">
      <c r="A120" s="4" t="inlineStr">
        <is>
          <t>David Gordon Green</t>
        </is>
      </c>
      <c r="B120" s="4" t="n">
        <v>1</v>
      </c>
      <c r="C120" s="4" t="n">
        <v>2008</v>
      </c>
      <c r="D120" s="4" t="n">
        <v>2008</v>
      </c>
      <c r="E120" s="19" t="inlineStr">
        <is>
          <t>Pineapple Express</t>
        </is>
      </c>
      <c r="F120" s="4" t="inlineStr">
        <is>
          <t>F0247</t>
        </is>
      </c>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08">
      <c r="A121" s="4" t="inlineStr">
        <is>
          <t>David O. Russell</t>
        </is>
      </c>
      <c r="B121" s="4" t="n">
        <v>1</v>
      </c>
      <c r="C121" s="4" t="n">
        <v>2013</v>
      </c>
      <c r="D121" s="4" t="n">
        <v>2013</v>
      </c>
      <c r="E121" s="19" t="inlineStr">
        <is>
          <t>American Hustle</t>
        </is>
      </c>
      <c r="F121" s="4" t="inlineStr">
        <is>
          <t>F0020</t>
        </is>
      </c>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08">
      <c r="A122" s="4" t="inlineStr">
        <is>
          <t>David Peers</t>
        </is>
      </c>
      <c r="B122" s="4" t="n">
        <v>1</v>
      </c>
      <c r="C122" s="4" t="n">
        <v>2011</v>
      </c>
      <c r="D122" s="4" t="n">
        <v>2011</v>
      </c>
      <c r="E122" s="19" t="inlineStr">
        <is>
          <t>Happy Feet Two</t>
        </is>
      </c>
      <c r="F122" s="4" t="inlineStr">
        <is>
          <t>F0145</t>
        </is>
      </c>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08">
      <c r="A123" s="4" t="inlineStr">
        <is>
          <t>David Silverman</t>
        </is>
      </c>
      <c r="B123" s="4" t="n">
        <v>1</v>
      </c>
      <c r="C123" s="4" t="n">
        <v>2001</v>
      </c>
      <c r="D123" s="4" t="n">
        <v>2001</v>
      </c>
      <c r="E123" s="19" t="inlineStr">
        <is>
          <t>Monsters, Inc.</t>
        </is>
      </c>
      <c r="F123" s="4" t="inlineStr">
        <is>
          <t>F0229</t>
        </is>
      </c>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08">
      <c r="A124" s="4" t="inlineStr">
        <is>
          <t>David Twohy</t>
        </is>
      </c>
      <c r="B124" s="4" t="n">
        <v>1</v>
      </c>
      <c r="C124" s="4" t="n">
        <v>2013</v>
      </c>
      <c r="D124" s="4" t="n">
        <v>2013</v>
      </c>
      <c r="E124" s="19" t="inlineStr">
        <is>
          <t>Riddick</t>
        </is>
      </c>
      <c r="F124" s="4" t="inlineStr">
        <is>
          <t>F0264</t>
        </is>
      </c>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08">
      <c r="A125" s="4" t="inlineStr">
        <is>
          <t>Declan Lowney</t>
        </is>
      </c>
      <c r="B125" s="4" t="n">
        <v>1</v>
      </c>
      <c r="C125" s="4" t="n">
        <v>2013</v>
      </c>
      <c r="D125" s="4" t="n">
        <v>2013</v>
      </c>
      <c r="E125" s="19" t="inlineStr">
        <is>
          <t>Alan Partridge: Alpha Papa</t>
        </is>
      </c>
      <c r="F125" s="4" t="inlineStr">
        <is>
          <t>F0014</t>
        </is>
      </c>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08">
      <c r="A126" s="4" t="inlineStr">
        <is>
          <t>Denis Villeneuve</t>
        </is>
      </c>
      <c r="B126" s="4" t="n">
        <v>5</v>
      </c>
      <c r="C126" s="4" t="n">
        <v>2013</v>
      </c>
      <c r="D126" s="4" t="n">
        <v>2024</v>
      </c>
      <c r="E126" s="19" t="inlineStr">
        <is>
          <t xml:space="preserve">Prisoners, blade runner 2049, dune, dune  part two, dune </t>
        </is>
      </c>
      <c r="F126" s="4" t="inlineStr">
        <is>
          <t>F0258, F0366, F0367, F0368</t>
        </is>
      </c>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08">
      <c r="A127" s="4" t="inlineStr">
        <is>
          <t>Dexter Fletcher</t>
        </is>
      </c>
      <c r="B127" s="4" t="n">
        <v>1</v>
      </c>
      <c r="C127" s="4" t="n">
        <v>2019</v>
      </c>
      <c r="D127" s="4" t="n">
        <v>2019</v>
      </c>
      <c r="E127" s="19" t="inlineStr">
        <is>
          <t>Rocketman</t>
        </is>
      </c>
      <c r="F127" s="4" t="inlineStr">
        <is>
          <t>F0269</t>
        </is>
      </c>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08">
      <c r="A128" s="4" t="inlineStr">
        <is>
          <t>Don Hall</t>
        </is>
      </c>
      <c r="B128" s="4" t="n">
        <v>1</v>
      </c>
      <c r="C128" s="4" t="n">
        <v>2014</v>
      </c>
      <c r="D128" s="4" t="n">
        <v>2014</v>
      </c>
      <c r="E128" s="19" t="inlineStr">
        <is>
          <t>Big Hero 6</t>
        </is>
      </c>
      <c r="F128" s="4" t="inlineStr">
        <is>
          <t>F0048</t>
        </is>
      </c>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08">
      <c r="A129" s="4" t="inlineStr">
        <is>
          <t>Duncan Jones</t>
        </is>
      </c>
      <c r="B129" s="4" t="n">
        <v>1</v>
      </c>
      <c r="C129" s="4" t="n">
        <v>2011</v>
      </c>
      <c r="D129" s="4" t="n">
        <v>2011</v>
      </c>
      <c r="E129" s="19" t="inlineStr">
        <is>
          <t>Source Code</t>
        </is>
      </c>
      <c r="F129" s="4" t="inlineStr">
        <is>
          <t>F0285</t>
        </is>
      </c>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08">
      <c r="A130" s="4" t="inlineStr">
        <is>
          <t>Elizabeth Banks</t>
        </is>
      </c>
      <c r="B130" s="4" t="n">
        <v>1</v>
      </c>
      <c r="C130" s="4" t="n">
        <v>2015</v>
      </c>
      <c r="D130" s="4" t="n">
        <v>2015</v>
      </c>
      <c r="E130" s="19" t="inlineStr">
        <is>
          <t>Pitch Perfect 2</t>
        </is>
      </c>
      <c r="F130" s="4" t="inlineStr">
        <is>
          <t>F0251</t>
        </is>
      </c>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08">
      <c r="A131" s="4" t="inlineStr">
        <is>
          <t>Eric Guillon</t>
        </is>
      </c>
      <c r="B131" s="4" t="n">
        <v>1</v>
      </c>
      <c r="C131" s="4" t="n">
        <v>2017</v>
      </c>
      <c r="D131" s="4" t="n">
        <v>2017</v>
      </c>
      <c r="E131" s="19" t="inlineStr">
        <is>
          <t>Despicable Me 3</t>
        </is>
      </c>
      <c r="F131" s="4" t="inlineStr">
        <is>
          <t>F0084</t>
        </is>
      </c>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08">
      <c r="A132" s="4" t="inlineStr">
        <is>
          <t>Fabien Polack</t>
        </is>
      </c>
      <c r="B132" s="4" t="n">
        <v>1</v>
      </c>
      <c r="C132" s="4" t="n">
        <v>2023</v>
      </c>
      <c r="D132" s="4" t="n">
        <v>2023</v>
      </c>
      <c r="E132" s="19" t="inlineStr">
        <is>
          <t>The Super Mario Bros. Movie</t>
        </is>
      </c>
      <c r="F132" s="4" t="inlineStr">
        <is>
          <t>F0212</t>
        </is>
      </c>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08">
      <c r="A133" s="4" t="inlineStr">
        <is>
          <t>Francis Lawrence</t>
        </is>
      </c>
      <c r="B133" s="4" t="n">
        <v>4</v>
      </c>
      <c r="C133" s="4" t="n">
        <v>2013</v>
      </c>
      <c r="D133" s="4" t="n">
        <v>2016</v>
      </c>
      <c r="E133" s="19" t="inlineStr">
        <is>
          <t>The Hunger Games: Mockingjay - Part 1, Catching  fire, Mockingjay part 2, Catching fire</t>
        </is>
      </c>
      <c r="F133" s="4" t="inlineStr">
        <is>
          <t>F0158, F0382, F0383, F0384</t>
        </is>
      </c>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08">
      <c r="A134" s="4" t="inlineStr">
        <is>
          <t>Gabriele Muccino</t>
        </is>
      </c>
      <c r="B134" s="4" t="n">
        <v>1</v>
      </c>
      <c r="C134" s="4" t="n">
        <v>2006</v>
      </c>
      <c r="D134" s="4" t="n">
        <v>2006</v>
      </c>
      <c r="E134" s="19" t="inlineStr">
        <is>
          <t>The Pursuit of Happyness</t>
        </is>
      </c>
      <c r="F134" s="4" t="inlineStr">
        <is>
          <t>F0260</t>
        </is>
      </c>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08">
      <c r="A135" s="4" t="inlineStr">
        <is>
          <t>Garth Jennings</t>
        </is>
      </c>
      <c r="B135" s="4" t="n">
        <v>1</v>
      </c>
      <c r="C135" s="4" t="n">
        <v>2016</v>
      </c>
      <c r="D135" s="4" t="n">
        <v>2016</v>
      </c>
      <c r="E135" s="19" t="inlineStr">
        <is>
          <t>Sing</t>
        </is>
      </c>
      <c r="F135" s="4" t="inlineStr">
        <is>
          <t>F0280</t>
        </is>
      </c>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08">
      <c r="A136" s="4" t="inlineStr">
        <is>
          <t>Gary Eck</t>
        </is>
      </c>
      <c r="B136" s="4" t="n">
        <v>1</v>
      </c>
      <c r="C136" s="4" t="n">
        <v>2011</v>
      </c>
      <c r="D136" s="4" t="n">
        <v>2011</v>
      </c>
      <c r="E136" s="19" t="inlineStr">
        <is>
          <t>Happy Feet Two</t>
        </is>
      </c>
      <c r="F136" s="4" t="inlineStr">
        <is>
          <t>F0145</t>
        </is>
      </c>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08">
      <c r="A137" s="4" t="inlineStr">
        <is>
          <t>Gary Ross</t>
        </is>
      </c>
      <c r="B137" s="4" t="n">
        <v>1</v>
      </c>
      <c r="C137" s="4" t="n">
        <v>2012</v>
      </c>
      <c r="D137" s="4" t="n">
        <v>2012</v>
      </c>
      <c r="E137" s="19" t="inlineStr">
        <is>
          <t>The Hunger Games</t>
        </is>
      </c>
      <c r="F137" s="4" t="inlineStr">
        <is>
          <t>F0157</t>
        </is>
      </c>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08">
      <c r="A138" s="4" t="inlineStr">
        <is>
          <t>Gavin Hood</t>
        </is>
      </c>
      <c r="B138" s="4" t="n">
        <v>1</v>
      </c>
      <c r="C138" s="4" t="n">
        <v>2009</v>
      </c>
      <c r="D138" s="4" t="n">
        <v>2009</v>
      </c>
      <c r="E138" s="19" t="inlineStr">
        <is>
          <t>X-Men Origins: Wolverine</t>
        </is>
      </c>
      <c r="F138" s="4" t="inlineStr">
        <is>
          <t>F0343</t>
        </is>
      </c>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08">
      <c r="A139" s="4" t="inlineStr">
        <is>
          <t>George Miller</t>
        </is>
      </c>
      <c r="B139" s="4" t="n">
        <v>4</v>
      </c>
      <c r="C139" s="4" t="n">
        <v>2011</v>
      </c>
      <c r="D139" s="4" t="n">
        <v>2025</v>
      </c>
      <c r="E139" s="19" t="inlineStr">
        <is>
          <t xml:space="preserve">Happy Feet Two, Mad max fury road, furiosa, furiosa </t>
        </is>
      </c>
      <c r="F139" s="4" t="inlineStr">
        <is>
          <t>F0145, F0354, F0370</t>
        </is>
      </c>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08">
      <c r="A140" s="4" t="inlineStr">
        <is>
          <t>Greta Gerwig</t>
        </is>
      </c>
      <c r="B140" s="4" t="n">
        <v>1</v>
      </c>
      <c r="C140" s="4" t="n">
        <v>2023</v>
      </c>
      <c r="D140" s="4" t="n">
        <v>2023</v>
      </c>
      <c r="E140" s="19" t="inlineStr">
        <is>
          <t>Barbie</t>
        </is>
      </c>
      <c r="F140" s="4" t="inlineStr">
        <is>
          <t>F0041</t>
        </is>
      </c>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08">
      <c r="A141" s="4" t="inlineStr">
        <is>
          <t>Guillermo del Toro</t>
        </is>
      </c>
      <c r="B141" s="4" t="n">
        <v>2</v>
      </c>
      <c r="C141" s="4" t="n">
        <v>2004</v>
      </c>
      <c r="D141" s="4" t="n">
        <v>2013</v>
      </c>
      <c r="E141" s="19" t="inlineStr">
        <is>
          <t>Pacific Rim, hellboy</t>
        </is>
      </c>
      <c r="F141" s="4" t="inlineStr">
        <is>
          <t>F0243, F0373</t>
        </is>
      </c>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08">
      <c r="A142" s="4" t="inlineStr">
        <is>
          <t>Gus Van Sant</t>
        </is>
      </c>
      <c r="B142" s="4" t="n">
        <v>1</v>
      </c>
      <c r="C142" s="4" t="n">
        <v>1997</v>
      </c>
      <c r="D142" s="4" t="n">
        <v>1997</v>
      </c>
      <c r="E142" s="19" t="inlineStr">
        <is>
          <t>Good Will Hunting</t>
        </is>
      </c>
      <c r="F142" s="4" t="inlineStr">
        <is>
          <t>F0124</t>
        </is>
      </c>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08">
      <c r="A143" s="4" t="inlineStr">
        <is>
          <t>Hamilton Luske</t>
        </is>
      </c>
      <c r="B143" s="4" t="n">
        <v>1</v>
      </c>
      <c r="C143" s="4" t="n">
        <v>1940</v>
      </c>
      <c r="D143" s="4" t="n">
        <v>1940</v>
      </c>
      <c r="E143" s="19" t="inlineStr">
        <is>
          <t>Pinocchio</t>
        </is>
      </c>
      <c r="F143" s="4" t="inlineStr">
        <is>
          <t>F0248</t>
        </is>
      </c>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08">
      <c r="A144" s="4" t="inlineStr">
        <is>
          <t>Harald Zwart</t>
        </is>
      </c>
      <c r="B144" s="4" t="n">
        <v>1</v>
      </c>
      <c r="C144" s="4" t="n">
        <v>2010</v>
      </c>
      <c r="D144" s="4" t="n">
        <v>2010</v>
      </c>
      <c r="E144" s="19" t="inlineStr">
        <is>
          <t>The Karate Kid</t>
        </is>
      </c>
      <c r="F144" s="4" t="inlineStr">
        <is>
          <t>F0184</t>
        </is>
      </c>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08">
      <c r="A145" s="4" t="inlineStr">
        <is>
          <t>Iain Morris</t>
        </is>
      </c>
      <c r="B145" s="4" t="n">
        <v>1</v>
      </c>
      <c r="C145" s="4" t="n">
        <v>2014</v>
      </c>
      <c r="D145" s="4" t="n">
        <v>2014</v>
      </c>
      <c r="E145" s="19" t="inlineStr">
        <is>
          <t>The Inbetweeners 2</t>
        </is>
      </c>
      <c r="F145" s="4" t="inlineStr">
        <is>
          <t>F0164</t>
        </is>
      </c>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08">
      <c r="A146" s="4" t="inlineStr">
        <is>
          <t>Irvin Kershner</t>
        </is>
      </c>
      <c r="B146" s="4" t="n">
        <v>1</v>
      </c>
      <c r="C146" s="4" t="n">
        <v>1980</v>
      </c>
      <c r="D146" s="4" t="n">
        <v>1980</v>
      </c>
      <c r="E146" s="19" t="inlineStr">
        <is>
          <t>Star Wars: Episode V – The Empire Strikes Back</t>
        </is>
      </c>
      <c r="F146" s="4" t="inlineStr">
        <is>
          <t>F0296</t>
        </is>
      </c>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08">
      <c r="A147" s="4" t="inlineStr">
        <is>
          <t>J. A. Bayona</t>
        </is>
      </c>
      <c r="B147" s="4" t="n">
        <v>1</v>
      </c>
      <c r="C147" s="4" t="n">
        <v>2018</v>
      </c>
      <c r="D147" s="4" t="n">
        <v>2018</v>
      </c>
      <c r="E147" s="19" t="inlineStr">
        <is>
          <t>Jurassic World: Fallen Kingdom</t>
        </is>
      </c>
      <c r="F147" s="4" t="inlineStr">
        <is>
          <t>F0180</t>
        </is>
      </c>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08">
      <c r="A148" s="4" t="inlineStr">
        <is>
          <t>Jack Kinney</t>
        </is>
      </c>
      <c r="B148" s="4" t="n">
        <v>1</v>
      </c>
      <c r="C148" s="4" t="n">
        <v>1940</v>
      </c>
      <c r="D148" s="4" t="n">
        <v>1940</v>
      </c>
      <c r="E148" s="19" t="inlineStr">
        <is>
          <t>Pinocchio</t>
        </is>
      </c>
      <c r="F148" s="4" t="inlineStr">
        <is>
          <t>F0248</t>
        </is>
      </c>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08">
      <c r="A149" s="4" t="inlineStr">
        <is>
          <t>Jake Kasdan</t>
        </is>
      </c>
      <c r="B149" s="4" t="n">
        <v>2</v>
      </c>
      <c r="C149" s="4" t="n">
        <v>2011</v>
      </c>
      <c r="D149" s="4" t="n">
        <v>2017</v>
      </c>
      <c r="E149" s="19" t="inlineStr">
        <is>
          <t>Bad Teacher, Jumanji welcome to the jungle</t>
        </is>
      </c>
      <c r="F149" s="4" t="inlineStr">
        <is>
          <t>F0039, F0359</t>
        </is>
      </c>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08">
      <c r="A150" s="4" t="inlineStr">
        <is>
          <t>James Bobin</t>
        </is>
      </c>
      <c r="B150" s="4" t="n">
        <v>1</v>
      </c>
      <c r="C150" s="4" t="n">
        <v>2014</v>
      </c>
      <c r="D150" s="4" t="n">
        <v>2014</v>
      </c>
      <c r="E150" s="19" t="inlineStr">
        <is>
          <t>Muppets Most Wanted</t>
        </is>
      </c>
      <c r="F150" s="4" t="inlineStr">
        <is>
          <t>F0232</t>
        </is>
      </c>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08">
      <c r="A151" s="4" t="inlineStr">
        <is>
          <t>James Marsh</t>
        </is>
      </c>
      <c r="B151" s="4" t="n">
        <v>1</v>
      </c>
      <c r="C151" s="4" t="n">
        <v>2014</v>
      </c>
      <c r="D151" s="4" t="n">
        <v>2014</v>
      </c>
      <c r="E151" s="19" t="inlineStr">
        <is>
          <t>The Theory of Everything</t>
        </is>
      </c>
      <c r="F151" s="4" t="inlineStr">
        <is>
          <t>F0311</t>
        </is>
      </c>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08">
      <c r="A152" s="4" t="inlineStr">
        <is>
          <t>James Wan</t>
        </is>
      </c>
      <c r="B152" s="4" t="n">
        <v>1</v>
      </c>
      <c r="C152" s="4" t="n">
        <v>2015</v>
      </c>
      <c r="D152" s="4" t="n">
        <v>2015</v>
      </c>
      <c r="E152" s="19" t="inlineStr">
        <is>
          <t>Furious 7</t>
        </is>
      </c>
      <c r="F152" s="4" t="inlineStr">
        <is>
          <t>F0107</t>
        </is>
      </c>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08">
      <c r="A153" s="4" t="inlineStr">
        <is>
          <t>Jason Moore</t>
        </is>
      </c>
      <c r="B153" s="4" t="n">
        <v>1</v>
      </c>
      <c r="C153" s="4" t="n">
        <v>2012</v>
      </c>
      <c r="D153" s="4" t="n">
        <v>2012</v>
      </c>
      <c r="E153" s="19" t="inlineStr">
        <is>
          <t>Pitch Perfect</t>
        </is>
      </c>
      <c r="F153" s="4" t="inlineStr">
        <is>
          <t>F0250</t>
        </is>
      </c>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08">
      <c r="A154" s="4" t="inlineStr">
        <is>
          <t>Jaume Collet-Serra</t>
        </is>
      </c>
      <c r="B154" s="4" t="n">
        <v>1</v>
      </c>
      <c r="C154" s="4" t="n">
        <v>2011</v>
      </c>
      <c r="D154" s="4" t="n">
        <v>2011</v>
      </c>
      <c r="E154" s="19" t="inlineStr">
        <is>
          <t>Unknown</t>
        </is>
      </c>
      <c r="F154" s="4" t="inlineStr">
        <is>
          <t>F0329</t>
        </is>
      </c>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08">
      <c r="A155" s="4" t="inlineStr">
        <is>
          <t>Jean-Pierre Jeunet</t>
        </is>
      </c>
      <c r="B155" s="4" t="n">
        <v>1</v>
      </c>
      <c r="C155" s="4" t="n">
        <v>1997</v>
      </c>
      <c r="D155" s="4" t="n">
        <v>1997</v>
      </c>
      <c r="E155" s="19" t="inlineStr">
        <is>
          <t>Alien Resurrection</t>
        </is>
      </c>
      <c r="F155" s="4" t="inlineStr">
        <is>
          <t>F0018</t>
        </is>
      </c>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08">
      <c r="A156" s="4" t="inlineStr">
        <is>
          <t>Jeff Tremaine</t>
        </is>
      </c>
      <c r="B156" s="4" t="n">
        <v>1</v>
      </c>
      <c r="C156" s="4" t="n">
        <v>2010</v>
      </c>
      <c r="D156" s="4" t="n">
        <v>2010</v>
      </c>
      <c r="E156" s="19" t="inlineStr">
        <is>
          <t>Jackass 3D</t>
        </is>
      </c>
      <c r="F156" s="4" t="inlineStr">
        <is>
          <t>F0172</t>
        </is>
      </c>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08">
      <c r="A157" s="4" t="inlineStr">
        <is>
          <t>Jeff Wadlow</t>
        </is>
      </c>
      <c r="B157" s="4" t="n">
        <v>1</v>
      </c>
      <c r="C157" s="4" t="n">
        <v>2013</v>
      </c>
      <c r="D157" s="4" t="n">
        <v>2013</v>
      </c>
      <c r="E157" s="19" t="inlineStr">
        <is>
          <t>Kick-Ass 2</t>
        </is>
      </c>
      <c r="F157" s="4" t="inlineStr">
        <is>
          <t>F0186</t>
        </is>
      </c>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08">
      <c r="A158" s="4" t="inlineStr">
        <is>
          <t>Jennifer Lee</t>
        </is>
      </c>
      <c r="B158" s="4" t="n">
        <v>1</v>
      </c>
      <c r="C158" s="4" t="n">
        <v>2013</v>
      </c>
      <c r="D158" s="4" t="n">
        <v>2013</v>
      </c>
      <c r="E158" s="19" t="inlineStr">
        <is>
          <t>Frozen</t>
        </is>
      </c>
      <c r="F158" s="4" t="inlineStr">
        <is>
          <t>F0116</t>
        </is>
      </c>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08">
      <c r="A159" s="4" t="inlineStr">
        <is>
          <t>Jimmy Hayward</t>
        </is>
      </c>
      <c r="B159" s="4" t="n">
        <v>1</v>
      </c>
      <c r="C159" s="4" t="n">
        <v>2010</v>
      </c>
      <c r="D159" s="4" t="n">
        <v>2010</v>
      </c>
      <c r="E159" s="19" t="inlineStr">
        <is>
          <t>Jonah Hex</t>
        </is>
      </c>
      <c r="F159" s="4" t="inlineStr">
        <is>
          <t>F0173</t>
        </is>
      </c>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08">
      <c r="A160" s="4" t="inlineStr">
        <is>
          <t>Joe Carnahan</t>
        </is>
      </c>
      <c r="B160" s="4" t="n">
        <v>1</v>
      </c>
      <c r="C160" s="4" t="n">
        <v>2010</v>
      </c>
      <c r="D160" s="4" t="n">
        <v>2010</v>
      </c>
      <c r="E160" s="19" t="inlineStr">
        <is>
          <t>The A-Team</t>
        </is>
      </c>
      <c r="F160" s="4" t="inlineStr">
        <is>
          <t>F0026</t>
        </is>
      </c>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08">
      <c r="A161" s="4" t="inlineStr">
        <is>
          <t>Joe Cornish</t>
        </is>
      </c>
      <c r="B161" s="4" t="n">
        <v>1</v>
      </c>
      <c r="C161" s="4" t="n">
        <v>2011</v>
      </c>
      <c r="D161" s="4" t="n">
        <v>2011</v>
      </c>
      <c r="E161" s="19" t="inlineStr">
        <is>
          <t>Attack the Block</t>
        </is>
      </c>
      <c r="F161" s="4" t="inlineStr">
        <is>
          <t>F0027</t>
        </is>
      </c>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08">
      <c r="A162" s="4" t="inlineStr">
        <is>
          <t>Joe Johnston</t>
        </is>
      </c>
      <c r="B162" s="4" t="n">
        <v>1</v>
      </c>
      <c r="C162" s="4" t="n">
        <v>2001</v>
      </c>
      <c r="D162" s="4" t="n">
        <v>2001</v>
      </c>
      <c r="E162" s="19" t="inlineStr">
        <is>
          <t>Jurassic Park III</t>
        </is>
      </c>
      <c r="F162" s="4" t="inlineStr">
        <is>
          <t>F0178</t>
        </is>
      </c>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08">
      <c r="A163" s="4" t="inlineStr">
        <is>
          <t>John Hillcoat</t>
        </is>
      </c>
      <c r="B163" s="4" t="n">
        <v>1</v>
      </c>
      <c r="C163" s="4" t="n">
        <v>2012</v>
      </c>
      <c r="D163" s="4" t="n">
        <v>2012</v>
      </c>
      <c r="E163" s="19" t="inlineStr">
        <is>
          <t>Lawless</t>
        </is>
      </c>
      <c r="F163" s="4" t="inlineStr">
        <is>
          <t>F0192</t>
        </is>
      </c>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08">
      <c r="A164" s="4" t="inlineStr">
        <is>
          <t>John Hughes</t>
        </is>
      </c>
      <c r="B164" s="4" t="n">
        <v>1</v>
      </c>
      <c r="C164" s="4" t="n">
        <v>1985</v>
      </c>
      <c r="D164" s="4" t="n">
        <v>1985</v>
      </c>
      <c r="E164" s="19" t="inlineStr">
        <is>
          <t>The Breakfast Club</t>
        </is>
      </c>
      <c r="F164" s="4" t="inlineStr">
        <is>
          <t>F0057</t>
        </is>
      </c>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08">
      <c r="A165" s="4" t="inlineStr">
        <is>
          <t>John Singleton</t>
        </is>
      </c>
      <c r="B165" s="4" t="n">
        <v>2</v>
      </c>
      <c r="C165" s="4" t="n">
        <v>2003</v>
      </c>
      <c r="D165" s="4" t="n">
        <v>2009</v>
      </c>
      <c r="E165" s="19" t="inlineStr">
        <is>
          <t>2 Fast 2 Furious, Fast &amp; Furious</t>
        </is>
      </c>
      <c r="F165" s="4" t="inlineStr">
        <is>
          <t>F0102, F0104</t>
        </is>
      </c>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08">
      <c r="A166" s="4" t="inlineStr">
        <is>
          <t>John Woo</t>
        </is>
      </c>
      <c r="B166" s="4" t="n">
        <v>1</v>
      </c>
      <c r="C166" s="4" t="n">
        <v>2000</v>
      </c>
      <c r="D166" s="4" t="n">
        <v>2000</v>
      </c>
      <c r="E166" s="19" t="inlineStr">
        <is>
          <t>Mission: Impossible II</t>
        </is>
      </c>
      <c r="F166" s="4" t="inlineStr">
        <is>
          <t>F0222</t>
        </is>
      </c>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08">
      <c r="A167" s="4" t="inlineStr">
        <is>
          <t>Jon Burton</t>
        </is>
      </c>
      <c r="B167" s="4" t="n">
        <v>1</v>
      </c>
      <c r="C167" s="4" t="n">
        <v>2013</v>
      </c>
      <c r="D167" s="4" t="n">
        <v>2013</v>
      </c>
      <c r="E167" s="19" t="inlineStr">
        <is>
          <t>Lego Batman: The Movie - DC Super Heroes Unite</t>
        </is>
      </c>
      <c r="F167" s="4" t="inlineStr">
        <is>
          <t>F0194</t>
        </is>
      </c>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08">
      <c r="A168" s="4" t="inlineStr">
        <is>
          <t>Jon Lucas</t>
        </is>
      </c>
      <c r="B168" s="4" t="n">
        <v>1</v>
      </c>
      <c r="C168" s="4" t="n">
        <v>2016</v>
      </c>
      <c r="D168" s="4" t="n">
        <v>2016</v>
      </c>
      <c r="E168" s="19" t="inlineStr">
        <is>
          <t>Bad Moms</t>
        </is>
      </c>
      <c r="F168" s="4" t="inlineStr">
        <is>
          <t>F0038</t>
        </is>
      </c>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08">
      <c r="A169" s="4" t="inlineStr">
        <is>
          <t>Jon Turteltaub</t>
        </is>
      </c>
      <c r="B169" s="4" t="n">
        <v>1</v>
      </c>
      <c r="C169" s="4" t="n">
        <v>2007</v>
      </c>
      <c r="D169" s="4" t="n">
        <v>2007</v>
      </c>
      <c r="E169" s="19" t="inlineStr">
        <is>
          <t>National Treasure: Book of Secrets</t>
        </is>
      </c>
      <c r="F169" s="4" t="inlineStr">
        <is>
          <t>F0233</t>
        </is>
      </c>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08">
      <c r="A170" s="4" t="inlineStr">
        <is>
          <t>Jonathan Levine</t>
        </is>
      </c>
      <c r="B170" s="4" t="n">
        <v>1</v>
      </c>
      <c r="C170" s="4" t="n">
        <v>2011</v>
      </c>
      <c r="D170" s="4" t="n">
        <v>2011</v>
      </c>
      <c r="E170" s="19" t="inlineStr">
        <is>
          <t>50/50</t>
        </is>
      </c>
      <c r="F170" s="4" t="inlineStr">
        <is>
          <t>F0011</t>
        </is>
      </c>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08">
      <c r="A171" s="4" t="inlineStr">
        <is>
          <t>Jordan Vogt-Roberts</t>
        </is>
      </c>
      <c r="B171" s="4" t="n">
        <v>1</v>
      </c>
      <c r="C171" s="4" t="n">
        <v>2017</v>
      </c>
      <c r="D171" s="4" t="n">
        <v>2017</v>
      </c>
      <c r="E171" s="19" t="inlineStr">
        <is>
          <t>Kong: Skull Island</t>
        </is>
      </c>
      <c r="F171" s="4" t="inlineStr">
        <is>
          <t>F0190</t>
        </is>
      </c>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08">
      <c r="A172" s="4" t="inlineStr">
        <is>
          <t>Josh Cooley</t>
        </is>
      </c>
      <c r="B172" s="4" t="n">
        <v>1</v>
      </c>
      <c r="C172" s="4" t="n">
        <v>2019</v>
      </c>
      <c r="D172" s="4" t="n">
        <v>2019</v>
      </c>
      <c r="E172" s="19" t="inlineStr">
        <is>
          <t>Toy Story 4</t>
        </is>
      </c>
      <c r="F172" s="4" t="inlineStr">
        <is>
          <t>F0315</t>
        </is>
      </c>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08">
      <c r="A173" s="4" t="inlineStr">
        <is>
          <t>Joss Whedon</t>
        </is>
      </c>
      <c r="B173" s="4" t="n">
        <v>1</v>
      </c>
      <c r="C173" s="4" t="n">
        <v>2012</v>
      </c>
      <c r="D173" s="4" t="n">
        <v>2012</v>
      </c>
      <c r="E173" s="19" t="inlineStr">
        <is>
          <t>The Avengers</t>
        </is>
      </c>
      <c r="F173" s="4" t="inlineStr">
        <is>
          <t>F0029</t>
        </is>
      </c>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08">
      <c r="A174" s="4" t="inlineStr">
        <is>
          <t>Kathryn Bigelow</t>
        </is>
      </c>
      <c r="B174" s="4" t="n">
        <v>1</v>
      </c>
      <c r="C174" s="4" t="n">
        <v>2012</v>
      </c>
      <c r="D174" s="4" t="n">
        <v>2012</v>
      </c>
      <c r="E174" s="19" t="inlineStr">
        <is>
          <t>Zero Dark Thirty</t>
        </is>
      </c>
      <c r="F174" s="4" t="inlineStr">
        <is>
          <t>F0349</t>
        </is>
      </c>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08">
      <c r="A175" s="4" t="inlineStr">
        <is>
          <t>Ken Scott</t>
        </is>
      </c>
      <c r="B175" s="4" t="n">
        <v>1</v>
      </c>
      <c r="C175" s="4" t="n">
        <v>2013</v>
      </c>
      <c r="D175" s="4" t="n">
        <v>2013</v>
      </c>
      <c r="E175" s="19" t="inlineStr">
        <is>
          <t>Delivery Man</t>
        </is>
      </c>
      <c r="F175" s="4" t="inlineStr">
        <is>
          <t>F0080</t>
        </is>
      </c>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08">
      <c r="A176" s="4" t="inlineStr">
        <is>
          <t>Kevin Smith</t>
        </is>
      </c>
      <c r="B176" s="4" t="n">
        <v>2</v>
      </c>
      <c r="C176" s="4" t="n">
        <v>1999</v>
      </c>
      <c r="D176" s="4" t="n">
        <v>2010</v>
      </c>
      <c r="E176" s="19" t="inlineStr">
        <is>
          <t>Cop Out, Dogma</t>
        </is>
      </c>
      <c r="F176" s="4" t="inlineStr">
        <is>
          <t>F0069, F0351</t>
        </is>
      </c>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08">
      <c r="A177" s="4" t="inlineStr">
        <is>
          <t>Kirk DeMicco</t>
        </is>
      </c>
      <c r="B177" s="4" t="n">
        <v>1</v>
      </c>
      <c r="C177" s="4" t="n">
        <v>2013</v>
      </c>
      <c r="D177" s="4" t="n">
        <v>2013</v>
      </c>
      <c r="E177" s="19" t="inlineStr">
        <is>
          <t>The Croods</t>
        </is>
      </c>
      <c r="F177" s="4" t="inlineStr">
        <is>
          <t>F0075</t>
        </is>
      </c>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08">
      <c r="A178" s="4" t="inlineStr">
        <is>
          <t>Kris Pearn</t>
        </is>
      </c>
      <c r="B178" s="4" t="n">
        <v>1</v>
      </c>
      <c r="C178" s="4" t="n">
        <v>2013</v>
      </c>
      <c r="D178" s="4" t="n">
        <v>2013</v>
      </c>
      <c r="E178" s="19" t="inlineStr">
        <is>
          <t>Cloudy with a Chance of Meatballs 2</t>
        </is>
      </c>
      <c r="F178" s="4" t="inlineStr">
        <is>
          <t>F0067</t>
        </is>
      </c>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08">
      <c r="A179" s="4" t="inlineStr">
        <is>
          <t>Lasse Hallström</t>
        </is>
      </c>
      <c r="B179" s="4" t="n">
        <v>1</v>
      </c>
      <c r="C179" s="4" t="n">
        <v>2010</v>
      </c>
      <c r="D179" s="4" t="n">
        <v>2010</v>
      </c>
      <c r="E179" s="19" t="inlineStr">
        <is>
          <t>Dear John</t>
        </is>
      </c>
      <c r="F179" s="4" t="inlineStr">
        <is>
          <t>F0079</t>
        </is>
      </c>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08">
      <c r="A180" s="4" t="inlineStr">
        <is>
          <t>Loveleen Tandan</t>
        </is>
      </c>
      <c r="B180" s="4" t="n">
        <v>1</v>
      </c>
      <c r="C180" s="4" t="n">
        <v>2008</v>
      </c>
      <c r="D180" s="4" t="n">
        <v>2008</v>
      </c>
      <c r="E180" s="19" t="inlineStr">
        <is>
          <t>Slumdog Millionaire</t>
        </is>
      </c>
      <c r="F180" s="4" t="inlineStr">
        <is>
          <t>F0281</t>
        </is>
      </c>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08">
      <c r="A181" s="4" t="inlineStr">
        <is>
          <t>Malcolm Venville</t>
        </is>
      </c>
      <c r="B181" s="4" t="n">
        <v>1</v>
      </c>
      <c r="C181" s="4" t="n">
        <v>2009</v>
      </c>
      <c r="D181" s="4" t="n">
        <v>2009</v>
      </c>
      <c r="E181" s="19" t="inlineStr">
        <is>
          <t>44 Inch Chest</t>
        </is>
      </c>
      <c r="F181" s="4" t="inlineStr">
        <is>
          <t>F0010</t>
        </is>
      </c>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08">
      <c r="A182" s="4" t="inlineStr">
        <is>
          <t>Marc Forster</t>
        </is>
      </c>
      <c r="B182" s="4" t="n">
        <v>1</v>
      </c>
      <c r="C182" s="4" t="n">
        <v>2008</v>
      </c>
      <c r="D182" s="4" t="n">
        <v>2008</v>
      </c>
      <c r="E182" s="19" t="inlineStr">
        <is>
          <t>Quantum of Solace</t>
        </is>
      </c>
      <c r="F182" s="4" t="inlineStr">
        <is>
          <t>F0002</t>
        </is>
      </c>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08">
      <c r="A183" s="4" t="inlineStr">
        <is>
          <t>Marc Webb</t>
        </is>
      </c>
      <c r="B183" s="4" t="n">
        <v>2</v>
      </c>
      <c r="C183" s="4" t="n">
        <v>2012</v>
      </c>
      <c r="D183" s="4" t="n">
        <v>2014</v>
      </c>
      <c r="E183" s="19" t="inlineStr">
        <is>
          <t>The Amazing Spider-Man, amazing spider-man 2</t>
        </is>
      </c>
      <c r="F183" s="4" t="inlineStr">
        <is>
          <t>F0019, F0363</t>
        </is>
      </c>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08">
      <c r="A184" s="4" t="inlineStr">
        <is>
          <t>Martin Scorsese</t>
        </is>
      </c>
      <c r="B184" s="4" t="n">
        <v>1</v>
      </c>
      <c r="C184" s="4" t="n">
        <v>2006</v>
      </c>
      <c r="D184" s="4" t="n">
        <v>2006</v>
      </c>
      <c r="E184" s="19" t="inlineStr">
        <is>
          <t>The Departed</t>
        </is>
      </c>
      <c r="F184" s="4" t="inlineStr">
        <is>
          <t>F0081</t>
        </is>
      </c>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08">
      <c r="A185" s="4" t="inlineStr">
        <is>
          <t>Mat Whitecross</t>
        </is>
      </c>
      <c r="B185" s="4" t="n">
        <v>1</v>
      </c>
      <c r="C185" s="4" t="n">
        <v>2010</v>
      </c>
      <c r="D185" s="4" t="n">
        <v>2010</v>
      </c>
      <c r="E185" s="19" t="inlineStr">
        <is>
          <t>Sex &amp; Drugs &amp; Rock &amp; Roll</t>
        </is>
      </c>
      <c r="F185" s="4" t="inlineStr">
        <is>
          <t>F0277</t>
        </is>
      </c>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08">
      <c r="A186" s="4" t="inlineStr">
        <is>
          <t>Matt Peters</t>
        </is>
      </c>
      <c r="B186" s="4" t="n">
        <v>1</v>
      </c>
      <c r="C186" s="4" t="n">
        <v>2016</v>
      </c>
      <c r="D186" s="4" t="n">
        <v>2016</v>
      </c>
      <c r="E186" s="19" t="inlineStr">
        <is>
          <t>Lego DC Comics Super Heroes: Justice League - Gotham City Breakout</t>
        </is>
      </c>
      <c r="F186" s="4" t="inlineStr">
        <is>
          <t>F0198</t>
        </is>
      </c>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08">
      <c r="A187" s="4" t="inlineStr">
        <is>
          <t>McG</t>
        </is>
      </c>
      <c r="B187" s="4" t="n">
        <v>1</v>
      </c>
      <c r="C187" s="4" t="n">
        <v>2009</v>
      </c>
      <c r="D187" s="4" t="n">
        <v>2009</v>
      </c>
      <c r="E187" s="19" t="inlineStr">
        <is>
          <t>Terminator Salvation</t>
        </is>
      </c>
      <c r="F187" s="4" t="inlineStr">
        <is>
          <t>F0310</t>
        </is>
      </c>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08">
      <c r="A188" s="4" t="inlineStr">
        <is>
          <t>Mel Gibson</t>
        </is>
      </c>
      <c r="B188" s="4" t="n">
        <v>1</v>
      </c>
      <c r="C188" s="4" t="n">
        <v>2016</v>
      </c>
      <c r="D188" s="4" t="n">
        <v>2016</v>
      </c>
      <c r="E188" s="19" t="inlineStr">
        <is>
          <t>Hacksaw Ridge</t>
        </is>
      </c>
      <c r="F188" s="4" t="inlineStr">
        <is>
          <t>F0133</t>
        </is>
      </c>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08">
      <c r="A189" s="4" t="inlineStr">
        <is>
          <t>Mel Stuart</t>
        </is>
      </c>
      <c r="B189" s="4" t="n">
        <v>1</v>
      </c>
      <c r="C189" s="4" t="n">
        <v>1971</v>
      </c>
      <c r="D189" s="4" t="n">
        <v>1971</v>
      </c>
      <c r="E189" s="19" t="inlineStr">
        <is>
          <t>Willy Wonka &amp; the Chocolate Factory</t>
        </is>
      </c>
      <c r="F189" s="4" t="inlineStr">
        <is>
          <t>F0339</t>
        </is>
      </c>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08">
      <c r="A190" s="4" t="inlineStr">
        <is>
          <t>Melchior Zwyer</t>
        </is>
      </c>
      <c r="B190" s="4" t="n">
        <v>1</v>
      </c>
      <c r="C190" s="4" t="n">
        <v>2016</v>
      </c>
      <c r="D190" s="4" t="n">
        <v>2016</v>
      </c>
      <c r="E190" s="19" t="inlineStr">
        <is>
          <t>Lego DC Comics Super Heroes: Justice League - Gotham City Breakout</t>
        </is>
      </c>
      <c r="F190" s="4" t="inlineStr">
        <is>
          <t>F0198</t>
        </is>
      </c>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08">
      <c r="A191" s="4" t="inlineStr">
        <is>
          <t>Michael Dougherty</t>
        </is>
      </c>
      <c r="B191" s="4" t="n">
        <v>1</v>
      </c>
      <c r="C191" s="4" t="n">
        <v>2019</v>
      </c>
      <c r="D191" s="4" t="n">
        <v>2019</v>
      </c>
      <c r="E191" s="19" t="inlineStr">
        <is>
          <t>Godzilla: King of the Monsters</t>
        </is>
      </c>
      <c r="F191" s="4" t="inlineStr">
        <is>
          <t>F0122</t>
        </is>
      </c>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08">
      <c r="A192" s="4" t="inlineStr">
        <is>
          <t>Michael Gracey</t>
        </is>
      </c>
      <c r="B192" s="4" t="n">
        <v>1</v>
      </c>
      <c r="C192" s="4" t="n">
        <v>2017</v>
      </c>
      <c r="D192" s="4" t="n">
        <v>2017</v>
      </c>
      <c r="E192" s="19" t="inlineStr">
        <is>
          <t>The Greatest Showman</t>
        </is>
      </c>
      <c r="F192" s="4" t="inlineStr">
        <is>
          <t>F0127</t>
        </is>
      </c>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08">
      <c r="A193" s="4" t="inlineStr">
        <is>
          <t>Michael Jelenic</t>
        </is>
      </c>
      <c r="B193" s="4" t="n">
        <v>1</v>
      </c>
      <c r="C193" s="4" t="n">
        <v>2023</v>
      </c>
      <c r="D193" s="4" t="n">
        <v>2023</v>
      </c>
      <c r="E193" s="19" t="inlineStr">
        <is>
          <t>The Super Mario Bros. Movie</t>
        </is>
      </c>
      <c r="F193" s="4" t="inlineStr">
        <is>
          <t>F0212</t>
        </is>
      </c>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08">
      <c r="A194" s="4" t="inlineStr">
        <is>
          <t>Mike Mitchell</t>
        </is>
      </c>
      <c r="B194" s="4" t="n">
        <v>1</v>
      </c>
      <c r="C194" s="4" t="n">
        <v>2019</v>
      </c>
      <c r="D194" s="4" t="n">
        <v>2019</v>
      </c>
      <c r="E194" s="19" t="inlineStr">
        <is>
          <t>The Lego Movie 2: The Second Part</t>
        </is>
      </c>
      <c r="F194" s="4" t="inlineStr">
        <is>
          <t>F0196</t>
        </is>
      </c>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08">
      <c r="A195" s="4" t="inlineStr">
        <is>
          <t>Mike Newell</t>
        </is>
      </c>
      <c r="B195" s="4" t="n">
        <v>1</v>
      </c>
      <c r="C195" s="4" t="n">
        <v>2005</v>
      </c>
      <c r="D195" s="4" t="n">
        <v>2005</v>
      </c>
      <c r="E195" s="19" t="inlineStr">
        <is>
          <t>Harry Potter and the Goblet of Fire</t>
        </is>
      </c>
      <c r="F195" s="4" t="inlineStr">
        <is>
          <t>F0140</t>
        </is>
      </c>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08">
      <c r="A196" s="4" t="inlineStr">
        <is>
          <t>Mike Thurmeier</t>
        </is>
      </c>
      <c r="B196" s="4" t="n">
        <v>1</v>
      </c>
      <c r="C196" s="4" t="n">
        <v>2009</v>
      </c>
      <c r="D196" s="4" t="n">
        <v>2009</v>
      </c>
      <c r="E196" s="19" t="inlineStr">
        <is>
          <t>Ice Age: Dawn of the Dinosaurs</t>
        </is>
      </c>
      <c r="F196" s="4" t="inlineStr">
        <is>
          <t>F0161</t>
        </is>
      </c>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08">
      <c r="A197" s="4" t="inlineStr">
        <is>
          <t>Morten Tyldum</t>
        </is>
      </c>
      <c r="B197" s="4" t="n">
        <v>1</v>
      </c>
      <c r="C197" s="4" t="n">
        <v>2014</v>
      </c>
      <c r="D197" s="4" t="n">
        <v>2014</v>
      </c>
      <c r="E197" s="19" t="inlineStr">
        <is>
          <t>The Imitation Game</t>
        </is>
      </c>
      <c r="F197" s="4" t="inlineStr">
        <is>
          <t>F0162</t>
        </is>
      </c>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08">
      <c r="A198" s="4" t="inlineStr">
        <is>
          <t>Måns Mårlind</t>
        </is>
      </c>
      <c r="B198" s="4" t="n">
        <v>2</v>
      </c>
      <c r="C198" s="4" t="n">
        <v>2012</v>
      </c>
      <c r="D198" s="4" t="n">
        <v>2012</v>
      </c>
      <c r="E198" s="19" t="inlineStr">
        <is>
          <t>Underworld: Awakening, Underworld awakening</t>
        </is>
      </c>
      <c r="F198" s="4" t="inlineStr">
        <is>
          <t>F0328, F0390</t>
        </is>
      </c>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08">
      <c r="A199" s="4" t="inlineStr">
        <is>
          <t>Neil Burger</t>
        </is>
      </c>
      <c r="B199" s="4" t="n">
        <v>1</v>
      </c>
      <c r="C199" s="4" t="n">
        <v>2014</v>
      </c>
      <c r="D199" s="4" t="n">
        <v>2014</v>
      </c>
      <c r="E199" s="19" t="inlineStr">
        <is>
          <t>Divergent</t>
        </is>
      </c>
      <c r="F199" s="4" t="inlineStr">
        <is>
          <t>F0089</t>
        </is>
      </c>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08">
      <c r="A200" s="4" t="inlineStr">
        <is>
          <t>Nelson Shin</t>
        </is>
      </c>
      <c r="B200" s="4" t="n">
        <v>1</v>
      </c>
      <c r="C200" s="4" t="n">
        <v>1986</v>
      </c>
      <c r="D200" s="4" t="n">
        <v>1986</v>
      </c>
      <c r="E200" s="19" t="inlineStr">
        <is>
          <t>The Transformers: The Movie</t>
        </is>
      </c>
      <c r="F200" s="4" t="inlineStr">
        <is>
          <t>F0322</t>
        </is>
      </c>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08">
      <c r="A201" s="4" t="inlineStr">
        <is>
          <t>Nicholas Stoller</t>
        </is>
      </c>
      <c r="B201" s="4" t="n">
        <v>1</v>
      </c>
      <c r="C201" s="4" t="n">
        <v>2008</v>
      </c>
      <c r="D201" s="4" t="n">
        <v>2008</v>
      </c>
      <c r="E201" s="19" t="inlineStr">
        <is>
          <t>Forgetting Sarah Marshall</t>
        </is>
      </c>
      <c r="F201" s="4" t="inlineStr">
        <is>
          <t>F0115</t>
        </is>
      </c>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08">
      <c r="A202" s="4" t="inlineStr">
        <is>
          <t>Nick Cassavetes</t>
        </is>
      </c>
      <c r="B202" s="4" t="n">
        <v>1</v>
      </c>
      <c r="C202" s="4" t="n">
        <v>2004</v>
      </c>
      <c r="D202" s="4" t="n">
        <v>2004</v>
      </c>
      <c r="E202" s="19" t="inlineStr">
        <is>
          <t>The Notebook</t>
        </is>
      </c>
      <c r="F202" s="4" t="inlineStr">
        <is>
          <t>F0237</t>
        </is>
      </c>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08">
      <c r="A203" s="4" t="inlineStr">
        <is>
          <t>Nick Love</t>
        </is>
      </c>
      <c r="B203" s="4" t="n">
        <v>1</v>
      </c>
      <c r="C203" s="4" t="n">
        <v>2012</v>
      </c>
      <c r="D203" s="4" t="n">
        <v>2012</v>
      </c>
      <c r="E203" s="19" t="inlineStr">
        <is>
          <t>The Sweeney</t>
        </is>
      </c>
      <c r="F203" s="4" t="inlineStr">
        <is>
          <t>F0305</t>
        </is>
      </c>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08">
      <c r="A204" s="4" t="inlineStr">
        <is>
          <t>Norman Ferguson</t>
        </is>
      </c>
      <c r="B204" s="4" t="n">
        <v>1</v>
      </c>
      <c r="C204" s="4" t="n">
        <v>1940</v>
      </c>
      <c r="D204" s="4" t="n">
        <v>1940</v>
      </c>
      <c r="E204" s="19" t="inlineStr">
        <is>
          <t>Pinocchio</t>
        </is>
      </c>
      <c r="F204" s="4" t="inlineStr">
        <is>
          <t>F0248</t>
        </is>
      </c>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08">
      <c r="A205" s="4" t="inlineStr">
        <is>
          <t>Olivier Megaton</t>
        </is>
      </c>
      <c r="B205" s="4" t="n">
        <v>1</v>
      </c>
      <c r="C205" s="4" t="n">
        <v>2012</v>
      </c>
      <c r="D205" s="4" t="n">
        <v>2012</v>
      </c>
      <c r="E205" s="19" t="inlineStr">
        <is>
          <t>Taken 2</t>
        </is>
      </c>
      <c r="F205" s="4" t="inlineStr">
        <is>
          <t>F0307</t>
        </is>
      </c>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08">
      <c r="A206" s="4" t="inlineStr">
        <is>
          <t>Patrick Tatopoulos</t>
        </is>
      </c>
      <c r="B206" s="4" t="n">
        <v>1</v>
      </c>
      <c r="C206" s="4" t="n">
        <v>2009</v>
      </c>
      <c r="D206" s="4" t="n">
        <v>2009</v>
      </c>
      <c r="E206" s="19" t="inlineStr">
        <is>
          <t>Underworld: Rise of the Lycans</t>
        </is>
      </c>
      <c r="F206" s="4" t="inlineStr">
        <is>
          <t>F0327</t>
        </is>
      </c>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08">
      <c r="A207" s="4" t="inlineStr">
        <is>
          <t>Paul Verhoeven</t>
        </is>
      </c>
      <c r="B207" s="4" t="n">
        <v>1</v>
      </c>
      <c r="C207" s="4" t="n"/>
      <c r="D207" s="4" t="n"/>
      <c r="E207" s="19" t="inlineStr">
        <is>
          <t>RoboCop</t>
        </is>
      </c>
      <c r="F207" s="4" t="inlineStr">
        <is>
          <t>F0268</t>
        </is>
      </c>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08">
      <c r="A208" s="4" t="inlineStr">
        <is>
          <t>Peter Berg</t>
        </is>
      </c>
      <c r="B208" s="4" t="n">
        <v>1</v>
      </c>
      <c r="C208" s="4" t="n">
        <v>2013</v>
      </c>
      <c r="D208" s="4" t="n">
        <v>2013</v>
      </c>
      <c r="E208" s="19" t="inlineStr">
        <is>
          <t>Lone Survivor</t>
        </is>
      </c>
      <c r="F208" s="4" t="inlineStr">
        <is>
          <t>F0202</t>
        </is>
      </c>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08">
      <c r="A209" s="4" t="inlineStr">
        <is>
          <t>Phil Johnston</t>
        </is>
      </c>
      <c r="B209" s="4" t="n">
        <v>1</v>
      </c>
      <c r="C209" s="4" t="n">
        <v>2018</v>
      </c>
      <c r="D209" s="4" t="n">
        <v>2018</v>
      </c>
      <c r="E209" s="19" t="inlineStr">
        <is>
          <t>Ralph Breaks the Internet</t>
        </is>
      </c>
      <c r="F209" s="4" t="inlineStr">
        <is>
          <t>F0337</t>
        </is>
      </c>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08">
      <c r="A210" s="4" t="inlineStr">
        <is>
          <t>Phillip Noyce</t>
        </is>
      </c>
      <c r="B210" s="4" t="n">
        <v>1</v>
      </c>
      <c r="C210" s="4" t="n">
        <v>2010</v>
      </c>
      <c r="D210" s="4" t="n">
        <v>2010</v>
      </c>
      <c r="E210" s="19" t="inlineStr">
        <is>
          <t>Salt</t>
        </is>
      </c>
      <c r="F210" s="4" t="inlineStr">
        <is>
          <t>F0273</t>
        </is>
      </c>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08">
      <c r="A211" s="4" t="inlineStr">
        <is>
          <t>Phyllida Lloyd</t>
        </is>
      </c>
      <c r="B211" s="4" t="n">
        <v>1</v>
      </c>
      <c r="C211" s="4" t="n">
        <v>2008</v>
      </c>
      <c r="D211" s="4" t="n">
        <v>2008</v>
      </c>
      <c r="E211" s="19" t="inlineStr">
        <is>
          <t>Mamma Mia!</t>
        </is>
      </c>
      <c r="F211" s="4" t="inlineStr">
        <is>
          <t>F0209</t>
        </is>
      </c>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08">
      <c r="A212" s="4" t="inlineStr">
        <is>
          <t>Pierre Leduc</t>
        </is>
      </c>
      <c r="B212" s="4" t="n">
        <v>1</v>
      </c>
      <c r="C212" s="4" t="n">
        <v>2023</v>
      </c>
      <c r="D212" s="4" t="n">
        <v>2023</v>
      </c>
      <c r="E212" s="19" t="inlineStr">
        <is>
          <t>The Super Mario Bros. Movie</t>
        </is>
      </c>
      <c r="F212" s="4" t="inlineStr">
        <is>
          <t>F0212</t>
        </is>
      </c>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08">
      <c r="A213" s="4" t="inlineStr">
        <is>
          <t>Pierre Morel</t>
        </is>
      </c>
      <c r="B213" s="4" t="n">
        <v>1</v>
      </c>
      <c r="C213" s="4" t="n">
        <v>2008</v>
      </c>
      <c r="D213" s="4" t="n">
        <v>2008</v>
      </c>
      <c r="E213" s="19" t="inlineStr">
        <is>
          <t>Taken</t>
        </is>
      </c>
      <c r="F213" s="4" t="inlineStr">
        <is>
          <t>F0306</t>
        </is>
      </c>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08">
      <c r="A214" s="4" t="inlineStr">
        <is>
          <t>Raja Gosnell</t>
        </is>
      </c>
      <c r="B214" s="4" t="n">
        <v>1</v>
      </c>
      <c r="C214" s="4" t="n">
        <v>2013</v>
      </c>
      <c r="D214" s="4" t="n">
        <v>2013</v>
      </c>
      <c r="E214" s="19" t="inlineStr">
        <is>
          <t>The Smurfs 2</t>
        </is>
      </c>
      <c r="F214" s="4" t="inlineStr">
        <is>
          <t>F0282</t>
        </is>
      </c>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08">
      <c r="A215" s="4" t="inlineStr">
        <is>
          <t>Renny Harlin</t>
        </is>
      </c>
      <c r="B215" s="4" t="n">
        <v>1</v>
      </c>
      <c r="C215" s="4" t="n">
        <v>2014</v>
      </c>
      <c r="D215" s="4" t="n">
        <v>2014</v>
      </c>
      <c r="E215" s="19" t="inlineStr">
        <is>
          <t>The Legend of Hercules</t>
        </is>
      </c>
      <c r="F215" s="4" t="inlineStr">
        <is>
          <t>F0148</t>
        </is>
      </c>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08">
      <c r="A216" s="4" t="inlineStr">
        <is>
          <t>Rian Johnson</t>
        </is>
      </c>
      <c r="B216" s="4" t="n">
        <v>1</v>
      </c>
      <c r="C216" s="4" t="n">
        <v>2017</v>
      </c>
      <c r="D216" s="4" t="n">
        <v>2017</v>
      </c>
      <c r="E216" s="19" t="inlineStr">
        <is>
          <t>Star Wars: The Last Jedi</t>
        </is>
      </c>
      <c r="F216" s="4" t="inlineStr">
        <is>
          <t>F0299</t>
        </is>
      </c>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08">
      <c r="A217" s="4" t="inlineStr">
        <is>
          <t>Richard Donner</t>
        </is>
      </c>
      <c r="B217" s="4" t="n">
        <v>1</v>
      </c>
      <c r="C217" s="4" t="n">
        <v>2025</v>
      </c>
      <c r="D217" s="4" t="n">
        <v>2025</v>
      </c>
      <c r="E217" s="19" t="inlineStr">
        <is>
          <t>Superman</t>
        </is>
      </c>
      <c r="F217" s="4" t="inlineStr">
        <is>
          <t>F0304</t>
        </is>
      </c>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08">
      <c r="A218" s="4" t="inlineStr">
        <is>
          <t>Richard Loncraine</t>
        </is>
      </c>
      <c r="B218" s="4" t="n">
        <v>1</v>
      </c>
      <c r="C218" s="4" t="n">
        <v>2006</v>
      </c>
      <c r="D218" s="4" t="n">
        <v>2006</v>
      </c>
      <c r="E218" s="19" t="inlineStr">
        <is>
          <t>Firewall</t>
        </is>
      </c>
      <c r="F218" s="4" t="inlineStr">
        <is>
          <t>F0114</t>
        </is>
      </c>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08">
      <c r="A219" s="4" t="inlineStr">
        <is>
          <t>Richard Marquand</t>
        </is>
      </c>
      <c r="B219" s="4" t="n">
        <v>1</v>
      </c>
      <c r="C219" s="4" t="n">
        <v>1983</v>
      </c>
      <c r="D219" s="4" t="n">
        <v>1983</v>
      </c>
      <c r="E219" s="19" t="inlineStr">
        <is>
          <t>Star Wars: Episode VI – Return of the Jedi</t>
        </is>
      </c>
      <c r="F219" s="4" t="inlineStr">
        <is>
          <t>F0297</t>
        </is>
      </c>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08">
      <c r="A220" s="4" t="inlineStr">
        <is>
          <t>Rob Bowman</t>
        </is>
      </c>
      <c r="B220" s="4" t="n">
        <v>1</v>
      </c>
      <c r="C220" s="4" t="n">
        <v>2002</v>
      </c>
      <c r="D220" s="4" t="n">
        <v>2002</v>
      </c>
      <c r="E220" s="19" t="inlineStr">
        <is>
          <t>Reign of Fire</t>
        </is>
      </c>
      <c r="F220" s="4" t="inlineStr">
        <is>
          <t>F0263</t>
        </is>
      </c>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08">
      <c r="A221" s="4" t="inlineStr">
        <is>
          <t>Rob Cohen</t>
        </is>
      </c>
      <c r="B221" s="4" t="n">
        <v>1</v>
      </c>
      <c r="C221" s="4" t="n">
        <v>2001</v>
      </c>
      <c r="D221" s="4" t="n">
        <v>2001</v>
      </c>
      <c r="E221" s="19" t="inlineStr">
        <is>
          <t>The Fast and the Furious</t>
        </is>
      </c>
      <c r="F221" s="4" t="inlineStr">
        <is>
          <t>F0101</t>
        </is>
      </c>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08">
      <c r="A222" s="4" t="inlineStr">
        <is>
          <t>Rob Marshall</t>
        </is>
      </c>
      <c r="B222" s="4" t="n">
        <v>1</v>
      </c>
      <c r="C222" s="4" t="n">
        <v>2011</v>
      </c>
      <c r="D222" s="4" t="n">
        <v>2011</v>
      </c>
      <c r="E222" s="19" t="inlineStr">
        <is>
          <t>Pirates of the Caribbean: On Stranger Tides</t>
        </is>
      </c>
      <c r="F222" s="4" t="inlineStr">
        <is>
          <t>F0249</t>
        </is>
      </c>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08">
      <c r="A223" s="4" t="inlineStr">
        <is>
          <t>Rob Minkoff</t>
        </is>
      </c>
      <c r="B223" s="4" t="n">
        <v>1</v>
      </c>
      <c r="C223" s="4" t="n">
        <v>1994</v>
      </c>
      <c r="D223" s="4" t="n">
        <v>1994</v>
      </c>
      <c r="E223" s="19" t="inlineStr">
        <is>
          <t>The Lion King</t>
        </is>
      </c>
      <c r="F223" s="4" t="inlineStr">
        <is>
          <t>F0200</t>
        </is>
      </c>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08">
      <c r="A224" s="4" t="inlineStr">
        <is>
          <t>Rob Reiner</t>
        </is>
      </c>
      <c r="B224" s="4" t="n">
        <v>1</v>
      </c>
      <c r="C224" s="4" t="n">
        <v>2007</v>
      </c>
      <c r="D224" s="4" t="n">
        <v>2007</v>
      </c>
      <c r="E224" s="19" t="inlineStr">
        <is>
          <t>The Bucket List</t>
        </is>
      </c>
      <c r="F224" s="4" t="inlineStr">
        <is>
          <t>F0060</t>
        </is>
      </c>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08">
      <c r="A225" s="4" t="inlineStr">
        <is>
          <t>Robert Schwentke</t>
        </is>
      </c>
      <c r="B225" s="4" t="n">
        <v>1</v>
      </c>
      <c r="C225" s="4" t="n">
        <v>2010</v>
      </c>
      <c r="D225" s="4" t="n">
        <v>2010</v>
      </c>
      <c r="E225" s="19" t="inlineStr">
        <is>
          <t>RED</t>
        </is>
      </c>
      <c r="F225" s="4" t="inlineStr">
        <is>
          <t>F0262</t>
        </is>
      </c>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08">
      <c r="A226" s="4" t="inlineStr">
        <is>
          <t>Robert Stromberg</t>
        </is>
      </c>
      <c r="B226" s="4" t="n">
        <v>1</v>
      </c>
      <c r="C226" s="4" t="n">
        <v>2014</v>
      </c>
      <c r="D226" s="4" t="n">
        <v>2014</v>
      </c>
      <c r="E226" s="19" t="inlineStr">
        <is>
          <t>Maleficent</t>
        </is>
      </c>
      <c r="F226" s="4" t="inlineStr">
        <is>
          <t>F0208</t>
        </is>
      </c>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08">
      <c r="A227" s="4" t="inlineStr">
        <is>
          <t>Roger Allers</t>
        </is>
      </c>
      <c r="B227" s="4" t="n">
        <v>1</v>
      </c>
      <c r="C227" s="4" t="n">
        <v>1994</v>
      </c>
      <c r="D227" s="4" t="n">
        <v>1994</v>
      </c>
      <c r="E227" s="19" t="inlineStr">
        <is>
          <t>The Lion King</t>
        </is>
      </c>
      <c r="F227" s="4" t="inlineStr">
        <is>
          <t>F0200</t>
        </is>
      </c>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08">
      <c r="A228" s="4" t="inlineStr">
        <is>
          <t>Roger Donaldson</t>
        </is>
      </c>
      <c r="B228" s="4" t="n">
        <v>1</v>
      </c>
      <c r="C228" s="4" t="n">
        <v>2008</v>
      </c>
      <c r="D228" s="4" t="n">
        <v>2008</v>
      </c>
      <c r="E228" s="19" t="inlineStr">
        <is>
          <t>The Bank Job</t>
        </is>
      </c>
      <c r="F228" s="4" t="inlineStr">
        <is>
          <t>F0040</t>
        </is>
      </c>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08">
      <c r="A229" s="4" t="inlineStr">
        <is>
          <t>Ronnie Del Carmen</t>
        </is>
      </c>
      <c r="B229" s="4" t="n">
        <v>1</v>
      </c>
      <c r="C229" s="4" t="n">
        <v>2015</v>
      </c>
      <c r="D229" s="4" t="n">
        <v>2015</v>
      </c>
      <c r="E229" s="19" t="inlineStr">
        <is>
          <t>Inside Out</t>
        </is>
      </c>
      <c r="F229" s="4" t="inlineStr">
        <is>
          <t>F0167</t>
        </is>
      </c>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08">
      <c r="A230" s="4" t="inlineStr">
        <is>
          <t>Ruben Fleischer</t>
        </is>
      </c>
      <c r="B230" s="4" t="n">
        <v>1</v>
      </c>
      <c r="C230" s="4" t="n">
        <v>2011</v>
      </c>
      <c r="D230" s="4" t="n">
        <v>2011</v>
      </c>
      <c r="E230" s="19" t="inlineStr">
        <is>
          <t>30 Minutes or Less</t>
        </is>
      </c>
      <c r="F230" s="4" t="inlineStr">
        <is>
          <t>F0009</t>
        </is>
      </c>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08">
      <c r="A231" s="4" t="inlineStr">
        <is>
          <t>Rupert Sanders</t>
        </is>
      </c>
      <c r="B231" s="4" t="n">
        <v>1</v>
      </c>
      <c r="C231" s="4" t="n">
        <v>2012</v>
      </c>
      <c r="D231" s="4" t="n">
        <v>2012</v>
      </c>
      <c r="E231" s="19" t="inlineStr">
        <is>
          <t>Snow White and the Huntsman</t>
        </is>
      </c>
      <c r="F231" s="4" t="inlineStr">
        <is>
          <t>F0284</t>
        </is>
      </c>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08">
      <c r="A232" s="4" t="inlineStr">
        <is>
          <t>Rupert Wyatt</t>
        </is>
      </c>
      <c r="B232" s="4" t="n">
        <v>1</v>
      </c>
      <c r="C232" s="4" t="n">
        <v>2011</v>
      </c>
      <c r="D232" s="4" t="n">
        <v>2011</v>
      </c>
      <c r="E232" s="19" t="inlineStr">
        <is>
          <t>Rise of the Planet of the Apes</t>
        </is>
      </c>
      <c r="F232" s="4" t="inlineStr">
        <is>
          <t>F0253</t>
        </is>
      </c>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08">
      <c r="A233" s="4" t="inlineStr">
        <is>
          <t>Ryan Coogler</t>
        </is>
      </c>
      <c r="B233" s="4" t="n">
        <v>1</v>
      </c>
      <c r="C233" s="4" t="n">
        <v>2015</v>
      </c>
      <c r="D233" s="4" t="n">
        <v>2015</v>
      </c>
      <c r="E233" s="19" t="inlineStr">
        <is>
          <t>Creed</t>
        </is>
      </c>
      <c r="F233" s="4" t="inlineStr">
        <is>
          <t>F0074</t>
        </is>
      </c>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08">
      <c r="A234" s="4" t="inlineStr">
        <is>
          <t>Scott Moore</t>
        </is>
      </c>
      <c r="B234" s="4" t="n">
        <v>1</v>
      </c>
      <c r="C234" s="4" t="n">
        <v>2016</v>
      </c>
      <c r="D234" s="4" t="n">
        <v>2016</v>
      </c>
      <c r="E234" s="19" t="inlineStr">
        <is>
          <t>Bad Moms</t>
        </is>
      </c>
      <c r="F234" s="4" t="inlineStr">
        <is>
          <t>F0038</t>
        </is>
      </c>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08">
      <c r="A235" s="4" t="inlineStr">
        <is>
          <t>Scott Waugh</t>
        </is>
      </c>
      <c r="B235" s="4" t="n">
        <v>1</v>
      </c>
      <c r="C235" s="4" t="n">
        <v>2014</v>
      </c>
      <c r="D235" s="4" t="n">
        <v>2014</v>
      </c>
      <c r="E235" s="19" t="inlineStr">
        <is>
          <t>Need for Speed</t>
        </is>
      </c>
      <c r="F235" s="4" t="inlineStr">
        <is>
          <t>F0234</t>
        </is>
      </c>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08">
      <c r="A236" s="4" t="inlineStr">
        <is>
          <t>Stephen Sommers</t>
        </is>
      </c>
      <c r="B236" s="4" t="n">
        <v>1</v>
      </c>
      <c r="C236" s="4" t="n">
        <v>2009</v>
      </c>
      <c r="D236" s="4" t="n">
        <v>2009</v>
      </c>
      <c r="E236" s="19" t="inlineStr">
        <is>
          <t>G.I. Joe: The Rise of Cobra</t>
        </is>
      </c>
      <c r="F236" s="4" t="inlineStr">
        <is>
          <t>F0118</t>
        </is>
      </c>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08">
      <c r="A237" s="4" t="inlineStr">
        <is>
          <t>Steven Caple Jr.</t>
        </is>
      </c>
      <c r="B237" s="4" t="n">
        <v>1</v>
      </c>
      <c r="C237" s="4" t="n">
        <v>2023</v>
      </c>
      <c r="D237" s="4" t="n">
        <v>2023</v>
      </c>
      <c r="E237" s="19" t="inlineStr">
        <is>
          <t>Transformers: Rise of the Beasts</t>
        </is>
      </c>
      <c r="F237" s="4" t="inlineStr">
        <is>
          <t>F0321</t>
        </is>
      </c>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08">
      <c r="A238" s="4" t="inlineStr">
        <is>
          <t>Steven Knight</t>
        </is>
      </c>
      <c r="B238" s="4" t="n">
        <v>1</v>
      </c>
      <c r="C238" s="4" t="n">
        <v>2013</v>
      </c>
      <c r="D238" s="4" t="n">
        <v>2013</v>
      </c>
      <c r="E238" s="19" t="inlineStr">
        <is>
          <t>Hummingbird</t>
        </is>
      </c>
      <c r="F238" s="4" t="inlineStr">
        <is>
          <t>F0156</t>
        </is>
      </c>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08">
      <c r="A239" s="4" t="inlineStr">
        <is>
          <t>Steven Soderbergh</t>
        </is>
      </c>
      <c r="B239" s="4" t="n">
        <v>1</v>
      </c>
      <c r="C239" s="4" t="n">
        <v>2012</v>
      </c>
      <c r="D239" s="4" t="n">
        <v>2012</v>
      </c>
      <c r="E239" s="19" t="inlineStr">
        <is>
          <t>Magic Mike</t>
        </is>
      </c>
      <c r="F239" s="4" t="inlineStr">
        <is>
          <t>F0206</t>
        </is>
      </c>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08">
      <c r="A240" s="4" t="inlineStr">
        <is>
          <t>Stuart Beattie</t>
        </is>
      </c>
      <c r="B240" s="4" t="n">
        <v>5</v>
      </c>
      <c r="C240" s="4" t="n">
        <v>2014</v>
      </c>
      <c r="D240" s="4" t="n">
        <v>2014</v>
      </c>
      <c r="E240" s="19" t="inlineStr">
        <is>
          <t>I, Frankenstein, I, Frankenstein, I, Frankenstein, I, Frankenstein, I, Frankenstein</t>
        </is>
      </c>
      <c r="F240" s="4" t="inlineStr">
        <is>
          <t>F0159</t>
        </is>
      </c>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08">
      <c r="A241" s="4" t="inlineStr">
        <is>
          <t>T. Hee</t>
        </is>
      </c>
      <c r="B241" s="4" t="n">
        <v>1</v>
      </c>
      <c r="C241" s="4" t="n">
        <v>1940</v>
      </c>
      <c r="D241" s="4" t="n">
        <v>1940</v>
      </c>
      <c r="E241" s="19" t="inlineStr">
        <is>
          <t>Pinocchio</t>
        </is>
      </c>
      <c r="F241" s="4" t="inlineStr">
        <is>
          <t>F0248</t>
        </is>
      </c>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08">
      <c r="A242" s="4" t="inlineStr">
        <is>
          <t>Taika Waititi</t>
        </is>
      </c>
      <c r="B242" s="4" t="n">
        <v>1</v>
      </c>
      <c r="C242" s="4" t="n">
        <v>2019</v>
      </c>
      <c r="D242" s="4" t="n">
        <v>2019</v>
      </c>
      <c r="E242" s="19" t="inlineStr">
        <is>
          <t>Jojo Rabbit</t>
        </is>
      </c>
      <c r="F242" s="4" t="inlineStr">
        <is>
          <t>F0170</t>
        </is>
      </c>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08">
      <c r="A243" s="4" t="inlineStr">
        <is>
          <t>Tim Johnson</t>
        </is>
      </c>
      <c r="B243" s="4" t="n">
        <v>1</v>
      </c>
      <c r="C243" s="4" t="n">
        <v>2015</v>
      </c>
      <c r="D243" s="4" t="n">
        <v>2015</v>
      </c>
      <c r="E243" s="19" t="inlineStr">
        <is>
          <t>Home</t>
        </is>
      </c>
      <c r="F243" s="4" t="inlineStr">
        <is>
          <t>F0153</t>
        </is>
      </c>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08">
      <c r="A244" s="4" t="inlineStr">
        <is>
          <t>Tim Miller</t>
        </is>
      </c>
      <c r="B244" s="4" t="n">
        <v>1</v>
      </c>
      <c r="C244" s="4" t="n">
        <v>2016</v>
      </c>
      <c r="D244" s="4" t="n">
        <v>2016</v>
      </c>
      <c r="E244" s="19" t="inlineStr">
        <is>
          <t>Deadpool</t>
        </is>
      </c>
      <c r="F244" s="4" t="inlineStr">
        <is>
          <t>F0076</t>
        </is>
      </c>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08">
      <c r="A245" s="4" t="inlineStr">
        <is>
          <t>Tony Gilroy</t>
        </is>
      </c>
      <c r="B245" s="4" t="n">
        <v>1</v>
      </c>
      <c r="C245" s="4" t="n">
        <v>2012</v>
      </c>
      <c r="D245" s="4" t="n">
        <v>2012</v>
      </c>
      <c r="E245" s="19" t="inlineStr">
        <is>
          <t>The Bourne Legacy</t>
        </is>
      </c>
      <c r="F245" s="4" t="inlineStr">
        <is>
          <t>F0056</t>
        </is>
      </c>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08">
      <c r="A246" s="4" t="inlineStr">
        <is>
          <t>Tony Scott</t>
        </is>
      </c>
      <c r="B246" s="4" t="n">
        <v>1</v>
      </c>
      <c r="C246" s="4" t="n">
        <v>1998</v>
      </c>
      <c r="D246" s="4" t="n">
        <v>1998</v>
      </c>
      <c r="E246" s="19" t="inlineStr">
        <is>
          <t>Enemy of the State</t>
        </is>
      </c>
      <c r="F246" s="4" t="inlineStr">
        <is>
          <t>F0094</t>
        </is>
      </c>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08">
      <c r="A247" s="4" t="inlineStr">
        <is>
          <t>Travis Knight</t>
        </is>
      </c>
      <c r="B247" s="4" t="n">
        <v>1</v>
      </c>
      <c r="C247" s="4" t="n">
        <v>2018</v>
      </c>
      <c r="D247" s="4" t="n">
        <v>2018</v>
      </c>
      <c r="E247" s="19" t="inlineStr">
        <is>
          <t>Bumblebee</t>
        </is>
      </c>
      <c r="F247" s="4" t="inlineStr">
        <is>
          <t>F0061</t>
        </is>
      </c>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08">
      <c r="A248" s="4" t="inlineStr">
        <is>
          <t>Trish Sie</t>
        </is>
      </c>
      <c r="B248" s="4" t="n">
        <v>1</v>
      </c>
      <c r="C248" s="4" t="n">
        <v>2017</v>
      </c>
      <c r="D248" s="4" t="n">
        <v>2017</v>
      </c>
      <c r="E248" s="19" t="inlineStr">
        <is>
          <t>Pitch Perfect 3</t>
        </is>
      </c>
      <c r="F248" s="4" t="inlineStr">
        <is>
          <t>F0252</t>
        </is>
      </c>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08">
      <c r="A249" s="4" t="inlineStr">
        <is>
          <t>Walter Hill</t>
        </is>
      </c>
      <c r="B249" s="4" t="n">
        <v>1</v>
      </c>
      <c r="C249" s="4" t="n">
        <v>1979</v>
      </c>
      <c r="D249" s="4" t="n">
        <v>1979</v>
      </c>
      <c r="E249" s="19" t="inlineStr">
        <is>
          <t>The Warriors</t>
        </is>
      </c>
      <c r="F249" s="4" t="inlineStr">
        <is>
          <t>F0334</t>
        </is>
      </c>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08">
      <c r="A250" s="4" t="inlineStr">
        <is>
          <t>Wilfred Jackson</t>
        </is>
      </c>
      <c r="B250" s="4" t="n">
        <v>1</v>
      </c>
      <c r="C250" s="4" t="n">
        <v>1940</v>
      </c>
      <c r="D250" s="4" t="n">
        <v>1940</v>
      </c>
      <c r="E250" s="19" t="inlineStr">
        <is>
          <t>Pinocchio</t>
        </is>
      </c>
      <c r="F250" s="4" t="inlineStr">
        <is>
          <t>F0248</t>
        </is>
      </c>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08">
      <c r="A251" s="45" t="inlineStr">
        <is>
          <t>Zack Snyder</t>
        </is>
      </c>
      <c r="B251" s="45" t="n">
        <v>1</v>
      </c>
      <c r="C251" s="45" t="n">
        <v>2013</v>
      </c>
      <c r="D251" s="45" t="n">
        <v>2013</v>
      </c>
      <c r="E251" s="63" t="inlineStr">
        <is>
          <t>Man of Steel</t>
        </is>
      </c>
      <c r="F251" s="45" t="inlineStr">
        <is>
          <t>F0211</t>
        </is>
      </c>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08">
      <c r="A252" s="18" t="inlineStr">
        <is>
          <t>Ron Clements</t>
        </is>
      </c>
      <c r="B252" s="18" t="n">
        <v>1</v>
      </c>
      <c r="C252" s="18" t="n">
        <v>2014</v>
      </c>
      <c r="D252" s="18" t="n">
        <v>2014</v>
      </c>
      <c r="E252" s="18" t="inlineStr">
        <is>
          <t>Hercules</t>
        </is>
      </c>
      <c r="F252" s="18" t="inlineStr">
        <is>
          <t>F0147</t>
        </is>
      </c>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08">
      <c r="A253" s="18" t="inlineStr">
        <is>
          <t>Rick Morales</t>
        </is>
      </c>
      <c r="B253" s="18" t="n">
        <v>1</v>
      </c>
      <c r="C253" s="18" t="n">
        <v>2016</v>
      </c>
      <c r="D253" s="18" t="n">
        <v>2016</v>
      </c>
      <c r="E253" s="18" t="inlineStr">
        <is>
          <t>Lego DC Comics Super Heroes: Justice League - Gotham City Breakout</t>
        </is>
      </c>
      <c r="F253" s="18" t="inlineStr">
        <is>
          <t>F0198</t>
        </is>
      </c>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08">
      <c r="A254" s="18" t="inlineStr">
        <is>
          <t>Peter MacDonald</t>
        </is>
      </c>
      <c r="B254" s="18" t="n">
        <v>1</v>
      </c>
      <c r="C254" s="18" t="n">
        <v>2008</v>
      </c>
      <c r="D254" s="18" t="n">
        <v>2008</v>
      </c>
      <c r="E254" s="18" t="inlineStr">
        <is>
          <t>Rambo</t>
        </is>
      </c>
      <c r="F254" s="18" t="inlineStr">
        <is>
          <t>F0261</t>
        </is>
      </c>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08">
      <c r="A255" s="18" t="inlineStr">
        <is>
          <t>José Padilha</t>
        </is>
      </c>
      <c r="B255" s="18" t="n">
        <v>1</v>
      </c>
      <c r="C255" s="4" t="n"/>
      <c r="D255" s="4" t="n"/>
      <c r="E255" s="18" t="inlineStr">
        <is>
          <t>RoboCop</t>
        </is>
      </c>
      <c r="F255" s="18" t="inlineStr">
        <is>
          <t>F0268</t>
        </is>
      </c>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08">
      <c r="A256" s="18" t="inlineStr">
        <is>
          <t>James Gunn</t>
        </is>
      </c>
      <c r="B256" s="18" t="n">
        <v>1</v>
      </c>
      <c r="C256" s="18" t="n">
        <v>2025</v>
      </c>
      <c r="D256" s="18" t="n">
        <v>2025</v>
      </c>
      <c r="E256" s="18" t="inlineStr">
        <is>
          <t>Superman</t>
        </is>
      </c>
      <c r="F256" s="18" t="inlineStr">
        <is>
          <t>F0304</t>
        </is>
      </c>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08">
      <c r="A257" s="18" t="inlineStr">
        <is>
          <t>Thomas C. Grane</t>
        </is>
      </c>
      <c r="B257" s="18" t="n">
        <v>1</v>
      </c>
      <c r="C257" s="18" t="n">
        <v>2000</v>
      </c>
      <c r="D257" s="18" t="n">
        <v>2000</v>
      </c>
      <c r="E257" s="18" t="inlineStr">
        <is>
          <t>X-Men</t>
        </is>
      </c>
      <c r="F257" s="18" t="inlineStr">
        <is>
          <t>F0344</t>
        </is>
      </c>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0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08">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08">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08">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08">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08">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08">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08">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08">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08">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0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08">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08">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08">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08">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08">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08">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08">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08">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08">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0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08">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08">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08">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08">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08">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08">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08">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08">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08">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0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08">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08">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08">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08">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08">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08">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08">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08">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08">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0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08">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08">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08">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08">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08">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08">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08">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08">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08">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0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08">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08">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08">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08">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08">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08">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08">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08">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08">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0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08">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08">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08">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08">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08">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08">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08">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08">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08">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0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08">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08">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08">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08">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08">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08">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08">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08">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08">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0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08">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08">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08">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08">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08">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08">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08">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08">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08">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0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08">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08">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08">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08">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08">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08">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08">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08">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08">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0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08">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08">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08">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08">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08">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08">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08">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08">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08">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0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08">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08">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08">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08">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08">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08">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08">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08">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08">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0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08">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08">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08">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08">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08">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08">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08">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08">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08">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0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08">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08">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08">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08">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08">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08">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08">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08">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08">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0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08">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08">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08">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08">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08">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08">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08">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08">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08">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0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08">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08">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08">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08">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08">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08">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08">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08">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08">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0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08">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08">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08">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08">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08">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08">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08">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08">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08">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08">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08">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08">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08">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08">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08">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08">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08">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08">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08">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08">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08">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08">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08">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08">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08">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08">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08">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08">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08">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08">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08">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08">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08">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08">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08">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08">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08">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08">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08">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08">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08">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08">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08">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08">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08">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08">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08">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08">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08">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08">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08">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08">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08">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08">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08">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08">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08">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08">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08">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08">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08">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08">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08">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08">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08">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08">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08">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08">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08">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08">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08">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08">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08">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08">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08">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08">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08">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08">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08">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08">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08">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08">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08">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08">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08">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08">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08">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08">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08">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0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08">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08">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08">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08">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08">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08">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08">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08">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08">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0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08">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08">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08">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08">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08">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08">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08">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08">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08">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0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08">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08">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08">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08">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08">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08">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08">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08">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08">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0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08">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08">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08">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08">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08">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08">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08">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08">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08">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0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08">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08">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08">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08">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08">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08">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08">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08">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08">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0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08">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08">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08">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08">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08">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08">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08">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08">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08">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0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08">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08">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08">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08">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08">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08">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08">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08">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08">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0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08">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08">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08">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08">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08">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08">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08">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08">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08">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0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08">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08">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08">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08">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08">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08">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08">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08">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08">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0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08">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08">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08">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08">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08">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08">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08">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08">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08">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0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08">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08">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08">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08">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08">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08">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08">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08">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08">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0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08">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08">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08">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08">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08">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08">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08">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08">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08">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0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08">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08">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08">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08">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08">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08">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08">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08">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08">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0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08">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08">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08">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08">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08">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08">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08">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08">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08">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0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08">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08">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08">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08">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08">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08">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08">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08">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08">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0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08">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08">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08">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08">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08">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08">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08">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08">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08">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0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08">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08">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08">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08">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08">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08">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08">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08">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08">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0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08">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08">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08">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08">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08">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08">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08">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08">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08">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0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08">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08">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08">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08">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08">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08">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08">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08">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08">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0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08">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08">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08">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08">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08">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08">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08">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08">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08">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0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08">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08">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08">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08">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08">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08">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08">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08">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08">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0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08">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08">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08">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08">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08">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08">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08">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08">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08">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0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08">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08">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08">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08">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08">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08">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08">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08">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08">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0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08">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08">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08">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08">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08">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08">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08">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08">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08">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0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08">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08">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08">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08">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08">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08">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08">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08">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08">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0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08">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08">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08">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08">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08">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08">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08">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08">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08">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0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08">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08">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08">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08">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08">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08">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08">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08">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08">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0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08">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08">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08">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08">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08">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08">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08">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08">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08">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0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08">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08">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08">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08">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08">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08">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08">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08">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08">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0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08">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08">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08">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08">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08">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08">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08">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08">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08">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0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08">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08">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08">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08">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08">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08">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08">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08">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08">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0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08">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08">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08">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08">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08">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08">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08">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08">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08">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0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08">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08">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08">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08">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08">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08">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08">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08">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08">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0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08">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08">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08">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08">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08">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08">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08">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08">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08">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0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08">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08">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08">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08">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08">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08">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08">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08">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08">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0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08">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08">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08">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08">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08">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08">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08">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08">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08">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0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08">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08">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08">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08">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08">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08">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08">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08">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08">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0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08">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08">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08">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08">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08">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08">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08">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08">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08">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0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08">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08">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08">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08">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08">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08">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08">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08">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08">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0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08">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08">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08">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08">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08">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08">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08">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08">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08">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0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08">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08">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08">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08">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08">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08">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08">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08">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08">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0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08">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08">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08">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08">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08">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08">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08">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08">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08">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0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08">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08">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08">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08">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08">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08">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08">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08">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08">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0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08">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08">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08">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08">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08">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08">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08">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08">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08">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0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08">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08">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08">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08">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08">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08">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08">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08">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08">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0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08">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08">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08">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08">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08">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08">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08">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08">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08">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0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08">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08">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08">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08">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08">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08">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08">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08">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08">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0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08">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08">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08">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08">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08">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08">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08">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08">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08">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0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08">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08">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08">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08">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08">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08">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08">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08">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08">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0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08">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08">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row r="1001">
      <c r="A1001" s="0" t="inlineStr">
        <is>
          <t>Paul Thomas Anderson</t>
        </is>
      </c>
      <c r="B1001" s="0" t="n">
        <v>1</v>
      </c>
      <c r="C1001" s="0" t="n">
        <v>2025</v>
      </c>
      <c r="D1001" s="0" t="n">
        <v>2025</v>
      </c>
      <c r="E1001" s="0" t="inlineStr">
        <is>
          <t>One battle after another</t>
        </is>
      </c>
      <c r="F1001" s="0" t="inlineStr">
        <is>
          <t>F0353</t>
        </is>
      </c>
    </row>
    <row r="1002">
      <c r="A1002" s="0" t="inlineStr">
        <is>
          <t>Baltasar Kormákur</t>
        </is>
      </c>
      <c r="B1002" s="0" t="n">
        <v>1</v>
      </c>
      <c r="C1002" s="0" t="n">
        <v>2013</v>
      </c>
      <c r="D1002" s="0" t="n">
        <v>2013</v>
      </c>
      <c r="E1002" s="0" t="inlineStr">
        <is>
          <t>2 guns</t>
        </is>
      </c>
      <c r="F1002" s="0" t="inlineStr">
        <is>
          <t>F0355</t>
        </is>
      </c>
    </row>
    <row r="1003">
      <c r="A1003" s="0" t="inlineStr">
        <is>
          <t>Fede Álvarez</t>
        </is>
      </c>
      <c r="B1003" s="0" t="n">
        <v>1</v>
      </c>
      <c r="C1003" s="0" t="n">
        <v>2025</v>
      </c>
      <c r="D1003" s="0" t="n">
        <v>2025</v>
      </c>
      <c r="E1003" s="0" t="inlineStr">
        <is>
          <t>alien romulus</t>
        </is>
      </c>
      <c r="F1003" s="0" t="inlineStr">
        <is>
          <t>F0362</t>
        </is>
      </c>
    </row>
    <row r="1004">
      <c r="A1004" s="0" t="inlineStr">
        <is>
          <t>Peter Farrelly</t>
        </is>
      </c>
      <c r="B1004" s="0" t="n">
        <v>2</v>
      </c>
      <c r="C1004" s="0" t="n">
        <v>2018</v>
      </c>
      <c r="D1004" s="0" t="n">
        <v>2018</v>
      </c>
      <c r="E1004" s="0" t="inlineStr">
        <is>
          <t xml:space="preserve">green book, green book </t>
        </is>
      </c>
      <c r="F1004" s="0" t="inlineStr">
        <is>
          <t>F0371</t>
        </is>
      </c>
    </row>
    <row r="1005">
      <c r="A1005" s="0" t="inlineStr">
        <is>
          <t>Chad Stahelski</t>
        </is>
      </c>
      <c r="B1005" s="0" t="n">
        <v>5</v>
      </c>
      <c r="C1005" s="0" t="n">
        <v>2014</v>
      </c>
      <c r="D1005" s="0" t="n">
        <v>2023</v>
      </c>
      <c r="E1005" s="0" t="inlineStr">
        <is>
          <t xml:space="preserve">john wick, john wick chapter 2, John wick chapter 3, John wick chapter 4, john wick chapter 2 </t>
        </is>
      </c>
      <c r="F1005" s="0" t="inlineStr">
        <is>
          <t>F0374, F0375, F0391, F0392</t>
        </is>
      </c>
    </row>
    <row r="1006">
      <c r="A1006" s="0" t="inlineStr">
        <is>
          <t>Jeff Fowler</t>
        </is>
      </c>
      <c r="B1006" s="0" t="n">
        <v>2</v>
      </c>
      <c r="C1006" s="0" t="n">
        <v>2020</v>
      </c>
      <c r="D1006" s="0" t="n">
        <v>2025</v>
      </c>
      <c r="E1006" s="0" t="inlineStr">
        <is>
          <t>sonic the hedgehog, sonic the hedgehog 3</t>
        </is>
      </c>
      <c r="F1006" s="0" t="inlineStr">
        <is>
          <t>F0378, F0379</t>
        </is>
      </c>
    </row>
    <row r="1007">
      <c r="A1007" s="0" t="inlineStr">
        <is>
          <t>Simon Kinberg</t>
        </is>
      </c>
      <c r="B1007" s="0" t="n">
        <v>1</v>
      </c>
      <c r="C1007" s="0" t="n">
        <v>2022</v>
      </c>
      <c r="D1007" s="0" t="n">
        <v>2022</v>
      </c>
      <c r="E1007" s="0" t="inlineStr">
        <is>
          <t>X-men dark phoenix</t>
        </is>
      </c>
      <c r="F1007" s="0" t="inlineStr">
        <is>
          <t>F0380</t>
        </is>
      </c>
    </row>
    <row r="1008">
      <c r="A1008" s="0" t="inlineStr">
        <is>
          <t>Ivan Reitman</t>
        </is>
      </c>
      <c r="B1008" s="0" t="n">
        <v>1</v>
      </c>
      <c r="C1008" s="0" t="n">
        <v>2001</v>
      </c>
      <c r="D1008" s="0" t="n">
        <v>2001</v>
      </c>
      <c r="E1008" s="0" t="inlineStr">
        <is>
          <t>Evolution</t>
        </is>
      </c>
      <c r="F1008" s="0" t="inlineStr">
        <is>
          <t>F0381</t>
        </is>
      </c>
    </row>
    <row r="1009">
      <c r="A1009" s="0" t="inlineStr">
        <is>
          <t>Tom Gormican</t>
        </is>
      </c>
      <c r="B1009" s="0" t="n">
        <v>2</v>
      </c>
      <c r="C1009" s="0" t="n">
        <v>2022</v>
      </c>
      <c r="D1009" s="0" t="n">
        <v>2022</v>
      </c>
      <c r="E1009" s="0" t="inlineStr">
        <is>
          <t xml:space="preserve">Unbearable weight of massive talent, Unbearable weight of massive talent </t>
        </is>
      </c>
      <c r="F1009" s="0" t="inlineStr">
        <is>
          <t>F0388</t>
        </is>
      </c>
    </row>
  </sheetData>
  <mergeCells count="2">
    <mergeCell ref="A2:F2"/>
    <mergeCell ref="A1:F1"/>
  </mergeCells>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4.43" defaultRowHeight="15" customHeight="1"/>
  <cols>
    <col width="10" customWidth="1" style="108" min="1" max="1"/>
    <col width="40" customWidth="1" style="108" min="2" max="2"/>
    <col width="8" customWidth="1" style="108" min="3" max="3"/>
    <col width="12" customWidth="1" style="108" min="4" max="4"/>
    <col width="9" customWidth="1" style="108" min="5" max="5"/>
    <col width="15" customWidth="1" style="108" min="6" max="6"/>
    <col width="12" customWidth="1" style="108" min="7" max="7"/>
    <col width="11" customWidth="1" style="108" min="8" max="8"/>
    <col width="30" customWidth="1" style="108" min="9" max="9"/>
    <col width="14" customWidth="1" style="108" min="10" max="10"/>
    <col width="13" customWidth="1" style="108" min="11" max="11"/>
    <col width="28" customWidth="1" style="108" min="12" max="12"/>
    <col width="13" customWidth="1" style="108" min="13" max="13"/>
    <col width="12" customWidth="1" style="108" min="14" max="14"/>
    <col width="17" customWidth="1" style="108" min="15" max="15"/>
    <col width="50" customWidth="1" style="108" min="16" max="16"/>
    <col width="62" customWidth="1" style="108" min="17" max="17"/>
    <col width="34" customWidth="1" style="108" min="18" max="18"/>
    <col width="8.710000000000001" customWidth="1" style="108" min="19" max="26"/>
  </cols>
  <sheetData>
    <row r="1" ht="23.25" customHeight="1" s="108">
      <c r="A1" s="119" t="inlineStr">
        <is>
          <t>🏆 ACADEMY AWARDS</t>
        </is>
      </c>
    </row>
    <row r="2">
      <c r="A2" s="120" t="inlineStr">
        <is>
          <t>Oscar history for every film in your collection. Filter by Best Picture, wins, acting, directing, writing or animated feature.</t>
        </is>
      </c>
    </row>
    <row r="3">
      <c r="A3" s="4" t="n"/>
      <c r="B3" s="4" t="n"/>
      <c r="C3" s="4" t="n"/>
      <c r="D3" s="4" t="n"/>
      <c r="E3" s="4" t="n"/>
      <c r="F3" s="4" t="n"/>
      <c r="G3" s="4" t="n"/>
      <c r="H3" s="4" t="n"/>
      <c r="I3" s="4" t="n"/>
      <c r="J3" s="4" t="n"/>
      <c r="K3" s="4" t="n"/>
      <c r="L3" s="4" t="n"/>
      <c r="M3" s="4" t="n"/>
      <c r="N3" s="4" t="n"/>
      <c r="O3" s="4" t="n"/>
      <c r="P3" s="4" t="n"/>
      <c r="Q3" s="4" t="n"/>
      <c r="R3" s="4" t="n"/>
    </row>
    <row r="4" ht="30" customHeight="1" s="108">
      <c r="A4" s="82" t="inlineStr">
        <is>
          <t>Film ID</t>
        </is>
      </c>
      <c r="B4" s="82" t="inlineStr">
        <is>
          <t>Title</t>
        </is>
      </c>
      <c r="C4" s="82" t="inlineStr">
        <is>
          <t>Year</t>
        </is>
      </c>
      <c r="D4" s="82" t="inlineStr">
        <is>
          <t>Nominations</t>
        </is>
      </c>
      <c r="E4" s="82" t="inlineStr">
        <is>
          <t>Wins</t>
        </is>
      </c>
      <c r="F4" s="82" t="inlineStr">
        <is>
          <t>Best Picture</t>
        </is>
      </c>
      <c r="G4" s="82" t="inlineStr">
        <is>
          <t>Acting Noms</t>
        </is>
      </c>
      <c r="H4" s="82" t="inlineStr">
        <is>
          <t>Acting Wins</t>
        </is>
      </c>
      <c r="I4" s="82" t="inlineStr">
        <is>
          <t>Acting Winner(s)</t>
        </is>
      </c>
      <c r="J4" s="82" t="inlineStr">
        <is>
          <t>Directing Noms</t>
        </is>
      </c>
      <c r="K4" s="82" t="inlineStr">
        <is>
          <t>Directing Wins</t>
        </is>
      </c>
      <c r="L4" s="82" t="inlineStr">
        <is>
          <t>Director Winner(s)</t>
        </is>
      </c>
      <c r="M4" s="82" t="inlineStr">
        <is>
          <t>Writing Noms</t>
        </is>
      </c>
      <c r="N4" s="82" t="inlineStr">
        <is>
          <t>Writing Wins</t>
        </is>
      </c>
      <c r="O4" s="82" t="inlineStr">
        <is>
          <t>Animated Feature</t>
        </is>
      </c>
      <c r="P4" s="82" t="inlineStr">
        <is>
          <t>Winning Categories</t>
        </is>
      </c>
      <c r="Q4" s="82" t="inlineStr">
        <is>
          <t>All Nominated Categories</t>
        </is>
      </c>
      <c r="R4" s="82" t="inlineStr">
        <is>
          <t>Source</t>
        </is>
      </c>
    </row>
    <row r="5">
      <c r="A5" s="83" t="inlineStr">
        <is>
          <t>F0001</t>
        </is>
      </c>
      <c r="B5" s="83" t="inlineStr">
        <is>
          <t>Casino Royale</t>
        </is>
      </c>
      <c r="C5" s="83" t="inlineStr">
        <is>
          <t>2006</t>
        </is>
      </c>
      <c r="D5" s="83" t="n">
        <v>0</v>
      </c>
      <c r="E5" s="83" t="n">
        <v>0</v>
      </c>
      <c r="F5" s="84" t="n"/>
      <c r="G5" s="83" t="n">
        <v>0</v>
      </c>
      <c r="H5" s="83" t="n">
        <v>0</v>
      </c>
      <c r="I5" s="85" t="n"/>
      <c r="J5" s="85" t="n">
        <v>0</v>
      </c>
      <c r="K5" s="85" t="n">
        <v>0</v>
      </c>
      <c r="L5" s="85" t="n"/>
      <c r="M5" s="85" t="n">
        <v>0</v>
      </c>
      <c r="N5" s="85" t="n">
        <v>0</v>
      </c>
      <c r="O5" s="85" t="n"/>
      <c r="P5" s="85" t="n"/>
      <c r="Q5" s="85" t="n"/>
      <c r="R5" s="85" t="inlineStr">
        <is>
          <t>https://github.com/DLu/oscar_data</t>
        </is>
      </c>
    </row>
    <row r="6">
      <c r="A6" s="83" t="inlineStr">
        <is>
          <t>F0002</t>
        </is>
      </c>
      <c r="B6" s="83" t="inlineStr">
        <is>
          <t>Quantum of Solace</t>
        </is>
      </c>
      <c r="C6" s="83" t="inlineStr">
        <is>
          <t>2008</t>
        </is>
      </c>
      <c r="D6" s="83" t="n">
        <v>0</v>
      </c>
      <c r="E6" s="83" t="n">
        <v>0</v>
      </c>
      <c r="F6" s="84" t="n"/>
      <c r="G6" s="83" t="n">
        <v>0</v>
      </c>
      <c r="H6" s="83" t="n">
        <v>0</v>
      </c>
      <c r="I6" s="85" t="n"/>
      <c r="J6" s="85" t="n">
        <v>0</v>
      </c>
      <c r="K6" s="85" t="n">
        <v>0</v>
      </c>
      <c r="L6" s="85" t="n"/>
      <c r="M6" s="85" t="n">
        <v>0</v>
      </c>
      <c r="N6" s="85" t="n">
        <v>0</v>
      </c>
      <c r="O6" s="85" t="n"/>
      <c r="P6" s="85" t="n"/>
      <c r="Q6" s="85" t="n"/>
      <c r="R6" s="85" t="inlineStr">
        <is>
          <t>https://github.com/DLu/oscar_data</t>
        </is>
      </c>
    </row>
    <row r="7" ht="30" customHeight="1" s="108">
      <c r="A7" s="83" t="inlineStr">
        <is>
          <t>F0003</t>
        </is>
      </c>
      <c r="B7" s="83" t="inlineStr">
        <is>
          <t>Skyfall</t>
        </is>
      </c>
      <c r="C7" s="83" t="inlineStr">
        <is>
          <t>2012</t>
        </is>
      </c>
      <c r="D7" s="83" t="n">
        <v>5</v>
      </c>
      <c r="E7" s="83" t="n">
        <v>2</v>
      </c>
      <c r="F7" s="84" t="n"/>
      <c r="G7" s="83" t="n">
        <v>0</v>
      </c>
      <c r="H7" s="83" t="n">
        <v>0</v>
      </c>
      <c r="I7" s="85" t="n"/>
      <c r="J7" s="85" t="n">
        <v>0</v>
      </c>
      <c r="K7" s="85" t="n">
        <v>0</v>
      </c>
      <c r="L7" s="85" t="n"/>
      <c r="M7" s="85" t="n">
        <v>0</v>
      </c>
      <c r="N7" s="85" t="n">
        <v>0</v>
      </c>
      <c r="O7" s="85" t="n"/>
      <c r="P7" s="85" t="inlineStr">
        <is>
          <t>MUSIC (Original Song); SOUND EDITING</t>
        </is>
      </c>
      <c r="Q7" s="85" t="inlineStr">
        <is>
          <t>CINEMATOGRAPHY; MUSIC (Original Score); MUSIC (Original Song); SOUND EDITING; SOUND MIXING</t>
        </is>
      </c>
      <c r="R7" s="85" t="inlineStr">
        <is>
          <t>https://github.com/DLu/oscar_data</t>
        </is>
      </c>
    </row>
    <row r="8">
      <c r="A8" s="83" t="inlineStr">
        <is>
          <t>F0004</t>
        </is>
      </c>
      <c r="B8" s="83" t="inlineStr">
        <is>
          <t>Spectre</t>
        </is>
      </c>
      <c r="C8" s="83" t="inlineStr">
        <is>
          <t>2015</t>
        </is>
      </c>
      <c r="D8" s="83" t="n">
        <v>1</v>
      </c>
      <c r="E8" s="83" t="n">
        <v>1</v>
      </c>
      <c r="F8" s="84" t="n"/>
      <c r="G8" s="83" t="n">
        <v>0</v>
      </c>
      <c r="H8" s="83" t="n">
        <v>0</v>
      </c>
      <c r="I8" s="85" t="n"/>
      <c r="J8" s="85" t="n">
        <v>0</v>
      </c>
      <c r="K8" s="85" t="n">
        <v>0</v>
      </c>
      <c r="L8" s="85" t="n"/>
      <c r="M8" s="85" t="n">
        <v>0</v>
      </c>
      <c r="N8" s="85" t="n">
        <v>0</v>
      </c>
      <c r="O8" s="85" t="n"/>
      <c r="P8" s="85" t="inlineStr">
        <is>
          <t>MUSIC (Original Song)</t>
        </is>
      </c>
      <c r="Q8" s="85" t="inlineStr">
        <is>
          <t>MUSIC (Original Song)</t>
        </is>
      </c>
      <c r="R8" s="85" t="inlineStr">
        <is>
          <t>https://github.com/DLu/oscar_data</t>
        </is>
      </c>
    </row>
    <row r="9">
      <c r="A9" s="83" t="inlineStr">
        <is>
          <t>F0005</t>
        </is>
      </c>
      <c r="B9" s="83" t="inlineStr">
        <is>
          <t>No Time to Die</t>
        </is>
      </c>
      <c r="C9" s="83" t="inlineStr">
        <is>
          <t>2021</t>
        </is>
      </c>
      <c r="D9" s="83" t="n">
        <v>3</v>
      </c>
      <c r="E9" s="83" t="n">
        <v>1</v>
      </c>
      <c r="F9" s="84" t="n"/>
      <c r="G9" s="83" t="n">
        <v>0</v>
      </c>
      <c r="H9" s="83" t="n">
        <v>0</v>
      </c>
      <c r="I9" s="85" t="n"/>
      <c r="J9" s="85" t="n">
        <v>0</v>
      </c>
      <c r="K9" s="85" t="n">
        <v>0</v>
      </c>
      <c r="L9" s="85" t="n"/>
      <c r="M9" s="85" t="n">
        <v>0</v>
      </c>
      <c r="N9" s="85" t="n">
        <v>0</v>
      </c>
      <c r="O9" s="85" t="n"/>
      <c r="P9" s="85" t="inlineStr">
        <is>
          <t>MUSIC (Original Song)</t>
        </is>
      </c>
      <c r="Q9" s="85" t="inlineStr">
        <is>
          <t>MUSIC (Original Song); SOUND MIXING; VISUAL EFFECTS</t>
        </is>
      </c>
      <c r="R9" s="85" t="inlineStr">
        <is>
          <t>https://github.com/DLu/oscar_data</t>
        </is>
      </c>
    </row>
    <row r="10">
      <c r="A10" s="83" t="inlineStr">
        <is>
          <t>F0006</t>
        </is>
      </c>
      <c r="B10" s="83" t="inlineStr">
        <is>
          <t>2012</t>
        </is>
      </c>
      <c r="C10" s="83" t="inlineStr">
        <is>
          <t>2009</t>
        </is>
      </c>
      <c r="D10" s="83" t="n">
        <v>0</v>
      </c>
      <c r="E10" s="83" t="n">
        <v>0</v>
      </c>
      <c r="F10" s="84" t="n"/>
      <c r="G10" s="83" t="n">
        <v>0</v>
      </c>
      <c r="H10" s="83" t="n">
        <v>0</v>
      </c>
      <c r="I10" s="85" t="n"/>
      <c r="J10" s="85" t="n">
        <v>0</v>
      </c>
      <c r="K10" s="85" t="n">
        <v>0</v>
      </c>
      <c r="L10" s="85" t="n"/>
      <c r="M10" s="85" t="n">
        <v>0</v>
      </c>
      <c r="N10" s="85" t="n">
        <v>0</v>
      </c>
      <c r="O10" s="85" t="n"/>
      <c r="P10" s="85" t="n"/>
      <c r="Q10" s="85" t="n"/>
      <c r="R10" s="85" t="inlineStr">
        <is>
          <t>https://github.com/DLu/oscar_data</t>
        </is>
      </c>
    </row>
    <row r="11">
      <c r="A11" s="83" t="inlineStr">
        <is>
          <t>F0007</t>
        </is>
      </c>
      <c r="B11" s="83" t="inlineStr">
        <is>
          <t>21 Jump Street</t>
        </is>
      </c>
      <c r="C11" s="83" t="inlineStr">
        <is>
          <t>2012</t>
        </is>
      </c>
      <c r="D11" s="83" t="n">
        <v>0</v>
      </c>
      <c r="E11" s="83" t="n">
        <v>0</v>
      </c>
      <c r="F11" s="84" t="n"/>
      <c r="G11" s="83" t="n">
        <v>0</v>
      </c>
      <c r="H11" s="83" t="n">
        <v>0</v>
      </c>
      <c r="I11" s="85" t="n"/>
      <c r="J11" s="85" t="n">
        <v>0</v>
      </c>
      <c r="K11" s="85" t="n">
        <v>0</v>
      </c>
      <c r="L11" s="85" t="n"/>
      <c r="M11" s="85" t="n">
        <v>0</v>
      </c>
      <c r="N11" s="85" t="n">
        <v>0</v>
      </c>
      <c r="O11" s="85" t="n"/>
      <c r="P11" s="85" t="n"/>
      <c r="Q11" s="85" t="n"/>
      <c r="R11" s="85" t="inlineStr">
        <is>
          <t>https://github.com/DLu/oscar_data</t>
        </is>
      </c>
    </row>
    <row r="12">
      <c r="A12" s="83" t="inlineStr">
        <is>
          <t>F0008</t>
        </is>
      </c>
      <c r="B12" s="83" t="inlineStr">
        <is>
          <t>22 Jump Street</t>
        </is>
      </c>
      <c r="C12" s="83" t="inlineStr">
        <is>
          <t>2014</t>
        </is>
      </c>
      <c r="D12" s="83" t="n">
        <v>0</v>
      </c>
      <c r="E12" s="83" t="n">
        <v>0</v>
      </c>
      <c r="F12" s="84" t="n"/>
      <c r="G12" s="83" t="n">
        <v>0</v>
      </c>
      <c r="H12" s="83" t="n">
        <v>0</v>
      </c>
      <c r="I12" s="85" t="n"/>
      <c r="J12" s="85" t="n">
        <v>0</v>
      </c>
      <c r="K12" s="85" t="n">
        <v>0</v>
      </c>
      <c r="L12" s="85" t="n"/>
      <c r="M12" s="85" t="n">
        <v>0</v>
      </c>
      <c r="N12" s="85" t="n">
        <v>0</v>
      </c>
      <c r="O12" s="85" t="n"/>
      <c r="P12" s="85" t="n"/>
      <c r="Q12" s="85" t="n"/>
      <c r="R12" s="85" t="inlineStr">
        <is>
          <t>https://github.com/DLu/oscar_data</t>
        </is>
      </c>
    </row>
    <row r="13">
      <c r="A13" s="83" t="inlineStr">
        <is>
          <t>F0009</t>
        </is>
      </c>
      <c r="B13" s="83" t="inlineStr">
        <is>
          <t>30 Minutes or Less</t>
        </is>
      </c>
      <c r="C13" s="83" t="inlineStr">
        <is>
          <t>2011</t>
        </is>
      </c>
      <c r="D13" s="83" t="n">
        <v>0</v>
      </c>
      <c r="E13" s="83" t="n">
        <v>0</v>
      </c>
      <c r="F13" s="84" t="n"/>
      <c r="G13" s="83" t="n">
        <v>0</v>
      </c>
      <c r="H13" s="83" t="n">
        <v>0</v>
      </c>
      <c r="I13" s="85" t="n"/>
      <c r="J13" s="85" t="n">
        <v>0</v>
      </c>
      <c r="K13" s="85" t="n">
        <v>0</v>
      </c>
      <c r="L13" s="85" t="n"/>
      <c r="M13" s="85" t="n">
        <v>0</v>
      </c>
      <c r="N13" s="85" t="n">
        <v>0</v>
      </c>
      <c r="O13" s="85" t="n"/>
      <c r="P13" s="85" t="n"/>
      <c r="Q13" s="85" t="n"/>
      <c r="R13" s="85" t="inlineStr">
        <is>
          <t>https://github.com/DLu/oscar_data</t>
        </is>
      </c>
    </row>
    <row r="14">
      <c r="A14" s="83" t="inlineStr">
        <is>
          <t>F0010</t>
        </is>
      </c>
      <c r="B14" s="83" t="inlineStr">
        <is>
          <t>44 Inch Chest</t>
        </is>
      </c>
      <c r="C14" s="83" t="inlineStr">
        <is>
          <t>2009</t>
        </is>
      </c>
      <c r="D14" s="83" t="n">
        <v>0</v>
      </c>
      <c r="E14" s="83" t="n">
        <v>0</v>
      </c>
      <c r="F14" s="84" t="n"/>
      <c r="G14" s="83" t="n">
        <v>0</v>
      </c>
      <c r="H14" s="83" t="n">
        <v>0</v>
      </c>
      <c r="I14" s="85" t="n"/>
      <c r="J14" s="85" t="n">
        <v>0</v>
      </c>
      <c r="K14" s="85" t="n">
        <v>0</v>
      </c>
      <c r="L14" s="85" t="n"/>
      <c r="M14" s="85" t="n">
        <v>0</v>
      </c>
      <c r="N14" s="85" t="n">
        <v>0</v>
      </c>
      <c r="O14" s="85" t="n"/>
      <c r="P14" s="85" t="n"/>
      <c r="Q14" s="85" t="n"/>
      <c r="R14" s="85" t="inlineStr">
        <is>
          <t>https://github.com/DLu/oscar_data</t>
        </is>
      </c>
    </row>
    <row r="15">
      <c r="A15" s="83" t="inlineStr">
        <is>
          <t>F0011</t>
        </is>
      </c>
      <c r="B15" s="83" t="inlineStr">
        <is>
          <t>50/50</t>
        </is>
      </c>
      <c r="C15" s="83" t="inlineStr">
        <is>
          <t>2011</t>
        </is>
      </c>
      <c r="D15" s="83" t="n">
        <v>0</v>
      </c>
      <c r="E15" s="83" t="n">
        <v>0</v>
      </c>
      <c r="F15" s="84" t="n"/>
      <c r="G15" s="83" t="n">
        <v>0</v>
      </c>
      <c r="H15" s="83" t="n">
        <v>0</v>
      </c>
      <c r="I15" s="85" t="n"/>
      <c r="J15" s="85" t="n">
        <v>0</v>
      </c>
      <c r="K15" s="85" t="n">
        <v>0</v>
      </c>
      <c r="L15" s="85" t="n"/>
      <c r="M15" s="85" t="n">
        <v>0</v>
      </c>
      <c r="N15" s="85" t="n">
        <v>0</v>
      </c>
      <c r="O15" s="85" t="n"/>
      <c r="P15" s="85" t="n"/>
      <c r="Q15" s="85" t="n"/>
      <c r="R15" s="85" t="inlineStr">
        <is>
          <t>https://github.com/DLu/oscar_data</t>
        </is>
      </c>
    </row>
    <row r="16">
      <c r="A16" s="83" t="inlineStr">
        <is>
          <t>F0012</t>
        </is>
      </c>
      <c r="B16" s="83" t="inlineStr">
        <is>
          <t>A Bug's Life</t>
        </is>
      </c>
      <c r="C16" s="83" t="inlineStr">
        <is>
          <t>1998</t>
        </is>
      </c>
      <c r="D16" s="83" t="n">
        <v>1</v>
      </c>
      <c r="E16" s="83" t="n">
        <v>0</v>
      </c>
      <c r="F16" s="84" t="n"/>
      <c r="G16" s="83" t="n">
        <v>0</v>
      </c>
      <c r="H16" s="83" t="n">
        <v>0</v>
      </c>
      <c r="I16" s="85" t="n"/>
      <c r="J16" s="85" t="n">
        <v>0</v>
      </c>
      <c r="K16" s="85" t="n">
        <v>0</v>
      </c>
      <c r="L16" s="85" t="n"/>
      <c r="M16" s="85" t="n">
        <v>0</v>
      </c>
      <c r="N16" s="85" t="n">
        <v>0</v>
      </c>
      <c r="O16" s="85" t="n"/>
      <c r="P16" s="85" t="n"/>
      <c r="Q16" s="85" t="inlineStr">
        <is>
          <t>MUSIC (Original Song Score or Adaptation Score)</t>
        </is>
      </c>
      <c r="R16" s="85" t="inlineStr">
        <is>
          <t>https://github.com/DLu/oscar_data</t>
        </is>
      </c>
    </row>
    <row r="17">
      <c r="A17" s="83" t="inlineStr">
        <is>
          <t>F0013</t>
        </is>
      </c>
      <c r="B17" s="83" t="inlineStr">
        <is>
          <t>The Accountant</t>
        </is>
      </c>
      <c r="C17" s="83" t="inlineStr">
        <is>
          <t>2016</t>
        </is>
      </c>
      <c r="D17" s="83" t="n">
        <v>0</v>
      </c>
      <c r="E17" s="83" t="n">
        <v>0</v>
      </c>
      <c r="F17" s="84" t="n"/>
      <c r="G17" s="83" t="n">
        <v>0</v>
      </c>
      <c r="H17" s="83" t="n">
        <v>0</v>
      </c>
      <c r="I17" s="85" t="n"/>
      <c r="J17" s="85" t="n">
        <v>0</v>
      </c>
      <c r="K17" s="85" t="n">
        <v>0</v>
      </c>
      <c r="L17" s="85" t="n"/>
      <c r="M17" s="85" t="n">
        <v>0</v>
      </c>
      <c r="N17" s="85" t="n">
        <v>0</v>
      </c>
      <c r="O17" s="85" t="n"/>
      <c r="P17" s="85" t="n"/>
      <c r="Q17" s="85" t="n"/>
      <c r="R17" s="85" t="inlineStr">
        <is>
          <t>https://github.com/DLu/oscar_data</t>
        </is>
      </c>
    </row>
    <row r="18">
      <c r="A18" s="83" t="inlineStr">
        <is>
          <t>F0014</t>
        </is>
      </c>
      <c r="B18" s="83" t="inlineStr">
        <is>
          <t>Alan Partridge: Alpha Papa</t>
        </is>
      </c>
      <c r="C18" s="83" t="inlineStr">
        <is>
          <t>2013</t>
        </is>
      </c>
      <c r="D18" s="83" t="n">
        <v>0</v>
      </c>
      <c r="E18" s="83" t="n">
        <v>0</v>
      </c>
      <c r="F18" s="84" t="n"/>
      <c r="G18" s="83" t="n">
        <v>0</v>
      </c>
      <c r="H18" s="83" t="n">
        <v>0</v>
      </c>
      <c r="I18" s="85" t="n"/>
      <c r="J18" s="85" t="n">
        <v>0</v>
      </c>
      <c r="K18" s="85" t="n">
        <v>0</v>
      </c>
      <c r="L18" s="85" t="n"/>
      <c r="M18" s="85" t="n">
        <v>0</v>
      </c>
      <c r="N18" s="85" t="n">
        <v>0</v>
      </c>
      <c r="O18" s="85" t="n"/>
      <c r="P18" s="85" t="n"/>
      <c r="Q18" s="85" t="n"/>
      <c r="R18" s="85" t="inlineStr">
        <is>
          <t>https://github.com/DLu/oscar_data</t>
        </is>
      </c>
    </row>
    <row r="19">
      <c r="A19" s="83" t="inlineStr">
        <is>
          <t>F0015</t>
        </is>
      </c>
      <c r="B19" s="83" t="inlineStr">
        <is>
          <t>Alien</t>
        </is>
      </c>
      <c r="C19" s="83" t="inlineStr">
        <is>
          <t>1979</t>
        </is>
      </c>
      <c r="D19" s="83" t="n">
        <v>2</v>
      </c>
      <c r="E19" s="83" t="n">
        <v>1</v>
      </c>
      <c r="F19" s="84" t="n"/>
      <c r="G19" s="83" t="n">
        <v>0</v>
      </c>
      <c r="H19" s="83" t="n">
        <v>0</v>
      </c>
      <c r="I19" s="85" t="n"/>
      <c r="J19" s="85" t="n">
        <v>0</v>
      </c>
      <c r="K19" s="85" t="n">
        <v>0</v>
      </c>
      <c r="L19" s="85" t="n"/>
      <c r="M19" s="85" t="n">
        <v>0</v>
      </c>
      <c r="N19" s="85" t="n">
        <v>0</v>
      </c>
      <c r="O19" s="85" t="n"/>
      <c r="P19" s="85" t="inlineStr">
        <is>
          <t>VISUAL EFFECTS</t>
        </is>
      </c>
      <c r="Q19" s="85" t="inlineStr">
        <is>
          <t>ART DIRECTION; VISUAL EFFECTS</t>
        </is>
      </c>
      <c r="R19" s="85" t="inlineStr">
        <is>
          <t>https://github.com/DLu/oscar_data</t>
        </is>
      </c>
    </row>
    <row r="20" ht="30" customHeight="1" s="108">
      <c r="A20" s="83" t="inlineStr">
        <is>
          <t>F0016</t>
        </is>
      </c>
      <c r="B20" s="83" t="inlineStr">
        <is>
          <t>Aliens</t>
        </is>
      </c>
      <c r="C20" s="83" t="inlineStr">
        <is>
          <t>1986</t>
        </is>
      </c>
      <c r="D20" s="83" t="n">
        <v>7</v>
      </c>
      <c r="E20" s="83" t="n">
        <v>2</v>
      </c>
      <c r="F20" s="84" t="n"/>
      <c r="G20" s="83" t="n">
        <v>1</v>
      </c>
      <c r="H20" s="83" t="n">
        <v>0</v>
      </c>
      <c r="I20" s="85" t="n"/>
      <c r="J20" s="85" t="n">
        <v>0</v>
      </c>
      <c r="K20" s="85" t="n">
        <v>0</v>
      </c>
      <c r="L20" s="85" t="n"/>
      <c r="M20" s="85" t="n">
        <v>0</v>
      </c>
      <c r="N20" s="85" t="n">
        <v>0</v>
      </c>
      <c r="O20" s="85" t="n"/>
      <c r="P20" s="85" t="inlineStr">
        <is>
          <t>SOUND EDITING; VISUAL EFFECTS</t>
        </is>
      </c>
      <c r="Q20" s="85" t="inlineStr">
        <is>
          <t>ACTRESS IN A LEADING ROLE; ART DIRECTION; FILM EDITING; MUSIC (Original Score); SOUND MIXING; SOUND EDITING; VISUAL EFFECTS</t>
        </is>
      </c>
      <c r="R20" s="85" t="inlineStr">
        <is>
          <t>https://github.com/DLu/oscar_data</t>
        </is>
      </c>
    </row>
    <row r="21" ht="15.75" customHeight="1" s="108">
      <c r="A21" s="83" t="inlineStr">
        <is>
          <t>F0017</t>
        </is>
      </c>
      <c r="B21" s="83" t="inlineStr">
        <is>
          <t>Alien³</t>
        </is>
      </c>
      <c r="C21" s="83" t="inlineStr">
        <is>
          <t>1992</t>
        </is>
      </c>
      <c r="D21" s="83" t="n">
        <v>0</v>
      </c>
      <c r="E21" s="83" t="n">
        <v>0</v>
      </c>
      <c r="F21" s="84" t="n"/>
      <c r="G21" s="83" t="n">
        <v>0</v>
      </c>
      <c r="H21" s="83" t="n">
        <v>0</v>
      </c>
      <c r="I21" s="85" t="n"/>
      <c r="J21" s="85" t="n">
        <v>0</v>
      </c>
      <c r="K21" s="85" t="n">
        <v>0</v>
      </c>
      <c r="L21" s="85" t="n"/>
      <c r="M21" s="85" t="n">
        <v>0</v>
      </c>
      <c r="N21" s="85" t="n">
        <v>0</v>
      </c>
      <c r="O21" s="85" t="n"/>
      <c r="P21" s="85" t="n"/>
      <c r="Q21" s="85" t="n"/>
      <c r="R21" s="85" t="inlineStr">
        <is>
          <t>https://github.com/DLu/oscar_data</t>
        </is>
      </c>
    </row>
    <row r="22" ht="15.75" customHeight="1" s="108">
      <c r="A22" s="83" t="inlineStr">
        <is>
          <t>F0018</t>
        </is>
      </c>
      <c r="B22" s="83" t="inlineStr">
        <is>
          <t>Alien Resurrection</t>
        </is>
      </c>
      <c r="C22" s="83" t="inlineStr">
        <is>
          <t>1997</t>
        </is>
      </c>
      <c r="D22" s="83" t="n">
        <v>0</v>
      </c>
      <c r="E22" s="83" t="n">
        <v>0</v>
      </c>
      <c r="F22" s="84" t="n"/>
      <c r="G22" s="83" t="n">
        <v>0</v>
      </c>
      <c r="H22" s="83" t="n">
        <v>0</v>
      </c>
      <c r="I22" s="85" t="n"/>
      <c r="J22" s="85" t="n">
        <v>0</v>
      </c>
      <c r="K22" s="85" t="n">
        <v>0</v>
      </c>
      <c r="L22" s="85" t="n"/>
      <c r="M22" s="85" t="n">
        <v>0</v>
      </c>
      <c r="N22" s="85" t="n">
        <v>0</v>
      </c>
      <c r="O22" s="85" t="n"/>
      <c r="P22" s="85" t="n"/>
      <c r="Q22" s="85" t="n"/>
      <c r="R22" s="85" t="inlineStr">
        <is>
          <t>https://github.com/DLu/oscar_data</t>
        </is>
      </c>
    </row>
    <row r="23" ht="15.75" customHeight="1" s="108">
      <c r="A23" s="83" t="inlineStr">
        <is>
          <t>F0019</t>
        </is>
      </c>
      <c r="B23" s="83" t="inlineStr">
        <is>
          <t>The Amazing Spider-Man</t>
        </is>
      </c>
      <c r="C23" s="83" t="inlineStr">
        <is>
          <t>2012</t>
        </is>
      </c>
      <c r="D23" s="83" t="n">
        <v>0</v>
      </c>
      <c r="E23" s="83" t="n">
        <v>0</v>
      </c>
      <c r="F23" s="84" t="n"/>
      <c r="G23" s="83" t="n">
        <v>0</v>
      </c>
      <c r="H23" s="83" t="n">
        <v>0</v>
      </c>
      <c r="I23" s="85" t="n"/>
      <c r="J23" s="85" t="n">
        <v>0</v>
      </c>
      <c r="K23" s="85" t="n">
        <v>0</v>
      </c>
      <c r="L23" s="85" t="n"/>
      <c r="M23" s="85" t="n">
        <v>0</v>
      </c>
      <c r="N23" s="85" t="n">
        <v>0</v>
      </c>
      <c r="O23" s="85" t="n"/>
      <c r="P23" s="85" t="n"/>
      <c r="Q23" s="85" t="n"/>
      <c r="R23" s="85" t="inlineStr">
        <is>
          <t>https://github.com/DLu/oscar_data</t>
        </is>
      </c>
    </row>
    <row r="24" ht="60" customHeight="1" s="108">
      <c r="A24" s="83" t="inlineStr">
        <is>
          <t>F0020</t>
        </is>
      </c>
      <c r="B24" s="83" t="inlineStr">
        <is>
          <t>American Hustle</t>
        </is>
      </c>
      <c r="C24" s="83" t="inlineStr">
        <is>
          <t>2013</t>
        </is>
      </c>
      <c r="D24" s="83" t="n">
        <v>10</v>
      </c>
      <c r="E24" s="83" t="n">
        <v>0</v>
      </c>
      <c r="F24" s="83" t="inlineStr">
        <is>
          <t>Nominated</t>
        </is>
      </c>
      <c r="G24" s="83" t="n">
        <v>4</v>
      </c>
      <c r="H24" s="83" t="n">
        <v>0</v>
      </c>
      <c r="I24" s="85" t="n"/>
      <c r="J24" s="85" t="n">
        <v>1</v>
      </c>
      <c r="K24" s="85" t="n">
        <v>0</v>
      </c>
      <c r="L24" s="85" t="n"/>
      <c r="M24" s="85" t="n">
        <v>1</v>
      </c>
      <c r="N24" s="85" t="n">
        <v>0</v>
      </c>
      <c r="O24" s="85" t="n"/>
      <c r="P24" s="85" t="n"/>
      <c r="Q24" s="85" t="inlineStr">
        <is>
          <t>ACTOR IN A LEADING ROLE; ACTOR IN A SUPPORTING ROLE; ACTRESS IN A LEADING ROLE; ACTRESS IN A SUPPORTING ROLE; COSTUME DESIGN; DIRECTING; FILM EDITING; BEST PICTURE; ART DIRECTION; WRITING (Original Screenplay)</t>
        </is>
      </c>
      <c r="R24" s="85" t="inlineStr">
        <is>
          <t>https://github.com/DLu/oscar_data</t>
        </is>
      </c>
    </row>
    <row r="25" ht="15.75" customHeight="1" s="108">
      <c r="A25" s="83" t="inlineStr">
        <is>
          <t>F0021</t>
        </is>
      </c>
      <c r="B25" s="83" t="inlineStr">
        <is>
          <t>A Million Ways to Die in the West</t>
        </is>
      </c>
      <c r="C25" s="83" t="inlineStr">
        <is>
          <t>2014</t>
        </is>
      </c>
      <c r="D25" s="83" t="n">
        <v>0</v>
      </c>
      <c r="E25" s="83" t="n">
        <v>0</v>
      </c>
      <c r="F25" s="84" t="n"/>
      <c r="G25" s="83" t="n">
        <v>0</v>
      </c>
      <c r="H25" s="83" t="n">
        <v>0</v>
      </c>
      <c r="I25" s="85" t="n"/>
      <c r="J25" s="85" t="n">
        <v>0</v>
      </c>
      <c r="K25" s="85" t="n">
        <v>0</v>
      </c>
      <c r="L25" s="85" t="n"/>
      <c r="M25" s="85" t="n">
        <v>0</v>
      </c>
      <c r="N25" s="85" t="n">
        <v>0</v>
      </c>
      <c r="O25" s="85" t="n"/>
      <c r="P25" s="85" t="n"/>
      <c r="Q25" s="85" t="n"/>
      <c r="R25" s="85" t="inlineStr">
        <is>
          <t>https://github.com/DLu/oscar_data</t>
        </is>
      </c>
    </row>
    <row r="26" ht="15.75" customHeight="1" s="108">
      <c r="A26" s="83" t="inlineStr">
        <is>
          <t>F0022</t>
        </is>
      </c>
      <c r="B26" s="83" t="inlineStr">
        <is>
          <t>Anchorman: The Legend of Ron Burgundy</t>
        </is>
      </c>
      <c r="C26" s="83" t="inlineStr">
        <is>
          <t>2004</t>
        </is>
      </c>
      <c r="D26" s="83" t="n">
        <v>0</v>
      </c>
      <c r="E26" s="83" t="n">
        <v>0</v>
      </c>
      <c r="F26" s="84" t="n"/>
      <c r="G26" s="83" t="n">
        <v>0</v>
      </c>
      <c r="H26" s="83" t="n">
        <v>0</v>
      </c>
      <c r="I26" s="85" t="n"/>
      <c r="J26" s="85" t="n">
        <v>0</v>
      </c>
      <c r="K26" s="85" t="n">
        <v>0</v>
      </c>
      <c r="L26" s="85" t="n"/>
      <c r="M26" s="85" t="n">
        <v>0</v>
      </c>
      <c r="N26" s="85" t="n">
        <v>0</v>
      </c>
      <c r="O26" s="85" t="n"/>
      <c r="P26" s="85" t="n"/>
      <c r="Q26" s="85" t="n"/>
      <c r="R26" s="85" t="inlineStr">
        <is>
          <t>https://github.com/DLu/oscar_data</t>
        </is>
      </c>
    </row>
    <row r="27" ht="15.75" customHeight="1" s="108">
      <c r="A27" s="83" t="inlineStr">
        <is>
          <t>F0023</t>
        </is>
      </c>
      <c r="B27" s="83" t="inlineStr">
        <is>
          <t>Angels &amp; Demons</t>
        </is>
      </c>
      <c r="C27" s="83" t="inlineStr">
        <is>
          <t>2009</t>
        </is>
      </c>
      <c r="D27" s="83" t="n">
        <v>0</v>
      </c>
      <c r="E27" s="83" t="n">
        <v>0</v>
      </c>
      <c r="F27" s="84" t="n"/>
      <c r="G27" s="83" t="n">
        <v>0</v>
      </c>
      <c r="H27" s="83" t="n">
        <v>0</v>
      </c>
      <c r="I27" s="85" t="n"/>
      <c r="J27" s="85" t="n">
        <v>0</v>
      </c>
      <c r="K27" s="85" t="n">
        <v>0</v>
      </c>
      <c r="L27" s="85" t="n"/>
      <c r="M27" s="85" t="n">
        <v>0</v>
      </c>
      <c r="N27" s="85" t="n">
        <v>0</v>
      </c>
      <c r="O27" s="85" t="n"/>
      <c r="P27" s="85" t="n"/>
      <c r="Q27" s="85" t="n"/>
      <c r="R27" s="85" t="inlineStr">
        <is>
          <t>https://github.com/DLu/oscar_data</t>
        </is>
      </c>
    </row>
    <row r="28" ht="15.75" customHeight="1" s="108">
      <c r="A28" s="83" t="inlineStr">
        <is>
          <t>F0024</t>
        </is>
      </c>
      <c r="B28" s="83" t="inlineStr">
        <is>
          <t>Anuvahood</t>
        </is>
      </c>
      <c r="C28" s="83" t="inlineStr">
        <is>
          <t>2011</t>
        </is>
      </c>
      <c r="D28" s="83" t="n">
        <v>0</v>
      </c>
      <c r="E28" s="83" t="n">
        <v>0</v>
      </c>
      <c r="F28" s="84" t="n"/>
      <c r="G28" s="83" t="n">
        <v>0</v>
      </c>
      <c r="H28" s="83" t="n">
        <v>0</v>
      </c>
      <c r="I28" s="85" t="n"/>
      <c r="J28" s="85" t="n">
        <v>0</v>
      </c>
      <c r="K28" s="85" t="n">
        <v>0</v>
      </c>
      <c r="L28" s="85" t="n"/>
      <c r="M28" s="85" t="n">
        <v>0</v>
      </c>
      <c r="N28" s="85" t="n">
        <v>0</v>
      </c>
      <c r="O28" s="85" t="n"/>
      <c r="P28" s="85" t="n"/>
      <c r="Q28" s="85" t="n"/>
      <c r="R28" s="85" t="inlineStr">
        <is>
          <t>https://github.com/DLu/oscar_data</t>
        </is>
      </c>
    </row>
    <row r="29" ht="45" customHeight="1" s="108">
      <c r="A29" s="83" t="inlineStr">
        <is>
          <t>F0025</t>
        </is>
      </c>
      <c r="B29" s="83" t="inlineStr">
        <is>
          <t>Argo</t>
        </is>
      </c>
      <c r="C29" s="83" t="inlineStr">
        <is>
          <t>2012</t>
        </is>
      </c>
      <c r="D29" s="83" t="n">
        <v>7</v>
      </c>
      <c r="E29" s="83" t="n">
        <v>3</v>
      </c>
      <c r="F29" s="83" t="inlineStr">
        <is>
          <t>Winner</t>
        </is>
      </c>
      <c r="G29" s="83" t="n">
        <v>1</v>
      </c>
      <c r="H29" s="83" t="n">
        <v>0</v>
      </c>
      <c r="I29" s="85" t="n"/>
      <c r="J29" s="85" t="n">
        <v>0</v>
      </c>
      <c r="K29" s="85" t="n">
        <v>0</v>
      </c>
      <c r="L29" s="85" t="n"/>
      <c r="M29" s="85" t="n">
        <v>1</v>
      </c>
      <c r="N29" s="85" t="n">
        <v>1</v>
      </c>
      <c r="O29" s="85" t="n"/>
      <c r="P29" s="85" t="inlineStr">
        <is>
          <t>FILM EDITING; BEST PICTURE; WRITING (Adapted Screenplay)</t>
        </is>
      </c>
      <c r="Q29" s="85" t="inlineStr">
        <is>
          <t>ACTOR IN A SUPPORTING ROLE; FILM EDITING; MUSIC (Original Score); BEST PICTURE; SOUND EDITING; SOUND MIXING; WRITING (Adapted Screenplay)</t>
        </is>
      </c>
      <c r="R29" s="85" t="inlineStr">
        <is>
          <t>https://github.com/DLu/oscar_data</t>
        </is>
      </c>
    </row>
    <row r="30" ht="15.75" customHeight="1" s="108">
      <c r="A30" s="83" t="inlineStr">
        <is>
          <t>F0026</t>
        </is>
      </c>
      <c r="B30" s="83" t="inlineStr">
        <is>
          <t>The A-Team</t>
        </is>
      </c>
      <c r="C30" s="83" t="inlineStr">
        <is>
          <t>2010</t>
        </is>
      </c>
      <c r="D30" s="83" t="n">
        <v>0</v>
      </c>
      <c r="E30" s="83" t="n">
        <v>0</v>
      </c>
      <c r="F30" s="84" t="n"/>
      <c r="G30" s="83" t="n">
        <v>0</v>
      </c>
      <c r="H30" s="83" t="n">
        <v>0</v>
      </c>
      <c r="I30" s="85" t="n"/>
      <c r="J30" s="85" t="n">
        <v>0</v>
      </c>
      <c r="K30" s="85" t="n">
        <v>0</v>
      </c>
      <c r="L30" s="85" t="n"/>
      <c r="M30" s="85" t="n">
        <v>0</v>
      </c>
      <c r="N30" s="85" t="n">
        <v>0</v>
      </c>
      <c r="O30" s="85" t="n"/>
      <c r="P30" s="85" t="n"/>
      <c r="Q30" s="85" t="n"/>
      <c r="R30" s="85" t="inlineStr">
        <is>
          <t>https://github.com/DLu/oscar_data</t>
        </is>
      </c>
    </row>
    <row r="31" ht="15.75" customHeight="1" s="108">
      <c r="A31" s="83" t="inlineStr">
        <is>
          <t>F0027</t>
        </is>
      </c>
      <c r="B31" s="83" t="inlineStr">
        <is>
          <t>Attack the Block</t>
        </is>
      </c>
      <c r="C31" s="83" t="inlineStr">
        <is>
          <t>2011</t>
        </is>
      </c>
      <c r="D31" s="83" t="n">
        <v>0</v>
      </c>
      <c r="E31" s="83" t="n">
        <v>0</v>
      </c>
      <c r="F31" s="84" t="n"/>
      <c r="G31" s="83" t="n">
        <v>0</v>
      </c>
      <c r="H31" s="83" t="n">
        <v>0</v>
      </c>
      <c r="I31" s="85" t="n"/>
      <c r="J31" s="85" t="n">
        <v>0</v>
      </c>
      <c r="K31" s="85" t="n">
        <v>0</v>
      </c>
      <c r="L31" s="85" t="n"/>
      <c r="M31" s="85" t="n">
        <v>0</v>
      </c>
      <c r="N31" s="85" t="n">
        <v>0</v>
      </c>
      <c r="O31" s="85" t="n"/>
      <c r="P31" s="85" t="n"/>
      <c r="Q31" s="85" t="n"/>
      <c r="R31" s="85" t="inlineStr">
        <is>
          <t>https://github.com/DLu/oscar_data</t>
        </is>
      </c>
    </row>
    <row r="32" ht="45" customHeight="1" s="108">
      <c r="A32" s="83" t="inlineStr">
        <is>
          <t>F0028</t>
        </is>
      </c>
      <c r="B32" s="83" t="inlineStr">
        <is>
          <t>Avatar</t>
        </is>
      </c>
      <c r="C32" s="83" t="inlineStr">
        <is>
          <t>2009</t>
        </is>
      </c>
      <c r="D32" s="83" t="n">
        <v>9</v>
      </c>
      <c r="E32" s="83" t="n">
        <v>3</v>
      </c>
      <c r="F32" s="83" t="inlineStr">
        <is>
          <t>Nominated</t>
        </is>
      </c>
      <c r="G32" s="83" t="n">
        <v>0</v>
      </c>
      <c r="H32" s="83" t="n">
        <v>0</v>
      </c>
      <c r="I32" s="85" t="n"/>
      <c r="J32" s="85" t="n">
        <v>1</v>
      </c>
      <c r="K32" s="85" t="n">
        <v>0</v>
      </c>
      <c r="L32" s="85" t="n"/>
      <c r="M32" s="85" t="n">
        <v>0</v>
      </c>
      <c r="N32" s="85" t="n">
        <v>0</v>
      </c>
      <c r="O32" s="85" t="n"/>
      <c r="P32" s="85" t="inlineStr">
        <is>
          <t>ART DIRECTION; CINEMATOGRAPHY; VISUAL EFFECTS</t>
        </is>
      </c>
      <c r="Q32" s="85" t="inlineStr">
        <is>
          <t>ART DIRECTION; CINEMATOGRAPHY; DIRECTING; FILM EDITING; MUSIC (Original Score); BEST PICTURE; SOUND EDITING; SOUND MIXING; VISUAL EFFECTS</t>
        </is>
      </c>
      <c r="R32" s="85" t="inlineStr">
        <is>
          <t>https://github.com/DLu/oscar_data</t>
        </is>
      </c>
    </row>
    <row r="33" ht="15.75" customHeight="1" s="108">
      <c r="A33" s="83" t="inlineStr">
        <is>
          <t>F0029</t>
        </is>
      </c>
      <c r="B33" s="83" t="inlineStr">
        <is>
          <t>The Avengers</t>
        </is>
      </c>
      <c r="C33" s="83" t="inlineStr">
        <is>
          <t>2012</t>
        </is>
      </c>
      <c r="D33" s="83" t="n">
        <v>1</v>
      </c>
      <c r="E33" s="83" t="n">
        <v>0</v>
      </c>
      <c r="F33" s="84" t="n"/>
      <c r="G33" s="83" t="n">
        <v>0</v>
      </c>
      <c r="H33" s="83" t="n">
        <v>0</v>
      </c>
      <c r="I33" s="85" t="n"/>
      <c r="J33" s="85" t="n">
        <v>0</v>
      </c>
      <c r="K33" s="85" t="n">
        <v>0</v>
      </c>
      <c r="L33" s="85" t="n"/>
      <c r="M33" s="85" t="n">
        <v>0</v>
      </c>
      <c r="N33" s="85" t="n">
        <v>0</v>
      </c>
      <c r="O33" s="85" t="n"/>
      <c r="P33" s="85" t="n"/>
      <c r="Q33" s="85" t="inlineStr">
        <is>
          <t>VISUAL EFFECTS</t>
        </is>
      </c>
      <c r="R33" s="85" t="inlineStr">
        <is>
          <t>https://github.com/DLu/oscar_data</t>
        </is>
      </c>
    </row>
    <row r="34" ht="15.75" customHeight="1" s="108">
      <c r="A34" s="83" t="inlineStr">
        <is>
          <t>F0030</t>
        </is>
      </c>
      <c r="B34" s="83" t="inlineStr">
        <is>
          <t>Avengers: Infinity War</t>
        </is>
      </c>
      <c r="C34" s="83" t="inlineStr">
        <is>
          <t>2018</t>
        </is>
      </c>
      <c r="D34" s="83" t="n">
        <v>1</v>
      </c>
      <c r="E34" s="83" t="n">
        <v>0</v>
      </c>
      <c r="F34" s="84" t="n"/>
      <c r="G34" s="83" t="n">
        <v>0</v>
      </c>
      <c r="H34" s="83" t="n">
        <v>0</v>
      </c>
      <c r="I34" s="85" t="n"/>
      <c r="J34" s="85" t="n">
        <v>0</v>
      </c>
      <c r="K34" s="85" t="n">
        <v>0</v>
      </c>
      <c r="L34" s="85" t="n"/>
      <c r="M34" s="85" t="n">
        <v>0</v>
      </c>
      <c r="N34" s="85" t="n">
        <v>0</v>
      </c>
      <c r="O34" s="85" t="n"/>
      <c r="P34" s="85" t="n"/>
      <c r="Q34" s="85" t="inlineStr">
        <is>
          <t>VISUAL EFFECTS</t>
        </is>
      </c>
      <c r="R34" s="85" t="inlineStr">
        <is>
          <t>https://github.com/DLu/oscar_data</t>
        </is>
      </c>
    </row>
    <row r="35" ht="15.75" customHeight="1" s="108">
      <c r="A35" s="83" t="inlineStr">
        <is>
          <t>F0031</t>
        </is>
      </c>
      <c r="B35" s="83" t="inlineStr">
        <is>
          <t>Avengers: Endgame</t>
        </is>
      </c>
      <c r="C35" s="83" t="inlineStr">
        <is>
          <t>2019</t>
        </is>
      </c>
      <c r="D35" s="83" t="n">
        <v>1</v>
      </c>
      <c r="E35" s="83" t="n">
        <v>0</v>
      </c>
      <c r="F35" s="84" t="n"/>
      <c r="G35" s="83" t="n">
        <v>0</v>
      </c>
      <c r="H35" s="83" t="n">
        <v>0</v>
      </c>
      <c r="I35" s="85" t="n"/>
      <c r="J35" s="85" t="n">
        <v>0</v>
      </c>
      <c r="K35" s="85" t="n">
        <v>0</v>
      </c>
      <c r="L35" s="85" t="n"/>
      <c r="M35" s="85" t="n">
        <v>0</v>
      </c>
      <c r="N35" s="85" t="n">
        <v>0</v>
      </c>
      <c r="O35" s="85" t="n"/>
      <c r="P35" s="85" t="n"/>
      <c r="Q35" s="85" t="inlineStr">
        <is>
          <t>VISUAL EFFECTS</t>
        </is>
      </c>
      <c r="R35" s="85" t="inlineStr">
        <is>
          <t>https://github.com/DLu/oscar_data</t>
        </is>
      </c>
    </row>
    <row r="36" ht="15.75" customHeight="1" s="108">
      <c r="A36" s="83" t="inlineStr">
        <is>
          <t>F0032</t>
        </is>
      </c>
      <c r="B36" s="83" t="inlineStr">
        <is>
          <t>Baby Driver</t>
        </is>
      </c>
      <c r="C36" s="83" t="inlineStr">
        <is>
          <t>2017</t>
        </is>
      </c>
      <c r="D36" s="83" t="n">
        <v>3</v>
      </c>
      <c r="E36" s="83" t="n">
        <v>0</v>
      </c>
      <c r="F36" s="84" t="n"/>
      <c r="G36" s="83" t="n">
        <v>0</v>
      </c>
      <c r="H36" s="83" t="n">
        <v>0</v>
      </c>
      <c r="I36" s="85" t="n"/>
      <c r="J36" s="85" t="n">
        <v>0</v>
      </c>
      <c r="K36" s="85" t="n">
        <v>0</v>
      </c>
      <c r="L36" s="85" t="n"/>
      <c r="M36" s="85" t="n">
        <v>0</v>
      </c>
      <c r="N36" s="85" t="n">
        <v>0</v>
      </c>
      <c r="O36" s="85" t="n"/>
      <c r="P36" s="85" t="n"/>
      <c r="Q36" s="85" t="inlineStr">
        <is>
          <t>FILM EDITING; SOUND EDITING; SOUND MIXING</t>
        </is>
      </c>
      <c r="R36" s="85" t="inlineStr">
        <is>
          <t>https://github.com/DLu/oscar_data</t>
        </is>
      </c>
    </row>
    <row r="37" ht="30" customHeight="1" s="108">
      <c r="A37" s="83" t="inlineStr">
        <is>
          <t>F0033</t>
        </is>
      </c>
      <c r="B37" s="83" t="inlineStr">
        <is>
          <t>Back to the Future</t>
        </is>
      </c>
      <c r="C37" s="83" t="inlineStr">
        <is>
          <t>1985</t>
        </is>
      </c>
      <c r="D37" s="83" t="n">
        <v>4</v>
      </c>
      <c r="E37" s="83" t="n">
        <v>1</v>
      </c>
      <c r="F37" s="84" t="n"/>
      <c r="G37" s="83" t="n">
        <v>0</v>
      </c>
      <c r="H37" s="83" t="n">
        <v>0</v>
      </c>
      <c r="I37" s="85" t="n"/>
      <c r="J37" s="85" t="n">
        <v>0</v>
      </c>
      <c r="K37" s="85" t="n">
        <v>0</v>
      </c>
      <c r="L37" s="85" t="n"/>
      <c r="M37" s="85" t="n">
        <v>1</v>
      </c>
      <c r="N37" s="85" t="n">
        <v>0</v>
      </c>
      <c r="O37" s="85" t="n"/>
      <c r="P37" s="85" t="inlineStr">
        <is>
          <t>SOUND EDITING</t>
        </is>
      </c>
      <c r="Q37" s="85" t="inlineStr">
        <is>
          <t>MUSIC (Original Song); SOUND MIXING; SOUND EDITING; WRITING (Original Screenplay)</t>
        </is>
      </c>
      <c r="R37" s="85" t="inlineStr">
        <is>
          <t>https://github.com/DLu/oscar_data</t>
        </is>
      </c>
    </row>
    <row r="38" ht="15.75" customHeight="1" s="108">
      <c r="A38" s="83" t="inlineStr">
        <is>
          <t>F0034</t>
        </is>
      </c>
      <c r="B38" s="83" t="inlineStr">
        <is>
          <t>Back to the Future Part II</t>
        </is>
      </c>
      <c r="C38" s="83" t="inlineStr">
        <is>
          <t>1989</t>
        </is>
      </c>
      <c r="D38" s="83" t="n">
        <v>1</v>
      </c>
      <c r="E38" s="83" t="n">
        <v>0</v>
      </c>
      <c r="F38" s="84" t="n"/>
      <c r="G38" s="83" t="n">
        <v>0</v>
      </c>
      <c r="H38" s="83" t="n">
        <v>0</v>
      </c>
      <c r="I38" s="85" t="n"/>
      <c r="J38" s="85" t="n">
        <v>0</v>
      </c>
      <c r="K38" s="85" t="n">
        <v>0</v>
      </c>
      <c r="L38" s="85" t="n"/>
      <c r="M38" s="85" t="n">
        <v>0</v>
      </c>
      <c r="N38" s="85" t="n">
        <v>0</v>
      </c>
      <c r="O38" s="85" t="n"/>
      <c r="P38" s="85" t="n"/>
      <c r="Q38" s="85" t="inlineStr">
        <is>
          <t>VISUAL EFFECTS</t>
        </is>
      </c>
      <c r="R38" s="85" t="inlineStr">
        <is>
          <t>https://github.com/DLu/oscar_data</t>
        </is>
      </c>
    </row>
    <row r="39" ht="15.75" customHeight="1" s="108">
      <c r="A39" s="83" t="inlineStr">
        <is>
          <t>F0035</t>
        </is>
      </c>
      <c r="B39" s="83" t="inlineStr">
        <is>
          <t>Back to the Future Part III</t>
        </is>
      </c>
      <c r="C39" s="83" t="inlineStr">
        <is>
          <t>1990</t>
        </is>
      </c>
      <c r="D39" s="83" t="n">
        <v>0</v>
      </c>
      <c r="E39" s="83" t="n">
        <v>0</v>
      </c>
      <c r="F39" s="84" t="n"/>
      <c r="G39" s="83" t="n">
        <v>0</v>
      </c>
      <c r="H39" s="83" t="n">
        <v>0</v>
      </c>
      <c r="I39" s="85" t="n"/>
      <c r="J39" s="85" t="n">
        <v>0</v>
      </c>
      <c r="K39" s="85" t="n">
        <v>0</v>
      </c>
      <c r="L39" s="85" t="n"/>
      <c r="M39" s="85" t="n">
        <v>0</v>
      </c>
      <c r="N39" s="85" t="n">
        <v>0</v>
      </c>
      <c r="O39" s="85" t="n"/>
      <c r="P39" s="85" t="n"/>
      <c r="Q39" s="85" t="n"/>
      <c r="R39" s="85" t="inlineStr">
        <is>
          <t>https://github.com/DLu/oscar_data</t>
        </is>
      </c>
    </row>
    <row r="40" ht="15.75" customHeight="1" s="108">
      <c r="A40" s="83" t="inlineStr">
        <is>
          <t>F0036</t>
        </is>
      </c>
      <c r="B40" s="83" t="inlineStr">
        <is>
          <t>Bad Boys</t>
        </is>
      </c>
      <c r="C40" s="83" t="inlineStr">
        <is>
          <t>1995</t>
        </is>
      </c>
      <c r="D40" s="83" t="n">
        <v>0</v>
      </c>
      <c r="E40" s="83" t="n">
        <v>0</v>
      </c>
      <c r="F40" s="84" t="n"/>
      <c r="G40" s="83" t="n">
        <v>0</v>
      </c>
      <c r="H40" s="83" t="n">
        <v>0</v>
      </c>
      <c r="I40" s="85" t="n"/>
      <c r="J40" s="85" t="n">
        <v>0</v>
      </c>
      <c r="K40" s="85" t="n">
        <v>0</v>
      </c>
      <c r="L40" s="85" t="n"/>
      <c r="M40" s="85" t="n">
        <v>0</v>
      </c>
      <c r="N40" s="85" t="n">
        <v>0</v>
      </c>
      <c r="O40" s="85" t="n"/>
      <c r="P40" s="85" t="n"/>
      <c r="Q40" s="85" t="n"/>
      <c r="R40" s="85" t="inlineStr">
        <is>
          <t>https://github.com/DLu/oscar_data</t>
        </is>
      </c>
    </row>
    <row r="41" ht="15.75" customHeight="1" s="108">
      <c r="A41" s="83" t="inlineStr">
        <is>
          <t>F0037</t>
        </is>
      </c>
      <c r="B41" s="83" t="inlineStr">
        <is>
          <t>Bad Boys II</t>
        </is>
      </c>
      <c r="C41" s="83" t="inlineStr">
        <is>
          <t>2003</t>
        </is>
      </c>
      <c r="D41" s="83" t="n">
        <v>0</v>
      </c>
      <c r="E41" s="83" t="n">
        <v>0</v>
      </c>
      <c r="F41" s="84" t="n"/>
      <c r="G41" s="83" t="n">
        <v>0</v>
      </c>
      <c r="H41" s="83" t="n">
        <v>0</v>
      </c>
      <c r="I41" s="85" t="n"/>
      <c r="J41" s="85" t="n">
        <v>0</v>
      </c>
      <c r="K41" s="85" t="n">
        <v>0</v>
      </c>
      <c r="L41" s="85" t="n"/>
      <c r="M41" s="85" t="n">
        <v>0</v>
      </c>
      <c r="N41" s="85" t="n">
        <v>0</v>
      </c>
      <c r="O41" s="85" t="n"/>
      <c r="P41" s="85" t="n"/>
      <c r="Q41" s="85" t="n"/>
      <c r="R41" s="85" t="inlineStr">
        <is>
          <t>https://github.com/DLu/oscar_data</t>
        </is>
      </c>
    </row>
    <row r="42" ht="15.75" customHeight="1" s="108">
      <c r="A42" s="83" t="inlineStr">
        <is>
          <t>F0038</t>
        </is>
      </c>
      <c r="B42" s="83" t="inlineStr">
        <is>
          <t>Bad Moms</t>
        </is>
      </c>
      <c r="C42" s="83" t="inlineStr">
        <is>
          <t>2016</t>
        </is>
      </c>
      <c r="D42" s="83" t="n">
        <v>0</v>
      </c>
      <c r="E42" s="83" t="n">
        <v>0</v>
      </c>
      <c r="F42" s="84" t="n"/>
      <c r="G42" s="83" t="n">
        <v>0</v>
      </c>
      <c r="H42" s="83" t="n">
        <v>0</v>
      </c>
      <c r="I42" s="85" t="n"/>
      <c r="J42" s="85" t="n">
        <v>0</v>
      </c>
      <c r="K42" s="85" t="n">
        <v>0</v>
      </c>
      <c r="L42" s="85" t="n"/>
      <c r="M42" s="85" t="n">
        <v>0</v>
      </c>
      <c r="N42" s="85" t="n">
        <v>0</v>
      </c>
      <c r="O42" s="85" t="n"/>
      <c r="P42" s="85" t="n"/>
      <c r="Q42" s="85" t="n"/>
      <c r="R42" s="85" t="inlineStr">
        <is>
          <t>https://github.com/DLu/oscar_data</t>
        </is>
      </c>
    </row>
    <row r="43" ht="15.75" customHeight="1" s="108">
      <c r="A43" s="83" t="inlineStr">
        <is>
          <t>F0039</t>
        </is>
      </c>
      <c r="B43" s="83" t="inlineStr">
        <is>
          <t>Bad Teacher</t>
        </is>
      </c>
      <c r="C43" s="83" t="inlineStr">
        <is>
          <t>2011</t>
        </is>
      </c>
      <c r="D43" s="83" t="n">
        <v>0</v>
      </c>
      <c r="E43" s="83" t="n">
        <v>0</v>
      </c>
      <c r="F43" s="84" t="n"/>
      <c r="G43" s="83" t="n">
        <v>0</v>
      </c>
      <c r="H43" s="83" t="n">
        <v>0</v>
      </c>
      <c r="I43" s="85" t="n"/>
      <c r="J43" s="85" t="n">
        <v>0</v>
      </c>
      <c r="K43" s="85" t="n">
        <v>0</v>
      </c>
      <c r="L43" s="85" t="n"/>
      <c r="M43" s="85" t="n">
        <v>0</v>
      </c>
      <c r="N43" s="85" t="n">
        <v>0</v>
      </c>
      <c r="O43" s="85" t="n"/>
      <c r="P43" s="85" t="n"/>
      <c r="Q43" s="85" t="n"/>
      <c r="R43" s="85" t="inlineStr">
        <is>
          <t>https://github.com/DLu/oscar_data</t>
        </is>
      </c>
    </row>
    <row r="44" ht="15.75" customHeight="1" s="108">
      <c r="A44" s="83" t="inlineStr">
        <is>
          <t>F0040</t>
        </is>
      </c>
      <c r="B44" s="83" t="inlineStr">
        <is>
          <t>The Bank Job</t>
        </is>
      </c>
      <c r="C44" s="83" t="inlineStr">
        <is>
          <t>2008</t>
        </is>
      </c>
      <c r="D44" s="83" t="n">
        <v>0</v>
      </c>
      <c r="E44" s="83" t="n">
        <v>0</v>
      </c>
      <c r="F44" s="84" t="n"/>
      <c r="G44" s="83" t="n">
        <v>0</v>
      </c>
      <c r="H44" s="83" t="n">
        <v>0</v>
      </c>
      <c r="I44" s="85" t="n"/>
      <c r="J44" s="85" t="n">
        <v>0</v>
      </c>
      <c r="K44" s="85" t="n">
        <v>0</v>
      </c>
      <c r="L44" s="85" t="n"/>
      <c r="M44" s="85" t="n">
        <v>0</v>
      </c>
      <c r="N44" s="85" t="n">
        <v>0</v>
      </c>
      <c r="O44" s="85" t="n"/>
      <c r="P44" s="85" t="n"/>
      <c r="Q44" s="85" t="n"/>
      <c r="R44" s="85" t="inlineStr">
        <is>
          <t>https://github.com/DLu/oscar_data</t>
        </is>
      </c>
    </row>
    <row r="45" ht="45" customHeight="1" s="108">
      <c r="A45" s="83" t="inlineStr">
        <is>
          <t>F0041</t>
        </is>
      </c>
      <c r="B45" s="83" t="inlineStr">
        <is>
          <t>Barbie</t>
        </is>
      </c>
      <c r="C45" s="83" t="inlineStr">
        <is>
          <t>2023</t>
        </is>
      </c>
      <c r="D45" s="83" t="n">
        <v>8</v>
      </c>
      <c r="E45" s="83" t="n">
        <v>1</v>
      </c>
      <c r="F45" s="83" t="inlineStr">
        <is>
          <t>Nominated</t>
        </is>
      </c>
      <c r="G45" s="83" t="n">
        <v>2</v>
      </c>
      <c r="H45" s="83" t="n">
        <v>0</v>
      </c>
      <c r="I45" s="85" t="n"/>
      <c r="J45" s="85" t="n">
        <v>0</v>
      </c>
      <c r="K45" s="85" t="n">
        <v>0</v>
      </c>
      <c r="L45" s="85" t="n"/>
      <c r="M45" s="85" t="n">
        <v>1</v>
      </c>
      <c r="N45" s="85" t="n">
        <v>0</v>
      </c>
      <c r="O45" s="85" t="n"/>
      <c r="P45" s="85" t="inlineStr">
        <is>
          <t>MUSIC (Original Song)</t>
        </is>
      </c>
      <c r="Q45" s="85" t="inlineStr">
        <is>
          <t>ACTOR IN A SUPPORTING ROLE; ACTRESS IN A SUPPORTING ROLE; COSTUME DESIGN; MUSIC (Original Song); BEST PICTURE; ART DIRECTION; WRITING (Adapted Screenplay)</t>
        </is>
      </c>
      <c r="R45" s="85" t="inlineStr">
        <is>
          <t>https://github.com/DLu/oscar_data</t>
        </is>
      </c>
    </row>
    <row r="46" ht="15.75" customHeight="1" s="108">
      <c r="A46" s="83" t="inlineStr">
        <is>
          <t>F0042</t>
        </is>
      </c>
      <c r="B46" s="83" t="inlineStr">
        <is>
          <t>The Batman</t>
        </is>
      </c>
      <c r="C46" s="83" t="inlineStr">
        <is>
          <t>2022</t>
        </is>
      </c>
      <c r="D46" s="83" t="n">
        <v>3</v>
      </c>
      <c r="E46" s="83" t="n">
        <v>0</v>
      </c>
      <c r="F46" s="84" t="n"/>
      <c r="G46" s="83" t="n">
        <v>0</v>
      </c>
      <c r="H46" s="83" t="n">
        <v>0</v>
      </c>
      <c r="I46" s="85" t="n"/>
      <c r="J46" s="85" t="n">
        <v>0</v>
      </c>
      <c r="K46" s="85" t="n">
        <v>0</v>
      </c>
      <c r="L46" s="85" t="n"/>
      <c r="M46" s="85" t="n">
        <v>0</v>
      </c>
      <c r="N46" s="85" t="n">
        <v>0</v>
      </c>
      <c r="O46" s="85" t="n"/>
      <c r="P46" s="85" t="n"/>
      <c r="Q46" s="85" t="inlineStr">
        <is>
          <t>MAKEUP AND HAIRSTYLING; SOUND MIXING; VISUAL EFFECTS</t>
        </is>
      </c>
      <c r="R46" s="85" t="inlineStr">
        <is>
          <t>https://github.com/DLu/oscar_data</t>
        </is>
      </c>
    </row>
    <row r="47" ht="15.75" customHeight="1" s="108">
      <c r="A47" s="83" t="inlineStr">
        <is>
          <t>F0043</t>
        </is>
      </c>
      <c r="B47" s="83" t="inlineStr">
        <is>
          <t>Batman Begins</t>
        </is>
      </c>
      <c r="C47" s="83" t="inlineStr">
        <is>
          <t>2005</t>
        </is>
      </c>
      <c r="D47" s="83" t="n">
        <v>1</v>
      </c>
      <c r="E47" s="83" t="n">
        <v>0</v>
      </c>
      <c r="F47" s="84" t="n"/>
      <c r="G47" s="83" t="n">
        <v>0</v>
      </c>
      <c r="H47" s="83" t="n">
        <v>0</v>
      </c>
      <c r="I47" s="85" t="n"/>
      <c r="J47" s="85" t="n">
        <v>0</v>
      </c>
      <c r="K47" s="85" t="n">
        <v>0</v>
      </c>
      <c r="L47" s="85" t="n"/>
      <c r="M47" s="85" t="n">
        <v>0</v>
      </c>
      <c r="N47" s="85" t="n">
        <v>0</v>
      </c>
      <c r="O47" s="85" t="n"/>
      <c r="P47" s="85" t="n"/>
      <c r="Q47" s="85" t="inlineStr">
        <is>
          <t>CINEMATOGRAPHY</t>
        </is>
      </c>
      <c r="R47" s="85" t="inlineStr">
        <is>
          <t>https://github.com/DLu/oscar_data</t>
        </is>
      </c>
    </row>
    <row r="48" ht="45" customHeight="1" s="108">
      <c r="A48" s="83" t="inlineStr">
        <is>
          <t>F0044</t>
        </is>
      </c>
      <c r="B48" s="83" t="inlineStr">
        <is>
          <t>The Dark Knight</t>
        </is>
      </c>
      <c r="C48" s="83" t="inlineStr">
        <is>
          <t>2008</t>
        </is>
      </c>
      <c r="D48" s="83" t="n">
        <v>8</v>
      </c>
      <c r="E48" s="83" t="n">
        <v>2</v>
      </c>
      <c r="F48" s="84" t="n"/>
      <c r="G48" s="83" t="n">
        <v>1</v>
      </c>
      <c r="H48" s="83" t="n">
        <v>1</v>
      </c>
      <c r="I48" s="85" t="inlineStr">
        <is>
          <t>Heath Ledger</t>
        </is>
      </c>
      <c r="J48" s="85" t="n">
        <v>0</v>
      </c>
      <c r="K48" s="85" t="n">
        <v>0</v>
      </c>
      <c r="L48" s="85" t="n"/>
      <c r="M48" s="85" t="n">
        <v>0</v>
      </c>
      <c r="N48" s="85" t="n">
        <v>0</v>
      </c>
      <c r="O48" s="85" t="n"/>
      <c r="P48" s="85" t="inlineStr">
        <is>
          <t>ACTOR IN A SUPPORTING ROLE; SOUND EDITING</t>
        </is>
      </c>
      <c r="Q48" s="85" t="inlineStr">
        <is>
          <t>ACTOR IN A SUPPORTING ROLE; ART DIRECTION; CINEMATOGRAPHY; FILM EDITING; MAKEUP AND HAIRSTYLING; SOUND EDITING; SOUND MIXING; VISUAL EFFECTS</t>
        </is>
      </c>
      <c r="R48" s="85" t="inlineStr">
        <is>
          <t>https://github.com/DLu/oscar_data</t>
        </is>
      </c>
    </row>
    <row r="49" ht="15.75" customHeight="1" s="108">
      <c r="A49" s="83" t="inlineStr">
        <is>
          <t>F0045</t>
        </is>
      </c>
      <c r="B49" s="83" t="inlineStr">
        <is>
          <t>The Dark Knight Rises</t>
        </is>
      </c>
      <c r="C49" s="83" t="inlineStr">
        <is>
          <t>2012</t>
        </is>
      </c>
      <c r="D49" s="83" t="n">
        <v>0</v>
      </c>
      <c r="E49" s="83" t="n">
        <v>0</v>
      </c>
      <c r="F49" s="84" t="n"/>
      <c r="G49" s="83" t="n">
        <v>0</v>
      </c>
      <c r="H49" s="83" t="n">
        <v>0</v>
      </c>
      <c r="I49" s="85" t="n"/>
      <c r="J49" s="85" t="n">
        <v>0</v>
      </c>
      <c r="K49" s="85" t="n">
        <v>0</v>
      </c>
      <c r="L49" s="85" t="n"/>
      <c r="M49" s="85" t="n">
        <v>0</v>
      </c>
      <c r="N49" s="85" t="n">
        <v>0</v>
      </c>
      <c r="O49" s="85" t="n"/>
      <c r="P49" s="85" t="n"/>
      <c r="Q49" s="85" t="n"/>
      <c r="R49" s="85" t="inlineStr">
        <is>
          <t>https://github.com/DLu/oscar_data</t>
        </is>
      </c>
    </row>
    <row r="50" ht="15.75" customHeight="1" s="108">
      <c r="A50" s="83" t="inlineStr">
        <is>
          <t>F0046</t>
        </is>
      </c>
      <c r="B50" s="83" t="inlineStr">
        <is>
          <t>Battle: Los Angeles</t>
        </is>
      </c>
      <c r="C50" s="83" t="inlineStr">
        <is>
          <t>2011</t>
        </is>
      </c>
      <c r="D50" s="83" t="n">
        <v>0</v>
      </c>
      <c r="E50" s="83" t="n">
        <v>0</v>
      </c>
      <c r="F50" s="84" t="n"/>
      <c r="G50" s="83" t="n">
        <v>0</v>
      </c>
      <c r="H50" s="83" t="n">
        <v>0</v>
      </c>
      <c r="I50" s="85" t="n"/>
      <c r="J50" s="85" t="n">
        <v>0</v>
      </c>
      <c r="K50" s="85" t="n">
        <v>0</v>
      </c>
      <c r="L50" s="85" t="n"/>
      <c r="M50" s="85" t="n">
        <v>0</v>
      </c>
      <c r="N50" s="85" t="n">
        <v>0</v>
      </c>
      <c r="O50" s="85" t="n"/>
      <c r="P50" s="85" t="n"/>
      <c r="Q50" s="85" t="n"/>
      <c r="R50" s="85" t="inlineStr">
        <is>
          <t>https://github.com/DLu/oscar_data</t>
        </is>
      </c>
    </row>
    <row r="51" ht="15.75" customHeight="1" s="108">
      <c r="A51" s="83" t="inlineStr">
        <is>
          <t>F0047</t>
        </is>
      </c>
      <c r="B51" s="83" t="inlineStr">
        <is>
          <t>The BFG</t>
        </is>
      </c>
      <c r="C51" s="83" t="inlineStr">
        <is>
          <t>2016</t>
        </is>
      </c>
      <c r="D51" s="83" t="n">
        <v>0</v>
      </c>
      <c r="E51" s="83" t="n">
        <v>0</v>
      </c>
      <c r="F51" s="84" t="n"/>
      <c r="G51" s="83" t="n">
        <v>0</v>
      </c>
      <c r="H51" s="83" t="n">
        <v>0</v>
      </c>
      <c r="I51" s="85" t="n"/>
      <c r="J51" s="85" t="n">
        <v>0</v>
      </c>
      <c r="K51" s="85" t="n">
        <v>0</v>
      </c>
      <c r="L51" s="85" t="n"/>
      <c r="M51" s="85" t="n">
        <v>0</v>
      </c>
      <c r="N51" s="85" t="n">
        <v>0</v>
      </c>
      <c r="O51" s="85" t="n"/>
      <c r="P51" s="85" t="n"/>
      <c r="Q51" s="85" t="n"/>
      <c r="R51" s="85" t="inlineStr">
        <is>
          <t>https://github.com/DLu/oscar_data</t>
        </is>
      </c>
    </row>
    <row r="52" ht="15.75" customHeight="1" s="108">
      <c r="A52" s="83" t="inlineStr">
        <is>
          <t>F0048</t>
        </is>
      </c>
      <c r="B52" s="83" t="inlineStr">
        <is>
          <t>Big Hero 6</t>
        </is>
      </c>
      <c r="C52" s="83" t="inlineStr">
        <is>
          <t>2014</t>
        </is>
      </c>
      <c r="D52" s="83" t="n">
        <v>1</v>
      </c>
      <c r="E52" s="83" t="n">
        <v>1</v>
      </c>
      <c r="F52" s="84" t="n"/>
      <c r="G52" s="83" t="n">
        <v>0</v>
      </c>
      <c r="H52" s="83" t="n">
        <v>0</v>
      </c>
      <c r="I52" s="85" t="n"/>
      <c r="J52" s="85" t="n">
        <v>0</v>
      </c>
      <c r="K52" s="85" t="n">
        <v>0</v>
      </c>
      <c r="L52" s="85" t="n"/>
      <c r="M52" s="85" t="n">
        <v>0</v>
      </c>
      <c r="N52" s="85" t="n">
        <v>0</v>
      </c>
      <c r="O52" s="85" t="inlineStr">
        <is>
          <t>Winner</t>
        </is>
      </c>
      <c r="P52" s="85" t="inlineStr">
        <is>
          <t>ANIMATED FEATURE FILM</t>
        </is>
      </c>
      <c r="Q52" s="85" t="inlineStr">
        <is>
          <t>ANIMATED FEATURE FILM</t>
        </is>
      </c>
      <c r="R52" s="85" t="inlineStr">
        <is>
          <t>https://github.com/DLu/oscar_data</t>
        </is>
      </c>
    </row>
    <row r="53" ht="15.75" customHeight="1" s="108">
      <c r="A53" s="83" t="inlineStr">
        <is>
          <t>F0049</t>
        </is>
      </c>
      <c r="B53" s="83" t="inlineStr">
        <is>
          <t>The Big Lebowski</t>
        </is>
      </c>
      <c r="C53" s="83" t="inlineStr">
        <is>
          <t>1998</t>
        </is>
      </c>
      <c r="D53" s="83" t="n">
        <v>0</v>
      </c>
      <c r="E53" s="83" t="n">
        <v>0</v>
      </c>
      <c r="F53" s="84" t="n"/>
      <c r="G53" s="83" t="n">
        <v>0</v>
      </c>
      <c r="H53" s="83" t="n">
        <v>0</v>
      </c>
      <c r="I53" s="85" t="n"/>
      <c r="J53" s="85" t="n">
        <v>0</v>
      </c>
      <c r="K53" s="85" t="n">
        <v>0</v>
      </c>
      <c r="L53" s="85" t="n"/>
      <c r="M53" s="85" t="n">
        <v>0</v>
      </c>
      <c r="N53" s="85" t="n">
        <v>0</v>
      </c>
      <c r="O53" s="85" t="n"/>
      <c r="P53" s="85" t="n"/>
      <c r="Q53" s="85" t="n"/>
      <c r="R53" s="85" t="inlineStr">
        <is>
          <t>https://github.com/DLu/oscar_data</t>
        </is>
      </c>
    </row>
    <row r="54" ht="15.75" customHeight="1" s="108">
      <c r="A54" s="83" t="inlineStr">
        <is>
          <t>F0050</t>
        </is>
      </c>
      <c r="B54" s="83" t="inlineStr">
        <is>
          <t>Black Hawk Down</t>
        </is>
      </c>
      <c r="C54" s="83" t="inlineStr">
        <is>
          <t>2001</t>
        </is>
      </c>
      <c r="D54" s="83" t="n">
        <v>4</v>
      </c>
      <c r="E54" s="83" t="n">
        <v>2</v>
      </c>
      <c r="F54" s="84" t="n"/>
      <c r="G54" s="83" t="n">
        <v>0</v>
      </c>
      <c r="H54" s="83" t="n">
        <v>0</v>
      </c>
      <c r="I54" s="85" t="n"/>
      <c r="J54" s="85" t="n">
        <v>1</v>
      </c>
      <c r="K54" s="85" t="n">
        <v>0</v>
      </c>
      <c r="L54" s="85" t="n"/>
      <c r="M54" s="85" t="n">
        <v>0</v>
      </c>
      <c r="N54" s="85" t="n">
        <v>0</v>
      </c>
      <c r="O54" s="85" t="n"/>
      <c r="P54" s="85" t="inlineStr">
        <is>
          <t>FILM EDITING; SOUND MIXING</t>
        </is>
      </c>
      <c r="Q54" s="85" t="inlineStr">
        <is>
          <t>CINEMATOGRAPHY; DIRECTING; FILM EDITING; SOUND MIXING</t>
        </is>
      </c>
      <c r="R54" s="85" t="inlineStr">
        <is>
          <t>https://github.com/DLu/oscar_data</t>
        </is>
      </c>
    </row>
    <row r="55" ht="15.75" customHeight="1" s="108">
      <c r="A55" s="83" t="inlineStr">
        <is>
          <t>F0051</t>
        </is>
      </c>
      <c r="B55" s="83" t="inlineStr">
        <is>
          <t>Body of Lies</t>
        </is>
      </c>
      <c r="C55" s="83" t="inlineStr">
        <is>
          <t>2008</t>
        </is>
      </c>
      <c r="D55" s="83" t="n">
        <v>0</v>
      </c>
      <c r="E55" s="83" t="n">
        <v>0</v>
      </c>
      <c r="F55" s="84" t="n"/>
      <c r="G55" s="83" t="n">
        <v>0</v>
      </c>
      <c r="H55" s="83" t="n">
        <v>0</v>
      </c>
      <c r="I55" s="85" t="n"/>
      <c r="J55" s="85" t="n">
        <v>0</v>
      </c>
      <c r="K55" s="85" t="n">
        <v>0</v>
      </c>
      <c r="L55" s="85" t="n"/>
      <c r="M55" s="85" t="n">
        <v>0</v>
      </c>
      <c r="N55" s="85" t="n">
        <v>0</v>
      </c>
      <c r="O55" s="85" t="n"/>
      <c r="P55" s="85" t="n"/>
      <c r="Q55" s="85" t="n"/>
      <c r="R55" s="85" t="inlineStr">
        <is>
          <t>https://github.com/DLu/oscar_data</t>
        </is>
      </c>
    </row>
    <row r="56" ht="30" customHeight="1" s="108">
      <c r="A56" s="83" t="inlineStr">
        <is>
          <t>F0052</t>
        </is>
      </c>
      <c r="B56" s="83" t="inlineStr">
        <is>
          <t>Bohemian Rhapsody</t>
        </is>
      </c>
      <c r="C56" s="83" t="inlineStr">
        <is>
          <t>2018</t>
        </is>
      </c>
      <c r="D56" s="83" t="n">
        <v>5</v>
      </c>
      <c r="E56" s="83" t="n">
        <v>4</v>
      </c>
      <c r="F56" s="83" t="inlineStr">
        <is>
          <t>Nominated</t>
        </is>
      </c>
      <c r="G56" s="83" t="n">
        <v>1</v>
      </c>
      <c r="H56" s="83" t="n">
        <v>1</v>
      </c>
      <c r="I56" s="85" t="inlineStr">
        <is>
          <t>Rami Malek</t>
        </is>
      </c>
      <c r="J56" s="85" t="n">
        <v>0</v>
      </c>
      <c r="K56" s="85" t="n">
        <v>0</v>
      </c>
      <c r="L56" s="85" t="n"/>
      <c r="M56" s="85" t="n">
        <v>0</v>
      </c>
      <c r="N56" s="85" t="n">
        <v>0</v>
      </c>
      <c r="O56" s="85" t="n"/>
      <c r="P56" s="85" t="inlineStr">
        <is>
          <t>ACTOR IN A LEADING ROLE; FILM EDITING; SOUND EDITING; SOUND MIXING</t>
        </is>
      </c>
      <c r="Q56" s="85" t="inlineStr">
        <is>
          <t>ACTOR IN A LEADING ROLE; FILM EDITING; BEST PICTURE; SOUND EDITING; SOUND MIXING</t>
        </is>
      </c>
      <c r="R56" s="85" t="inlineStr">
        <is>
          <t>https://github.com/DLu/oscar_data</t>
        </is>
      </c>
    </row>
    <row r="57" ht="15.75" customHeight="1" s="108">
      <c r="A57" s="83" t="inlineStr">
        <is>
          <t>F0053</t>
        </is>
      </c>
      <c r="B57" s="83" t="inlineStr">
        <is>
          <t>The Bourne Identity</t>
        </is>
      </c>
      <c r="C57" s="83" t="inlineStr">
        <is>
          <t>2002</t>
        </is>
      </c>
      <c r="D57" s="83" t="n">
        <v>0</v>
      </c>
      <c r="E57" s="83" t="n">
        <v>0</v>
      </c>
      <c r="F57" s="84" t="n"/>
      <c r="G57" s="83" t="n">
        <v>0</v>
      </c>
      <c r="H57" s="83" t="n">
        <v>0</v>
      </c>
      <c r="I57" s="85" t="n"/>
      <c r="J57" s="85" t="n">
        <v>0</v>
      </c>
      <c r="K57" s="85" t="n">
        <v>0</v>
      </c>
      <c r="L57" s="85" t="n"/>
      <c r="M57" s="85" t="n">
        <v>0</v>
      </c>
      <c r="N57" s="85" t="n">
        <v>0</v>
      </c>
      <c r="O57" s="85" t="n"/>
      <c r="P57" s="85" t="n"/>
      <c r="Q57" s="85" t="n"/>
      <c r="R57" s="85" t="inlineStr">
        <is>
          <t>https://github.com/DLu/oscar_data</t>
        </is>
      </c>
    </row>
    <row r="58" ht="15.75" customHeight="1" s="108">
      <c r="A58" s="83" t="inlineStr">
        <is>
          <t>F0054</t>
        </is>
      </c>
      <c r="B58" s="83" t="inlineStr">
        <is>
          <t>The Bourne Supremacy</t>
        </is>
      </c>
      <c r="C58" s="83" t="inlineStr">
        <is>
          <t>2004</t>
        </is>
      </c>
      <c r="D58" s="83" t="n">
        <v>0</v>
      </c>
      <c r="E58" s="83" t="n">
        <v>0</v>
      </c>
      <c r="F58" s="84" t="n"/>
      <c r="G58" s="83" t="n">
        <v>0</v>
      </c>
      <c r="H58" s="83" t="n">
        <v>0</v>
      </c>
      <c r="I58" s="85" t="n"/>
      <c r="J58" s="85" t="n">
        <v>0</v>
      </c>
      <c r="K58" s="85" t="n">
        <v>0</v>
      </c>
      <c r="L58" s="85" t="n"/>
      <c r="M58" s="85" t="n">
        <v>0</v>
      </c>
      <c r="N58" s="85" t="n">
        <v>0</v>
      </c>
      <c r="O58" s="85" t="n"/>
      <c r="P58" s="85" t="n"/>
      <c r="Q58" s="85" t="n"/>
      <c r="R58" s="85" t="inlineStr">
        <is>
          <t>https://github.com/DLu/oscar_data</t>
        </is>
      </c>
    </row>
    <row r="59" ht="15.75" customHeight="1" s="108">
      <c r="A59" s="83" t="inlineStr">
        <is>
          <t>F0055</t>
        </is>
      </c>
      <c r="B59" s="83" t="inlineStr">
        <is>
          <t>The Bourne Ultimatum</t>
        </is>
      </c>
      <c r="C59" s="83" t="inlineStr">
        <is>
          <t>2007</t>
        </is>
      </c>
      <c r="D59" s="83" t="n">
        <v>3</v>
      </c>
      <c r="E59" s="83" t="n">
        <v>3</v>
      </c>
      <c r="F59" s="84" t="n"/>
      <c r="G59" s="83" t="n">
        <v>0</v>
      </c>
      <c r="H59" s="83" t="n">
        <v>0</v>
      </c>
      <c r="I59" s="85" t="n"/>
      <c r="J59" s="85" t="n">
        <v>0</v>
      </c>
      <c r="K59" s="85" t="n">
        <v>0</v>
      </c>
      <c r="L59" s="85" t="n"/>
      <c r="M59" s="85" t="n">
        <v>0</v>
      </c>
      <c r="N59" s="85" t="n">
        <v>0</v>
      </c>
      <c r="O59" s="85" t="n"/>
      <c r="P59" s="85" t="inlineStr">
        <is>
          <t>FILM EDITING; SOUND EDITING; SOUND MIXING</t>
        </is>
      </c>
      <c r="Q59" s="85" t="inlineStr">
        <is>
          <t>FILM EDITING; SOUND EDITING; SOUND MIXING</t>
        </is>
      </c>
      <c r="R59" s="85" t="inlineStr">
        <is>
          <t>https://github.com/DLu/oscar_data</t>
        </is>
      </c>
    </row>
    <row r="60" ht="15.75" customHeight="1" s="108">
      <c r="A60" s="83" t="inlineStr">
        <is>
          <t>F0056</t>
        </is>
      </c>
      <c r="B60" s="83" t="inlineStr">
        <is>
          <t>The Bourne Legacy</t>
        </is>
      </c>
      <c r="C60" s="83" t="inlineStr">
        <is>
          <t>2012</t>
        </is>
      </c>
      <c r="D60" s="83" t="n">
        <v>0</v>
      </c>
      <c r="E60" s="83" t="n">
        <v>0</v>
      </c>
      <c r="F60" s="84" t="n"/>
      <c r="G60" s="83" t="n">
        <v>0</v>
      </c>
      <c r="H60" s="83" t="n">
        <v>0</v>
      </c>
      <c r="I60" s="85" t="n"/>
      <c r="J60" s="85" t="n">
        <v>0</v>
      </c>
      <c r="K60" s="85" t="n">
        <v>0</v>
      </c>
      <c r="L60" s="85" t="n"/>
      <c r="M60" s="85" t="n">
        <v>0</v>
      </c>
      <c r="N60" s="85" t="n">
        <v>0</v>
      </c>
      <c r="O60" s="85" t="n"/>
      <c r="P60" s="85" t="n"/>
      <c r="Q60" s="85" t="n"/>
      <c r="R60" s="85" t="inlineStr">
        <is>
          <t>https://github.com/DLu/oscar_data</t>
        </is>
      </c>
    </row>
    <row r="61" ht="15.75" customHeight="1" s="108">
      <c r="A61" s="83" t="inlineStr">
        <is>
          <t>F0057</t>
        </is>
      </c>
      <c r="B61" s="83" t="inlineStr">
        <is>
          <t>The Breakfast Club</t>
        </is>
      </c>
      <c r="C61" s="83" t="inlineStr">
        <is>
          <t>1985</t>
        </is>
      </c>
      <c r="D61" s="83" t="n">
        <v>0</v>
      </c>
      <c r="E61" s="83" t="n">
        <v>0</v>
      </c>
      <c r="F61" s="84" t="n"/>
      <c r="G61" s="83" t="n">
        <v>0</v>
      </c>
      <c r="H61" s="83" t="n">
        <v>0</v>
      </c>
      <c r="I61" s="85" t="n"/>
      <c r="J61" s="85" t="n">
        <v>0</v>
      </c>
      <c r="K61" s="85" t="n">
        <v>0</v>
      </c>
      <c r="L61" s="85" t="n"/>
      <c r="M61" s="85" t="n">
        <v>0</v>
      </c>
      <c r="N61" s="85" t="n">
        <v>0</v>
      </c>
      <c r="O61" s="85" t="n"/>
      <c r="P61" s="85" t="n"/>
      <c r="Q61" s="85" t="n"/>
      <c r="R61" s="85" t="inlineStr">
        <is>
          <t>https://github.com/DLu/oscar_data</t>
        </is>
      </c>
    </row>
    <row r="62" ht="15.75" customHeight="1" s="108">
      <c r="A62" s="83" t="inlineStr">
        <is>
          <t>F0058</t>
        </is>
      </c>
      <c r="B62" s="83" t="inlineStr">
        <is>
          <t>Bridesmaids</t>
        </is>
      </c>
      <c r="C62" s="83" t="inlineStr">
        <is>
          <t>2011</t>
        </is>
      </c>
      <c r="D62" s="83" t="n">
        <v>2</v>
      </c>
      <c r="E62" s="83" t="n">
        <v>0</v>
      </c>
      <c r="F62" s="84" t="n"/>
      <c r="G62" s="83" t="n">
        <v>1</v>
      </c>
      <c r="H62" s="83" t="n">
        <v>0</v>
      </c>
      <c r="I62" s="85" t="n"/>
      <c r="J62" s="85" t="n">
        <v>0</v>
      </c>
      <c r="K62" s="85" t="n">
        <v>0</v>
      </c>
      <c r="L62" s="85" t="n"/>
      <c r="M62" s="85" t="n">
        <v>1</v>
      </c>
      <c r="N62" s="85" t="n">
        <v>0</v>
      </c>
      <c r="O62" s="85" t="n"/>
      <c r="P62" s="85" t="n"/>
      <c r="Q62" s="85" t="inlineStr">
        <is>
          <t>ACTRESS IN A SUPPORTING ROLE; WRITING (Original Screenplay)</t>
        </is>
      </c>
      <c r="R62" s="85" t="inlineStr">
        <is>
          <t>https://github.com/DLu/oscar_data</t>
        </is>
      </c>
    </row>
    <row r="63" ht="15.75" customHeight="1" s="108">
      <c r="A63" s="83" t="inlineStr">
        <is>
          <t>F0059</t>
        </is>
      </c>
      <c r="B63" s="83" t="inlineStr">
        <is>
          <t>Brüno</t>
        </is>
      </c>
      <c r="C63" s="83" t="inlineStr">
        <is>
          <t>2009</t>
        </is>
      </c>
      <c r="D63" s="83" t="n">
        <v>0</v>
      </c>
      <c r="E63" s="83" t="n">
        <v>0</v>
      </c>
      <c r="F63" s="84" t="n"/>
      <c r="G63" s="83" t="n">
        <v>0</v>
      </c>
      <c r="H63" s="83" t="n">
        <v>0</v>
      </c>
      <c r="I63" s="85" t="n"/>
      <c r="J63" s="85" t="n">
        <v>0</v>
      </c>
      <c r="K63" s="85" t="n">
        <v>0</v>
      </c>
      <c r="L63" s="85" t="n"/>
      <c r="M63" s="85" t="n">
        <v>0</v>
      </c>
      <c r="N63" s="85" t="n">
        <v>0</v>
      </c>
      <c r="O63" s="85" t="n"/>
      <c r="P63" s="85" t="n"/>
      <c r="Q63" s="85" t="n"/>
      <c r="R63" s="85" t="inlineStr">
        <is>
          <t>https://github.com/DLu/oscar_data</t>
        </is>
      </c>
    </row>
    <row r="64" ht="15.75" customHeight="1" s="108">
      <c r="A64" s="83" t="inlineStr">
        <is>
          <t>F0060</t>
        </is>
      </c>
      <c r="B64" s="83" t="inlineStr">
        <is>
          <t>The Bucket List</t>
        </is>
      </c>
      <c r="C64" s="83" t="inlineStr">
        <is>
          <t>2007</t>
        </is>
      </c>
      <c r="D64" s="83" t="n">
        <v>0</v>
      </c>
      <c r="E64" s="83" t="n">
        <v>0</v>
      </c>
      <c r="F64" s="84" t="n"/>
      <c r="G64" s="83" t="n">
        <v>0</v>
      </c>
      <c r="H64" s="83" t="n">
        <v>0</v>
      </c>
      <c r="I64" s="85" t="n"/>
      <c r="J64" s="85" t="n">
        <v>0</v>
      </c>
      <c r="K64" s="85" t="n">
        <v>0</v>
      </c>
      <c r="L64" s="85" t="n"/>
      <c r="M64" s="85" t="n">
        <v>0</v>
      </c>
      <c r="N64" s="85" t="n">
        <v>0</v>
      </c>
      <c r="O64" s="85" t="n"/>
      <c r="P64" s="85" t="n"/>
      <c r="Q64" s="85" t="n"/>
      <c r="R64" s="85" t="inlineStr">
        <is>
          <t>https://github.com/DLu/oscar_data</t>
        </is>
      </c>
    </row>
    <row r="65" ht="15.75" customHeight="1" s="108">
      <c r="A65" s="83" t="inlineStr">
        <is>
          <t>F0061</t>
        </is>
      </c>
      <c r="B65" s="83" t="inlineStr">
        <is>
          <t>Bumblebee</t>
        </is>
      </c>
      <c r="C65" s="83" t="inlineStr">
        <is>
          <t>2018</t>
        </is>
      </c>
      <c r="D65" s="83" t="n">
        <v>0</v>
      </c>
      <c r="E65" s="83" t="n">
        <v>0</v>
      </c>
      <c r="F65" s="84" t="n"/>
      <c r="G65" s="83" t="n">
        <v>0</v>
      </c>
      <c r="H65" s="83" t="n">
        <v>0</v>
      </c>
      <c r="I65" s="85" t="n"/>
      <c r="J65" s="85" t="n">
        <v>0</v>
      </c>
      <c r="K65" s="85" t="n">
        <v>0</v>
      </c>
      <c r="L65" s="85" t="n"/>
      <c r="M65" s="85" t="n">
        <v>0</v>
      </c>
      <c r="N65" s="85" t="n">
        <v>0</v>
      </c>
      <c r="O65" s="85" t="n"/>
      <c r="P65" s="85" t="n"/>
      <c r="Q65" s="85" t="n"/>
      <c r="R65" s="85" t="inlineStr">
        <is>
          <t>https://github.com/DLu/oscar_data</t>
        </is>
      </c>
    </row>
    <row r="66" ht="30" customHeight="1" s="108">
      <c r="A66" s="83" t="inlineStr">
        <is>
          <t>F0062</t>
        </is>
      </c>
      <c r="B66" s="83" t="inlineStr">
        <is>
          <t>Captain Phillips</t>
        </is>
      </c>
      <c r="C66" s="83" t="inlineStr">
        <is>
          <t>2013</t>
        </is>
      </c>
      <c r="D66" s="83" t="n">
        <v>6</v>
      </c>
      <c r="E66" s="83" t="n">
        <v>0</v>
      </c>
      <c r="F66" s="83" t="inlineStr">
        <is>
          <t>Nominated</t>
        </is>
      </c>
      <c r="G66" s="83" t="n">
        <v>1</v>
      </c>
      <c r="H66" s="83" t="n">
        <v>0</v>
      </c>
      <c r="I66" s="85" t="n"/>
      <c r="J66" s="85" t="n">
        <v>0</v>
      </c>
      <c r="K66" s="85" t="n">
        <v>0</v>
      </c>
      <c r="L66" s="85" t="n"/>
      <c r="M66" s="85" t="n">
        <v>1</v>
      </c>
      <c r="N66" s="85" t="n">
        <v>0</v>
      </c>
      <c r="O66" s="85" t="n"/>
      <c r="P66" s="85" t="n"/>
      <c r="Q66" s="85" t="inlineStr">
        <is>
          <t>ACTOR IN A SUPPORTING ROLE; FILM EDITING; BEST PICTURE; SOUND EDITING; SOUND MIXING; WRITING (Adapted Screenplay)</t>
        </is>
      </c>
      <c r="R66" s="85" t="inlineStr">
        <is>
          <t>https://github.com/DLu/oscar_data</t>
        </is>
      </c>
    </row>
    <row r="67" ht="15.75" customHeight="1" s="108">
      <c r="A67" s="83" t="inlineStr">
        <is>
          <t>F0063</t>
        </is>
      </c>
      <c r="B67" s="83" t="inlineStr">
        <is>
          <t>Catch.44</t>
        </is>
      </c>
      <c r="C67" s="83" t="inlineStr">
        <is>
          <t>2011</t>
        </is>
      </c>
      <c r="D67" s="83" t="n">
        <v>0</v>
      </c>
      <c r="E67" s="83" t="n">
        <v>0</v>
      </c>
      <c r="F67" s="84" t="n"/>
      <c r="G67" s="83" t="n">
        <v>0</v>
      </c>
      <c r="H67" s="83" t="n">
        <v>0</v>
      </c>
      <c r="I67" s="85" t="n"/>
      <c r="J67" s="85" t="n">
        <v>0</v>
      </c>
      <c r="K67" s="85" t="n">
        <v>0</v>
      </c>
      <c r="L67" s="85" t="n"/>
      <c r="M67" s="85" t="n">
        <v>0</v>
      </c>
      <c r="N67" s="85" t="n">
        <v>0</v>
      </c>
      <c r="O67" s="85" t="n"/>
      <c r="P67" s="85" t="n"/>
      <c r="Q67" s="85" t="n"/>
      <c r="R67" s="85" t="inlineStr">
        <is>
          <t>https://github.com/DLu/oscar_data</t>
        </is>
      </c>
    </row>
    <row r="68" ht="15.75" customHeight="1" s="108">
      <c r="A68" s="83" t="inlineStr">
        <is>
          <t>F0064</t>
        </is>
      </c>
      <c r="B68" s="83" t="inlineStr">
        <is>
          <t>Catch Me If You Can</t>
        </is>
      </c>
      <c r="C68" s="83" t="inlineStr">
        <is>
          <t>2002</t>
        </is>
      </c>
      <c r="D68" s="83" t="n">
        <v>2</v>
      </c>
      <c r="E68" s="83" t="n">
        <v>0</v>
      </c>
      <c r="F68" s="84" t="n"/>
      <c r="G68" s="83" t="n">
        <v>1</v>
      </c>
      <c r="H68" s="83" t="n">
        <v>0</v>
      </c>
      <c r="I68" s="85" t="n"/>
      <c r="J68" s="85" t="n">
        <v>0</v>
      </c>
      <c r="K68" s="85" t="n">
        <v>0</v>
      </c>
      <c r="L68" s="85" t="n"/>
      <c r="M68" s="85" t="n">
        <v>0</v>
      </c>
      <c r="N68" s="85" t="n">
        <v>0</v>
      </c>
      <c r="O68" s="85" t="n"/>
      <c r="P68" s="85" t="n"/>
      <c r="Q68" s="85" t="inlineStr">
        <is>
          <t>ACTOR IN A SUPPORTING ROLE; MUSIC (Original Score)</t>
        </is>
      </c>
      <c r="R68" s="85" t="inlineStr">
        <is>
          <t>https://github.com/DLu/oscar_data</t>
        </is>
      </c>
    </row>
    <row r="69" ht="15.75" customHeight="1" s="108">
      <c r="A69" s="83" t="inlineStr">
        <is>
          <t>F0065</t>
        </is>
      </c>
      <c r="B69" s="83" t="inlineStr">
        <is>
          <t>Chef</t>
        </is>
      </c>
      <c r="C69" s="83" t="inlineStr">
        <is>
          <t>2014</t>
        </is>
      </c>
      <c r="D69" s="83" t="n">
        <v>0</v>
      </c>
      <c r="E69" s="83" t="n">
        <v>0</v>
      </c>
      <c r="F69" s="84" t="n"/>
      <c r="G69" s="83" t="n">
        <v>0</v>
      </c>
      <c r="H69" s="83" t="n">
        <v>0</v>
      </c>
      <c r="I69" s="85" t="n"/>
      <c r="J69" s="85" t="n">
        <v>0</v>
      </c>
      <c r="K69" s="85" t="n">
        <v>0</v>
      </c>
      <c r="L69" s="85" t="n"/>
      <c r="M69" s="85" t="n">
        <v>0</v>
      </c>
      <c r="N69" s="85" t="n">
        <v>0</v>
      </c>
      <c r="O69" s="85" t="n"/>
      <c r="P69" s="85" t="n"/>
      <c r="Q69" s="85" t="n"/>
      <c r="R69" s="85" t="inlineStr">
        <is>
          <t>https://github.com/DLu/oscar_data</t>
        </is>
      </c>
    </row>
    <row r="70" ht="15.75" customHeight="1" s="108">
      <c r="A70" s="83" t="inlineStr">
        <is>
          <t>F0066</t>
        </is>
      </c>
      <c r="B70" s="83" t="inlineStr">
        <is>
          <t>Clash of the Titans</t>
        </is>
      </c>
      <c r="C70" s="83" t="inlineStr">
        <is>
          <t>2010</t>
        </is>
      </c>
      <c r="D70" s="83" t="n">
        <v>0</v>
      </c>
      <c r="E70" s="83" t="n">
        <v>0</v>
      </c>
      <c r="F70" s="84" t="n"/>
      <c r="G70" s="83" t="n">
        <v>0</v>
      </c>
      <c r="H70" s="83" t="n">
        <v>0</v>
      </c>
      <c r="I70" s="85" t="n"/>
      <c r="J70" s="85" t="n">
        <v>0</v>
      </c>
      <c r="K70" s="85" t="n">
        <v>0</v>
      </c>
      <c r="L70" s="85" t="n"/>
      <c r="M70" s="85" t="n">
        <v>0</v>
      </c>
      <c r="N70" s="85" t="n">
        <v>0</v>
      </c>
      <c r="O70" s="85" t="n"/>
      <c r="P70" s="85" t="n"/>
      <c r="Q70" s="85" t="n"/>
      <c r="R70" s="85" t="inlineStr">
        <is>
          <t>https://github.com/DLu/oscar_data</t>
        </is>
      </c>
    </row>
    <row r="71" ht="15.75" customHeight="1" s="108">
      <c r="A71" s="83" t="inlineStr">
        <is>
          <t>F0067</t>
        </is>
      </c>
      <c r="B71" s="83" t="inlineStr">
        <is>
          <t>Cloudy with a Chance of Meatballs 2</t>
        </is>
      </c>
      <c r="C71" s="83" t="inlineStr">
        <is>
          <t>2013</t>
        </is>
      </c>
      <c r="D71" s="83" t="n">
        <v>0</v>
      </c>
      <c r="E71" s="83" t="n">
        <v>0</v>
      </c>
      <c r="F71" s="84" t="n"/>
      <c r="G71" s="83" t="n">
        <v>0</v>
      </c>
      <c r="H71" s="83" t="n">
        <v>0</v>
      </c>
      <c r="I71" s="85" t="n"/>
      <c r="J71" s="85" t="n">
        <v>0</v>
      </c>
      <c r="K71" s="85" t="n">
        <v>0</v>
      </c>
      <c r="L71" s="85" t="n"/>
      <c r="M71" s="85" t="n">
        <v>0</v>
      </c>
      <c r="N71" s="85" t="n">
        <v>0</v>
      </c>
      <c r="O71" s="85" t="n"/>
      <c r="P71" s="85" t="n"/>
      <c r="Q71" s="85" t="n"/>
      <c r="R71" s="85" t="inlineStr">
        <is>
          <t>https://github.com/DLu/oscar_data</t>
        </is>
      </c>
    </row>
    <row r="72" ht="15.75" customHeight="1" s="108">
      <c r="A72" s="83" t="inlineStr">
        <is>
          <t>F0068</t>
        </is>
      </c>
      <c r="B72" s="83" t="inlineStr">
        <is>
          <t>Con Air</t>
        </is>
      </c>
      <c r="C72" s="83" t="inlineStr">
        <is>
          <t>1997</t>
        </is>
      </c>
      <c r="D72" s="83" t="n">
        <v>2</v>
      </c>
      <c r="E72" s="83" t="n">
        <v>0</v>
      </c>
      <c r="F72" s="84" t="n"/>
      <c r="G72" s="83" t="n">
        <v>0</v>
      </c>
      <c r="H72" s="83" t="n">
        <v>0</v>
      </c>
      <c r="I72" s="85" t="n"/>
      <c r="J72" s="85" t="n">
        <v>0</v>
      </c>
      <c r="K72" s="85" t="n">
        <v>0</v>
      </c>
      <c r="L72" s="85" t="n"/>
      <c r="M72" s="85" t="n">
        <v>0</v>
      </c>
      <c r="N72" s="85" t="n">
        <v>0</v>
      </c>
      <c r="O72" s="85" t="n"/>
      <c r="P72" s="85" t="n"/>
      <c r="Q72" s="85" t="inlineStr">
        <is>
          <t>MUSIC (Original Song); SOUND MIXING</t>
        </is>
      </c>
      <c r="R72" s="85" t="inlineStr">
        <is>
          <t>https://github.com/DLu/oscar_data</t>
        </is>
      </c>
    </row>
    <row r="73" ht="15.75" customHeight="1" s="108">
      <c r="A73" s="83" t="inlineStr">
        <is>
          <t>F0069</t>
        </is>
      </c>
      <c r="B73" s="83" t="inlineStr">
        <is>
          <t>Cop Out</t>
        </is>
      </c>
      <c r="C73" s="83" t="inlineStr">
        <is>
          <t>2010</t>
        </is>
      </c>
      <c r="D73" s="83" t="n">
        <v>0</v>
      </c>
      <c r="E73" s="83" t="n">
        <v>0</v>
      </c>
      <c r="F73" s="84" t="n"/>
      <c r="G73" s="83" t="n">
        <v>0</v>
      </c>
      <c r="H73" s="83" t="n">
        <v>0</v>
      </c>
      <c r="I73" s="85" t="n"/>
      <c r="J73" s="85" t="n">
        <v>0</v>
      </c>
      <c r="K73" s="85" t="n">
        <v>0</v>
      </c>
      <c r="L73" s="85" t="n"/>
      <c r="M73" s="85" t="n">
        <v>0</v>
      </c>
      <c r="N73" s="85" t="n">
        <v>0</v>
      </c>
      <c r="O73" s="85" t="n"/>
      <c r="P73" s="85" t="n"/>
      <c r="Q73" s="85" t="n"/>
      <c r="R73" s="85" t="inlineStr">
        <is>
          <t>https://github.com/DLu/oscar_data</t>
        </is>
      </c>
    </row>
    <row r="74" ht="15.75" customHeight="1" s="108">
      <c r="A74" s="83" t="inlineStr">
        <is>
          <t>F0070</t>
        </is>
      </c>
      <c r="B74" s="83" t="inlineStr">
        <is>
          <t>Shaun of the Dead</t>
        </is>
      </c>
      <c r="C74" s="83" t="inlineStr">
        <is>
          <t>2004</t>
        </is>
      </c>
      <c r="D74" s="83" t="n">
        <v>0</v>
      </c>
      <c r="E74" s="83" t="n">
        <v>0</v>
      </c>
      <c r="F74" s="84" t="n"/>
      <c r="G74" s="83" t="n">
        <v>0</v>
      </c>
      <c r="H74" s="83" t="n">
        <v>0</v>
      </c>
      <c r="I74" s="85" t="n"/>
      <c r="J74" s="85" t="n">
        <v>0</v>
      </c>
      <c r="K74" s="85" t="n">
        <v>0</v>
      </c>
      <c r="L74" s="85" t="n"/>
      <c r="M74" s="85" t="n">
        <v>0</v>
      </c>
      <c r="N74" s="85" t="n">
        <v>0</v>
      </c>
      <c r="O74" s="85" t="n"/>
      <c r="P74" s="85" t="n"/>
      <c r="Q74" s="85" t="n"/>
      <c r="R74" s="85" t="inlineStr">
        <is>
          <t>https://github.com/DLu/oscar_data</t>
        </is>
      </c>
    </row>
    <row r="75" ht="15.75" customHeight="1" s="108">
      <c r="A75" s="83" t="inlineStr">
        <is>
          <t>F0071</t>
        </is>
      </c>
      <c r="B75" s="83" t="inlineStr">
        <is>
          <t>Hot Fuzz</t>
        </is>
      </c>
      <c r="C75" s="83" t="inlineStr">
        <is>
          <t>2007</t>
        </is>
      </c>
      <c r="D75" s="83" t="n">
        <v>0</v>
      </c>
      <c r="E75" s="83" t="n">
        <v>0</v>
      </c>
      <c r="F75" s="84" t="n"/>
      <c r="G75" s="83" t="n">
        <v>0</v>
      </c>
      <c r="H75" s="83" t="n">
        <v>0</v>
      </c>
      <c r="I75" s="85" t="n"/>
      <c r="J75" s="85" t="n">
        <v>0</v>
      </c>
      <c r="K75" s="85" t="n">
        <v>0</v>
      </c>
      <c r="L75" s="85" t="n"/>
      <c r="M75" s="85" t="n">
        <v>0</v>
      </c>
      <c r="N75" s="85" t="n">
        <v>0</v>
      </c>
      <c r="O75" s="85" t="n"/>
      <c r="P75" s="85" t="n"/>
      <c r="Q75" s="85" t="n"/>
      <c r="R75" s="85" t="inlineStr">
        <is>
          <t>https://github.com/DLu/oscar_data</t>
        </is>
      </c>
    </row>
    <row r="76" ht="15.75" customHeight="1" s="108">
      <c r="A76" s="83" t="inlineStr">
        <is>
          <t>F0072</t>
        </is>
      </c>
      <c r="B76" s="83" t="inlineStr">
        <is>
          <t>The World's End</t>
        </is>
      </c>
      <c r="C76" s="83" t="inlineStr">
        <is>
          <t>2013</t>
        </is>
      </c>
      <c r="D76" s="83" t="n">
        <v>0</v>
      </c>
      <c r="E76" s="83" t="n">
        <v>0</v>
      </c>
      <c r="F76" s="84" t="n"/>
      <c r="G76" s="83" t="n">
        <v>0</v>
      </c>
      <c r="H76" s="83" t="n">
        <v>0</v>
      </c>
      <c r="I76" s="85" t="n"/>
      <c r="J76" s="85" t="n">
        <v>0</v>
      </c>
      <c r="K76" s="85" t="n">
        <v>0</v>
      </c>
      <c r="L76" s="85" t="n"/>
      <c r="M76" s="85" t="n">
        <v>0</v>
      </c>
      <c r="N76" s="85" t="n">
        <v>0</v>
      </c>
      <c r="O76" s="85" t="n"/>
      <c r="P76" s="85" t="n"/>
      <c r="Q76" s="85" t="n"/>
      <c r="R76" s="85" t="inlineStr">
        <is>
          <t>https://github.com/DLu/oscar_data</t>
        </is>
      </c>
    </row>
    <row r="77" ht="15.75" customHeight="1" s="108">
      <c r="A77" s="83" t="inlineStr">
        <is>
          <t>F0073</t>
        </is>
      </c>
      <c r="B77" s="83" t="inlineStr">
        <is>
          <t>Cowboys &amp; Aliens</t>
        </is>
      </c>
      <c r="C77" s="83" t="inlineStr">
        <is>
          <t>2011</t>
        </is>
      </c>
      <c r="D77" s="83" t="n">
        <v>0</v>
      </c>
      <c r="E77" s="83" t="n">
        <v>0</v>
      </c>
      <c r="F77" s="84" t="n"/>
      <c r="G77" s="83" t="n">
        <v>0</v>
      </c>
      <c r="H77" s="83" t="n">
        <v>0</v>
      </c>
      <c r="I77" s="85" t="n"/>
      <c r="J77" s="85" t="n">
        <v>0</v>
      </c>
      <c r="K77" s="85" t="n">
        <v>0</v>
      </c>
      <c r="L77" s="85" t="n"/>
      <c r="M77" s="85" t="n">
        <v>0</v>
      </c>
      <c r="N77" s="85" t="n">
        <v>0</v>
      </c>
      <c r="O77" s="85" t="n"/>
      <c r="P77" s="85" t="n"/>
      <c r="Q77" s="85" t="n"/>
      <c r="R77" s="85" t="inlineStr">
        <is>
          <t>https://github.com/DLu/oscar_data</t>
        </is>
      </c>
    </row>
    <row r="78" ht="15.75" customHeight="1" s="108">
      <c r="A78" s="83" t="inlineStr">
        <is>
          <t>F0074</t>
        </is>
      </c>
      <c r="B78" s="83" t="inlineStr">
        <is>
          <t>Creed</t>
        </is>
      </c>
      <c r="C78" s="83" t="inlineStr">
        <is>
          <t>2015</t>
        </is>
      </c>
      <c r="D78" s="83" t="n">
        <v>1</v>
      </c>
      <c r="E78" s="83" t="n">
        <v>0</v>
      </c>
      <c r="F78" s="84" t="n"/>
      <c r="G78" s="83" t="n">
        <v>1</v>
      </c>
      <c r="H78" s="83" t="n">
        <v>0</v>
      </c>
      <c r="I78" s="85" t="n"/>
      <c r="J78" s="85" t="n">
        <v>0</v>
      </c>
      <c r="K78" s="85" t="n">
        <v>0</v>
      </c>
      <c r="L78" s="85" t="n"/>
      <c r="M78" s="85" t="n">
        <v>0</v>
      </c>
      <c r="N78" s="85" t="n">
        <v>0</v>
      </c>
      <c r="O78" s="85" t="n"/>
      <c r="P78" s="85" t="n"/>
      <c r="Q78" s="85" t="inlineStr">
        <is>
          <t>ACTOR IN A SUPPORTING ROLE</t>
        </is>
      </c>
      <c r="R78" s="85" t="inlineStr">
        <is>
          <t>https://github.com/DLu/oscar_data</t>
        </is>
      </c>
    </row>
    <row r="79" ht="15.75" customHeight="1" s="108">
      <c r="A79" s="83" t="inlineStr">
        <is>
          <t>F0075</t>
        </is>
      </c>
      <c r="B79" s="83" t="inlineStr">
        <is>
          <t>The Croods</t>
        </is>
      </c>
      <c r="C79" s="83" t="inlineStr">
        <is>
          <t>2013</t>
        </is>
      </c>
      <c r="D79" s="83" t="n">
        <v>1</v>
      </c>
      <c r="E79" s="83" t="n">
        <v>0</v>
      </c>
      <c r="F79" s="84" t="n"/>
      <c r="G79" s="83" t="n">
        <v>0</v>
      </c>
      <c r="H79" s="83" t="n">
        <v>0</v>
      </c>
      <c r="I79" s="85" t="n"/>
      <c r="J79" s="85" t="n">
        <v>0</v>
      </c>
      <c r="K79" s="85" t="n">
        <v>0</v>
      </c>
      <c r="L79" s="85" t="n"/>
      <c r="M79" s="85" t="n">
        <v>0</v>
      </c>
      <c r="N79" s="85" t="n">
        <v>0</v>
      </c>
      <c r="O79" s="85" t="inlineStr">
        <is>
          <t>Nominated</t>
        </is>
      </c>
      <c r="P79" s="85" t="n"/>
      <c r="Q79" s="85" t="inlineStr">
        <is>
          <t>ANIMATED FEATURE FILM</t>
        </is>
      </c>
      <c r="R79" s="85" t="inlineStr">
        <is>
          <t>https://github.com/DLu/oscar_data</t>
        </is>
      </c>
    </row>
    <row r="80" ht="15.75" customHeight="1" s="108">
      <c r="A80" s="83" t="inlineStr">
        <is>
          <t>F0076</t>
        </is>
      </c>
      <c r="B80" s="83" t="inlineStr">
        <is>
          <t>Deadpool</t>
        </is>
      </c>
      <c r="C80" s="83" t="inlineStr">
        <is>
          <t>2016</t>
        </is>
      </c>
      <c r="D80" s="83" t="n">
        <v>0</v>
      </c>
      <c r="E80" s="83" t="n">
        <v>0</v>
      </c>
      <c r="F80" s="84" t="n"/>
      <c r="G80" s="83" t="n">
        <v>0</v>
      </c>
      <c r="H80" s="83" t="n">
        <v>0</v>
      </c>
      <c r="I80" s="85" t="n"/>
      <c r="J80" s="85" t="n">
        <v>0</v>
      </c>
      <c r="K80" s="85" t="n">
        <v>0</v>
      </c>
      <c r="L80" s="85" t="n"/>
      <c r="M80" s="85" t="n">
        <v>0</v>
      </c>
      <c r="N80" s="85" t="n">
        <v>0</v>
      </c>
      <c r="O80" s="85" t="n"/>
      <c r="P80" s="85" t="n"/>
      <c r="Q80" s="85" t="n"/>
      <c r="R80" s="85" t="inlineStr">
        <is>
          <t>https://github.com/DLu/oscar_data</t>
        </is>
      </c>
    </row>
    <row r="81" ht="15.75" customHeight="1" s="108">
      <c r="A81" s="83" t="inlineStr">
        <is>
          <t>F0077</t>
        </is>
      </c>
      <c r="B81" s="83" t="inlineStr">
        <is>
          <t>Deadpool 2</t>
        </is>
      </c>
      <c r="C81" s="83" t="inlineStr">
        <is>
          <t>2018</t>
        </is>
      </c>
      <c r="D81" s="83" t="n">
        <v>0</v>
      </c>
      <c r="E81" s="83" t="n">
        <v>0</v>
      </c>
      <c r="F81" s="84" t="n"/>
      <c r="G81" s="83" t="n">
        <v>0</v>
      </c>
      <c r="H81" s="83" t="n">
        <v>0</v>
      </c>
      <c r="I81" s="85" t="n"/>
      <c r="J81" s="85" t="n">
        <v>0</v>
      </c>
      <c r="K81" s="85" t="n">
        <v>0</v>
      </c>
      <c r="L81" s="85" t="n"/>
      <c r="M81" s="85" t="n">
        <v>0</v>
      </c>
      <c r="N81" s="85" t="n">
        <v>0</v>
      </c>
      <c r="O81" s="85" t="n"/>
      <c r="P81" s="85" t="n"/>
      <c r="Q81" s="85" t="n"/>
      <c r="R81" s="85" t="inlineStr">
        <is>
          <t>https://github.com/DLu/oscar_data</t>
        </is>
      </c>
    </row>
    <row r="82" ht="15.75" customHeight="1" s="108">
      <c r="A82" s="83" t="inlineStr">
        <is>
          <t>F0078</t>
        </is>
      </c>
      <c r="B82" s="83" t="inlineStr">
        <is>
          <t>Deadpool &amp; Wolverine</t>
        </is>
      </c>
      <c r="C82" s="83" t="inlineStr">
        <is>
          <t>2024</t>
        </is>
      </c>
      <c r="D82" s="83" t="n">
        <v>0</v>
      </c>
      <c r="E82" s="83" t="n">
        <v>0</v>
      </c>
      <c r="F82" s="84" t="n"/>
      <c r="G82" s="83" t="n">
        <v>0</v>
      </c>
      <c r="H82" s="83" t="n">
        <v>0</v>
      </c>
      <c r="I82" s="85" t="n"/>
      <c r="J82" s="85" t="n">
        <v>0</v>
      </c>
      <c r="K82" s="85" t="n">
        <v>0</v>
      </c>
      <c r="L82" s="85" t="n"/>
      <c r="M82" s="85" t="n">
        <v>0</v>
      </c>
      <c r="N82" s="85" t="n">
        <v>0</v>
      </c>
      <c r="O82" s="85" t="n"/>
      <c r="P82" s="85" t="n"/>
      <c r="Q82" s="85" t="n"/>
      <c r="R82" s="85" t="inlineStr">
        <is>
          <t>https://github.com/DLu/oscar_data</t>
        </is>
      </c>
    </row>
    <row r="83" ht="15.75" customHeight="1" s="108">
      <c r="A83" s="83" t="inlineStr">
        <is>
          <t>F0079</t>
        </is>
      </c>
      <c r="B83" s="83" t="inlineStr">
        <is>
          <t>Dear John</t>
        </is>
      </c>
      <c r="C83" s="83" t="inlineStr">
        <is>
          <t>2010</t>
        </is>
      </c>
      <c r="D83" s="83" t="n">
        <v>0</v>
      </c>
      <c r="E83" s="83" t="n">
        <v>0</v>
      </c>
      <c r="F83" s="84" t="n"/>
      <c r="G83" s="83" t="n">
        <v>0</v>
      </c>
      <c r="H83" s="83" t="n">
        <v>0</v>
      </c>
      <c r="I83" s="85" t="n"/>
      <c r="J83" s="85" t="n">
        <v>0</v>
      </c>
      <c r="K83" s="85" t="n">
        <v>0</v>
      </c>
      <c r="L83" s="85" t="n"/>
      <c r="M83" s="85" t="n">
        <v>0</v>
      </c>
      <c r="N83" s="85" t="n">
        <v>0</v>
      </c>
      <c r="O83" s="85" t="n"/>
      <c r="P83" s="85" t="n"/>
      <c r="Q83" s="85" t="n"/>
      <c r="R83" s="85" t="inlineStr">
        <is>
          <t>https://github.com/DLu/oscar_data</t>
        </is>
      </c>
    </row>
    <row r="84" ht="15.75" customHeight="1" s="108">
      <c r="A84" s="83" t="inlineStr">
        <is>
          <t>F0080</t>
        </is>
      </c>
      <c r="B84" s="83" t="inlineStr">
        <is>
          <t>Delivery Man</t>
        </is>
      </c>
      <c r="C84" s="83" t="inlineStr">
        <is>
          <t>2013</t>
        </is>
      </c>
      <c r="D84" s="83" t="n">
        <v>0</v>
      </c>
      <c r="E84" s="83" t="n">
        <v>0</v>
      </c>
      <c r="F84" s="84" t="n"/>
      <c r="G84" s="83" t="n">
        <v>0</v>
      </c>
      <c r="H84" s="83" t="n">
        <v>0</v>
      </c>
      <c r="I84" s="85" t="n"/>
      <c r="J84" s="85" t="n">
        <v>0</v>
      </c>
      <c r="K84" s="85" t="n">
        <v>0</v>
      </c>
      <c r="L84" s="85" t="n"/>
      <c r="M84" s="85" t="n">
        <v>0</v>
      </c>
      <c r="N84" s="85" t="n">
        <v>0</v>
      </c>
      <c r="O84" s="85" t="n"/>
      <c r="P84" s="85" t="n"/>
      <c r="Q84" s="85" t="n"/>
      <c r="R84" s="85" t="inlineStr">
        <is>
          <t>https://github.com/DLu/oscar_data</t>
        </is>
      </c>
    </row>
    <row r="85" ht="30" customHeight="1" s="108">
      <c r="A85" s="83" t="inlineStr">
        <is>
          <t>F0081</t>
        </is>
      </c>
      <c r="B85" s="83" t="inlineStr">
        <is>
          <t>The Departed</t>
        </is>
      </c>
      <c r="C85" s="83" t="inlineStr">
        <is>
          <t>2006</t>
        </is>
      </c>
      <c r="D85" s="83" t="n">
        <v>5</v>
      </c>
      <c r="E85" s="83" t="n">
        <v>4</v>
      </c>
      <c r="F85" s="83" t="inlineStr">
        <is>
          <t>Winner</t>
        </is>
      </c>
      <c r="G85" s="83" t="n">
        <v>1</v>
      </c>
      <c r="H85" s="83" t="n">
        <v>0</v>
      </c>
      <c r="I85" s="85" t="n"/>
      <c r="J85" s="85" t="n">
        <v>1</v>
      </c>
      <c r="K85" s="85" t="n">
        <v>1</v>
      </c>
      <c r="L85" s="85" t="inlineStr">
        <is>
          <t>Martin Scorsese</t>
        </is>
      </c>
      <c r="M85" s="85" t="n">
        <v>1</v>
      </c>
      <c r="N85" s="85" t="n">
        <v>1</v>
      </c>
      <c r="O85" s="85" t="n"/>
      <c r="P85" s="85" t="inlineStr">
        <is>
          <t>DIRECTING; FILM EDITING; BEST PICTURE; WRITING (Adapted Screenplay)</t>
        </is>
      </c>
      <c r="Q85" s="85" t="inlineStr">
        <is>
          <t>ACTOR IN A SUPPORTING ROLE; DIRECTING; FILM EDITING; BEST PICTURE; WRITING (Adapted Screenplay)</t>
        </is>
      </c>
      <c r="R85" s="85" t="inlineStr">
        <is>
          <t>https://github.com/DLu/oscar_data</t>
        </is>
      </c>
    </row>
    <row r="86" ht="15.75" customHeight="1" s="108">
      <c r="A86" s="83" t="inlineStr">
        <is>
          <t>F0082</t>
        </is>
      </c>
      <c r="B86" s="83" t="inlineStr">
        <is>
          <t>Despicable Me</t>
        </is>
      </c>
      <c r="C86" s="83" t="inlineStr">
        <is>
          <t>2010</t>
        </is>
      </c>
      <c r="D86" s="83" t="n">
        <v>0</v>
      </c>
      <c r="E86" s="83" t="n">
        <v>0</v>
      </c>
      <c r="F86" s="84" t="n"/>
      <c r="G86" s="83" t="n">
        <v>0</v>
      </c>
      <c r="H86" s="83" t="n">
        <v>0</v>
      </c>
      <c r="I86" s="85" t="n"/>
      <c r="J86" s="85" t="n">
        <v>0</v>
      </c>
      <c r="K86" s="85" t="n">
        <v>0</v>
      </c>
      <c r="L86" s="85" t="n"/>
      <c r="M86" s="85" t="n">
        <v>0</v>
      </c>
      <c r="N86" s="85" t="n">
        <v>0</v>
      </c>
      <c r="O86" s="85" t="n"/>
      <c r="P86" s="85" t="n"/>
      <c r="Q86" s="85" t="n"/>
      <c r="R86" s="85" t="inlineStr">
        <is>
          <t>https://github.com/DLu/oscar_data</t>
        </is>
      </c>
    </row>
    <row r="87" ht="15.75" customHeight="1" s="108">
      <c r="A87" s="83" t="inlineStr">
        <is>
          <t>F0083</t>
        </is>
      </c>
      <c r="B87" s="83" t="inlineStr">
        <is>
          <t>Despicable Me 2</t>
        </is>
      </c>
      <c r="C87" s="83" t="inlineStr">
        <is>
          <t>2013</t>
        </is>
      </c>
      <c r="D87" s="83" t="n">
        <v>2</v>
      </c>
      <c r="E87" s="83" t="n">
        <v>0</v>
      </c>
      <c r="F87" s="84" t="n"/>
      <c r="G87" s="83" t="n">
        <v>0</v>
      </c>
      <c r="H87" s="83" t="n">
        <v>0</v>
      </c>
      <c r="I87" s="85" t="n"/>
      <c r="J87" s="85" t="n">
        <v>0</v>
      </c>
      <c r="K87" s="85" t="n">
        <v>0</v>
      </c>
      <c r="L87" s="85" t="n"/>
      <c r="M87" s="85" t="n">
        <v>0</v>
      </c>
      <c r="N87" s="85" t="n">
        <v>0</v>
      </c>
      <c r="O87" s="85" t="inlineStr">
        <is>
          <t>Nominated</t>
        </is>
      </c>
      <c r="P87" s="85" t="n"/>
      <c r="Q87" s="85" t="inlineStr">
        <is>
          <t>ANIMATED FEATURE FILM; MUSIC (Original Song)</t>
        </is>
      </c>
      <c r="R87" s="85" t="inlineStr">
        <is>
          <t>https://github.com/DLu/oscar_data</t>
        </is>
      </c>
    </row>
    <row r="88" ht="15.75" customHeight="1" s="108">
      <c r="A88" s="83" t="inlineStr">
        <is>
          <t>F0084</t>
        </is>
      </c>
      <c r="B88" s="83" t="inlineStr">
        <is>
          <t>Despicable Me 3</t>
        </is>
      </c>
      <c r="C88" s="83" t="inlineStr">
        <is>
          <t>2017</t>
        </is>
      </c>
      <c r="D88" s="83" t="n">
        <v>0</v>
      </c>
      <c r="E88" s="83" t="n">
        <v>0</v>
      </c>
      <c r="F88" s="84" t="n"/>
      <c r="G88" s="83" t="n">
        <v>0</v>
      </c>
      <c r="H88" s="83" t="n">
        <v>0</v>
      </c>
      <c r="I88" s="85" t="n"/>
      <c r="J88" s="85" t="n">
        <v>0</v>
      </c>
      <c r="K88" s="85" t="n">
        <v>0</v>
      </c>
      <c r="L88" s="85" t="n"/>
      <c r="M88" s="85" t="n">
        <v>0</v>
      </c>
      <c r="N88" s="85" t="n">
        <v>0</v>
      </c>
      <c r="O88" s="85" t="n"/>
      <c r="P88" s="85" t="n"/>
      <c r="Q88" s="85" t="n"/>
      <c r="R88" s="85" t="inlineStr">
        <is>
          <t>https://github.com/DLu/oscar_data</t>
        </is>
      </c>
    </row>
    <row r="89" ht="15.75" customHeight="1" s="108">
      <c r="A89" s="83" t="inlineStr">
        <is>
          <t>F0085</t>
        </is>
      </c>
      <c r="B89" s="83" t="inlineStr">
        <is>
          <t>The Dictator</t>
        </is>
      </c>
      <c r="C89" s="83" t="inlineStr">
        <is>
          <t>2012</t>
        </is>
      </c>
      <c r="D89" s="83" t="n">
        <v>0</v>
      </c>
      <c r="E89" s="83" t="n">
        <v>0</v>
      </c>
      <c r="F89" s="84" t="n"/>
      <c r="G89" s="83" t="n">
        <v>0</v>
      </c>
      <c r="H89" s="83" t="n">
        <v>0</v>
      </c>
      <c r="I89" s="85" t="n"/>
      <c r="J89" s="85" t="n">
        <v>0</v>
      </c>
      <c r="K89" s="85" t="n">
        <v>0</v>
      </c>
      <c r="L89" s="85" t="n"/>
      <c r="M89" s="85" t="n">
        <v>0</v>
      </c>
      <c r="N89" s="85" t="n">
        <v>0</v>
      </c>
      <c r="O89" s="85" t="n"/>
      <c r="P89" s="85" t="n"/>
      <c r="Q89" s="85" t="n"/>
      <c r="R89" s="85" t="inlineStr">
        <is>
          <t>https://github.com/DLu/oscar_data</t>
        </is>
      </c>
    </row>
    <row r="90" ht="15.75" customHeight="1" s="108">
      <c r="A90" s="83" t="inlineStr">
        <is>
          <t>F0086</t>
        </is>
      </c>
      <c r="B90" s="83" t="inlineStr">
        <is>
          <t>Live Free or Die Hard</t>
        </is>
      </c>
      <c r="C90" s="83" t="inlineStr">
        <is>
          <t>2007</t>
        </is>
      </c>
      <c r="D90" s="83" t="n">
        <v>0</v>
      </c>
      <c r="E90" s="83" t="n">
        <v>0</v>
      </c>
      <c r="F90" s="84" t="n"/>
      <c r="G90" s="83" t="n">
        <v>0</v>
      </c>
      <c r="H90" s="83" t="n">
        <v>0</v>
      </c>
      <c r="I90" s="85" t="n"/>
      <c r="J90" s="85" t="n">
        <v>0</v>
      </c>
      <c r="K90" s="85" t="n">
        <v>0</v>
      </c>
      <c r="L90" s="85" t="n"/>
      <c r="M90" s="85" t="n">
        <v>0</v>
      </c>
      <c r="N90" s="85" t="n">
        <v>0</v>
      </c>
      <c r="O90" s="85" t="n"/>
      <c r="P90" s="85" t="n"/>
      <c r="Q90" s="85" t="n"/>
      <c r="R90" s="85" t="inlineStr">
        <is>
          <t>https://github.com/DLu/oscar_data</t>
        </is>
      </c>
    </row>
    <row r="91" ht="15.75" customHeight="1" s="108">
      <c r="A91" s="83" t="inlineStr">
        <is>
          <t>F0087</t>
        </is>
      </c>
      <c r="B91" s="83" t="inlineStr">
        <is>
          <t>Dirty Grandpa</t>
        </is>
      </c>
      <c r="C91" s="83" t="inlineStr">
        <is>
          <t>2016</t>
        </is>
      </c>
      <c r="D91" s="83" t="n">
        <v>0</v>
      </c>
      <c r="E91" s="83" t="n">
        <v>0</v>
      </c>
      <c r="F91" s="84" t="n"/>
      <c r="G91" s="83" t="n">
        <v>0</v>
      </c>
      <c r="H91" s="83" t="n">
        <v>0</v>
      </c>
      <c r="I91" s="85" t="n"/>
      <c r="J91" s="85" t="n">
        <v>0</v>
      </c>
      <c r="K91" s="85" t="n">
        <v>0</v>
      </c>
      <c r="L91" s="85" t="n"/>
      <c r="M91" s="85" t="n">
        <v>0</v>
      </c>
      <c r="N91" s="85" t="n">
        <v>0</v>
      </c>
      <c r="O91" s="85" t="n"/>
      <c r="P91" s="85" t="n"/>
      <c r="Q91" s="85" t="n"/>
      <c r="R91" s="85" t="inlineStr">
        <is>
          <t>https://github.com/DLu/oscar_data</t>
        </is>
      </c>
    </row>
    <row r="92" ht="30" customHeight="1" s="108">
      <c r="A92" s="83" t="inlineStr">
        <is>
          <t>F0088</t>
        </is>
      </c>
      <c r="B92" s="83" t="inlineStr">
        <is>
          <t>District 9</t>
        </is>
      </c>
      <c r="C92" s="83" t="inlineStr">
        <is>
          <t>2009</t>
        </is>
      </c>
      <c r="D92" s="83" t="n">
        <v>4</v>
      </c>
      <c r="E92" s="83" t="n">
        <v>0</v>
      </c>
      <c r="F92" s="83" t="inlineStr">
        <is>
          <t>Nominated</t>
        </is>
      </c>
      <c r="G92" s="83" t="n">
        <v>0</v>
      </c>
      <c r="H92" s="83" t="n">
        <v>0</v>
      </c>
      <c r="I92" s="85" t="n"/>
      <c r="J92" s="85" t="n">
        <v>0</v>
      </c>
      <c r="K92" s="85" t="n">
        <v>0</v>
      </c>
      <c r="L92" s="85" t="n"/>
      <c r="M92" s="85" t="n">
        <v>1</v>
      </c>
      <c r="N92" s="85" t="n">
        <v>0</v>
      </c>
      <c r="O92" s="85" t="n"/>
      <c r="P92" s="85" t="n"/>
      <c r="Q92" s="85" t="inlineStr">
        <is>
          <t>FILM EDITING; BEST PICTURE; VISUAL EFFECTS; WRITING (Adapted Screenplay)</t>
        </is>
      </c>
      <c r="R92" s="85" t="inlineStr">
        <is>
          <t>https://github.com/DLu/oscar_data</t>
        </is>
      </c>
    </row>
    <row r="93" ht="15.75" customHeight="1" s="108">
      <c r="A93" s="83" t="inlineStr">
        <is>
          <t>F0089</t>
        </is>
      </c>
      <c r="B93" s="83" t="inlineStr">
        <is>
          <t>Divergent</t>
        </is>
      </c>
      <c r="C93" s="83" t="inlineStr">
        <is>
          <t>2014</t>
        </is>
      </c>
      <c r="D93" s="83" t="n">
        <v>0</v>
      </c>
      <c r="E93" s="83" t="n">
        <v>0</v>
      </c>
      <c r="F93" s="84" t="n"/>
      <c r="G93" s="83" t="n">
        <v>0</v>
      </c>
      <c r="H93" s="83" t="n">
        <v>0</v>
      </c>
      <c r="I93" s="85" t="n"/>
      <c r="J93" s="85" t="n">
        <v>0</v>
      </c>
      <c r="K93" s="85" t="n">
        <v>0</v>
      </c>
      <c r="L93" s="85" t="n"/>
      <c r="M93" s="85" t="n">
        <v>0</v>
      </c>
      <c r="N93" s="85" t="n">
        <v>0</v>
      </c>
      <c r="O93" s="85" t="n"/>
      <c r="P93" s="85" t="n"/>
      <c r="Q93" s="85" t="n"/>
      <c r="R93" s="85" t="inlineStr">
        <is>
          <t>https://github.com/DLu/oscar_data</t>
        </is>
      </c>
    </row>
    <row r="94" ht="30" customHeight="1" s="108">
      <c r="A94" s="83" t="inlineStr">
        <is>
          <t>F0090</t>
        </is>
      </c>
      <c r="B94" s="83" t="inlineStr">
        <is>
          <t>Django Unchained</t>
        </is>
      </c>
      <c r="C94" s="83" t="inlineStr">
        <is>
          <t>2012</t>
        </is>
      </c>
      <c r="D94" s="83" t="n">
        <v>5</v>
      </c>
      <c r="E94" s="83" t="n">
        <v>2</v>
      </c>
      <c r="F94" s="83" t="inlineStr">
        <is>
          <t>Nominated</t>
        </is>
      </c>
      <c r="G94" s="83" t="n">
        <v>1</v>
      </c>
      <c r="H94" s="83" t="n">
        <v>1</v>
      </c>
      <c r="I94" s="85" t="inlineStr">
        <is>
          <t>Christoph Waltz</t>
        </is>
      </c>
      <c r="J94" s="85" t="n">
        <v>0</v>
      </c>
      <c r="K94" s="85" t="n">
        <v>0</v>
      </c>
      <c r="L94" s="85" t="n"/>
      <c r="M94" s="85" t="n">
        <v>1</v>
      </c>
      <c r="N94" s="85" t="n">
        <v>1</v>
      </c>
      <c r="O94" s="85" t="n"/>
      <c r="P94" s="85" t="inlineStr">
        <is>
          <t>ACTOR IN A SUPPORTING ROLE; WRITING (Original Screenplay)</t>
        </is>
      </c>
      <c r="Q94" s="85" t="inlineStr">
        <is>
          <t>ACTOR IN A SUPPORTING ROLE; CINEMATOGRAPHY; BEST PICTURE; SOUND EDITING; WRITING (Original Screenplay)</t>
        </is>
      </c>
      <c r="R94" s="85" t="inlineStr">
        <is>
          <t>https://github.com/DLu/oscar_data</t>
        </is>
      </c>
    </row>
    <row r="95" ht="15.75" customHeight="1" s="108">
      <c r="A95" s="83" t="inlineStr">
        <is>
          <t>F0091</t>
        </is>
      </c>
      <c r="B95" s="83" t="inlineStr">
        <is>
          <t>Due Date</t>
        </is>
      </c>
      <c r="C95" s="83" t="inlineStr">
        <is>
          <t>2010</t>
        </is>
      </c>
      <c r="D95" s="83" t="n">
        <v>0</v>
      </c>
      <c r="E95" s="83" t="n">
        <v>0</v>
      </c>
      <c r="F95" s="84" t="n"/>
      <c r="G95" s="83" t="n">
        <v>0</v>
      </c>
      <c r="H95" s="83" t="n">
        <v>0</v>
      </c>
      <c r="I95" s="85" t="n"/>
      <c r="J95" s="85" t="n">
        <v>0</v>
      </c>
      <c r="K95" s="85" t="n">
        <v>0</v>
      </c>
      <c r="L95" s="85" t="n"/>
      <c r="M95" s="85" t="n">
        <v>0</v>
      </c>
      <c r="N95" s="85" t="n">
        <v>0</v>
      </c>
      <c r="O95" s="85" t="n"/>
      <c r="P95" s="85" t="n"/>
      <c r="Q95" s="85" t="n"/>
      <c r="R95" s="85" t="inlineStr">
        <is>
          <t>https://github.com/DLu/oscar_data</t>
        </is>
      </c>
    </row>
    <row r="96" ht="15.75" customHeight="1" s="108">
      <c r="A96" s="83" t="inlineStr">
        <is>
          <t>F0092</t>
        </is>
      </c>
      <c r="B96" s="83" t="inlineStr">
        <is>
          <t>Elf</t>
        </is>
      </c>
      <c r="C96" s="83" t="inlineStr">
        <is>
          <t>2003</t>
        </is>
      </c>
      <c r="D96" s="83" t="n">
        <v>0</v>
      </c>
      <c r="E96" s="83" t="n">
        <v>0</v>
      </c>
      <c r="F96" s="84" t="n"/>
      <c r="G96" s="83" t="n">
        <v>0</v>
      </c>
      <c r="H96" s="83" t="n">
        <v>0</v>
      </c>
      <c r="I96" s="85" t="n"/>
      <c r="J96" s="85" t="n">
        <v>0</v>
      </c>
      <c r="K96" s="85" t="n">
        <v>0</v>
      </c>
      <c r="L96" s="85" t="n"/>
      <c r="M96" s="85" t="n">
        <v>0</v>
      </c>
      <c r="N96" s="85" t="n">
        <v>0</v>
      </c>
      <c r="O96" s="85" t="n"/>
      <c r="P96" s="85" t="n"/>
      <c r="Q96" s="85" t="n"/>
      <c r="R96" s="85" t="inlineStr">
        <is>
          <t>https://github.com/DLu/oscar_data</t>
        </is>
      </c>
    </row>
    <row r="97" ht="15.75" customHeight="1" s="108">
      <c r="A97" s="83" t="inlineStr">
        <is>
          <t>F0093</t>
        </is>
      </c>
      <c r="B97" s="83" t="inlineStr">
        <is>
          <t>Elysium</t>
        </is>
      </c>
      <c r="C97" s="83" t="inlineStr">
        <is>
          <t>2013</t>
        </is>
      </c>
      <c r="D97" s="83" t="n">
        <v>0</v>
      </c>
      <c r="E97" s="83" t="n">
        <v>0</v>
      </c>
      <c r="F97" s="84" t="n"/>
      <c r="G97" s="83" t="n">
        <v>0</v>
      </c>
      <c r="H97" s="83" t="n">
        <v>0</v>
      </c>
      <c r="I97" s="85" t="n"/>
      <c r="J97" s="85" t="n">
        <v>0</v>
      </c>
      <c r="K97" s="85" t="n">
        <v>0</v>
      </c>
      <c r="L97" s="85" t="n"/>
      <c r="M97" s="85" t="n">
        <v>0</v>
      </c>
      <c r="N97" s="85" t="n">
        <v>0</v>
      </c>
      <c r="O97" s="85" t="n"/>
      <c r="P97" s="85" t="n"/>
      <c r="Q97" s="85" t="n"/>
      <c r="R97" s="85" t="inlineStr">
        <is>
          <t>https://github.com/DLu/oscar_data</t>
        </is>
      </c>
    </row>
    <row r="98" ht="15.75" customHeight="1" s="108">
      <c r="A98" s="83" t="inlineStr">
        <is>
          <t>F0094</t>
        </is>
      </c>
      <c r="B98" s="83" t="inlineStr">
        <is>
          <t>Enemy of the State</t>
        </is>
      </c>
      <c r="C98" s="83" t="inlineStr">
        <is>
          <t>1998</t>
        </is>
      </c>
      <c r="D98" s="83" t="n">
        <v>0</v>
      </c>
      <c r="E98" s="83" t="n">
        <v>0</v>
      </c>
      <c r="F98" s="84" t="n"/>
      <c r="G98" s="83" t="n">
        <v>0</v>
      </c>
      <c r="H98" s="83" t="n">
        <v>0</v>
      </c>
      <c r="I98" s="85" t="n"/>
      <c r="J98" s="85" t="n">
        <v>0</v>
      </c>
      <c r="K98" s="85" t="n">
        <v>0</v>
      </c>
      <c r="L98" s="85" t="n"/>
      <c r="M98" s="85" t="n">
        <v>0</v>
      </c>
      <c r="N98" s="85" t="n">
        <v>0</v>
      </c>
      <c r="O98" s="85" t="n"/>
      <c r="P98" s="85" t="n"/>
      <c r="Q98" s="85" t="n"/>
      <c r="R98" s="85" t="inlineStr">
        <is>
          <t>https://github.com/DLu/oscar_data</t>
        </is>
      </c>
    </row>
    <row r="99" ht="15.75" customHeight="1" s="108">
      <c r="A99" s="83" t="inlineStr">
        <is>
          <t>F0095</t>
        </is>
      </c>
      <c r="B99" s="83" t="inlineStr">
        <is>
          <t>The Expendables</t>
        </is>
      </c>
      <c r="C99" s="83" t="inlineStr">
        <is>
          <t>2010</t>
        </is>
      </c>
      <c r="D99" s="83" t="n">
        <v>0</v>
      </c>
      <c r="E99" s="83" t="n">
        <v>0</v>
      </c>
      <c r="F99" s="84" t="n"/>
      <c r="G99" s="83" t="n">
        <v>0</v>
      </c>
      <c r="H99" s="83" t="n">
        <v>0</v>
      </c>
      <c r="I99" s="85" t="n"/>
      <c r="J99" s="85" t="n">
        <v>0</v>
      </c>
      <c r="K99" s="85" t="n">
        <v>0</v>
      </c>
      <c r="L99" s="85" t="n"/>
      <c r="M99" s="85" t="n">
        <v>0</v>
      </c>
      <c r="N99" s="85" t="n">
        <v>0</v>
      </c>
      <c r="O99" s="85" t="n"/>
      <c r="P99" s="85" t="n"/>
      <c r="Q99" s="85" t="n"/>
      <c r="R99" s="85" t="inlineStr">
        <is>
          <t>https://github.com/DLu/oscar_data</t>
        </is>
      </c>
    </row>
    <row r="100" ht="15.75" customHeight="1" s="108">
      <c r="A100" s="83" t="inlineStr">
        <is>
          <t>F0096</t>
        </is>
      </c>
      <c r="B100" s="83" t="inlineStr">
        <is>
          <t>The Expendables 2</t>
        </is>
      </c>
      <c r="C100" s="83" t="inlineStr">
        <is>
          <t>2012</t>
        </is>
      </c>
      <c r="D100" s="83" t="n">
        <v>0</v>
      </c>
      <c r="E100" s="83" t="n">
        <v>0</v>
      </c>
      <c r="F100" s="84" t="n"/>
      <c r="G100" s="83" t="n">
        <v>0</v>
      </c>
      <c r="H100" s="83" t="n">
        <v>0</v>
      </c>
      <c r="I100" s="85" t="n"/>
      <c r="J100" s="85" t="n">
        <v>0</v>
      </c>
      <c r="K100" s="85" t="n">
        <v>0</v>
      </c>
      <c r="L100" s="85" t="n"/>
      <c r="M100" s="85" t="n">
        <v>0</v>
      </c>
      <c r="N100" s="85" t="n">
        <v>0</v>
      </c>
      <c r="O100" s="85" t="n"/>
      <c r="P100" s="85" t="n"/>
      <c r="Q100" s="85" t="n"/>
      <c r="R100" s="85" t="inlineStr">
        <is>
          <t>https://github.com/DLu/oscar_data</t>
        </is>
      </c>
    </row>
    <row r="101" ht="15.75" customHeight="1" s="108">
      <c r="A101" s="83" t="inlineStr">
        <is>
          <t>F0097</t>
        </is>
      </c>
      <c r="B101" s="83" t="inlineStr">
        <is>
          <t>The Expendables 3</t>
        </is>
      </c>
      <c r="C101" s="83" t="inlineStr">
        <is>
          <t>2014</t>
        </is>
      </c>
      <c r="D101" s="83" t="n">
        <v>0</v>
      </c>
      <c r="E101" s="83" t="n">
        <v>0</v>
      </c>
      <c r="F101" s="84" t="n"/>
      <c r="G101" s="83" t="n">
        <v>0</v>
      </c>
      <c r="H101" s="83" t="n">
        <v>0</v>
      </c>
      <c r="I101" s="85" t="n"/>
      <c r="J101" s="85" t="n">
        <v>0</v>
      </c>
      <c r="K101" s="85" t="n">
        <v>0</v>
      </c>
      <c r="L101" s="85" t="n"/>
      <c r="M101" s="85" t="n">
        <v>0</v>
      </c>
      <c r="N101" s="85" t="n">
        <v>0</v>
      </c>
      <c r="O101" s="85" t="n"/>
      <c r="P101" s="85" t="n"/>
      <c r="Q101" s="85" t="n"/>
      <c r="R101" s="85" t="inlineStr">
        <is>
          <t>https://github.com/DLu/oscar_data</t>
        </is>
      </c>
    </row>
    <row r="102" ht="15.75" customHeight="1" s="108">
      <c r="A102" s="83" t="inlineStr">
        <is>
          <t>F0098</t>
        </is>
      </c>
      <c r="B102" s="83" t="inlineStr">
        <is>
          <t>F1</t>
        </is>
      </c>
      <c r="C102" s="83" t="inlineStr">
        <is>
          <t>2025</t>
        </is>
      </c>
      <c r="D102" s="83" t="n">
        <v>4</v>
      </c>
      <c r="E102" s="83" t="n">
        <v>1</v>
      </c>
      <c r="F102" s="83" t="inlineStr">
        <is>
          <t>Nominated</t>
        </is>
      </c>
      <c r="G102" s="83" t="n">
        <v>0</v>
      </c>
      <c r="H102" s="83" t="n">
        <v>0</v>
      </c>
      <c r="I102" s="85" t="n"/>
      <c r="J102" s="85" t="n">
        <v>0</v>
      </c>
      <c r="K102" s="85" t="n">
        <v>0</v>
      </c>
      <c r="L102" s="85" t="n"/>
      <c r="M102" s="85" t="n">
        <v>0</v>
      </c>
      <c r="N102" s="85" t="n">
        <v>0</v>
      </c>
      <c r="O102" s="85" t="n"/>
      <c r="P102" s="85" t="inlineStr">
        <is>
          <t>SOUND MIXING</t>
        </is>
      </c>
      <c r="Q102" s="85" t="inlineStr">
        <is>
          <t>FILM EDITING; BEST PICTURE; SOUND MIXING; VISUAL EFFECTS</t>
        </is>
      </c>
      <c r="R102" s="85" t="inlineStr">
        <is>
          <t>https://github.com/DLu/oscar_data</t>
        </is>
      </c>
    </row>
    <row r="103" ht="15.75" customHeight="1" s="108">
      <c r="A103" s="83" t="inlineStr">
        <is>
          <t>F0099</t>
        </is>
      </c>
      <c r="B103" s="83" t="inlineStr">
        <is>
          <t>The Fall Guy</t>
        </is>
      </c>
      <c r="C103" s="83" t="inlineStr">
        <is>
          <t>2024</t>
        </is>
      </c>
      <c r="D103" s="83" t="n">
        <v>0</v>
      </c>
      <c r="E103" s="83" t="n">
        <v>0</v>
      </c>
      <c r="F103" s="84" t="n"/>
      <c r="G103" s="83" t="n">
        <v>0</v>
      </c>
      <c r="H103" s="83" t="n">
        <v>0</v>
      </c>
      <c r="I103" s="85" t="n"/>
      <c r="J103" s="85" t="n">
        <v>0</v>
      </c>
      <c r="K103" s="85" t="n">
        <v>0</v>
      </c>
      <c r="L103" s="85" t="n"/>
      <c r="M103" s="85" t="n">
        <v>0</v>
      </c>
      <c r="N103" s="85" t="n">
        <v>0</v>
      </c>
      <c r="O103" s="85" t="n"/>
      <c r="P103" s="85" t="n"/>
      <c r="Q103" s="85" t="n"/>
      <c r="R103" s="85" t="inlineStr">
        <is>
          <t>https://github.com/DLu/oscar_data</t>
        </is>
      </c>
    </row>
    <row r="104" ht="15.75" customHeight="1" s="108">
      <c r="A104" s="83" t="inlineStr">
        <is>
          <t>F0100</t>
        </is>
      </c>
      <c r="B104" s="83" t="inlineStr">
        <is>
          <t>Fantastic Beasts and Where to Find Them</t>
        </is>
      </c>
      <c r="C104" s="83" t="inlineStr">
        <is>
          <t>2016</t>
        </is>
      </c>
      <c r="D104" s="83" t="n">
        <v>2</v>
      </c>
      <c r="E104" s="83" t="n">
        <v>1</v>
      </c>
      <c r="F104" s="84" t="n"/>
      <c r="G104" s="83" t="n">
        <v>0</v>
      </c>
      <c r="H104" s="83" t="n">
        <v>0</v>
      </c>
      <c r="I104" s="85" t="n"/>
      <c r="J104" s="85" t="n">
        <v>0</v>
      </c>
      <c r="K104" s="85" t="n">
        <v>0</v>
      </c>
      <c r="L104" s="85" t="n"/>
      <c r="M104" s="85" t="n">
        <v>0</v>
      </c>
      <c r="N104" s="85" t="n">
        <v>0</v>
      </c>
      <c r="O104" s="85" t="n"/>
      <c r="P104" s="85" t="inlineStr">
        <is>
          <t>COSTUME DESIGN</t>
        </is>
      </c>
      <c r="Q104" s="85" t="inlineStr">
        <is>
          <t>COSTUME DESIGN; ART DIRECTION</t>
        </is>
      </c>
      <c r="R104" s="85" t="inlineStr">
        <is>
          <t>https://github.com/DLu/oscar_data</t>
        </is>
      </c>
    </row>
    <row r="105" ht="15.75" customHeight="1" s="108">
      <c r="A105" s="83" t="inlineStr">
        <is>
          <t>F0101</t>
        </is>
      </c>
      <c r="B105" s="83" t="inlineStr">
        <is>
          <t>The Fast and the Furious</t>
        </is>
      </c>
      <c r="C105" s="83" t="inlineStr">
        <is>
          <t>2001</t>
        </is>
      </c>
      <c r="D105" s="83" t="n">
        <v>0</v>
      </c>
      <c r="E105" s="83" t="n">
        <v>0</v>
      </c>
      <c r="F105" s="84" t="n"/>
      <c r="G105" s="83" t="n">
        <v>0</v>
      </c>
      <c r="H105" s="83" t="n">
        <v>0</v>
      </c>
      <c r="I105" s="85" t="n"/>
      <c r="J105" s="85" t="n">
        <v>0</v>
      </c>
      <c r="K105" s="85" t="n">
        <v>0</v>
      </c>
      <c r="L105" s="85" t="n"/>
      <c r="M105" s="85" t="n">
        <v>0</v>
      </c>
      <c r="N105" s="85" t="n">
        <v>0</v>
      </c>
      <c r="O105" s="85" t="n"/>
      <c r="P105" s="85" t="n"/>
      <c r="Q105" s="85" t="n"/>
      <c r="R105" s="85" t="inlineStr">
        <is>
          <t>https://github.com/DLu/oscar_data</t>
        </is>
      </c>
    </row>
    <row r="106" ht="15.75" customHeight="1" s="108">
      <c r="A106" s="83" t="inlineStr">
        <is>
          <t>F0102</t>
        </is>
      </c>
      <c r="B106" s="83" t="inlineStr">
        <is>
          <t>2 Fast 2 Furious</t>
        </is>
      </c>
      <c r="C106" s="83" t="inlineStr">
        <is>
          <t>2003</t>
        </is>
      </c>
      <c r="D106" s="83" t="n">
        <v>0</v>
      </c>
      <c r="E106" s="83" t="n">
        <v>0</v>
      </c>
      <c r="F106" s="84" t="n"/>
      <c r="G106" s="83" t="n">
        <v>0</v>
      </c>
      <c r="H106" s="83" t="n">
        <v>0</v>
      </c>
      <c r="I106" s="85" t="n"/>
      <c r="J106" s="85" t="n">
        <v>0</v>
      </c>
      <c r="K106" s="85" t="n">
        <v>0</v>
      </c>
      <c r="L106" s="85" t="n"/>
      <c r="M106" s="85" t="n">
        <v>0</v>
      </c>
      <c r="N106" s="85" t="n">
        <v>0</v>
      </c>
      <c r="O106" s="85" t="n"/>
      <c r="P106" s="85" t="n"/>
      <c r="Q106" s="85" t="n"/>
      <c r="R106" s="85" t="inlineStr">
        <is>
          <t>https://github.com/DLu/oscar_data</t>
        </is>
      </c>
    </row>
    <row r="107" ht="15.75" customHeight="1" s="108">
      <c r="A107" s="83" t="inlineStr">
        <is>
          <t>F0103</t>
        </is>
      </c>
      <c r="B107" s="83" t="inlineStr">
        <is>
          <t>The Fast and the Furious: Tokyo Drift</t>
        </is>
      </c>
      <c r="C107" s="83" t="inlineStr">
        <is>
          <t>2006</t>
        </is>
      </c>
      <c r="D107" s="83" t="n">
        <v>0</v>
      </c>
      <c r="E107" s="83" t="n">
        <v>0</v>
      </c>
      <c r="F107" s="84" t="n"/>
      <c r="G107" s="83" t="n">
        <v>0</v>
      </c>
      <c r="H107" s="83" t="n">
        <v>0</v>
      </c>
      <c r="I107" s="85" t="n"/>
      <c r="J107" s="85" t="n">
        <v>0</v>
      </c>
      <c r="K107" s="85" t="n">
        <v>0</v>
      </c>
      <c r="L107" s="85" t="n"/>
      <c r="M107" s="85" t="n">
        <v>0</v>
      </c>
      <c r="N107" s="85" t="n">
        <v>0</v>
      </c>
      <c r="O107" s="85" t="n"/>
      <c r="P107" s="85" t="n"/>
      <c r="Q107" s="85" t="n"/>
      <c r="R107" s="85" t="inlineStr">
        <is>
          <t>https://github.com/DLu/oscar_data</t>
        </is>
      </c>
    </row>
    <row r="108" ht="15.75" customHeight="1" s="108">
      <c r="A108" s="83" t="inlineStr">
        <is>
          <t>F0104</t>
        </is>
      </c>
      <c r="B108" s="83" t="inlineStr">
        <is>
          <t>Fast &amp; Furious</t>
        </is>
      </c>
      <c r="C108" s="83" t="inlineStr">
        <is>
          <t>2009</t>
        </is>
      </c>
      <c r="D108" s="83" t="n">
        <v>0</v>
      </c>
      <c r="E108" s="83" t="n">
        <v>0</v>
      </c>
      <c r="F108" s="84" t="n"/>
      <c r="G108" s="83" t="n">
        <v>0</v>
      </c>
      <c r="H108" s="83" t="n">
        <v>0</v>
      </c>
      <c r="I108" s="85" t="n"/>
      <c r="J108" s="85" t="n">
        <v>0</v>
      </c>
      <c r="K108" s="85" t="n">
        <v>0</v>
      </c>
      <c r="L108" s="85" t="n"/>
      <c r="M108" s="85" t="n">
        <v>0</v>
      </c>
      <c r="N108" s="85" t="n">
        <v>0</v>
      </c>
      <c r="O108" s="85" t="n"/>
      <c r="P108" s="85" t="n"/>
      <c r="Q108" s="85" t="n"/>
      <c r="R108" s="85" t="inlineStr">
        <is>
          <t>https://github.com/DLu/oscar_data</t>
        </is>
      </c>
    </row>
    <row r="109" ht="15.75" customHeight="1" s="108">
      <c r="A109" s="83" t="inlineStr">
        <is>
          <t>F0105</t>
        </is>
      </c>
      <c r="B109" s="83" t="inlineStr">
        <is>
          <t>Fast Five</t>
        </is>
      </c>
      <c r="C109" s="83" t="inlineStr">
        <is>
          <t>2011</t>
        </is>
      </c>
      <c r="D109" s="83" t="n">
        <v>0</v>
      </c>
      <c r="E109" s="83" t="n">
        <v>0</v>
      </c>
      <c r="F109" s="84" t="n"/>
      <c r="G109" s="83" t="n">
        <v>0</v>
      </c>
      <c r="H109" s="83" t="n">
        <v>0</v>
      </c>
      <c r="I109" s="85" t="n"/>
      <c r="J109" s="85" t="n">
        <v>0</v>
      </c>
      <c r="K109" s="85" t="n">
        <v>0</v>
      </c>
      <c r="L109" s="85" t="n"/>
      <c r="M109" s="85" t="n">
        <v>0</v>
      </c>
      <c r="N109" s="85" t="n">
        <v>0</v>
      </c>
      <c r="O109" s="85" t="n"/>
      <c r="P109" s="85" t="n"/>
      <c r="Q109" s="85" t="n"/>
      <c r="R109" s="85" t="inlineStr">
        <is>
          <t>https://github.com/DLu/oscar_data</t>
        </is>
      </c>
    </row>
    <row r="110" ht="15.75" customHeight="1" s="108">
      <c r="A110" s="83" t="inlineStr">
        <is>
          <t>F0106</t>
        </is>
      </c>
      <c r="B110" s="83" t="inlineStr">
        <is>
          <t>Fast &amp; Furious 6</t>
        </is>
      </c>
      <c r="C110" s="83" t="inlineStr">
        <is>
          <t>2013</t>
        </is>
      </c>
      <c r="D110" s="83" t="n">
        <v>0</v>
      </c>
      <c r="E110" s="83" t="n">
        <v>0</v>
      </c>
      <c r="F110" s="84" t="n"/>
      <c r="G110" s="83" t="n">
        <v>0</v>
      </c>
      <c r="H110" s="83" t="n">
        <v>0</v>
      </c>
      <c r="I110" s="85" t="n"/>
      <c r="J110" s="85" t="n">
        <v>0</v>
      </c>
      <c r="K110" s="85" t="n">
        <v>0</v>
      </c>
      <c r="L110" s="85" t="n"/>
      <c r="M110" s="85" t="n">
        <v>0</v>
      </c>
      <c r="N110" s="85" t="n">
        <v>0</v>
      </c>
      <c r="O110" s="85" t="n"/>
      <c r="P110" s="85" t="n"/>
      <c r="Q110" s="85" t="n"/>
      <c r="R110" s="85" t="inlineStr">
        <is>
          <t>https://github.com/DLu/oscar_data</t>
        </is>
      </c>
    </row>
    <row r="111" ht="15.75" customHeight="1" s="108">
      <c r="A111" s="83" t="inlineStr">
        <is>
          <t>F0107</t>
        </is>
      </c>
      <c r="B111" s="83" t="inlineStr">
        <is>
          <t>Furious 7</t>
        </is>
      </c>
      <c r="C111" s="83" t="inlineStr">
        <is>
          <t>2015</t>
        </is>
      </c>
      <c r="D111" s="83" t="n">
        <v>0</v>
      </c>
      <c r="E111" s="83" t="n">
        <v>0</v>
      </c>
      <c r="F111" s="84" t="n"/>
      <c r="G111" s="83" t="n">
        <v>0</v>
      </c>
      <c r="H111" s="83" t="n">
        <v>0</v>
      </c>
      <c r="I111" s="85" t="n"/>
      <c r="J111" s="85" t="n">
        <v>0</v>
      </c>
      <c r="K111" s="85" t="n">
        <v>0</v>
      </c>
      <c r="L111" s="85" t="n"/>
      <c r="M111" s="85" t="n">
        <v>0</v>
      </c>
      <c r="N111" s="85" t="n">
        <v>0</v>
      </c>
      <c r="O111" s="85" t="n"/>
      <c r="P111" s="85" t="n"/>
      <c r="Q111" s="85" t="n"/>
      <c r="R111" s="85" t="inlineStr">
        <is>
          <t>https://github.com/DLu/oscar_data</t>
        </is>
      </c>
    </row>
    <row r="112" ht="15.75" customHeight="1" s="108">
      <c r="A112" s="83" t="inlineStr">
        <is>
          <t>F0108</t>
        </is>
      </c>
      <c r="B112" s="83" t="inlineStr">
        <is>
          <t>The Fate of the Furious</t>
        </is>
      </c>
      <c r="C112" s="83" t="inlineStr">
        <is>
          <t>2017</t>
        </is>
      </c>
      <c r="D112" s="83" t="n">
        <v>0</v>
      </c>
      <c r="E112" s="83" t="n">
        <v>0</v>
      </c>
      <c r="F112" s="84" t="n"/>
      <c r="G112" s="83" t="n">
        <v>0</v>
      </c>
      <c r="H112" s="83" t="n">
        <v>0</v>
      </c>
      <c r="I112" s="85" t="n"/>
      <c r="J112" s="85" t="n">
        <v>0</v>
      </c>
      <c r="K112" s="85" t="n">
        <v>0</v>
      </c>
      <c r="L112" s="85" t="n"/>
      <c r="M112" s="85" t="n">
        <v>0</v>
      </c>
      <c r="N112" s="85" t="n">
        <v>0</v>
      </c>
      <c r="O112" s="85" t="n"/>
      <c r="P112" s="85" t="n"/>
      <c r="Q112" s="85" t="n"/>
      <c r="R112" s="85" t="inlineStr">
        <is>
          <t>https://github.com/DLu/oscar_data</t>
        </is>
      </c>
    </row>
    <row r="113" ht="15.75" customHeight="1" s="108">
      <c r="A113" s="83" t="inlineStr">
        <is>
          <t>F0109</t>
        </is>
      </c>
      <c r="B113" s="83" t="inlineStr">
        <is>
          <t>F9: The Fast Saga</t>
        </is>
      </c>
      <c r="C113" s="83" t="inlineStr">
        <is>
          <t>2021</t>
        </is>
      </c>
      <c r="D113" s="83" t="n">
        <v>0</v>
      </c>
      <c r="E113" s="83" t="n">
        <v>0</v>
      </c>
      <c r="F113" s="84" t="n"/>
      <c r="G113" s="83" t="n">
        <v>0</v>
      </c>
      <c r="H113" s="83" t="n">
        <v>0</v>
      </c>
      <c r="I113" s="85" t="n"/>
      <c r="J113" s="85" t="n">
        <v>0</v>
      </c>
      <c r="K113" s="85" t="n">
        <v>0</v>
      </c>
      <c r="L113" s="85" t="n"/>
      <c r="M113" s="85" t="n">
        <v>0</v>
      </c>
      <c r="N113" s="85" t="n">
        <v>0</v>
      </c>
      <c r="O113" s="85" t="n"/>
      <c r="P113" s="85" t="n"/>
      <c r="Q113" s="85" t="n"/>
      <c r="R113" s="85" t="inlineStr">
        <is>
          <t>https://github.com/DLu/oscar_data</t>
        </is>
      </c>
    </row>
    <row r="114" ht="15.75" customHeight="1" s="108">
      <c r="A114" s="83" t="inlineStr">
        <is>
          <t>F0110</t>
        </is>
      </c>
      <c r="B114" s="83" t="inlineStr">
        <is>
          <t>Fast X</t>
        </is>
      </c>
      <c r="C114" s="83" t="inlineStr">
        <is>
          <t>2023</t>
        </is>
      </c>
      <c r="D114" s="83" t="n">
        <v>0</v>
      </c>
      <c r="E114" s="83" t="n">
        <v>0</v>
      </c>
      <c r="F114" s="84" t="n"/>
      <c r="G114" s="83" t="n">
        <v>0</v>
      </c>
      <c r="H114" s="83" t="n">
        <v>0</v>
      </c>
      <c r="I114" s="85" t="n"/>
      <c r="J114" s="85" t="n">
        <v>0</v>
      </c>
      <c r="K114" s="85" t="n">
        <v>0</v>
      </c>
      <c r="L114" s="85" t="n"/>
      <c r="M114" s="85" t="n">
        <v>0</v>
      </c>
      <c r="N114" s="85" t="n">
        <v>0</v>
      </c>
      <c r="O114" s="85" t="n"/>
      <c r="P114" s="85" t="n"/>
      <c r="Q114" s="85" t="n"/>
      <c r="R114" s="85" t="inlineStr">
        <is>
          <t>https://github.com/DLu/oscar_data</t>
        </is>
      </c>
    </row>
    <row r="115" ht="15.75" customHeight="1" s="108">
      <c r="A115" s="83" t="inlineStr">
        <is>
          <t>F0111</t>
        </is>
      </c>
      <c r="B115" s="83" t="inlineStr">
        <is>
          <t>Fast &amp; Furious Presents: Hobbs &amp; Shaw</t>
        </is>
      </c>
      <c r="C115" s="83" t="inlineStr">
        <is>
          <t>2019</t>
        </is>
      </c>
      <c r="D115" s="83" t="n">
        <v>0</v>
      </c>
      <c r="E115" s="83" t="n">
        <v>0</v>
      </c>
      <c r="F115" s="84" t="n"/>
      <c r="G115" s="83" t="n">
        <v>0</v>
      </c>
      <c r="H115" s="83" t="n">
        <v>0</v>
      </c>
      <c r="I115" s="85" t="n"/>
      <c r="J115" s="85" t="n">
        <v>0</v>
      </c>
      <c r="K115" s="85" t="n">
        <v>0</v>
      </c>
      <c r="L115" s="85" t="n"/>
      <c r="M115" s="85" t="n">
        <v>0</v>
      </c>
      <c r="N115" s="85" t="n">
        <v>0</v>
      </c>
      <c r="O115" s="85" t="n"/>
      <c r="P115" s="85" t="n"/>
      <c r="Q115" s="85" t="n"/>
      <c r="R115" s="85" t="inlineStr">
        <is>
          <t>https://github.com/DLu/oscar_data</t>
        </is>
      </c>
    </row>
    <row r="116" ht="15.75" customHeight="1" s="108">
      <c r="A116" s="83" t="inlineStr">
        <is>
          <t>F0112</t>
        </is>
      </c>
      <c r="B116" s="83" t="inlineStr">
        <is>
          <t>Fight Club</t>
        </is>
      </c>
      <c r="C116" s="83" t="inlineStr">
        <is>
          <t>1999</t>
        </is>
      </c>
      <c r="D116" s="83" t="n">
        <v>1</v>
      </c>
      <c r="E116" s="83" t="n">
        <v>0</v>
      </c>
      <c r="F116" s="84" t="n"/>
      <c r="G116" s="83" t="n">
        <v>0</v>
      </c>
      <c r="H116" s="83" t="n">
        <v>0</v>
      </c>
      <c r="I116" s="85" t="n"/>
      <c r="J116" s="85" t="n">
        <v>0</v>
      </c>
      <c r="K116" s="85" t="n">
        <v>0</v>
      </c>
      <c r="L116" s="85" t="n"/>
      <c r="M116" s="85" t="n">
        <v>0</v>
      </c>
      <c r="N116" s="85" t="n">
        <v>0</v>
      </c>
      <c r="O116" s="85" t="n"/>
      <c r="P116" s="85" t="n"/>
      <c r="Q116" s="85" t="inlineStr">
        <is>
          <t>SOUND EDITING</t>
        </is>
      </c>
      <c r="R116" s="85" t="inlineStr">
        <is>
          <t>https://github.com/DLu/oscar_data</t>
        </is>
      </c>
    </row>
    <row r="117" ht="15.75" customHeight="1" s="108">
      <c r="A117" s="83" t="inlineStr">
        <is>
          <t>F0113</t>
        </is>
      </c>
      <c r="B117" s="83" t="inlineStr">
        <is>
          <t>Finding Dory</t>
        </is>
      </c>
      <c r="C117" s="83" t="inlineStr">
        <is>
          <t>2016</t>
        </is>
      </c>
      <c r="D117" s="83" t="n">
        <v>0</v>
      </c>
      <c r="E117" s="83" t="n">
        <v>0</v>
      </c>
      <c r="F117" s="84" t="n"/>
      <c r="G117" s="83" t="n">
        <v>0</v>
      </c>
      <c r="H117" s="83" t="n">
        <v>0</v>
      </c>
      <c r="I117" s="85" t="n"/>
      <c r="J117" s="85" t="n">
        <v>0</v>
      </c>
      <c r="K117" s="85" t="n">
        <v>0</v>
      </c>
      <c r="L117" s="85" t="n"/>
      <c r="M117" s="85" t="n">
        <v>0</v>
      </c>
      <c r="N117" s="85" t="n">
        <v>0</v>
      </c>
      <c r="O117" s="85" t="n"/>
      <c r="P117" s="85" t="n"/>
      <c r="Q117" s="85" t="n"/>
      <c r="R117" s="85" t="inlineStr">
        <is>
          <t>https://github.com/DLu/oscar_data</t>
        </is>
      </c>
    </row>
    <row r="118" ht="15.75" customHeight="1" s="108">
      <c r="A118" s="83" t="inlineStr">
        <is>
          <t>F0114</t>
        </is>
      </c>
      <c r="B118" s="83" t="inlineStr">
        <is>
          <t>Firewall</t>
        </is>
      </c>
      <c r="C118" s="83" t="inlineStr">
        <is>
          <t>2006</t>
        </is>
      </c>
      <c r="D118" s="83" t="n">
        <v>0</v>
      </c>
      <c r="E118" s="83" t="n">
        <v>0</v>
      </c>
      <c r="F118" s="84" t="n"/>
      <c r="G118" s="83" t="n">
        <v>0</v>
      </c>
      <c r="H118" s="83" t="n">
        <v>0</v>
      </c>
      <c r="I118" s="85" t="n"/>
      <c r="J118" s="85" t="n">
        <v>0</v>
      </c>
      <c r="K118" s="85" t="n">
        <v>0</v>
      </c>
      <c r="L118" s="85" t="n"/>
      <c r="M118" s="85" t="n">
        <v>0</v>
      </c>
      <c r="N118" s="85" t="n">
        <v>0</v>
      </c>
      <c r="O118" s="85" t="n"/>
      <c r="P118" s="85" t="n"/>
      <c r="Q118" s="85" t="n"/>
      <c r="R118" s="85" t="inlineStr">
        <is>
          <t>https://github.com/DLu/oscar_data</t>
        </is>
      </c>
    </row>
    <row r="119" ht="15.75" customHeight="1" s="108">
      <c r="A119" s="83" t="inlineStr">
        <is>
          <t>F0115</t>
        </is>
      </c>
      <c r="B119" s="83" t="inlineStr">
        <is>
          <t>Forgetting Sarah Marshall</t>
        </is>
      </c>
      <c r="C119" s="83" t="inlineStr">
        <is>
          <t>2008</t>
        </is>
      </c>
      <c r="D119" s="83" t="n">
        <v>0</v>
      </c>
      <c r="E119" s="83" t="n">
        <v>0</v>
      </c>
      <c r="F119" s="84" t="n"/>
      <c r="G119" s="83" t="n">
        <v>0</v>
      </c>
      <c r="H119" s="83" t="n">
        <v>0</v>
      </c>
      <c r="I119" s="85" t="n"/>
      <c r="J119" s="85" t="n">
        <v>0</v>
      </c>
      <c r="K119" s="85" t="n">
        <v>0</v>
      </c>
      <c r="L119" s="85" t="n"/>
      <c r="M119" s="85" t="n">
        <v>0</v>
      </c>
      <c r="N119" s="85" t="n">
        <v>0</v>
      </c>
      <c r="O119" s="85" t="n"/>
      <c r="P119" s="85" t="n"/>
      <c r="Q119" s="85" t="n"/>
      <c r="R119" s="85" t="inlineStr">
        <is>
          <t>https://github.com/DLu/oscar_data</t>
        </is>
      </c>
    </row>
    <row r="120" ht="15.75" customHeight="1" s="108">
      <c r="A120" s="83" t="inlineStr">
        <is>
          <t>F0116</t>
        </is>
      </c>
      <c r="B120" s="83" t="inlineStr">
        <is>
          <t>Frozen</t>
        </is>
      </c>
      <c r="C120" s="83" t="inlineStr">
        <is>
          <t>2013</t>
        </is>
      </c>
      <c r="D120" s="83" t="n">
        <v>2</v>
      </c>
      <c r="E120" s="83" t="n">
        <v>2</v>
      </c>
      <c r="F120" s="84" t="n"/>
      <c r="G120" s="83" t="n">
        <v>0</v>
      </c>
      <c r="H120" s="83" t="n">
        <v>0</v>
      </c>
      <c r="I120" s="85" t="n"/>
      <c r="J120" s="85" t="n">
        <v>0</v>
      </c>
      <c r="K120" s="85" t="n">
        <v>0</v>
      </c>
      <c r="L120" s="85" t="n"/>
      <c r="M120" s="85" t="n">
        <v>0</v>
      </c>
      <c r="N120" s="85" t="n">
        <v>0</v>
      </c>
      <c r="O120" s="85" t="inlineStr">
        <is>
          <t>Winner</t>
        </is>
      </c>
      <c r="P120" s="85" t="inlineStr">
        <is>
          <t>ANIMATED FEATURE FILM; MUSIC (Original Song)</t>
        </is>
      </c>
      <c r="Q120" s="85" t="inlineStr">
        <is>
          <t>ANIMATED FEATURE FILM; MUSIC (Original Song)</t>
        </is>
      </c>
      <c r="R120" s="85" t="inlineStr">
        <is>
          <t>https://github.com/DLu/oscar_data</t>
        </is>
      </c>
    </row>
    <row r="121" ht="15.75" customHeight="1" s="108">
      <c r="A121" s="83" t="inlineStr">
        <is>
          <t>F0117</t>
        </is>
      </c>
      <c r="B121" s="83" t="inlineStr">
        <is>
          <t>Fury</t>
        </is>
      </c>
      <c r="C121" s="83" t="inlineStr">
        <is>
          <t>2014</t>
        </is>
      </c>
      <c r="D121" s="83" t="n">
        <v>0</v>
      </c>
      <c r="E121" s="83" t="n">
        <v>0</v>
      </c>
      <c r="F121" s="84" t="n"/>
      <c r="G121" s="83" t="n">
        <v>0</v>
      </c>
      <c r="H121" s="83" t="n">
        <v>0</v>
      </c>
      <c r="I121" s="85" t="n"/>
      <c r="J121" s="85" t="n">
        <v>0</v>
      </c>
      <c r="K121" s="85" t="n">
        <v>0</v>
      </c>
      <c r="L121" s="85" t="n"/>
      <c r="M121" s="85" t="n">
        <v>0</v>
      </c>
      <c r="N121" s="85" t="n">
        <v>0</v>
      </c>
      <c r="O121" s="85" t="n"/>
      <c r="P121" s="85" t="n"/>
      <c r="Q121" s="85" t="n"/>
      <c r="R121" s="85" t="inlineStr">
        <is>
          <t>https://github.com/DLu/oscar_data</t>
        </is>
      </c>
    </row>
    <row r="122" ht="15.75" customHeight="1" s="108">
      <c r="A122" s="83" t="inlineStr">
        <is>
          <t>F0118</t>
        </is>
      </c>
      <c r="B122" s="83" t="inlineStr">
        <is>
          <t>G.I. Joe: The Rise of Cobra</t>
        </is>
      </c>
      <c r="C122" s="83" t="inlineStr">
        <is>
          <t>2009</t>
        </is>
      </c>
      <c r="D122" s="83" t="n">
        <v>0</v>
      </c>
      <c r="E122" s="83" t="n">
        <v>0</v>
      </c>
      <c r="F122" s="84" t="n"/>
      <c r="G122" s="83" t="n">
        <v>0</v>
      </c>
      <c r="H122" s="83" t="n">
        <v>0</v>
      </c>
      <c r="I122" s="85" t="n"/>
      <c r="J122" s="85" t="n">
        <v>0</v>
      </c>
      <c r="K122" s="85" t="n">
        <v>0</v>
      </c>
      <c r="L122" s="85" t="n"/>
      <c r="M122" s="85" t="n">
        <v>0</v>
      </c>
      <c r="N122" s="85" t="n">
        <v>0</v>
      </c>
      <c r="O122" s="85" t="n"/>
      <c r="P122" s="85" t="n"/>
      <c r="Q122" s="85" t="n"/>
      <c r="R122" s="85" t="inlineStr">
        <is>
          <t>https://github.com/DLu/oscar_data</t>
        </is>
      </c>
    </row>
    <row r="123" ht="15.75" customHeight="1" s="108">
      <c r="A123" s="83" t="inlineStr">
        <is>
          <t>F0119</t>
        </is>
      </c>
      <c r="B123" s="83" t="inlineStr">
        <is>
          <t>The Gentlemen</t>
        </is>
      </c>
      <c r="C123" s="83" t="inlineStr">
        <is>
          <t>2020</t>
        </is>
      </c>
      <c r="D123" s="83" t="n">
        <v>0</v>
      </c>
      <c r="E123" s="83" t="n">
        <v>0</v>
      </c>
      <c r="F123" s="84" t="n"/>
      <c r="G123" s="83" t="n">
        <v>0</v>
      </c>
      <c r="H123" s="83" t="n">
        <v>0</v>
      </c>
      <c r="I123" s="85" t="n"/>
      <c r="J123" s="85" t="n">
        <v>0</v>
      </c>
      <c r="K123" s="85" t="n">
        <v>0</v>
      </c>
      <c r="L123" s="85" t="n"/>
      <c r="M123" s="85" t="n">
        <v>0</v>
      </c>
      <c r="N123" s="85" t="n">
        <v>0</v>
      </c>
      <c r="O123" s="85" t="n"/>
      <c r="P123" s="85" t="n"/>
      <c r="Q123" s="85" t="n"/>
      <c r="R123" s="85" t="inlineStr">
        <is>
          <t>https://github.com/DLu/oscar_data</t>
        </is>
      </c>
    </row>
    <row r="124" ht="30" customHeight="1" s="108">
      <c r="A124" s="83" t="inlineStr">
        <is>
          <t>F0120</t>
        </is>
      </c>
      <c r="B124" s="83" t="inlineStr">
        <is>
          <t>The Girl with the Dragon Tattoo</t>
        </is>
      </c>
      <c r="C124" s="83" t="inlineStr">
        <is>
          <t>2011</t>
        </is>
      </c>
      <c r="D124" s="83" t="n">
        <v>5</v>
      </c>
      <c r="E124" s="83" t="n">
        <v>1</v>
      </c>
      <c r="F124" s="84" t="n"/>
      <c r="G124" s="83" t="n">
        <v>1</v>
      </c>
      <c r="H124" s="83" t="n">
        <v>0</v>
      </c>
      <c r="I124" s="85" t="n"/>
      <c r="J124" s="85" t="n">
        <v>0</v>
      </c>
      <c r="K124" s="85" t="n">
        <v>0</v>
      </c>
      <c r="L124" s="85" t="n"/>
      <c r="M124" s="85" t="n">
        <v>0</v>
      </c>
      <c r="N124" s="85" t="n">
        <v>0</v>
      </c>
      <c r="O124" s="85" t="n"/>
      <c r="P124" s="85" t="inlineStr">
        <is>
          <t>FILM EDITING</t>
        </is>
      </c>
      <c r="Q124" s="85" t="inlineStr">
        <is>
          <t>ACTRESS IN A LEADING ROLE; CINEMATOGRAPHY; FILM EDITING; SOUND EDITING; SOUND MIXING</t>
        </is>
      </c>
      <c r="R124" s="85" t="inlineStr">
        <is>
          <t>https://github.com/DLu/oscar_data</t>
        </is>
      </c>
    </row>
    <row r="125" ht="15.75" customHeight="1" s="108">
      <c r="A125" s="83" t="inlineStr">
        <is>
          <t>F0121</t>
        </is>
      </c>
      <c r="B125" s="83" t="inlineStr">
        <is>
          <t>Godzilla</t>
        </is>
      </c>
      <c r="C125" s="83" t="inlineStr">
        <is>
          <t>2014</t>
        </is>
      </c>
      <c r="D125" s="83" t="n">
        <v>0</v>
      </c>
      <c r="E125" s="83" t="n">
        <v>0</v>
      </c>
      <c r="F125" s="84" t="n"/>
      <c r="G125" s="83" t="n">
        <v>0</v>
      </c>
      <c r="H125" s="83" t="n">
        <v>0</v>
      </c>
      <c r="I125" s="85" t="n"/>
      <c r="J125" s="85" t="n">
        <v>0</v>
      </c>
      <c r="K125" s="85" t="n">
        <v>0</v>
      </c>
      <c r="L125" s="85" t="n"/>
      <c r="M125" s="85" t="n">
        <v>0</v>
      </c>
      <c r="N125" s="85" t="n">
        <v>0</v>
      </c>
      <c r="O125" s="85" t="n"/>
      <c r="P125" s="85" t="n"/>
      <c r="Q125" s="85" t="n"/>
      <c r="R125" s="85" t="inlineStr">
        <is>
          <t>https://github.com/DLu/oscar_data</t>
        </is>
      </c>
    </row>
    <row r="126" ht="15.75" customHeight="1" s="108">
      <c r="A126" s="83" t="inlineStr">
        <is>
          <t>F0122</t>
        </is>
      </c>
      <c r="B126" s="83" t="inlineStr">
        <is>
          <t>Godzilla: King of the Monsters</t>
        </is>
      </c>
      <c r="C126" s="83" t="inlineStr">
        <is>
          <t>2019</t>
        </is>
      </c>
      <c r="D126" s="83" t="n">
        <v>0</v>
      </c>
      <c r="E126" s="83" t="n">
        <v>0</v>
      </c>
      <c r="F126" s="84" t="n"/>
      <c r="G126" s="83" t="n">
        <v>0</v>
      </c>
      <c r="H126" s="83" t="n">
        <v>0</v>
      </c>
      <c r="I126" s="85" t="n"/>
      <c r="J126" s="85" t="n">
        <v>0</v>
      </c>
      <c r="K126" s="85" t="n">
        <v>0</v>
      </c>
      <c r="L126" s="85" t="n"/>
      <c r="M126" s="85" t="n">
        <v>0</v>
      </c>
      <c r="N126" s="85" t="n">
        <v>0</v>
      </c>
      <c r="O126" s="85" t="n"/>
      <c r="P126" s="85" t="n"/>
      <c r="Q126" s="85" t="n"/>
      <c r="R126" s="85" t="inlineStr">
        <is>
          <t>https://github.com/DLu/oscar_data</t>
        </is>
      </c>
    </row>
    <row r="127" ht="15.75" customHeight="1" s="108">
      <c r="A127" s="83" t="inlineStr">
        <is>
          <t>F0123</t>
        </is>
      </c>
      <c r="B127" s="83" t="inlineStr">
        <is>
          <t>Godzilla vs. Kong</t>
        </is>
      </c>
      <c r="C127" s="83" t="inlineStr">
        <is>
          <t>2021</t>
        </is>
      </c>
      <c r="D127" s="83" t="n">
        <v>0</v>
      </c>
      <c r="E127" s="83" t="n">
        <v>0</v>
      </c>
      <c r="F127" s="84" t="n"/>
      <c r="G127" s="83" t="n">
        <v>0</v>
      </c>
      <c r="H127" s="83" t="n">
        <v>0</v>
      </c>
      <c r="I127" s="85" t="n"/>
      <c r="J127" s="85" t="n">
        <v>0</v>
      </c>
      <c r="K127" s="85" t="n">
        <v>0</v>
      </c>
      <c r="L127" s="85" t="n"/>
      <c r="M127" s="85" t="n">
        <v>0</v>
      </c>
      <c r="N127" s="85" t="n">
        <v>0</v>
      </c>
      <c r="O127" s="85" t="n"/>
      <c r="P127" s="85" t="n"/>
      <c r="Q127" s="85" t="n"/>
      <c r="R127" s="85" t="inlineStr">
        <is>
          <t>https://github.com/DLu/oscar_data</t>
        </is>
      </c>
    </row>
    <row r="128" ht="60" customHeight="1" s="108">
      <c r="A128" s="83" t="inlineStr">
        <is>
          <t>F0124</t>
        </is>
      </c>
      <c r="B128" s="83" t="inlineStr">
        <is>
          <t>Good Will Hunting</t>
        </is>
      </c>
      <c r="C128" s="83" t="inlineStr">
        <is>
          <t>1997</t>
        </is>
      </c>
      <c r="D128" s="83" t="n">
        <v>9</v>
      </c>
      <c r="E128" s="83" t="n">
        <v>2</v>
      </c>
      <c r="F128" s="83" t="inlineStr">
        <is>
          <t>Nominated</t>
        </is>
      </c>
      <c r="G128" s="83" t="n">
        <v>3</v>
      </c>
      <c r="H128" s="83" t="n">
        <v>1</v>
      </c>
      <c r="I128" s="85" t="inlineStr">
        <is>
          <t>Robin Williams</t>
        </is>
      </c>
      <c r="J128" s="85" t="n">
        <v>1</v>
      </c>
      <c r="K128" s="85" t="n">
        <v>0</v>
      </c>
      <c r="L128" s="85" t="n"/>
      <c r="M128" s="85" t="n">
        <v>1</v>
      </c>
      <c r="N128" s="85" t="n">
        <v>1</v>
      </c>
      <c r="O128" s="85" t="n"/>
      <c r="P128" s="85" t="inlineStr">
        <is>
          <t>ACTOR IN A SUPPORTING ROLE; WRITING (Original Screenplay)</t>
        </is>
      </c>
      <c r="Q128" s="85" t="inlineStr">
        <is>
          <t>ACTOR IN A LEADING ROLE; ACTOR IN A SUPPORTING ROLE; ACTRESS IN A SUPPORTING ROLE; DIRECTING; FILM EDITING; MUSIC (Original Score); MUSIC (Original Song); BEST PICTURE; WRITING (Original Screenplay)</t>
        </is>
      </c>
      <c r="R128" s="85" t="inlineStr">
        <is>
          <t>https://github.com/DLu/oscar_data</t>
        </is>
      </c>
    </row>
    <row r="129" ht="15.75" customHeight="1" s="108">
      <c r="A129" s="83" t="inlineStr">
        <is>
          <t>F0125</t>
        </is>
      </c>
      <c r="B129" s="83" t="inlineStr">
        <is>
          <t>Gran Torino</t>
        </is>
      </c>
      <c r="C129" s="83" t="inlineStr">
        <is>
          <t>2008</t>
        </is>
      </c>
      <c r="D129" s="83" t="n">
        <v>0</v>
      </c>
      <c r="E129" s="83" t="n">
        <v>0</v>
      </c>
      <c r="F129" s="84" t="n"/>
      <c r="G129" s="83" t="n">
        <v>0</v>
      </c>
      <c r="H129" s="83" t="n">
        <v>0</v>
      </c>
      <c r="I129" s="85" t="n"/>
      <c r="J129" s="85" t="n">
        <v>0</v>
      </c>
      <c r="K129" s="85" t="n">
        <v>0</v>
      </c>
      <c r="L129" s="85" t="n"/>
      <c r="M129" s="85" t="n">
        <v>0</v>
      </c>
      <c r="N129" s="85" t="n">
        <v>0</v>
      </c>
      <c r="O129" s="85" t="n"/>
      <c r="P129" s="85" t="n"/>
      <c r="Q129" s="85" t="n"/>
      <c r="R129" s="85" t="inlineStr">
        <is>
          <t>https://github.com/DLu/oscar_data</t>
        </is>
      </c>
    </row>
    <row r="130" ht="15.75" customHeight="1" s="108">
      <c r="A130" s="83" t="inlineStr">
        <is>
          <t>F0126</t>
        </is>
      </c>
      <c r="B130" s="83" t="inlineStr">
        <is>
          <t>The Great Gatsby</t>
        </is>
      </c>
      <c r="C130" s="83" t="inlineStr">
        <is>
          <t>2013</t>
        </is>
      </c>
      <c r="D130" s="83" t="n">
        <v>2</v>
      </c>
      <c r="E130" s="83" t="n">
        <v>2</v>
      </c>
      <c r="F130" s="84" t="n"/>
      <c r="G130" s="83" t="n">
        <v>0</v>
      </c>
      <c r="H130" s="83" t="n">
        <v>0</v>
      </c>
      <c r="I130" s="85" t="n"/>
      <c r="J130" s="85" t="n">
        <v>0</v>
      </c>
      <c r="K130" s="85" t="n">
        <v>0</v>
      </c>
      <c r="L130" s="85" t="n"/>
      <c r="M130" s="85" t="n">
        <v>0</v>
      </c>
      <c r="N130" s="85" t="n">
        <v>0</v>
      </c>
      <c r="O130" s="85" t="n"/>
      <c r="P130" s="85" t="inlineStr">
        <is>
          <t>COSTUME DESIGN; ART DIRECTION</t>
        </is>
      </c>
      <c r="Q130" s="85" t="inlineStr">
        <is>
          <t>COSTUME DESIGN; ART DIRECTION</t>
        </is>
      </c>
      <c r="R130" s="85" t="inlineStr">
        <is>
          <t>https://github.com/DLu/oscar_data</t>
        </is>
      </c>
    </row>
    <row r="131" ht="15.75" customHeight="1" s="108">
      <c r="A131" s="83" t="inlineStr">
        <is>
          <t>F0127</t>
        </is>
      </c>
      <c r="B131" s="83" t="inlineStr">
        <is>
          <t>The Greatest Showman</t>
        </is>
      </c>
      <c r="C131" s="83" t="inlineStr">
        <is>
          <t>2017</t>
        </is>
      </c>
      <c r="D131" s="83" t="n">
        <v>1</v>
      </c>
      <c r="E131" s="83" t="n">
        <v>0</v>
      </c>
      <c r="F131" s="84" t="n"/>
      <c r="G131" s="83" t="n">
        <v>0</v>
      </c>
      <c r="H131" s="83" t="n">
        <v>0</v>
      </c>
      <c r="I131" s="85" t="n"/>
      <c r="J131" s="85" t="n">
        <v>0</v>
      </c>
      <c r="K131" s="85" t="n">
        <v>0</v>
      </c>
      <c r="L131" s="85" t="n"/>
      <c r="M131" s="85" t="n">
        <v>0</v>
      </c>
      <c r="N131" s="85" t="n">
        <v>0</v>
      </c>
      <c r="O131" s="85" t="n"/>
      <c r="P131" s="85" t="n"/>
      <c r="Q131" s="85" t="inlineStr">
        <is>
          <t>MUSIC (Original Song)</t>
        </is>
      </c>
      <c r="R131" s="85" t="inlineStr">
        <is>
          <t>https://github.com/DLu/oscar_data</t>
        </is>
      </c>
    </row>
    <row r="132" ht="15.75" customHeight="1" s="108">
      <c r="A132" s="83" t="inlineStr">
        <is>
          <t>F0128</t>
        </is>
      </c>
      <c r="B132" s="83" t="inlineStr">
        <is>
          <t>Green Lantern</t>
        </is>
      </c>
      <c r="C132" s="83" t="inlineStr">
        <is>
          <t>2011</t>
        </is>
      </c>
      <c r="D132" s="83" t="n">
        <v>0</v>
      </c>
      <c r="E132" s="83" t="n">
        <v>0</v>
      </c>
      <c r="F132" s="84" t="n"/>
      <c r="G132" s="83" t="n">
        <v>0</v>
      </c>
      <c r="H132" s="83" t="n">
        <v>0</v>
      </c>
      <c r="I132" s="85" t="n"/>
      <c r="J132" s="85" t="n">
        <v>0</v>
      </c>
      <c r="K132" s="85" t="n">
        <v>0</v>
      </c>
      <c r="L132" s="85" t="n"/>
      <c r="M132" s="85" t="n">
        <v>0</v>
      </c>
      <c r="N132" s="85" t="n">
        <v>0</v>
      </c>
      <c r="O132" s="85" t="n"/>
      <c r="P132" s="85" t="n"/>
      <c r="Q132" s="85" t="n"/>
      <c r="R132" s="85" t="inlineStr">
        <is>
          <t>https://github.com/DLu/oscar_data</t>
        </is>
      </c>
    </row>
    <row r="133" ht="15.75" customHeight="1" s="108">
      <c r="A133" s="83" t="inlineStr">
        <is>
          <t>F0129</t>
        </is>
      </c>
      <c r="B133" s="83" t="inlineStr">
        <is>
          <t>Green Zone</t>
        </is>
      </c>
      <c r="C133" s="83" t="inlineStr">
        <is>
          <t>2010</t>
        </is>
      </c>
      <c r="D133" s="83" t="n">
        <v>0</v>
      </c>
      <c r="E133" s="83" t="n">
        <v>0</v>
      </c>
      <c r="F133" s="84" t="n"/>
      <c r="G133" s="83" t="n">
        <v>0</v>
      </c>
      <c r="H133" s="83" t="n">
        <v>0</v>
      </c>
      <c r="I133" s="85" t="n"/>
      <c r="J133" s="85" t="n">
        <v>0</v>
      </c>
      <c r="K133" s="85" t="n">
        <v>0</v>
      </c>
      <c r="L133" s="85" t="n"/>
      <c r="M133" s="85" t="n">
        <v>0</v>
      </c>
      <c r="N133" s="85" t="n">
        <v>0</v>
      </c>
      <c r="O133" s="85" t="n"/>
      <c r="P133" s="85" t="n"/>
      <c r="Q133" s="85" t="n"/>
      <c r="R133" s="85" t="inlineStr">
        <is>
          <t>https://github.com/DLu/oscar_data</t>
        </is>
      </c>
    </row>
    <row r="134" ht="15.75" customHeight="1" s="108">
      <c r="A134" s="83" t="inlineStr">
        <is>
          <t>F0130</t>
        </is>
      </c>
      <c r="B134" s="83" t="inlineStr">
        <is>
          <t>Grimsby</t>
        </is>
      </c>
      <c r="C134" s="83" t="inlineStr">
        <is>
          <t>2016</t>
        </is>
      </c>
      <c r="D134" s="83" t="n">
        <v>0</v>
      </c>
      <c r="E134" s="83" t="n">
        <v>0</v>
      </c>
      <c r="F134" s="84" t="n"/>
      <c r="G134" s="83" t="n">
        <v>0</v>
      </c>
      <c r="H134" s="83" t="n">
        <v>0</v>
      </c>
      <c r="I134" s="85" t="n"/>
      <c r="J134" s="85" t="n">
        <v>0</v>
      </c>
      <c r="K134" s="85" t="n">
        <v>0</v>
      </c>
      <c r="L134" s="85" t="n"/>
      <c r="M134" s="85" t="n">
        <v>0</v>
      </c>
      <c r="N134" s="85" t="n">
        <v>0</v>
      </c>
      <c r="O134" s="85" t="n"/>
      <c r="P134" s="85" t="n"/>
      <c r="Q134" s="85" t="n"/>
      <c r="R134" s="85" t="inlineStr">
        <is>
          <t>https://github.com/DLu/oscar_data</t>
        </is>
      </c>
    </row>
    <row r="135" ht="15.75" customHeight="1" s="108">
      <c r="A135" s="83" t="inlineStr">
        <is>
          <t>F0131</t>
        </is>
      </c>
      <c r="B135" s="83" t="inlineStr">
        <is>
          <t>Grown Ups</t>
        </is>
      </c>
      <c r="C135" s="83" t="inlineStr">
        <is>
          <t>2010</t>
        </is>
      </c>
      <c r="D135" s="83" t="n">
        <v>0</v>
      </c>
      <c r="E135" s="83" t="n">
        <v>0</v>
      </c>
      <c r="F135" s="84" t="n"/>
      <c r="G135" s="83" t="n">
        <v>0</v>
      </c>
      <c r="H135" s="83" t="n">
        <v>0</v>
      </c>
      <c r="I135" s="85" t="n"/>
      <c r="J135" s="85" t="n">
        <v>0</v>
      </c>
      <c r="K135" s="85" t="n">
        <v>0</v>
      </c>
      <c r="L135" s="85" t="n"/>
      <c r="M135" s="85" t="n">
        <v>0</v>
      </c>
      <c r="N135" s="85" t="n">
        <v>0</v>
      </c>
      <c r="O135" s="85" t="n"/>
      <c r="P135" s="85" t="n"/>
      <c r="Q135" s="85" t="n"/>
      <c r="R135" s="85" t="inlineStr">
        <is>
          <t>https://github.com/DLu/oscar_data</t>
        </is>
      </c>
    </row>
    <row r="136" ht="15.75" customHeight="1" s="108">
      <c r="A136" s="83" t="inlineStr">
        <is>
          <t>F0132</t>
        </is>
      </c>
      <c r="B136" s="83" t="inlineStr">
        <is>
          <t>Grown Ups 2</t>
        </is>
      </c>
      <c r="C136" s="83" t="inlineStr">
        <is>
          <t>2013</t>
        </is>
      </c>
      <c r="D136" s="83" t="n">
        <v>0</v>
      </c>
      <c r="E136" s="83" t="n">
        <v>0</v>
      </c>
      <c r="F136" s="84" t="n"/>
      <c r="G136" s="83" t="n">
        <v>0</v>
      </c>
      <c r="H136" s="83" t="n">
        <v>0</v>
      </c>
      <c r="I136" s="85" t="n"/>
      <c r="J136" s="85" t="n">
        <v>0</v>
      </c>
      <c r="K136" s="85" t="n">
        <v>0</v>
      </c>
      <c r="L136" s="85" t="n"/>
      <c r="M136" s="85" t="n">
        <v>0</v>
      </c>
      <c r="N136" s="85" t="n">
        <v>0</v>
      </c>
      <c r="O136" s="85" t="n"/>
      <c r="P136" s="85" t="n"/>
      <c r="Q136" s="85" t="n"/>
      <c r="R136" s="85" t="inlineStr">
        <is>
          <t>https://github.com/DLu/oscar_data</t>
        </is>
      </c>
    </row>
    <row r="137" ht="30" customHeight="1" s="108">
      <c r="A137" s="83" t="inlineStr">
        <is>
          <t>F0133</t>
        </is>
      </c>
      <c r="B137" s="83" t="inlineStr">
        <is>
          <t>Hacksaw Ridge</t>
        </is>
      </c>
      <c r="C137" s="83" t="inlineStr">
        <is>
          <t>2016</t>
        </is>
      </c>
      <c r="D137" s="83" t="n">
        <v>6</v>
      </c>
      <c r="E137" s="83" t="n">
        <v>2</v>
      </c>
      <c r="F137" s="83" t="inlineStr">
        <is>
          <t>Nominated</t>
        </is>
      </c>
      <c r="G137" s="83" t="n">
        <v>1</v>
      </c>
      <c r="H137" s="83" t="n">
        <v>0</v>
      </c>
      <c r="I137" s="85" t="n"/>
      <c r="J137" s="85" t="n">
        <v>1</v>
      </c>
      <c r="K137" s="85" t="n">
        <v>0</v>
      </c>
      <c r="L137" s="85" t="n"/>
      <c r="M137" s="85" t="n">
        <v>0</v>
      </c>
      <c r="N137" s="85" t="n">
        <v>0</v>
      </c>
      <c r="O137" s="85" t="n"/>
      <c r="P137" s="85" t="inlineStr">
        <is>
          <t>FILM EDITING; SOUND MIXING</t>
        </is>
      </c>
      <c r="Q137" s="85" t="inlineStr">
        <is>
          <t>ACTOR IN A LEADING ROLE; DIRECTING; FILM EDITING; BEST PICTURE; SOUND EDITING; SOUND MIXING</t>
        </is>
      </c>
      <c r="R137" s="85" t="inlineStr">
        <is>
          <t>https://github.com/DLu/oscar_data</t>
        </is>
      </c>
    </row>
    <row r="138" ht="15.75" customHeight="1" s="108">
      <c r="A138" s="83" t="inlineStr">
        <is>
          <t>F0134</t>
        </is>
      </c>
      <c r="B138" s="83" t="inlineStr">
        <is>
          <t>The Hangover</t>
        </is>
      </c>
      <c r="C138" s="83" t="inlineStr">
        <is>
          <t>2009</t>
        </is>
      </c>
      <c r="D138" s="83" t="n">
        <v>0</v>
      </c>
      <c r="E138" s="83" t="n">
        <v>0</v>
      </c>
      <c r="F138" s="84" t="n"/>
      <c r="G138" s="83" t="n">
        <v>0</v>
      </c>
      <c r="H138" s="83" t="n">
        <v>0</v>
      </c>
      <c r="I138" s="85" t="n"/>
      <c r="J138" s="85" t="n">
        <v>0</v>
      </c>
      <c r="K138" s="85" t="n">
        <v>0</v>
      </c>
      <c r="L138" s="85" t="n"/>
      <c r="M138" s="85" t="n">
        <v>0</v>
      </c>
      <c r="N138" s="85" t="n">
        <v>0</v>
      </c>
      <c r="O138" s="85" t="n"/>
      <c r="P138" s="85" t="n"/>
      <c r="Q138" s="85" t="n"/>
      <c r="R138" s="85" t="inlineStr">
        <is>
          <t>https://github.com/DLu/oscar_data</t>
        </is>
      </c>
    </row>
    <row r="139" ht="15.75" customHeight="1" s="108">
      <c r="A139" s="83" t="inlineStr">
        <is>
          <t>F0135</t>
        </is>
      </c>
      <c r="B139" s="83" t="inlineStr">
        <is>
          <t>The Hangover Part II</t>
        </is>
      </c>
      <c r="C139" s="83" t="inlineStr">
        <is>
          <t>2011</t>
        </is>
      </c>
      <c r="D139" s="83" t="n">
        <v>0</v>
      </c>
      <c r="E139" s="83" t="n">
        <v>0</v>
      </c>
      <c r="F139" s="84" t="n"/>
      <c r="G139" s="83" t="n">
        <v>0</v>
      </c>
      <c r="H139" s="83" t="n">
        <v>0</v>
      </c>
      <c r="I139" s="85" t="n"/>
      <c r="J139" s="85" t="n">
        <v>0</v>
      </c>
      <c r="K139" s="85" t="n">
        <v>0</v>
      </c>
      <c r="L139" s="85" t="n"/>
      <c r="M139" s="85" t="n">
        <v>0</v>
      </c>
      <c r="N139" s="85" t="n">
        <v>0</v>
      </c>
      <c r="O139" s="85" t="n"/>
      <c r="P139" s="85" t="n"/>
      <c r="Q139" s="85" t="n"/>
      <c r="R139" s="85" t="inlineStr">
        <is>
          <t>https://github.com/DLu/oscar_data</t>
        </is>
      </c>
    </row>
    <row r="140" ht="15.75" customHeight="1" s="108">
      <c r="A140" s="83" t="inlineStr">
        <is>
          <t>F0136</t>
        </is>
      </c>
      <c r="B140" s="83" t="inlineStr">
        <is>
          <t>The Hangover Part III</t>
        </is>
      </c>
      <c r="C140" s="83" t="inlineStr">
        <is>
          <t>2013</t>
        </is>
      </c>
      <c r="D140" s="83" t="n">
        <v>0</v>
      </c>
      <c r="E140" s="83" t="n">
        <v>0</v>
      </c>
      <c r="F140" s="84" t="n"/>
      <c r="G140" s="83" t="n">
        <v>0</v>
      </c>
      <c r="H140" s="83" t="n">
        <v>0</v>
      </c>
      <c r="I140" s="85" t="n"/>
      <c r="J140" s="85" t="n">
        <v>0</v>
      </c>
      <c r="K140" s="85" t="n">
        <v>0</v>
      </c>
      <c r="L140" s="85" t="n"/>
      <c r="M140" s="85" t="n">
        <v>0</v>
      </c>
      <c r="N140" s="85" t="n">
        <v>0</v>
      </c>
      <c r="O140" s="85" t="n"/>
      <c r="P140" s="85" t="n"/>
      <c r="Q140" s="85" t="n"/>
      <c r="R140" s="85" t="inlineStr">
        <is>
          <t>https://github.com/DLu/oscar_data</t>
        </is>
      </c>
    </row>
    <row r="141" ht="15.75" customHeight="1" s="108">
      <c r="A141" s="83" t="inlineStr">
        <is>
          <t>F0137</t>
        </is>
      </c>
      <c r="B141" s="83" t="inlineStr">
        <is>
          <t>Harry Potter and the Philosopher's Stone</t>
        </is>
      </c>
      <c r="C141" s="83" t="inlineStr">
        <is>
          <t>2001</t>
        </is>
      </c>
      <c r="D141" s="83" t="n">
        <v>0</v>
      </c>
      <c r="E141" s="83" t="n">
        <v>0</v>
      </c>
      <c r="F141" s="84" t="n"/>
      <c r="G141" s="83" t="n">
        <v>0</v>
      </c>
      <c r="H141" s="83" t="n">
        <v>0</v>
      </c>
      <c r="I141" s="85" t="n"/>
      <c r="J141" s="85" t="n">
        <v>0</v>
      </c>
      <c r="K141" s="85" t="n">
        <v>0</v>
      </c>
      <c r="L141" s="85" t="n"/>
      <c r="M141" s="85" t="n">
        <v>0</v>
      </c>
      <c r="N141" s="85" t="n">
        <v>0</v>
      </c>
      <c r="O141" s="85" t="n"/>
      <c r="P141" s="85" t="n"/>
      <c r="Q141" s="85" t="n"/>
      <c r="R141" s="85" t="inlineStr">
        <is>
          <t>https://github.com/DLu/oscar_data</t>
        </is>
      </c>
    </row>
    <row r="142" ht="15.75" customHeight="1" s="108">
      <c r="A142" s="83" t="inlineStr">
        <is>
          <t>F0138</t>
        </is>
      </c>
      <c r="B142" s="83" t="inlineStr">
        <is>
          <t>Harry Potter and the Chamber of Secrets</t>
        </is>
      </c>
      <c r="C142" s="83" t="inlineStr">
        <is>
          <t>2002</t>
        </is>
      </c>
      <c r="D142" s="83" t="n">
        <v>0</v>
      </c>
      <c r="E142" s="83" t="n">
        <v>0</v>
      </c>
      <c r="F142" s="84" t="n"/>
      <c r="G142" s="83" t="n">
        <v>0</v>
      </c>
      <c r="H142" s="83" t="n">
        <v>0</v>
      </c>
      <c r="I142" s="85" t="n"/>
      <c r="J142" s="85" t="n">
        <v>0</v>
      </c>
      <c r="K142" s="85" t="n">
        <v>0</v>
      </c>
      <c r="L142" s="85" t="n"/>
      <c r="M142" s="85" t="n">
        <v>0</v>
      </c>
      <c r="N142" s="85" t="n">
        <v>0</v>
      </c>
      <c r="O142" s="85" t="n"/>
      <c r="P142" s="85" t="n"/>
      <c r="Q142" s="85" t="n"/>
      <c r="R142" s="85" t="inlineStr">
        <is>
          <t>https://github.com/DLu/oscar_data</t>
        </is>
      </c>
    </row>
    <row r="143" ht="15.75" customHeight="1" s="108">
      <c r="A143" s="83" t="inlineStr">
        <is>
          <t>F0139</t>
        </is>
      </c>
      <c r="B143" s="83" t="inlineStr">
        <is>
          <t>Harry Potter and the Prisoner of Azkaban</t>
        </is>
      </c>
      <c r="C143" s="83" t="inlineStr">
        <is>
          <t>2004</t>
        </is>
      </c>
      <c r="D143" s="83" t="n">
        <v>2</v>
      </c>
      <c r="E143" s="83" t="n">
        <v>0</v>
      </c>
      <c r="F143" s="84" t="n"/>
      <c r="G143" s="83" t="n">
        <v>0</v>
      </c>
      <c r="H143" s="83" t="n">
        <v>0</v>
      </c>
      <c r="I143" s="85" t="n"/>
      <c r="J143" s="85" t="n">
        <v>0</v>
      </c>
      <c r="K143" s="85" t="n">
        <v>0</v>
      </c>
      <c r="L143" s="85" t="n"/>
      <c r="M143" s="85" t="n">
        <v>0</v>
      </c>
      <c r="N143" s="85" t="n">
        <v>0</v>
      </c>
      <c r="O143" s="85" t="n"/>
      <c r="P143" s="85" t="n"/>
      <c r="Q143" s="85" t="inlineStr">
        <is>
          <t>MUSIC (Original Score); VISUAL EFFECTS</t>
        </is>
      </c>
      <c r="R143" s="85" t="inlineStr">
        <is>
          <t>https://github.com/DLu/oscar_data</t>
        </is>
      </c>
    </row>
    <row r="144" ht="15.75" customHeight="1" s="108">
      <c r="A144" s="83" t="inlineStr">
        <is>
          <t>F0140</t>
        </is>
      </c>
      <c r="B144" s="83" t="inlineStr">
        <is>
          <t>Harry Potter and the Goblet of Fire</t>
        </is>
      </c>
      <c r="C144" s="83" t="inlineStr">
        <is>
          <t>2005</t>
        </is>
      </c>
      <c r="D144" s="83" t="n">
        <v>1</v>
      </c>
      <c r="E144" s="83" t="n">
        <v>0</v>
      </c>
      <c r="F144" s="84" t="n"/>
      <c r="G144" s="83" t="n">
        <v>0</v>
      </c>
      <c r="H144" s="83" t="n">
        <v>0</v>
      </c>
      <c r="I144" s="85" t="n"/>
      <c r="J144" s="85" t="n">
        <v>0</v>
      </c>
      <c r="K144" s="85" t="n">
        <v>0</v>
      </c>
      <c r="L144" s="85" t="n"/>
      <c r="M144" s="85" t="n">
        <v>0</v>
      </c>
      <c r="N144" s="85" t="n">
        <v>0</v>
      </c>
      <c r="O144" s="85" t="n"/>
      <c r="P144" s="85" t="n"/>
      <c r="Q144" s="85" t="inlineStr">
        <is>
          <t>ART DIRECTION</t>
        </is>
      </c>
      <c r="R144" s="85" t="inlineStr">
        <is>
          <t>https://github.com/DLu/oscar_data</t>
        </is>
      </c>
    </row>
    <row r="145" ht="15.75" customHeight="1" s="108">
      <c r="A145" s="83" t="inlineStr">
        <is>
          <t>F0141</t>
        </is>
      </c>
      <c r="B145" s="83" t="inlineStr">
        <is>
          <t>Harry Potter and the Order of the Phoenix</t>
        </is>
      </c>
      <c r="C145" s="83" t="inlineStr">
        <is>
          <t>2007</t>
        </is>
      </c>
      <c r="D145" s="83" t="n">
        <v>0</v>
      </c>
      <c r="E145" s="83" t="n">
        <v>0</v>
      </c>
      <c r="F145" s="84" t="n"/>
      <c r="G145" s="83" t="n">
        <v>0</v>
      </c>
      <c r="H145" s="83" t="n">
        <v>0</v>
      </c>
      <c r="I145" s="85" t="n"/>
      <c r="J145" s="85" t="n">
        <v>0</v>
      </c>
      <c r="K145" s="85" t="n">
        <v>0</v>
      </c>
      <c r="L145" s="85" t="n"/>
      <c r="M145" s="85" t="n">
        <v>0</v>
      </c>
      <c r="N145" s="85" t="n">
        <v>0</v>
      </c>
      <c r="O145" s="85" t="n"/>
      <c r="P145" s="85" t="n"/>
      <c r="Q145" s="85" t="n"/>
      <c r="R145" s="85" t="inlineStr">
        <is>
          <t>https://github.com/DLu/oscar_data</t>
        </is>
      </c>
    </row>
    <row r="146" ht="15.75" customHeight="1" s="108">
      <c r="A146" s="83" t="inlineStr">
        <is>
          <t>F0142</t>
        </is>
      </c>
      <c r="B146" s="83" t="inlineStr">
        <is>
          <t>Harry Potter and the Half-Blood Prince</t>
        </is>
      </c>
      <c r="C146" s="83" t="inlineStr">
        <is>
          <t>2009</t>
        </is>
      </c>
      <c r="D146" s="83" t="n">
        <v>1</v>
      </c>
      <c r="E146" s="83" t="n">
        <v>0</v>
      </c>
      <c r="F146" s="84" t="n"/>
      <c r="G146" s="83" t="n">
        <v>0</v>
      </c>
      <c r="H146" s="83" t="n">
        <v>0</v>
      </c>
      <c r="I146" s="85" t="n"/>
      <c r="J146" s="85" t="n">
        <v>0</v>
      </c>
      <c r="K146" s="85" t="n">
        <v>0</v>
      </c>
      <c r="L146" s="85" t="n"/>
      <c r="M146" s="85" t="n">
        <v>0</v>
      </c>
      <c r="N146" s="85" t="n">
        <v>0</v>
      </c>
      <c r="O146" s="85" t="n"/>
      <c r="P146" s="85" t="n"/>
      <c r="Q146" s="85" t="inlineStr">
        <is>
          <t>CINEMATOGRAPHY</t>
        </is>
      </c>
      <c r="R146" s="85" t="inlineStr">
        <is>
          <t>https://github.com/DLu/oscar_data</t>
        </is>
      </c>
    </row>
    <row r="147" ht="15.75" customHeight="1" s="108">
      <c r="A147" s="83" t="inlineStr">
        <is>
          <t>F0143</t>
        </is>
      </c>
      <c r="B147" s="83" t="inlineStr">
        <is>
          <t>Harry Potter and the Deathly Hallows: Part 1</t>
        </is>
      </c>
      <c r="C147" s="83" t="inlineStr">
        <is>
          <t>2010</t>
        </is>
      </c>
      <c r="D147" s="83" t="n">
        <v>2</v>
      </c>
      <c r="E147" s="83" t="n">
        <v>0</v>
      </c>
      <c r="F147" s="84" t="n"/>
      <c r="G147" s="83" t="n">
        <v>0</v>
      </c>
      <c r="H147" s="83" t="n">
        <v>0</v>
      </c>
      <c r="I147" s="85" t="n"/>
      <c r="J147" s="85" t="n">
        <v>0</v>
      </c>
      <c r="K147" s="85" t="n">
        <v>0</v>
      </c>
      <c r="L147" s="85" t="n"/>
      <c r="M147" s="85" t="n">
        <v>0</v>
      </c>
      <c r="N147" s="85" t="n">
        <v>0</v>
      </c>
      <c r="O147" s="85" t="n"/>
      <c r="P147" s="85" t="n"/>
      <c r="Q147" s="85" t="inlineStr">
        <is>
          <t>ART DIRECTION; VISUAL EFFECTS</t>
        </is>
      </c>
      <c r="R147" s="85" t="inlineStr">
        <is>
          <t>https://github.com/DLu/oscar_data</t>
        </is>
      </c>
    </row>
    <row r="148" ht="15.75" customHeight="1" s="108">
      <c r="A148" s="83" t="inlineStr">
        <is>
          <t>F0144</t>
        </is>
      </c>
      <c r="B148" s="83" t="inlineStr">
        <is>
          <t>Harry Potter and the Deathly Hallows: Part 2</t>
        </is>
      </c>
      <c r="C148" s="83" t="inlineStr">
        <is>
          <t>2011</t>
        </is>
      </c>
      <c r="D148" s="83" t="n">
        <v>3</v>
      </c>
      <c r="E148" s="83" t="n">
        <v>0</v>
      </c>
      <c r="F148" s="84" t="n"/>
      <c r="G148" s="83" t="n">
        <v>0</v>
      </c>
      <c r="H148" s="83" t="n">
        <v>0</v>
      </c>
      <c r="I148" s="85" t="n"/>
      <c r="J148" s="85" t="n">
        <v>0</v>
      </c>
      <c r="K148" s="85" t="n">
        <v>0</v>
      </c>
      <c r="L148" s="85" t="n"/>
      <c r="M148" s="85" t="n">
        <v>0</v>
      </c>
      <c r="N148" s="85" t="n">
        <v>0</v>
      </c>
      <c r="O148" s="85" t="n"/>
      <c r="P148" s="85" t="n"/>
      <c r="Q148" s="85" t="inlineStr">
        <is>
          <t>ART DIRECTION; MAKEUP AND HAIRSTYLING; VISUAL EFFECTS</t>
        </is>
      </c>
      <c r="R148" s="85" t="inlineStr">
        <is>
          <t>https://github.com/DLu/oscar_data</t>
        </is>
      </c>
    </row>
    <row r="149" ht="15.75" customHeight="1" s="108">
      <c r="A149" s="83" t="inlineStr">
        <is>
          <t>F0145</t>
        </is>
      </c>
      <c r="B149" s="83" t="inlineStr">
        <is>
          <t>Happy Feet Two</t>
        </is>
      </c>
      <c r="C149" s="83" t="inlineStr">
        <is>
          <t>2011</t>
        </is>
      </c>
      <c r="D149" s="83" t="n">
        <v>0</v>
      </c>
      <c r="E149" s="83" t="n">
        <v>0</v>
      </c>
      <c r="F149" s="84" t="n"/>
      <c r="G149" s="83" t="n">
        <v>0</v>
      </c>
      <c r="H149" s="83" t="n">
        <v>0</v>
      </c>
      <c r="I149" s="85" t="n"/>
      <c r="J149" s="85" t="n">
        <v>0</v>
      </c>
      <c r="K149" s="85" t="n">
        <v>0</v>
      </c>
      <c r="L149" s="85" t="n"/>
      <c r="M149" s="85" t="n">
        <v>0</v>
      </c>
      <c r="N149" s="85" t="n">
        <v>0</v>
      </c>
      <c r="O149" s="85" t="n"/>
      <c r="P149" s="85" t="n"/>
      <c r="Q149" s="85" t="n"/>
      <c r="R149" s="85" t="inlineStr">
        <is>
          <t>https://github.com/DLu/oscar_data</t>
        </is>
      </c>
    </row>
    <row r="150" ht="15.75" customHeight="1" s="108">
      <c r="A150" s="83" t="inlineStr">
        <is>
          <t>F0146</t>
        </is>
      </c>
      <c r="B150" s="83" t="inlineStr">
        <is>
          <t>The Heat</t>
        </is>
      </c>
      <c r="C150" s="83" t="inlineStr">
        <is>
          <t>2013</t>
        </is>
      </c>
      <c r="D150" s="83" t="n">
        <v>0</v>
      </c>
      <c r="E150" s="83" t="n">
        <v>0</v>
      </c>
      <c r="F150" s="84" t="n"/>
      <c r="G150" s="83" t="n">
        <v>0</v>
      </c>
      <c r="H150" s="83" t="n">
        <v>0</v>
      </c>
      <c r="I150" s="85" t="n"/>
      <c r="J150" s="85" t="n">
        <v>0</v>
      </c>
      <c r="K150" s="85" t="n">
        <v>0</v>
      </c>
      <c r="L150" s="85" t="n"/>
      <c r="M150" s="85" t="n">
        <v>0</v>
      </c>
      <c r="N150" s="85" t="n">
        <v>0</v>
      </c>
      <c r="O150" s="85" t="n"/>
      <c r="P150" s="85" t="n"/>
      <c r="Q150" s="85" t="n"/>
      <c r="R150" s="85" t="inlineStr">
        <is>
          <t>https://github.com/DLu/oscar_data</t>
        </is>
      </c>
    </row>
    <row r="151" ht="15.75" customHeight="1" s="108">
      <c r="A151" s="83" t="inlineStr">
        <is>
          <t>F0147</t>
        </is>
      </c>
      <c r="B151" s="83" t="inlineStr">
        <is>
          <t>Hercules</t>
        </is>
      </c>
      <c r="C151" s="83" t="inlineStr">
        <is>
          <t>2014</t>
        </is>
      </c>
      <c r="D151" s="83" t="n">
        <v>0</v>
      </c>
      <c r="E151" s="83" t="n">
        <v>0</v>
      </c>
      <c r="F151" s="84" t="n"/>
      <c r="G151" s="83" t="n">
        <v>0</v>
      </c>
      <c r="H151" s="83" t="n">
        <v>0</v>
      </c>
      <c r="I151" s="85" t="n"/>
      <c r="J151" s="85" t="n">
        <v>0</v>
      </c>
      <c r="K151" s="85" t="n">
        <v>0</v>
      </c>
      <c r="L151" s="85" t="n"/>
      <c r="M151" s="85" t="n">
        <v>0</v>
      </c>
      <c r="N151" s="85" t="n">
        <v>0</v>
      </c>
      <c r="O151" s="85" t="n"/>
      <c r="P151" s="85" t="n"/>
      <c r="Q151" s="85" t="n"/>
      <c r="R151" s="85" t="inlineStr">
        <is>
          <t>https://github.com/DLu/oscar_data</t>
        </is>
      </c>
    </row>
    <row r="152" ht="15.75" customHeight="1" s="108">
      <c r="A152" s="83" t="inlineStr">
        <is>
          <t>F0148</t>
        </is>
      </c>
      <c r="B152" s="83" t="inlineStr">
        <is>
          <t>The Legend of Hercules</t>
        </is>
      </c>
      <c r="C152" s="83" t="inlineStr">
        <is>
          <t>2014</t>
        </is>
      </c>
      <c r="D152" s="83" t="n">
        <v>0</v>
      </c>
      <c r="E152" s="83" t="n">
        <v>0</v>
      </c>
      <c r="F152" s="84" t="n"/>
      <c r="G152" s="83" t="n">
        <v>0</v>
      </c>
      <c r="H152" s="83" t="n">
        <v>0</v>
      </c>
      <c r="I152" s="85" t="n"/>
      <c r="J152" s="85" t="n">
        <v>0</v>
      </c>
      <c r="K152" s="85" t="n">
        <v>0</v>
      </c>
      <c r="L152" s="85" t="n"/>
      <c r="M152" s="85" t="n">
        <v>0</v>
      </c>
      <c r="N152" s="85" t="n">
        <v>0</v>
      </c>
      <c r="O152" s="85" t="n"/>
      <c r="P152" s="85" t="n"/>
      <c r="Q152" s="85" t="n"/>
      <c r="R152" s="85" t="inlineStr">
        <is>
          <t>https://github.com/DLu/oscar_data</t>
        </is>
      </c>
    </row>
    <row r="153" ht="15.75" customHeight="1" s="108">
      <c r="A153" s="83" t="inlineStr">
        <is>
          <t>F0149</t>
        </is>
      </c>
      <c r="B153" s="83" t="inlineStr">
        <is>
          <t>The Hitman's Bodyguard</t>
        </is>
      </c>
      <c r="C153" s="83" t="inlineStr">
        <is>
          <t>2017</t>
        </is>
      </c>
      <c r="D153" s="83" t="n">
        <v>0</v>
      </c>
      <c r="E153" s="83" t="n">
        <v>0</v>
      </c>
      <c r="F153" s="84" t="n"/>
      <c r="G153" s="83" t="n">
        <v>0</v>
      </c>
      <c r="H153" s="83" t="n">
        <v>0</v>
      </c>
      <c r="I153" s="85" t="n"/>
      <c r="J153" s="85" t="n">
        <v>0</v>
      </c>
      <c r="K153" s="85" t="n">
        <v>0</v>
      </c>
      <c r="L153" s="85" t="n"/>
      <c r="M153" s="85" t="n">
        <v>0</v>
      </c>
      <c r="N153" s="85" t="n">
        <v>0</v>
      </c>
      <c r="O153" s="85" t="n"/>
      <c r="P153" s="85" t="n"/>
      <c r="Q153" s="85" t="n"/>
      <c r="R153" s="85" t="inlineStr">
        <is>
          <t>https://github.com/DLu/oscar_data</t>
        </is>
      </c>
    </row>
    <row r="154" ht="15.75" customHeight="1" s="108">
      <c r="A154" s="83" t="inlineStr">
        <is>
          <t>F0150</t>
        </is>
      </c>
      <c r="B154" s="83" t="inlineStr">
        <is>
          <t>The Hobbit: An Unexpected Journey</t>
        </is>
      </c>
      <c r="C154" s="83" t="inlineStr">
        <is>
          <t>2012</t>
        </is>
      </c>
      <c r="D154" s="83" t="n">
        <v>3</v>
      </c>
      <c r="E154" s="83" t="n">
        <v>0</v>
      </c>
      <c r="F154" s="84" t="n"/>
      <c r="G154" s="83" t="n">
        <v>0</v>
      </c>
      <c r="H154" s="83" t="n">
        <v>0</v>
      </c>
      <c r="I154" s="85" t="n"/>
      <c r="J154" s="85" t="n">
        <v>0</v>
      </c>
      <c r="K154" s="85" t="n">
        <v>0</v>
      </c>
      <c r="L154" s="85" t="n"/>
      <c r="M154" s="85" t="n">
        <v>0</v>
      </c>
      <c r="N154" s="85" t="n">
        <v>0</v>
      </c>
      <c r="O154" s="85" t="n"/>
      <c r="P154" s="85" t="n"/>
      <c r="Q154" s="85" t="inlineStr">
        <is>
          <t>MAKEUP AND HAIRSTYLING; ART DIRECTION; VISUAL EFFECTS</t>
        </is>
      </c>
      <c r="R154" s="85" t="inlineStr">
        <is>
          <t>https://github.com/DLu/oscar_data</t>
        </is>
      </c>
    </row>
    <row r="155" ht="15.75" customHeight="1" s="108">
      <c r="A155" s="83" t="inlineStr">
        <is>
          <t>F0151</t>
        </is>
      </c>
      <c r="B155" s="83" t="inlineStr">
        <is>
          <t>The Hobbit: The Desolation of Smaug</t>
        </is>
      </c>
      <c r="C155" s="83" t="inlineStr">
        <is>
          <t>2013</t>
        </is>
      </c>
      <c r="D155" s="83" t="n">
        <v>3</v>
      </c>
      <c r="E155" s="83" t="n">
        <v>0</v>
      </c>
      <c r="F155" s="84" t="n"/>
      <c r="G155" s="83" t="n">
        <v>0</v>
      </c>
      <c r="H155" s="83" t="n">
        <v>0</v>
      </c>
      <c r="I155" s="85" t="n"/>
      <c r="J155" s="85" t="n">
        <v>0</v>
      </c>
      <c r="K155" s="85" t="n">
        <v>0</v>
      </c>
      <c r="L155" s="85" t="n"/>
      <c r="M155" s="85" t="n">
        <v>0</v>
      </c>
      <c r="N155" s="85" t="n">
        <v>0</v>
      </c>
      <c r="O155" s="85" t="n"/>
      <c r="P155" s="85" t="n"/>
      <c r="Q155" s="85" t="inlineStr">
        <is>
          <t>SOUND EDITING; SOUND MIXING; VISUAL EFFECTS</t>
        </is>
      </c>
      <c r="R155" s="85" t="inlineStr">
        <is>
          <t>https://github.com/DLu/oscar_data</t>
        </is>
      </c>
    </row>
    <row r="156" ht="15.75" customHeight="1" s="108">
      <c r="A156" s="83" t="inlineStr">
        <is>
          <t>F0152</t>
        </is>
      </c>
      <c r="B156" s="83" t="inlineStr">
        <is>
          <t>The Hobbit: The Battle of the Five Armies</t>
        </is>
      </c>
      <c r="C156" s="83" t="inlineStr">
        <is>
          <t>2014</t>
        </is>
      </c>
      <c r="D156" s="83" t="n">
        <v>1</v>
      </c>
      <c r="E156" s="83" t="n">
        <v>0</v>
      </c>
      <c r="F156" s="84" t="n"/>
      <c r="G156" s="83" t="n">
        <v>0</v>
      </c>
      <c r="H156" s="83" t="n">
        <v>0</v>
      </c>
      <c r="I156" s="85" t="n"/>
      <c r="J156" s="85" t="n">
        <v>0</v>
      </c>
      <c r="K156" s="85" t="n">
        <v>0</v>
      </c>
      <c r="L156" s="85" t="n"/>
      <c r="M156" s="85" t="n">
        <v>0</v>
      </c>
      <c r="N156" s="85" t="n">
        <v>0</v>
      </c>
      <c r="O156" s="85" t="n"/>
      <c r="P156" s="85" t="n"/>
      <c r="Q156" s="85" t="inlineStr">
        <is>
          <t>SOUND EDITING</t>
        </is>
      </c>
      <c r="R156" s="85" t="inlineStr">
        <is>
          <t>https://github.com/DLu/oscar_data</t>
        </is>
      </c>
    </row>
    <row r="157" ht="15.75" customHeight="1" s="108">
      <c r="A157" s="83" t="inlineStr">
        <is>
          <t>F0153</t>
        </is>
      </c>
      <c r="B157" s="83" t="inlineStr">
        <is>
          <t>Home</t>
        </is>
      </c>
      <c r="C157" s="83" t="inlineStr">
        <is>
          <t>2015</t>
        </is>
      </c>
      <c r="D157" s="83" t="n">
        <v>0</v>
      </c>
      <c r="E157" s="83" t="n">
        <v>0</v>
      </c>
      <c r="F157" s="84" t="n"/>
      <c r="G157" s="83" t="n">
        <v>0</v>
      </c>
      <c r="H157" s="83" t="n">
        <v>0</v>
      </c>
      <c r="I157" s="85" t="n"/>
      <c r="J157" s="85" t="n">
        <v>0</v>
      </c>
      <c r="K157" s="85" t="n">
        <v>0</v>
      </c>
      <c r="L157" s="85" t="n"/>
      <c r="M157" s="85" t="n">
        <v>0</v>
      </c>
      <c r="N157" s="85" t="n">
        <v>0</v>
      </c>
      <c r="O157" s="85" t="n"/>
      <c r="P157" s="85" t="n"/>
      <c r="Q157" s="85" t="n"/>
      <c r="R157" s="85" t="inlineStr">
        <is>
          <t>https://github.com/DLu/oscar_data</t>
        </is>
      </c>
    </row>
    <row r="158" ht="15.75" customHeight="1" s="108">
      <c r="A158" s="83" t="inlineStr">
        <is>
          <t>F0154</t>
        </is>
      </c>
      <c r="B158" s="83" t="inlineStr">
        <is>
          <t>How to Train Your Dragon</t>
        </is>
      </c>
      <c r="C158" s="83" t="inlineStr">
        <is>
          <t>2010</t>
        </is>
      </c>
      <c r="D158" s="83" t="n">
        <v>2</v>
      </c>
      <c r="E158" s="83" t="n">
        <v>0</v>
      </c>
      <c r="F158" s="84" t="n"/>
      <c r="G158" s="83" t="n">
        <v>0</v>
      </c>
      <c r="H158" s="83" t="n">
        <v>0</v>
      </c>
      <c r="I158" s="85" t="n"/>
      <c r="J158" s="85" t="n">
        <v>0</v>
      </c>
      <c r="K158" s="85" t="n">
        <v>0</v>
      </c>
      <c r="L158" s="85" t="n"/>
      <c r="M158" s="85" t="n">
        <v>0</v>
      </c>
      <c r="N158" s="85" t="n">
        <v>0</v>
      </c>
      <c r="O158" s="85" t="inlineStr">
        <is>
          <t>Nominated</t>
        </is>
      </c>
      <c r="P158" s="85" t="n"/>
      <c r="Q158" s="85" t="inlineStr">
        <is>
          <t>ANIMATED FEATURE FILM; MUSIC (Original Score)</t>
        </is>
      </c>
      <c r="R158" s="85" t="inlineStr">
        <is>
          <t>https://github.com/DLu/oscar_data</t>
        </is>
      </c>
    </row>
    <row r="159" ht="15.75" customHeight="1" s="108">
      <c r="A159" s="83" t="inlineStr">
        <is>
          <t>F0155</t>
        </is>
      </c>
      <c r="B159" s="83" t="inlineStr">
        <is>
          <t>How to Train Your Dragon 2</t>
        </is>
      </c>
      <c r="C159" s="83" t="inlineStr">
        <is>
          <t>2014</t>
        </is>
      </c>
      <c r="D159" s="83" t="n">
        <v>1</v>
      </c>
      <c r="E159" s="83" t="n">
        <v>0</v>
      </c>
      <c r="F159" s="84" t="n"/>
      <c r="G159" s="83" t="n">
        <v>0</v>
      </c>
      <c r="H159" s="83" t="n">
        <v>0</v>
      </c>
      <c r="I159" s="85" t="n"/>
      <c r="J159" s="85" t="n">
        <v>0</v>
      </c>
      <c r="K159" s="85" t="n">
        <v>0</v>
      </c>
      <c r="L159" s="85" t="n"/>
      <c r="M159" s="85" t="n">
        <v>0</v>
      </c>
      <c r="N159" s="85" t="n">
        <v>0</v>
      </c>
      <c r="O159" s="85" t="inlineStr">
        <is>
          <t>Nominated</t>
        </is>
      </c>
      <c r="P159" s="85" t="n"/>
      <c r="Q159" s="85" t="inlineStr">
        <is>
          <t>ANIMATED FEATURE FILM</t>
        </is>
      </c>
      <c r="R159" s="85" t="inlineStr">
        <is>
          <t>https://github.com/DLu/oscar_data</t>
        </is>
      </c>
    </row>
    <row r="160" ht="15.75" customHeight="1" s="108">
      <c r="A160" s="83" t="inlineStr">
        <is>
          <t>F0156</t>
        </is>
      </c>
      <c r="B160" s="83" t="inlineStr">
        <is>
          <t>Hummingbird</t>
        </is>
      </c>
      <c r="C160" s="83" t="inlineStr">
        <is>
          <t>2013</t>
        </is>
      </c>
      <c r="D160" s="83" t="n">
        <v>0</v>
      </c>
      <c r="E160" s="83" t="n">
        <v>0</v>
      </c>
      <c r="F160" s="84" t="n"/>
      <c r="G160" s="83" t="n">
        <v>0</v>
      </c>
      <c r="H160" s="83" t="n">
        <v>0</v>
      </c>
      <c r="I160" s="85" t="n"/>
      <c r="J160" s="85" t="n">
        <v>0</v>
      </c>
      <c r="K160" s="85" t="n">
        <v>0</v>
      </c>
      <c r="L160" s="85" t="n"/>
      <c r="M160" s="85" t="n">
        <v>0</v>
      </c>
      <c r="N160" s="85" t="n">
        <v>0</v>
      </c>
      <c r="O160" s="85" t="n"/>
      <c r="P160" s="85" t="n"/>
      <c r="Q160" s="85" t="n"/>
      <c r="R160" s="85" t="inlineStr">
        <is>
          <t>https://github.com/DLu/oscar_data</t>
        </is>
      </c>
    </row>
    <row r="161" ht="15.75" customHeight="1" s="108">
      <c r="A161" s="83" t="inlineStr">
        <is>
          <t>F0157</t>
        </is>
      </c>
      <c r="B161" s="83" t="inlineStr">
        <is>
          <t>The Hunger Games</t>
        </is>
      </c>
      <c r="C161" s="83" t="inlineStr">
        <is>
          <t>2012</t>
        </is>
      </c>
      <c r="D161" s="83" t="n">
        <v>0</v>
      </c>
      <c r="E161" s="83" t="n">
        <v>0</v>
      </c>
      <c r="F161" s="84" t="n"/>
      <c r="G161" s="83" t="n">
        <v>0</v>
      </c>
      <c r="H161" s="83" t="n">
        <v>0</v>
      </c>
      <c r="I161" s="85" t="n"/>
      <c r="J161" s="85" t="n">
        <v>0</v>
      </c>
      <c r="K161" s="85" t="n">
        <v>0</v>
      </c>
      <c r="L161" s="85" t="n"/>
      <c r="M161" s="85" t="n">
        <v>0</v>
      </c>
      <c r="N161" s="85" t="n">
        <v>0</v>
      </c>
      <c r="O161" s="85" t="n"/>
      <c r="P161" s="85" t="n"/>
      <c r="Q161" s="85" t="n"/>
      <c r="R161" s="85" t="inlineStr">
        <is>
          <t>https://github.com/DLu/oscar_data</t>
        </is>
      </c>
    </row>
    <row r="162" ht="15.75" customHeight="1" s="108">
      <c r="A162" s="83" t="inlineStr">
        <is>
          <t>F0158</t>
        </is>
      </c>
      <c r="B162" s="83" t="inlineStr">
        <is>
          <t>The Hunger Games: Mockingjay - Part 1</t>
        </is>
      </c>
      <c r="C162" s="83" t="inlineStr">
        <is>
          <t>2014</t>
        </is>
      </c>
      <c r="D162" s="83" t="n">
        <v>0</v>
      </c>
      <c r="E162" s="83" t="n">
        <v>0</v>
      </c>
      <c r="F162" s="84" t="n"/>
      <c r="G162" s="83" t="n">
        <v>0</v>
      </c>
      <c r="H162" s="83" t="n">
        <v>0</v>
      </c>
      <c r="I162" s="85" t="n"/>
      <c r="J162" s="85" t="n">
        <v>0</v>
      </c>
      <c r="K162" s="85" t="n">
        <v>0</v>
      </c>
      <c r="L162" s="85" t="n"/>
      <c r="M162" s="85" t="n">
        <v>0</v>
      </c>
      <c r="N162" s="85" t="n">
        <v>0</v>
      </c>
      <c r="O162" s="85" t="n"/>
      <c r="P162" s="85" t="n"/>
      <c r="Q162" s="85" t="n"/>
      <c r="R162" s="85" t="inlineStr">
        <is>
          <t>https://github.com/DLu/oscar_data</t>
        </is>
      </c>
    </row>
    <row r="163" ht="15.75" customHeight="1" s="108">
      <c r="A163" s="83" t="inlineStr">
        <is>
          <t>F0159</t>
        </is>
      </c>
      <c r="B163" s="83" t="inlineStr">
        <is>
          <t>I, Frankenstein</t>
        </is>
      </c>
      <c r="C163" s="83" t="inlineStr">
        <is>
          <t>2014</t>
        </is>
      </c>
      <c r="D163" s="83" t="n">
        <v>0</v>
      </c>
      <c r="E163" s="83" t="n">
        <v>0</v>
      </c>
      <c r="F163" s="84" t="n"/>
      <c r="G163" s="83" t="n">
        <v>0</v>
      </c>
      <c r="H163" s="83" t="n">
        <v>0</v>
      </c>
      <c r="I163" s="85" t="n"/>
      <c r="J163" s="85" t="n">
        <v>0</v>
      </c>
      <c r="K163" s="85" t="n">
        <v>0</v>
      </c>
      <c r="L163" s="85" t="n"/>
      <c r="M163" s="85" t="n">
        <v>0</v>
      </c>
      <c r="N163" s="85" t="n">
        <v>0</v>
      </c>
      <c r="O163" s="85" t="n"/>
      <c r="P163" s="85" t="n"/>
      <c r="Q163" s="85" t="n"/>
      <c r="R163" s="85" t="inlineStr">
        <is>
          <t>https://github.com/DLu/oscar_data</t>
        </is>
      </c>
    </row>
    <row r="164" ht="15.75" customHeight="1" s="108">
      <c r="A164" s="83" t="inlineStr">
        <is>
          <t>F0160</t>
        </is>
      </c>
      <c r="B164" s="83" t="inlineStr">
        <is>
          <t>Ice Age: The Meltdown</t>
        </is>
      </c>
      <c r="C164" s="83" t="inlineStr">
        <is>
          <t>2006</t>
        </is>
      </c>
      <c r="D164" s="83" t="n">
        <v>0</v>
      </c>
      <c r="E164" s="83" t="n">
        <v>0</v>
      </c>
      <c r="F164" s="84" t="n"/>
      <c r="G164" s="83" t="n">
        <v>0</v>
      </c>
      <c r="H164" s="83" t="n">
        <v>0</v>
      </c>
      <c r="I164" s="85" t="n"/>
      <c r="J164" s="85" t="n">
        <v>0</v>
      </c>
      <c r="K164" s="85" t="n">
        <v>0</v>
      </c>
      <c r="L164" s="85" t="n"/>
      <c r="M164" s="85" t="n">
        <v>0</v>
      </c>
      <c r="N164" s="85" t="n">
        <v>0</v>
      </c>
      <c r="O164" s="85" t="n"/>
      <c r="P164" s="85" t="n"/>
      <c r="Q164" s="85" t="n"/>
      <c r="R164" s="85" t="inlineStr">
        <is>
          <t>https://github.com/DLu/oscar_data</t>
        </is>
      </c>
    </row>
    <row r="165" ht="15.75" customHeight="1" s="108">
      <c r="A165" s="83" t="inlineStr">
        <is>
          <t>F0161</t>
        </is>
      </c>
      <c r="B165" s="83" t="inlineStr">
        <is>
          <t>Ice Age: Dawn of the Dinosaurs</t>
        </is>
      </c>
      <c r="C165" s="83" t="inlineStr">
        <is>
          <t>2009</t>
        </is>
      </c>
      <c r="D165" s="83" t="n">
        <v>0</v>
      </c>
      <c r="E165" s="83" t="n">
        <v>0</v>
      </c>
      <c r="F165" s="84" t="n"/>
      <c r="G165" s="83" t="n">
        <v>0</v>
      </c>
      <c r="H165" s="83" t="n">
        <v>0</v>
      </c>
      <c r="I165" s="85" t="n"/>
      <c r="J165" s="85" t="n">
        <v>0</v>
      </c>
      <c r="K165" s="85" t="n">
        <v>0</v>
      </c>
      <c r="L165" s="85" t="n"/>
      <c r="M165" s="85" t="n">
        <v>0</v>
      </c>
      <c r="N165" s="85" t="n">
        <v>0</v>
      </c>
      <c r="O165" s="85" t="n"/>
      <c r="P165" s="85" t="n"/>
      <c r="Q165" s="85" t="n"/>
      <c r="R165" s="85" t="inlineStr">
        <is>
          <t>https://github.com/DLu/oscar_data</t>
        </is>
      </c>
    </row>
    <row r="166" ht="45" customHeight="1" s="108">
      <c r="A166" s="83" t="inlineStr">
        <is>
          <t>F0162</t>
        </is>
      </c>
      <c r="B166" s="83" t="inlineStr">
        <is>
          <t>The Imitation Game</t>
        </is>
      </c>
      <c r="C166" s="83" t="inlineStr">
        <is>
          <t>2014</t>
        </is>
      </c>
      <c r="D166" s="83" t="n">
        <v>8</v>
      </c>
      <c r="E166" s="83" t="n">
        <v>1</v>
      </c>
      <c r="F166" s="83" t="inlineStr">
        <is>
          <t>Nominated</t>
        </is>
      </c>
      <c r="G166" s="83" t="n">
        <v>2</v>
      </c>
      <c r="H166" s="83" t="n">
        <v>0</v>
      </c>
      <c r="I166" s="85" t="n"/>
      <c r="J166" s="85" t="n">
        <v>1</v>
      </c>
      <c r="K166" s="85" t="n">
        <v>0</v>
      </c>
      <c r="L166" s="85" t="n"/>
      <c r="M166" s="85" t="n">
        <v>1</v>
      </c>
      <c r="N166" s="85" t="n">
        <v>1</v>
      </c>
      <c r="O166" s="85" t="n"/>
      <c r="P166" s="85" t="inlineStr">
        <is>
          <t>WRITING (Adapted Screenplay)</t>
        </is>
      </c>
      <c r="Q166" s="85" t="inlineStr">
        <is>
          <t>ACTOR IN A LEADING ROLE; ACTRESS IN A SUPPORTING ROLE; DIRECTING; FILM EDITING; MUSIC (Original Score); BEST PICTURE; ART DIRECTION; WRITING (Adapted Screenplay)</t>
        </is>
      </c>
      <c r="R166" s="85" t="inlineStr">
        <is>
          <t>https://github.com/DLu/oscar_data</t>
        </is>
      </c>
    </row>
    <row r="167" ht="15.75" customHeight="1" s="108">
      <c r="A167" s="83" t="inlineStr">
        <is>
          <t>F0163</t>
        </is>
      </c>
      <c r="B167" s="83" t="inlineStr">
        <is>
          <t>The Inbetweeners Movie</t>
        </is>
      </c>
      <c r="C167" s="83" t="inlineStr">
        <is>
          <t>2011</t>
        </is>
      </c>
      <c r="D167" s="83" t="n">
        <v>0</v>
      </c>
      <c r="E167" s="83" t="n">
        <v>0</v>
      </c>
      <c r="F167" s="84" t="n"/>
      <c r="G167" s="83" t="n">
        <v>0</v>
      </c>
      <c r="H167" s="83" t="n">
        <v>0</v>
      </c>
      <c r="I167" s="85" t="n"/>
      <c r="J167" s="85" t="n">
        <v>0</v>
      </c>
      <c r="K167" s="85" t="n">
        <v>0</v>
      </c>
      <c r="L167" s="85" t="n"/>
      <c r="M167" s="85" t="n">
        <v>0</v>
      </c>
      <c r="N167" s="85" t="n">
        <v>0</v>
      </c>
      <c r="O167" s="85" t="n"/>
      <c r="P167" s="85" t="n"/>
      <c r="Q167" s="85" t="n"/>
      <c r="R167" s="85" t="inlineStr">
        <is>
          <t>https://github.com/DLu/oscar_data</t>
        </is>
      </c>
    </row>
    <row r="168" ht="15.75" customHeight="1" s="108">
      <c r="A168" s="83" t="inlineStr">
        <is>
          <t>F0164</t>
        </is>
      </c>
      <c r="B168" s="83" t="inlineStr">
        <is>
          <t>The Inbetweeners 2</t>
        </is>
      </c>
      <c r="C168" s="83" t="inlineStr">
        <is>
          <t>2014</t>
        </is>
      </c>
      <c r="D168" s="83" t="n">
        <v>0</v>
      </c>
      <c r="E168" s="83" t="n">
        <v>0</v>
      </c>
      <c r="F168" s="84" t="n"/>
      <c r="G168" s="83" t="n">
        <v>0</v>
      </c>
      <c r="H168" s="83" t="n">
        <v>0</v>
      </c>
      <c r="I168" s="85" t="n"/>
      <c r="J168" s="85" t="n">
        <v>0</v>
      </c>
      <c r="K168" s="85" t="n">
        <v>0</v>
      </c>
      <c r="L168" s="85" t="n"/>
      <c r="M168" s="85" t="n">
        <v>0</v>
      </c>
      <c r="N168" s="85" t="n">
        <v>0</v>
      </c>
      <c r="O168" s="85" t="n"/>
      <c r="P168" s="85" t="n"/>
      <c r="Q168" s="85" t="n"/>
      <c r="R168" s="85" t="inlineStr">
        <is>
          <t>https://github.com/DLu/oscar_data</t>
        </is>
      </c>
    </row>
    <row r="169" ht="45" customHeight="1" s="108">
      <c r="A169" s="83" t="inlineStr">
        <is>
          <t>F0165</t>
        </is>
      </c>
      <c r="B169" s="83" t="inlineStr">
        <is>
          <t>Inception</t>
        </is>
      </c>
      <c r="C169" s="83" t="inlineStr">
        <is>
          <t>2010</t>
        </is>
      </c>
      <c r="D169" s="83" t="n">
        <v>8</v>
      </c>
      <c r="E169" s="83" t="n">
        <v>4</v>
      </c>
      <c r="F169" s="83" t="inlineStr">
        <is>
          <t>Nominated</t>
        </is>
      </c>
      <c r="G169" s="83" t="n">
        <v>0</v>
      </c>
      <c r="H169" s="83" t="n">
        <v>0</v>
      </c>
      <c r="I169" s="85" t="n"/>
      <c r="J169" s="85" t="n">
        <v>0</v>
      </c>
      <c r="K169" s="85" t="n">
        <v>0</v>
      </c>
      <c r="L169" s="85" t="n"/>
      <c r="M169" s="85" t="n">
        <v>1</v>
      </c>
      <c r="N169" s="85" t="n">
        <v>0</v>
      </c>
      <c r="O169" s="85" t="n"/>
      <c r="P169" s="85" t="inlineStr">
        <is>
          <t>CINEMATOGRAPHY; SOUND EDITING; SOUND MIXING; VISUAL EFFECTS</t>
        </is>
      </c>
      <c r="Q169" s="85" t="inlineStr">
        <is>
          <t>ART DIRECTION; CINEMATOGRAPHY; MUSIC (Original Score); BEST PICTURE; SOUND EDITING; SOUND MIXING; VISUAL EFFECTS; WRITING (Original Screenplay)</t>
        </is>
      </c>
      <c r="R169" s="85" t="inlineStr">
        <is>
          <t>https://github.com/DLu/oscar_data</t>
        </is>
      </c>
    </row>
    <row r="170" ht="45" customHeight="1" s="108">
      <c r="A170" s="83" t="inlineStr">
        <is>
          <t>F0166</t>
        </is>
      </c>
      <c r="B170" s="83" t="inlineStr">
        <is>
          <t>Inglourious Basterds</t>
        </is>
      </c>
      <c r="C170" s="83" t="inlineStr">
        <is>
          <t>2009</t>
        </is>
      </c>
      <c r="D170" s="83" t="n">
        <v>8</v>
      </c>
      <c r="E170" s="83" t="n">
        <v>1</v>
      </c>
      <c r="F170" s="83" t="inlineStr">
        <is>
          <t>Nominated</t>
        </is>
      </c>
      <c r="G170" s="83" t="n">
        <v>1</v>
      </c>
      <c r="H170" s="83" t="n">
        <v>1</v>
      </c>
      <c r="I170" s="85" t="inlineStr">
        <is>
          <t>Christoph Waltz</t>
        </is>
      </c>
      <c r="J170" s="85" t="n">
        <v>1</v>
      </c>
      <c r="K170" s="85" t="n">
        <v>0</v>
      </c>
      <c r="L170" s="85" t="n"/>
      <c r="M170" s="85" t="n">
        <v>1</v>
      </c>
      <c r="N170" s="85" t="n">
        <v>0</v>
      </c>
      <c r="O170" s="85" t="n"/>
      <c r="P170" s="85" t="inlineStr">
        <is>
          <t>ACTOR IN A SUPPORTING ROLE</t>
        </is>
      </c>
      <c r="Q170" s="85" t="inlineStr">
        <is>
          <t>ACTOR IN A SUPPORTING ROLE; CINEMATOGRAPHY; DIRECTING; FILM EDITING; BEST PICTURE; SOUND EDITING; SOUND MIXING; WRITING (Original Screenplay)</t>
        </is>
      </c>
      <c r="R170" s="85" t="inlineStr">
        <is>
          <t>https://github.com/DLu/oscar_data</t>
        </is>
      </c>
    </row>
    <row r="171" ht="15.75" customHeight="1" s="108">
      <c r="A171" s="83" t="inlineStr">
        <is>
          <t>F0167</t>
        </is>
      </c>
      <c r="B171" s="83" t="inlineStr">
        <is>
          <t>Inside Out</t>
        </is>
      </c>
      <c r="C171" s="83" t="inlineStr">
        <is>
          <t>2015</t>
        </is>
      </c>
      <c r="D171" s="83" t="n">
        <v>2</v>
      </c>
      <c r="E171" s="83" t="n">
        <v>1</v>
      </c>
      <c r="F171" s="84" t="n"/>
      <c r="G171" s="83" t="n">
        <v>0</v>
      </c>
      <c r="H171" s="83" t="n">
        <v>0</v>
      </c>
      <c r="I171" s="85" t="n"/>
      <c r="J171" s="85" t="n">
        <v>0</v>
      </c>
      <c r="K171" s="85" t="n">
        <v>0</v>
      </c>
      <c r="L171" s="85" t="n"/>
      <c r="M171" s="85" t="n">
        <v>1</v>
      </c>
      <c r="N171" s="85" t="n">
        <v>0</v>
      </c>
      <c r="O171" s="85" t="inlineStr">
        <is>
          <t>Winner</t>
        </is>
      </c>
      <c r="P171" s="85" t="inlineStr">
        <is>
          <t>ANIMATED FEATURE FILM</t>
        </is>
      </c>
      <c r="Q171" s="85" t="inlineStr">
        <is>
          <t>ANIMATED FEATURE FILM; WRITING (Original Screenplay)</t>
        </is>
      </c>
      <c r="R171" s="85" t="inlineStr">
        <is>
          <t>https://github.com/DLu/oscar_data</t>
        </is>
      </c>
    </row>
    <row r="172" ht="30" customHeight="1" s="108">
      <c r="A172" s="83" t="inlineStr">
        <is>
          <t>F0168</t>
        </is>
      </c>
      <c r="B172" s="83" t="inlineStr">
        <is>
          <t>Interstellar</t>
        </is>
      </c>
      <c r="C172" s="83" t="inlineStr">
        <is>
          <t>2014</t>
        </is>
      </c>
      <c r="D172" s="83" t="n">
        <v>5</v>
      </c>
      <c r="E172" s="83" t="n">
        <v>1</v>
      </c>
      <c r="F172" s="84" t="n"/>
      <c r="G172" s="83" t="n">
        <v>0</v>
      </c>
      <c r="H172" s="83" t="n">
        <v>0</v>
      </c>
      <c r="I172" s="85" t="n"/>
      <c r="J172" s="85" t="n">
        <v>0</v>
      </c>
      <c r="K172" s="85" t="n">
        <v>0</v>
      </c>
      <c r="L172" s="85" t="n"/>
      <c r="M172" s="85" t="n">
        <v>0</v>
      </c>
      <c r="N172" s="85" t="n">
        <v>0</v>
      </c>
      <c r="O172" s="85" t="n"/>
      <c r="P172" s="85" t="inlineStr">
        <is>
          <t>VISUAL EFFECTS</t>
        </is>
      </c>
      <c r="Q172" s="85" t="inlineStr">
        <is>
          <t>MUSIC (Original Score); ART DIRECTION; SOUND EDITING; SOUND MIXING; VISUAL EFFECTS</t>
        </is>
      </c>
      <c r="R172" s="85" t="inlineStr">
        <is>
          <t>https://github.com/DLu/oscar_data</t>
        </is>
      </c>
    </row>
    <row r="173" ht="15.75" customHeight="1" s="108">
      <c r="A173" s="83" t="inlineStr">
        <is>
          <t>F0169</t>
        </is>
      </c>
      <c r="B173" s="83" t="inlineStr">
        <is>
          <t>Iron Man 3</t>
        </is>
      </c>
      <c r="C173" s="83" t="inlineStr">
        <is>
          <t>2013</t>
        </is>
      </c>
      <c r="D173" s="83" t="n">
        <v>1</v>
      </c>
      <c r="E173" s="83" t="n">
        <v>0</v>
      </c>
      <c r="F173" s="84" t="n"/>
      <c r="G173" s="83" t="n">
        <v>0</v>
      </c>
      <c r="H173" s="83" t="n">
        <v>0</v>
      </c>
      <c r="I173" s="85" t="n"/>
      <c r="J173" s="85" t="n">
        <v>0</v>
      </c>
      <c r="K173" s="85" t="n">
        <v>0</v>
      </c>
      <c r="L173" s="85" t="n"/>
      <c r="M173" s="85" t="n">
        <v>0</v>
      </c>
      <c r="N173" s="85" t="n">
        <v>0</v>
      </c>
      <c r="O173" s="85" t="n"/>
      <c r="P173" s="85" t="n"/>
      <c r="Q173" s="85" t="inlineStr">
        <is>
          <t>VISUAL EFFECTS</t>
        </is>
      </c>
      <c r="R173" s="85" t="inlineStr">
        <is>
          <t>https://github.com/DLu/oscar_data</t>
        </is>
      </c>
    </row>
    <row r="174" ht="30" customHeight="1" s="108">
      <c r="A174" s="83" t="inlineStr">
        <is>
          <t>F0170</t>
        </is>
      </c>
      <c r="B174" s="83" t="inlineStr">
        <is>
          <t>Jojo Rabbit</t>
        </is>
      </c>
      <c r="C174" s="83" t="inlineStr">
        <is>
          <t>2019</t>
        </is>
      </c>
      <c r="D174" s="83" t="n">
        <v>6</v>
      </c>
      <c r="E174" s="83" t="n">
        <v>1</v>
      </c>
      <c r="F174" s="83" t="inlineStr">
        <is>
          <t>Nominated</t>
        </is>
      </c>
      <c r="G174" s="83" t="n">
        <v>1</v>
      </c>
      <c r="H174" s="83" t="n">
        <v>0</v>
      </c>
      <c r="I174" s="85" t="n"/>
      <c r="J174" s="85" t="n">
        <v>0</v>
      </c>
      <c r="K174" s="85" t="n">
        <v>0</v>
      </c>
      <c r="L174" s="85" t="n"/>
      <c r="M174" s="85" t="n">
        <v>1</v>
      </c>
      <c r="N174" s="85" t="n">
        <v>1</v>
      </c>
      <c r="O174" s="85" t="n"/>
      <c r="P174" s="85" t="inlineStr">
        <is>
          <t>WRITING (Adapted Screenplay)</t>
        </is>
      </c>
      <c r="Q174" s="85" t="inlineStr">
        <is>
          <t>ACTRESS IN A SUPPORTING ROLE; COSTUME DESIGN; FILM EDITING; BEST PICTURE; ART DIRECTION; WRITING (Adapted Screenplay)</t>
        </is>
      </c>
      <c r="R174" s="85" t="inlineStr">
        <is>
          <t>https://github.com/DLu/oscar_data</t>
        </is>
      </c>
    </row>
    <row r="175" ht="15.75" customHeight="1" s="108">
      <c r="A175" s="83" t="inlineStr">
        <is>
          <t>F0171</t>
        </is>
      </c>
      <c r="B175" s="83" t="inlineStr">
        <is>
          <t>Jack Reacher</t>
        </is>
      </c>
      <c r="C175" s="83" t="inlineStr">
        <is>
          <t>2012</t>
        </is>
      </c>
      <c r="D175" s="83" t="n">
        <v>0</v>
      </c>
      <c r="E175" s="83" t="n">
        <v>0</v>
      </c>
      <c r="F175" s="84" t="n"/>
      <c r="G175" s="83" t="n">
        <v>0</v>
      </c>
      <c r="H175" s="83" t="n">
        <v>0</v>
      </c>
      <c r="I175" s="85" t="n"/>
      <c r="J175" s="85" t="n">
        <v>0</v>
      </c>
      <c r="K175" s="85" t="n">
        <v>0</v>
      </c>
      <c r="L175" s="85" t="n"/>
      <c r="M175" s="85" t="n">
        <v>0</v>
      </c>
      <c r="N175" s="85" t="n">
        <v>0</v>
      </c>
      <c r="O175" s="85" t="n"/>
      <c r="P175" s="85" t="n"/>
      <c r="Q175" s="85" t="n"/>
      <c r="R175" s="85" t="inlineStr">
        <is>
          <t>https://github.com/DLu/oscar_data</t>
        </is>
      </c>
    </row>
    <row r="176" ht="15.75" customHeight="1" s="108">
      <c r="A176" s="83" t="inlineStr">
        <is>
          <t>F0172</t>
        </is>
      </c>
      <c r="B176" s="83" t="inlineStr">
        <is>
          <t>Jackass 3D</t>
        </is>
      </c>
      <c r="C176" s="83" t="inlineStr">
        <is>
          <t>2010</t>
        </is>
      </c>
      <c r="D176" s="83" t="n">
        <v>0</v>
      </c>
      <c r="E176" s="83" t="n">
        <v>0</v>
      </c>
      <c r="F176" s="84" t="n"/>
      <c r="G176" s="83" t="n">
        <v>0</v>
      </c>
      <c r="H176" s="83" t="n">
        <v>0</v>
      </c>
      <c r="I176" s="85" t="n"/>
      <c r="J176" s="85" t="n">
        <v>0</v>
      </c>
      <c r="K176" s="85" t="n">
        <v>0</v>
      </c>
      <c r="L176" s="85" t="n"/>
      <c r="M176" s="85" t="n">
        <v>0</v>
      </c>
      <c r="N176" s="85" t="n">
        <v>0</v>
      </c>
      <c r="O176" s="85" t="n"/>
      <c r="P176" s="85" t="n"/>
      <c r="Q176" s="85" t="n"/>
      <c r="R176" s="85" t="inlineStr">
        <is>
          <t>https://github.com/DLu/oscar_data</t>
        </is>
      </c>
    </row>
    <row r="177" ht="15.75" customHeight="1" s="108">
      <c r="A177" s="83" t="inlineStr">
        <is>
          <t>F0173</t>
        </is>
      </c>
      <c r="B177" s="83" t="inlineStr">
        <is>
          <t>Jonah Hex</t>
        </is>
      </c>
      <c r="C177" s="83" t="inlineStr">
        <is>
          <t>2010</t>
        </is>
      </c>
      <c r="D177" s="83" t="n">
        <v>0</v>
      </c>
      <c r="E177" s="83" t="n">
        <v>0</v>
      </c>
      <c r="F177" s="84" t="n"/>
      <c r="G177" s="83" t="n">
        <v>0</v>
      </c>
      <c r="H177" s="83" t="n">
        <v>0</v>
      </c>
      <c r="I177" s="85" t="n"/>
      <c r="J177" s="85" t="n">
        <v>0</v>
      </c>
      <c r="K177" s="85" t="n">
        <v>0</v>
      </c>
      <c r="L177" s="85" t="n"/>
      <c r="M177" s="85" t="n">
        <v>0</v>
      </c>
      <c r="N177" s="85" t="n">
        <v>0</v>
      </c>
      <c r="O177" s="85" t="n"/>
      <c r="P177" s="85" t="n"/>
      <c r="Q177" s="85" t="n"/>
      <c r="R177" s="85" t="inlineStr">
        <is>
          <t>https://github.com/DLu/oscar_data</t>
        </is>
      </c>
    </row>
    <row r="178" ht="15.75" customHeight="1" s="108">
      <c r="A178" s="83" t="inlineStr">
        <is>
          <t>F0174</t>
        </is>
      </c>
      <c r="B178" s="83" t="inlineStr">
        <is>
          <t>Journey to the Center of the Earth</t>
        </is>
      </c>
      <c r="C178" s="83" t="inlineStr">
        <is>
          <t>2008</t>
        </is>
      </c>
      <c r="D178" s="83" t="n">
        <v>0</v>
      </c>
      <c r="E178" s="83" t="n">
        <v>0</v>
      </c>
      <c r="F178" s="84" t="n"/>
      <c r="G178" s="83" t="n">
        <v>0</v>
      </c>
      <c r="H178" s="83" t="n">
        <v>0</v>
      </c>
      <c r="I178" s="85" t="n"/>
      <c r="J178" s="85" t="n">
        <v>0</v>
      </c>
      <c r="K178" s="85" t="n">
        <v>0</v>
      </c>
      <c r="L178" s="85" t="n"/>
      <c r="M178" s="85" t="n">
        <v>0</v>
      </c>
      <c r="N178" s="85" t="n">
        <v>0</v>
      </c>
      <c r="O178" s="85" t="n"/>
      <c r="P178" s="85" t="n"/>
      <c r="Q178" s="85" t="n"/>
      <c r="R178" s="85" t="inlineStr">
        <is>
          <t>https://github.com/DLu/oscar_data</t>
        </is>
      </c>
    </row>
    <row r="179" ht="15.75" customHeight="1" s="108">
      <c r="A179" s="83" t="inlineStr">
        <is>
          <t>F0175</t>
        </is>
      </c>
      <c r="B179" s="83" t="inlineStr">
        <is>
          <t>Jumper</t>
        </is>
      </c>
      <c r="C179" s="83" t="inlineStr">
        <is>
          <t>2008</t>
        </is>
      </c>
      <c r="D179" s="83" t="n">
        <v>0</v>
      </c>
      <c r="E179" s="83" t="n">
        <v>0</v>
      </c>
      <c r="F179" s="84" t="n"/>
      <c r="G179" s="83" t="n">
        <v>0</v>
      </c>
      <c r="H179" s="83" t="n">
        <v>0</v>
      </c>
      <c r="I179" s="85" t="n"/>
      <c r="J179" s="85" t="n">
        <v>0</v>
      </c>
      <c r="K179" s="85" t="n">
        <v>0</v>
      </c>
      <c r="L179" s="85" t="n"/>
      <c r="M179" s="85" t="n">
        <v>0</v>
      </c>
      <c r="N179" s="85" t="n">
        <v>0</v>
      </c>
      <c r="O179" s="85" t="n"/>
      <c r="P179" s="85" t="n"/>
      <c r="Q179" s="85" t="n"/>
      <c r="R179" s="85" t="inlineStr">
        <is>
          <t>https://github.com/DLu/oscar_data</t>
        </is>
      </c>
    </row>
    <row r="180" ht="15.75" customHeight="1" s="108">
      <c r="A180" s="83" t="inlineStr">
        <is>
          <t>F0176</t>
        </is>
      </c>
      <c r="B180" s="83" t="inlineStr">
        <is>
          <t>Jurassic Park</t>
        </is>
      </c>
      <c r="C180" s="83" t="inlineStr">
        <is>
          <t>1993</t>
        </is>
      </c>
      <c r="D180" s="83" t="n">
        <v>3</v>
      </c>
      <c r="E180" s="83" t="n">
        <v>3</v>
      </c>
      <c r="F180" s="84" t="n"/>
      <c r="G180" s="83" t="n">
        <v>0</v>
      </c>
      <c r="H180" s="83" t="n">
        <v>0</v>
      </c>
      <c r="I180" s="85" t="n"/>
      <c r="J180" s="85" t="n">
        <v>0</v>
      </c>
      <c r="K180" s="85" t="n">
        <v>0</v>
      </c>
      <c r="L180" s="85" t="n"/>
      <c r="M180" s="85" t="n">
        <v>0</v>
      </c>
      <c r="N180" s="85" t="n">
        <v>0</v>
      </c>
      <c r="O180" s="85" t="n"/>
      <c r="P180" s="85" t="inlineStr">
        <is>
          <t>SOUND MIXING; SOUND EDITING; VISUAL EFFECTS</t>
        </is>
      </c>
      <c r="Q180" s="85" t="inlineStr">
        <is>
          <t>SOUND MIXING; SOUND EDITING; VISUAL EFFECTS</t>
        </is>
      </c>
      <c r="R180" s="85" t="inlineStr">
        <is>
          <t>https://github.com/DLu/oscar_data</t>
        </is>
      </c>
    </row>
    <row r="181" ht="15.75" customHeight="1" s="108">
      <c r="A181" s="83" t="inlineStr">
        <is>
          <t>F0177</t>
        </is>
      </c>
      <c r="B181" s="83" t="inlineStr">
        <is>
          <t>The Lost World: Jurassic Park</t>
        </is>
      </c>
      <c r="C181" s="83" t="inlineStr">
        <is>
          <t>1997</t>
        </is>
      </c>
      <c r="D181" s="83" t="n">
        <v>1</v>
      </c>
      <c r="E181" s="83" t="n">
        <v>0</v>
      </c>
      <c r="F181" s="84" t="n"/>
      <c r="G181" s="83" t="n">
        <v>0</v>
      </c>
      <c r="H181" s="83" t="n">
        <v>0</v>
      </c>
      <c r="I181" s="85" t="n"/>
      <c r="J181" s="85" t="n">
        <v>0</v>
      </c>
      <c r="K181" s="85" t="n">
        <v>0</v>
      </c>
      <c r="L181" s="85" t="n"/>
      <c r="M181" s="85" t="n">
        <v>0</v>
      </c>
      <c r="N181" s="85" t="n">
        <v>0</v>
      </c>
      <c r="O181" s="85" t="n"/>
      <c r="P181" s="85" t="n"/>
      <c r="Q181" s="85" t="inlineStr">
        <is>
          <t>VISUAL EFFECTS</t>
        </is>
      </c>
      <c r="R181" s="85" t="inlineStr">
        <is>
          <t>https://github.com/DLu/oscar_data</t>
        </is>
      </c>
    </row>
    <row r="182" ht="15.75" customHeight="1" s="108">
      <c r="A182" s="83" t="inlineStr">
        <is>
          <t>F0178</t>
        </is>
      </c>
      <c r="B182" s="83" t="inlineStr">
        <is>
          <t>Jurassic Park III</t>
        </is>
      </c>
      <c r="C182" s="83" t="inlineStr">
        <is>
          <t>2001</t>
        </is>
      </c>
      <c r="D182" s="83" t="n">
        <v>0</v>
      </c>
      <c r="E182" s="83" t="n">
        <v>0</v>
      </c>
      <c r="F182" s="84" t="n"/>
      <c r="G182" s="83" t="n">
        <v>0</v>
      </c>
      <c r="H182" s="83" t="n">
        <v>0</v>
      </c>
      <c r="I182" s="85" t="n"/>
      <c r="J182" s="85" t="n">
        <v>0</v>
      </c>
      <c r="K182" s="85" t="n">
        <v>0</v>
      </c>
      <c r="L182" s="85" t="n"/>
      <c r="M182" s="85" t="n">
        <v>0</v>
      </c>
      <c r="N182" s="85" t="n">
        <v>0</v>
      </c>
      <c r="O182" s="85" t="n"/>
      <c r="P182" s="85" t="n"/>
      <c r="Q182" s="85" t="n"/>
      <c r="R182" s="85" t="inlineStr">
        <is>
          <t>https://github.com/DLu/oscar_data</t>
        </is>
      </c>
    </row>
    <row r="183" ht="15.75" customHeight="1" s="108">
      <c r="A183" s="83" t="inlineStr">
        <is>
          <t>F0179</t>
        </is>
      </c>
      <c r="B183" s="83" t="inlineStr">
        <is>
          <t>Jurassic World</t>
        </is>
      </c>
      <c r="C183" s="83" t="inlineStr">
        <is>
          <t>2015</t>
        </is>
      </c>
      <c r="D183" s="83" t="n">
        <v>0</v>
      </c>
      <c r="E183" s="83" t="n">
        <v>0</v>
      </c>
      <c r="F183" s="84" t="n"/>
      <c r="G183" s="83" t="n">
        <v>0</v>
      </c>
      <c r="H183" s="83" t="n">
        <v>0</v>
      </c>
      <c r="I183" s="85" t="n"/>
      <c r="J183" s="85" t="n">
        <v>0</v>
      </c>
      <c r="K183" s="85" t="n">
        <v>0</v>
      </c>
      <c r="L183" s="85" t="n"/>
      <c r="M183" s="85" t="n">
        <v>0</v>
      </c>
      <c r="N183" s="85" t="n">
        <v>0</v>
      </c>
      <c r="O183" s="85" t="n"/>
      <c r="P183" s="85" t="n"/>
      <c r="Q183" s="85" t="n"/>
      <c r="R183" s="85" t="inlineStr">
        <is>
          <t>https://github.com/DLu/oscar_data</t>
        </is>
      </c>
    </row>
    <row r="184" ht="15.75" customHeight="1" s="108">
      <c r="A184" s="83" t="inlineStr">
        <is>
          <t>F0180</t>
        </is>
      </c>
      <c r="B184" s="83" t="inlineStr">
        <is>
          <t>Jurassic World: Fallen Kingdom</t>
        </is>
      </c>
      <c r="C184" s="83" t="inlineStr">
        <is>
          <t>2018</t>
        </is>
      </c>
      <c r="D184" s="83" t="n">
        <v>0</v>
      </c>
      <c r="E184" s="83" t="n">
        <v>0</v>
      </c>
      <c r="F184" s="84" t="n"/>
      <c r="G184" s="83" t="n">
        <v>0</v>
      </c>
      <c r="H184" s="83" t="n">
        <v>0</v>
      </c>
      <c r="I184" s="85" t="n"/>
      <c r="J184" s="85" t="n">
        <v>0</v>
      </c>
      <c r="K184" s="85" t="n">
        <v>0</v>
      </c>
      <c r="L184" s="85" t="n"/>
      <c r="M184" s="85" t="n">
        <v>0</v>
      </c>
      <c r="N184" s="85" t="n">
        <v>0</v>
      </c>
      <c r="O184" s="85" t="n"/>
      <c r="P184" s="85" t="n"/>
      <c r="Q184" s="85" t="n"/>
      <c r="R184" s="85" t="inlineStr">
        <is>
          <t>https://github.com/DLu/oscar_data</t>
        </is>
      </c>
    </row>
    <row r="185" ht="15.75" customHeight="1" s="108">
      <c r="A185" s="83" t="inlineStr">
        <is>
          <t>F0181</t>
        </is>
      </c>
      <c r="B185" s="83" t="inlineStr">
        <is>
          <t>Jurassic World Dominion</t>
        </is>
      </c>
      <c r="C185" s="83" t="inlineStr">
        <is>
          <t>2022</t>
        </is>
      </c>
      <c r="D185" s="83" t="n">
        <v>0</v>
      </c>
      <c r="E185" s="83" t="n">
        <v>0</v>
      </c>
      <c r="F185" s="84" t="n"/>
      <c r="G185" s="83" t="n">
        <v>0</v>
      </c>
      <c r="H185" s="83" t="n">
        <v>0</v>
      </c>
      <c r="I185" s="85" t="n"/>
      <c r="J185" s="85" t="n">
        <v>0</v>
      </c>
      <c r="K185" s="85" t="n">
        <v>0</v>
      </c>
      <c r="L185" s="85" t="n"/>
      <c r="M185" s="85" t="n">
        <v>0</v>
      </c>
      <c r="N185" s="85" t="n">
        <v>0</v>
      </c>
      <c r="O185" s="85" t="n"/>
      <c r="P185" s="85" t="n"/>
      <c r="Q185" s="85" t="n"/>
      <c r="R185" s="85" t="inlineStr">
        <is>
          <t>https://github.com/DLu/oscar_data</t>
        </is>
      </c>
    </row>
    <row r="186" ht="15.75" customHeight="1" s="108">
      <c r="A186" s="83" t="inlineStr">
        <is>
          <t>F0182</t>
        </is>
      </c>
      <c r="B186" s="83" t="inlineStr">
        <is>
          <t>Jurassic World Rebirth</t>
        </is>
      </c>
      <c r="C186" s="83" t="inlineStr">
        <is>
          <t>2025</t>
        </is>
      </c>
      <c r="D186" s="83" t="n">
        <v>1</v>
      </c>
      <c r="E186" s="83" t="n">
        <v>0</v>
      </c>
      <c r="F186" s="84" t="n"/>
      <c r="G186" s="83" t="n">
        <v>0</v>
      </c>
      <c r="H186" s="83" t="n">
        <v>0</v>
      </c>
      <c r="I186" s="85" t="n"/>
      <c r="J186" s="85" t="n">
        <v>0</v>
      </c>
      <c r="K186" s="85" t="n">
        <v>0</v>
      </c>
      <c r="L186" s="85" t="n"/>
      <c r="M186" s="85" t="n">
        <v>0</v>
      </c>
      <c r="N186" s="85" t="n">
        <v>0</v>
      </c>
      <c r="O186" s="85" t="n"/>
      <c r="P186" s="85" t="n"/>
      <c r="Q186" s="85" t="inlineStr">
        <is>
          <t>VISUAL EFFECTS</t>
        </is>
      </c>
      <c r="R186" s="85" t="inlineStr">
        <is>
          <t>https://github.com/DLu/oscar_data</t>
        </is>
      </c>
    </row>
    <row r="187" ht="15.75" customHeight="1" s="108">
      <c r="A187" s="83" t="inlineStr">
        <is>
          <t>F0183</t>
        </is>
      </c>
      <c r="B187" s="83" t="inlineStr">
        <is>
          <t>Just Go with It</t>
        </is>
      </c>
      <c r="C187" s="83" t="inlineStr">
        <is>
          <t>2011</t>
        </is>
      </c>
      <c r="D187" s="83" t="n">
        <v>0</v>
      </c>
      <c r="E187" s="83" t="n">
        <v>0</v>
      </c>
      <c r="F187" s="84" t="n"/>
      <c r="G187" s="83" t="n">
        <v>0</v>
      </c>
      <c r="H187" s="83" t="n">
        <v>0</v>
      </c>
      <c r="I187" s="85" t="n"/>
      <c r="J187" s="85" t="n">
        <v>0</v>
      </c>
      <c r="K187" s="85" t="n">
        <v>0</v>
      </c>
      <c r="L187" s="85" t="n"/>
      <c r="M187" s="85" t="n">
        <v>0</v>
      </c>
      <c r="N187" s="85" t="n">
        <v>0</v>
      </c>
      <c r="O187" s="85" t="n"/>
      <c r="P187" s="85" t="n"/>
      <c r="Q187" s="85" t="n"/>
      <c r="R187" s="85" t="inlineStr">
        <is>
          <t>https://github.com/DLu/oscar_data</t>
        </is>
      </c>
    </row>
    <row r="188" ht="15.75" customHeight="1" s="108">
      <c r="A188" s="83" t="inlineStr">
        <is>
          <t>F0184</t>
        </is>
      </c>
      <c r="B188" s="83" t="inlineStr">
        <is>
          <t>The Karate Kid</t>
        </is>
      </c>
      <c r="C188" s="83" t="inlineStr">
        <is>
          <t>2010</t>
        </is>
      </c>
      <c r="D188" s="83" t="n">
        <v>0</v>
      </c>
      <c r="E188" s="83" t="n">
        <v>0</v>
      </c>
      <c r="F188" s="84" t="n"/>
      <c r="G188" s="83" t="n">
        <v>0</v>
      </c>
      <c r="H188" s="83" t="n">
        <v>0</v>
      </c>
      <c r="I188" s="85" t="n"/>
      <c r="J188" s="85" t="n">
        <v>0</v>
      </c>
      <c r="K188" s="85" t="n">
        <v>0</v>
      </c>
      <c r="L188" s="85" t="n"/>
      <c r="M188" s="85" t="n">
        <v>0</v>
      </c>
      <c r="N188" s="85" t="n">
        <v>0</v>
      </c>
      <c r="O188" s="85" t="n"/>
      <c r="P188" s="85" t="n"/>
      <c r="Q188" s="85" t="n"/>
      <c r="R188" s="85" t="inlineStr">
        <is>
          <t>https://github.com/DLu/oscar_data</t>
        </is>
      </c>
    </row>
    <row r="189" ht="15.75" customHeight="1" s="108">
      <c r="A189" s="83" t="inlineStr">
        <is>
          <t>F0185</t>
        </is>
      </c>
      <c r="B189" s="83" t="inlineStr">
        <is>
          <t>Kick-Ass</t>
        </is>
      </c>
      <c r="C189" s="83" t="inlineStr">
        <is>
          <t>2010</t>
        </is>
      </c>
      <c r="D189" s="83" t="n">
        <v>0</v>
      </c>
      <c r="E189" s="83" t="n">
        <v>0</v>
      </c>
      <c r="F189" s="84" t="n"/>
      <c r="G189" s="83" t="n">
        <v>0</v>
      </c>
      <c r="H189" s="83" t="n">
        <v>0</v>
      </c>
      <c r="I189" s="85" t="n"/>
      <c r="J189" s="85" t="n">
        <v>0</v>
      </c>
      <c r="K189" s="85" t="n">
        <v>0</v>
      </c>
      <c r="L189" s="85" t="n"/>
      <c r="M189" s="85" t="n">
        <v>0</v>
      </c>
      <c r="N189" s="85" t="n">
        <v>0</v>
      </c>
      <c r="O189" s="85" t="n"/>
      <c r="P189" s="85" t="n"/>
      <c r="Q189" s="85" t="n"/>
      <c r="R189" s="85" t="inlineStr">
        <is>
          <t>https://github.com/DLu/oscar_data</t>
        </is>
      </c>
    </row>
    <row r="190" ht="15.75" customHeight="1" s="108">
      <c r="A190" s="83" t="inlineStr">
        <is>
          <t>F0186</t>
        </is>
      </c>
      <c r="B190" s="83" t="inlineStr">
        <is>
          <t>Kick-Ass 2</t>
        </is>
      </c>
      <c r="C190" s="83" t="inlineStr">
        <is>
          <t>2013</t>
        </is>
      </c>
      <c r="D190" s="83" t="n">
        <v>0</v>
      </c>
      <c r="E190" s="83" t="n">
        <v>0</v>
      </c>
      <c r="F190" s="84" t="n"/>
      <c r="G190" s="83" t="n">
        <v>0</v>
      </c>
      <c r="H190" s="83" t="n">
        <v>0</v>
      </c>
      <c r="I190" s="85" t="n"/>
      <c r="J190" s="85" t="n">
        <v>0</v>
      </c>
      <c r="K190" s="85" t="n">
        <v>0</v>
      </c>
      <c r="L190" s="85" t="n"/>
      <c r="M190" s="85" t="n">
        <v>0</v>
      </c>
      <c r="N190" s="85" t="n">
        <v>0</v>
      </c>
      <c r="O190" s="85" t="n"/>
      <c r="P190" s="85" t="n"/>
      <c r="Q190" s="85" t="n"/>
      <c r="R190" s="85" t="inlineStr">
        <is>
          <t>https://github.com/DLu/oscar_data</t>
        </is>
      </c>
    </row>
    <row r="191" ht="15.75" customHeight="1" s="108">
      <c r="A191" s="83" t="inlineStr">
        <is>
          <t>F0187</t>
        </is>
      </c>
      <c r="B191" s="83" t="inlineStr">
        <is>
          <t>Killing Them Softly</t>
        </is>
      </c>
      <c r="C191" s="83" t="inlineStr">
        <is>
          <t>2012</t>
        </is>
      </c>
      <c r="D191" s="83" t="n">
        <v>0</v>
      </c>
      <c r="E191" s="83" t="n">
        <v>0</v>
      </c>
      <c r="F191" s="84" t="n"/>
      <c r="G191" s="83" t="n">
        <v>0</v>
      </c>
      <c r="H191" s="83" t="n">
        <v>0</v>
      </c>
      <c r="I191" s="85" t="n"/>
      <c r="J191" s="85" t="n">
        <v>0</v>
      </c>
      <c r="K191" s="85" t="n">
        <v>0</v>
      </c>
      <c r="L191" s="85" t="n"/>
      <c r="M191" s="85" t="n">
        <v>0</v>
      </c>
      <c r="N191" s="85" t="n">
        <v>0</v>
      </c>
      <c r="O191" s="85" t="n"/>
      <c r="P191" s="85" t="n"/>
      <c r="Q191" s="85" t="n"/>
      <c r="R191" s="85" t="inlineStr">
        <is>
          <t>https://github.com/DLu/oscar_data</t>
        </is>
      </c>
    </row>
    <row r="192" ht="15.75" customHeight="1" s="108">
      <c r="A192" s="83" t="inlineStr">
        <is>
          <t>F0188</t>
        </is>
      </c>
      <c r="B192" s="83" t="inlineStr">
        <is>
          <t>King Kong</t>
        </is>
      </c>
      <c r="C192" s="83" t="inlineStr">
        <is>
          <t>2005</t>
        </is>
      </c>
      <c r="D192" s="83" t="n">
        <v>4</v>
      </c>
      <c r="E192" s="83" t="n">
        <v>3</v>
      </c>
      <c r="F192" s="84" t="n"/>
      <c r="G192" s="83" t="n">
        <v>0</v>
      </c>
      <c r="H192" s="83" t="n">
        <v>0</v>
      </c>
      <c r="I192" s="85" t="n"/>
      <c r="J192" s="85" t="n">
        <v>0</v>
      </c>
      <c r="K192" s="85" t="n">
        <v>0</v>
      </c>
      <c r="L192" s="85" t="n"/>
      <c r="M192" s="85" t="n">
        <v>0</v>
      </c>
      <c r="N192" s="85" t="n">
        <v>0</v>
      </c>
      <c r="O192" s="85" t="n"/>
      <c r="P192" s="85" t="inlineStr">
        <is>
          <t>SOUND EDITING; SOUND MIXING; VISUAL EFFECTS</t>
        </is>
      </c>
      <c r="Q192" s="85" t="inlineStr">
        <is>
          <t>ART DIRECTION; SOUND EDITING; SOUND MIXING; VISUAL EFFECTS</t>
        </is>
      </c>
      <c r="R192" s="85" t="inlineStr">
        <is>
          <t>https://github.com/DLu/oscar_data</t>
        </is>
      </c>
    </row>
    <row r="193" ht="75" customHeight="1" s="108">
      <c r="A193" s="83" t="inlineStr">
        <is>
          <t>F0189</t>
        </is>
      </c>
      <c r="B193" s="83" t="inlineStr">
        <is>
          <t>The King's Speech</t>
        </is>
      </c>
      <c r="C193" s="83" t="inlineStr">
        <is>
          <t>2010</t>
        </is>
      </c>
      <c r="D193" s="83" t="n">
        <v>12</v>
      </c>
      <c r="E193" s="83" t="n">
        <v>4</v>
      </c>
      <c r="F193" s="83" t="inlineStr">
        <is>
          <t>Winner</t>
        </is>
      </c>
      <c r="G193" s="83" t="n">
        <v>3</v>
      </c>
      <c r="H193" s="83" t="n">
        <v>1</v>
      </c>
      <c r="I193" s="85" t="inlineStr">
        <is>
          <t>Colin Firth</t>
        </is>
      </c>
      <c r="J193" s="85" t="n">
        <v>1</v>
      </c>
      <c r="K193" s="85" t="n">
        <v>1</v>
      </c>
      <c r="L193" s="85" t="inlineStr">
        <is>
          <t>Tom Hooper</t>
        </is>
      </c>
      <c r="M193" s="85" t="n">
        <v>1</v>
      </c>
      <c r="N193" s="85" t="n">
        <v>1</v>
      </c>
      <c r="O193" s="85" t="n"/>
      <c r="P193" s="85" t="inlineStr">
        <is>
          <t>ACTOR IN A LEADING ROLE; DIRECTING; BEST PICTURE; WRITING (Original Screenplay)</t>
        </is>
      </c>
      <c r="Q193" s="85" t="inlineStr">
        <is>
          <t>ACTOR IN A LEADING ROLE; ACTOR IN A SUPPORTING ROLE; ACTRESS IN A SUPPORTING ROLE; ART DIRECTION; CINEMATOGRAPHY; COSTUME DESIGN; DIRECTING; FILM EDITING; MUSIC (Original Score); BEST PICTURE; SOUND MIXING; WRITING (Original Screenplay)</t>
        </is>
      </c>
      <c r="R193" s="85" t="inlineStr">
        <is>
          <t>https://github.com/DLu/oscar_data</t>
        </is>
      </c>
    </row>
    <row r="194" ht="15.75" customHeight="1" s="108">
      <c r="A194" s="83" t="inlineStr">
        <is>
          <t>F0190</t>
        </is>
      </c>
      <c r="B194" s="83" t="inlineStr">
        <is>
          <t>Kong: Skull Island</t>
        </is>
      </c>
      <c r="C194" s="83" t="inlineStr">
        <is>
          <t>2017</t>
        </is>
      </c>
      <c r="D194" s="83" t="n">
        <v>1</v>
      </c>
      <c r="E194" s="83" t="n">
        <v>0</v>
      </c>
      <c r="F194" s="84" t="n"/>
      <c r="G194" s="83" t="n">
        <v>0</v>
      </c>
      <c r="H194" s="83" t="n">
        <v>0</v>
      </c>
      <c r="I194" s="85" t="n"/>
      <c r="J194" s="85" t="n">
        <v>0</v>
      </c>
      <c r="K194" s="85" t="n">
        <v>0</v>
      </c>
      <c r="L194" s="85" t="n"/>
      <c r="M194" s="85" t="n">
        <v>0</v>
      </c>
      <c r="N194" s="85" t="n">
        <v>0</v>
      </c>
      <c r="O194" s="85" t="n"/>
      <c r="P194" s="85" t="n"/>
      <c r="Q194" s="85" t="inlineStr">
        <is>
          <t>VISUAL EFFECTS</t>
        </is>
      </c>
      <c r="R194" s="85" t="inlineStr">
        <is>
          <t>https://github.com/DLu/oscar_data</t>
        </is>
      </c>
    </row>
    <row r="195" ht="15.75" customHeight="1" s="108">
      <c r="A195" s="83" t="inlineStr">
        <is>
          <t>F0191</t>
        </is>
      </c>
      <c r="B195" s="83" t="inlineStr">
        <is>
          <t>Law Abiding Citizen</t>
        </is>
      </c>
      <c r="C195" s="83" t="inlineStr">
        <is>
          <t>2009</t>
        </is>
      </c>
      <c r="D195" s="83" t="n">
        <v>0</v>
      </c>
      <c r="E195" s="83" t="n">
        <v>0</v>
      </c>
      <c r="F195" s="84" t="n"/>
      <c r="G195" s="83" t="n">
        <v>0</v>
      </c>
      <c r="H195" s="83" t="n">
        <v>0</v>
      </c>
      <c r="I195" s="85" t="n"/>
      <c r="J195" s="85" t="n">
        <v>0</v>
      </c>
      <c r="K195" s="85" t="n">
        <v>0</v>
      </c>
      <c r="L195" s="85" t="n"/>
      <c r="M195" s="85" t="n">
        <v>0</v>
      </c>
      <c r="N195" s="85" t="n">
        <v>0</v>
      </c>
      <c r="O195" s="85" t="n"/>
      <c r="P195" s="85" t="n"/>
      <c r="Q195" s="85" t="n"/>
      <c r="R195" s="85" t="inlineStr">
        <is>
          <t>https://github.com/DLu/oscar_data</t>
        </is>
      </c>
    </row>
    <row r="196" ht="15.75" customHeight="1" s="108">
      <c r="A196" s="83" t="inlineStr">
        <is>
          <t>F0192</t>
        </is>
      </c>
      <c r="B196" s="83" t="inlineStr">
        <is>
          <t>Lawless</t>
        </is>
      </c>
      <c r="C196" s="83" t="inlineStr">
        <is>
          <t>2012</t>
        </is>
      </c>
      <c r="D196" s="83" t="n">
        <v>0</v>
      </c>
      <c r="E196" s="83" t="n">
        <v>0</v>
      </c>
      <c r="F196" s="84" t="n"/>
      <c r="G196" s="83" t="n">
        <v>0</v>
      </c>
      <c r="H196" s="83" t="n">
        <v>0</v>
      </c>
      <c r="I196" s="85" t="n"/>
      <c r="J196" s="85" t="n">
        <v>0</v>
      </c>
      <c r="K196" s="85" t="n">
        <v>0</v>
      </c>
      <c r="L196" s="85" t="n"/>
      <c r="M196" s="85" t="n">
        <v>0</v>
      </c>
      <c r="N196" s="85" t="n">
        <v>0</v>
      </c>
      <c r="O196" s="85" t="n"/>
      <c r="P196" s="85" t="n"/>
      <c r="Q196" s="85" t="n"/>
      <c r="R196" s="85" t="inlineStr">
        <is>
          <t>https://github.com/DLu/oscar_data</t>
        </is>
      </c>
    </row>
    <row r="197" ht="15.75" customHeight="1" s="108">
      <c r="A197" s="83" t="inlineStr">
        <is>
          <t>F0193</t>
        </is>
      </c>
      <c r="B197" s="83" t="inlineStr">
        <is>
          <t>The Lego Batman Movie</t>
        </is>
      </c>
      <c r="C197" s="83" t="inlineStr">
        <is>
          <t>2017</t>
        </is>
      </c>
      <c r="D197" s="83" t="n">
        <v>0</v>
      </c>
      <c r="E197" s="83" t="n">
        <v>0</v>
      </c>
      <c r="F197" s="84" t="n"/>
      <c r="G197" s="83" t="n">
        <v>0</v>
      </c>
      <c r="H197" s="83" t="n">
        <v>0</v>
      </c>
      <c r="I197" s="85" t="n"/>
      <c r="J197" s="85" t="n">
        <v>0</v>
      </c>
      <c r="K197" s="85" t="n">
        <v>0</v>
      </c>
      <c r="L197" s="85" t="n"/>
      <c r="M197" s="85" t="n">
        <v>0</v>
      </c>
      <c r="N197" s="85" t="n">
        <v>0</v>
      </c>
      <c r="O197" s="85" t="n"/>
      <c r="P197" s="85" t="n"/>
      <c r="Q197" s="85" t="n"/>
      <c r="R197" s="85" t="inlineStr">
        <is>
          <t>https://github.com/DLu/oscar_data</t>
        </is>
      </c>
    </row>
    <row r="198" ht="15.75" customHeight="1" s="108">
      <c r="A198" s="83" t="inlineStr">
        <is>
          <t>F0194</t>
        </is>
      </c>
      <c r="B198" s="83" t="inlineStr">
        <is>
          <t>Lego Batman: The Movie - DC Super Heroes Unite</t>
        </is>
      </c>
      <c r="C198" s="83" t="inlineStr">
        <is>
          <t>2013</t>
        </is>
      </c>
      <c r="D198" s="83" t="n">
        <v>0</v>
      </c>
      <c r="E198" s="83" t="n">
        <v>0</v>
      </c>
      <c r="F198" s="84" t="n"/>
      <c r="G198" s="83" t="n">
        <v>0</v>
      </c>
      <c r="H198" s="83" t="n">
        <v>0</v>
      </c>
      <c r="I198" s="85" t="n"/>
      <c r="J198" s="85" t="n">
        <v>0</v>
      </c>
      <c r="K198" s="85" t="n">
        <v>0</v>
      </c>
      <c r="L198" s="85" t="n"/>
      <c r="M198" s="85" t="n">
        <v>0</v>
      </c>
      <c r="N198" s="85" t="n">
        <v>0</v>
      </c>
      <c r="O198" s="85" t="n"/>
      <c r="P198" s="85" t="n"/>
      <c r="Q198" s="85" t="n"/>
      <c r="R198" s="85" t="inlineStr">
        <is>
          <t>https://github.com/DLu/oscar_data</t>
        </is>
      </c>
    </row>
    <row r="199" ht="15.75" customHeight="1" s="108">
      <c r="A199" s="83" t="inlineStr">
        <is>
          <t>F0195</t>
        </is>
      </c>
      <c r="B199" s="83" t="inlineStr">
        <is>
          <t>The Lego Movie</t>
        </is>
      </c>
      <c r="C199" s="83" t="inlineStr">
        <is>
          <t>2014</t>
        </is>
      </c>
      <c r="D199" s="83" t="n">
        <v>1</v>
      </c>
      <c r="E199" s="83" t="n">
        <v>0</v>
      </c>
      <c r="F199" s="84" t="n"/>
      <c r="G199" s="83" t="n">
        <v>0</v>
      </c>
      <c r="H199" s="83" t="n">
        <v>0</v>
      </c>
      <c r="I199" s="85" t="n"/>
      <c r="J199" s="85" t="n">
        <v>0</v>
      </c>
      <c r="K199" s="85" t="n">
        <v>0</v>
      </c>
      <c r="L199" s="85" t="n"/>
      <c r="M199" s="85" t="n">
        <v>0</v>
      </c>
      <c r="N199" s="85" t="n">
        <v>0</v>
      </c>
      <c r="O199" s="85" t="n"/>
      <c r="P199" s="85" t="n"/>
      <c r="Q199" s="85" t="inlineStr">
        <is>
          <t>MUSIC (Original Song)</t>
        </is>
      </c>
      <c r="R199" s="85" t="inlineStr">
        <is>
          <t>https://github.com/DLu/oscar_data</t>
        </is>
      </c>
    </row>
    <row r="200" ht="15.75" customHeight="1" s="108">
      <c r="A200" s="83" t="inlineStr">
        <is>
          <t>F0196</t>
        </is>
      </c>
      <c r="B200" s="83" t="inlineStr">
        <is>
          <t>The Lego Movie 2: The Second Part</t>
        </is>
      </c>
      <c r="C200" s="83" t="inlineStr">
        <is>
          <t>2019</t>
        </is>
      </c>
      <c r="D200" s="83" t="n">
        <v>0</v>
      </c>
      <c r="E200" s="83" t="n">
        <v>0</v>
      </c>
      <c r="F200" s="84" t="n"/>
      <c r="G200" s="83" t="n">
        <v>0</v>
      </c>
      <c r="H200" s="83" t="n">
        <v>0</v>
      </c>
      <c r="I200" s="85" t="n"/>
      <c r="J200" s="85" t="n">
        <v>0</v>
      </c>
      <c r="K200" s="85" t="n">
        <v>0</v>
      </c>
      <c r="L200" s="85" t="n"/>
      <c r="M200" s="85" t="n">
        <v>0</v>
      </c>
      <c r="N200" s="85" t="n">
        <v>0</v>
      </c>
      <c r="O200" s="85" t="n"/>
      <c r="P200" s="85" t="n"/>
      <c r="Q200" s="85" t="n"/>
      <c r="R200" s="85" t="inlineStr">
        <is>
          <t>https://github.com/DLu/oscar_data</t>
        </is>
      </c>
    </row>
    <row r="201" ht="15.75" customHeight="1" s="108">
      <c r="A201" s="83" t="inlineStr">
        <is>
          <t>F0197</t>
        </is>
      </c>
      <c r="B201" s="83" t="inlineStr">
        <is>
          <t>Lego DC Comics Super Heroes: Justice League vs. Bizarro League</t>
        </is>
      </c>
      <c r="C201" s="83" t="inlineStr">
        <is>
          <t>2015</t>
        </is>
      </c>
      <c r="D201" s="83" t="n">
        <v>0</v>
      </c>
      <c r="E201" s="83" t="n">
        <v>0</v>
      </c>
      <c r="F201" s="84" t="n"/>
      <c r="G201" s="83" t="n">
        <v>0</v>
      </c>
      <c r="H201" s="83" t="n">
        <v>0</v>
      </c>
      <c r="I201" s="85" t="n"/>
      <c r="J201" s="85" t="n">
        <v>0</v>
      </c>
      <c r="K201" s="85" t="n">
        <v>0</v>
      </c>
      <c r="L201" s="85" t="n"/>
      <c r="M201" s="85" t="n">
        <v>0</v>
      </c>
      <c r="N201" s="85" t="n">
        <v>0</v>
      </c>
      <c r="O201" s="85" t="n"/>
      <c r="P201" s="85" t="n"/>
      <c r="Q201" s="85" t="n"/>
      <c r="R201" s="85" t="inlineStr">
        <is>
          <t>https://github.com/DLu/oscar_data</t>
        </is>
      </c>
    </row>
    <row r="202" ht="15.75" customHeight="1" s="108">
      <c r="A202" s="83" t="inlineStr">
        <is>
          <t>F0198</t>
        </is>
      </c>
      <c r="B202" s="83" t="inlineStr">
        <is>
          <t>Lego DC Comics Super Heroes: Justice League - Gotham City Breakout</t>
        </is>
      </c>
      <c r="C202" s="83" t="inlineStr">
        <is>
          <t>2016</t>
        </is>
      </c>
      <c r="D202" s="83" t="n">
        <v>0</v>
      </c>
      <c r="E202" s="83" t="n">
        <v>0</v>
      </c>
      <c r="F202" s="84" t="n"/>
      <c r="G202" s="83" t="n">
        <v>0</v>
      </c>
      <c r="H202" s="83" t="n">
        <v>0</v>
      </c>
      <c r="I202" s="85" t="n"/>
      <c r="J202" s="85" t="n">
        <v>0</v>
      </c>
      <c r="K202" s="85" t="n">
        <v>0</v>
      </c>
      <c r="L202" s="85" t="n"/>
      <c r="M202" s="85" t="n">
        <v>0</v>
      </c>
      <c r="N202" s="85" t="n">
        <v>0</v>
      </c>
      <c r="O202" s="85" t="n"/>
      <c r="P202" s="85" t="n"/>
      <c r="Q202" s="85" t="n"/>
      <c r="R202" s="85" t="inlineStr">
        <is>
          <t>https://github.com/DLu/oscar_data</t>
        </is>
      </c>
    </row>
    <row r="203" ht="45" customHeight="1" s="108">
      <c r="A203" s="83" t="inlineStr">
        <is>
          <t>F0199</t>
        </is>
      </c>
      <c r="B203" s="83" t="inlineStr">
        <is>
          <t>Les Misérables</t>
        </is>
      </c>
      <c r="C203" s="83" t="inlineStr">
        <is>
          <t>2012</t>
        </is>
      </c>
      <c r="D203" s="83" t="n">
        <v>8</v>
      </c>
      <c r="E203" s="83" t="n">
        <v>3</v>
      </c>
      <c r="F203" s="83" t="inlineStr">
        <is>
          <t>Nominated</t>
        </is>
      </c>
      <c r="G203" s="83" t="n">
        <v>2</v>
      </c>
      <c r="H203" s="83" t="n">
        <v>1</v>
      </c>
      <c r="I203" s="85" t="inlineStr">
        <is>
          <t>Anne Hathaway</t>
        </is>
      </c>
      <c r="J203" s="85" t="n">
        <v>0</v>
      </c>
      <c r="K203" s="85" t="n">
        <v>0</v>
      </c>
      <c r="L203" s="85" t="n"/>
      <c r="M203" s="85" t="n">
        <v>0</v>
      </c>
      <c r="N203" s="85" t="n">
        <v>0</v>
      </c>
      <c r="O203" s="85" t="n"/>
      <c r="P203" s="85" t="inlineStr">
        <is>
          <t>ACTRESS IN A SUPPORTING ROLE; MAKEUP AND HAIRSTYLING; SOUND MIXING</t>
        </is>
      </c>
      <c r="Q203" s="85" t="inlineStr">
        <is>
          <t>ACTOR IN A LEADING ROLE; ACTRESS IN A SUPPORTING ROLE; COSTUME DESIGN; MAKEUP AND HAIRSTYLING; MUSIC (Original Song); BEST PICTURE; ART DIRECTION; SOUND MIXING</t>
        </is>
      </c>
      <c r="R203" s="85" t="inlineStr">
        <is>
          <t>https://github.com/DLu/oscar_data</t>
        </is>
      </c>
    </row>
    <row r="204" ht="15.75" customHeight="1" s="108">
      <c r="A204" s="83" t="inlineStr">
        <is>
          <t>F0200</t>
        </is>
      </c>
      <c r="B204" s="83" t="inlineStr">
        <is>
          <t>The Lion King</t>
        </is>
      </c>
      <c r="C204" s="83" t="inlineStr">
        <is>
          <t>1994</t>
        </is>
      </c>
      <c r="D204" s="83" t="n">
        <v>3</v>
      </c>
      <c r="E204" s="83" t="n">
        <v>2</v>
      </c>
      <c r="F204" s="84" t="n"/>
      <c r="G204" s="83" t="n">
        <v>0</v>
      </c>
      <c r="H204" s="83" t="n">
        <v>0</v>
      </c>
      <c r="I204" s="85" t="n"/>
      <c r="J204" s="85" t="n">
        <v>0</v>
      </c>
      <c r="K204" s="85" t="n">
        <v>0</v>
      </c>
      <c r="L204" s="85" t="n"/>
      <c r="M204" s="85" t="n">
        <v>0</v>
      </c>
      <c r="N204" s="85" t="n">
        <v>0</v>
      </c>
      <c r="O204" s="85" t="n"/>
      <c r="P204" s="85" t="inlineStr">
        <is>
          <t>MUSIC (Original Score); MUSIC (Original Song)</t>
        </is>
      </c>
      <c r="Q204" s="85" t="inlineStr">
        <is>
          <t>MUSIC (Original Score); MUSIC (Original Song)</t>
        </is>
      </c>
      <c r="R204" s="85" t="inlineStr">
        <is>
          <t>https://github.com/DLu/oscar_data</t>
        </is>
      </c>
    </row>
    <row r="205" ht="15.75" customHeight="1" s="108">
      <c r="A205" s="83" t="inlineStr">
        <is>
          <t>F0201</t>
        </is>
      </c>
      <c r="B205" s="83" t="inlineStr">
        <is>
          <t>Logan</t>
        </is>
      </c>
      <c r="C205" s="83" t="inlineStr">
        <is>
          <t>2017</t>
        </is>
      </c>
      <c r="D205" s="83" t="n">
        <v>1</v>
      </c>
      <c r="E205" s="83" t="n">
        <v>0</v>
      </c>
      <c r="F205" s="84" t="n"/>
      <c r="G205" s="83" t="n">
        <v>0</v>
      </c>
      <c r="H205" s="83" t="n">
        <v>0</v>
      </c>
      <c r="I205" s="85" t="n"/>
      <c r="J205" s="85" t="n">
        <v>0</v>
      </c>
      <c r="K205" s="85" t="n">
        <v>0</v>
      </c>
      <c r="L205" s="85" t="n"/>
      <c r="M205" s="85" t="n">
        <v>1</v>
      </c>
      <c r="N205" s="85" t="n">
        <v>0</v>
      </c>
      <c r="O205" s="85" t="n"/>
      <c r="P205" s="85" t="n"/>
      <c r="Q205" s="85" t="inlineStr">
        <is>
          <t>WRITING (Adapted Screenplay)</t>
        </is>
      </c>
      <c r="R205" s="85" t="inlineStr">
        <is>
          <t>https://github.com/DLu/oscar_data</t>
        </is>
      </c>
    </row>
    <row r="206" ht="15.75" customHeight="1" s="108">
      <c r="A206" s="83" t="inlineStr">
        <is>
          <t>F0202</t>
        </is>
      </c>
      <c r="B206" s="83" t="inlineStr">
        <is>
          <t>Lone Survivor</t>
        </is>
      </c>
      <c r="C206" s="83" t="inlineStr">
        <is>
          <t>2013</t>
        </is>
      </c>
      <c r="D206" s="83" t="n">
        <v>2</v>
      </c>
      <c r="E206" s="83" t="n">
        <v>0</v>
      </c>
      <c r="F206" s="84" t="n"/>
      <c r="G206" s="83" t="n">
        <v>0</v>
      </c>
      <c r="H206" s="83" t="n">
        <v>0</v>
      </c>
      <c r="I206" s="85" t="n"/>
      <c r="J206" s="85" t="n">
        <v>0</v>
      </c>
      <c r="K206" s="85" t="n">
        <v>0</v>
      </c>
      <c r="L206" s="85" t="n"/>
      <c r="M206" s="85" t="n">
        <v>0</v>
      </c>
      <c r="N206" s="85" t="n">
        <v>0</v>
      </c>
      <c r="O206" s="85" t="n"/>
      <c r="P206" s="85" t="n"/>
      <c r="Q206" s="85" t="inlineStr">
        <is>
          <t>SOUND EDITING; SOUND MIXING</t>
        </is>
      </c>
      <c r="R206" s="85" t="inlineStr">
        <is>
          <t>https://github.com/DLu/oscar_data</t>
        </is>
      </c>
    </row>
    <row r="207" ht="75" customHeight="1" s="108">
      <c r="A207" s="83" t="inlineStr">
        <is>
          <t>F0203</t>
        </is>
      </c>
      <c r="B207" s="83" t="inlineStr">
        <is>
          <t>The Lord of the Rings: The Fellowship of the Ring</t>
        </is>
      </c>
      <c r="C207" s="83" t="inlineStr">
        <is>
          <t>2001</t>
        </is>
      </c>
      <c r="D207" s="83" t="n">
        <v>13</v>
      </c>
      <c r="E207" s="83" t="n">
        <v>4</v>
      </c>
      <c r="F207" s="83" t="inlineStr">
        <is>
          <t>Nominated</t>
        </is>
      </c>
      <c r="G207" s="83" t="n">
        <v>1</v>
      </c>
      <c r="H207" s="83" t="n">
        <v>0</v>
      </c>
      <c r="I207" s="85" t="n"/>
      <c r="J207" s="85" t="n">
        <v>1</v>
      </c>
      <c r="K207" s="85" t="n">
        <v>0</v>
      </c>
      <c r="L207" s="85" t="n"/>
      <c r="M207" s="85" t="n">
        <v>1</v>
      </c>
      <c r="N207" s="85" t="n">
        <v>0</v>
      </c>
      <c r="O207" s="85" t="n"/>
      <c r="P207" s="85" t="inlineStr">
        <is>
          <t>CINEMATOGRAPHY; MAKEUP AND HAIRSTYLING; MUSIC (Original Score); VISUAL EFFECTS</t>
        </is>
      </c>
      <c r="Q207" s="85" t="inlineStr">
        <is>
          <t>ACTOR IN A SUPPORTING ROLE; ART DIRECTION; CINEMATOGRAPHY; COSTUME DESIGN; DIRECTING; FILM EDITING; MAKEUP AND HAIRSTYLING; MUSIC (Original Score); MUSIC (Original Song); BEST PICTURE; SOUND MIXING; VISUAL EFFECTS; WRITING (Adapted Screenplay)</t>
        </is>
      </c>
      <c r="R207" s="85" t="inlineStr">
        <is>
          <t>https://github.com/DLu/oscar_data</t>
        </is>
      </c>
    </row>
    <row r="208" ht="30" customHeight="1" s="108">
      <c r="A208" s="83" t="inlineStr">
        <is>
          <t>F0204</t>
        </is>
      </c>
      <c r="B208" s="83" t="inlineStr">
        <is>
          <t>The Lord of the Rings: The Two Towers</t>
        </is>
      </c>
      <c r="C208" s="83" t="inlineStr">
        <is>
          <t>2002</t>
        </is>
      </c>
      <c r="D208" s="83" t="n">
        <v>6</v>
      </c>
      <c r="E208" s="83" t="n">
        <v>2</v>
      </c>
      <c r="F208" s="83" t="inlineStr">
        <is>
          <t>Nominated</t>
        </is>
      </c>
      <c r="G208" s="83" t="n">
        <v>0</v>
      </c>
      <c r="H208" s="83" t="n">
        <v>0</v>
      </c>
      <c r="I208" s="85" t="n"/>
      <c r="J208" s="85" t="n">
        <v>0</v>
      </c>
      <c r="K208" s="85" t="n">
        <v>0</v>
      </c>
      <c r="L208" s="85" t="n"/>
      <c r="M208" s="85" t="n">
        <v>0</v>
      </c>
      <c r="N208" s="85" t="n">
        <v>0</v>
      </c>
      <c r="O208" s="85" t="n"/>
      <c r="P208" s="85" t="inlineStr">
        <is>
          <t>SOUND EDITING; VISUAL EFFECTS</t>
        </is>
      </c>
      <c r="Q208" s="85" t="inlineStr">
        <is>
          <t>ART DIRECTION; FILM EDITING; BEST PICTURE; SOUND MIXING; SOUND EDITING; VISUAL EFFECTS</t>
        </is>
      </c>
      <c r="R208" s="85" t="inlineStr">
        <is>
          <t>https://github.com/DLu/oscar_data</t>
        </is>
      </c>
    </row>
    <row r="209" ht="75" customHeight="1" s="108">
      <c r="A209" s="83" t="inlineStr">
        <is>
          <t>F0205</t>
        </is>
      </c>
      <c r="B209" s="83" t="inlineStr">
        <is>
          <t>The Lord of the Rings: The Return of the King</t>
        </is>
      </c>
      <c r="C209" s="83" t="inlineStr">
        <is>
          <t>2003</t>
        </is>
      </c>
      <c r="D209" s="83" t="n">
        <v>11</v>
      </c>
      <c r="E209" s="83" t="n">
        <v>11</v>
      </c>
      <c r="F209" s="83" t="inlineStr">
        <is>
          <t>Winner</t>
        </is>
      </c>
      <c r="G209" s="83" t="n">
        <v>0</v>
      </c>
      <c r="H209" s="83" t="n">
        <v>0</v>
      </c>
      <c r="I209" s="85" t="n"/>
      <c r="J209" s="85" t="n">
        <v>1</v>
      </c>
      <c r="K209" s="85" t="n">
        <v>1</v>
      </c>
      <c r="L209" s="85" t="inlineStr">
        <is>
          <t>Peter Jackson</t>
        </is>
      </c>
      <c r="M209" s="85" t="n">
        <v>1</v>
      </c>
      <c r="N209" s="85" t="n">
        <v>1</v>
      </c>
      <c r="O209" s="85" t="n"/>
      <c r="P209" s="85" t="inlineStr">
        <is>
          <t>ART DIRECTION; COSTUME DESIGN; DIRECTING; FILM EDITING; MAKEUP AND HAIRSTYLING; MUSIC (Original Score); MUSIC (Original Song); BEST PICTURE; SOUND MIXING; VISUAL EFFECTS; WRITING (Adapted Screenplay)</t>
        </is>
      </c>
      <c r="Q209" s="85" t="inlineStr">
        <is>
          <t>ART DIRECTION; COSTUME DESIGN; DIRECTING; FILM EDITING; MAKEUP AND HAIRSTYLING; MUSIC (Original Score); MUSIC (Original Song); BEST PICTURE; SOUND MIXING; VISUAL EFFECTS; WRITING (Adapted Screenplay)</t>
        </is>
      </c>
      <c r="R209" s="85" t="inlineStr">
        <is>
          <t>https://github.com/DLu/oscar_data</t>
        </is>
      </c>
    </row>
    <row r="210" ht="15.75" customHeight="1" s="108">
      <c r="A210" s="83" t="inlineStr">
        <is>
          <t>F0206</t>
        </is>
      </c>
      <c r="B210" s="83" t="inlineStr">
        <is>
          <t>Magic Mike</t>
        </is>
      </c>
      <c r="C210" s="83" t="inlineStr">
        <is>
          <t>2012</t>
        </is>
      </c>
      <c r="D210" s="83" t="n">
        <v>0</v>
      </c>
      <c r="E210" s="83" t="n">
        <v>0</v>
      </c>
      <c r="F210" s="84" t="n"/>
      <c r="G210" s="83" t="n">
        <v>0</v>
      </c>
      <c r="H210" s="83" t="n">
        <v>0</v>
      </c>
      <c r="I210" s="85" t="n"/>
      <c r="J210" s="85" t="n">
        <v>0</v>
      </c>
      <c r="K210" s="85" t="n">
        <v>0</v>
      </c>
      <c r="L210" s="85" t="n"/>
      <c r="M210" s="85" t="n">
        <v>0</v>
      </c>
      <c r="N210" s="85" t="n">
        <v>0</v>
      </c>
      <c r="O210" s="85" t="n"/>
      <c r="P210" s="85" t="n"/>
      <c r="Q210" s="85" t="n"/>
      <c r="R210" s="85" t="inlineStr">
        <is>
          <t>https://github.com/DLu/oscar_data</t>
        </is>
      </c>
    </row>
    <row r="211" ht="15.75" customHeight="1" s="108">
      <c r="A211" s="83" t="inlineStr">
        <is>
          <t>F0207</t>
        </is>
      </c>
      <c r="B211" s="83" t="inlineStr">
        <is>
          <t>The Magnificent Seven</t>
        </is>
      </c>
      <c r="C211" s="83" t="inlineStr">
        <is>
          <t>2016</t>
        </is>
      </c>
      <c r="D211" s="83" t="n">
        <v>0</v>
      </c>
      <c r="E211" s="83" t="n">
        <v>0</v>
      </c>
      <c r="F211" s="84" t="n"/>
      <c r="G211" s="83" t="n">
        <v>0</v>
      </c>
      <c r="H211" s="83" t="n">
        <v>0</v>
      </c>
      <c r="I211" s="85" t="n"/>
      <c r="J211" s="85" t="n">
        <v>0</v>
      </c>
      <c r="K211" s="85" t="n">
        <v>0</v>
      </c>
      <c r="L211" s="85" t="n"/>
      <c r="M211" s="85" t="n">
        <v>0</v>
      </c>
      <c r="N211" s="85" t="n">
        <v>0</v>
      </c>
      <c r="O211" s="85" t="n"/>
      <c r="P211" s="85" t="n"/>
      <c r="Q211" s="85" t="n"/>
      <c r="R211" s="85" t="inlineStr">
        <is>
          <t>https://github.com/DLu/oscar_data</t>
        </is>
      </c>
    </row>
    <row r="212" ht="15.75" customHeight="1" s="108">
      <c r="A212" s="83" t="inlineStr">
        <is>
          <t>F0208</t>
        </is>
      </c>
      <c r="B212" s="83" t="inlineStr">
        <is>
          <t>Maleficent</t>
        </is>
      </c>
      <c r="C212" s="83" t="inlineStr">
        <is>
          <t>2014</t>
        </is>
      </c>
      <c r="D212" s="83" t="n">
        <v>1</v>
      </c>
      <c r="E212" s="83" t="n">
        <v>0</v>
      </c>
      <c r="F212" s="84" t="n"/>
      <c r="G212" s="83" t="n">
        <v>0</v>
      </c>
      <c r="H212" s="83" t="n">
        <v>0</v>
      </c>
      <c r="I212" s="85" t="n"/>
      <c r="J212" s="85" t="n">
        <v>0</v>
      </c>
      <c r="K212" s="85" t="n">
        <v>0</v>
      </c>
      <c r="L212" s="85" t="n"/>
      <c r="M212" s="85" t="n">
        <v>0</v>
      </c>
      <c r="N212" s="85" t="n">
        <v>0</v>
      </c>
      <c r="O212" s="85" t="n"/>
      <c r="P212" s="85" t="n"/>
      <c r="Q212" s="85" t="inlineStr">
        <is>
          <t>COSTUME DESIGN</t>
        </is>
      </c>
      <c r="R212" s="85" t="inlineStr">
        <is>
          <t>https://github.com/DLu/oscar_data</t>
        </is>
      </c>
    </row>
    <row r="213" ht="15.75" customHeight="1" s="108">
      <c r="A213" s="83" t="inlineStr">
        <is>
          <t>F0209</t>
        </is>
      </c>
      <c r="B213" s="83" t="inlineStr">
        <is>
          <t>Mamma Mia!</t>
        </is>
      </c>
      <c r="C213" s="83" t="inlineStr">
        <is>
          <t>2008</t>
        </is>
      </c>
      <c r="D213" s="83" t="n">
        <v>0</v>
      </c>
      <c r="E213" s="83" t="n">
        <v>0</v>
      </c>
      <c r="F213" s="84" t="n"/>
      <c r="G213" s="83" t="n">
        <v>0</v>
      </c>
      <c r="H213" s="83" t="n">
        <v>0</v>
      </c>
      <c r="I213" s="85" t="n"/>
      <c r="J213" s="85" t="n">
        <v>0</v>
      </c>
      <c r="K213" s="85" t="n">
        <v>0</v>
      </c>
      <c r="L213" s="85" t="n"/>
      <c r="M213" s="85" t="n">
        <v>0</v>
      </c>
      <c r="N213" s="85" t="n">
        <v>0</v>
      </c>
      <c r="O213" s="85" t="n"/>
      <c r="P213" s="85" t="n"/>
      <c r="Q213" s="85" t="n"/>
      <c r="R213" s="85" t="inlineStr">
        <is>
          <t>https://github.com/DLu/oscar_data</t>
        </is>
      </c>
    </row>
    <row r="214" ht="15.75" customHeight="1" s="108">
      <c r="A214" s="83" t="inlineStr">
        <is>
          <t>F0210</t>
        </is>
      </c>
      <c r="B214" s="83" t="inlineStr">
        <is>
          <t>Man on a Ledge</t>
        </is>
      </c>
      <c r="C214" s="83" t="inlineStr">
        <is>
          <t>2012</t>
        </is>
      </c>
      <c r="D214" s="83" t="n">
        <v>0</v>
      </c>
      <c r="E214" s="83" t="n">
        <v>0</v>
      </c>
      <c r="F214" s="84" t="n"/>
      <c r="G214" s="83" t="n">
        <v>0</v>
      </c>
      <c r="H214" s="83" t="n">
        <v>0</v>
      </c>
      <c r="I214" s="85" t="n"/>
      <c r="J214" s="85" t="n">
        <v>0</v>
      </c>
      <c r="K214" s="85" t="n">
        <v>0</v>
      </c>
      <c r="L214" s="85" t="n"/>
      <c r="M214" s="85" t="n">
        <v>0</v>
      </c>
      <c r="N214" s="85" t="n">
        <v>0</v>
      </c>
      <c r="O214" s="85" t="n"/>
      <c r="P214" s="85" t="n"/>
      <c r="Q214" s="85" t="n"/>
      <c r="R214" s="85" t="inlineStr">
        <is>
          <t>https://github.com/DLu/oscar_data</t>
        </is>
      </c>
    </row>
    <row r="215" ht="15.75" customHeight="1" s="108">
      <c r="A215" s="83" t="inlineStr">
        <is>
          <t>F0211</t>
        </is>
      </c>
      <c r="B215" s="83" t="inlineStr">
        <is>
          <t>Man of Steel</t>
        </is>
      </c>
      <c r="C215" s="83" t="inlineStr">
        <is>
          <t>2013</t>
        </is>
      </c>
      <c r="D215" s="83" t="n">
        <v>0</v>
      </c>
      <c r="E215" s="83" t="n">
        <v>0</v>
      </c>
      <c r="F215" s="84" t="n"/>
      <c r="G215" s="83" t="n">
        <v>0</v>
      </c>
      <c r="H215" s="83" t="n">
        <v>0</v>
      </c>
      <c r="I215" s="85" t="n"/>
      <c r="J215" s="85" t="n">
        <v>0</v>
      </c>
      <c r="K215" s="85" t="n">
        <v>0</v>
      </c>
      <c r="L215" s="85" t="n"/>
      <c r="M215" s="85" t="n">
        <v>0</v>
      </c>
      <c r="N215" s="85" t="n">
        <v>0</v>
      </c>
      <c r="O215" s="85" t="n"/>
      <c r="P215" s="85" t="n"/>
      <c r="Q215" s="85" t="n"/>
      <c r="R215" s="85" t="inlineStr">
        <is>
          <t>https://github.com/DLu/oscar_data</t>
        </is>
      </c>
    </row>
    <row r="216" ht="15.75" customHeight="1" s="108">
      <c r="A216" s="83" t="inlineStr">
        <is>
          <t>F0212</t>
        </is>
      </c>
      <c r="B216" s="83" t="inlineStr">
        <is>
          <t>The Super Mario Bros. Movie</t>
        </is>
      </c>
      <c r="C216" s="83" t="inlineStr">
        <is>
          <t>2023</t>
        </is>
      </c>
      <c r="D216" s="83" t="n">
        <v>0</v>
      </c>
      <c r="E216" s="83" t="n">
        <v>0</v>
      </c>
      <c r="F216" s="84" t="n"/>
      <c r="G216" s="83" t="n">
        <v>0</v>
      </c>
      <c r="H216" s="83" t="n">
        <v>0</v>
      </c>
      <c r="I216" s="85" t="n"/>
      <c r="J216" s="85" t="n">
        <v>0</v>
      </c>
      <c r="K216" s="85" t="n">
        <v>0</v>
      </c>
      <c r="L216" s="85" t="n"/>
      <c r="M216" s="85" t="n">
        <v>0</v>
      </c>
      <c r="N216" s="85" t="n">
        <v>0</v>
      </c>
      <c r="O216" s="85" t="n"/>
      <c r="P216" s="85" t="n"/>
      <c r="Q216" s="85" t="n"/>
      <c r="R216" s="85" t="inlineStr">
        <is>
          <t>https://github.com/DLu/oscar_data</t>
        </is>
      </c>
    </row>
    <row r="217" ht="45" customHeight="1" s="108">
      <c r="A217" s="83" t="inlineStr">
        <is>
          <t>F0213</t>
        </is>
      </c>
      <c r="B217" s="83" t="inlineStr">
        <is>
          <t>The Martian</t>
        </is>
      </c>
      <c r="C217" s="83" t="inlineStr">
        <is>
          <t>2015</t>
        </is>
      </c>
      <c r="D217" s="83" t="n">
        <v>7</v>
      </c>
      <c r="E217" s="83" t="n">
        <v>0</v>
      </c>
      <c r="F217" s="83" t="inlineStr">
        <is>
          <t>Nominated</t>
        </is>
      </c>
      <c r="G217" s="83" t="n">
        <v>1</v>
      </c>
      <c r="H217" s="83" t="n">
        <v>0</v>
      </c>
      <c r="I217" s="85" t="n"/>
      <c r="J217" s="85" t="n">
        <v>0</v>
      </c>
      <c r="K217" s="85" t="n">
        <v>0</v>
      </c>
      <c r="L217" s="85" t="n"/>
      <c r="M217" s="85" t="n">
        <v>1</v>
      </c>
      <c r="N217" s="85" t="n">
        <v>0</v>
      </c>
      <c r="O217" s="85" t="n"/>
      <c r="P217" s="85" t="n"/>
      <c r="Q217" s="85" t="inlineStr">
        <is>
          <t>ACTOR IN A LEADING ROLE; BEST PICTURE; ART DIRECTION; SOUND EDITING; SOUND MIXING; VISUAL EFFECTS; WRITING (Adapted Screenplay)</t>
        </is>
      </c>
      <c r="R217" s="85" t="inlineStr">
        <is>
          <t>https://github.com/DLu/oscar_data</t>
        </is>
      </c>
    </row>
    <row r="218" ht="30" customHeight="1" s="108">
      <c r="A218" s="83" t="inlineStr">
        <is>
          <t>F0214</t>
        </is>
      </c>
      <c r="B218" s="83" t="inlineStr">
        <is>
          <t>The Matrix</t>
        </is>
      </c>
      <c r="C218" s="83" t="inlineStr">
        <is>
          <t>1999</t>
        </is>
      </c>
      <c r="D218" s="83" t="n">
        <v>4</v>
      </c>
      <c r="E218" s="83" t="n">
        <v>4</v>
      </c>
      <c r="F218" s="84" t="n"/>
      <c r="G218" s="83" t="n">
        <v>0</v>
      </c>
      <c r="H218" s="83" t="n">
        <v>0</v>
      </c>
      <c r="I218" s="85" t="n"/>
      <c r="J218" s="85" t="n">
        <v>0</v>
      </c>
      <c r="K218" s="85" t="n">
        <v>0</v>
      </c>
      <c r="L218" s="85" t="n"/>
      <c r="M218" s="85" t="n">
        <v>0</v>
      </c>
      <c r="N218" s="85" t="n">
        <v>0</v>
      </c>
      <c r="O218" s="85" t="n"/>
      <c r="P218" s="85" t="inlineStr">
        <is>
          <t>FILM EDITING; SOUND MIXING; SOUND EDITING; VISUAL EFFECTS</t>
        </is>
      </c>
      <c r="Q218" s="85" t="inlineStr">
        <is>
          <t>FILM EDITING; SOUND MIXING; SOUND EDITING; VISUAL EFFECTS</t>
        </is>
      </c>
      <c r="R218" s="85" t="inlineStr">
        <is>
          <t>https://github.com/DLu/oscar_data</t>
        </is>
      </c>
    </row>
    <row r="219" ht="15.75" customHeight="1" s="108">
      <c r="A219" s="83" t="inlineStr">
        <is>
          <t>F0215</t>
        </is>
      </c>
      <c r="B219" s="83" t="inlineStr">
        <is>
          <t>The Matrix Reloaded</t>
        </is>
      </c>
      <c r="C219" s="83" t="inlineStr">
        <is>
          <t>2003</t>
        </is>
      </c>
      <c r="D219" s="83" t="n">
        <v>0</v>
      </c>
      <c r="E219" s="83" t="n">
        <v>0</v>
      </c>
      <c r="F219" s="84" t="n"/>
      <c r="G219" s="83" t="n">
        <v>0</v>
      </c>
      <c r="H219" s="83" t="n">
        <v>0</v>
      </c>
      <c r="I219" s="85" t="n"/>
      <c r="J219" s="85" t="n">
        <v>0</v>
      </c>
      <c r="K219" s="85" t="n">
        <v>0</v>
      </c>
      <c r="L219" s="85" t="n"/>
      <c r="M219" s="85" t="n">
        <v>0</v>
      </c>
      <c r="N219" s="85" t="n">
        <v>0</v>
      </c>
      <c r="O219" s="85" t="n"/>
      <c r="P219" s="85" t="n"/>
      <c r="Q219" s="85" t="n"/>
      <c r="R219" s="85" t="inlineStr">
        <is>
          <t>https://github.com/DLu/oscar_data</t>
        </is>
      </c>
    </row>
    <row r="220" ht="15.75" customHeight="1" s="108">
      <c r="A220" s="83" t="inlineStr">
        <is>
          <t>F0216</t>
        </is>
      </c>
      <c r="B220" s="83" t="inlineStr">
        <is>
          <t>The Matrix Revolutions</t>
        </is>
      </c>
      <c r="C220" s="83" t="inlineStr">
        <is>
          <t>2003</t>
        </is>
      </c>
      <c r="D220" s="83" t="n">
        <v>0</v>
      </c>
      <c r="E220" s="83" t="n">
        <v>0</v>
      </c>
      <c r="F220" s="84" t="n"/>
      <c r="G220" s="83" t="n">
        <v>0</v>
      </c>
      <c r="H220" s="83" t="n">
        <v>0</v>
      </c>
      <c r="I220" s="85" t="n"/>
      <c r="J220" s="85" t="n">
        <v>0</v>
      </c>
      <c r="K220" s="85" t="n">
        <v>0</v>
      </c>
      <c r="L220" s="85" t="n"/>
      <c r="M220" s="85" t="n">
        <v>0</v>
      </c>
      <c r="N220" s="85" t="n">
        <v>0</v>
      </c>
      <c r="O220" s="85" t="n"/>
      <c r="P220" s="85" t="n"/>
      <c r="Q220" s="85" t="n"/>
      <c r="R220" s="85" t="inlineStr">
        <is>
          <t>https://github.com/DLu/oscar_data</t>
        </is>
      </c>
    </row>
    <row r="221" ht="15.75" customHeight="1" s="108">
      <c r="A221" s="83" t="inlineStr">
        <is>
          <t>F0217</t>
        </is>
      </c>
      <c r="B221" s="83" t="inlineStr">
        <is>
          <t>The Maze Runner</t>
        </is>
      </c>
      <c r="C221" s="83" t="inlineStr">
        <is>
          <t>2014</t>
        </is>
      </c>
      <c r="D221" s="83" t="n">
        <v>0</v>
      </c>
      <c r="E221" s="83" t="n">
        <v>0</v>
      </c>
      <c r="F221" s="84" t="n"/>
      <c r="G221" s="83" t="n">
        <v>0</v>
      </c>
      <c r="H221" s="83" t="n">
        <v>0</v>
      </c>
      <c r="I221" s="85" t="n"/>
      <c r="J221" s="85" t="n">
        <v>0</v>
      </c>
      <c r="K221" s="85" t="n">
        <v>0</v>
      </c>
      <c r="L221" s="85" t="n"/>
      <c r="M221" s="85" t="n">
        <v>0</v>
      </c>
      <c r="N221" s="85" t="n">
        <v>0</v>
      </c>
      <c r="O221" s="85" t="n"/>
      <c r="P221" s="85" t="n"/>
      <c r="Q221" s="85" t="n"/>
      <c r="R221" s="85" t="inlineStr">
        <is>
          <t>https://github.com/DLu/oscar_data</t>
        </is>
      </c>
    </row>
    <row r="222" ht="30" customHeight="1" s="108">
      <c r="A222" s="83" t="inlineStr">
        <is>
          <t>F0218</t>
        </is>
      </c>
      <c r="B222" s="83" t="inlineStr">
        <is>
          <t>Men in Black</t>
        </is>
      </c>
      <c r="C222" s="83" t="inlineStr">
        <is>
          <t>1997</t>
        </is>
      </c>
      <c r="D222" s="83" t="n">
        <v>3</v>
      </c>
      <c r="E222" s="83" t="n">
        <v>1</v>
      </c>
      <c r="F222" s="84" t="n"/>
      <c r="G222" s="83" t="n">
        <v>0</v>
      </c>
      <c r="H222" s="83" t="n">
        <v>0</v>
      </c>
      <c r="I222" s="85" t="n"/>
      <c r="J222" s="85" t="n">
        <v>0</v>
      </c>
      <c r="K222" s="85" t="n">
        <v>0</v>
      </c>
      <c r="L222" s="85" t="n"/>
      <c r="M222" s="85" t="n">
        <v>0</v>
      </c>
      <c r="N222" s="85" t="n">
        <v>0</v>
      </c>
      <c r="O222" s="85" t="n"/>
      <c r="P222" s="85" t="inlineStr">
        <is>
          <t>MAKEUP AND HAIRSTYLING</t>
        </is>
      </c>
      <c r="Q222" s="85" t="inlineStr">
        <is>
          <t>ART DIRECTION; MAKEUP AND HAIRSTYLING; MUSIC (Original Song Score or Adaptation Score)</t>
        </is>
      </c>
      <c r="R222" s="85" t="inlineStr">
        <is>
          <t>https://github.com/DLu/oscar_data</t>
        </is>
      </c>
    </row>
    <row r="223" ht="15.75" customHeight="1" s="108">
      <c r="A223" s="83" t="inlineStr">
        <is>
          <t>F0219</t>
        </is>
      </c>
      <c r="B223" s="83" t="inlineStr">
        <is>
          <t>Men in Black 3</t>
        </is>
      </c>
      <c r="C223" s="83" t="inlineStr">
        <is>
          <t>2012</t>
        </is>
      </c>
      <c r="D223" s="83" t="n">
        <v>0</v>
      </c>
      <c r="E223" s="83" t="n">
        <v>0</v>
      </c>
      <c r="F223" s="84" t="n"/>
      <c r="G223" s="83" t="n">
        <v>0</v>
      </c>
      <c r="H223" s="83" t="n">
        <v>0</v>
      </c>
      <c r="I223" s="85" t="n"/>
      <c r="J223" s="85" t="n">
        <v>0</v>
      </c>
      <c r="K223" s="85" t="n">
        <v>0</v>
      </c>
      <c r="L223" s="85" t="n"/>
      <c r="M223" s="85" t="n">
        <v>0</v>
      </c>
      <c r="N223" s="85" t="n">
        <v>0</v>
      </c>
      <c r="O223" s="85" t="n"/>
      <c r="P223" s="85" t="n"/>
      <c r="Q223" s="85" t="n"/>
      <c r="R223" s="85" t="inlineStr">
        <is>
          <t>https://github.com/DLu/oscar_data</t>
        </is>
      </c>
    </row>
    <row r="224" ht="15.75" customHeight="1" s="108">
      <c r="A224" s="83" t="inlineStr">
        <is>
          <t>F0220</t>
        </is>
      </c>
      <c r="B224" s="83" t="inlineStr">
        <is>
          <t>Minions</t>
        </is>
      </c>
      <c r="C224" s="83" t="inlineStr">
        <is>
          <t>2015</t>
        </is>
      </c>
      <c r="D224" s="83" t="n">
        <v>0</v>
      </c>
      <c r="E224" s="83" t="n">
        <v>0</v>
      </c>
      <c r="F224" s="84" t="n"/>
      <c r="G224" s="83" t="n">
        <v>0</v>
      </c>
      <c r="H224" s="83" t="n">
        <v>0</v>
      </c>
      <c r="I224" s="85" t="n"/>
      <c r="J224" s="85" t="n">
        <v>0</v>
      </c>
      <c r="K224" s="85" t="n">
        <v>0</v>
      </c>
      <c r="L224" s="85" t="n"/>
      <c r="M224" s="85" t="n">
        <v>0</v>
      </c>
      <c r="N224" s="85" t="n">
        <v>0</v>
      </c>
      <c r="O224" s="85" t="n"/>
      <c r="P224" s="85" t="n"/>
      <c r="Q224" s="85" t="n"/>
      <c r="R224" s="85" t="inlineStr">
        <is>
          <t>https://github.com/DLu/oscar_data</t>
        </is>
      </c>
    </row>
    <row r="225" ht="15.75" customHeight="1" s="108">
      <c r="A225" s="83" t="inlineStr">
        <is>
          <t>F0221</t>
        </is>
      </c>
      <c r="B225" s="83" t="inlineStr">
        <is>
          <t>Mission: Impossible</t>
        </is>
      </c>
      <c r="C225" s="83" t="inlineStr">
        <is>
          <t>1996</t>
        </is>
      </c>
      <c r="D225" s="83" t="n">
        <v>0</v>
      </c>
      <c r="E225" s="83" t="n">
        <v>0</v>
      </c>
      <c r="F225" s="84" t="n"/>
      <c r="G225" s="83" t="n">
        <v>0</v>
      </c>
      <c r="H225" s="83" t="n">
        <v>0</v>
      </c>
      <c r="I225" s="85" t="n"/>
      <c r="J225" s="85" t="n">
        <v>0</v>
      </c>
      <c r="K225" s="85" t="n">
        <v>0</v>
      </c>
      <c r="L225" s="85" t="n"/>
      <c r="M225" s="85" t="n">
        <v>0</v>
      </c>
      <c r="N225" s="85" t="n">
        <v>0</v>
      </c>
      <c r="O225" s="85" t="n"/>
      <c r="P225" s="85" t="n"/>
      <c r="Q225" s="85" t="n"/>
      <c r="R225" s="85" t="inlineStr">
        <is>
          <t>https://github.com/DLu/oscar_data</t>
        </is>
      </c>
    </row>
    <row r="226" ht="15.75" customHeight="1" s="108">
      <c r="A226" s="83" t="inlineStr">
        <is>
          <t>F0222</t>
        </is>
      </c>
      <c r="B226" s="83" t="inlineStr">
        <is>
          <t>Mission: Impossible II</t>
        </is>
      </c>
      <c r="C226" s="83" t="inlineStr">
        <is>
          <t>2000</t>
        </is>
      </c>
      <c r="D226" s="83" t="n">
        <v>0</v>
      </c>
      <c r="E226" s="83" t="n">
        <v>0</v>
      </c>
      <c r="F226" s="84" t="n"/>
      <c r="G226" s="83" t="n">
        <v>0</v>
      </c>
      <c r="H226" s="83" t="n">
        <v>0</v>
      </c>
      <c r="I226" s="85" t="n"/>
      <c r="J226" s="85" t="n">
        <v>0</v>
      </c>
      <c r="K226" s="85" t="n">
        <v>0</v>
      </c>
      <c r="L226" s="85" t="n"/>
      <c r="M226" s="85" t="n">
        <v>0</v>
      </c>
      <c r="N226" s="85" t="n">
        <v>0</v>
      </c>
      <c r="O226" s="85" t="n"/>
      <c r="P226" s="85" t="n"/>
      <c r="Q226" s="85" t="n"/>
      <c r="R226" s="85" t="inlineStr">
        <is>
          <t>https://github.com/DLu/oscar_data</t>
        </is>
      </c>
    </row>
    <row r="227" ht="15.75" customHeight="1" s="108">
      <c r="A227" s="83" t="inlineStr">
        <is>
          <t>F0223</t>
        </is>
      </c>
      <c r="B227" s="83" t="inlineStr">
        <is>
          <t>Mission: Impossible III</t>
        </is>
      </c>
      <c r="C227" s="83" t="inlineStr">
        <is>
          <t>2006</t>
        </is>
      </c>
      <c r="D227" s="83" t="n">
        <v>0</v>
      </c>
      <c r="E227" s="83" t="n">
        <v>0</v>
      </c>
      <c r="F227" s="84" t="n"/>
      <c r="G227" s="83" t="n">
        <v>0</v>
      </c>
      <c r="H227" s="83" t="n">
        <v>0</v>
      </c>
      <c r="I227" s="85" t="n"/>
      <c r="J227" s="85" t="n">
        <v>0</v>
      </c>
      <c r="K227" s="85" t="n">
        <v>0</v>
      </c>
      <c r="L227" s="85" t="n"/>
      <c r="M227" s="85" t="n">
        <v>0</v>
      </c>
      <c r="N227" s="85" t="n">
        <v>0</v>
      </c>
      <c r="O227" s="85" t="n"/>
      <c r="P227" s="85" t="n"/>
      <c r="Q227" s="85" t="n"/>
      <c r="R227" s="85" t="inlineStr">
        <is>
          <t>https://github.com/DLu/oscar_data</t>
        </is>
      </c>
    </row>
    <row r="228" ht="15.75" customHeight="1" s="108">
      <c r="A228" s="83" t="inlineStr">
        <is>
          <t>F0224</t>
        </is>
      </c>
      <c r="B228" s="83" t="inlineStr">
        <is>
          <t>Mission: Impossible - Ghost Protocol</t>
        </is>
      </c>
      <c r="C228" s="83" t="inlineStr">
        <is>
          <t>2011</t>
        </is>
      </c>
      <c r="D228" s="83" t="n">
        <v>0</v>
      </c>
      <c r="E228" s="83" t="n">
        <v>0</v>
      </c>
      <c r="F228" s="84" t="n"/>
      <c r="G228" s="83" t="n">
        <v>0</v>
      </c>
      <c r="H228" s="83" t="n">
        <v>0</v>
      </c>
      <c r="I228" s="85" t="n"/>
      <c r="J228" s="85" t="n">
        <v>0</v>
      </c>
      <c r="K228" s="85" t="n">
        <v>0</v>
      </c>
      <c r="L228" s="85" t="n"/>
      <c r="M228" s="85" t="n">
        <v>0</v>
      </c>
      <c r="N228" s="85" t="n">
        <v>0</v>
      </c>
      <c r="O228" s="85" t="n"/>
      <c r="P228" s="85" t="n"/>
      <c r="Q228" s="85" t="n"/>
      <c r="R228" s="85" t="inlineStr">
        <is>
          <t>https://github.com/DLu/oscar_data</t>
        </is>
      </c>
    </row>
    <row r="229" ht="15.75" customHeight="1" s="108">
      <c r="A229" s="83" t="inlineStr">
        <is>
          <t>F0225</t>
        </is>
      </c>
      <c r="B229" s="83" t="inlineStr">
        <is>
          <t>Mission: Impossible - Rogue Nation</t>
        </is>
      </c>
      <c r="C229" s="83" t="inlineStr">
        <is>
          <t>2015</t>
        </is>
      </c>
      <c r="D229" s="83" t="n">
        <v>0</v>
      </c>
      <c r="E229" s="83" t="n">
        <v>0</v>
      </c>
      <c r="F229" s="84" t="n"/>
      <c r="G229" s="83" t="n">
        <v>0</v>
      </c>
      <c r="H229" s="83" t="n">
        <v>0</v>
      </c>
      <c r="I229" s="85" t="n"/>
      <c r="J229" s="85" t="n">
        <v>0</v>
      </c>
      <c r="K229" s="85" t="n">
        <v>0</v>
      </c>
      <c r="L229" s="85" t="n"/>
      <c r="M229" s="85" t="n">
        <v>0</v>
      </c>
      <c r="N229" s="85" t="n">
        <v>0</v>
      </c>
      <c r="O229" s="85" t="n"/>
      <c r="P229" s="85" t="n"/>
      <c r="Q229" s="85" t="n"/>
      <c r="R229" s="85" t="inlineStr">
        <is>
          <t>https://github.com/DLu/oscar_data</t>
        </is>
      </c>
    </row>
    <row r="230" ht="15.75" customHeight="1" s="108">
      <c r="A230" s="83" t="inlineStr">
        <is>
          <t>F0226</t>
        </is>
      </c>
      <c r="B230" s="83" t="inlineStr">
        <is>
          <t>Mission: Impossible - Fallout</t>
        </is>
      </c>
      <c r="C230" s="83" t="inlineStr">
        <is>
          <t>2018</t>
        </is>
      </c>
      <c r="D230" s="83" t="n">
        <v>0</v>
      </c>
      <c r="E230" s="83" t="n">
        <v>0</v>
      </c>
      <c r="F230" s="84" t="n"/>
      <c r="G230" s="83" t="n">
        <v>0</v>
      </c>
      <c r="H230" s="83" t="n">
        <v>0</v>
      </c>
      <c r="I230" s="85" t="n"/>
      <c r="J230" s="85" t="n">
        <v>0</v>
      </c>
      <c r="K230" s="85" t="n">
        <v>0</v>
      </c>
      <c r="L230" s="85" t="n"/>
      <c r="M230" s="85" t="n">
        <v>0</v>
      </c>
      <c r="N230" s="85" t="n">
        <v>0</v>
      </c>
      <c r="O230" s="85" t="n"/>
      <c r="P230" s="85" t="n"/>
      <c r="Q230" s="85" t="n"/>
      <c r="R230" s="85" t="inlineStr">
        <is>
          <t>https://github.com/DLu/oscar_data</t>
        </is>
      </c>
    </row>
    <row r="231" ht="15.75" customHeight="1" s="108">
      <c r="A231" s="83" t="inlineStr">
        <is>
          <t>F0227</t>
        </is>
      </c>
      <c r="B231" s="83" t="inlineStr">
        <is>
          <t>Mission: Impossible - Dead Reckoning Part One</t>
        </is>
      </c>
      <c r="C231" s="83" t="inlineStr">
        <is>
          <t>2023</t>
        </is>
      </c>
      <c r="D231" s="83" t="n">
        <v>2</v>
      </c>
      <c r="E231" s="83" t="n">
        <v>0</v>
      </c>
      <c r="F231" s="84" t="n"/>
      <c r="G231" s="83" t="n">
        <v>0</v>
      </c>
      <c r="H231" s="83" t="n">
        <v>0</v>
      </c>
      <c r="I231" s="85" t="n"/>
      <c r="J231" s="85" t="n">
        <v>0</v>
      </c>
      <c r="K231" s="85" t="n">
        <v>0</v>
      </c>
      <c r="L231" s="85" t="n"/>
      <c r="M231" s="85" t="n">
        <v>0</v>
      </c>
      <c r="N231" s="85" t="n">
        <v>0</v>
      </c>
      <c r="O231" s="85" t="n"/>
      <c r="P231" s="85" t="n"/>
      <c r="Q231" s="85" t="inlineStr">
        <is>
          <t>SOUND MIXING; VISUAL EFFECTS</t>
        </is>
      </c>
      <c r="R231" s="85" t="inlineStr">
        <is>
          <t>https://github.com/DLu/oscar_data</t>
        </is>
      </c>
    </row>
    <row r="232" ht="15.75" customHeight="1" s="108">
      <c r="A232" s="83" t="inlineStr">
        <is>
          <t>F0228</t>
        </is>
      </c>
      <c r="B232" s="83" t="inlineStr">
        <is>
          <t>Mission: Impossible - The Final Reckoning</t>
        </is>
      </c>
      <c r="C232" s="83" t="inlineStr">
        <is>
          <t>2025</t>
        </is>
      </c>
      <c r="D232" s="83" t="n">
        <v>0</v>
      </c>
      <c r="E232" s="83" t="n">
        <v>0</v>
      </c>
      <c r="F232" s="84" t="n"/>
      <c r="G232" s="83" t="n">
        <v>0</v>
      </c>
      <c r="H232" s="83" t="n">
        <v>0</v>
      </c>
      <c r="I232" s="85" t="n"/>
      <c r="J232" s="85" t="n">
        <v>0</v>
      </c>
      <c r="K232" s="85" t="n">
        <v>0</v>
      </c>
      <c r="L232" s="85" t="n"/>
      <c r="M232" s="85" t="n">
        <v>0</v>
      </c>
      <c r="N232" s="85" t="n">
        <v>0</v>
      </c>
      <c r="O232" s="85" t="n"/>
      <c r="P232" s="85" t="n"/>
      <c r="Q232" s="85" t="n"/>
      <c r="R232" s="85" t="inlineStr">
        <is>
          <t>https://github.com/DLu/oscar_data</t>
        </is>
      </c>
    </row>
    <row r="233" ht="30" customHeight="1" s="108">
      <c r="A233" s="83" t="inlineStr">
        <is>
          <t>F0229</t>
        </is>
      </c>
      <c r="B233" s="83" t="inlineStr">
        <is>
          <t>Monsters, Inc.</t>
        </is>
      </c>
      <c r="C233" s="83" t="inlineStr">
        <is>
          <t>2001</t>
        </is>
      </c>
      <c r="D233" s="83" t="n">
        <v>4</v>
      </c>
      <c r="E233" s="83" t="n">
        <v>1</v>
      </c>
      <c r="F233" s="84" t="n"/>
      <c r="G233" s="83" t="n">
        <v>0</v>
      </c>
      <c r="H233" s="83" t="n">
        <v>0</v>
      </c>
      <c r="I233" s="85" t="n"/>
      <c r="J233" s="85" t="n">
        <v>0</v>
      </c>
      <c r="K233" s="85" t="n">
        <v>0</v>
      </c>
      <c r="L233" s="85" t="n"/>
      <c r="M233" s="85" t="n">
        <v>0</v>
      </c>
      <c r="N233" s="85" t="n">
        <v>0</v>
      </c>
      <c r="O233" s="85" t="inlineStr">
        <is>
          <t>Nominated</t>
        </is>
      </c>
      <c r="P233" s="85" t="inlineStr">
        <is>
          <t>MUSIC (Original Song)</t>
        </is>
      </c>
      <c r="Q233" s="85" t="inlineStr">
        <is>
          <t>ANIMATED FEATURE FILM; MUSIC (Original Score); MUSIC (Original Song); SOUND EDITING</t>
        </is>
      </c>
      <c r="R233" s="85" t="inlineStr">
        <is>
          <t>https://github.com/DLu/oscar_data</t>
        </is>
      </c>
    </row>
    <row r="234" ht="15.75" customHeight="1" s="108">
      <c r="A234" s="83" t="inlineStr">
        <is>
          <t>F0230</t>
        </is>
      </c>
      <c r="B234" s="83" t="inlineStr">
        <is>
          <t>Monsters University</t>
        </is>
      </c>
      <c r="C234" s="83" t="inlineStr">
        <is>
          <t>2013</t>
        </is>
      </c>
      <c r="D234" s="83" t="n">
        <v>0</v>
      </c>
      <c r="E234" s="83" t="n">
        <v>0</v>
      </c>
      <c r="F234" s="84" t="n"/>
      <c r="G234" s="83" t="n">
        <v>0</v>
      </c>
      <c r="H234" s="83" t="n">
        <v>0</v>
      </c>
      <c r="I234" s="85" t="n"/>
      <c r="J234" s="85" t="n">
        <v>0</v>
      </c>
      <c r="K234" s="85" t="n">
        <v>0</v>
      </c>
      <c r="L234" s="85" t="n"/>
      <c r="M234" s="85" t="n">
        <v>0</v>
      </c>
      <c r="N234" s="85" t="n">
        <v>0</v>
      </c>
      <c r="O234" s="85" t="n"/>
      <c r="P234" s="85" t="n"/>
      <c r="Q234" s="85" t="n"/>
      <c r="R234" s="85" t="inlineStr">
        <is>
          <t>https://github.com/DLu/oscar_data</t>
        </is>
      </c>
    </row>
    <row r="235" ht="15.75" customHeight="1" s="108">
      <c r="A235" s="83" t="inlineStr">
        <is>
          <t>F0231</t>
        </is>
      </c>
      <c r="B235" s="83" t="inlineStr">
        <is>
          <t>Mr. &amp; Mrs. Smith</t>
        </is>
      </c>
      <c r="C235" s="83" t="inlineStr">
        <is>
          <t>2005</t>
        </is>
      </c>
      <c r="D235" s="83" t="n">
        <v>0</v>
      </c>
      <c r="E235" s="83" t="n">
        <v>0</v>
      </c>
      <c r="F235" s="84" t="n"/>
      <c r="G235" s="83" t="n">
        <v>0</v>
      </c>
      <c r="H235" s="83" t="n">
        <v>0</v>
      </c>
      <c r="I235" s="85" t="n"/>
      <c r="J235" s="85" t="n">
        <v>0</v>
      </c>
      <c r="K235" s="85" t="n">
        <v>0</v>
      </c>
      <c r="L235" s="85" t="n"/>
      <c r="M235" s="85" t="n">
        <v>0</v>
      </c>
      <c r="N235" s="85" t="n">
        <v>0</v>
      </c>
      <c r="O235" s="85" t="n"/>
      <c r="P235" s="85" t="n"/>
      <c r="Q235" s="85" t="n"/>
      <c r="R235" s="85" t="inlineStr">
        <is>
          <t>https://github.com/DLu/oscar_data</t>
        </is>
      </c>
    </row>
    <row r="236" ht="15.75" customHeight="1" s="108">
      <c r="A236" s="83" t="inlineStr">
        <is>
          <t>F0232</t>
        </is>
      </c>
      <c r="B236" s="83" t="inlineStr">
        <is>
          <t>Muppets Most Wanted</t>
        </is>
      </c>
      <c r="C236" s="83" t="inlineStr">
        <is>
          <t>2014</t>
        </is>
      </c>
      <c r="D236" s="83" t="n">
        <v>0</v>
      </c>
      <c r="E236" s="83" t="n">
        <v>0</v>
      </c>
      <c r="F236" s="84" t="n"/>
      <c r="G236" s="83" t="n">
        <v>0</v>
      </c>
      <c r="H236" s="83" t="n">
        <v>0</v>
      </c>
      <c r="I236" s="85" t="n"/>
      <c r="J236" s="85" t="n">
        <v>0</v>
      </c>
      <c r="K236" s="85" t="n">
        <v>0</v>
      </c>
      <c r="L236" s="85" t="n"/>
      <c r="M236" s="85" t="n">
        <v>0</v>
      </c>
      <c r="N236" s="85" t="n">
        <v>0</v>
      </c>
      <c r="O236" s="85" t="n"/>
      <c r="P236" s="85" t="n"/>
      <c r="Q236" s="85" t="n"/>
      <c r="R236" s="85" t="inlineStr">
        <is>
          <t>https://github.com/DLu/oscar_data</t>
        </is>
      </c>
    </row>
    <row r="237" ht="15.75" customHeight="1" s="108">
      <c r="A237" s="83" t="inlineStr">
        <is>
          <t>F0233</t>
        </is>
      </c>
      <c r="B237" s="83" t="inlineStr">
        <is>
          <t>National Treasure: Book of Secrets</t>
        </is>
      </c>
      <c r="C237" s="83" t="inlineStr">
        <is>
          <t>2007</t>
        </is>
      </c>
      <c r="D237" s="83" t="n">
        <v>0</v>
      </c>
      <c r="E237" s="83" t="n">
        <v>0</v>
      </c>
      <c r="F237" s="84" t="n"/>
      <c r="G237" s="83" t="n">
        <v>0</v>
      </c>
      <c r="H237" s="83" t="n">
        <v>0</v>
      </c>
      <c r="I237" s="85" t="n"/>
      <c r="J237" s="85" t="n">
        <v>0</v>
      </c>
      <c r="K237" s="85" t="n">
        <v>0</v>
      </c>
      <c r="L237" s="85" t="n"/>
      <c r="M237" s="85" t="n">
        <v>0</v>
      </c>
      <c r="N237" s="85" t="n">
        <v>0</v>
      </c>
      <c r="O237" s="85" t="n"/>
      <c r="P237" s="85" t="n"/>
      <c r="Q237" s="85" t="n"/>
      <c r="R237" s="85" t="inlineStr">
        <is>
          <t>https://github.com/DLu/oscar_data</t>
        </is>
      </c>
    </row>
    <row r="238" ht="15.75" customHeight="1" s="108">
      <c r="A238" s="83" t="inlineStr">
        <is>
          <t>F0234</t>
        </is>
      </c>
      <c r="B238" s="83" t="inlineStr">
        <is>
          <t>Need for Speed</t>
        </is>
      </c>
      <c r="C238" s="83" t="inlineStr">
        <is>
          <t>2014</t>
        </is>
      </c>
      <c r="D238" s="83" t="n">
        <v>0</v>
      </c>
      <c r="E238" s="83" t="n">
        <v>0</v>
      </c>
      <c r="F238" s="84" t="n"/>
      <c r="G238" s="83" t="n">
        <v>0</v>
      </c>
      <c r="H238" s="83" t="n">
        <v>0</v>
      </c>
      <c r="I238" s="85" t="n"/>
      <c r="J238" s="85" t="n">
        <v>0</v>
      </c>
      <c r="K238" s="85" t="n">
        <v>0</v>
      </c>
      <c r="L238" s="85" t="n"/>
      <c r="M238" s="85" t="n">
        <v>0</v>
      </c>
      <c r="N238" s="85" t="n">
        <v>0</v>
      </c>
      <c r="O238" s="85" t="n"/>
      <c r="P238" s="85" t="n"/>
      <c r="Q238" s="85" t="n"/>
      <c r="R238" s="85" t="inlineStr">
        <is>
          <t>https://github.com/DLu/oscar_data</t>
        </is>
      </c>
    </row>
    <row r="239" ht="15.75" customHeight="1" s="108">
      <c r="A239" s="83" t="inlineStr">
        <is>
          <t>F0235</t>
        </is>
      </c>
      <c r="B239" s="83" t="inlineStr">
        <is>
          <t>The Nice Guys</t>
        </is>
      </c>
      <c r="C239" s="83" t="inlineStr">
        <is>
          <t>2016</t>
        </is>
      </c>
      <c r="D239" s="83" t="n">
        <v>0</v>
      </c>
      <c r="E239" s="83" t="n">
        <v>0</v>
      </c>
      <c r="F239" s="84" t="n"/>
      <c r="G239" s="83" t="n">
        <v>0</v>
      </c>
      <c r="H239" s="83" t="n">
        <v>0</v>
      </c>
      <c r="I239" s="85" t="n"/>
      <c r="J239" s="85" t="n">
        <v>0</v>
      </c>
      <c r="K239" s="85" t="n">
        <v>0</v>
      </c>
      <c r="L239" s="85" t="n"/>
      <c r="M239" s="85" t="n">
        <v>0</v>
      </c>
      <c r="N239" s="85" t="n">
        <v>0</v>
      </c>
      <c r="O239" s="85" t="n"/>
      <c r="P239" s="85" t="n"/>
      <c r="Q239" s="85" t="n"/>
      <c r="R239" s="85" t="inlineStr">
        <is>
          <t>https://github.com/DLu/oscar_data</t>
        </is>
      </c>
    </row>
    <row r="240" ht="15.75" customHeight="1" s="108">
      <c r="A240" s="83" t="inlineStr">
        <is>
          <t>F0236</t>
        </is>
      </c>
      <c r="B240" s="83" t="inlineStr">
        <is>
          <t>Night at the Museum: Battle of the Smithsonian</t>
        </is>
      </c>
      <c r="C240" s="83" t="inlineStr">
        <is>
          <t>2009</t>
        </is>
      </c>
      <c r="D240" s="83" t="n">
        <v>0</v>
      </c>
      <c r="E240" s="83" t="n">
        <v>0</v>
      </c>
      <c r="F240" s="84" t="n"/>
      <c r="G240" s="83" t="n">
        <v>0</v>
      </c>
      <c r="H240" s="83" t="n">
        <v>0</v>
      </c>
      <c r="I240" s="85" t="n"/>
      <c r="J240" s="85" t="n">
        <v>0</v>
      </c>
      <c r="K240" s="85" t="n">
        <v>0</v>
      </c>
      <c r="L240" s="85" t="n"/>
      <c r="M240" s="85" t="n">
        <v>0</v>
      </c>
      <c r="N240" s="85" t="n">
        <v>0</v>
      </c>
      <c r="O240" s="85" t="n"/>
      <c r="P240" s="85" t="n"/>
      <c r="Q240" s="85" t="n"/>
      <c r="R240" s="85" t="inlineStr">
        <is>
          <t>https://github.com/DLu/oscar_data</t>
        </is>
      </c>
    </row>
    <row r="241" ht="15.75" customHeight="1" s="108">
      <c r="A241" s="83" t="inlineStr">
        <is>
          <t>F0237</t>
        </is>
      </c>
      <c r="B241" s="83" t="inlineStr">
        <is>
          <t>The Notebook</t>
        </is>
      </c>
      <c r="C241" s="83" t="inlineStr">
        <is>
          <t>2004</t>
        </is>
      </c>
      <c r="D241" s="83" t="n">
        <v>0</v>
      </c>
      <c r="E241" s="83" t="n">
        <v>0</v>
      </c>
      <c r="F241" s="84" t="n"/>
      <c r="G241" s="83" t="n">
        <v>0</v>
      </c>
      <c r="H241" s="83" t="n">
        <v>0</v>
      </c>
      <c r="I241" s="85" t="n"/>
      <c r="J241" s="85" t="n">
        <v>0</v>
      </c>
      <c r="K241" s="85" t="n">
        <v>0</v>
      </c>
      <c r="L241" s="85" t="n"/>
      <c r="M241" s="85" t="n">
        <v>0</v>
      </c>
      <c r="N241" s="85" t="n">
        <v>0</v>
      </c>
      <c r="O241" s="85" t="n"/>
      <c r="P241" s="85" t="n"/>
      <c r="Q241" s="85" t="n"/>
      <c r="R241" s="85" t="inlineStr">
        <is>
          <t>https://github.com/DLu/oscar_data</t>
        </is>
      </c>
    </row>
    <row r="242" ht="15.75" customHeight="1" s="108">
      <c r="A242" s="83" t="inlineStr">
        <is>
          <t>F0238</t>
        </is>
      </c>
      <c r="B242" s="83" t="inlineStr">
        <is>
          <t>Noah</t>
        </is>
      </c>
      <c r="C242" s="83" t="inlineStr">
        <is>
          <t>2014</t>
        </is>
      </c>
      <c r="D242" s="83" t="n">
        <v>0</v>
      </c>
      <c r="E242" s="83" t="n">
        <v>0</v>
      </c>
      <c r="F242" s="84" t="n"/>
      <c r="G242" s="83" t="n">
        <v>0</v>
      </c>
      <c r="H242" s="83" t="n">
        <v>0</v>
      </c>
      <c r="I242" s="85" t="n"/>
      <c r="J242" s="85" t="n">
        <v>0</v>
      </c>
      <c r="K242" s="85" t="n">
        <v>0</v>
      </c>
      <c r="L242" s="85" t="n"/>
      <c r="M242" s="85" t="n">
        <v>0</v>
      </c>
      <c r="N242" s="85" t="n">
        <v>0</v>
      </c>
      <c r="O242" s="85" t="n"/>
      <c r="P242" s="85" t="n"/>
      <c r="Q242" s="85" t="n"/>
      <c r="R242" s="85" t="inlineStr">
        <is>
          <t>https://github.com/DLu/oscar_data</t>
        </is>
      </c>
    </row>
    <row r="243" ht="15.75" customHeight="1" s="108">
      <c r="A243" s="83" t="inlineStr">
        <is>
          <t>F0239</t>
        </is>
      </c>
      <c r="B243" s="83" t="inlineStr">
        <is>
          <t>Oblivion</t>
        </is>
      </c>
      <c r="C243" s="83" t="inlineStr">
        <is>
          <t>2013</t>
        </is>
      </c>
      <c r="D243" s="83" t="n">
        <v>0</v>
      </c>
      <c r="E243" s="83" t="n">
        <v>0</v>
      </c>
      <c r="F243" s="84" t="n"/>
      <c r="G243" s="83" t="n">
        <v>0</v>
      </c>
      <c r="H243" s="83" t="n">
        <v>0</v>
      </c>
      <c r="I243" s="85" t="n"/>
      <c r="J243" s="85" t="n">
        <v>0</v>
      </c>
      <c r="K243" s="85" t="n">
        <v>0</v>
      </c>
      <c r="L243" s="85" t="n"/>
      <c r="M243" s="85" t="n">
        <v>0</v>
      </c>
      <c r="N243" s="85" t="n">
        <v>0</v>
      </c>
      <c r="O243" s="85" t="n"/>
      <c r="P243" s="85" t="n"/>
      <c r="Q243" s="85" t="n"/>
      <c r="R243" s="85" t="inlineStr">
        <is>
          <t>https://github.com/DLu/oscar_data</t>
        </is>
      </c>
    </row>
    <row r="244" ht="15.75" customHeight="1" s="108">
      <c r="A244" s="83" t="inlineStr">
        <is>
          <t>F0240</t>
        </is>
      </c>
      <c r="B244" s="83" t="inlineStr">
        <is>
          <t>Olympus Has Fallen</t>
        </is>
      </c>
      <c r="C244" s="83" t="inlineStr">
        <is>
          <t>2013</t>
        </is>
      </c>
      <c r="D244" s="83" t="n">
        <v>0</v>
      </c>
      <c r="E244" s="83" t="n">
        <v>0</v>
      </c>
      <c r="F244" s="84" t="n"/>
      <c r="G244" s="83" t="n">
        <v>0</v>
      </c>
      <c r="H244" s="83" t="n">
        <v>0</v>
      </c>
      <c r="I244" s="85" t="n"/>
      <c r="J244" s="85" t="n">
        <v>0</v>
      </c>
      <c r="K244" s="85" t="n">
        <v>0</v>
      </c>
      <c r="L244" s="85" t="n"/>
      <c r="M244" s="85" t="n">
        <v>0</v>
      </c>
      <c r="N244" s="85" t="n">
        <v>0</v>
      </c>
      <c r="O244" s="85" t="n"/>
      <c r="P244" s="85" t="n"/>
      <c r="Q244" s="85" t="n"/>
      <c r="R244" s="85" t="inlineStr">
        <is>
          <t>https://github.com/DLu/oscar_data</t>
        </is>
      </c>
    </row>
    <row r="245" ht="60" customHeight="1" s="108">
      <c r="A245" s="83" t="inlineStr">
        <is>
          <t>F0241</t>
        </is>
      </c>
      <c r="B245" s="83" t="inlineStr">
        <is>
          <t>Once Upon a Time… in Hollywood</t>
        </is>
      </c>
      <c r="C245" s="83" t="inlineStr">
        <is>
          <t>2019</t>
        </is>
      </c>
      <c r="D245" s="83" t="n">
        <v>10</v>
      </c>
      <c r="E245" s="83" t="n">
        <v>2</v>
      </c>
      <c r="F245" s="83" t="inlineStr">
        <is>
          <t>Nominated</t>
        </is>
      </c>
      <c r="G245" s="83" t="n">
        <v>2</v>
      </c>
      <c r="H245" s="83" t="n">
        <v>1</v>
      </c>
      <c r="I245" s="85" t="inlineStr">
        <is>
          <t>Brad Pitt</t>
        </is>
      </c>
      <c r="J245" s="85" t="n">
        <v>1</v>
      </c>
      <c r="K245" s="85" t="n">
        <v>0</v>
      </c>
      <c r="L245" s="85" t="n"/>
      <c r="M245" s="85" t="n">
        <v>1</v>
      </c>
      <c r="N245" s="85" t="n">
        <v>0</v>
      </c>
      <c r="O245" s="85" t="n"/>
      <c r="P245" s="85" t="inlineStr">
        <is>
          <t>ACTOR IN A SUPPORTING ROLE; ART DIRECTION</t>
        </is>
      </c>
      <c r="Q245" s="85" t="inlineStr">
        <is>
          <t>ACTOR IN A LEADING ROLE; ACTOR IN A SUPPORTING ROLE; CINEMATOGRAPHY; COSTUME DESIGN; DIRECTING; BEST PICTURE; ART DIRECTION; SOUND EDITING; SOUND MIXING; WRITING (Original Screenplay)</t>
        </is>
      </c>
      <c r="R245" s="85" t="inlineStr">
        <is>
          <t>https://github.com/DLu/oscar_data</t>
        </is>
      </c>
    </row>
    <row r="246" ht="75" customHeight="1" s="108">
      <c r="A246" s="83" t="inlineStr">
        <is>
          <t>F0242</t>
        </is>
      </c>
      <c r="B246" s="83" t="inlineStr">
        <is>
          <t>Oppenheimer</t>
        </is>
      </c>
      <c r="C246" s="83" t="inlineStr">
        <is>
          <t>2023</t>
        </is>
      </c>
      <c r="D246" s="83" t="n">
        <v>13</v>
      </c>
      <c r="E246" s="83" t="n">
        <v>7</v>
      </c>
      <c r="F246" s="83" t="inlineStr">
        <is>
          <t>Winner</t>
        </is>
      </c>
      <c r="G246" s="83" t="n">
        <v>3</v>
      </c>
      <c r="H246" s="83" t="n">
        <v>2</v>
      </c>
      <c r="I246" s="85" t="inlineStr">
        <is>
          <t>Cillian Murphy; Robert Downey Jr.</t>
        </is>
      </c>
      <c r="J246" s="85" t="n">
        <v>1</v>
      </c>
      <c r="K246" s="85" t="n">
        <v>1</v>
      </c>
      <c r="L246" s="85" t="inlineStr">
        <is>
          <t>Christopher Nolan</t>
        </is>
      </c>
      <c r="M246" s="85" t="n">
        <v>1</v>
      </c>
      <c r="N246" s="85" t="n">
        <v>0</v>
      </c>
      <c r="O246" s="85" t="n"/>
      <c r="P246" s="85" t="inlineStr">
        <is>
          <t>ACTOR IN A LEADING ROLE; ACTOR IN A SUPPORTING ROLE; CINEMATOGRAPHY; DIRECTING; FILM EDITING; MUSIC (Original Score); BEST PICTURE</t>
        </is>
      </c>
      <c r="Q246" s="85" t="inlineStr">
        <is>
          <t>ACTOR IN A LEADING ROLE; ACTOR IN A SUPPORTING ROLE; ACTRESS IN A SUPPORTING ROLE; CINEMATOGRAPHY; COSTUME DESIGN; DIRECTING; FILM EDITING; MAKEUP AND HAIRSTYLING; MUSIC (Original Score); BEST PICTURE; ART DIRECTION; SOUND MIXING; WRITING (Adapted Screenplay)</t>
        </is>
      </c>
      <c r="R246" s="85" t="inlineStr">
        <is>
          <t>https://github.com/DLu/oscar_data</t>
        </is>
      </c>
    </row>
    <row r="247" ht="15.75" customHeight="1" s="108">
      <c r="A247" s="83" t="inlineStr">
        <is>
          <t>F0243</t>
        </is>
      </c>
      <c r="B247" s="83" t="inlineStr">
        <is>
          <t>Pacific Rim</t>
        </is>
      </c>
      <c r="C247" s="83" t="inlineStr">
        <is>
          <t>2013</t>
        </is>
      </c>
      <c r="D247" s="83" t="n">
        <v>0</v>
      </c>
      <c r="E247" s="83" t="n">
        <v>0</v>
      </c>
      <c r="F247" s="84" t="n"/>
      <c r="G247" s="83" t="n">
        <v>0</v>
      </c>
      <c r="H247" s="83" t="n">
        <v>0</v>
      </c>
      <c r="I247" s="85" t="n"/>
      <c r="J247" s="85" t="n">
        <v>0</v>
      </c>
      <c r="K247" s="85" t="n">
        <v>0</v>
      </c>
      <c r="L247" s="85" t="n"/>
      <c r="M247" s="85" t="n">
        <v>0</v>
      </c>
      <c r="N247" s="85" t="n">
        <v>0</v>
      </c>
      <c r="O247" s="85" t="n"/>
      <c r="P247" s="85" t="n"/>
      <c r="Q247" s="85" t="n"/>
      <c r="R247" s="85" t="inlineStr">
        <is>
          <t>https://github.com/DLu/oscar_data</t>
        </is>
      </c>
    </row>
    <row r="248" ht="15.75" customHeight="1" s="108">
      <c r="A248" s="83" t="inlineStr">
        <is>
          <t>F0244</t>
        </is>
      </c>
      <c r="B248" s="83" t="inlineStr">
        <is>
          <t>Paddington</t>
        </is>
      </c>
      <c r="C248" s="83" t="inlineStr">
        <is>
          <t>2014</t>
        </is>
      </c>
      <c r="D248" s="83" t="n">
        <v>0</v>
      </c>
      <c r="E248" s="83" t="n">
        <v>0</v>
      </c>
      <c r="F248" s="84" t="n"/>
      <c r="G248" s="83" t="n">
        <v>0</v>
      </c>
      <c r="H248" s="83" t="n">
        <v>0</v>
      </c>
      <c r="I248" s="85" t="n"/>
      <c r="J248" s="85" t="n">
        <v>0</v>
      </c>
      <c r="K248" s="85" t="n">
        <v>0</v>
      </c>
      <c r="L248" s="85" t="n"/>
      <c r="M248" s="85" t="n">
        <v>0</v>
      </c>
      <c r="N248" s="85" t="n">
        <v>0</v>
      </c>
      <c r="O248" s="85" t="n"/>
      <c r="P248" s="85" t="n"/>
      <c r="Q248" s="85" t="n"/>
      <c r="R248" s="85" t="inlineStr">
        <is>
          <t>https://github.com/DLu/oscar_data</t>
        </is>
      </c>
    </row>
    <row r="249" ht="15.75" customHeight="1" s="108">
      <c r="A249" s="83" t="inlineStr">
        <is>
          <t>F0245</t>
        </is>
      </c>
      <c r="B249" s="83" t="inlineStr">
        <is>
          <t>Paul</t>
        </is>
      </c>
      <c r="C249" s="83" t="inlineStr">
        <is>
          <t>2011</t>
        </is>
      </c>
      <c r="D249" s="83" t="n">
        <v>0</v>
      </c>
      <c r="E249" s="83" t="n">
        <v>0</v>
      </c>
      <c r="F249" s="84" t="n"/>
      <c r="G249" s="83" t="n">
        <v>0</v>
      </c>
      <c r="H249" s="83" t="n">
        <v>0</v>
      </c>
      <c r="I249" s="85" t="n"/>
      <c r="J249" s="85" t="n">
        <v>0</v>
      </c>
      <c r="K249" s="85" t="n">
        <v>0</v>
      </c>
      <c r="L249" s="85" t="n"/>
      <c r="M249" s="85" t="n">
        <v>0</v>
      </c>
      <c r="N249" s="85" t="n">
        <v>0</v>
      </c>
      <c r="O249" s="85" t="n"/>
      <c r="P249" s="85" t="n"/>
      <c r="Q249" s="85" t="n"/>
      <c r="R249" s="85" t="inlineStr">
        <is>
          <t>https://github.com/DLu/oscar_data</t>
        </is>
      </c>
    </row>
    <row r="250" ht="30" customHeight="1" s="108">
      <c r="A250" s="83" t="inlineStr">
        <is>
          <t>F0246</t>
        </is>
      </c>
      <c r="B250" s="83" t="inlineStr">
        <is>
          <t>Pearl Harbor</t>
        </is>
      </c>
      <c r="C250" s="83" t="inlineStr">
        <is>
          <t>2001</t>
        </is>
      </c>
      <c r="D250" s="83" t="n">
        <v>4</v>
      </c>
      <c r="E250" s="83" t="n">
        <v>1</v>
      </c>
      <c r="F250" s="84" t="n"/>
      <c r="G250" s="83" t="n">
        <v>0</v>
      </c>
      <c r="H250" s="83" t="n">
        <v>0</v>
      </c>
      <c r="I250" s="85" t="n"/>
      <c r="J250" s="85" t="n">
        <v>0</v>
      </c>
      <c r="K250" s="85" t="n">
        <v>0</v>
      </c>
      <c r="L250" s="85" t="n"/>
      <c r="M250" s="85" t="n">
        <v>0</v>
      </c>
      <c r="N250" s="85" t="n">
        <v>0</v>
      </c>
      <c r="O250" s="85" t="n"/>
      <c r="P250" s="85" t="inlineStr">
        <is>
          <t>SOUND EDITING</t>
        </is>
      </c>
      <c r="Q250" s="85" t="inlineStr">
        <is>
          <t>MUSIC (Original Song); SOUND MIXING; SOUND EDITING; VISUAL EFFECTS</t>
        </is>
      </c>
      <c r="R250" s="85" t="inlineStr">
        <is>
          <t>https://github.com/DLu/oscar_data</t>
        </is>
      </c>
    </row>
    <row r="251" ht="15.75" customHeight="1" s="108">
      <c r="A251" s="83" t="inlineStr">
        <is>
          <t>F0247</t>
        </is>
      </c>
      <c r="B251" s="83" t="inlineStr">
        <is>
          <t>Pineapple Express</t>
        </is>
      </c>
      <c r="C251" s="83" t="inlineStr">
        <is>
          <t>2008</t>
        </is>
      </c>
      <c r="D251" s="83" t="n">
        <v>0</v>
      </c>
      <c r="E251" s="83" t="n">
        <v>0</v>
      </c>
      <c r="F251" s="84" t="n"/>
      <c r="G251" s="83" t="n">
        <v>0</v>
      </c>
      <c r="H251" s="83" t="n">
        <v>0</v>
      </c>
      <c r="I251" s="85" t="n"/>
      <c r="J251" s="85" t="n">
        <v>0</v>
      </c>
      <c r="K251" s="85" t="n">
        <v>0</v>
      </c>
      <c r="L251" s="85" t="n"/>
      <c r="M251" s="85" t="n">
        <v>0</v>
      </c>
      <c r="N251" s="85" t="n">
        <v>0</v>
      </c>
      <c r="O251" s="85" t="n"/>
      <c r="P251" s="85" t="n"/>
      <c r="Q251" s="85" t="n"/>
      <c r="R251" s="85" t="inlineStr">
        <is>
          <t>https://github.com/DLu/oscar_data</t>
        </is>
      </c>
    </row>
    <row r="252" ht="15.75" customHeight="1" s="108">
      <c r="A252" s="83" t="inlineStr">
        <is>
          <t>F0248</t>
        </is>
      </c>
      <c r="B252" s="83" t="inlineStr">
        <is>
          <t>Pinocchio</t>
        </is>
      </c>
      <c r="C252" s="83" t="inlineStr">
        <is>
          <t>1940</t>
        </is>
      </c>
      <c r="D252" s="83" t="n">
        <v>2</v>
      </c>
      <c r="E252" s="83" t="n">
        <v>2</v>
      </c>
      <c r="F252" s="84" t="n"/>
      <c r="G252" s="83" t="n">
        <v>0</v>
      </c>
      <c r="H252" s="83" t="n">
        <v>0</v>
      </c>
      <c r="I252" s="85" t="n"/>
      <c r="J252" s="85" t="n">
        <v>0</v>
      </c>
      <c r="K252" s="85" t="n">
        <v>0</v>
      </c>
      <c r="L252" s="85" t="n"/>
      <c r="M252" s="85" t="n">
        <v>0</v>
      </c>
      <c r="N252" s="85" t="n">
        <v>0</v>
      </c>
      <c r="O252" s="85" t="n"/>
      <c r="P252" s="85" t="inlineStr">
        <is>
          <t>MUSIC (Original Score); MUSIC (Original Song)</t>
        </is>
      </c>
      <c r="Q252" s="85" t="inlineStr">
        <is>
          <t>MUSIC (Original Score); MUSIC (Original Song)</t>
        </is>
      </c>
      <c r="R252" s="85" t="inlineStr">
        <is>
          <t>https://github.com/DLu/oscar_data</t>
        </is>
      </c>
    </row>
    <row r="253" ht="15.75" customHeight="1" s="108">
      <c r="A253" s="83" t="inlineStr">
        <is>
          <t>F0249</t>
        </is>
      </c>
      <c r="B253" s="83" t="inlineStr">
        <is>
          <t>Pirates of the Caribbean: On Stranger Tides</t>
        </is>
      </c>
      <c r="C253" s="83" t="inlineStr">
        <is>
          <t>2011</t>
        </is>
      </c>
      <c r="D253" s="83" t="n">
        <v>0</v>
      </c>
      <c r="E253" s="83" t="n">
        <v>0</v>
      </c>
      <c r="F253" s="84" t="n"/>
      <c r="G253" s="83" t="n">
        <v>0</v>
      </c>
      <c r="H253" s="83" t="n">
        <v>0</v>
      </c>
      <c r="I253" s="85" t="n"/>
      <c r="J253" s="85" t="n">
        <v>0</v>
      </c>
      <c r="K253" s="85" t="n">
        <v>0</v>
      </c>
      <c r="L253" s="85" t="n"/>
      <c r="M253" s="85" t="n">
        <v>0</v>
      </c>
      <c r="N253" s="85" t="n">
        <v>0</v>
      </c>
      <c r="O253" s="85" t="n"/>
      <c r="P253" s="85" t="n"/>
      <c r="Q253" s="85" t="n"/>
      <c r="R253" s="85" t="inlineStr">
        <is>
          <t>https://github.com/DLu/oscar_data</t>
        </is>
      </c>
    </row>
    <row r="254" ht="15.75" customHeight="1" s="108">
      <c r="A254" s="83" t="inlineStr">
        <is>
          <t>F0250</t>
        </is>
      </c>
      <c r="B254" s="83" t="inlineStr">
        <is>
          <t>Pitch Perfect</t>
        </is>
      </c>
      <c r="C254" s="83" t="inlineStr">
        <is>
          <t>2012</t>
        </is>
      </c>
      <c r="D254" s="83" t="n">
        <v>0</v>
      </c>
      <c r="E254" s="83" t="n">
        <v>0</v>
      </c>
      <c r="F254" s="84" t="n"/>
      <c r="G254" s="83" t="n">
        <v>0</v>
      </c>
      <c r="H254" s="83" t="n">
        <v>0</v>
      </c>
      <c r="I254" s="85" t="n"/>
      <c r="J254" s="85" t="n">
        <v>0</v>
      </c>
      <c r="K254" s="85" t="n">
        <v>0</v>
      </c>
      <c r="L254" s="85" t="n"/>
      <c r="M254" s="85" t="n">
        <v>0</v>
      </c>
      <c r="N254" s="85" t="n">
        <v>0</v>
      </c>
      <c r="O254" s="85" t="n"/>
      <c r="P254" s="85" t="n"/>
      <c r="Q254" s="85" t="n"/>
      <c r="R254" s="85" t="inlineStr">
        <is>
          <t>https://github.com/DLu/oscar_data</t>
        </is>
      </c>
    </row>
    <row r="255" ht="15.75" customHeight="1" s="108">
      <c r="A255" s="83" t="inlineStr">
        <is>
          <t>F0251</t>
        </is>
      </c>
      <c r="B255" s="83" t="inlineStr">
        <is>
          <t>Pitch Perfect 2</t>
        </is>
      </c>
      <c r="C255" s="83" t="inlineStr">
        <is>
          <t>2015</t>
        </is>
      </c>
      <c r="D255" s="83" t="n">
        <v>0</v>
      </c>
      <c r="E255" s="83" t="n">
        <v>0</v>
      </c>
      <c r="F255" s="84" t="n"/>
      <c r="G255" s="83" t="n">
        <v>0</v>
      </c>
      <c r="H255" s="83" t="n">
        <v>0</v>
      </c>
      <c r="I255" s="85" t="n"/>
      <c r="J255" s="85" t="n">
        <v>0</v>
      </c>
      <c r="K255" s="85" t="n">
        <v>0</v>
      </c>
      <c r="L255" s="85" t="n"/>
      <c r="M255" s="85" t="n">
        <v>0</v>
      </c>
      <c r="N255" s="85" t="n">
        <v>0</v>
      </c>
      <c r="O255" s="85" t="n"/>
      <c r="P255" s="85" t="n"/>
      <c r="Q255" s="85" t="n"/>
      <c r="R255" s="85" t="inlineStr">
        <is>
          <t>https://github.com/DLu/oscar_data</t>
        </is>
      </c>
    </row>
    <row r="256" ht="15.75" customHeight="1" s="108">
      <c r="A256" s="83" t="inlineStr">
        <is>
          <t>F0252</t>
        </is>
      </c>
      <c r="B256" s="83" t="inlineStr">
        <is>
          <t>Pitch Perfect 3</t>
        </is>
      </c>
      <c r="C256" s="83" t="inlineStr">
        <is>
          <t>2017</t>
        </is>
      </c>
      <c r="D256" s="83" t="n">
        <v>0</v>
      </c>
      <c r="E256" s="83" t="n">
        <v>0</v>
      </c>
      <c r="F256" s="84" t="n"/>
      <c r="G256" s="83" t="n">
        <v>0</v>
      </c>
      <c r="H256" s="83" t="n">
        <v>0</v>
      </c>
      <c r="I256" s="85" t="n"/>
      <c r="J256" s="85" t="n">
        <v>0</v>
      </c>
      <c r="K256" s="85" t="n">
        <v>0</v>
      </c>
      <c r="L256" s="85" t="n"/>
      <c r="M256" s="85" t="n">
        <v>0</v>
      </c>
      <c r="N256" s="85" t="n">
        <v>0</v>
      </c>
      <c r="O256" s="85" t="n"/>
      <c r="P256" s="85" t="n"/>
      <c r="Q256" s="85" t="n"/>
      <c r="R256" s="85" t="inlineStr">
        <is>
          <t>https://github.com/DLu/oscar_data</t>
        </is>
      </c>
    </row>
    <row r="257" ht="15.75" customHeight="1" s="108">
      <c r="A257" s="83" t="inlineStr">
        <is>
          <t>F0253</t>
        </is>
      </c>
      <c r="B257" s="83" t="inlineStr">
        <is>
          <t>Rise of the Planet of the Apes</t>
        </is>
      </c>
      <c r="C257" s="83" t="inlineStr">
        <is>
          <t>2011</t>
        </is>
      </c>
      <c r="D257" s="83" t="n">
        <v>1</v>
      </c>
      <c r="E257" s="83" t="n">
        <v>0</v>
      </c>
      <c r="F257" s="84" t="n"/>
      <c r="G257" s="83" t="n">
        <v>0</v>
      </c>
      <c r="H257" s="83" t="n">
        <v>0</v>
      </c>
      <c r="I257" s="85" t="n"/>
      <c r="J257" s="85" t="n">
        <v>0</v>
      </c>
      <c r="K257" s="85" t="n">
        <v>0</v>
      </c>
      <c r="L257" s="85" t="n"/>
      <c r="M257" s="85" t="n">
        <v>0</v>
      </c>
      <c r="N257" s="85" t="n">
        <v>0</v>
      </c>
      <c r="O257" s="85" t="n"/>
      <c r="P257" s="85" t="n"/>
      <c r="Q257" s="85" t="inlineStr">
        <is>
          <t>VISUAL EFFECTS</t>
        </is>
      </c>
      <c r="R257" s="85" t="inlineStr">
        <is>
          <t>https://github.com/DLu/oscar_data</t>
        </is>
      </c>
    </row>
    <row r="258" ht="15.75" customHeight="1" s="108">
      <c r="A258" s="83" t="inlineStr">
        <is>
          <t>F0254</t>
        </is>
      </c>
      <c r="B258" s="83" t="inlineStr">
        <is>
          <t>Dawn of the Planet of the Apes</t>
        </is>
      </c>
      <c r="C258" s="83" t="inlineStr">
        <is>
          <t>2014</t>
        </is>
      </c>
      <c r="D258" s="83" t="n">
        <v>1</v>
      </c>
      <c r="E258" s="83" t="n">
        <v>0</v>
      </c>
      <c r="F258" s="84" t="n"/>
      <c r="G258" s="83" t="n">
        <v>0</v>
      </c>
      <c r="H258" s="83" t="n">
        <v>0</v>
      </c>
      <c r="I258" s="85" t="n"/>
      <c r="J258" s="85" t="n">
        <v>0</v>
      </c>
      <c r="K258" s="85" t="n">
        <v>0</v>
      </c>
      <c r="L258" s="85" t="n"/>
      <c r="M258" s="85" t="n">
        <v>0</v>
      </c>
      <c r="N258" s="85" t="n">
        <v>0</v>
      </c>
      <c r="O258" s="85" t="n"/>
      <c r="P258" s="85" t="n"/>
      <c r="Q258" s="85" t="inlineStr">
        <is>
          <t>VISUAL EFFECTS</t>
        </is>
      </c>
      <c r="R258" s="85" t="inlineStr">
        <is>
          <t>https://github.com/DLu/oscar_data</t>
        </is>
      </c>
    </row>
    <row r="259" ht="15.75" customHeight="1" s="108">
      <c r="A259" s="83" t="inlineStr">
        <is>
          <t>F0255</t>
        </is>
      </c>
      <c r="B259" s="83" t="inlineStr">
        <is>
          <t>War for the Planet of the Apes</t>
        </is>
      </c>
      <c r="C259" s="83" t="inlineStr">
        <is>
          <t>2017</t>
        </is>
      </c>
      <c r="D259" s="83" t="n">
        <v>1</v>
      </c>
      <c r="E259" s="83" t="n">
        <v>0</v>
      </c>
      <c r="F259" s="84" t="n"/>
      <c r="G259" s="83" t="n">
        <v>0</v>
      </c>
      <c r="H259" s="83" t="n">
        <v>0</v>
      </c>
      <c r="I259" s="85" t="n"/>
      <c r="J259" s="85" t="n">
        <v>0</v>
      </c>
      <c r="K259" s="85" t="n">
        <v>0</v>
      </c>
      <c r="L259" s="85" t="n"/>
      <c r="M259" s="85" t="n">
        <v>0</v>
      </c>
      <c r="N259" s="85" t="n">
        <v>0</v>
      </c>
      <c r="O259" s="85" t="n"/>
      <c r="P259" s="85" t="n"/>
      <c r="Q259" s="85" t="inlineStr">
        <is>
          <t>VISUAL EFFECTS</t>
        </is>
      </c>
      <c r="R259" s="85" t="inlineStr">
        <is>
          <t>https://github.com/DLu/oscar_data</t>
        </is>
      </c>
    </row>
    <row r="260" ht="15.75" customHeight="1" s="108">
      <c r="A260" s="83" t="inlineStr">
        <is>
          <t>F0256</t>
        </is>
      </c>
      <c r="B260" s="83" t="inlineStr">
        <is>
          <t>Kingdom of the Planet of the Apes</t>
        </is>
      </c>
      <c r="C260" s="83" t="inlineStr">
        <is>
          <t>2024</t>
        </is>
      </c>
      <c r="D260" s="83" t="n">
        <v>1</v>
      </c>
      <c r="E260" s="83" t="n">
        <v>0</v>
      </c>
      <c r="F260" s="84" t="n"/>
      <c r="G260" s="83" t="n">
        <v>0</v>
      </c>
      <c r="H260" s="83" t="n">
        <v>0</v>
      </c>
      <c r="I260" s="85" t="n"/>
      <c r="J260" s="85" t="n">
        <v>0</v>
      </c>
      <c r="K260" s="85" t="n">
        <v>0</v>
      </c>
      <c r="L260" s="85" t="n"/>
      <c r="M260" s="85" t="n">
        <v>0</v>
      </c>
      <c r="N260" s="85" t="n">
        <v>0</v>
      </c>
      <c r="O260" s="85" t="n"/>
      <c r="P260" s="85" t="n"/>
      <c r="Q260" s="85" t="inlineStr">
        <is>
          <t>VISUAL EFFECTS</t>
        </is>
      </c>
      <c r="R260" s="85" t="inlineStr">
        <is>
          <t>https://github.com/DLu/oscar_data</t>
        </is>
      </c>
    </row>
    <row r="261" ht="15.75" customHeight="1" s="108">
      <c r="A261" s="83" t="inlineStr">
        <is>
          <t>F0257</t>
        </is>
      </c>
      <c r="B261" s="83" t="inlineStr">
        <is>
          <t>The Prestige</t>
        </is>
      </c>
      <c r="C261" s="83" t="inlineStr">
        <is>
          <t>2006</t>
        </is>
      </c>
      <c r="D261" s="83" t="n">
        <v>2</v>
      </c>
      <c r="E261" s="83" t="n">
        <v>0</v>
      </c>
      <c r="F261" s="84" t="n"/>
      <c r="G261" s="83" t="n">
        <v>0</v>
      </c>
      <c r="H261" s="83" t="n">
        <v>0</v>
      </c>
      <c r="I261" s="85" t="n"/>
      <c r="J261" s="85" t="n">
        <v>0</v>
      </c>
      <c r="K261" s="85" t="n">
        <v>0</v>
      </c>
      <c r="L261" s="85" t="n"/>
      <c r="M261" s="85" t="n">
        <v>0</v>
      </c>
      <c r="N261" s="85" t="n">
        <v>0</v>
      </c>
      <c r="O261" s="85" t="n"/>
      <c r="P261" s="85" t="n"/>
      <c r="Q261" s="85" t="inlineStr">
        <is>
          <t>ART DIRECTION; CINEMATOGRAPHY</t>
        </is>
      </c>
      <c r="R261" s="85" t="inlineStr">
        <is>
          <t>https://github.com/DLu/oscar_data</t>
        </is>
      </c>
    </row>
    <row r="262" ht="15.75" customHeight="1" s="108">
      <c r="A262" s="83" t="inlineStr">
        <is>
          <t>F0258</t>
        </is>
      </c>
      <c r="B262" s="83" t="inlineStr">
        <is>
          <t>Prisoners</t>
        </is>
      </c>
      <c r="C262" s="83" t="inlineStr">
        <is>
          <t>2013</t>
        </is>
      </c>
      <c r="D262" s="83" t="n">
        <v>1</v>
      </c>
      <c r="E262" s="83" t="n">
        <v>0</v>
      </c>
      <c r="F262" s="84" t="n"/>
      <c r="G262" s="83" t="n">
        <v>0</v>
      </c>
      <c r="H262" s="83" t="n">
        <v>0</v>
      </c>
      <c r="I262" s="85" t="n"/>
      <c r="J262" s="85" t="n">
        <v>0</v>
      </c>
      <c r="K262" s="85" t="n">
        <v>0</v>
      </c>
      <c r="L262" s="85" t="n"/>
      <c r="M262" s="85" t="n">
        <v>0</v>
      </c>
      <c r="N262" s="85" t="n">
        <v>0</v>
      </c>
      <c r="O262" s="85" t="n"/>
      <c r="P262" s="85" t="n"/>
      <c r="Q262" s="85" t="inlineStr">
        <is>
          <t>CINEMATOGRAPHY</t>
        </is>
      </c>
      <c r="R262" s="85" t="inlineStr">
        <is>
          <t>https://github.com/DLu/oscar_data</t>
        </is>
      </c>
    </row>
    <row r="263" ht="15.75" customHeight="1" s="108">
      <c r="A263" s="83" t="inlineStr">
        <is>
          <t>F0259</t>
        </is>
      </c>
      <c r="B263" s="83" t="inlineStr">
        <is>
          <t>Prometheus</t>
        </is>
      </c>
      <c r="C263" s="83" t="inlineStr">
        <is>
          <t>2012</t>
        </is>
      </c>
      <c r="D263" s="83" t="n">
        <v>1</v>
      </c>
      <c r="E263" s="83" t="n">
        <v>0</v>
      </c>
      <c r="F263" s="84" t="n"/>
      <c r="G263" s="83" t="n">
        <v>0</v>
      </c>
      <c r="H263" s="83" t="n">
        <v>0</v>
      </c>
      <c r="I263" s="85" t="n"/>
      <c r="J263" s="85" t="n">
        <v>0</v>
      </c>
      <c r="K263" s="85" t="n">
        <v>0</v>
      </c>
      <c r="L263" s="85" t="n"/>
      <c r="M263" s="85" t="n">
        <v>0</v>
      </c>
      <c r="N263" s="85" t="n">
        <v>0</v>
      </c>
      <c r="O263" s="85" t="n"/>
      <c r="P263" s="85" t="n"/>
      <c r="Q263" s="85" t="inlineStr">
        <is>
          <t>VISUAL EFFECTS</t>
        </is>
      </c>
      <c r="R263" s="85" t="inlineStr">
        <is>
          <t>https://github.com/DLu/oscar_data</t>
        </is>
      </c>
    </row>
    <row r="264" ht="15.75" customHeight="1" s="108">
      <c r="A264" s="83" t="inlineStr">
        <is>
          <t>F0260</t>
        </is>
      </c>
      <c r="B264" s="83" t="inlineStr">
        <is>
          <t>The Pursuit of Happyness</t>
        </is>
      </c>
      <c r="C264" s="83" t="inlineStr">
        <is>
          <t>2006</t>
        </is>
      </c>
      <c r="D264" s="83" t="n">
        <v>1</v>
      </c>
      <c r="E264" s="83" t="n">
        <v>0</v>
      </c>
      <c r="F264" s="84" t="n"/>
      <c r="G264" s="83" t="n">
        <v>1</v>
      </c>
      <c r="H264" s="83" t="n">
        <v>0</v>
      </c>
      <c r="I264" s="85" t="n"/>
      <c r="J264" s="85" t="n">
        <v>0</v>
      </c>
      <c r="K264" s="85" t="n">
        <v>0</v>
      </c>
      <c r="L264" s="85" t="n"/>
      <c r="M264" s="85" t="n">
        <v>0</v>
      </c>
      <c r="N264" s="85" t="n">
        <v>0</v>
      </c>
      <c r="O264" s="85" t="n"/>
      <c r="P264" s="85" t="n"/>
      <c r="Q264" s="85" t="inlineStr">
        <is>
          <t>ACTOR IN A LEADING ROLE</t>
        </is>
      </c>
      <c r="R264" s="85" t="inlineStr">
        <is>
          <t>https://github.com/DLu/oscar_data</t>
        </is>
      </c>
    </row>
    <row r="265" ht="15.75" customHeight="1" s="108">
      <c r="A265" s="83" t="inlineStr">
        <is>
          <t>F0261</t>
        </is>
      </c>
      <c r="B265" s="83" t="inlineStr">
        <is>
          <t>Rambo</t>
        </is>
      </c>
      <c r="C265" s="83" t="inlineStr">
        <is>
          <t>2008</t>
        </is>
      </c>
      <c r="D265" s="83" t="n">
        <v>0</v>
      </c>
      <c r="E265" s="83" t="n">
        <v>0</v>
      </c>
      <c r="F265" s="84" t="n"/>
      <c r="G265" s="83" t="n">
        <v>0</v>
      </c>
      <c r="H265" s="83" t="n">
        <v>0</v>
      </c>
      <c r="I265" s="85" t="n"/>
      <c r="J265" s="85" t="n">
        <v>0</v>
      </c>
      <c r="K265" s="85" t="n">
        <v>0</v>
      </c>
      <c r="L265" s="85" t="n"/>
      <c r="M265" s="85" t="n">
        <v>0</v>
      </c>
      <c r="N265" s="85" t="n">
        <v>0</v>
      </c>
      <c r="O265" s="85" t="n"/>
      <c r="P265" s="85" t="n"/>
      <c r="Q265" s="85" t="n"/>
      <c r="R265" s="85" t="inlineStr">
        <is>
          <t>https://github.com/DLu/oscar_data</t>
        </is>
      </c>
    </row>
    <row r="266" ht="15.75" customHeight="1" s="108">
      <c r="A266" s="83" t="inlineStr">
        <is>
          <t>F0262</t>
        </is>
      </c>
      <c r="B266" s="83" t="inlineStr">
        <is>
          <t>RED</t>
        </is>
      </c>
      <c r="C266" s="83" t="inlineStr">
        <is>
          <t>2010</t>
        </is>
      </c>
      <c r="D266" s="83" t="n">
        <v>0</v>
      </c>
      <c r="E266" s="83" t="n">
        <v>0</v>
      </c>
      <c r="F266" s="84" t="n"/>
      <c r="G266" s="83" t="n">
        <v>0</v>
      </c>
      <c r="H266" s="83" t="n">
        <v>0</v>
      </c>
      <c r="I266" s="85" t="n"/>
      <c r="J266" s="85" t="n">
        <v>0</v>
      </c>
      <c r="K266" s="85" t="n">
        <v>0</v>
      </c>
      <c r="L266" s="85" t="n"/>
      <c r="M266" s="85" t="n">
        <v>0</v>
      </c>
      <c r="N266" s="85" t="n">
        <v>0</v>
      </c>
      <c r="O266" s="85" t="n"/>
      <c r="P266" s="85" t="n"/>
      <c r="Q266" s="85" t="n"/>
      <c r="R266" s="85" t="inlineStr">
        <is>
          <t>https://github.com/DLu/oscar_data</t>
        </is>
      </c>
    </row>
    <row r="267" ht="15.75" customHeight="1" s="108">
      <c r="A267" s="83" t="inlineStr">
        <is>
          <t>F0263</t>
        </is>
      </c>
      <c r="B267" s="83" t="inlineStr">
        <is>
          <t>Reign of Fire</t>
        </is>
      </c>
      <c r="C267" s="83" t="inlineStr">
        <is>
          <t>2002</t>
        </is>
      </c>
      <c r="D267" s="83" t="n">
        <v>0</v>
      </c>
      <c r="E267" s="83" t="n">
        <v>0</v>
      </c>
      <c r="F267" s="84" t="n"/>
      <c r="G267" s="83" t="n">
        <v>0</v>
      </c>
      <c r="H267" s="83" t="n">
        <v>0</v>
      </c>
      <c r="I267" s="85" t="n"/>
      <c r="J267" s="85" t="n">
        <v>0</v>
      </c>
      <c r="K267" s="85" t="n">
        <v>0</v>
      </c>
      <c r="L267" s="85" t="n"/>
      <c r="M267" s="85" t="n">
        <v>0</v>
      </c>
      <c r="N267" s="85" t="n">
        <v>0</v>
      </c>
      <c r="O267" s="85" t="n"/>
      <c r="P267" s="85" t="n"/>
      <c r="Q267" s="85" t="n"/>
      <c r="R267" s="85" t="inlineStr">
        <is>
          <t>https://github.com/DLu/oscar_data</t>
        </is>
      </c>
    </row>
    <row r="268" ht="15.75" customHeight="1" s="108">
      <c r="A268" s="83" t="inlineStr">
        <is>
          <t>F0264</t>
        </is>
      </c>
      <c r="B268" s="83" t="inlineStr">
        <is>
          <t>Riddick</t>
        </is>
      </c>
      <c r="C268" s="83" t="inlineStr">
        <is>
          <t>2013</t>
        </is>
      </c>
      <c r="D268" s="83" t="n">
        <v>0</v>
      </c>
      <c r="E268" s="83" t="n">
        <v>0</v>
      </c>
      <c r="F268" s="84" t="n"/>
      <c r="G268" s="83" t="n">
        <v>0</v>
      </c>
      <c r="H268" s="83" t="n">
        <v>0</v>
      </c>
      <c r="I268" s="85" t="n"/>
      <c r="J268" s="85" t="n">
        <v>0</v>
      </c>
      <c r="K268" s="85" t="n">
        <v>0</v>
      </c>
      <c r="L268" s="85" t="n"/>
      <c r="M268" s="85" t="n">
        <v>0</v>
      </c>
      <c r="N268" s="85" t="n">
        <v>0</v>
      </c>
      <c r="O268" s="85" t="n"/>
      <c r="P268" s="85" t="n"/>
      <c r="Q268" s="85" t="n"/>
      <c r="R268" s="85" t="inlineStr">
        <is>
          <t>https://github.com/DLu/oscar_data</t>
        </is>
      </c>
    </row>
    <row r="269" ht="15.75" customHeight="1" s="108">
      <c r="A269" s="83" t="inlineStr">
        <is>
          <t>F0265</t>
        </is>
      </c>
      <c r="B269" s="83" t="inlineStr">
        <is>
          <t>Rio</t>
        </is>
      </c>
      <c r="C269" s="83" t="inlineStr">
        <is>
          <t>2011</t>
        </is>
      </c>
      <c r="D269" s="83" t="n">
        <v>1</v>
      </c>
      <c r="E269" s="83" t="n">
        <v>0</v>
      </c>
      <c r="F269" s="84" t="n"/>
      <c r="G269" s="83" t="n">
        <v>0</v>
      </c>
      <c r="H269" s="83" t="n">
        <v>0</v>
      </c>
      <c r="I269" s="85" t="n"/>
      <c r="J269" s="85" t="n">
        <v>0</v>
      </c>
      <c r="K269" s="85" t="n">
        <v>0</v>
      </c>
      <c r="L269" s="85" t="n"/>
      <c r="M269" s="85" t="n">
        <v>0</v>
      </c>
      <c r="N269" s="85" t="n">
        <v>0</v>
      </c>
      <c r="O269" s="85" t="n"/>
      <c r="P269" s="85" t="n"/>
      <c r="Q269" s="85" t="inlineStr">
        <is>
          <t>MUSIC (Original Song)</t>
        </is>
      </c>
      <c r="R269" s="85" t="inlineStr">
        <is>
          <t>https://github.com/DLu/oscar_data</t>
        </is>
      </c>
    </row>
    <row r="270" ht="15.75" customHeight="1" s="108">
      <c r="A270" s="83" t="inlineStr">
        <is>
          <t>F0266</t>
        </is>
      </c>
      <c r="B270" s="83" t="inlineStr">
        <is>
          <t>Rio 2</t>
        </is>
      </c>
      <c r="C270" s="83" t="inlineStr">
        <is>
          <t>2014</t>
        </is>
      </c>
      <c r="D270" s="83" t="n">
        <v>0</v>
      </c>
      <c r="E270" s="83" t="n">
        <v>0</v>
      </c>
      <c r="F270" s="84" t="n"/>
      <c r="G270" s="83" t="n">
        <v>0</v>
      </c>
      <c r="H270" s="83" t="n">
        <v>0</v>
      </c>
      <c r="I270" s="85" t="n"/>
      <c r="J270" s="85" t="n">
        <v>0</v>
      </c>
      <c r="K270" s="85" t="n">
        <v>0</v>
      </c>
      <c r="L270" s="85" t="n"/>
      <c r="M270" s="85" t="n">
        <v>0</v>
      </c>
      <c r="N270" s="85" t="n">
        <v>0</v>
      </c>
      <c r="O270" s="85" t="n"/>
      <c r="P270" s="85" t="n"/>
      <c r="Q270" s="85" t="n"/>
      <c r="R270" s="85" t="inlineStr">
        <is>
          <t>https://github.com/DLu/oscar_data</t>
        </is>
      </c>
    </row>
    <row r="271" ht="15.75" customHeight="1" s="108">
      <c r="A271" s="83" t="inlineStr">
        <is>
          <t>F0267</t>
        </is>
      </c>
      <c r="B271" s="83" t="inlineStr">
        <is>
          <t>Robin Hood</t>
        </is>
      </c>
      <c r="C271" s="83" t="inlineStr">
        <is>
          <t>2010</t>
        </is>
      </c>
      <c r="D271" s="83" t="n">
        <v>0</v>
      </c>
      <c r="E271" s="83" t="n">
        <v>0</v>
      </c>
      <c r="F271" s="84" t="n"/>
      <c r="G271" s="83" t="n">
        <v>0</v>
      </c>
      <c r="H271" s="83" t="n">
        <v>0</v>
      </c>
      <c r="I271" s="85" t="n"/>
      <c r="J271" s="85" t="n">
        <v>0</v>
      </c>
      <c r="K271" s="85" t="n">
        <v>0</v>
      </c>
      <c r="L271" s="85" t="n"/>
      <c r="M271" s="85" t="n">
        <v>0</v>
      </c>
      <c r="N271" s="85" t="n">
        <v>0</v>
      </c>
      <c r="O271" s="85" t="n"/>
      <c r="P271" s="85" t="n"/>
      <c r="Q271" s="85" t="n"/>
      <c r="R271" s="85" t="inlineStr">
        <is>
          <t>https://github.com/DLu/oscar_data</t>
        </is>
      </c>
    </row>
    <row r="272" ht="15.75" customHeight="1" s="108">
      <c r="A272" s="83" t="inlineStr">
        <is>
          <t>F0268</t>
        </is>
      </c>
      <c r="B272" s="83" t="inlineStr">
        <is>
          <t>RoboCop</t>
        </is>
      </c>
      <c r="C272" s="84" t="n"/>
      <c r="D272" s="83" t="n">
        <v>0</v>
      </c>
      <c r="E272" s="83" t="n">
        <v>0</v>
      </c>
      <c r="F272" s="84" t="n"/>
      <c r="G272" s="83" t="n">
        <v>0</v>
      </c>
      <c r="H272" s="83" t="n">
        <v>0</v>
      </c>
      <c r="I272" s="85" t="n"/>
      <c r="J272" s="85" t="n">
        <v>0</v>
      </c>
      <c r="K272" s="85" t="n">
        <v>0</v>
      </c>
      <c r="L272" s="85" t="n"/>
      <c r="M272" s="85" t="n">
        <v>0</v>
      </c>
      <c r="N272" s="85" t="n">
        <v>0</v>
      </c>
      <c r="O272" s="85" t="n"/>
      <c r="P272" s="85" t="n"/>
      <c r="Q272" s="85" t="n"/>
      <c r="R272" s="85" t="inlineStr">
        <is>
          <t>https://github.com/DLu/oscar_data</t>
        </is>
      </c>
    </row>
    <row r="273" ht="15.75" customHeight="1" s="108">
      <c r="A273" s="83" t="inlineStr">
        <is>
          <t>F0269</t>
        </is>
      </c>
      <c r="B273" s="83" t="inlineStr">
        <is>
          <t>Rocketman</t>
        </is>
      </c>
      <c r="C273" s="83" t="inlineStr">
        <is>
          <t>2019</t>
        </is>
      </c>
      <c r="D273" s="83" t="n">
        <v>1</v>
      </c>
      <c r="E273" s="83" t="n">
        <v>1</v>
      </c>
      <c r="F273" s="84" t="n"/>
      <c r="G273" s="83" t="n">
        <v>0</v>
      </c>
      <c r="H273" s="83" t="n">
        <v>0</v>
      </c>
      <c r="I273" s="85" t="n"/>
      <c r="J273" s="85" t="n">
        <v>0</v>
      </c>
      <c r="K273" s="85" t="n">
        <v>0</v>
      </c>
      <c r="L273" s="85" t="n"/>
      <c r="M273" s="85" t="n">
        <v>0</v>
      </c>
      <c r="N273" s="85" t="n">
        <v>0</v>
      </c>
      <c r="O273" s="85" t="n"/>
      <c r="P273" s="85" t="inlineStr">
        <is>
          <t>MUSIC (Original Song)</t>
        </is>
      </c>
      <c r="Q273" s="85" t="inlineStr">
        <is>
          <t>MUSIC (Original Song)</t>
        </is>
      </c>
      <c r="R273" s="85" t="inlineStr">
        <is>
          <t>https://github.com/DLu/oscar_data</t>
        </is>
      </c>
    </row>
    <row r="274" ht="15.75" customHeight="1" s="108">
      <c r="A274" s="83" t="inlineStr">
        <is>
          <t>F0270</t>
        </is>
      </c>
      <c r="B274" s="83" t="inlineStr">
        <is>
          <t>Rush</t>
        </is>
      </c>
      <c r="C274" s="83" t="inlineStr">
        <is>
          <t>2013</t>
        </is>
      </c>
      <c r="D274" s="83" t="n">
        <v>0</v>
      </c>
      <c r="E274" s="83" t="n">
        <v>0</v>
      </c>
      <c r="F274" s="84" t="n"/>
      <c r="G274" s="83" t="n">
        <v>0</v>
      </c>
      <c r="H274" s="83" t="n">
        <v>0</v>
      </c>
      <c r="I274" s="85" t="n"/>
      <c r="J274" s="85" t="n">
        <v>0</v>
      </c>
      <c r="K274" s="85" t="n">
        <v>0</v>
      </c>
      <c r="L274" s="85" t="n"/>
      <c r="M274" s="85" t="n">
        <v>0</v>
      </c>
      <c r="N274" s="85" t="n">
        <v>0</v>
      </c>
      <c r="O274" s="85" t="n"/>
      <c r="P274" s="85" t="n"/>
      <c r="Q274" s="85" t="n"/>
      <c r="R274" s="85" t="inlineStr">
        <is>
          <t>https://github.com/DLu/oscar_data</t>
        </is>
      </c>
    </row>
    <row r="275" ht="15.75" customHeight="1" s="108">
      <c r="A275" s="83" t="inlineStr">
        <is>
          <t>F0271</t>
        </is>
      </c>
      <c r="B275" s="83" t="inlineStr">
        <is>
          <t>Rush Hour 3</t>
        </is>
      </c>
      <c r="C275" s="83" t="inlineStr">
        <is>
          <t>2007</t>
        </is>
      </c>
      <c r="D275" s="83" t="n">
        <v>0</v>
      </c>
      <c r="E275" s="83" t="n">
        <v>0</v>
      </c>
      <c r="F275" s="84" t="n"/>
      <c r="G275" s="83" t="n">
        <v>0</v>
      </c>
      <c r="H275" s="83" t="n">
        <v>0</v>
      </c>
      <c r="I275" s="85" t="n"/>
      <c r="J275" s="85" t="n">
        <v>0</v>
      </c>
      <c r="K275" s="85" t="n">
        <v>0</v>
      </c>
      <c r="L275" s="85" t="n"/>
      <c r="M275" s="85" t="n">
        <v>0</v>
      </c>
      <c r="N275" s="85" t="n">
        <v>0</v>
      </c>
      <c r="O275" s="85" t="n"/>
      <c r="P275" s="85" t="n"/>
      <c r="Q275" s="85" t="n"/>
      <c r="R275" s="85" t="inlineStr">
        <is>
          <t>https://github.com/DLu/oscar_data</t>
        </is>
      </c>
    </row>
    <row r="276" ht="15.75" customHeight="1" s="108">
      <c r="A276" s="83" t="inlineStr">
        <is>
          <t>F0272</t>
        </is>
      </c>
      <c r="B276" s="83" t="inlineStr">
        <is>
          <t>Safe House</t>
        </is>
      </c>
      <c r="C276" s="83" t="inlineStr">
        <is>
          <t>2012</t>
        </is>
      </c>
      <c r="D276" s="83" t="n">
        <v>0</v>
      </c>
      <c r="E276" s="83" t="n">
        <v>0</v>
      </c>
      <c r="F276" s="84" t="n"/>
      <c r="G276" s="83" t="n">
        <v>0</v>
      </c>
      <c r="H276" s="83" t="n">
        <v>0</v>
      </c>
      <c r="I276" s="85" t="n"/>
      <c r="J276" s="85" t="n">
        <v>0</v>
      </c>
      <c r="K276" s="85" t="n">
        <v>0</v>
      </c>
      <c r="L276" s="85" t="n"/>
      <c r="M276" s="85" t="n">
        <v>0</v>
      </c>
      <c r="N276" s="85" t="n">
        <v>0</v>
      </c>
      <c r="O276" s="85" t="n"/>
      <c r="P276" s="85" t="n"/>
      <c r="Q276" s="85" t="n"/>
      <c r="R276" s="85" t="inlineStr">
        <is>
          <t>https://github.com/DLu/oscar_data</t>
        </is>
      </c>
    </row>
    <row r="277" ht="15.75" customHeight="1" s="108">
      <c r="A277" s="83" t="inlineStr">
        <is>
          <t>F0273</t>
        </is>
      </c>
      <c r="B277" s="83" t="inlineStr">
        <is>
          <t>Salt</t>
        </is>
      </c>
      <c r="C277" s="83" t="inlineStr">
        <is>
          <t>2010</t>
        </is>
      </c>
      <c r="D277" s="83" t="n">
        <v>1</v>
      </c>
      <c r="E277" s="83" t="n">
        <v>0</v>
      </c>
      <c r="F277" s="84" t="n"/>
      <c r="G277" s="83" t="n">
        <v>0</v>
      </c>
      <c r="H277" s="83" t="n">
        <v>0</v>
      </c>
      <c r="I277" s="85" t="n"/>
      <c r="J277" s="85" t="n">
        <v>0</v>
      </c>
      <c r="K277" s="85" t="n">
        <v>0</v>
      </c>
      <c r="L277" s="85" t="n"/>
      <c r="M277" s="85" t="n">
        <v>0</v>
      </c>
      <c r="N277" s="85" t="n">
        <v>0</v>
      </c>
      <c r="O277" s="85" t="n"/>
      <c r="P277" s="85" t="n"/>
      <c r="Q277" s="85" t="inlineStr">
        <is>
          <t>SOUND MIXING</t>
        </is>
      </c>
      <c r="R277" s="85" t="inlineStr">
        <is>
          <t>https://github.com/DLu/oscar_data</t>
        </is>
      </c>
    </row>
    <row r="278" ht="15.75" customHeight="1" s="108">
      <c r="A278" s="83" t="inlineStr">
        <is>
          <t>F0274</t>
        </is>
      </c>
      <c r="B278" s="83" t="inlineStr">
        <is>
          <t>The Secret Life of Pets</t>
        </is>
      </c>
      <c r="C278" s="83" t="inlineStr">
        <is>
          <t>2016</t>
        </is>
      </c>
      <c r="D278" s="83" t="n">
        <v>0</v>
      </c>
      <c r="E278" s="83" t="n">
        <v>0</v>
      </c>
      <c r="F278" s="84" t="n"/>
      <c r="G278" s="83" t="n">
        <v>0</v>
      </c>
      <c r="H278" s="83" t="n">
        <v>0</v>
      </c>
      <c r="I278" s="85" t="n"/>
      <c r="J278" s="85" t="n">
        <v>0</v>
      </c>
      <c r="K278" s="85" t="n">
        <v>0</v>
      </c>
      <c r="L278" s="85" t="n"/>
      <c r="M278" s="85" t="n">
        <v>0</v>
      </c>
      <c r="N278" s="85" t="n">
        <v>0</v>
      </c>
      <c r="O278" s="85" t="n"/>
      <c r="P278" s="85" t="n"/>
      <c r="Q278" s="85" t="n"/>
      <c r="R278" s="85" t="inlineStr">
        <is>
          <t>https://github.com/DLu/oscar_data</t>
        </is>
      </c>
    </row>
    <row r="279" ht="15.75" customHeight="1" s="108">
      <c r="A279" s="83" t="inlineStr">
        <is>
          <t>F0275</t>
        </is>
      </c>
      <c r="B279" s="83" t="inlineStr">
        <is>
          <t>Senna</t>
        </is>
      </c>
      <c r="C279" s="83" t="inlineStr">
        <is>
          <t>2010</t>
        </is>
      </c>
      <c r="D279" s="83" t="n">
        <v>0</v>
      </c>
      <c r="E279" s="83" t="n">
        <v>0</v>
      </c>
      <c r="F279" s="84" t="n"/>
      <c r="G279" s="83" t="n">
        <v>0</v>
      </c>
      <c r="H279" s="83" t="n">
        <v>0</v>
      </c>
      <c r="I279" s="85" t="n"/>
      <c r="J279" s="85" t="n">
        <v>0</v>
      </c>
      <c r="K279" s="85" t="n">
        <v>0</v>
      </c>
      <c r="L279" s="85" t="n"/>
      <c r="M279" s="85" t="n">
        <v>0</v>
      </c>
      <c r="N279" s="85" t="n">
        <v>0</v>
      </c>
      <c r="O279" s="85" t="n"/>
      <c r="P279" s="85" t="n"/>
      <c r="Q279" s="85" t="n"/>
      <c r="R279" s="85" t="inlineStr">
        <is>
          <t>https://github.com/DLu/oscar_data</t>
        </is>
      </c>
    </row>
    <row r="280" ht="15.75" customHeight="1" s="108">
      <c r="A280" s="83" t="inlineStr">
        <is>
          <t>F0276</t>
        </is>
      </c>
      <c r="B280" s="83" t="inlineStr">
        <is>
          <t>Se7en</t>
        </is>
      </c>
      <c r="C280" s="83" t="inlineStr">
        <is>
          <t>1995</t>
        </is>
      </c>
      <c r="D280" s="83" t="n">
        <v>1</v>
      </c>
      <c r="E280" s="83" t="n">
        <v>0</v>
      </c>
      <c r="F280" s="84" t="n"/>
      <c r="G280" s="83" t="n">
        <v>0</v>
      </c>
      <c r="H280" s="83" t="n">
        <v>0</v>
      </c>
      <c r="I280" s="85" t="n"/>
      <c r="J280" s="85" t="n">
        <v>0</v>
      </c>
      <c r="K280" s="85" t="n">
        <v>0</v>
      </c>
      <c r="L280" s="85" t="n"/>
      <c r="M280" s="85" t="n">
        <v>0</v>
      </c>
      <c r="N280" s="85" t="n">
        <v>0</v>
      </c>
      <c r="O280" s="85" t="n"/>
      <c r="P280" s="85" t="n"/>
      <c r="Q280" s="85" t="inlineStr">
        <is>
          <t>FILM EDITING</t>
        </is>
      </c>
      <c r="R280" s="85" t="inlineStr">
        <is>
          <t>https://github.com/DLu/oscar_data</t>
        </is>
      </c>
    </row>
    <row r="281" ht="15.75" customHeight="1" s="108">
      <c r="A281" s="83" t="inlineStr">
        <is>
          <t>F0277</t>
        </is>
      </c>
      <c r="B281" s="83" t="inlineStr">
        <is>
          <t>Sex &amp; Drugs &amp; Rock &amp; Roll</t>
        </is>
      </c>
      <c r="C281" s="83" t="inlineStr">
        <is>
          <t>2010</t>
        </is>
      </c>
      <c r="D281" s="83" t="n">
        <v>0</v>
      </c>
      <c r="E281" s="83" t="n">
        <v>0</v>
      </c>
      <c r="F281" s="84" t="n"/>
      <c r="G281" s="83" t="n">
        <v>0</v>
      </c>
      <c r="H281" s="83" t="n">
        <v>0</v>
      </c>
      <c r="I281" s="85" t="n"/>
      <c r="J281" s="85" t="n">
        <v>0</v>
      </c>
      <c r="K281" s="85" t="n">
        <v>0</v>
      </c>
      <c r="L281" s="85" t="n"/>
      <c r="M281" s="85" t="n">
        <v>0</v>
      </c>
      <c r="N281" s="85" t="n">
        <v>0</v>
      </c>
      <c r="O281" s="85" t="n"/>
      <c r="P281" s="85" t="n"/>
      <c r="Q281" s="85" t="n"/>
      <c r="R281" s="85" t="inlineStr">
        <is>
          <t>https://github.com/DLu/oscar_data</t>
        </is>
      </c>
    </row>
    <row r="282" ht="15.75" customHeight="1" s="108">
      <c r="A282" s="83" t="inlineStr">
        <is>
          <t>F0278</t>
        </is>
      </c>
      <c r="B282" s="83" t="inlineStr">
        <is>
          <t>Sherlock Holmes</t>
        </is>
      </c>
      <c r="C282" s="83" t="inlineStr">
        <is>
          <t>2009</t>
        </is>
      </c>
      <c r="D282" s="83" t="n">
        <v>2</v>
      </c>
      <c r="E282" s="83" t="n">
        <v>0</v>
      </c>
      <c r="F282" s="84" t="n"/>
      <c r="G282" s="83" t="n">
        <v>0</v>
      </c>
      <c r="H282" s="83" t="n">
        <v>0</v>
      </c>
      <c r="I282" s="85" t="n"/>
      <c r="J282" s="85" t="n">
        <v>0</v>
      </c>
      <c r="K282" s="85" t="n">
        <v>0</v>
      </c>
      <c r="L282" s="85" t="n"/>
      <c r="M282" s="85" t="n">
        <v>0</v>
      </c>
      <c r="N282" s="85" t="n">
        <v>0</v>
      </c>
      <c r="O282" s="85" t="n"/>
      <c r="P282" s="85" t="n"/>
      <c r="Q282" s="85" t="inlineStr">
        <is>
          <t>ART DIRECTION; MUSIC (Original Score)</t>
        </is>
      </c>
      <c r="R282" s="85" t="inlineStr">
        <is>
          <t>https://github.com/DLu/oscar_data</t>
        </is>
      </c>
    </row>
    <row r="283" ht="15.75" customHeight="1" s="108">
      <c r="A283" s="83" t="inlineStr">
        <is>
          <t>F0279</t>
        </is>
      </c>
      <c r="B283" s="83" t="inlineStr">
        <is>
          <t>Sherlock Holmes: A Game of Shadows</t>
        </is>
      </c>
      <c r="C283" s="83" t="inlineStr">
        <is>
          <t>2011</t>
        </is>
      </c>
      <c r="D283" s="83" t="n">
        <v>0</v>
      </c>
      <c r="E283" s="83" t="n">
        <v>0</v>
      </c>
      <c r="F283" s="84" t="n"/>
      <c r="G283" s="83" t="n">
        <v>0</v>
      </c>
      <c r="H283" s="83" t="n">
        <v>0</v>
      </c>
      <c r="I283" s="85" t="n"/>
      <c r="J283" s="85" t="n">
        <v>0</v>
      </c>
      <c r="K283" s="85" t="n">
        <v>0</v>
      </c>
      <c r="L283" s="85" t="n"/>
      <c r="M283" s="85" t="n">
        <v>0</v>
      </c>
      <c r="N283" s="85" t="n">
        <v>0</v>
      </c>
      <c r="O283" s="85" t="n"/>
      <c r="P283" s="85" t="n"/>
      <c r="Q283" s="85" t="n"/>
      <c r="R283" s="85" t="inlineStr">
        <is>
          <t>https://github.com/DLu/oscar_data</t>
        </is>
      </c>
    </row>
    <row r="284" ht="15.75" customHeight="1" s="108">
      <c r="A284" s="83" t="inlineStr">
        <is>
          <t>F0280</t>
        </is>
      </c>
      <c r="B284" s="83" t="inlineStr">
        <is>
          <t>Sing</t>
        </is>
      </c>
      <c r="C284" s="83" t="inlineStr">
        <is>
          <t>2016</t>
        </is>
      </c>
      <c r="D284" s="83" t="n">
        <v>1</v>
      </c>
      <c r="E284" s="83" t="n">
        <v>1</v>
      </c>
      <c r="F284" s="84" t="n"/>
      <c r="G284" s="83" t="n">
        <v>0</v>
      </c>
      <c r="H284" s="83" t="n">
        <v>0</v>
      </c>
      <c r="I284" s="85" t="n"/>
      <c r="J284" s="85" t="n">
        <v>0</v>
      </c>
      <c r="K284" s="85" t="n">
        <v>0</v>
      </c>
      <c r="L284" s="85" t="n"/>
      <c r="M284" s="85" t="n">
        <v>0</v>
      </c>
      <c r="N284" s="85" t="n">
        <v>0</v>
      </c>
      <c r="O284" s="85" t="n"/>
      <c r="P284" s="85" t="inlineStr">
        <is>
          <t>SHORT FILM (Live Action)</t>
        </is>
      </c>
      <c r="Q284" s="85" t="inlineStr">
        <is>
          <t>SHORT FILM (Live Action)</t>
        </is>
      </c>
      <c r="R284" s="85" t="inlineStr">
        <is>
          <t>https://github.com/DLu/oscar_data</t>
        </is>
      </c>
    </row>
    <row r="285" ht="45" customHeight="1" s="108">
      <c r="A285" s="83" t="inlineStr">
        <is>
          <t>F0281</t>
        </is>
      </c>
      <c r="B285" s="83" t="inlineStr">
        <is>
          <t>Slumdog Millionaire</t>
        </is>
      </c>
      <c r="C285" s="83" t="inlineStr">
        <is>
          <t>2008</t>
        </is>
      </c>
      <c r="D285" s="83" t="n">
        <v>10</v>
      </c>
      <c r="E285" s="83" t="n">
        <v>8</v>
      </c>
      <c r="F285" s="83" t="inlineStr">
        <is>
          <t>Winner</t>
        </is>
      </c>
      <c r="G285" s="83" t="n">
        <v>0</v>
      </c>
      <c r="H285" s="83" t="n">
        <v>0</v>
      </c>
      <c r="I285" s="85" t="n"/>
      <c r="J285" s="85" t="n">
        <v>1</v>
      </c>
      <c r="K285" s="85" t="n">
        <v>1</v>
      </c>
      <c r="L285" s="85" t="inlineStr">
        <is>
          <t>Danny Boyle</t>
        </is>
      </c>
      <c r="M285" s="85" t="n">
        <v>1</v>
      </c>
      <c r="N285" s="85" t="n">
        <v>1</v>
      </c>
      <c r="O285" s="85" t="n"/>
      <c r="P285" s="85" t="inlineStr">
        <is>
          <t>CINEMATOGRAPHY; DIRECTING; FILM EDITING; MUSIC (Original Score); MUSIC (Original Song); BEST PICTURE; SOUND MIXING; WRITING (Adapted Screenplay)</t>
        </is>
      </c>
      <c r="Q285" s="85" t="inlineStr">
        <is>
          <t>CINEMATOGRAPHY; DIRECTING; FILM EDITING; MUSIC (Original Score); MUSIC (Original Song); BEST PICTURE; SOUND EDITING; SOUND MIXING; WRITING (Adapted Screenplay)</t>
        </is>
      </c>
      <c r="R285" s="85" t="inlineStr">
        <is>
          <t>https://github.com/DLu/oscar_data</t>
        </is>
      </c>
    </row>
    <row r="286" ht="15.75" customHeight="1" s="108">
      <c r="A286" s="83" t="inlineStr">
        <is>
          <t>F0282</t>
        </is>
      </c>
      <c r="B286" s="83" t="inlineStr">
        <is>
          <t>The Smurfs 2</t>
        </is>
      </c>
      <c r="C286" s="83" t="inlineStr">
        <is>
          <t>2013</t>
        </is>
      </c>
      <c r="D286" s="83" t="n">
        <v>0</v>
      </c>
      <c r="E286" s="83" t="n">
        <v>0</v>
      </c>
      <c r="F286" s="84" t="n"/>
      <c r="G286" s="83" t="n">
        <v>0</v>
      </c>
      <c r="H286" s="83" t="n">
        <v>0</v>
      </c>
      <c r="I286" s="85" t="n"/>
      <c r="J286" s="85" t="n">
        <v>0</v>
      </c>
      <c r="K286" s="85" t="n">
        <v>0</v>
      </c>
      <c r="L286" s="85" t="n"/>
      <c r="M286" s="85" t="n">
        <v>0</v>
      </c>
      <c r="N286" s="85" t="n">
        <v>0</v>
      </c>
      <c r="O286" s="85" t="n"/>
      <c r="P286" s="85" t="n"/>
      <c r="Q286" s="85" t="n"/>
      <c r="R286" s="85" t="inlineStr">
        <is>
          <t>https://github.com/DLu/oscar_data</t>
        </is>
      </c>
    </row>
    <row r="287" ht="15.75" customHeight="1" s="108">
      <c r="A287" s="83" t="inlineStr">
        <is>
          <t>F0283</t>
        </is>
      </c>
      <c r="B287" s="83" t="inlineStr">
        <is>
          <t>Snowpiercer</t>
        </is>
      </c>
      <c r="C287" s="83" t="inlineStr">
        <is>
          <t>2013</t>
        </is>
      </c>
      <c r="D287" s="83" t="n">
        <v>0</v>
      </c>
      <c r="E287" s="83" t="n">
        <v>0</v>
      </c>
      <c r="F287" s="84" t="n"/>
      <c r="G287" s="83" t="n">
        <v>0</v>
      </c>
      <c r="H287" s="83" t="n">
        <v>0</v>
      </c>
      <c r="I287" s="85" t="n"/>
      <c r="J287" s="85" t="n">
        <v>0</v>
      </c>
      <c r="K287" s="85" t="n">
        <v>0</v>
      </c>
      <c r="L287" s="85" t="n"/>
      <c r="M287" s="85" t="n">
        <v>0</v>
      </c>
      <c r="N287" s="85" t="n">
        <v>0</v>
      </c>
      <c r="O287" s="85" t="n"/>
      <c r="P287" s="85" t="n"/>
      <c r="Q287" s="85" t="n"/>
      <c r="R287" s="85" t="inlineStr">
        <is>
          <t>https://github.com/DLu/oscar_data</t>
        </is>
      </c>
    </row>
    <row r="288" ht="15.75" customHeight="1" s="108">
      <c r="A288" s="83" t="inlineStr">
        <is>
          <t>F0284</t>
        </is>
      </c>
      <c r="B288" s="83" t="inlineStr">
        <is>
          <t>Snow White and the Huntsman</t>
        </is>
      </c>
      <c r="C288" s="83" t="inlineStr">
        <is>
          <t>2012</t>
        </is>
      </c>
      <c r="D288" s="83" t="n">
        <v>2</v>
      </c>
      <c r="E288" s="83" t="n">
        <v>0</v>
      </c>
      <c r="F288" s="84" t="n"/>
      <c r="G288" s="83" t="n">
        <v>0</v>
      </c>
      <c r="H288" s="83" t="n">
        <v>0</v>
      </c>
      <c r="I288" s="85" t="n"/>
      <c r="J288" s="85" t="n">
        <v>0</v>
      </c>
      <c r="K288" s="85" t="n">
        <v>0</v>
      </c>
      <c r="L288" s="85" t="n"/>
      <c r="M288" s="85" t="n">
        <v>0</v>
      </c>
      <c r="N288" s="85" t="n">
        <v>0</v>
      </c>
      <c r="O288" s="85" t="n"/>
      <c r="P288" s="85" t="n"/>
      <c r="Q288" s="85" t="inlineStr">
        <is>
          <t>COSTUME DESIGN; VISUAL EFFECTS</t>
        </is>
      </c>
      <c r="R288" s="85" t="inlineStr">
        <is>
          <t>https://github.com/DLu/oscar_data</t>
        </is>
      </c>
    </row>
    <row r="289" ht="15.75" customHeight="1" s="108">
      <c r="A289" s="83" t="inlineStr">
        <is>
          <t>F0285</t>
        </is>
      </c>
      <c r="B289" s="83" t="inlineStr">
        <is>
          <t>Source Code</t>
        </is>
      </c>
      <c r="C289" s="83" t="inlineStr">
        <is>
          <t>2011</t>
        </is>
      </c>
      <c r="D289" s="83" t="n">
        <v>0</v>
      </c>
      <c r="E289" s="83" t="n">
        <v>0</v>
      </c>
      <c r="F289" s="84" t="n"/>
      <c r="G289" s="83" t="n">
        <v>0</v>
      </c>
      <c r="H289" s="83" t="n">
        <v>0</v>
      </c>
      <c r="I289" s="85" t="n"/>
      <c r="J289" s="85" t="n">
        <v>0</v>
      </c>
      <c r="K289" s="85" t="n">
        <v>0</v>
      </c>
      <c r="L289" s="85" t="n"/>
      <c r="M289" s="85" t="n">
        <v>0</v>
      </c>
      <c r="N289" s="85" t="n">
        <v>0</v>
      </c>
      <c r="O289" s="85" t="n"/>
      <c r="P289" s="85" t="n"/>
      <c r="Q289" s="85" t="n"/>
      <c r="R289" s="85" t="inlineStr">
        <is>
          <t>https://github.com/DLu/oscar_data</t>
        </is>
      </c>
    </row>
    <row r="290" ht="15.75" customHeight="1" s="108">
      <c r="A290" s="83" t="inlineStr">
        <is>
          <t>F0286</t>
        </is>
      </c>
      <c r="B290" s="83" t="inlineStr">
        <is>
          <t>Southpaw</t>
        </is>
      </c>
      <c r="C290" s="83" t="inlineStr">
        <is>
          <t>2015</t>
        </is>
      </c>
      <c r="D290" s="83" t="n">
        <v>0</v>
      </c>
      <c r="E290" s="83" t="n">
        <v>0</v>
      </c>
      <c r="F290" s="84" t="n"/>
      <c r="G290" s="83" t="n">
        <v>0</v>
      </c>
      <c r="H290" s="83" t="n">
        <v>0</v>
      </c>
      <c r="I290" s="85" t="n"/>
      <c r="J290" s="85" t="n">
        <v>0</v>
      </c>
      <c r="K290" s="85" t="n">
        <v>0</v>
      </c>
      <c r="L290" s="85" t="n"/>
      <c r="M290" s="85" t="n">
        <v>0</v>
      </c>
      <c r="N290" s="85" t="n">
        <v>0</v>
      </c>
      <c r="O290" s="85" t="n"/>
      <c r="P290" s="85" t="n"/>
      <c r="Q290" s="85" t="n"/>
      <c r="R290" s="85" t="inlineStr">
        <is>
          <t>https://github.com/DLu/oscar_data</t>
        </is>
      </c>
    </row>
    <row r="291" ht="15.75" customHeight="1" s="108">
      <c r="A291" s="83" t="inlineStr">
        <is>
          <t>F0287</t>
        </is>
      </c>
      <c r="B291" s="83" t="inlineStr">
        <is>
          <t>Spider-Man</t>
        </is>
      </c>
      <c r="C291" s="83" t="inlineStr">
        <is>
          <t>2002</t>
        </is>
      </c>
      <c r="D291" s="83" t="n">
        <v>2</v>
      </c>
      <c r="E291" s="83" t="n">
        <v>0</v>
      </c>
      <c r="F291" s="84" t="n"/>
      <c r="G291" s="83" t="n">
        <v>0</v>
      </c>
      <c r="H291" s="83" t="n">
        <v>0</v>
      </c>
      <c r="I291" s="85" t="n"/>
      <c r="J291" s="85" t="n">
        <v>0</v>
      </c>
      <c r="K291" s="85" t="n">
        <v>0</v>
      </c>
      <c r="L291" s="85" t="n"/>
      <c r="M291" s="85" t="n">
        <v>0</v>
      </c>
      <c r="N291" s="85" t="n">
        <v>0</v>
      </c>
      <c r="O291" s="85" t="n"/>
      <c r="P291" s="85" t="n"/>
      <c r="Q291" s="85" t="inlineStr">
        <is>
          <t>SOUND MIXING; VISUAL EFFECTS</t>
        </is>
      </c>
      <c r="R291" s="85" t="inlineStr">
        <is>
          <t>https://github.com/DLu/oscar_data</t>
        </is>
      </c>
    </row>
    <row r="292" ht="15.75" customHeight="1" s="108">
      <c r="A292" s="83" t="inlineStr">
        <is>
          <t>F0288</t>
        </is>
      </c>
      <c r="B292" s="83" t="inlineStr">
        <is>
          <t>Spider-Man 2</t>
        </is>
      </c>
      <c r="C292" s="83" t="inlineStr">
        <is>
          <t>2004</t>
        </is>
      </c>
      <c r="D292" s="83" t="n">
        <v>3</v>
      </c>
      <c r="E292" s="83" t="n">
        <v>1</v>
      </c>
      <c r="F292" s="84" t="n"/>
      <c r="G292" s="83" t="n">
        <v>0</v>
      </c>
      <c r="H292" s="83" t="n">
        <v>0</v>
      </c>
      <c r="I292" s="85" t="n"/>
      <c r="J292" s="85" t="n">
        <v>0</v>
      </c>
      <c r="K292" s="85" t="n">
        <v>0</v>
      </c>
      <c r="L292" s="85" t="n"/>
      <c r="M292" s="85" t="n">
        <v>0</v>
      </c>
      <c r="N292" s="85" t="n">
        <v>0</v>
      </c>
      <c r="O292" s="85" t="n"/>
      <c r="P292" s="85" t="inlineStr">
        <is>
          <t>VISUAL EFFECTS</t>
        </is>
      </c>
      <c r="Q292" s="85" t="inlineStr">
        <is>
          <t>SOUND EDITING; SOUND MIXING; VISUAL EFFECTS</t>
        </is>
      </c>
      <c r="R292" s="85" t="inlineStr">
        <is>
          <t>https://github.com/DLu/oscar_data</t>
        </is>
      </c>
    </row>
    <row r="293" ht="15.75" customHeight="1" s="108">
      <c r="A293" s="83" t="inlineStr">
        <is>
          <t>F0289</t>
        </is>
      </c>
      <c r="B293" s="83" t="inlineStr">
        <is>
          <t>Spider-Man 3</t>
        </is>
      </c>
      <c r="C293" s="83" t="inlineStr">
        <is>
          <t>2007</t>
        </is>
      </c>
      <c r="D293" s="83" t="n">
        <v>0</v>
      </c>
      <c r="E293" s="83" t="n">
        <v>0</v>
      </c>
      <c r="F293" s="84" t="n"/>
      <c r="G293" s="83" t="n">
        <v>0</v>
      </c>
      <c r="H293" s="83" t="n">
        <v>0</v>
      </c>
      <c r="I293" s="85" t="n"/>
      <c r="J293" s="85" t="n">
        <v>0</v>
      </c>
      <c r="K293" s="85" t="n">
        <v>0</v>
      </c>
      <c r="L293" s="85" t="n"/>
      <c r="M293" s="85" t="n">
        <v>0</v>
      </c>
      <c r="N293" s="85" t="n">
        <v>0</v>
      </c>
      <c r="O293" s="85" t="n"/>
      <c r="P293" s="85" t="n"/>
      <c r="Q293" s="85" t="n"/>
      <c r="R293" s="85" t="inlineStr">
        <is>
          <t>https://github.com/DLu/oscar_data</t>
        </is>
      </c>
    </row>
    <row r="294" ht="15.75" customHeight="1" s="108">
      <c r="A294" s="83" t="inlineStr">
        <is>
          <t>F0290</t>
        </is>
      </c>
      <c r="B294" s="83" t="inlineStr">
        <is>
          <t>Spy</t>
        </is>
      </c>
      <c r="C294" s="83" t="inlineStr">
        <is>
          <t>2015</t>
        </is>
      </c>
      <c r="D294" s="83" t="n">
        <v>0</v>
      </c>
      <c r="E294" s="83" t="n">
        <v>0</v>
      </c>
      <c r="F294" s="84" t="n"/>
      <c r="G294" s="83" t="n">
        <v>0</v>
      </c>
      <c r="H294" s="83" t="n">
        <v>0</v>
      </c>
      <c r="I294" s="85" t="n"/>
      <c r="J294" s="85" t="n">
        <v>0</v>
      </c>
      <c r="K294" s="85" t="n">
        <v>0</v>
      </c>
      <c r="L294" s="85" t="n"/>
      <c r="M294" s="85" t="n">
        <v>0</v>
      </c>
      <c r="N294" s="85" t="n">
        <v>0</v>
      </c>
      <c r="O294" s="85" t="n"/>
      <c r="P294" s="85" t="n"/>
      <c r="Q294" s="85" t="n"/>
      <c r="R294" s="85" t="inlineStr">
        <is>
          <t>https://github.com/DLu/oscar_data</t>
        </is>
      </c>
    </row>
    <row r="295" ht="30" customHeight="1" s="108">
      <c r="A295" s="83" t="inlineStr">
        <is>
          <t>F0291</t>
        </is>
      </c>
      <c r="B295" s="83" t="inlineStr">
        <is>
          <t>Star Trek</t>
        </is>
      </c>
      <c r="C295" s="83" t="inlineStr">
        <is>
          <t>2009</t>
        </is>
      </c>
      <c r="D295" s="83" t="n">
        <v>4</v>
      </c>
      <c r="E295" s="83" t="n">
        <v>1</v>
      </c>
      <c r="F295" s="84" t="n"/>
      <c r="G295" s="83" t="n">
        <v>0</v>
      </c>
      <c r="H295" s="83" t="n">
        <v>0</v>
      </c>
      <c r="I295" s="85" t="n"/>
      <c r="J295" s="85" t="n">
        <v>0</v>
      </c>
      <c r="K295" s="85" t="n">
        <v>0</v>
      </c>
      <c r="L295" s="85" t="n"/>
      <c r="M295" s="85" t="n">
        <v>0</v>
      </c>
      <c r="N295" s="85" t="n">
        <v>0</v>
      </c>
      <c r="O295" s="85" t="n"/>
      <c r="P295" s="85" t="inlineStr">
        <is>
          <t>MAKEUP AND HAIRSTYLING</t>
        </is>
      </c>
      <c r="Q295" s="85" t="inlineStr">
        <is>
          <t>MAKEUP AND HAIRSTYLING; SOUND EDITING; SOUND MIXING; VISUAL EFFECTS</t>
        </is>
      </c>
      <c r="R295" s="85" t="inlineStr">
        <is>
          <t>https://github.com/DLu/oscar_data</t>
        </is>
      </c>
    </row>
    <row r="296" ht="15.75" customHeight="1" s="108">
      <c r="A296" s="83" t="inlineStr">
        <is>
          <t>F0292</t>
        </is>
      </c>
      <c r="B296" s="83" t="inlineStr">
        <is>
          <t>Star Wars: Episode I – The Phantom Menace</t>
        </is>
      </c>
      <c r="C296" s="83" t="inlineStr">
        <is>
          <t>1999</t>
        </is>
      </c>
      <c r="D296" s="83" t="n">
        <v>3</v>
      </c>
      <c r="E296" s="83" t="n">
        <v>0</v>
      </c>
      <c r="F296" s="84" t="n"/>
      <c r="G296" s="83" t="n">
        <v>0</v>
      </c>
      <c r="H296" s="83" t="n">
        <v>0</v>
      </c>
      <c r="I296" s="85" t="n"/>
      <c r="J296" s="85" t="n">
        <v>0</v>
      </c>
      <c r="K296" s="85" t="n">
        <v>0</v>
      </c>
      <c r="L296" s="85" t="n"/>
      <c r="M296" s="85" t="n">
        <v>0</v>
      </c>
      <c r="N296" s="85" t="n">
        <v>0</v>
      </c>
      <c r="O296" s="85" t="n"/>
      <c r="P296" s="85" t="n"/>
      <c r="Q296" s="85" t="inlineStr">
        <is>
          <t>SOUND MIXING; SOUND EDITING; VISUAL EFFECTS</t>
        </is>
      </c>
      <c r="R296" s="85" t="inlineStr">
        <is>
          <t>https://github.com/DLu/oscar_data</t>
        </is>
      </c>
    </row>
    <row r="297" ht="15.75" customHeight="1" s="108">
      <c r="A297" s="83" t="inlineStr">
        <is>
          <t>F0293</t>
        </is>
      </c>
      <c r="B297" s="83" t="inlineStr">
        <is>
          <t>Star Wars: Episode II – Attack of the Clones</t>
        </is>
      </c>
      <c r="C297" s="83" t="inlineStr">
        <is>
          <t>2002</t>
        </is>
      </c>
      <c r="D297" s="83" t="n">
        <v>1</v>
      </c>
      <c r="E297" s="83" t="n">
        <v>0</v>
      </c>
      <c r="F297" s="84" t="n"/>
      <c r="G297" s="83" t="n">
        <v>0</v>
      </c>
      <c r="H297" s="83" t="n">
        <v>0</v>
      </c>
      <c r="I297" s="85" t="n"/>
      <c r="J297" s="85" t="n">
        <v>0</v>
      </c>
      <c r="K297" s="85" t="n">
        <v>0</v>
      </c>
      <c r="L297" s="85" t="n"/>
      <c r="M297" s="85" t="n">
        <v>0</v>
      </c>
      <c r="N297" s="85" t="n">
        <v>0</v>
      </c>
      <c r="O297" s="85" t="n"/>
      <c r="P297" s="85" t="n"/>
      <c r="Q297" s="85" t="inlineStr">
        <is>
          <t>VISUAL EFFECTS</t>
        </is>
      </c>
      <c r="R297" s="85" t="inlineStr">
        <is>
          <t>https://github.com/DLu/oscar_data</t>
        </is>
      </c>
    </row>
    <row r="298" ht="15.75" customHeight="1" s="108">
      <c r="A298" s="83" t="inlineStr">
        <is>
          <t>F0294</t>
        </is>
      </c>
      <c r="B298" s="83" t="inlineStr">
        <is>
          <t>Star Wars: Episode III – Revenge of the Sith</t>
        </is>
      </c>
      <c r="C298" s="83" t="inlineStr">
        <is>
          <t>2005</t>
        </is>
      </c>
      <c r="D298" s="83" t="n">
        <v>1</v>
      </c>
      <c r="E298" s="83" t="n">
        <v>0</v>
      </c>
      <c r="F298" s="84" t="n"/>
      <c r="G298" s="83" t="n">
        <v>0</v>
      </c>
      <c r="H298" s="83" t="n">
        <v>0</v>
      </c>
      <c r="I298" s="85" t="n"/>
      <c r="J298" s="85" t="n">
        <v>0</v>
      </c>
      <c r="K298" s="85" t="n">
        <v>0</v>
      </c>
      <c r="L298" s="85" t="n"/>
      <c r="M298" s="85" t="n">
        <v>0</v>
      </c>
      <c r="N298" s="85" t="n">
        <v>0</v>
      </c>
      <c r="O298" s="85" t="n"/>
      <c r="P298" s="85" t="n"/>
      <c r="Q298" s="85" t="inlineStr">
        <is>
          <t>MAKEUP AND HAIRSTYLING</t>
        </is>
      </c>
      <c r="R298" s="85" t="inlineStr">
        <is>
          <t>https://github.com/DLu/oscar_data</t>
        </is>
      </c>
    </row>
    <row r="299" ht="60" customHeight="1" s="108">
      <c r="A299" s="83" t="inlineStr">
        <is>
          <t>F0295</t>
        </is>
      </c>
      <c r="B299" s="83" t="inlineStr">
        <is>
          <t>Star Wars: Episode IV – A New Hope</t>
        </is>
      </c>
      <c r="C299" s="83" t="inlineStr">
        <is>
          <t>1977</t>
        </is>
      </c>
      <c r="D299" s="83" t="n">
        <v>11</v>
      </c>
      <c r="E299" s="83" t="n">
        <v>7</v>
      </c>
      <c r="F299" s="83" t="inlineStr">
        <is>
          <t>Nominated</t>
        </is>
      </c>
      <c r="G299" s="83" t="n">
        <v>1</v>
      </c>
      <c r="H299" s="83" t="n">
        <v>0</v>
      </c>
      <c r="I299" s="85" t="n"/>
      <c r="J299" s="85" t="n">
        <v>1</v>
      </c>
      <c r="K299" s="85" t="n">
        <v>0</v>
      </c>
      <c r="L299" s="85" t="n"/>
      <c r="M299" s="85" t="n">
        <v>1</v>
      </c>
      <c r="N299" s="85" t="n">
        <v>0</v>
      </c>
      <c r="O299" s="85" t="n"/>
      <c r="P299" s="85" t="inlineStr">
        <is>
          <t>ART DIRECTION; COSTUME DESIGN; FILM EDITING; MUSIC (Original Score); SOUND MIXING; VISUAL EFFECTS; SPECIAL ACHIEVEMENT AWARD</t>
        </is>
      </c>
      <c r="Q299" s="85" t="inlineStr">
        <is>
          <t>ACTOR IN A SUPPORTING ROLE; ART DIRECTION; COSTUME DESIGN; DIRECTING; FILM EDITING; MUSIC (Original Score); BEST PICTURE; SOUND MIXING; VISUAL EFFECTS; WRITING (Original Screenplay); SPECIAL ACHIEVEMENT AWARD</t>
        </is>
      </c>
      <c r="R299" s="85" t="inlineStr">
        <is>
          <t>https://github.com/DLu/oscar_data</t>
        </is>
      </c>
    </row>
    <row r="300" ht="15.75" customHeight="1" s="108">
      <c r="A300" s="83" t="inlineStr">
        <is>
          <t>F0296</t>
        </is>
      </c>
      <c r="B300" s="83" t="inlineStr">
        <is>
          <t>Star Wars: Episode V – The Empire Strikes Back</t>
        </is>
      </c>
      <c r="C300" s="83" t="inlineStr">
        <is>
          <t>1980</t>
        </is>
      </c>
      <c r="D300" s="83" t="n">
        <v>0</v>
      </c>
      <c r="E300" s="83" t="n">
        <v>0</v>
      </c>
      <c r="F300" s="84" t="n"/>
      <c r="G300" s="83" t="n">
        <v>0</v>
      </c>
      <c r="H300" s="83" t="n">
        <v>0</v>
      </c>
      <c r="I300" s="85" t="n"/>
      <c r="J300" s="85" t="n">
        <v>0</v>
      </c>
      <c r="K300" s="85" t="n">
        <v>0</v>
      </c>
      <c r="L300" s="85" t="n"/>
      <c r="M300" s="85" t="n">
        <v>0</v>
      </c>
      <c r="N300" s="85" t="n">
        <v>0</v>
      </c>
      <c r="O300" s="85" t="n"/>
      <c r="P300" s="85" t="n"/>
      <c r="Q300" s="85" t="n"/>
      <c r="R300" s="85" t="inlineStr">
        <is>
          <t>https://github.com/DLu/oscar_data</t>
        </is>
      </c>
    </row>
    <row r="301" ht="15.75" customHeight="1" s="108">
      <c r="A301" s="83" t="inlineStr">
        <is>
          <t>F0297</t>
        </is>
      </c>
      <c r="B301" s="83" t="inlineStr">
        <is>
          <t>Star Wars: Episode VI – Return of the Jedi</t>
        </is>
      </c>
      <c r="C301" s="83" t="inlineStr">
        <is>
          <t>1983</t>
        </is>
      </c>
      <c r="D301" s="83" t="n">
        <v>0</v>
      </c>
      <c r="E301" s="83" t="n">
        <v>0</v>
      </c>
      <c r="F301" s="84" t="n"/>
      <c r="G301" s="83" t="n">
        <v>0</v>
      </c>
      <c r="H301" s="83" t="n">
        <v>0</v>
      </c>
      <c r="I301" s="85" t="n"/>
      <c r="J301" s="85" t="n">
        <v>0</v>
      </c>
      <c r="K301" s="85" t="n">
        <v>0</v>
      </c>
      <c r="L301" s="85" t="n"/>
      <c r="M301" s="85" t="n">
        <v>0</v>
      </c>
      <c r="N301" s="85" t="n">
        <v>0</v>
      </c>
      <c r="O301" s="85" t="n"/>
      <c r="P301" s="85" t="n"/>
      <c r="Q301" s="85" t="n"/>
      <c r="R301" s="85" t="inlineStr">
        <is>
          <t>https://github.com/DLu/oscar_data</t>
        </is>
      </c>
    </row>
    <row r="302" ht="30" customHeight="1" s="108">
      <c r="A302" s="83" t="inlineStr">
        <is>
          <t>F0298</t>
        </is>
      </c>
      <c r="B302" s="83" t="inlineStr">
        <is>
          <t>Star Wars: The Force Awakens</t>
        </is>
      </c>
      <c r="C302" s="83" t="inlineStr">
        <is>
          <t>2015</t>
        </is>
      </c>
      <c r="D302" s="83" t="n">
        <v>5</v>
      </c>
      <c r="E302" s="83" t="n">
        <v>0</v>
      </c>
      <c r="F302" s="84" t="n"/>
      <c r="G302" s="83" t="n">
        <v>0</v>
      </c>
      <c r="H302" s="83" t="n">
        <v>0</v>
      </c>
      <c r="I302" s="85" t="n"/>
      <c r="J302" s="85" t="n">
        <v>0</v>
      </c>
      <c r="K302" s="85" t="n">
        <v>0</v>
      </c>
      <c r="L302" s="85" t="n"/>
      <c r="M302" s="85" t="n">
        <v>0</v>
      </c>
      <c r="N302" s="85" t="n">
        <v>0</v>
      </c>
      <c r="O302" s="85" t="n"/>
      <c r="P302" s="85" t="n"/>
      <c r="Q302" s="85" t="inlineStr">
        <is>
          <t>FILM EDITING; MUSIC (Original Score); SOUND EDITING; SOUND MIXING; VISUAL EFFECTS</t>
        </is>
      </c>
      <c r="R302" s="85" t="inlineStr">
        <is>
          <t>https://github.com/DLu/oscar_data</t>
        </is>
      </c>
    </row>
    <row r="303" ht="30" customHeight="1" s="108">
      <c r="A303" s="83" t="inlineStr">
        <is>
          <t>F0299</t>
        </is>
      </c>
      <c r="B303" s="83" t="inlineStr">
        <is>
          <t>Star Wars: The Last Jedi</t>
        </is>
      </c>
      <c r="C303" s="83" t="inlineStr">
        <is>
          <t>2017</t>
        </is>
      </c>
      <c r="D303" s="83" t="n">
        <v>4</v>
      </c>
      <c r="E303" s="83" t="n">
        <v>0</v>
      </c>
      <c r="F303" s="84" t="n"/>
      <c r="G303" s="83" t="n">
        <v>0</v>
      </c>
      <c r="H303" s="83" t="n">
        <v>0</v>
      </c>
      <c r="I303" s="85" t="n"/>
      <c r="J303" s="85" t="n">
        <v>0</v>
      </c>
      <c r="K303" s="85" t="n">
        <v>0</v>
      </c>
      <c r="L303" s="85" t="n"/>
      <c r="M303" s="85" t="n">
        <v>0</v>
      </c>
      <c r="N303" s="85" t="n">
        <v>0</v>
      </c>
      <c r="O303" s="85" t="n"/>
      <c r="P303" s="85" t="n"/>
      <c r="Q303" s="85" t="inlineStr">
        <is>
          <t>MUSIC (Original Score); SOUND EDITING; SOUND MIXING; VISUAL EFFECTS</t>
        </is>
      </c>
      <c r="R303" s="85" t="inlineStr">
        <is>
          <t>https://github.com/DLu/oscar_data</t>
        </is>
      </c>
    </row>
    <row r="304" ht="15.75" customHeight="1" s="108">
      <c r="A304" s="83" t="inlineStr">
        <is>
          <t>F0300</t>
        </is>
      </c>
      <c r="B304" s="83" t="inlineStr">
        <is>
          <t>Star Wars: The Rise of Skywalker</t>
        </is>
      </c>
      <c r="C304" s="83" t="inlineStr">
        <is>
          <t>2019</t>
        </is>
      </c>
      <c r="D304" s="83" t="n">
        <v>3</v>
      </c>
      <c r="E304" s="83" t="n">
        <v>0</v>
      </c>
      <c r="F304" s="84" t="n"/>
      <c r="G304" s="83" t="n">
        <v>0</v>
      </c>
      <c r="H304" s="83" t="n">
        <v>0</v>
      </c>
      <c r="I304" s="85" t="n"/>
      <c r="J304" s="85" t="n">
        <v>0</v>
      </c>
      <c r="K304" s="85" t="n">
        <v>0</v>
      </c>
      <c r="L304" s="85" t="n"/>
      <c r="M304" s="85" t="n">
        <v>0</v>
      </c>
      <c r="N304" s="85" t="n">
        <v>0</v>
      </c>
      <c r="O304" s="85" t="n"/>
      <c r="P304" s="85" t="n"/>
      <c r="Q304" s="85" t="inlineStr">
        <is>
          <t>MUSIC (Original Score); SOUND EDITING; VISUAL EFFECTS</t>
        </is>
      </c>
      <c r="R304" s="85" t="inlineStr">
        <is>
          <t>https://github.com/DLu/oscar_data</t>
        </is>
      </c>
    </row>
    <row r="305" ht="15.75" customHeight="1" s="108">
      <c r="A305" s="83" t="inlineStr">
        <is>
          <t>F0301</t>
        </is>
      </c>
      <c r="B305" s="83" t="inlineStr">
        <is>
          <t>Straight Outta Compton</t>
        </is>
      </c>
      <c r="C305" s="83" t="inlineStr">
        <is>
          <t>2015</t>
        </is>
      </c>
      <c r="D305" s="83" t="n">
        <v>1</v>
      </c>
      <c r="E305" s="83" t="n">
        <v>0</v>
      </c>
      <c r="F305" s="84" t="n"/>
      <c r="G305" s="83" t="n">
        <v>0</v>
      </c>
      <c r="H305" s="83" t="n">
        <v>0</v>
      </c>
      <c r="I305" s="85" t="n"/>
      <c r="J305" s="85" t="n">
        <v>0</v>
      </c>
      <c r="K305" s="85" t="n">
        <v>0</v>
      </c>
      <c r="L305" s="85" t="n"/>
      <c r="M305" s="85" t="n">
        <v>1</v>
      </c>
      <c r="N305" s="85" t="n">
        <v>0</v>
      </c>
      <c r="O305" s="85" t="n"/>
      <c r="P305" s="85" t="n"/>
      <c r="Q305" s="85" t="inlineStr">
        <is>
          <t>WRITING (Original Screenplay)</t>
        </is>
      </c>
      <c r="R305" s="85" t="inlineStr">
        <is>
          <t>https://github.com/DLu/oscar_data</t>
        </is>
      </c>
    </row>
    <row r="306" ht="15.75" customHeight="1" s="108">
      <c r="A306" s="83" t="inlineStr">
        <is>
          <t>F0302</t>
        </is>
      </c>
      <c r="B306" s="83" t="inlineStr">
        <is>
          <t>Super 8</t>
        </is>
      </c>
      <c r="C306" s="83" t="inlineStr">
        <is>
          <t>2011</t>
        </is>
      </c>
      <c r="D306" s="83" t="n">
        <v>0</v>
      </c>
      <c r="E306" s="83" t="n">
        <v>0</v>
      </c>
      <c r="F306" s="84" t="n"/>
      <c r="G306" s="83" t="n">
        <v>0</v>
      </c>
      <c r="H306" s="83" t="n">
        <v>0</v>
      </c>
      <c r="I306" s="85" t="n"/>
      <c r="J306" s="85" t="n">
        <v>0</v>
      </c>
      <c r="K306" s="85" t="n">
        <v>0</v>
      </c>
      <c r="L306" s="85" t="n"/>
      <c r="M306" s="85" t="n">
        <v>0</v>
      </c>
      <c r="N306" s="85" t="n">
        <v>0</v>
      </c>
      <c r="O306" s="85" t="n"/>
      <c r="P306" s="85" t="n"/>
      <c r="Q306" s="85" t="n"/>
      <c r="R306" s="85" t="inlineStr">
        <is>
          <t>https://github.com/DLu/oscar_data</t>
        </is>
      </c>
    </row>
    <row r="307" ht="15.75" customHeight="1" s="108">
      <c r="A307" s="83" t="inlineStr">
        <is>
          <t>F0303</t>
        </is>
      </c>
      <c r="B307" s="83" t="inlineStr">
        <is>
          <t>Superbad</t>
        </is>
      </c>
      <c r="C307" s="83" t="inlineStr">
        <is>
          <t>2007</t>
        </is>
      </c>
      <c r="D307" s="83" t="n">
        <v>0</v>
      </c>
      <c r="E307" s="83" t="n">
        <v>0</v>
      </c>
      <c r="F307" s="84" t="n"/>
      <c r="G307" s="83" t="n">
        <v>0</v>
      </c>
      <c r="H307" s="83" t="n">
        <v>0</v>
      </c>
      <c r="I307" s="85" t="n"/>
      <c r="J307" s="85" t="n">
        <v>0</v>
      </c>
      <c r="K307" s="85" t="n">
        <v>0</v>
      </c>
      <c r="L307" s="85" t="n"/>
      <c r="M307" s="85" t="n">
        <v>0</v>
      </c>
      <c r="N307" s="85" t="n">
        <v>0</v>
      </c>
      <c r="O307" s="85" t="n"/>
      <c r="P307" s="85" t="n"/>
      <c r="Q307" s="85" t="n"/>
      <c r="R307" s="85" t="inlineStr">
        <is>
          <t>https://github.com/DLu/oscar_data</t>
        </is>
      </c>
    </row>
    <row r="308" ht="15.75" customHeight="1" s="108">
      <c r="A308" s="83" t="inlineStr">
        <is>
          <t>F0304</t>
        </is>
      </c>
      <c r="B308" s="83" t="inlineStr">
        <is>
          <t>Superman</t>
        </is>
      </c>
      <c r="C308" s="83" t="inlineStr">
        <is>
          <t>2025</t>
        </is>
      </c>
      <c r="D308" s="83" t="n">
        <v>0</v>
      </c>
      <c r="E308" s="83" t="n">
        <v>0</v>
      </c>
      <c r="F308" s="84" t="n"/>
      <c r="G308" s="83" t="n">
        <v>0</v>
      </c>
      <c r="H308" s="83" t="n">
        <v>0</v>
      </c>
      <c r="I308" s="85" t="n"/>
      <c r="J308" s="85" t="n">
        <v>0</v>
      </c>
      <c r="K308" s="85" t="n">
        <v>0</v>
      </c>
      <c r="L308" s="85" t="n"/>
      <c r="M308" s="85" t="n">
        <v>0</v>
      </c>
      <c r="N308" s="85" t="n">
        <v>0</v>
      </c>
      <c r="O308" s="85" t="n"/>
      <c r="P308" s="85" t="n"/>
      <c r="Q308" s="85" t="n"/>
      <c r="R308" s="85" t="inlineStr">
        <is>
          <t>https://github.com/DLu/oscar_data</t>
        </is>
      </c>
    </row>
    <row r="309" ht="15.75" customHeight="1" s="108">
      <c r="A309" s="83" t="inlineStr">
        <is>
          <t>F0305</t>
        </is>
      </c>
      <c r="B309" s="83" t="inlineStr">
        <is>
          <t>The Sweeney</t>
        </is>
      </c>
      <c r="C309" s="83" t="inlineStr">
        <is>
          <t>2012</t>
        </is>
      </c>
      <c r="D309" s="83" t="n">
        <v>0</v>
      </c>
      <c r="E309" s="83" t="n">
        <v>0</v>
      </c>
      <c r="F309" s="84" t="n"/>
      <c r="G309" s="83" t="n">
        <v>0</v>
      </c>
      <c r="H309" s="83" t="n">
        <v>0</v>
      </c>
      <c r="I309" s="85" t="n"/>
      <c r="J309" s="85" t="n">
        <v>0</v>
      </c>
      <c r="K309" s="85" t="n">
        <v>0</v>
      </c>
      <c r="L309" s="85" t="n"/>
      <c r="M309" s="85" t="n">
        <v>0</v>
      </c>
      <c r="N309" s="85" t="n">
        <v>0</v>
      </c>
      <c r="O309" s="85" t="n"/>
      <c r="P309" s="85" t="n"/>
      <c r="Q309" s="85" t="n"/>
      <c r="R309" s="85" t="inlineStr">
        <is>
          <t>https://github.com/DLu/oscar_data</t>
        </is>
      </c>
    </row>
    <row r="310" ht="15.75" customHeight="1" s="108">
      <c r="A310" s="83" t="inlineStr">
        <is>
          <t>F0306</t>
        </is>
      </c>
      <c r="B310" s="83" t="inlineStr">
        <is>
          <t>Taken</t>
        </is>
      </c>
      <c r="C310" s="83" t="inlineStr">
        <is>
          <t>2008</t>
        </is>
      </c>
      <c r="D310" s="83" t="n">
        <v>0</v>
      </c>
      <c r="E310" s="83" t="n">
        <v>0</v>
      </c>
      <c r="F310" s="84" t="n"/>
      <c r="G310" s="83" t="n">
        <v>0</v>
      </c>
      <c r="H310" s="83" t="n">
        <v>0</v>
      </c>
      <c r="I310" s="85" t="n"/>
      <c r="J310" s="85" t="n">
        <v>0</v>
      </c>
      <c r="K310" s="85" t="n">
        <v>0</v>
      </c>
      <c r="L310" s="85" t="n"/>
      <c r="M310" s="85" t="n">
        <v>0</v>
      </c>
      <c r="N310" s="85" t="n">
        <v>0</v>
      </c>
      <c r="O310" s="85" t="n"/>
      <c r="P310" s="85" t="n"/>
      <c r="Q310" s="85" t="n"/>
      <c r="R310" s="85" t="inlineStr">
        <is>
          <t>https://github.com/DLu/oscar_data</t>
        </is>
      </c>
    </row>
    <row r="311" ht="15.75" customHeight="1" s="108">
      <c r="A311" s="83" t="inlineStr">
        <is>
          <t>F0307</t>
        </is>
      </c>
      <c r="B311" s="83" t="inlineStr">
        <is>
          <t>Taken 2</t>
        </is>
      </c>
      <c r="C311" s="83" t="inlineStr">
        <is>
          <t>2012</t>
        </is>
      </c>
      <c r="D311" s="83" t="n">
        <v>0</v>
      </c>
      <c r="E311" s="83" t="n">
        <v>0</v>
      </c>
      <c r="F311" s="84" t="n"/>
      <c r="G311" s="83" t="n">
        <v>0</v>
      </c>
      <c r="H311" s="83" t="n">
        <v>0</v>
      </c>
      <c r="I311" s="85" t="n"/>
      <c r="J311" s="85" t="n">
        <v>0</v>
      </c>
      <c r="K311" s="85" t="n">
        <v>0</v>
      </c>
      <c r="L311" s="85" t="n"/>
      <c r="M311" s="85" t="n">
        <v>0</v>
      </c>
      <c r="N311" s="85" t="n">
        <v>0</v>
      </c>
      <c r="O311" s="85" t="n"/>
      <c r="P311" s="85" t="n"/>
      <c r="Q311" s="85" t="n"/>
      <c r="R311" s="85" t="inlineStr">
        <is>
          <t>https://github.com/DLu/oscar_data</t>
        </is>
      </c>
    </row>
    <row r="312" ht="15.75" customHeight="1" s="108">
      <c r="A312" s="83" t="inlineStr">
        <is>
          <t>F0308</t>
        </is>
      </c>
      <c r="B312" s="83" t="inlineStr">
        <is>
          <t>Ted</t>
        </is>
      </c>
      <c r="C312" s="83" t="inlineStr">
        <is>
          <t>2012</t>
        </is>
      </c>
      <c r="D312" s="83" t="n">
        <v>1</v>
      </c>
      <c r="E312" s="83" t="n">
        <v>0</v>
      </c>
      <c r="F312" s="84" t="n"/>
      <c r="G312" s="83" t="n">
        <v>0</v>
      </c>
      <c r="H312" s="83" t="n">
        <v>0</v>
      </c>
      <c r="I312" s="85" t="n"/>
      <c r="J312" s="85" t="n">
        <v>0</v>
      </c>
      <c r="K312" s="85" t="n">
        <v>0</v>
      </c>
      <c r="L312" s="85" t="n"/>
      <c r="M312" s="85" t="n">
        <v>0</v>
      </c>
      <c r="N312" s="85" t="n">
        <v>0</v>
      </c>
      <c r="O312" s="85" t="n"/>
      <c r="P312" s="85" t="n"/>
      <c r="Q312" s="85" t="inlineStr">
        <is>
          <t>MUSIC (Original Song)</t>
        </is>
      </c>
      <c r="R312" s="85" t="inlineStr">
        <is>
          <t>https://github.com/DLu/oscar_data</t>
        </is>
      </c>
    </row>
    <row r="313" ht="15.75" customHeight="1" s="108">
      <c r="A313" s="83" t="inlineStr">
        <is>
          <t>F0309</t>
        </is>
      </c>
      <c r="B313" s="83" t="inlineStr">
        <is>
          <t>Teenage Mutant Ninja Turtles</t>
        </is>
      </c>
      <c r="C313" s="83" t="inlineStr">
        <is>
          <t>2014</t>
        </is>
      </c>
      <c r="D313" s="83" t="n">
        <v>0</v>
      </c>
      <c r="E313" s="83" t="n">
        <v>0</v>
      </c>
      <c r="F313" s="84" t="n"/>
      <c r="G313" s="83" t="n">
        <v>0</v>
      </c>
      <c r="H313" s="83" t="n">
        <v>0</v>
      </c>
      <c r="I313" s="85" t="n"/>
      <c r="J313" s="85" t="n">
        <v>0</v>
      </c>
      <c r="K313" s="85" t="n">
        <v>0</v>
      </c>
      <c r="L313" s="85" t="n"/>
      <c r="M313" s="85" t="n">
        <v>0</v>
      </c>
      <c r="N313" s="85" t="n">
        <v>0</v>
      </c>
      <c r="O313" s="85" t="n"/>
      <c r="P313" s="85" t="n"/>
      <c r="Q313" s="85" t="n"/>
      <c r="R313" s="85" t="inlineStr">
        <is>
          <t>https://github.com/DLu/oscar_data</t>
        </is>
      </c>
    </row>
    <row r="314" ht="15.75" customHeight="1" s="108">
      <c r="A314" s="83" t="inlineStr">
        <is>
          <t>F0310</t>
        </is>
      </c>
      <c r="B314" s="83" t="inlineStr">
        <is>
          <t>Terminator Salvation</t>
        </is>
      </c>
      <c r="C314" s="83" t="inlineStr">
        <is>
          <t>2009</t>
        </is>
      </c>
      <c r="D314" s="83" t="n">
        <v>0</v>
      </c>
      <c r="E314" s="83" t="n">
        <v>0</v>
      </c>
      <c r="F314" s="84" t="n"/>
      <c r="G314" s="83" t="n">
        <v>0</v>
      </c>
      <c r="H314" s="83" t="n">
        <v>0</v>
      </c>
      <c r="I314" s="85" t="n"/>
      <c r="J314" s="85" t="n">
        <v>0</v>
      </c>
      <c r="K314" s="85" t="n">
        <v>0</v>
      </c>
      <c r="L314" s="85" t="n"/>
      <c r="M314" s="85" t="n">
        <v>0</v>
      </c>
      <c r="N314" s="85" t="n">
        <v>0</v>
      </c>
      <c r="O314" s="85" t="n"/>
      <c r="P314" s="85" t="n"/>
      <c r="Q314" s="85" t="n"/>
      <c r="R314" s="85" t="inlineStr">
        <is>
          <t>https://github.com/DLu/oscar_data</t>
        </is>
      </c>
    </row>
    <row r="315" ht="30" customHeight="1" s="108">
      <c r="A315" s="83" t="inlineStr">
        <is>
          <t>F0311</t>
        </is>
      </c>
      <c r="B315" s="83" t="inlineStr">
        <is>
          <t>The Theory of Everything</t>
        </is>
      </c>
      <c r="C315" s="83" t="inlineStr">
        <is>
          <t>2014</t>
        </is>
      </c>
      <c r="D315" s="83" t="n">
        <v>5</v>
      </c>
      <c r="E315" s="83" t="n">
        <v>1</v>
      </c>
      <c r="F315" s="83" t="inlineStr">
        <is>
          <t>Nominated</t>
        </is>
      </c>
      <c r="G315" s="83" t="n">
        <v>2</v>
      </c>
      <c r="H315" s="83" t="n">
        <v>1</v>
      </c>
      <c r="I315" s="85" t="inlineStr">
        <is>
          <t>Eddie Redmayne</t>
        </is>
      </c>
      <c r="J315" s="85" t="n">
        <v>0</v>
      </c>
      <c r="K315" s="85" t="n">
        <v>0</v>
      </c>
      <c r="L315" s="85" t="n"/>
      <c r="M315" s="85" t="n">
        <v>1</v>
      </c>
      <c r="N315" s="85" t="n">
        <v>0</v>
      </c>
      <c r="O315" s="85" t="n"/>
      <c r="P315" s="85" t="inlineStr">
        <is>
          <t>ACTOR IN A LEADING ROLE</t>
        </is>
      </c>
      <c r="Q315" s="85" t="inlineStr">
        <is>
          <t>ACTOR IN A LEADING ROLE; ACTRESS IN A LEADING ROLE; MUSIC (Original Score); BEST PICTURE; WRITING (Adapted Screenplay)</t>
        </is>
      </c>
      <c r="R315" s="85" t="inlineStr">
        <is>
          <t>https://github.com/DLu/oscar_data</t>
        </is>
      </c>
    </row>
    <row r="316" ht="45" customHeight="1" s="108">
      <c r="A316" s="83" t="inlineStr">
        <is>
          <t>F0312</t>
        </is>
      </c>
      <c r="B316" s="83" t="inlineStr">
        <is>
          <t>Toy Story</t>
        </is>
      </c>
      <c r="C316" s="83" t="inlineStr">
        <is>
          <t>1995</t>
        </is>
      </c>
      <c r="D316" s="83" t="n">
        <v>4</v>
      </c>
      <c r="E316" s="83" t="n">
        <v>1</v>
      </c>
      <c r="F316" s="84" t="n"/>
      <c r="G316" s="83" t="n">
        <v>0</v>
      </c>
      <c r="H316" s="83" t="n">
        <v>0</v>
      </c>
      <c r="I316" s="85" t="n"/>
      <c r="J316" s="85" t="n">
        <v>0</v>
      </c>
      <c r="K316" s="85" t="n">
        <v>0</v>
      </c>
      <c r="L316" s="85" t="n"/>
      <c r="M316" s="85" t="n">
        <v>1</v>
      </c>
      <c r="N316" s="85" t="n">
        <v>0</v>
      </c>
      <c r="O316" s="85" t="n"/>
      <c r="P316" s="85" t="inlineStr">
        <is>
          <t>SPECIAL ACHIEVEMENT AWARD</t>
        </is>
      </c>
      <c r="Q316" s="85" t="inlineStr">
        <is>
          <t>MUSIC (Original Song Score or Adaptation Score); MUSIC (Original Song); WRITING (Original Screenplay); SPECIAL ACHIEVEMENT AWARD</t>
        </is>
      </c>
      <c r="R316" s="85" t="inlineStr">
        <is>
          <t>https://github.com/DLu/oscar_data</t>
        </is>
      </c>
    </row>
    <row r="317" ht="15.75" customHeight="1" s="108">
      <c r="A317" s="83" t="inlineStr">
        <is>
          <t>F0313</t>
        </is>
      </c>
      <c r="B317" s="83" t="inlineStr">
        <is>
          <t>Toy Story 2</t>
        </is>
      </c>
      <c r="C317" s="83" t="inlineStr">
        <is>
          <t>1999</t>
        </is>
      </c>
      <c r="D317" s="83" t="n">
        <v>1</v>
      </c>
      <c r="E317" s="83" t="n">
        <v>0</v>
      </c>
      <c r="F317" s="84" t="n"/>
      <c r="G317" s="83" t="n">
        <v>0</v>
      </c>
      <c r="H317" s="83" t="n">
        <v>0</v>
      </c>
      <c r="I317" s="85" t="n"/>
      <c r="J317" s="85" t="n">
        <v>0</v>
      </c>
      <c r="K317" s="85" t="n">
        <v>0</v>
      </c>
      <c r="L317" s="85" t="n"/>
      <c r="M317" s="85" t="n">
        <v>0</v>
      </c>
      <c r="N317" s="85" t="n">
        <v>0</v>
      </c>
      <c r="O317" s="85" t="n"/>
      <c r="P317" s="85" t="n"/>
      <c r="Q317" s="85" t="inlineStr">
        <is>
          <t>MUSIC (Original Song)</t>
        </is>
      </c>
      <c r="R317" s="85" t="inlineStr">
        <is>
          <t>https://github.com/DLu/oscar_data</t>
        </is>
      </c>
    </row>
    <row r="318" ht="30" customHeight="1" s="108">
      <c r="A318" s="83" t="inlineStr">
        <is>
          <t>F0314</t>
        </is>
      </c>
      <c r="B318" s="83" t="inlineStr">
        <is>
          <t>Toy Story 3</t>
        </is>
      </c>
      <c r="C318" s="83" t="inlineStr">
        <is>
          <t>2010</t>
        </is>
      </c>
      <c r="D318" s="83" t="n">
        <v>5</v>
      </c>
      <c r="E318" s="83" t="n">
        <v>2</v>
      </c>
      <c r="F318" s="83" t="inlineStr">
        <is>
          <t>Nominated</t>
        </is>
      </c>
      <c r="G318" s="83" t="n">
        <v>0</v>
      </c>
      <c r="H318" s="83" t="n">
        <v>0</v>
      </c>
      <c r="I318" s="85" t="n"/>
      <c r="J318" s="85" t="n">
        <v>0</v>
      </c>
      <c r="K318" s="85" t="n">
        <v>0</v>
      </c>
      <c r="L318" s="85" t="n"/>
      <c r="M318" s="85" t="n">
        <v>1</v>
      </c>
      <c r="N318" s="85" t="n">
        <v>0</v>
      </c>
      <c r="O318" s="85" t="inlineStr">
        <is>
          <t>Winner</t>
        </is>
      </c>
      <c r="P318" s="85" t="inlineStr">
        <is>
          <t>ANIMATED FEATURE FILM; MUSIC (Original Song)</t>
        </is>
      </c>
      <c r="Q318" s="85" t="inlineStr">
        <is>
          <t>ANIMATED FEATURE FILM; MUSIC (Original Song); BEST PICTURE; SOUND EDITING; WRITING (Adapted Screenplay)</t>
        </is>
      </c>
      <c r="R318" s="85" t="inlineStr">
        <is>
          <t>https://github.com/DLu/oscar_data</t>
        </is>
      </c>
    </row>
    <row r="319" ht="15.75" customHeight="1" s="108">
      <c r="A319" s="83" t="inlineStr">
        <is>
          <t>F0315</t>
        </is>
      </c>
      <c r="B319" s="83" t="inlineStr">
        <is>
          <t>Toy Story 4</t>
        </is>
      </c>
      <c r="C319" s="83" t="inlineStr">
        <is>
          <t>2019</t>
        </is>
      </c>
      <c r="D319" s="83" t="n">
        <v>2</v>
      </c>
      <c r="E319" s="83" t="n">
        <v>1</v>
      </c>
      <c r="F319" s="84" t="n"/>
      <c r="G319" s="83" t="n">
        <v>0</v>
      </c>
      <c r="H319" s="83" t="n">
        <v>0</v>
      </c>
      <c r="I319" s="85" t="n"/>
      <c r="J319" s="85" t="n">
        <v>0</v>
      </c>
      <c r="K319" s="85" t="n">
        <v>0</v>
      </c>
      <c r="L319" s="85" t="n"/>
      <c r="M319" s="85" t="n">
        <v>0</v>
      </c>
      <c r="N319" s="85" t="n">
        <v>0</v>
      </c>
      <c r="O319" s="85" t="inlineStr">
        <is>
          <t>Winner</t>
        </is>
      </c>
      <c r="P319" s="85" t="inlineStr">
        <is>
          <t>ANIMATED FEATURE FILM</t>
        </is>
      </c>
      <c r="Q319" s="85" t="inlineStr">
        <is>
          <t>ANIMATED FEATURE FILM; MUSIC (Original Song)</t>
        </is>
      </c>
      <c r="R319" s="85" t="inlineStr">
        <is>
          <t>https://github.com/DLu/oscar_data</t>
        </is>
      </c>
    </row>
    <row r="320" ht="15.75" customHeight="1" s="108">
      <c r="A320" s="83" t="inlineStr">
        <is>
          <t>F0316</t>
        </is>
      </c>
      <c r="B320" s="83" t="inlineStr">
        <is>
          <t>Transformers</t>
        </is>
      </c>
      <c r="C320" s="83" t="inlineStr">
        <is>
          <t>2007</t>
        </is>
      </c>
      <c r="D320" s="83" t="n">
        <v>3</v>
      </c>
      <c r="E320" s="83" t="n">
        <v>0</v>
      </c>
      <c r="F320" s="84" t="n"/>
      <c r="G320" s="83" t="n">
        <v>0</v>
      </c>
      <c r="H320" s="83" t="n">
        <v>0</v>
      </c>
      <c r="I320" s="85" t="n"/>
      <c r="J320" s="85" t="n">
        <v>0</v>
      </c>
      <c r="K320" s="85" t="n">
        <v>0</v>
      </c>
      <c r="L320" s="85" t="n"/>
      <c r="M320" s="85" t="n">
        <v>0</v>
      </c>
      <c r="N320" s="85" t="n">
        <v>0</v>
      </c>
      <c r="O320" s="85" t="n"/>
      <c r="P320" s="85" t="n"/>
      <c r="Q320" s="85" t="inlineStr">
        <is>
          <t>SOUND EDITING; SOUND MIXING; VISUAL EFFECTS</t>
        </is>
      </c>
      <c r="R320" s="85" t="inlineStr">
        <is>
          <t>https://github.com/DLu/oscar_data</t>
        </is>
      </c>
    </row>
    <row r="321" ht="15.75" customHeight="1" s="108">
      <c r="A321" s="83" t="inlineStr">
        <is>
          <t>F0317</t>
        </is>
      </c>
      <c r="B321" s="83" t="inlineStr">
        <is>
          <t>Transformers: Revenge of the Fallen</t>
        </is>
      </c>
      <c r="C321" s="83" t="inlineStr">
        <is>
          <t>2009</t>
        </is>
      </c>
      <c r="D321" s="83" t="n">
        <v>1</v>
      </c>
      <c r="E321" s="83" t="n">
        <v>0</v>
      </c>
      <c r="F321" s="84" t="n"/>
      <c r="G321" s="83" t="n">
        <v>0</v>
      </c>
      <c r="H321" s="83" t="n">
        <v>0</v>
      </c>
      <c r="I321" s="85" t="n"/>
      <c r="J321" s="85" t="n">
        <v>0</v>
      </c>
      <c r="K321" s="85" t="n">
        <v>0</v>
      </c>
      <c r="L321" s="85" t="n"/>
      <c r="M321" s="85" t="n">
        <v>0</v>
      </c>
      <c r="N321" s="85" t="n">
        <v>0</v>
      </c>
      <c r="O321" s="85" t="n"/>
      <c r="P321" s="85" t="n"/>
      <c r="Q321" s="85" t="inlineStr">
        <is>
          <t>SOUND MIXING</t>
        </is>
      </c>
      <c r="R321" s="85" t="inlineStr">
        <is>
          <t>https://github.com/DLu/oscar_data</t>
        </is>
      </c>
    </row>
    <row r="322" ht="15.75" customHeight="1" s="108">
      <c r="A322" s="83" t="inlineStr">
        <is>
          <t>F0318</t>
        </is>
      </c>
      <c r="B322" s="83" t="inlineStr">
        <is>
          <t>Transformers: Dark of the Moon</t>
        </is>
      </c>
      <c r="C322" s="83" t="inlineStr">
        <is>
          <t>2011</t>
        </is>
      </c>
      <c r="D322" s="83" t="n">
        <v>3</v>
      </c>
      <c r="E322" s="83" t="n">
        <v>0</v>
      </c>
      <c r="F322" s="84" t="n"/>
      <c r="G322" s="83" t="n">
        <v>0</v>
      </c>
      <c r="H322" s="83" t="n">
        <v>0</v>
      </c>
      <c r="I322" s="85" t="n"/>
      <c r="J322" s="85" t="n">
        <v>0</v>
      </c>
      <c r="K322" s="85" t="n">
        <v>0</v>
      </c>
      <c r="L322" s="85" t="n"/>
      <c r="M322" s="85" t="n">
        <v>0</v>
      </c>
      <c r="N322" s="85" t="n">
        <v>0</v>
      </c>
      <c r="O322" s="85" t="n"/>
      <c r="P322" s="85" t="n"/>
      <c r="Q322" s="85" t="inlineStr">
        <is>
          <t>SOUND EDITING; SOUND MIXING; VISUAL EFFECTS</t>
        </is>
      </c>
      <c r="R322" s="85" t="inlineStr">
        <is>
          <t>https://github.com/DLu/oscar_data</t>
        </is>
      </c>
    </row>
    <row r="323" ht="15.75" customHeight="1" s="108">
      <c r="A323" s="83" t="inlineStr">
        <is>
          <t>F0319</t>
        </is>
      </c>
      <c r="B323" s="83" t="inlineStr">
        <is>
          <t>Transformers: Age of Extinction</t>
        </is>
      </c>
      <c r="C323" s="83" t="inlineStr">
        <is>
          <t>2014</t>
        </is>
      </c>
      <c r="D323" s="83" t="n">
        <v>0</v>
      </c>
      <c r="E323" s="83" t="n">
        <v>0</v>
      </c>
      <c r="F323" s="84" t="n"/>
      <c r="G323" s="83" t="n">
        <v>0</v>
      </c>
      <c r="H323" s="83" t="n">
        <v>0</v>
      </c>
      <c r="I323" s="85" t="n"/>
      <c r="J323" s="85" t="n">
        <v>0</v>
      </c>
      <c r="K323" s="85" t="n">
        <v>0</v>
      </c>
      <c r="L323" s="85" t="n"/>
      <c r="M323" s="85" t="n">
        <v>0</v>
      </c>
      <c r="N323" s="85" t="n">
        <v>0</v>
      </c>
      <c r="O323" s="85" t="n"/>
      <c r="P323" s="85" t="n"/>
      <c r="Q323" s="85" t="n"/>
      <c r="R323" s="85" t="inlineStr">
        <is>
          <t>https://github.com/DLu/oscar_data</t>
        </is>
      </c>
    </row>
    <row r="324" ht="15.75" customHeight="1" s="108">
      <c r="A324" s="83" t="inlineStr">
        <is>
          <t>F0320</t>
        </is>
      </c>
      <c r="B324" s="83" t="inlineStr">
        <is>
          <t>Transformers: The Last Knight</t>
        </is>
      </c>
      <c r="C324" s="83" t="inlineStr">
        <is>
          <t>2017</t>
        </is>
      </c>
      <c r="D324" s="83" t="n">
        <v>0</v>
      </c>
      <c r="E324" s="83" t="n">
        <v>0</v>
      </c>
      <c r="F324" s="84" t="n"/>
      <c r="G324" s="83" t="n">
        <v>0</v>
      </c>
      <c r="H324" s="83" t="n">
        <v>0</v>
      </c>
      <c r="I324" s="85" t="n"/>
      <c r="J324" s="85" t="n">
        <v>0</v>
      </c>
      <c r="K324" s="85" t="n">
        <v>0</v>
      </c>
      <c r="L324" s="85" t="n"/>
      <c r="M324" s="85" t="n">
        <v>0</v>
      </c>
      <c r="N324" s="85" t="n">
        <v>0</v>
      </c>
      <c r="O324" s="85" t="n"/>
      <c r="P324" s="85" t="n"/>
      <c r="Q324" s="85" t="n"/>
      <c r="R324" s="85" t="inlineStr">
        <is>
          <t>https://github.com/DLu/oscar_data</t>
        </is>
      </c>
    </row>
    <row r="325" ht="15.75" customHeight="1" s="108">
      <c r="A325" s="83" t="inlineStr">
        <is>
          <t>F0321</t>
        </is>
      </c>
      <c r="B325" s="83" t="inlineStr">
        <is>
          <t>Transformers: Rise of the Beasts</t>
        </is>
      </c>
      <c r="C325" s="83" t="inlineStr">
        <is>
          <t>2023</t>
        </is>
      </c>
      <c r="D325" s="83" t="n">
        <v>0</v>
      </c>
      <c r="E325" s="83" t="n">
        <v>0</v>
      </c>
      <c r="F325" s="84" t="n"/>
      <c r="G325" s="83" t="n">
        <v>0</v>
      </c>
      <c r="H325" s="83" t="n">
        <v>0</v>
      </c>
      <c r="I325" s="85" t="n"/>
      <c r="J325" s="85" t="n">
        <v>0</v>
      </c>
      <c r="K325" s="85" t="n">
        <v>0</v>
      </c>
      <c r="L325" s="85" t="n"/>
      <c r="M325" s="85" t="n">
        <v>0</v>
      </c>
      <c r="N325" s="85" t="n">
        <v>0</v>
      </c>
      <c r="O325" s="85" t="n"/>
      <c r="P325" s="85" t="n"/>
      <c r="Q325" s="85" t="n"/>
      <c r="R325" s="85" t="inlineStr">
        <is>
          <t>https://github.com/DLu/oscar_data</t>
        </is>
      </c>
    </row>
    <row r="326" ht="15.75" customHeight="1" s="108">
      <c r="A326" s="83" t="inlineStr">
        <is>
          <t>F0322</t>
        </is>
      </c>
      <c r="B326" s="83" t="inlineStr">
        <is>
          <t>The Transformers: The Movie</t>
        </is>
      </c>
      <c r="C326" s="83" t="inlineStr">
        <is>
          <t>1986</t>
        </is>
      </c>
      <c r="D326" s="83" t="n">
        <v>0</v>
      </c>
      <c r="E326" s="83" t="n">
        <v>0</v>
      </c>
      <c r="F326" s="84" t="n"/>
      <c r="G326" s="83" t="n">
        <v>0</v>
      </c>
      <c r="H326" s="83" t="n">
        <v>0</v>
      </c>
      <c r="I326" s="85" t="n"/>
      <c r="J326" s="85" t="n">
        <v>0</v>
      </c>
      <c r="K326" s="85" t="n">
        <v>0</v>
      </c>
      <c r="L326" s="85" t="n"/>
      <c r="M326" s="85" t="n">
        <v>0</v>
      </c>
      <c r="N326" s="85" t="n">
        <v>0</v>
      </c>
      <c r="O326" s="85" t="n"/>
      <c r="P326" s="85" t="n"/>
      <c r="Q326" s="85" t="n"/>
      <c r="R326" s="85" t="inlineStr">
        <is>
          <t>https://github.com/DLu/oscar_data</t>
        </is>
      </c>
    </row>
    <row r="327" ht="15.75" customHeight="1" s="108">
      <c r="A327" s="83" t="inlineStr">
        <is>
          <t>F0323</t>
        </is>
      </c>
      <c r="B327" s="83" t="inlineStr">
        <is>
          <t>The Transporter Refueled</t>
        </is>
      </c>
      <c r="C327" s="83" t="inlineStr">
        <is>
          <t>2015</t>
        </is>
      </c>
      <c r="D327" s="83" t="n">
        <v>0</v>
      </c>
      <c r="E327" s="83" t="n">
        <v>0</v>
      </c>
      <c r="F327" s="84" t="n"/>
      <c r="G327" s="83" t="n">
        <v>0</v>
      </c>
      <c r="H327" s="83" t="n">
        <v>0</v>
      </c>
      <c r="I327" s="85" t="n"/>
      <c r="J327" s="85" t="n">
        <v>0</v>
      </c>
      <c r="K327" s="85" t="n">
        <v>0</v>
      </c>
      <c r="L327" s="85" t="n"/>
      <c r="M327" s="85" t="n">
        <v>0</v>
      </c>
      <c r="N327" s="85" t="n">
        <v>0</v>
      </c>
      <c r="O327" s="85" t="n"/>
      <c r="P327" s="85" t="n"/>
      <c r="Q327" s="85" t="n"/>
      <c r="R327" s="85" t="inlineStr">
        <is>
          <t>https://github.com/DLu/oscar_data</t>
        </is>
      </c>
    </row>
    <row r="328" ht="15.75" customHeight="1" s="108">
      <c r="A328" s="83" t="inlineStr">
        <is>
          <t>F0324</t>
        </is>
      </c>
      <c r="B328" s="83" t="inlineStr">
        <is>
          <t>Tropic Thunder</t>
        </is>
      </c>
      <c r="C328" s="83" t="inlineStr">
        <is>
          <t>2008</t>
        </is>
      </c>
      <c r="D328" s="83" t="n">
        <v>1</v>
      </c>
      <c r="E328" s="83" t="n">
        <v>0</v>
      </c>
      <c r="F328" s="84" t="n"/>
      <c r="G328" s="83" t="n">
        <v>1</v>
      </c>
      <c r="H328" s="83" t="n">
        <v>0</v>
      </c>
      <c r="I328" s="85" t="n"/>
      <c r="J328" s="85" t="n">
        <v>0</v>
      </c>
      <c r="K328" s="85" t="n">
        <v>0</v>
      </c>
      <c r="L328" s="85" t="n"/>
      <c r="M328" s="85" t="n">
        <v>0</v>
      </c>
      <c r="N328" s="85" t="n">
        <v>0</v>
      </c>
      <c r="O328" s="85" t="n"/>
      <c r="P328" s="85" t="n"/>
      <c r="Q328" s="85" t="inlineStr">
        <is>
          <t>ACTOR IN A SUPPORTING ROLE</t>
        </is>
      </c>
      <c r="R328" s="85" t="inlineStr">
        <is>
          <t>https://github.com/DLu/oscar_data</t>
        </is>
      </c>
    </row>
    <row r="329" ht="60" customHeight="1" s="108">
      <c r="A329" s="83" t="inlineStr">
        <is>
          <t>F0325</t>
        </is>
      </c>
      <c r="B329" s="83" t="inlineStr">
        <is>
          <t>True Grit</t>
        </is>
      </c>
      <c r="C329" s="83" t="inlineStr">
        <is>
          <t>2010</t>
        </is>
      </c>
      <c r="D329" s="83" t="n">
        <v>10</v>
      </c>
      <c r="E329" s="83" t="n">
        <v>0</v>
      </c>
      <c r="F329" s="83" t="inlineStr">
        <is>
          <t>Nominated</t>
        </is>
      </c>
      <c r="G329" s="83" t="n">
        <v>2</v>
      </c>
      <c r="H329" s="83" t="n">
        <v>0</v>
      </c>
      <c r="I329" s="85" t="n"/>
      <c r="J329" s="85" t="n">
        <v>1</v>
      </c>
      <c r="K329" s="85" t="n">
        <v>0</v>
      </c>
      <c r="L329" s="85" t="n"/>
      <c r="M329" s="85" t="n">
        <v>1</v>
      </c>
      <c r="N329" s="85" t="n">
        <v>0</v>
      </c>
      <c r="O329" s="85" t="n"/>
      <c r="P329" s="85" t="n"/>
      <c r="Q329" s="85" t="inlineStr">
        <is>
          <t>ACTOR IN A LEADING ROLE; ACTRESS IN A SUPPORTING ROLE; ART DIRECTION; CINEMATOGRAPHY; COSTUME DESIGN; DIRECTING; BEST PICTURE; SOUND EDITING; SOUND MIXING; WRITING (Adapted Screenplay)</t>
        </is>
      </c>
      <c r="R329" s="85" t="inlineStr">
        <is>
          <t>https://github.com/DLu/oscar_data</t>
        </is>
      </c>
    </row>
    <row r="330" ht="15.75" customHeight="1" s="108">
      <c r="A330" s="83" t="inlineStr">
        <is>
          <t>F0326</t>
        </is>
      </c>
      <c r="B330" s="83" t="inlineStr">
        <is>
          <t>Underworld: Evolution</t>
        </is>
      </c>
      <c r="C330" s="83" t="inlineStr">
        <is>
          <t>2006</t>
        </is>
      </c>
      <c r="D330" s="83" t="n">
        <v>0</v>
      </c>
      <c r="E330" s="83" t="n">
        <v>0</v>
      </c>
      <c r="F330" s="84" t="n"/>
      <c r="G330" s="83" t="n">
        <v>0</v>
      </c>
      <c r="H330" s="83" t="n">
        <v>0</v>
      </c>
      <c r="I330" s="85" t="n"/>
      <c r="J330" s="85" t="n">
        <v>0</v>
      </c>
      <c r="K330" s="85" t="n">
        <v>0</v>
      </c>
      <c r="L330" s="85" t="n"/>
      <c r="M330" s="85" t="n">
        <v>0</v>
      </c>
      <c r="N330" s="85" t="n">
        <v>0</v>
      </c>
      <c r="O330" s="85" t="n"/>
      <c r="P330" s="85" t="n"/>
      <c r="Q330" s="85" t="n"/>
      <c r="R330" s="85" t="inlineStr">
        <is>
          <t>https://github.com/DLu/oscar_data</t>
        </is>
      </c>
    </row>
    <row r="331" ht="15.75" customHeight="1" s="108">
      <c r="A331" s="83" t="inlineStr">
        <is>
          <t>F0327</t>
        </is>
      </c>
      <c r="B331" s="83" t="inlineStr">
        <is>
          <t>Underworld: Rise of the Lycans</t>
        </is>
      </c>
      <c r="C331" s="83" t="inlineStr">
        <is>
          <t>2009</t>
        </is>
      </c>
      <c r="D331" s="83" t="n">
        <v>0</v>
      </c>
      <c r="E331" s="83" t="n">
        <v>0</v>
      </c>
      <c r="F331" s="84" t="n"/>
      <c r="G331" s="83" t="n">
        <v>0</v>
      </c>
      <c r="H331" s="83" t="n">
        <v>0</v>
      </c>
      <c r="I331" s="85" t="n"/>
      <c r="J331" s="85" t="n">
        <v>0</v>
      </c>
      <c r="K331" s="85" t="n">
        <v>0</v>
      </c>
      <c r="L331" s="85" t="n"/>
      <c r="M331" s="85" t="n">
        <v>0</v>
      </c>
      <c r="N331" s="85" t="n">
        <v>0</v>
      </c>
      <c r="O331" s="85" t="n"/>
      <c r="P331" s="85" t="n"/>
      <c r="Q331" s="85" t="n"/>
      <c r="R331" s="85" t="inlineStr">
        <is>
          <t>https://github.com/DLu/oscar_data</t>
        </is>
      </c>
    </row>
    <row r="332" ht="15.75" customHeight="1" s="108">
      <c r="A332" s="83" t="inlineStr">
        <is>
          <t>F0328</t>
        </is>
      </c>
      <c r="B332" s="83" t="inlineStr">
        <is>
          <t>Underworld: Awakening</t>
        </is>
      </c>
      <c r="C332" s="83" t="inlineStr">
        <is>
          <t>2012</t>
        </is>
      </c>
      <c r="D332" s="83" t="n">
        <v>0</v>
      </c>
      <c r="E332" s="83" t="n">
        <v>0</v>
      </c>
      <c r="F332" s="84" t="n"/>
      <c r="G332" s="83" t="n">
        <v>0</v>
      </c>
      <c r="H332" s="83" t="n">
        <v>0</v>
      </c>
      <c r="I332" s="85" t="n"/>
      <c r="J332" s="85" t="n">
        <v>0</v>
      </c>
      <c r="K332" s="85" t="n">
        <v>0</v>
      </c>
      <c r="L332" s="85" t="n"/>
      <c r="M332" s="85" t="n">
        <v>0</v>
      </c>
      <c r="N332" s="85" t="n">
        <v>0</v>
      </c>
      <c r="O332" s="85" t="n"/>
      <c r="P332" s="85" t="n"/>
      <c r="Q332" s="85" t="n"/>
      <c r="R332" s="85" t="inlineStr">
        <is>
          <t>https://github.com/DLu/oscar_data</t>
        </is>
      </c>
    </row>
    <row r="333" ht="15.75" customHeight="1" s="108">
      <c r="A333" s="83" t="inlineStr">
        <is>
          <t>F0329</t>
        </is>
      </c>
      <c r="B333" s="83" t="inlineStr">
        <is>
          <t>Unknown</t>
        </is>
      </c>
      <c r="C333" s="83" t="inlineStr">
        <is>
          <t>2011</t>
        </is>
      </c>
      <c r="D333" s="83" t="n">
        <v>0</v>
      </c>
      <c r="E333" s="83" t="n">
        <v>0</v>
      </c>
      <c r="F333" s="84" t="n"/>
      <c r="G333" s="83" t="n">
        <v>0</v>
      </c>
      <c r="H333" s="83" t="n">
        <v>0</v>
      </c>
      <c r="I333" s="85" t="n"/>
      <c r="J333" s="85" t="n">
        <v>0</v>
      </c>
      <c r="K333" s="85" t="n">
        <v>0</v>
      </c>
      <c r="L333" s="85" t="n"/>
      <c r="M333" s="85" t="n">
        <v>0</v>
      </c>
      <c r="N333" s="85" t="n">
        <v>0</v>
      </c>
      <c r="O333" s="85" t="n"/>
      <c r="P333" s="85" t="n"/>
      <c r="Q333" s="85" t="n"/>
      <c r="R333" s="85" t="inlineStr">
        <is>
          <t>https://github.com/DLu/oscar_data</t>
        </is>
      </c>
    </row>
    <row r="334" ht="30" customHeight="1" s="108">
      <c r="A334" s="83" t="inlineStr">
        <is>
          <t>F0330</t>
        </is>
      </c>
      <c r="B334" s="83" t="inlineStr">
        <is>
          <t>Up</t>
        </is>
      </c>
      <c r="C334" s="83" t="inlineStr">
        <is>
          <t>2009</t>
        </is>
      </c>
      <c r="D334" s="83" t="n">
        <v>5</v>
      </c>
      <c r="E334" s="83" t="n">
        <v>2</v>
      </c>
      <c r="F334" s="83" t="inlineStr">
        <is>
          <t>Nominated</t>
        </is>
      </c>
      <c r="G334" s="83" t="n">
        <v>0</v>
      </c>
      <c r="H334" s="83" t="n">
        <v>0</v>
      </c>
      <c r="I334" s="85" t="n"/>
      <c r="J334" s="85" t="n">
        <v>0</v>
      </c>
      <c r="K334" s="85" t="n">
        <v>0</v>
      </c>
      <c r="L334" s="85" t="n"/>
      <c r="M334" s="85" t="n">
        <v>1</v>
      </c>
      <c r="N334" s="85" t="n">
        <v>0</v>
      </c>
      <c r="O334" s="85" t="inlineStr">
        <is>
          <t>Winner</t>
        </is>
      </c>
      <c r="P334" s="85" t="inlineStr">
        <is>
          <t>ANIMATED FEATURE FILM; MUSIC (Original Score)</t>
        </is>
      </c>
      <c r="Q334" s="85" t="inlineStr">
        <is>
          <t>ANIMATED FEATURE FILM; MUSIC (Original Score); BEST PICTURE; SOUND EDITING; WRITING (Original Screenplay)</t>
        </is>
      </c>
      <c r="R334" s="85" t="inlineStr">
        <is>
          <t>https://github.com/DLu/oscar_data</t>
        </is>
      </c>
    </row>
    <row r="335" ht="45" customHeight="1" s="108">
      <c r="A335" s="83" t="inlineStr">
        <is>
          <t>F0331</t>
        </is>
      </c>
      <c r="B335" s="83" t="inlineStr">
        <is>
          <t>WALL·E</t>
        </is>
      </c>
      <c r="C335" s="83" t="inlineStr">
        <is>
          <t>2008</t>
        </is>
      </c>
      <c r="D335" s="83" t="n">
        <v>6</v>
      </c>
      <c r="E335" s="83" t="n">
        <v>1</v>
      </c>
      <c r="F335" s="84" t="n"/>
      <c r="G335" s="83" t="n">
        <v>0</v>
      </c>
      <c r="H335" s="83" t="n">
        <v>0</v>
      </c>
      <c r="I335" s="85" t="n"/>
      <c r="J335" s="85" t="n">
        <v>0</v>
      </c>
      <c r="K335" s="85" t="n">
        <v>0</v>
      </c>
      <c r="L335" s="85" t="n"/>
      <c r="M335" s="85" t="n">
        <v>1</v>
      </c>
      <c r="N335" s="85" t="n">
        <v>0</v>
      </c>
      <c r="O335" s="85" t="inlineStr">
        <is>
          <t>Winner</t>
        </is>
      </c>
      <c r="P335" s="85" t="inlineStr">
        <is>
          <t>ANIMATED FEATURE FILM</t>
        </is>
      </c>
      <c r="Q335" s="85" t="inlineStr">
        <is>
          <t>ANIMATED FEATURE FILM; MUSIC (Original Score); MUSIC (Original Song); SOUND EDITING; SOUND MIXING; WRITING (Original Screenplay)</t>
        </is>
      </c>
      <c r="R335" s="85" t="inlineStr">
        <is>
          <t>https://github.com/DLu/oscar_data</t>
        </is>
      </c>
    </row>
    <row r="336" ht="15.75" customHeight="1" s="108">
      <c r="A336" s="83" t="inlineStr">
        <is>
          <t>F0332</t>
        </is>
      </c>
      <c r="B336" s="83" t="inlineStr">
        <is>
          <t>War of the Worlds</t>
        </is>
      </c>
      <c r="C336" s="83" t="inlineStr">
        <is>
          <t>2005</t>
        </is>
      </c>
      <c r="D336" s="83" t="n">
        <v>3</v>
      </c>
      <c r="E336" s="83" t="n">
        <v>0</v>
      </c>
      <c r="F336" s="84" t="n"/>
      <c r="G336" s="83" t="n">
        <v>0</v>
      </c>
      <c r="H336" s="83" t="n">
        <v>0</v>
      </c>
      <c r="I336" s="85" t="n"/>
      <c r="J336" s="85" t="n">
        <v>0</v>
      </c>
      <c r="K336" s="85" t="n">
        <v>0</v>
      </c>
      <c r="L336" s="85" t="n"/>
      <c r="M336" s="85" t="n">
        <v>0</v>
      </c>
      <c r="N336" s="85" t="n">
        <v>0</v>
      </c>
      <c r="O336" s="85" t="n"/>
      <c r="P336" s="85" t="n"/>
      <c r="Q336" s="85" t="inlineStr">
        <is>
          <t>SOUND EDITING; SOUND MIXING; VISUAL EFFECTS</t>
        </is>
      </c>
      <c r="R336" s="85" t="inlineStr">
        <is>
          <t>https://github.com/DLu/oscar_data</t>
        </is>
      </c>
    </row>
    <row r="337" ht="15.75" customHeight="1" s="108">
      <c r="A337" s="83" t="inlineStr">
        <is>
          <t>F0333</t>
        </is>
      </c>
      <c r="B337" s="83" t="inlineStr">
        <is>
          <t>Warrior</t>
        </is>
      </c>
      <c r="C337" s="83" t="inlineStr">
        <is>
          <t>2011</t>
        </is>
      </c>
      <c r="D337" s="83" t="n">
        <v>1</v>
      </c>
      <c r="E337" s="83" t="n">
        <v>0</v>
      </c>
      <c r="F337" s="84" t="n"/>
      <c r="G337" s="83" t="n">
        <v>1</v>
      </c>
      <c r="H337" s="83" t="n">
        <v>0</v>
      </c>
      <c r="I337" s="85" t="n"/>
      <c r="J337" s="85" t="n">
        <v>0</v>
      </c>
      <c r="K337" s="85" t="n">
        <v>0</v>
      </c>
      <c r="L337" s="85" t="n"/>
      <c r="M337" s="85" t="n">
        <v>0</v>
      </c>
      <c r="N337" s="85" t="n">
        <v>0</v>
      </c>
      <c r="O337" s="85" t="n"/>
      <c r="P337" s="85" t="n"/>
      <c r="Q337" s="85" t="inlineStr">
        <is>
          <t>ACTOR IN A SUPPORTING ROLE</t>
        </is>
      </c>
      <c r="R337" s="85" t="inlineStr">
        <is>
          <t>https://github.com/DLu/oscar_data</t>
        </is>
      </c>
    </row>
    <row r="338" ht="15.75" customHeight="1" s="108">
      <c r="A338" s="83" t="inlineStr">
        <is>
          <t>F0334</t>
        </is>
      </c>
      <c r="B338" s="83" t="inlineStr">
        <is>
          <t>The Warriors</t>
        </is>
      </c>
      <c r="C338" s="83" t="inlineStr">
        <is>
          <t>1979</t>
        </is>
      </c>
      <c r="D338" s="83" t="n">
        <v>0</v>
      </c>
      <c r="E338" s="83" t="n">
        <v>0</v>
      </c>
      <c r="F338" s="84" t="n"/>
      <c r="G338" s="83" t="n">
        <v>0</v>
      </c>
      <c r="H338" s="83" t="n">
        <v>0</v>
      </c>
      <c r="I338" s="85" t="n"/>
      <c r="J338" s="85" t="n">
        <v>0</v>
      </c>
      <c r="K338" s="85" t="n">
        <v>0</v>
      </c>
      <c r="L338" s="85" t="n"/>
      <c r="M338" s="85" t="n">
        <v>0</v>
      </c>
      <c r="N338" s="85" t="n">
        <v>0</v>
      </c>
      <c r="O338" s="85" t="n"/>
      <c r="P338" s="85" t="n"/>
      <c r="Q338" s="85" t="n"/>
      <c r="R338" s="85" t="inlineStr">
        <is>
          <t>https://github.com/DLu/oscar_data</t>
        </is>
      </c>
    </row>
    <row r="339" ht="15.75" customHeight="1" s="108">
      <c r="A339" s="83" t="inlineStr">
        <is>
          <t>F0335</t>
        </is>
      </c>
      <c r="B339" s="83" t="inlineStr">
        <is>
          <t>White House Down</t>
        </is>
      </c>
      <c r="C339" s="83" t="inlineStr">
        <is>
          <t>2013</t>
        </is>
      </c>
      <c r="D339" s="83" t="n">
        <v>0</v>
      </c>
      <c r="E339" s="83" t="n">
        <v>0</v>
      </c>
      <c r="F339" s="84" t="n"/>
      <c r="G339" s="83" t="n">
        <v>0</v>
      </c>
      <c r="H339" s="83" t="n">
        <v>0</v>
      </c>
      <c r="I339" s="85" t="n"/>
      <c r="J339" s="85" t="n">
        <v>0</v>
      </c>
      <c r="K339" s="85" t="n">
        <v>0</v>
      </c>
      <c r="L339" s="85" t="n"/>
      <c r="M339" s="85" t="n">
        <v>0</v>
      </c>
      <c r="N339" s="85" t="n">
        <v>0</v>
      </c>
      <c r="O339" s="85" t="n"/>
      <c r="P339" s="85" t="n"/>
      <c r="Q339" s="85" t="n"/>
      <c r="R339" s="85" t="inlineStr">
        <is>
          <t>https://github.com/DLu/oscar_data</t>
        </is>
      </c>
    </row>
    <row r="340" ht="15.75" customHeight="1" s="108">
      <c r="A340" s="83" t="inlineStr">
        <is>
          <t>F0336</t>
        </is>
      </c>
      <c r="B340" s="83" t="inlineStr">
        <is>
          <t>Wreck-It Ralph</t>
        </is>
      </c>
      <c r="C340" s="83" t="inlineStr">
        <is>
          <t>2012</t>
        </is>
      </c>
      <c r="D340" s="83" t="n">
        <v>1</v>
      </c>
      <c r="E340" s="83" t="n">
        <v>0</v>
      </c>
      <c r="F340" s="84" t="n"/>
      <c r="G340" s="83" t="n">
        <v>0</v>
      </c>
      <c r="H340" s="83" t="n">
        <v>0</v>
      </c>
      <c r="I340" s="85" t="n"/>
      <c r="J340" s="85" t="n">
        <v>0</v>
      </c>
      <c r="K340" s="85" t="n">
        <v>0</v>
      </c>
      <c r="L340" s="85" t="n"/>
      <c r="M340" s="85" t="n">
        <v>0</v>
      </c>
      <c r="N340" s="85" t="n">
        <v>0</v>
      </c>
      <c r="O340" s="85" t="inlineStr">
        <is>
          <t>Nominated</t>
        </is>
      </c>
      <c r="P340" s="85" t="n"/>
      <c r="Q340" s="85" t="inlineStr">
        <is>
          <t>ANIMATED FEATURE FILM</t>
        </is>
      </c>
      <c r="R340" s="85" t="inlineStr">
        <is>
          <t>https://github.com/DLu/oscar_data</t>
        </is>
      </c>
    </row>
    <row r="341" ht="15.75" customHeight="1" s="108">
      <c r="A341" s="83" t="inlineStr">
        <is>
          <t>F0337</t>
        </is>
      </c>
      <c r="B341" s="83" t="inlineStr">
        <is>
          <t>Ralph Breaks the Internet</t>
        </is>
      </c>
      <c r="C341" s="83" t="inlineStr">
        <is>
          <t>2018</t>
        </is>
      </c>
      <c r="D341" s="83" t="n">
        <v>1</v>
      </c>
      <c r="E341" s="83" t="n">
        <v>0</v>
      </c>
      <c r="F341" s="84" t="n"/>
      <c r="G341" s="83" t="n">
        <v>0</v>
      </c>
      <c r="H341" s="83" t="n">
        <v>0</v>
      </c>
      <c r="I341" s="85" t="n"/>
      <c r="J341" s="85" t="n">
        <v>0</v>
      </c>
      <c r="K341" s="85" t="n">
        <v>0</v>
      </c>
      <c r="L341" s="85" t="n"/>
      <c r="M341" s="85" t="n">
        <v>0</v>
      </c>
      <c r="N341" s="85" t="n">
        <v>0</v>
      </c>
      <c r="O341" s="85" t="inlineStr">
        <is>
          <t>Nominated</t>
        </is>
      </c>
      <c r="P341" s="85" t="n"/>
      <c r="Q341" s="85" t="inlineStr">
        <is>
          <t>ANIMATED FEATURE FILM</t>
        </is>
      </c>
      <c r="R341" s="85" t="inlineStr">
        <is>
          <t>https://github.com/DLu/oscar_data</t>
        </is>
      </c>
    </row>
    <row r="342" ht="15.75" customHeight="1" s="108">
      <c r="A342" s="83" t="inlineStr">
        <is>
          <t>F0338</t>
        </is>
      </c>
      <c r="B342" s="83" t="inlineStr">
        <is>
          <t>Wonka</t>
        </is>
      </c>
      <c r="C342" s="83" t="inlineStr">
        <is>
          <t>2023</t>
        </is>
      </c>
      <c r="D342" s="83" t="n">
        <v>0</v>
      </c>
      <c r="E342" s="83" t="n">
        <v>0</v>
      </c>
      <c r="F342" s="84" t="n"/>
      <c r="G342" s="83" t="n">
        <v>0</v>
      </c>
      <c r="H342" s="83" t="n">
        <v>0</v>
      </c>
      <c r="I342" s="85" t="n"/>
      <c r="J342" s="85" t="n">
        <v>0</v>
      </c>
      <c r="K342" s="85" t="n">
        <v>0</v>
      </c>
      <c r="L342" s="85" t="n"/>
      <c r="M342" s="85" t="n">
        <v>0</v>
      </c>
      <c r="N342" s="85" t="n">
        <v>0</v>
      </c>
      <c r="O342" s="85" t="n"/>
      <c r="P342" s="85" t="n"/>
      <c r="Q342" s="85" t="n"/>
      <c r="R342" s="85" t="inlineStr">
        <is>
          <t>https://github.com/DLu/oscar_data</t>
        </is>
      </c>
    </row>
    <row r="343" ht="15.75" customHeight="1" s="108">
      <c r="A343" s="83" t="inlineStr">
        <is>
          <t>F0339</t>
        </is>
      </c>
      <c r="B343" s="83" t="inlineStr">
        <is>
          <t>Willy Wonka &amp; the Chocolate Factory</t>
        </is>
      </c>
      <c r="C343" s="83" t="inlineStr">
        <is>
          <t>1971</t>
        </is>
      </c>
      <c r="D343" s="83" t="n">
        <v>1</v>
      </c>
      <c r="E343" s="83" t="n">
        <v>0</v>
      </c>
      <c r="F343" s="84" t="n"/>
      <c r="G343" s="83" t="n">
        <v>0</v>
      </c>
      <c r="H343" s="83" t="n">
        <v>0</v>
      </c>
      <c r="I343" s="85" t="n"/>
      <c r="J343" s="85" t="n">
        <v>0</v>
      </c>
      <c r="K343" s="85" t="n">
        <v>0</v>
      </c>
      <c r="L343" s="85" t="n"/>
      <c r="M343" s="85" t="n">
        <v>0</v>
      </c>
      <c r="N343" s="85" t="n">
        <v>0</v>
      </c>
      <c r="O343" s="85" t="n"/>
      <c r="P343" s="85" t="n"/>
      <c r="Q343" s="85" t="inlineStr">
        <is>
          <t>MUSIC (Original Song Score or Adaptation Score)</t>
        </is>
      </c>
      <c r="R343" s="85" t="inlineStr">
        <is>
          <t>https://github.com/DLu/oscar_data</t>
        </is>
      </c>
    </row>
    <row r="344" ht="15.75" customHeight="1" s="108">
      <c r="A344" s="83" t="inlineStr">
        <is>
          <t>F0340</t>
        </is>
      </c>
      <c r="B344" s="83" t="inlineStr">
        <is>
          <t>X-Men: First Class</t>
        </is>
      </c>
      <c r="C344" s="83" t="inlineStr">
        <is>
          <t>2011</t>
        </is>
      </c>
      <c r="D344" s="83" t="n">
        <v>0</v>
      </c>
      <c r="E344" s="83" t="n">
        <v>0</v>
      </c>
      <c r="F344" s="84" t="n"/>
      <c r="G344" s="83" t="n">
        <v>0</v>
      </c>
      <c r="H344" s="83" t="n">
        <v>0</v>
      </c>
      <c r="I344" s="85" t="n"/>
      <c r="J344" s="85" t="n">
        <v>0</v>
      </c>
      <c r="K344" s="85" t="n">
        <v>0</v>
      </c>
      <c r="L344" s="85" t="n"/>
      <c r="M344" s="85" t="n">
        <v>0</v>
      </c>
      <c r="N344" s="85" t="n">
        <v>0</v>
      </c>
      <c r="O344" s="85" t="n"/>
      <c r="P344" s="85" t="n"/>
      <c r="Q344" s="85" t="n"/>
      <c r="R344" s="85" t="inlineStr">
        <is>
          <t>https://github.com/DLu/oscar_data</t>
        </is>
      </c>
    </row>
    <row r="345" ht="15.75" customHeight="1" s="108">
      <c r="A345" s="83" t="inlineStr">
        <is>
          <t>F0341</t>
        </is>
      </c>
      <c r="B345" s="83" t="inlineStr">
        <is>
          <t>X-Men: Days of Future Past</t>
        </is>
      </c>
      <c r="C345" s="83" t="inlineStr">
        <is>
          <t>2014</t>
        </is>
      </c>
      <c r="D345" s="83" t="n">
        <v>1</v>
      </c>
      <c r="E345" s="83" t="n">
        <v>0</v>
      </c>
      <c r="F345" s="84" t="n"/>
      <c r="G345" s="83" t="n">
        <v>0</v>
      </c>
      <c r="H345" s="83" t="n">
        <v>0</v>
      </c>
      <c r="I345" s="85" t="n"/>
      <c r="J345" s="85" t="n">
        <v>0</v>
      </c>
      <c r="K345" s="85" t="n">
        <v>0</v>
      </c>
      <c r="L345" s="85" t="n"/>
      <c r="M345" s="85" t="n">
        <v>0</v>
      </c>
      <c r="N345" s="85" t="n">
        <v>0</v>
      </c>
      <c r="O345" s="85" t="n"/>
      <c r="P345" s="85" t="n"/>
      <c r="Q345" s="85" t="inlineStr">
        <is>
          <t>VISUAL EFFECTS</t>
        </is>
      </c>
      <c r="R345" s="85" t="inlineStr">
        <is>
          <t>https://github.com/DLu/oscar_data</t>
        </is>
      </c>
    </row>
    <row r="346" ht="15.75" customHeight="1" s="108">
      <c r="A346" s="83" t="inlineStr">
        <is>
          <t>F0342</t>
        </is>
      </c>
      <c r="B346" s="83" t="inlineStr">
        <is>
          <t>X-Men: Apocalypse</t>
        </is>
      </c>
      <c r="C346" s="83" t="inlineStr">
        <is>
          <t>2016</t>
        </is>
      </c>
      <c r="D346" s="83" t="n">
        <v>0</v>
      </c>
      <c r="E346" s="83" t="n">
        <v>0</v>
      </c>
      <c r="F346" s="84" t="n"/>
      <c r="G346" s="83" t="n">
        <v>0</v>
      </c>
      <c r="H346" s="83" t="n">
        <v>0</v>
      </c>
      <c r="I346" s="85" t="n"/>
      <c r="J346" s="85" t="n">
        <v>0</v>
      </c>
      <c r="K346" s="85" t="n">
        <v>0</v>
      </c>
      <c r="L346" s="85" t="n"/>
      <c r="M346" s="85" t="n">
        <v>0</v>
      </c>
      <c r="N346" s="85" t="n">
        <v>0</v>
      </c>
      <c r="O346" s="85" t="n"/>
      <c r="P346" s="85" t="n"/>
      <c r="Q346" s="85" t="n"/>
      <c r="R346" s="85" t="inlineStr">
        <is>
          <t>https://github.com/DLu/oscar_data</t>
        </is>
      </c>
    </row>
    <row r="347" ht="15.75" customHeight="1" s="108">
      <c r="A347" s="83" t="inlineStr">
        <is>
          <t>F0343</t>
        </is>
      </c>
      <c r="B347" s="83" t="inlineStr">
        <is>
          <t>X-Men Origins: Wolverine</t>
        </is>
      </c>
      <c r="C347" s="83" t="inlineStr">
        <is>
          <t>2009</t>
        </is>
      </c>
      <c r="D347" s="83" t="n">
        <v>0</v>
      </c>
      <c r="E347" s="83" t="n">
        <v>0</v>
      </c>
      <c r="F347" s="84" t="n"/>
      <c r="G347" s="83" t="n">
        <v>0</v>
      </c>
      <c r="H347" s="83" t="n">
        <v>0</v>
      </c>
      <c r="I347" s="85" t="n"/>
      <c r="J347" s="85" t="n">
        <v>0</v>
      </c>
      <c r="K347" s="85" t="n">
        <v>0</v>
      </c>
      <c r="L347" s="85" t="n"/>
      <c r="M347" s="85" t="n">
        <v>0</v>
      </c>
      <c r="N347" s="85" t="n">
        <v>0</v>
      </c>
      <c r="O347" s="85" t="n"/>
      <c r="P347" s="85" t="n"/>
      <c r="Q347" s="85" t="n"/>
      <c r="R347" s="85" t="inlineStr">
        <is>
          <t>https://github.com/DLu/oscar_data</t>
        </is>
      </c>
    </row>
    <row r="348" ht="15.75" customHeight="1" s="108">
      <c r="A348" s="83" t="inlineStr">
        <is>
          <t>F0344</t>
        </is>
      </c>
      <c r="B348" s="83" t="inlineStr">
        <is>
          <t>X-Men</t>
        </is>
      </c>
      <c r="C348" s="83" t="inlineStr">
        <is>
          <t>2000</t>
        </is>
      </c>
      <c r="D348" s="83" t="n">
        <v>0</v>
      </c>
      <c r="E348" s="83" t="n">
        <v>0</v>
      </c>
      <c r="F348" s="84" t="n"/>
      <c r="G348" s="83" t="n">
        <v>0</v>
      </c>
      <c r="H348" s="83" t="n">
        <v>0</v>
      </c>
      <c r="I348" s="85" t="n"/>
      <c r="J348" s="85" t="n">
        <v>0</v>
      </c>
      <c r="K348" s="85" t="n">
        <v>0</v>
      </c>
      <c r="L348" s="85" t="n"/>
      <c r="M348" s="85" t="n">
        <v>0</v>
      </c>
      <c r="N348" s="85" t="n">
        <v>0</v>
      </c>
      <c r="O348" s="85" t="n"/>
      <c r="P348" s="85" t="n"/>
      <c r="Q348" s="85" t="n"/>
      <c r="R348" s="85" t="inlineStr">
        <is>
          <t>https://github.com/DLu/oscar_data</t>
        </is>
      </c>
    </row>
    <row r="349" ht="15.75" customHeight="1" s="108">
      <c r="A349" s="83" t="inlineStr">
        <is>
          <t>F0345</t>
        </is>
      </c>
      <c r="B349" s="83" t="inlineStr">
        <is>
          <t>X2: X-Men United</t>
        </is>
      </c>
      <c r="C349" s="83" t="inlineStr">
        <is>
          <t>2003</t>
        </is>
      </c>
      <c r="D349" s="83" t="n">
        <v>0</v>
      </c>
      <c r="E349" s="83" t="n">
        <v>0</v>
      </c>
      <c r="F349" s="84" t="n"/>
      <c r="G349" s="83" t="n">
        <v>0</v>
      </c>
      <c r="H349" s="83" t="n">
        <v>0</v>
      </c>
      <c r="I349" s="85" t="n"/>
      <c r="J349" s="85" t="n">
        <v>0</v>
      </c>
      <c r="K349" s="85" t="n">
        <v>0</v>
      </c>
      <c r="L349" s="85" t="n"/>
      <c r="M349" s="85" t="n">
        <v>0</v>
      </c>
      <c r="N349" s="85" t="n">
        <v>0</v>
      </c>
      <c r="O349" s="85" t="n"/>
      <c r="P349" s="85" t="n"/>
      <c r="Q349" s="85" t="n"/>
      <c r="R349" s="85" t="inlineStr">
        <is>
          <t>https://github.com/DLu/oscar_data</t>
        </is>
      </c>
    </row>
    <row r="350" ht="15.75" customHeight="1" s="108">
      <c r="A350" s="83" t="inlineStr">
        <is>
          <t>F0346</t>
        </is>
      </c>
      <c r="B350" s="83" t="inlineStr">
        <is>
          <t>X-Men: The Last Stand</t>
        </is>
      </c>
      <c r="C350" s="83" t="inlineStr">
        <is>
          <t>2006</t>
        </is>
      </c>
      <c r="D350" s="83" t="n">
        <v>0</v>
      </c>
      <c r="E350" s="83" t="n">
        <v>0</v>
      </c>
      <c r="F350" s="84" t="n"/>
      <c r="G350" s="83" t="n">
        <v>0</v>
      </c>
      <c r="H350" s="83" t="n">
        <v>0</v>
      </c>
      <c r="I350" s="85" t="n"/>
      <c r="J350" s="85" t="n">
        <v>0</v>
      </c>
      <c r="K350" s="85" t="n">
        <v>0</v>
      </c>
      <c r="L350" s="85" t="n"/>
      <c r="M350" s="85" t="n">
        <v>0</v>
      </c>
      <c r="N350" s="85" t="n">
        <v>0</v>
      </c>
      <c r="O350" s="85" t="n"/>
      <c r="P350" s="85" t="n"/>
      <c r="Q350" s="85" t="n"/>
      <c r="R350" s="85" t="inlineStr">
        <is>
          <t>https://github.com/DLu/oscar_data</t>
        </is>
      </c>
    </row>
    <row r="351" ht="15.75" customHeight="1" s="108">
      <c r="A351" s="83" t="inlineStr">
        <is>
          <t>F0347</t>
        </is>
      </c>
      <c r="B351" s="83" t="inlineStr">
        <is>
          <t>The Wolverine</t>
        </is>
      </c>
      <c r="C351" s="83" t="inlineStr">
        <is>
          <t>2013</t>
        </is>
      </c>
      <c r="D351" s="83" t="n">
        <v>0</v>
      </c>
      <c r="E351" s="83" t="n">
        <v>0</v>
      </c>
      <c r="F351" s="84" t="n"/>
      <c r="G351" s="83" t="n">
        <v>0</v>
      </c>
      <c r="H351" s="83" t="n">
        <v>0</v>
      </c>
      <c r="I351" s="85" t="n"/>
      <c r="J351" s="85" t="n">
        <v>0</v>
      </c>
      <c r="K351" s="85" t="n">
        <v>0</v>
      </c>
      <c r="L351" s="85" t="n"/>
      <c r="M351" s="85" t="n">
        <v>0</v>
      </c>
      <c r="N351" s="85" t="n">
        <v>0</v>
      </c>
      <c r="O351" s="85" t="n"/>
      <c r="P351" s="85" t="n"/>
      <c r="Q351" s="85" t="n"/>
      <c r="R351" s="85" t="inlineStr">
        <is>
          <t>https://github.com/DLu/oscar_data</t>
        </is>
      </c>
    </row>
    <row r="352" ht="15.75" customHeight="1" s="108">
      <c r="A352" s="83" t="inlineStr">
        <is>
          <t>F0348</t>
        </is>
      </c>
      <c r="B352" s="83" t="inlineStr">
        <is>
          <t>Yogi Bear</t>
        </is>
      </c>
      <c r="C352" s="83" t="inlineStr">
        <is>
          <t>2010</t>
        </is>
      </c>
      <c r="D352" s="83" t="n">
        <v>0</v>
      </c>
      <c r="E352" s="83" t="n">
        <v>0</v>
      </c>
      <c r="F352" s="84" t="n"/>
      <c r="G352" s="83" t="n">
        <v>0</v>
      </c>
      <c r="H352" s="83" t="n">
        <v>0</v>
      </c>
      <c r="I352" s="85" t="n"/>
      <c r="J352" s="85" t="n">
        <v>0</v>
      </c>
      <c r="K352" s="85" t="n">
        <v>0</v>
      </c>
      <c r="L352" s="85" t="n"/>
      <c r="M352" s="85" t="n">
        <v>0</v>
      </c>
      <c r="N352" s="85" t="n">
        <v>0</v>
      </c>
      <c r="O352" s="85" t="n"/>
      <c r="P352" s="85" t="n"/>
      <c r="Q352" s="85" t="n"/>
      <c r="R352" s="85" t="inlineStr">
        <is>
          <t>https://github.com/DLu/oscar_data</t>
        </is>
      </c>
    </row>
    <row r="353" ht="30" customHeight="1" s="108">
      <c r="A353" s="83" t="inlineStr">
        <is>
          <t>F0349</t>
        </is>
      </c>
      <c r="B353" s="83" t="inlineStr">
        <is>
          <t>Zero Dark Thirty</t>
        </is>
      </c>
      <c r="C353" s="83" t="inlineStr">
        <is>
          <t>2012</t>
        </is>
      </c>
      <c r="D353" s="83" t="n">
        <v>5</v>
      </c>
      <c r="E353" s="83" t="n">
        <v>1</v>
      </c>
      <c r="F353" s="83" t="inlineStr">
        <is>
          <t>Nominated</t>
        </is>
      </c>
      <c r="G353" s="83" t="n">
        <v>1</v>
      </c>
      <c r="H353" s="83" t="n">
        <v>0</v>
      </c>
      <c r="I353" s="85" t="n"/>
      <c r="J353" s="85" t="n">
        <v>0</v>
      </c>
      <c r="K353" s="85" t="n">
        <v>0</v>
      </c>
      <c r="L353" s="85" t="n"/>
      <c r="M353" s="85" t="n">
        <v>1</v>
      </c>
      <c r="N353" s="85" t="n">
        <v>0</v>
      </c>
      <c r="O353" s="85" t="n"/>
      <c r="P353" s="85" t="inlineStr">
        <is>
          <t>SOUND EDITING</t>
        </is>
      </c>
      <c r="Q353" s="85" t="inlineStr">
        <is>
          <t>ACTRESS IN A LEADING ROLE; FILM EDITING; BEST PICTURE; SOUND EDITING; WRITING (Original Screenplay)</t>
        </is>
      </c>
      <c r="R353" s="85" t="inlineStr">
        <is>
          <t>https://github.com/DLu/oscar_data</t>
        </is>
      </c>
    </row>
    <row r="354" ht="15.75" customHeight="1" s="108">
      <c r="A354" s="100" t="inlineStr">
        <is>
          <t>F0350</t>
        </is>
      </c>
      <c r="B354" s="100" t="inlineStr">
        <is>
          <t>Zodiac</t>
        </is>
      </c>
      <c r="C354" s="100" t="inlineStr">
        <is>
          <t>2007</t>
        </is>
      </c>
      <c r="D354" s="100" t="n">
        <v>0</v>
      </c>
      <c r="E354" s="100" t="n">
        <v>0</v>
      </c>
      <c r="F354" s="100" t="n"/>
      <c r="G354" s="100" t="n">
        <v>0</v>
      </c>
      <c r="H354" s="100" t="n">
        <v>0</v>
      </c>
      <c r="I354" s="101" t="n"/>
      <c r="J354" s="101" t="n">
        <v>0</v>
      </c>
      <c r="K354" s="101" t="n">
        <v>0</v>
      </c>
      <c r="L354" s="101" t="n"/>
      <c r="M354" s="101" t="n">
        <v>0</v>
      </c>
      <c r="N354" s="101" t="n">
        <v>0</v>
      </c>
      <c r="O354" s="101" t="n"/>
      <c r="P354" s="101" t="n"/>
      <c r="Q354" s="101" t="n"/>
      <c r="R354" s="101" t="inlineStr">
        <is>
          <t>https://github.com/DLu/oscar_data</t>
        </is>
      </c>
    </row>
    <row r="355" ht="15.75" customHeight="1" s="108">
      <c r="A355" s="4" t="n"/>
      <c r="B355" s="4" t="n"/>
      <c r="C355" s="4" t="n"/>
      <c r="D355" s="4" t="n"/>
      <c r="E355" s="4" t="n"/>
      <c r="F355" s="4" t="n"/>
      <c r="G355" s="4" t="n"/>
      <c r="H355" s="4" t="n"/>
      <c r="I355" s="4" t="n"/>
      <c r="J355" s="4" t="n"/>
      <c r="K355" s="4" t="n"/>
      <c r="L355" s="4" t="n"/>
      <c r="M355" s="4" t="n"/>
      <c r="N355" s="4" t="n"/>
      <c r="O355" s="4" t="n"/>
      <c r="P355" s="4" t="n"/>
      <c r="Q355" s="4" t="n"/>
      <c r="R355" s="4" t="n"/>
    </row>
    <row r="356" ht="15.75" customHeight="1" s="108">
      <c r="A356" s="4" t="n"/>
      <c r="B356" s="4" t="n"/>
      <c r="C356" s="4" t="n"/>
      <c r="D356" s="4" t="n"/>
      <c r="E356" s="4" t="n"/>
      <c r="F356" s="4" t="n"/>
      <c r="G356" s="4" t="n"/>
      <c r="H356" s="4" t="n"/>
      <c r="I356" s="4" t="n"/>
      <c r="J356" s="4" t="n"/>
      <c r="K356" s="4" t="n"/>
      <c r="L356" s="4" t="n"/>
      <c r="M356" s="4" t="n"/>
      <c r="N356" s="4" t="n"/>
      <c r="O356" s="4" t="n"/>
      <c r="P356" s="4" t="n"/>
      <c r="Q356" s="4" t="n"/>
      <c r="R356" s="4" t="n"/>
    </row>
    <row r="357" ht="15.75" customHeight="1" s="108">
      <c r="A357" s="4" t="n"/>
      <c r="B357" s="4" t="n"/>
      <c r="C357" s="4" t="n"/>
      <c r="D357" s="4" t="n"/>
      <c r="E357" s="4" t="n"/>
      <c r="F357" s="4" t="n"/>
      <c r="G357" s="4" t="n"/>
      <c r="H357" s="4" t="n"/>
      <c r="I357" s="4" t="n"/>
      <c r="J357" s="4" t="n"/>
      <c r="K357" s="4" t="n"/>
      <c r="L357" s="4" t="n"/>
      <c r="M357" s="4" t="n"/>
      <c r="N357" s="4" t="n"/>
      <c r="O357" s="4" t="n"/>
      <c r="P357" s="4" t="n"/>
      <c r="Q357" s="4" t="n"/>
      <c r="R357" s="4" t="n"/>
    </row>
    <row r="358" ht="15.75" customHeight="1" s="108">
      <c r="A358" s="4" t="n"/>
      <c r="B358" s="4" t="n"/>
      <c r="C358" s="4" t="n"/>
      <c r="D358" s="4" t="n"/>
      <c r="E358" s="4" t="n"/>
      <c r="F358" s="4" t="n"/>
      <c r="G358" s="4" t="n"/>
      <c r="H358" s="4" t="n"/>
      <c r="I358" s="4" t="n"/>
      <c r="J358" s="4" t="n"/>
      <c r="K358" s="4" t="n"/>
      <c r="L358" s="4" t="n"/>
      <c r="M358" s="4" t="n"/>
      <c r="N358" s="4" t="n"/>
      <c r="O358" s="4" t="n"/>
      <c r="P358" s="4" t="n"/>
      <c r="Q358" s="4" t="n"/>
      <c r="R358" s="4" t="n"/>
    </row>
    <row r="359" ht="15.75" customHeight="1" s="108">
      <c r="A359" s="4" t="n"/>
      <c r="B359" s="4" t="n"/>
      <c r="C359" s="4" t="n"/>
      <c r="D359" s="4" t="n"/>
      <c r="E359" s="4" t="n"/>
      <c r="F359" s="4" t="n"/>
      <c r="G359" s="4" t="n"/>
      <c r="H359" s="4" t="n"/>
      <c r="I359" s="4" t="n"/>
      <c r="J359" s="4" t="n"/>
      <c r="K359" s="4" t="n"/>
      <c r="L359" s="4" t="n"/>
      <c r="M359" s="4" t="n"/>
      <c r="N359" s="4" t="n"/>
      <c r="O359" s="4" t="n"/>
      <c r="P359" s="4" t="n"/>
      <c r="Q359" s="4" t="n"/>
      <c r="R359" s="4" t="n"/>
    </row>
    <row r="360" ht="15.75" customHeight="1" s="108">
      <c r="A360" s="4" t="n"/>
      <c r="B360" s="4" t="n"/>
      <c r="C360" s="4" t="n"/>
      <c r="D360" s="4" t="n"/>
      <c r="E360" s="4" t="n"/>
      <c r="F360" s="4" t="n"/>
      <c r="G360" s="4" t="n"/>
      <c r="H360" s="4" t="n"/>
      <c r="I360" s="4" t="n"/>
      <c r="J360" s="4" t="n"/>
      <c r="K360" s="4" t="n"/>
      <c r="L360" s="4" t="n"/>
      <c r="M360" s="4" t="n"/>
      <c r="N360" s="4" t="n"/>
      <c r="O360" s="4" t="n"/>
      <c r="P360" s="4" t="n"/>
      <c r="Q360" s="4" t="n"/>
      <c r="R360" s="4" t="n"/>
    </row>
    <row r="361" ht="15.75" customHeight="1" s="108">
      <c r="A361" s="4" t="n"/>
      <c r="B361" s="4" t="n"/>
      <c r="C361" s="4" t="n"/>
      <c r="D361" s="4" t="n"/>
      <c r="E361" s="4" t="n"/>
      <c r="F361" s="4" t="n"/>
      <c r="G361" s="4" t="n"/>
      <c r="H361" s="4" t="n"/>
      <c r="I361" s="4" t="n"/>
      <c r="J361" s="4" t="n"/>
      <c r="K361" s="4" t="n"/>
      <c r="L361" s="4" t="n"/>
      <c r="M361" s="4" t="n"/>
      <c r="N361" s="4" t="n"/>
      <c r="O361" s="4" t="n"/>
      <c r="P361" s="4" t="n"/>
      <c r="Q361" s="4" t="n"/>
      <c r="R361" s="4" t="n"/>
    </row>
    <row r="362" ht="15.75" customHeight="1" s="108">
      <c r="A362" s="4" t="n"/>
      <c r="B362" s="4" t="n"/>
      <c r="C362" s="4" t="n"/>
      <c r="D362" s="4" t="n"/>
      <c r="E362" s="4" t="n"/>
      <c r="F362" s="4" t="n"/>
      <c r="G362" s="4" t="n"/>
      <c r="H362" s="4" t="n"/>
      <c r="I362" s="4" t="n"/>
      <c r="J362" s="4" t="n"/>
      <c r="K362" s="4" t="n"/>
      <c r="L362" s="4" t="n"/>
      <c r="M362" s="4" t="n"/>
      <c r="N362" s="4" t="n"/>
      <c r="O362" s="4" t="n"/>
      <c r="P362" s="4" t="n"/>
      <c r="Q362" s="4" t="n"/>
      <c r="R362" s="4" t="n"/>
    </row>
    <row r="363" ht="15.75" customHeight="1" s="108">
      <c r="A363" s="4" t="n"/>
      <c r="B363" s="4" t="n"/>
      <c r="C363" s="4" t="n"/>
      <c r="D363" s="4" t="n"/>
      <c r="E363" s="4" t="n"/>
      <c r="F363" s="4" t="n"/>
      <c r="G363" s="4" t="n"/>
      <c r="H363" s="4" t="n"/>
      <c r="I363" s="4" t="n"/>
      <c r="J363" s="4" t="n"/>
      <c r="K363" s="4" t="n"/>
      <c r="L363" s="4" t="n"/>
      <c r="M363" s="4" t="n"/>
      <c r="N363" s="4" t="n"/>
      <c r="O363" s="4" t="n"/>
      <c r="P363" s="4" t="n"/>
      <c r="Q363" s="4" t="n"/>
      <c r="R363" s="4" t="n"/>
    </row>
    <row r="364" ht="15.75" customHeight="1" s="108">
      <c r="A364" s="4" t="n"/>
      <c r="B364" s="4" t="n"/>
      <c r="C364" s="4" t="n"/>
      <c r="D364" s="4" t="n"/>
      <c r="E364" s="4" t="n"/>
      <c r="F364" s="4" t="n"/>
      <c r="G364" s="4" t="n"/>
      <c r="H364" s="4" t="n"/>
      <c r="I364" s="4" t="n"/>
      <c r="J364" s="4" t="n"/>
      <c r="K364" s="4" t="n"/>
      <c r="L364" s="4" t="n"/>
      <c r="M364" s="4" t="n"/>
      <c r="N364" s="4" t="n"/>
      <c r="O364" s="4" t="n"/>
      <c r="P364" s="4" t="n"/>
      <c r="Q364" s="4" t="n"/>
      <c r="R364" s="4" t="n"/>
    </row>
    <row r="365" ht="15.75" customHeight="1" s="108">
      <c r="A365" s="4" t="n"/>
      <c r="B365" s="4" t="n"/>
      <c r="C365" s="4" t="n"/>
      <c r="D365" s="4" t="n"/>
      <c r="E365" s="4" t="n"/>
      <c r="F365" s="4" t="n"/>
      <c r="G365" s="4" t="n"/>
      <c r="H365" s="4" t="n"/>
      <c r="I365" s="4" t="n"/>
      <c r="J365" s="4" t="n"/>
      <c r="K365" s="4" t="n"/>
      <c r="L365" s="4" t="n"/>
      <c r="M365" s="4" t="n"/>
      <c r="N365" s="4" t="n"/>
      <c r="O365" s="4" t="n"/>
      <c r="P365" s="4" t="n"/>
      <c r="Q365" s="4" t="n"/>
      <c r="R365" s="4" t="n"/>
    </row>
    <row r="366" ht="15.75" customHeight="1" s="108">
      <c r="A366" s="4" t="n"/>
      <c r="B366" s="4" t="n"/>
      <c r="C366" s="4" t="n"/>
      <c r="D366" s="4" t="n"/>
      <c r="E366" s="4" t="n"/>
      <c r="F366" s="4" t="n"/>
      <c r="G366" s="4" t="n"/>
      <c r="H366" s="4" t="n"/>
      <c r="I366" s="4" t="n"/>
      <c r="J366" s="4" t="n"/>
      <c r="K366" s="4" t="n"/>
      <c r="L366" s="4" t="n"/>
      <c r="M366" s="4" t="n"/>
      <c r="N366" s="4" t="n"/>
      <c r="O366" s="4" t="n"/>
      <c r="P366" s="4" t="n"/>
      <c r="Q366" s="4" t="n"/>
      <c r="R366" s="4" t="n"/>
    </row>
    <row r="367" ht="15.75" customHeight="1" s="108">
      <c r="A367" s="4" t="n"/>
      <c r="B367" s="4" t="n"/>
      <c r="C367" s="4" t="n"/>
      <c r="D367" s="4" t="n"/>
      <c r="E367" s="4" t="n"/>
      <c r="F367" s="4" t="n"/>
      <c r="G367" s="4" t="n"/>
      <c r="H367" s="4" t="n"/>
      <c r="I367" s="4" t="n"/>
      <c r="J367" s="4" t="n"/>
      <c r="K367" s="4" t="n"/>
      <c r="L367" s="4" t="n"/>
      <c r="M367" s="4" t="n"/>
      <c r="N367" s="4" t="n"/>
      <c r="O367" s="4" t="n"/>
      <c r="P367" s="4" t="n"/>
      <c r="Q367" s="4" t="n"/>
      <c r="R367" s="4" t="n"/>
    </row>
    <row r="368" ht="15.75" customHeight="1" s="108">
      <c r="A368" s="4" t="n"/>
      <c r="B368" s="4" t="n"/>
      <c r="C368" s="4" t="n"/>
      <c r="D368" s="4" t="n"/>
      <c r="E368" s="4" t="n"/>
      <c r="F368" s="4" t="n"/>
      <c r="G368" s="4" t="n"/>
      <c r="H368" s="4" t="n"/>
      <c r="I368" s="4" t="n"/>
      <c r="J368" s="4" t="n"/>
      <c r="K368" s="4" t="n"/>
      <c r="L368" s="4" t="n"/>
      <c r="M368" s="4" t="n"/>
      <c r="N368" s="4" t="n"/>
      <c r="O368" s="4" t="n"/>
      <c r="P368" s="4" t="n"/>
      <c r="Q368" s="4" t="n"/>
      <c r="R368" s="4" t="n"/>
    </row>
    <row r="369" ht="15.75" customHeight="1" s="108">
      <c r="A369" s="4" t="n"/>
      <c r="B369" s="4" t="n"/>
      <c r="C369" s="4" t="n"/>
      <c r="D369" s="4" t="n"/>
      <c r="E369" s="4" t="n"/>
      <c r="F369" s="4" t="n"/>
      <c r="G369" s="4" t="n"/>
      <c r="H369" s="4" t="n"/>
      <c r="I369" s="4" t="n"/>
      <c r="J369" s="4" t="n"/>
      <c r="K369" s="4" t="n"/>
      <c r="L369" s="4" t="n"/>
      <c r="M369" s="4" t="n"/>
      <c r="N369" s="4" t="n"/>
      <c r="O369" s="4" t="n"/>
      <c r="P369" s="4" t="n"/>
      <c r="Q369" s="4" t="n"/>
      <c r="R369" s="4" t="n"/>
    </row>
    <row r="370" ht="15.75" customHeight="1" s="108">
      <c r="A370" s="4" t="n"/>
      <c r="B370" s="4" t="n"/>
      <c r="C370" s="4" t="n"/>
      <c r="D370" s="4" t="n"/>
      <c r="E370" s="4" t="n"/>
      <c r="F370" s="4" t="n"/>
      <c r="G370" s="4" t="n"/>
      <c r="H370" s="4" t="n"/>
      <c r="I370" s="4" t="n"/>
      <c r="J370" s="4" t="n"/>
      <c r="K370" s="4" t="n"/>
      <c r="L370" s="4" t="n"/>
      <c r="M370" s="4" t="n"/>
      <c r="N370" s="4" t="n"/>
      <c r="O370" s="4" t="n"/>
      <c r="P370" s="4" t="n"/>
      <c r="Q370" s="4" t="n"/>
      <c r="R370" s="4" t="n"/>
    </row>
    <row r="371" ht="15.75" customHeight="1" s="108">
      <c r="A371" s="4" t="n"/>
      <c r="B371" s="4" t="n"/>
      <c r="C371" s="4" t="n"/>
      <c r="D371" s="4" t="n"/>
      <c r="E371" s="4" t="n"/>
      <c r="F371" s="4" t="n"/>
      <c r="G371" s="4" t="n"/>
      <c r="H371" s="4" t="n"/>
      <c r="I371" s="4" t="n"/>
      <c r="J371" s="4" t="n"/>
      <c r="K371" s="4" t="n"/>
      <c r="L371" s="4" t="n"/>
      <c r="M371" s="4" t="n"/>
      <c r="N371" s="4" t="n"/>
      <c r="O371" s="4" t="n"/>
      <c r="P371" s="4" t="n"/>
      <c r="Q371" s="4" t="n"/>
      <c r="R371" s="4" t="n"/>
    </row>
    <row r="372" ht="15.75" customHeight="1" s="108">
      <c r="A372" s="4" t="n"/>
      <c r="B372" s="4" t="n"/>
      <c r="C372" s="4" t="n"/>
      <c r="D372" s="4" t="n"/>
      <c r="E372" s="4" t="n"/>
      <c r="F372" s="4" t="n"/>
      <c r="G372" s="4" t="n"/>
      <c r="H372" s="4" t="n"/>
      <c r="I372" s="4" t="n"/>
      <c r="J372" s="4" t="n"/>
      <c r="K372" s="4" t="n"/>
      <c r="L372" s="4" t="n"/>
      <c r="M372" s="4" t="n"/>
      <c r="N372" s="4" t="n"/>
      <c r="O372" s="4" t="n"/>
      <c r="P372" s="4" t="n"/>
      <c r="Q372" s="4" t="n"/>
      <c r="R372" s="4" t="n"/>
    </row>
    <row r="373" ht="15.75" customHeight="1" s="108">
      <c r="A373" s="4" t="n"/>
      <c r="B373" s="4" t="n"/>
      <c r="C373" s="4" t="n"/>
      <c r="D373" s="4" t="n"/>
      <c r="E373" s="4" t="n"/>
      <c r="F373" s="4" t="n"/>
      <c r="G373" s="4" t="n"/>
      <c r="H373" s="4" t="n"/>
      <c r="I373" s="4" t="n"/>
      <c r="J373" s="4" t="n"/>
      <c r="K373" s="4" t="n"/>
      <c r="L373" s="4" t="n"/>
      <c r="M373" s="4" t="n"/>
      <c r="N373" s="4" t="n"/>
      <c r="O373" s="4" t="n"/>
      <c r="P373" s="4" t="n"/>
      <c r="Q373" s="4" t="n"/>
      <c r="R373" s="4" t="n"/>
    </row>
    <row r="374" ht="15.75" customHeight="1" s="108">
      <c r="A374" s="4" t="n"/>
      <c r="B374" s="4" t="n"/>
      <c r="C374" s="4" t="n"/>
      <c r="D374" s="4" t="n"/>
      <c r="E374" s="4" t="n"/>
      <c r="F374" s="4" t="n"/>
      <c r="G374" s="4" t="n"/>
      <c r="H374" s="4" t="n"/>
      <c r="I374" s="4" t="n"/>
      <c r="J374" s="4" t="n"/>
      <c r="K374" s="4" t="n"/>
      <c r="L374" s="4" t="n"/>
      <c r="M374" s="4" t="n"/>
      <c r="N374" s="4" t="n"/>
      <c r="O374" s="4" t="n"/>
      <c r="P374" s="4" t="n"/>
      <c r="Q374" s="4" t="n"/>
      <c r="R374" s="4" t="n"/>
    </row>
    <row r="375" ht="15.75" customHeight="1" s="108">
      <c r="A375" s="4" t="n"/>
      <c r="B375" s="4" t="n"/>
      <c r="C375" s="4" t="n"/>
      <c r="D375" s="4" t="n"/>
      <c r="E375" s="4" t="n"/>
      <c r="F375" s="4" t="n"/>
      <c r="G375" s="4" t="n"/>
      <c r="H375" s="4" t="n"/>
      <c r="I375" s="4" t="n"/>
      <c r="J375" s="4" t="n"/>
      <c r="K375" s="4" t="n"/>
      <c r="L375" s="4" t="n"/>
      <c r="M375" s="4" t="n"/>
      <c r="N375" s="4" t="n"/>
      <c r="O375" s="4" t="n"/>
      <c r="P375" s="4" t="n"/>
      <c r="Q375" s="4" t="n"/>
      <c r="R375" s="4" t="n"/>
    </row>
    <row r="376" ht="15.75" customHeight="1" s="108">
      <c r="A376" s="4" t="n"/>
      <c r="B376" s="4" t="n"/>
      <c r="C376" s="4" t="n"/>
      <c r="D376" s="4" t="n"/>
      <c r="E376" s="4" t="n"/>
      <c r="F376" s="4" t="n"/>
      <c r="G376" s="4" t="n"/>
      <c r="H376" s="4" t="n"/>
      <c r="I376" s="4" t="n"/>
      <c r="J376" s="4" t="n"/>
      <c r="K376" s="4" t="n"/>
      <c r="L376" s="4" t="n"/>
      <c r="M376" s="4" t="n"/>
      <c r="N376" s="4" t="n"/>
      <c r="O376" s="4" t="n"/>
      <c r="P376" s="4" t="n"/>
      <c r="Q376" s="4" t="n"/>
      <c r="R376" s="4" t="n"/>
    </row>
    <row r="377" ht="15.75" customHeight="1" s="108">
      <c r="A377" s="4" t="n"/>
      <c r="B377" s="4" t="n"/>
      <c r="C377" s="4" t="n"/>
      <c r="D377" s="4" t="n"/>
      <c r="E377" s="4" t="n"/>
      <c r="F377" s="4" t="n"/>
      <c r="G377" s="4" t="n"/>
      <c r="H377" s="4" t="n"/>
      <c r="I377" s="4" t="n"/>
      <c r="J377" s="4" t="n"/>
      <c r="K377" s="4" t="n"/>
      <c r="L377" s="4" t="n"/>
      <c r="M377" s="4" t="n"/>
      <c r="N377" s="4" t="n"/>
      <c r="O377" s="4" t="n"/>
      <c r="P377" s="4" t="n"/>
      <c r="Q377" s="4" t="n"/>
      <c r="R377" s="4" t="n"/>
    </row>
    <row r="378" ht="15.75" customHeight="1" s="108">
      <c r="A378" s="4" t="n"/>
      <c r="B378" s="4" t="n"/>
      <c r="C378" s="4" t="n"/>
      <c r="D378" s="4" t="n"/>
      <c r="E378" s="4" t="n"/>
      <c r="F378" s="4" t="n"/>
      <c r="G378" s="4" t="n"/>
      <c r="H378" s="4" t="n"/>
      <c r="I378" s="4" t="n"/>
      <c r="J378" s="4" t="n"/>
      <c r="K378" s="4" t="n"/>
      <c r="L378" s="4" t="n"/>
      <c r="M378" s="4" t="n"/>
      <c r="N378" s="4" t="n"/>
      <c r="O378" s="4" t="n"/>
      <c r="P378" s="4" t="n"/>
      <c r="Q378" s="4" t="n"/>
      <c r="R378" s="4" t="n"/>
    </row>
    <row r="379" ht="15.75" customHeight="1" s="108">
      <c r="A379" s="4" t="n"/>
      <c r="B379" s="4" t="n"/>
      <c r="C379" s="4" t="n"/>
      <c r="D379" s="4" t="n"/>
      <c r="E379" s="4" t="n"/>
      <c r="F379" s="4" t="n"/>
      <c r="G379" s="4" t="n"/>
      <c r="H379" s="4" t="n"/>
      <c r="I379" s="4" t="n"/>
      <c r="J379" s="4" t="n"/>
      <c r="K379" s="4" t="n"/>
      <c r="L379" s="4" t="n"/>
      <c r="M379" s="4" t="n"/>
      <c r="N379" s="4" t="n"/>
      <c r="O379" s="4" t="n"/>
      <c r="P379" s="4" t="n"/>
      <c r="Q379" s="4" t="n"/>
      <c r="R379" s="4" t="n"/>
    </row>
    <row r="380" ht="15.75" customHeight="1" s="108">
      <c r="A380" s="4" t="n"/>
      <c r="B380" s="4" t="n"/>
      <c r="C380" s="4" t="n"/>
      <c r="D380" s="4" t="n"/>
      <c r="E380" s="4" t="n"/>
      <c r="F380" s="4" t="n"/>
      <c r="G380" s="4" t="n"/>
      <c r="H380" s="4" t="n"/>
      <c r="I380" s="4" t="n"/>
      <c r="J380" s="4" t="n"/>
      <c r="K380" s="4" t="n"/>
      <c r="L380" s="4" t="n"/>
      <c r="M380" s="4" t="n"/>
      <c r="N380" s="4" t="n"/>
      <c r="O380" s="4" t="n"/>
      <c r="P380" s="4" t="n"/>
      <c r="Q380" s="4" t="n"/>
      <c r="R380" s="4" t="n"/>
    </row>
    <row r="381" ht="15.75" customHeight="1" s="108">
      <c r="A381" s="4" t="n"/>
      <c r="B381" s="4" t="n"/>
      <c r="C381" s="4" t="n"/>
      <c r="D381" s="4" t="n"/>
      <c r="E381" s="4" t="n"/>
      <c r="F381" s="4" t="n"/>
      <c r="G381" s="4" t="n"/>
      <c r="H381" s="4" t="n"/>
      <c r="I381" s="4" t="n"/>
      <c r="J381" s="4" t="n"/>
      <c r="K381" s="4" t="n"/>
      <c r="L381" s="4" t="n"/>
      <c r="M381" s="4" t="n"/>
      <c r="N381" s="4" t="n"/>
      <c r="O381" s="4" t="n"/>
      <c r="P381" s="4" t="n"/>
      <c r="Q381" s="4" t="n"/>
      <c r="R381" s="4" t="n"/>
    </row>
    <row r="382" ht="15.75" customHeight="1" s="108">
      <c r="A382" s="4" t="n"/>
      <c r="B382" s="4" t="n"/>
      <c r="C382" s="4" t="n"/>
      <c r="D382" s="4" t="n"/>
      <c r="E382" s="4" t="n"/>
      <c r="F382" s="4" t="n"/>
      <c r="G382" s="4" t="n"/>
      <c r="H382" s="4" t="n"/>
      <c r="I382" s="4" t="n"/>
      <c r="J382" s="4" t="n"/>
      <c r="K382" s="4" t="n"/>
      <c r="L382" s="4" t="n"/>
      <c r="M382" s="4" t="n"/>
      <c r="N382" s="4" t="n"/>
      <c r="O382" s="4" t="n"/>
      <c r="P382" s="4" t="n"/>
      <c r="Q382" s="4" t="n"/>
      <c r="R382" s="4" t="n"/>
    </row>
    <row r="383" ht="15.75" customHeight="1" s="108">
      <c r="A383" s="4" t="n"/>
      <c r="B383" s="4" t="n"/>
      <c r="C383" s="4" t="n"/>
      <c r="D383" s="4" t="n"/>
      <c r="E383" s="4" t="n"/>
      <c r="F383" s="4" t="n"/>
      <c r="G383" s="4" t="n"/>
      <c r="H383" s="4" t="n"/>
      <c r="I383" s="4" t="n"/>
      <c r="J383" s="4" t="n"/>
      <c r="K383" s="4" t="n"/>
      <c r="L383" s="4" t="n"/>
      <c r="M383" s="4" t="n"/>
      <c r="N383" s="4" t="n"/>
      <c r="O383" s="4" t="n"/>
      <c r="P383" s="4" t="n"/>
      <c r="Q383" s="4" t="n"/>
      <c r="R383" s="4" t="n"/>
    </row>
    <row r="384" ht="15.75" customHeight="1" s="108">
      <c r="A384" s="4" t="n"/>
      <c r="B384" s="4" t="n"/>
      <c r="C384" s="4" t="n"/>
      <c r="D384" s="4" t="n"/>
      <c r="E384" s="4" t="n"/>
      <c r="F384" s="4" t="n"/>
      <c r="G384" s="4" t="n"/>
      <c r="H384" s="4" t="n"/>
      <c r="I384" s="4" t="n"/>
      <c r="J384" s="4" t="n"/>
      <c r="K384" s="4" t="n"/>
      <c r="L384" s="4" t="n"/>
      <c r="M384" s="4" t="n"/>
      <c r="N384" s="4" t="n"/>
      <c r="O384" s="4" t="n"/>
      <c r="P384" s="4" t="n"/>
      <c r="Q384" s="4" t="n"/>
      <c r="R384" s="4" t="n"/>
    </row>
    <row r="385" ht="15.75" customHeight="1" s="108">
      <c r="A385" s="4" t="n"/>
      <c r="B385" s="4" t="n"/>
      <c r="C385" s="4" t="n"/>
      <c r="D385" s="4" t="n"/>
      <c r="E385" s="4" t="n"/>
      <c r="F385" s="4" t="n"/>
      <c r="G385" s="4" t="n"/>
      <c r="H385" s="4" t="n"/>
      <c r="I385" s="4" t="n"/>
      <c r="J385" s="4" t="n"/>
      <c r="K385" s="4" t="n"/>
      <c r="L385" s="4" t="n"/>
      <c r="M385" s="4" t="n"/>
      <c r="N385" s="4" t="n"/>
      <c r="O385" s="4" t="n"/>
      <c r="P385" s="4" t="n"/>
      <c r="Q385" s="4" t="n"/>
      <c r="R385" s="4" t="n"/>
    </row>
    <row r="386" ht="15.75" customHeight="1" s="108">
      <c r="A386" s="4" t="n"/>
      <c r="B386" s="4" t="n"/>
      <c r="C386" s="4" t="n"/>
      <c r="D386" s="4" t="n"/>
      <c r="E386" s="4" t="n"/>
      <c r="F386" s="4" t="n"/>
      <c r="G386" s="4" t="n"/>
      <c r="H386" s="4" t="n"/>
      <c r="I386" s="4" t="n"/>
      <c r="J386" s="4" t="n"/>
      <c r="K386" s="4" t="n"/>
      <c r="L386" s="4" t="n"/>
      <c r="M386" s="4" t="n"/>
      <c r="N386" s="4" t="n"/>
      <c r="O386" s="4" t="n"/>
      <c r="P386" s="4" t="n"/>
      <c r="Q386" s="4" t="n"/>
      <c r="R386" s="4" t="n"/>
    </row>
    <row r="387" ht="15.75" customHeight="1" s="108">
      <c r="A387" s="4" t="n"/>
      <c r="B387" s="4" t="n"/>
      <c r="C387" s="4" t="n"/>
      <c r="D387" s="4" t="n"/>
      <c r="E387" s="4" t="n"/>
      <c r="F387" s="4" t="n"/>
      <c r="G387" s="4" t="n"/>
      <c r="H387" s="4" t="n"/>
      <c r="I387" s="4" t="n"/>
      <c r="J387" s="4" t="n"/>
      <c r="K387" s="4" t="n"/>
      <c r="L387" s="4" t="n"/>
      <c r="M387" s="4" t="n"/>
      <c r="N387" s="4" t="n"/>
      <c r="O387" s="4" t="n"/>
      <c r="P387" s="4" t="n"/>
      <c r="Q387" s="4" t="n"/>
      <c r="R387" s="4" t="n"/>
    </row>
    <row r="388" ht="15.75" customHeight="1" s="108">
      <c r="A388" s="4" t="n"/>
      <c r="B388" s="4" t="n"/>
      <c r="C388" s="4" t="n"/>
      <c r="D388" s="4" t="n"/>
      <c r="E388" s="4" t="n"/>
      <c r="F388" s="4" t="n"/>
      <c r="G388" s="4" t="n"/>
      <c r="H388" s="4" t="n"/>
      <c r="I388" s="4" t="n"/>
      <c r="J388" s="4" t="n"/>
      <c r="K388" s="4" t="n"/>
      <c r="L388" s="4" t="n"/>
      <c r="M388" s="4" t="n"/>
      <c r="N388" s="4" t="n"/>
      <c r="O388" s="4" t="n"/>
      <c r="P388" s="4" t="n"/>
      <c r="Q388" s="4" t="n"/>
      <c r="R388" s="4" t="n"/>
    </row>
    <row r="389" ht="15.75" customHeight="1" s="108">
      <c r="A389" s="4" t="n"/>
      <c r="B389" s="4" t="n"/>
      <c r="C389" s="4" t="n"/>
      <c r="D389" s="4" t="n"/>
      <c r="E389" s="4" t="n"/>
      <c r="F389" s="4" t="n"/>
      <c r="G389" s="4" t="n"/>
      <c r="H389" s="4" t="n"/>
      <c r="I389" s="4" t="n"/>
      <c r="J389" s="4" t="n"/>
      <c r="K389" s="4" t="n"/>
      <c r="L389" s="4" t="n"/>
      <c r="M389" s="4" t="n"/>
      <c r="N389" s="4" t="n"/>
      <c r="O389" s="4" t="n"/>
      <c r="P389" s="4" t="n"/>
      <c r="Q389" s="4" t="n"/>
      <c r="R389" s="4" t="n"/>
    </row>
    <row r="390" ht="15.75" customHeight="1" s="108">
      <c r="A390" s="4" t="n"/>
      <c r="B390" s="4" t="n"/>
      <c r="C390" s="4" t="n"/>
      <c r="D390" s="4" t="n"/>
      <c r="E390" s="4" t="n"/>
      <c r="F390" s="4" t="n"/>
      <c r="G390" s="4" t="n"/>
      <c r="H390" s="4" t="n"/>
      <c r="I390" s="4" t="n"/>
      <c r="J390" s="4" t="n"/>
      <c r="K390" s="4" t="n"/>
      <c r="L390" s="4" t="n"/>
      <c r="M390" s="4" t="n"/>
      <c r="N390" s="4" t="n"/>
      <c r="O390" s="4" t="n"/>
      <c r="P390" s="4" t="n"/>
      <c r="Q390" s="4" t="n"/>
      <c r="R390" s="4" t="n"/>
    </row>
    <row r="391" ht="15.75" customHeight="1" s="108">
      <c r="A391" s="4" t="n"/>
      <c r="B391" s="4" t="n"/>
      <c r="C391" s="4" t="n"/>
      <c r="D391" s="4" t="n"/>
      <c r="E391" s="4" t="n"/>
      <c r="F391" s="4" t="n"/>
      <c r="G391" s="4" t="n"/>
      <c r="H391" s="4" t="n"/>
      <c r="I391" s="4" t="n"/>
      <c r="J391" s="4" t="n"/>
      <c r="K391" s="4" t="n"/>
      <c r="L391" s="4" t="n"/>
      <c r="M391" s="4" t="n"/>
      <c r="N391" s="4" t="n"/>
      <c r="O391" s="4" t="n"/>
      <c r="P391" s="4" t="n"/>
      <c r="Q391" s="4" t="n"/>
      <c r="R391" s="4" t="n"/>
    </row>
    <row r="392" ht="15.75" customHeight="1" s="108">
      <c r="A392" s="4" t="n"/>
      <c r="B392" s="4" t="n"/>
      <c r="C392" s="4" t="n"/>
      <c r="D392" s="4" t="n"/>
      <c r="E392" s="4" t="n"/>
      <c r="F392" s="4" t="n"/>
      <c r="G392" s="4" t="n"/>
      <c r="H392" s="4" t="n"/>
      <c r="I392" s="4" t="n"/>
      <c r="J392" s="4" t="n"/>
      <c r="K392" s="4" t="n"/>
      <c r="L392" s="4" t="n"/>
      <c r="M392" s="4" t="n"/>
      <c r="N392" s="4" t="n"/>
      <c r="O392" s="4" t="n"/>
      <c r="P392" s="4" t="n"/>
      <c r="Q392" s="4" t="n"/>
      <c r="R392" s="4" t="n"/>
    </row>
    <row r="393" ht="15.75" customHeight="1" s="108">
      <c r="A393" s="4" t="n"/>
      <c r="B393" s="4" t="n"/>
      <c r="C393" s="4" t="n"/>
      <c r="D393" s="4" t="n"/>
      <c r="E393" s="4" t="n"/>
      <c r="F393" s="4" t="n"/>
      <c r="G393" s="4" t="n"/>
      <c r="H393" s="4" t="n"/>
      <c r="I393" s="4" t="n"/>
      <c r="J393" s="4" t="n"/>
      <c r="K393" s="4" t="n"/>
      <c r="L393" s="4" t="n"/>
      <c r="M393" s="4" t="n"/>
      <c r="N393" s="4" t="n"/>
      <c r="O393" s="4" t="n"/>
      <c r="P393" s="4" t="n"/>
      <c r="Q393" s="4" t="n"/>
      <c r="R393" s="4" t="n"/>
    </row>
    <row r="394" ht="15.75" customHeight="1" s="108">
      <c r="A394" s="4" t="n"/>
      <c r="B394" s="4" t="n"/>
      <c r="C394" s="4" t="n"/>
      <c r="D394" s="4" t="n"/>
      <c r="E394" s="4" t="n"/>
      <c r="F394" s="4" t="n"/>
      <c r="G394" s="4" t="n"/>
      <c r="H394" s="4" t="n"/>
      <c r="I394" s="4" t="n"/>
      <c r="J394" s="4" t="n"/>
      <c r="K394" s="4" t="n"/>
      <c r="L394" s="4" t="n"/>
      <c r="M394" s="4" t="n"/>
      <c r="N394" s="4" t="n"/>
      <c r="O394" s="4" t="n"/>
      <c r="P394" s="4" t="n"/>
      <c r="Q394" s="4" t="n"/>
      <c r="R394" s="4" t="n"/>
    </row>
    <row r="395" ht="15.75" customHeight="1" s="108">
      <c r="A395" s="4" t="n"/>
      <c r="B395" s="4" t="n"/>
      <c r="C395" s="4" t="n"/>
      <c r="D395" s="4" t="n"/>
      <c r="E395" s="4" t="n"/>
      <c r="F395" s="4" t="n"/>
      <c r="G395" s="4" t="n"/>
      <c r="H395" s="4" t="n"/>
      <c r="I395" s="4" t="n"/>
      <c r="J395" s="4" t="n"/>
      <c r="K395" s="4" t="n"/>
      <c r="L395" s="4" t="n"/>
      <c r="M395" s="4" t="n"/>
      <c r="N395" s="4" t="n"/>
      <c r="O395" s="4" t="n"/>
      <c r="P395" s="4" t="n"/>
      <c r="Q395" s="4" t="n"/>
      <c r="R395" s="4" t="n"/>
    </row>
    <row r="396" ht="15.75" customHeight="1" s="108">
      <c r="A396" s="4" t="n"/>
      <c r="B396" s="4" t="n"/>
      <c r="C396" s="4" t="n"/>
      <c r="D396" s="4" t="n"/>
      <c r="E396" s="4" t="n"/>
      <c r="F396" s="4" t="n"/>
      <c r="G396" s="4" t="n"/>
      <c r="H396" s="4" t="n"/>
      <c r="I396" s="4" t="n"/>
      <c r="J396" s="4" t="n"/>
      <c r="K396" s="4" t="n"/>
      <c r="L396" s="4" t="n"/>
      <c r="M396" s="4" t="n"/>
      <c r="N396" s="4" t="n"/>
      <c r="O396" s="4" t="n"/>
      <c r="P396" s="4" t="n"/>
      <c r="Q396" s="4" t="n"/>
      <c r="R396" s="4" t="n"/>
    </row>
    <row r="397" ht="15.75" customHeight="1" s="108">
      <c r="A397" s="4" t="n"/>
      <c r="B397" s="4" t="n"/>
      <c r="C397" s="4" t="n"/>
      <c r="D397" s="4" t="n"/>
      <c r="E397" s="4" t="n"/>
      <c r="F397" s="4" t="n"/>
      <c r="G397" s="4" t="n"/>
      <c r="H397" s="4" t="n"/>
      <c r="I397" s="4" t="n"/>
      <c r="J397" s="4" t="n"/>
      <c r="K397" s="4" t="n"/>
      <c r="L397" s="4" t="n"/>
      <c r="M397" s="4" t="n"/>
      <c r="N397" s="4" t="n"/>
      <c r="O397" s="4" t="n"/>
      <c r="P397" s="4" t="n"/>
      <c r="Q397" s="4" t="n"/>
      <c r="R397" s="4" t="n"/>
    </row>
    <row r="398" ht="15.75" customHeight="1" s="108">
      <c r="A398" s="4" t="n"/>
      <c r="B398" s="4" t="n"/>
      <c r="C398" s="4" t="n"/>
      <c r="D398" s="4" t="n"/>
      <c r="E398" s="4" t="n"/>
      <c r="F398" s="4" t="n"/>
      <c r="G398" s="4" t="n"/>
      <c r="H398" s="4" t="n"/>
      <c r="I398" s="4" t="n"/>
      <c r="J398" s="4" t="n"/>
      <c r="K398" s="4" t="n"/>
      <c r="L398" s="4" t="n"/>
      <c r="M398" s="4" t="n"/>
      <c r="N398" s="4" t="n"/>
      <c r="O398" s="4" t="n"/>
      <c r="P398" s="4" t="n"/>
      <c r="Q398" s="4" t="n"/>
      <c r="R398" s="4" t="n"/>
    </row>
    <row r="399" ht="15.75" customHeight="1" s="108">
      <c r="A399" s="4" t="n"/>
      <c r="B399" s="4" t="n"/>
      <c r="C399" s="4" t="n"/>
      <c r="D399" s="4" t="n"/>
      <c r="E399" s="4" t="n"/>
      <c r="F399" s="4" t="n"/>
      <c r="G399" s="4" t="n"/>
      <c r="H399" s="4" t="n"/>
      <c r="I399" s="4" t="n"/>
      <c r="J399" s="4" t="n"/>
      <c r="K399" s="4" t="n"/>
      <c r="L399" s="4" t="n"/>
      <c r="M399" s="4" t="n"/>
      <c r="N399" s="4" t="n"/>
      <c r="O399" s="4" t="n"/>
      <c r="P399" s="4" t="n"/>
      <c r="Q399" s="4" t="n"/>
      <c r="R399" s="4" t="n"/>
    </row>
    <row r="400" ht="15.75" customHeight="1" s="108">
      <c r="A400" s="4" t="n"/>
      <c r="B400" s="4" t="n"/>
      <c r="C400" s="4" t="n"/>
      <c r="D400" s="4" t="n"/>
      <c r="E400" s="4" t="n"/>
      <c r="F400" s="4" t="n"/>
      <c r="G400" s="4" t="n"/>
      <c r="H400" s="4" t="n"/>
      <c r="I400" s="4" t="n"/>
      <c r="J400" s="4" t="n"/>
      <c r="K400" s="4" t="n"/>
      <c r="L400" s="4" t="n"/>
      <c r="M400" s="4" t="n"/>
      <c r="N400" s="4" t="n"/>
      <c r="O400" s="4" t="n"/>
      <c r="P400" s="4" t="n"/>
      <c r="Q400" s="4" t="n"/>
      <c r="R400" s="4" t="n"/>
    </row>
    <row r="401" ht="15.75" customHeight="1" s="108">
      <c r="A401" s="4" t="n"/>
      <c r="B401" s="4" t="n"/>
      <c r="C401" s="4" t="n"/>
      <c r="D401" s="4" t="n"/>
      <c r="E401" s="4" t="n"/>
      <c r="F401" s="4" t="n"/>
      <c r="G401" s="4" t="n"/>
      <c r="H401" s="4" t="n"/>
      <c r="I401" s="4" t="n"/>
      <c r="J401" s="4" t="n"/>
      <c r="K401" s="4" t="n"/>
      <c r="L401" s="4" t="n"/>
      <c r="M401" s="4" t="n"/>
      <c r="N401" s="4" t="n"/>
      <c r="O401" s="4" t="n"/>
      <c r="P401" s="4" t="n"/>
      <c r="Q401" s="4" t="n"/>
      <c r="R401" s="4" t="n"/>
    </row>
    <row r="402" ht="15.75" customHeight="1" s="108">
      <c r="A402" s="4" t="n"/>
      <c r="B402" s="4" t="n"/>
      <c r="C402" s="4" t="n"/>
      <c r="D402" s="4" t="n"/>
      <c r="E402" s="4" t="n"/>
      <c r="F402" s="4" t="n"/>
      <c r="G402" s="4" t="n"/>
      <c r="H402" s="4" t="n"/>
      <c r="I402" s="4" t="n"/>
      <c r="J402" s="4" t="n"/>
      <c r="K402" s="4" t="n"/>
      <c r="L402" s="4" t="n"/>
      <c r="M402" s="4" t="n"/>
      <c r="N402" s="4" t="n"/>
      <c r="O402" s="4" t="n"/>
      <c r="P402" s="4" t="n"/>
      <c r="Q402" s="4" t="n"/>
      <c r="R402" s="4" t="n"/>
    </row>
    <row r="403" ht="15.75" customHeight="1" s="108">
      <c r="A403" s="4" t="n"/>
      <c r="B403" s="4" t="n"/>
      <c r="C403" s="4" t="n"/>
      <c r="D403" s="4" t="n"/>
      <c r="E403" s="4" t="n"/>
      <c r="F403" s="4" t="n"/>
      <c r="G403" s="4" t="n"/>
      <c r="H403" s="4" t="n"/>
      <c r="I403" s="4" t="n"/>
      <c r="J403" s="4" t="n"/>
      <c r="K403" s="4" t="n"/>
      <c r="L403" s="4" t="n"/>
      <c r="M403" s="4" t="n"/>
      <c r="N403" s="4" t="n"/>
      <c r="O403" s="4" t="n"/>
      <c r="P403" s="4" t="n"/>
      <c r="Q403" s="4" t="n"/>
      <c r="R403" s="4" t="n"/>
    </row>
    <row r="404" ht="15.75" customHeight="1" s="108">
      <c r="A404" s="4" t="n"/>
      <c r="B404" s="4" t="n"/>
      <c r="C404" s="4" t="n"/>
      <c r="D404" s="4" t="n"/>
      <c r="E404" s="4" t="n"/>
      <c r="F404" s="4" t="n"/>
      <c r="G404" s="4" t="n"/>
      <c r="H404" s="4" t="n"/>
      <c r="I404" s="4" t="n"/>
      <c r="J404" s="4" t="n"/>
      <c r="K404" s="4" t="n"/>
      <c r="L404" s="4" t="n"/>
      <c r="M404" s="4" t="n"/>
      <c r="N404" s="4" t="n"/>
      <c r="O404" s="4" t="n"/>
      <c r="P404" s="4" t="n"/>
      <c r="Q404" s="4" t="n"/>
      <c r="R404" s="4" t="n"/>
    </row>
    <row r="405" ht="15.75" customHeight="1" s="108">
      <c r="A405" s="4" t="n"/>
      <c r="B405" s="4" t="n"/>
      <c r="C405" s="4" t="n"/>
      <c r="D405" s="4" t="n"/>
      <c r="E405" s="4" t="n"/>
      <c r="F405" s="4" t="n"/>
      <c r="G405" s="4" t="n"/>
      <c r="H405" s="4" t="n"/>
      <c r="I405" s="4" t="n"/>
      <c r="J405" s="4" t="n"/>
      <c r="K405" s="4" t="n"/>
      <c r="L405" s="4" t="n"/>
      <c r="M405" s="4" t="n"/>
      <c r="N405" s="4" t="n"/>
      <c r="O405" s="4" t="n"/>
      <c r="P405" s="4" t="n"/>
      <c r="Q405" s="4" t="n"/>
      <c r="R405" s="4" t="n"/>
    </row>
    <row r="406" ht="15.75" customHeight="1" s="108">
      <c r="A406" s="4" t="n"/>
      <c r="B406" s="4" t="n"/>
      <c r="C406" s="4" t="n"/>
      <c r="D406" s="4" t="n"/>
      <c r="E406" s="4" t="n"/>
      <c r="F406" s="4" t="n"/>
      <c r="G406" s="4" t="n"/>
      <c r="H406" s="4" t="n"/>
      <c r="I406" s="4" t="n"/>
      <c r="J406" s="4" t="n"/>
      <c r="K406" s="4" t="n"/>
      <c r="L406" s="4" t="n"/>
      <c r="M406" s="4" t="n"/>
      <c r="N406" s="4" t="n"/>
      <c r="O406" s="4" t="n"/>
      <c r="P406" s="4" t="n"/>
      <c r="Q406" s="4" t="n"/>
      <c r="R406" s="4" t="n"/>
    </row>
    <row r="407" ht="15.75" customHeight="1" s="108">
      <c r="A407" s="4" t="n"/>
      <c r="B407" s="4" t="n"/>
      <c r="C407" s="4" t="n"/>
      <c r="D407" s="4" t="n"/>
      <c r="E407" s="4" t="n"/>
      <c r="F407" s="4" t="n"/>
      <c r="G407" s="4" t="n"/>
      <c r="H407" s="4" t="n"/>
      <c r="I407" s="4" t="n"/>
      <c r="J407" s="4" t="n"/>
      <c r="K407" s="4" t="n"/>
      <c r="L407" s="4" t="n"/>
      <c r="M407" s="4" t="n"/>
      <c r="N407" s="4" t="n"/>
      <c r="O407" s="4" t="n"/>
      <c r="P407" s="4" t="n"/>
      <c r="Q407" s="4" t="n"/>
      <c r="R407" s="4" t="n"/>
    </row>
    <row r="408" ht="15.75" customHeight="1" s="108">
      <c r="A408" s="4" t="n"/>
      <c r="B408" s="4" t="n"/>
      <c r="C408" s="4" t="n"/>
      <c r="D408" s="4" t="n"/>
      <c r="E408" s="4" t="n"/>
      <c r="F408" s="4" t="n"/>
      <c r="G408" s="4" t="n"/>
      <c r="H408" s="4" t="n"/>
      <c r="I408" s="4" t="n"/>
      <c r="J408" s="4" t="n"/>
      <c r="K408" s="4" t="n"/>
      <c r="L408" s="4" t="n"/>
      <c r="M408" s="4" t="n"/>
      <c r="N408" s="4" t="n"/>
      <c r="O408" s="4" t="n"/>
      <c r="P408" s="4" t="n"/>
      <c r="Q408" s="4" t="n"/>
      <c r="R408" s="4" t="n"/>
    </row>
    <row r="409" ht="15.75" customHeight="1" s="108">
      <c r="A409" s="4" t="n"/>
      <c r="B409" s="4" t="n"/>
      <c r="C409" s="4" t="n"/>
      <c r="D409" s="4" t="n"/>
      <c r="E409" s="4" t="n"/>
      <c r="F409" s="4" t="n"/>
      <c r="G409" s="4" t="n"/>
      <c r="H409" s="4" t="n"/>
      <c r="I409" s="4" t="n"/>
      <c r="J409" s="4" t="n"/>
      <c r="K409" s="4" t="n"/>
      <c r="L409" s="4" t="n"/>
      <c r="M409" s="4" t="n"/>
      <c r="N409" s="4" t="n"/>
      <c r="O409" s="4" t="n"/>
      <c r="P409" s="4" t="n"/>
      <c r="Q409" s="4" t="n"/>
      <c r="R409" s="4" t="n"/>
    </row>
    <row r="410" ht="15.75" customHeight="1" s="108">
      <c r="A410" s="4" t="n"/>
      <c r="B410" s="4" t="n"/>
      <c r="C410" s="4" t="n"/>
      <c r="D410" s="4" t="n"/>
      <c r="E410" s="4" t="n"/>
      <c r="F410" s="4" t="n"/>
      <c r="G410" s="4" t="n"/>
      <c r="H410" s="4" t="n"/>
      <c r="I410" s="4" t="n"/>
      <c r="J410" s="4" t="n"/>
      <c r="K410" s="4" t="n"/>
      <c r="L410" s="4" t="n"/>
      <c r="M410" s="4" t="n"/>
      <c r="N410" s="4" t="n"/>
      <c r="O410" s="4" t="n"/>
      <c r="P410" s="4" t="n"/>
      <c r="Q410" s="4" t="n"/>
      <c r="R410" s="4" t="n"/>
    </row>
    <row r="411" ht="15.75" customHeight="1" s="108">
      <c r="A411" s="4" t="n"/>
      <c r="B411" s="4" t="n"/>
      <c r="C411" s="4" t="n"/>
      <c r="D411" s="4" t="n"/>
      <c r="E411" s="4" t="n"/>
      <c r="F411" s="4" t="n"/>
      <c r="G411" s="4" t="n"/>
      <c r="H411" s="4" t="n"/>
      <c r="I411" s="4" t="n"/>
      <c r="J411" s="4" t="n"/>
      <c r="K411" s="4" t="n"/>
      <c r="L411" s="4" t="n"/>
      <c r="M411" s="4" t="n"/>
      <c r="N411" s="4" t="n"/>
      <c r="O411" s="4" t="n"/>
      <c r="P411" s="4" t="n"/>
      <c r="Q411" s="4" t="n"/>
      <c r="R411" s="4" t="n"/>
    </row>
    <row r="412" ht="15.75" customHeight="1" s="108">
      <c r="A412" s="4" t="n"/>
      <c r="B412" s="4" t="n"/>
      <c r="C412" s="4" t="n"/>
      <c r="D412" s="4" t="n"/>
      <c r="E412" s="4" t="n"/>
      <c r="F412" s="4" t="n"/>
      <c r="G412" s="4" t="n"/>
      <c r="H412" s="4" t="n"/>
      <c r="I412" s="4" t="n"/>
      <c r="J412" s="4" t="n"/>
      <c r="K412" s="4" t="n"/>
      <c r="L412" s="4" t="n"/>
      <c r="M412" s="4" t="n"/>
      <c r="N412" s="4" t="n"/>
      <c r="O412" s="4" t="n"/>
      <c r="P412" s="4" t="n"/>
      <c r="Q412" s="4" t="n"/>
      <c r="R412" s="4" t="n"/>
    </row>
    <row r="413" ht="15.75" customHeight="1" s="108">
      <c r="A413" s="4" t="n"/>
      <c r="B413" s="4" t="n"/>
      <c r="C413" s="4" t="n"/>
      <c r="D413" s="4" t="n"/>
      <c r="E413" s="4" t="n"/>
      <c r="F413" s="4" t="n"/>
      <c r="G413" s="4" t="n"/>
      <c r="H413" s="4" t="n"/>
      <c r="I413" s="4" t="n"/>
      <c r="J413" s="4" t="n"/>
      <c r="K413" s="4" t="n"/>
      <c r="L413" s="4" t="n"/>
      <c r="M413" s="4" t="n"/>
      <c r="N413" s="4" t="n"/>
      <c r="O413" s="4" t="n"/>
      <c r="P413" s="4" t="n"/>
      <c r="Q413" s="4" t="n"/>
      <c r="R413" s="4" t="n"/>
    </row>
    <row r="414" ht="15.75" customHeight="1" s="108">
      <c r="A414" s="4" t="n"/>
      <c r="B414" s="4" t="n"/>
      <c r="C414" s="4" t="n"/>
      <c r="D414" s="4" t="n"/>
      <c r="E414" s="4" t="n"/>
      <c r="F414" s="4" t="n"/>
      <c r="G414" s="4" t="n"/>
      <c r="H414" s="4" t="n"/>
      <c r="I414" s="4" t="n"/>
      <c r="J414" s="4" t="n"/>
      <c r="K414" s="4" t="n"/>
      <c r="L414" s="4" t="n"/>
      <c r="M414" s="4" t="n"/>
      <c r="N414" s="4" t="n"/>
      <c r="O414" s="4" t="n"/>
      <c r="P414" s="4" t="n"/>
      <c r="Q414" s="4" t="n"/>
      <c r="R414" s="4" t="n"/>
    </row>
    <row r="415" ht="15.75" customHeight="1" s="108">
      <c r="A415" s="4" t="n"/>
      <c r="B415" s="4" t="n"/>
      <c r="C415" s="4" t="n"/>
      <c r="D415" s="4" t="n"/>
      <c r="E415" s="4" t="n"/>
      <c r="F415" s="4" t="n"/>
      <c r="G415" s="4" t="n"/>
      <c r="H415" s="4" t="n"/>
      <c r="I415" s="4" t="n"/>
      <c r="J415" s="4" t="n"/>
      <c r="K415" s="4" t="n"/>
      <c r="L415" s="4" t="n"/>
      <c r="M415" s="4" t="n"/>
      <c r="N415" s="4" t="n"/>
      <c r="O415" s="4" t="n"/>
      <c r="P415" s="4" t="n"/>
      <c r="Q415" s="4" t="n"/>
      <c r="R415" s="4" t="n"/>
    </row>
    <row r="416" ht="15.75" customHeight="1" s="108">
      <c r="A416" s="4" t="n"/>
      <c r="B416" s="4" t="n"/>
      <c r="C416" s="4" t="n"/>
      <c r="D416" s="4" t="n"/>
      <c r="E416" s="4" t="n"/>
      <c r="F416" s="4" t="n"/>
      <c r="G416" s="4" t="n"/>
      <c r="H416" s="4" t="n"/>
      <c r="I416" s="4" t="n"/>
      <c r="J416" s="4" t="n"/>
      <c r="K416" s="4" t="n"/>
      <c r="L416" s="4" t="n"/>
      <c r="M416" s="4" t="n"/>
      <c r="N416" s="4" t="n"/>
      <c r="O416" s="4" t="n"/>
      <c r="P416" s="4" t="n"/>
      <c r="Q416" s="4" t="n"/>
      <c r="R416" s="4" t="n"/>
    </row>
    <row r="417" ht="15.75" customHeight="1" s="108">
      <c r="A417" s="4" t="n"/>
      <c r="B417" s="4" t="n"/>
      <c r="C417" s="4" t="n"/>
      <c r="D417" s="4" t="n"/>
      <c r="E417" s="4" t="n"/>
      <c r="F417" s="4" t="n"/>
      <c r="G417" s="4" t="n"/>
      <c r="H417" s="4" t="n"/>
      <c r="I417" s="4" t="n"/>
      <c r="J417" s="4" t="n"/>
      <c r="K417" s="4" t="n"/>
      <c r="L417" s="4" t="n"/>
      <c r="M417" s="4" t="n"/>
      <c r="N417" s="4" t="n"/>
      <c r="O417" s="4" t="n"/>
      <c r="P417" s="4" t="n"/>
      <c r="Q417" s="4" t="n"/>
      <c r="R417" s="4" t="n"/>
    </row>
    <row r="418" ht="15.75" customHeight="1" s="108">
      <c r="A418" s="4" t="n"/>
      <c r="B418" s="4" t="n"/>
      <c r="C418" s="4" t="n"/>
      <c r="D418" s="4" t="n"/>
      <c r="E418" s="4" t="n"/>
      <c r="F418" s="4" t="n"/>
      <c r="G418" s="4" t="n"/>
      <c r="H418" s="4" t="n"/>
      <c r="I418" s="4" t="n"/>
      <c r="J418" s="4" t="n"/>
      <c r="K418" s="4" t="n"/>
      <c r="L418" s="4" t="n"/>
      <c r="M418" s="4" t="n"/>
      <c r="N418" s="4" t="n"/>
      <c r="O418" s="4" t="n"/>
      <c r="P418" s="4" t="n"/>
      <c r="Q418" s="4" t="n"/>
      <c r="R418" s="4" t="n"/>
    </row>
    <row r="419" ht="15.75" customHeight="1" s="108">
      <c r="A419" s="4" t="n"/>
      <c r="B419" s="4" t="n"/>
      <c r="C419" s="4" t="n"/>
      <c r="D419" s="4" t="n"/>
      <c r="E419" s="4" t="n"/>
      <c r="F419" s="4" t="n"/>
      <c r="G419" s="4" t="n"/>
      <c r="H419" s="4" t="n"/>
      <c r="I419" s="4" t="n"/>
      <c r="J419" s="4" t="n"/>
      <c r="K419" s="4" t="n"/>
      <c r="L419" s="4" t="n"/>
      <c r="M419" s="4" t="n"/>
      <c r="N419" s="4" t="n"/>
      <c r="O419" s="4" t="n"/>
      <c r="P419" s="4" t="n"/>
      <c r="Q419" s="4" t="n"/>
      <c r="R419" s="4" t="n"/>
    </row>
    <row r="420" ht="15.75" customHeight="1" s="108">
      <c r="A420" s="4" t="n"/>
      <c r="B420" s="4" t="n"/>
      <c r="C420" s="4" t="n"/>
      <c r="D420" s="4" t="n"/>
      <c r="E420" s="4" t="n"/>
      <c r="F420" s="4" t="n"/>
      <c r="G420" s="4" t="n"/>
      <c r="H420" s="4" t="n"/>
      <c r="I420" s="4" t="n"/>
      <c r="J420" s="4" t="n"/>
      <c r="K420" s="4" t="n"/>
      <c r="L420" s="4" t="n"/>
      <c r="M420" s="4" t="n"/>
      <c r="N420" s="4" t="n"/>
      <c r="O420" s="4" t="n"/>
      <c r="P420" s="4" t="n"/>
      <c r="Q420" s="4" t="n"/>
      <c r="R420" s="4" t="n"/>
    </row>
    <row r="421" ht="15.75" customHeight="1" s="108">
      <c r="A421" s="4" t="n"/>
      <c r="B421" s="4" t="n"/>
      <c r="C421" s="4" t="n"/>
      <c r="D421" s="4" t="n"/>
      <c r="E421" s="4" t="n"/>
      <c r="F421" s="4" t="n"/>
      <c r="G421" s="4" t="n"/>
      <c r="H421" s="4" t="n"/>
      <c r="I421" s="4" t="n"/>
      <c r="J421" s="4" t="n"/>
      <c r="K421" s="4" t="n"/>
      <c r="L421" s="4" t="n"/>
      <c r="M421" s="4" t="n"/>
      <c r="N421" s="4" t="n"/>
      <c r="O421" s="4" t="n"/>
      <c r="P421" s="4" t="n"/>
      <c r="Q421" s="4" t="n"/>
      <c r="R421" s="4" t="n"/>
    </row>
    <row r="422" ht="15.75" customHeight="1" s="108">
      <c r="A422" s="4" t="n"/>
      <c r="B422" s="4" t="n"/>
      <c r="C422" s="4" t="n"/>
      <c r="D422" s="4" t="n"/>
      <c r="E422" s="4" t="n"/>
      <c r="F422" s="4" t="n"/>
      <c r="G422" s="4" t="n"/>
      <c r="H422" s="4" t="n"/>
      <c r="I422" s="4" t="n"/>
      <c r="J422" s="4" t="n"/>
      <c r="K422" s="4" t="n"/>
      <c r="L422" s="4" t="n"/>
      <c r="M422" s="4" t="n"/>
      <c r="N422" s="4" t="n"/>
      <c r="O422" s="4" t="n"/>
      <c r="P422" s="4" t="n"/>
      <c r="Q422" s="4" t="n"/>
      <c r="R422" s="4" t="n"/>
    </row>
    <row r="423" ht="15.75" customHeight="1" s="108">
      <c r="A423" s="4" t="n"/>
      <c r="B423" s="4" t="n"/>
      <c r="C423" s="4" t="n"/>
      <c r="D423" s="4" t="n"/>
      <c r="E423" s="4" t="n"/>
      <c r="F423" s="4" t="n"/>
      <c r="G423" s="4" t="n"/>
      <c r="H423" s="4" t="n"/>
      <c r="I423" s="4" t="n"/>
      <c r="J423" s="4" t="n"/>
      <c r="K423" s="4" t="n"/>
      <c r="L423" s="4" t="n"/>
      <c r="M423" s="4" t="n"/>
      <c r="N423" s="4" t="n"/>
      <c r="O423" s="4" t="n"/>
      <c r="P423" s="4" t="n"/>
      <c r="Q423" s="4" t="n"/>
      <c r="R423" s="4" t="n"/>
    </row>
    <row r="424" ht="15.75" customHeight="1" s="108">
      <c r="A424" s="4" t="n"/>
      <c r="B424" s="4" t="n"/>
      <c r="C424" s="4" t="n"/>
      <c r="D424" s="4" t="n"/>
      <c r="E424" s="4" t="n"/>
      <c r="F424" s="4" t="n"/>
      <c r="G424" s="4" t="n"/>
      <c r="H424" s="4" t="n"/>
      <c r="I424" s="4" t="n"/>
      <c r="J424" s="4" t="n"/>
      <c r="K424" s="4" t="n"/>
      <c r="L424" s="4" t="n"/>
      <c r="M424" s="4" t="n"/>
      <c r="N424" s="4" t="n"/>
      <c r="O424" s="4" t="n"/>
      <c r="P424" s="4" t="n"/>
      <c r="Q424" s="4" t="n"/>
      <c r="R424" s="4" t="n"/>
    </row>
    <row r="425" ht="15.75" customHeight="1" s="108">
      <c r="A425" s="4" t="n"/>
      <c r="B425" s="4" t="n"/>
      <c r="C425" s="4" t="n"/>
      <c r="D425" s="4" t="n"/>
      <c r="E425" s="4" t="n"/>
      <c r="F425" s="4" t="n"/>
      <c r="G425" s="4" t="n"/>
      <c r="H425" s="4" t="n"/>
      <c r="I425" s="4" t="n"/>
      <c r="J425" s="4" t="n"/>
      <c r="K425" s="4" t="n"/>
      <c r="L425" s="4" t="n"/>
      <c r="M425" s="4" t="n"/>
      <c r="N425" s="4" t="n"/>
      <c r="O425" s="4" t="n"/>
      <c r="P425" s="4" t="n"/>
      <c r="Q425" s="4" t="n"/>
      <c r="R425" s="4" t="n"/>
    </row>
    <row r="426" ht="15.75" customHeight="1" s="108">
      <c r="A426" s="4" t="n"/>
      <c r="B426" s="4" t="n"/>
      <c r="C426" s="4" t="n"/>
      <c r="D426" s="4" t="n"/>
      <c r="E426" s="4" t="n"/>
      <c r="F426" s="4" t="n"/>
      <c r="G426" s="4" t="n"/>
      <c r="H426" s="4" t="n"/>
      <c r="I426" s="4" t="n"/>
      <c r="J426" s="4" t="n"/>
      <c r="K426" s="4" t="n"/>
      <c r="L426" s="4" t="n"/>
      <c r="M426" s="4" t="n"/>
      <c r="N426" s="4" t="n"/>
      <c r="O426" s="4" t="n"/>
      <c r="P426" s="4" t="n"/>
      <c r="Q426" s="4" t="n"/>
      <c r="R426" s="4" t="n"/>
    </row>
    <row r="427" ht="15.75" customHeight="1" s="108">
      <c r="A427" s="4" t="n"/>
      <c r="B427" s="4" t="n"/>
      <c r="C427" s="4" t="n"/>
      <c r="D427" s="4" t="n"/>
      <c r="E427" s="4" t="n"/>
      <c r="F427" s="4" t="n"/>
      <c r="G427" s="4" t="n"/>
      <c r="H427" s="4" t="n"/>
      <c r="I427" s="4" t="n"/>
      <c r="J427" s="4" t="n"/>
      <c r="K427" s="4" t="n"/>
      <c r="L427" s="4" t="n"/>
      <c r="M427" s="4" t="n"/>
      <c r="N427" s="4" t="n"/>
      <c r="O427" s="4" t="n"/>
      <c r="P427" s="4" t="n"/>
      <c r="Q427" s="4" t="n"/>
      <c r="R427" s="4" t="n"/>
    </row>
    <row r="428" ht="15.75" customHeight="1" s="108">
      <c r="A428" s="4" t="n"/>
      <c r="B428" s="4" t="n"/>
      <c r="C428" s="4" t="n"/>
      <c r="D428" s="4" t="n"/>
      <c r="E428" s="4" t="n"/>
      <c r="F428" s="4" t="n"/>
      <c r="G428" s="4" t="n"/>
      <c r="H428" s="4" t="n"/>
      <c r="I428" s="4" t="n"/>
      <c r="J428" s="4" t="n"/>
      <c r="K428" s="4" t="n"/>
      <c r="L428" s="4" t="n"/>
      <c r="M428" s="4" t="n"/>
      <c r="N428" s="4" t="n"/>
      <c r="O428" s="4" t="n"/>
      <c r="P428" s="4" t="n"/>
      <c r="Q428" s="4" t="n"/>
      <c r="R428" s="4" t="n"/>
    </row>
    <row r="429" ht="15.75" customHeight="1" s="108">
      <c r="A429" s="4" t="n"/>
      <c r="B429" s="4" t="n"/>
      <c r="C429" s="4" t="n"/>
      <c r="D429" s="4" t="n"/>
      <c r="E429" s="4" t="n"/>
      <c r="F429" s="4" t="n"/>
      <c r="G429" s="4" t="n"/>
      <c r="H429" s="4" t="n"/>
      <c r="I429" s="4" t="n"/>
      <c r="J429" s="4" t="n"/>
      <c r="K429" s="4" t="n"/>
      <c r="L429" s="4" t="n"/>
      <c r="M429" s="4" t="n"/>
      <c r="N429" s="4" t="n"/>
      <c r="O429" s="4" t="n"/>
      <c r="P429" s="4" t="n"/>
      <c r="Q429" s="4" t="n"/>
      <c r="R429" s="4" t="n"/>
    </row>
    <row r="430" ht="15.75" customHeight="1" s="108">
      <c r="A430" s="4" t="n"/>
      <c r="B430" s="4" t="n"/>
      <c r="C430" s="4" t="n"/>
      <c r="D430" s="4" t="n"/>
      <c r="E430" s="4" t="n"/>
      <c r="F430" s="4" t="n"/>
      <c r="G430" s="4" t="n"/>
      <c r="H430" s="4" t="n"/>
      <c r="I430" s="4" t="n"/>
      <c r="J430" s="4" t="n"/>
      <c r="K430" s="4" t="n"/>
      <c r="L430" s="4" t="n"/>
      <c r="M430" s="4" t="n"/>
      <c r="N430" s="4" t="n"/>
      <c r="O430" s="4" t="n"/>
      <c r="P430" s="4" t="n"/>
      <c r="Q430" s="4" t="n"/>
      <c r="R430" s="4" t="n"/>
    </row>
    <row r="431" ht="15.75" customHeight="1" s="108">
      <c r="A431" s="4" t="n"/>
      <c r="B431" s="4" t="n"/>
      <c r="C431" s="4" t="n"/>
      <c r="D431" s="4" t="n"/>
      <c r="E431" s="4" t="n"/>
      <c r="F431" s="4" t="n"/>
      <c r="G431" s="4" t="n"/>
      <c r="H431" s="4" t="n"/>
      <c r="I431" s="4" t="n"/>
      <c r="J431" s="4" t="n"/>
      <c r="K431" s="4" t="n"/>
      <c r="L431" s="4" t="n"/>
      <c r="M431" s="4" t="n"/>
      <c r="N431" s="4" t="n"/>
      <c r="O431" s="4" t="n"/>
      <c r="P431" s="4" t="n"/>
      <c r="Q431" s="4" t="n"/>
      <c r="R431" s="4" t="n"/>
    </row>
    <row r="432" ht="15.75" customHeight="1" s="108">
      <c r="A432" s="4" t="n"/>
      <c r="B432" s="4" t="n"/>
      <c r="C432" s="4" t="n"/>
      <c r="D432" s="4" t="n"/>
      <c r="E432" s="4" t="n"/>
      <c r="F432" s="4" t="n"/>
      <c r="G432" s="4" t="n"/>
      <c r="H432" s="4" t="n"/>
      <c r="I432" s="4" t="n"/>
      <c r="J432" s="4" t="n"/>
      <c r="K432" s="4" t="n"/>
      <c r="L432" s="4" t="n"/>
      <c r="M432" s="4" t="n"/>
      <c r="N432" s="4" t="n"/>
      <c r="O432" s="4" t="n"/>
      <c r="P432" s="4" t="n"/>
      <c r="Q432" s="4" t="n"/>
      <c r="R432" s="4" t="n"/>
    </row>
    <row r="433" ht="15.75" customHeight="1" s="108">
      <c r="A433" s="4" t="n"/>
      <c r="B433" s="4" t="n"/>
      <c r="C433" s="4" t="n"/>
      <c r="D433" s="4" t="n"/>
      <c r="E433" s="4" t="n"/>
      <c r="F433" s="4" t="n"/>
      <c r="G433" s="4" t="n"/>
      <c r="H433" s="4" t="n"/>
      <c r="I433" s="4" t="n"/>
      <c r="J433" s="4" t="n"/>
      <c r="K433" s="4" t="n"/>
      <c r="L433" s="4" t="n"/>
      <c r="M433" s="4" t="n"/>
      <c r="N433" s="4" t="n"/>
      <c r="O433" s="4" t="n"/>
      <c r="P433" s="4" t="n"/>
      <c r="Q433" s="4" t="n"/>
      <c r="R433" s="4" t="n"/>
    </row>
    <row r="434" ht="15.75" customHeight="1" s="108">
      <c r="A434" s="4" t="n"/>
      <c r="B434" s="4" t="n"/>
      <c r="C434" s="4" t="n"/>
      <c r="D434" s="4" t="n"/>
      <c r="E434" s="4" t="n"/>
      <c r="F434" s="4" t="n"/>
      <c r="G434" s="4" t="n"/>
      <c r="H434" s="4" t="n"/>
      <c r="I434" s="4" t="n"/>
      <c r="J434" s="4" t="n"/>
      <c r="K434" s="4" t="n"/>
      <c r="L434" s="4" t="n"/>
      <c r="M434" s="4" t="n"/>
      <c r="N434" s="4" t="n"/>
      <c r="O434" s="4" t="n"/>
      <c r="P434" s="4" t="n"/>
      <c r="Q434" s="4" t="n"/>
      <c r="R434" s="4" t="n"/>
    </row>
    <row r="435" ht="15.75" customHeight="1" s="108">
      <c r="A435" s="4" t="n"/>
      <c r="B435" s="4" t="n"/>
      <c r="C435" s="4" t="n"/>
      <c r="D435" s="4" t="n"/>
      <c r="E435" s="4" t="n"/>
      <c r="F435" s="4" t="n"/>
      <c r="G435" s="4" t="n"/>
      <c r="H435" s="4" t="n"/>
      <c r="I435" s="4" t="n"/>
      <c r="J435" s="4" t="n"/>
      <c r="K435" s="4" t="n"/>
      <c r="L435" s="4" t="n"/>
      <c r="M435" s="4" t="n"/>
      <c r="N435" s="4" t="n"/>
      <c r="O435" s="4" t="n"/>
      <c r="P435" s="4" t="n"/>
      <c r="Q435" s="4" t="n"/>
      <c r="R435" s="4" t="n"/>
    </row>
    <row r="436" ht="15.75" customHeight="1" s="108">
      <c r="A436" s="4" t="n"/>
      <c r="B436" s="4" t="n"/>
      <c r="C436" s="4" t="n"/>
      <c r="D436" s="4" t="n"/>
      <c r="E436" s="4" t="n"/>
      <c r="F436" s="4" t="n"/>
      <c r="G436" s="4" t="n"/>
      <c r="H436" s="4" t="n"/>
      <c r="I436" s="4" t="n"/>
      <c r="J436" s="4" t="n"/>
      <c r="K436" s="4" t="n"/>
      <c r="L436" s="4" t="n"/>
      <c r="M436" s="4" t="n"/>
      <c r="N436" s="4" t="n"/>
      <c r="O436" s="4" t="n"/>
      <c r="P436" s="4" t="n"/>
      <c r="Q436" s="4" t="n"/>
      <c r="R436" s="4" t="n"/>
    </row>
    <row r="437" ht="15.75" customHeight="1" s="108">
      <c r="A437" s="4" t="n"/>
      <c r="B437" s="4" t="n"/>
      <c r="C437" s="4" t="n"/>
      <c r="D437" s="4" t="n"/>
      <c r="E437" s="4" t="n"/>
      <c r="F437" s="4" t="n"/>
      <c r="G437" s="4" t="n"/>
      <c r="H437" s="4" t="n"/>
      <c r="I437" s="4" t="n"/>
      <c r="J437" s="4" t="n"/>
      <c r="K437" s="4" t="n"/>
      <c r="L437" s="4" t="n"/>
      <c r="M437" s="4" t="n"/>
      <c r="N437" s="4" t="n"/>
      <c r="O437" s="4" t="n"/>
      <c r="P437" s="4" t="n"/>
      <c r="Q437" s="4" t="n"/>
      <c r="R437" s="4" t="n"/>
    </row>
    <row r="438" ht="15.75" customHeight="1" s="108">
      <c r="A438" s="4" t="n"/>
      <c r="B438" s="4" t="n"/>
      <c r="C438" s="4" t="n"/>
      <c r="D438" s="4" t="n"/>
      <c r="E438" s="4" t="n"/>
      <c r="F438" s="4" t="n"/>
      <c r="G438" s="4" t="n"/>
      <c r="H438" s="4" t="n"/>
      <c r="I438" s="4" t="n"/>
      <c r="J438" s="4" t="n"/>
      <c r="K438" s="4" t="n"/>
      <c r="L438" s="4" t="n"/>
      <c r="M438" s="4" t="n"/>
      <c r="N438" s="4" t="n"/>
      <c r="O438" s="4" t="n"/>
      <c r="P438" s="4" t="n"/>
      <c r="Q438" s="4" t="n"/>
      <c r="R438" s="4" t="n"/>
    </row>
    <row r="439" ht="15.75" customHeight="1" s="108">
      <c r="A439" s="4" t="n"/>
      <c r="B439" s="4" t="n"/>
      <c r="C439" s="4" t="n"/>
      <c r="D439" s="4" t="n"/>
      <c r="E439" s="4" t="n"/>
      <c r="F439" s="4" t="n"/>
      <c r="G439" s="4" t="n"/>
      <c r="H439" s="4" t="n"/>
      <c r="I439" s="4" t="n"/>
      <c r="J439" s="4" t="n"/>
      <c r="K439" s="4" t="n"/>
      <c r="L439" s="4" t="n"/>
      <c r="M439" s="4" t="n"/>
      <c r="N439" s="4" t="n"/>
      <c r="O439" s="4" t="n"/>
      <c r="P439" s="4" t="n"/>
      <c r="Q439" s="4" t="n"/>
      <c r="R439" s="4" t="n"/>
    </row>
    <row r="440" ht="15.75" customHeight="1" s="108">
      <c r="A440" s="4" t="n"/>
      <c r="B440" s="4" t="n"/>
      <c r="C440" s="4" t="n"/>
      <c r="D440" s="4" t="n"/>
      <c r="E440" s="4" t="n"/>
      <c r="F440" s="4" t="n"/>
      <c r="G440" s="4" t="n"/>
      <c r="H440" s="4" t="n"/>
      <c r="I440" s="4" t="n"/>
      <c r="J440" s="4" t="n"/>
      <c r="K440" s="4" t="n"/>
      <c r="L440" s="4" t="n"/>
      <c r="M440" s="4" t="n"/>
      <c r="N440" s="4" t="n"/>
      <c r="O440" s="4" t="n"/>
      <c r="P440" s="4" t="n"/>
      <c r="Q440" s="4" t="n"/>
      <c r="R440" s="4" t="n"/>
    </row>
    <row r="441" ht="15.75" customHeight="1" s="108">
      <c r="A441" s="4" t="n"/>
      <c r="B441" s="4" t="n"/>
      <c r="C441" s="4" t="n"/>
      <c r="D441" s="4" t="n"/>
      <c r="E441" s="4" t="n"/>
      <c r="F441" s="4" t="n"/>
      <c r="G441" s="4" t="n"/>
      <c r="H441" s="4" t="n"/>
      <c r="I441" s="4" t="n"/>
      <c r="J441" s="4" t="n"/>
      <c r="K441" s="4" t="n"/>
      <c r="L441" s="4" t="n"/>
      <c r="M441" s="4" t="n"/>
      <c r="N441" s="4" t="n"/>
      <c r="O441" s="4" t="n"/>
      <c r="P441" s="4" t="n"/>
      <c r="Q441" s="4" t="n"/>
      <c r="R441" s="4" t="n"/>
    </row>
    <row r="442" ht="15.75" customHeight="1" s="108">
      <c r="A442" s="4" t="n"/>
      <c r="B442" s="4" t="n"/>
      <c r="C442" s="4" t="n"/>
      <c r="D442" s="4" t="n"/>
      <c r="E442" s="4" t="n"/>
      <c r="F442" s="4" t="n"/>
      <c r="G442" s="4" t="n"/>
      <c r="H442" s="4" t="n"/>
      <c r="I442" s="4" t="n"/>
      <c r="J442" s="4" t="n"/>
      <c r="K442" s="4" t="n"/>
      <c r="L442" s="4" t="n"/>
      <c r="M442" s="4" t="n"/>
      <c r="N442" s="4" t="n"/>
      <c r="O442" s="4" t="n"/>
      <c r="P442" s="4" t="n"/>
      <c r="Q442" s="4" t="n"/>
      <c r="R442" s="4" t="n"/>
    </row>
    <row r="443" ht="15.75" customHeight="1" s="108">
      <c r="A443" s="4" t="n"/>
      <c r="B443" s="4" t="n"/>
      <c r="C443" s="4" t="n"/>
      <c r="D443" s="4" t="n"/>
      <c r="E443" s="4" t="n"/>
      <c r="F443" s="4" t="n"/>
      <c r="G443" s="4" t="n"/>
      <c r="H443" s="4" t="n"/>
      <c r="I443" s="4" t="n"/>
      <c r="J443" s="4" t="n"/>
      <c r="K443" s="4" t="n"/>
      <c r="L443" s="4" t="n"/>
      <c r="M443" s="4" t="n"/>
      <c r="N443" s="4" t="n"/>
      <c r="O443" s="4" t="n"/>
      <c r="P443" s="4" t="n"/>
      <c r="Q443" s="4" t="n"/>
      <c r="R443" s="4" t="n"/>
    </row>
    <row r="444" ht="15.75" customHeight="1" s="108">
      <c r="A444" s="4" t="n"/>
      <c r="B444" s="4" t="n"/>
      <c r="C444" s="4" t="n"/>
      <c r="D444" s="4" t="n"/>
      <c r="E444" s="4" t="n"/>
      <c r="F444" s="4" t="n"/>
      <c r="G444" s="4" t="n"/>
      <c r="H444" s="4" t="n"/>
      <c r="I444" s="4" t="n"/>
      <c r="J444" s="4" t="n"/>
      <c r="K444" s="4" t="n"/>
      <c r="L444" s="4" t="n"/>
      <c r="M444" s="4" t="n"/>
      <c r="N444" s="4" t="n"/>
      <c r="O444" s="4" t="n"/>
      <c r="P444" s="4" t="n"/>
      <c r="Q444" s="4" t="n"/>
      <c r="R444" s="4" t="n"/>
    </row>
    <row r="445" ht="15.75" customHeight="1" s="108">
      <c r="A445" s="4" t="n"/>
      <c r="B445" s="4" t="n"/>
      <c r="C445" s="4" t="n"/>
      <c r="D445" s="4" t="n"/>
      <c r="E445" s="4" t="n"/>
      <c r="F445" s="4" t="n"/>
      <c r="G445" s="4" t="n"/>
      <c r="H445" s="4" t="n"/>
      <c r="I445" s="4" t="n"/>
      <c r="J445" s="4" t="n"/>
      <c r="K445" s="4" t="n"/>
      <c r="L445" s="4" t="n"/>
      <c r="M445" s="4" t="n"/>
      <c r="N445" s="4" t="n"/>
      <c r="O445" s="4" t="n"/>
      <c r="P445" s="4" t="n"/>
      <c r="Q445" s="4" t="n"/>
      <c r="R445" s="4" t="n"/>
    </row>
    <row r="446" ht="15.75" customHeight="1" s="108">
      <c r="A446" s="4" t="n"/>
      <c r="B446" s="4" t="n"/>
      <c r="C446" s="4" t="n"/>
      <c r="D446" s="4" t="n"/>
      <c r="E446" s="4" t="n"/>
      <c r="F446" s="4" t="n"/>
      <c r="G446" s="4" t="n"/>
      <c r="H446" s="4" t="n"/>
      <c r="I446" s="4" t="n"/>
      <c r="J446" s="4" t="n"/>
      <c r="K446" s="4" t="n"/>
      <c r="L446" s="4" t="n"/>
      <c r="M446" s="4" t="n"/>
      <c r="N446" s="4" t="n"/>
      <c r="O446" s="4" t="n"/>
      <c r="P446" s="4" t="n"/>
      <c r="Q446" s="4" t="n"/>
      <c r="R446" s="4" t="n"/>
    </row>
    <row r="447" ht="15.75" customHeight="1" s="108">
      <c r="A447" s="4" t="n"/>
      <c r="B447" s="4" t="n"/>
      <c r="C447" s="4" t="n"/>
      <c r="D447" s="4" t="n"/>
      <c r="E447" s="4" t="n"/>
      <c r="F447" s="4" t="n"/>
      <c r="G447" s="4" t="n"/>
      <c r="H447" s="4" t="n"/>
      <c r="I447" s="4" t="n"/>
      <c r="J447" s="4" t="n"/>
      <c r="K447" s="4" t="n"/>
      <c r="L447" s="4" t="n"/>
      <c r="M447" s="4" t="n"/>
      <c r="N447" s="4" t="n"/>
      <c r="O447" s="4" t="n"/>
      <c r="P447" s="4" t="n"/>
      <c r="Q447" s="4" t="n"/>
      <c r="R447" s="4" t="n"/>
    </row>
    <row r="448" ht="15.75" customHeight="1" s="108">
      <c r="A448" s="4" t="n"/>
      <c r="B448" s="4" t="n"/>
      <c r="C448" s="4" t="n"/>
      <c r="D448" s="4" t="n"/>
      <c r="E448" s="4" t="n"/>
      <c r="F448" s="4" t="n"/>
      <c r="G448" s="4" t="n"/>
      <c r="H448" s="4" t="n"/>
      <c r="I448" s="4" t="n"/>
      <c r="J448" s="4" t="n"/>
      <c r="K448" s="4" t="n"/>
      <c r="L448" s="4" t="n"/>
      <c r="M448" s="4" t="n"/>
      <c r="N448" s="4" t="n"/>
      <c r="O448" s="4" t="n"/>
      <c r="P448" s="4" t="n"/>
      <c r="Q448" s="4" t="n"/>
      <c r="R448" s="4" t="n"/>
    </row>
    <row r="449" ht="15.75" customHeight="1" s="108">
      <c r="A449" s="4" t="n"/>
      <c r="B449" s="4" t="n"/>
      <c r="C449" s="4" t="n"/>
      <c r="D449" s="4" t="n"/>
      <c r="E449" s="4" t="n"/>
      <c r="F449" s="4" t="n"/>
      <c r="G449" s="4" t="n"/>
      <c r="H449" s="4" t="n"/>
      <c r="I449" s="4" t="n"/>
      <c r="J449" s="4" t="n"/>
      <c r="K449" s="4" t="n"/>
      <c r="L449" s="4" t="n"/>
      <c r="M449" s="4" t="n"/>
      <c r="N449" s="4" t="n"/>
      <c r="O449" s="4" t="n"/>
      <c r="P449" s="4" t="n"/>
      <c r="Q449" s="4" t="n"/>
      <c r="R449" s="4" t="n"/>
    </row>
    <row r="450" ht="15.75" customHeight="1" s="108">
      <c r="A450" s="4" t="n"/>
      <c r="B450" s="4" t="n"/>
      <c r="C450" s="4" t="n"/>
      <c r="D450" s="4" t="n"/>
      <c r="E450" s="4" t="n"/>
      <c r="F450" s="4" t="n"/>
      <c r="G450" s="4" t="n"/>
      <c r="H450" s="4" t="n"/>
      <c r="I450" s="4" t="n"/>
      <c r="J450" s="4" t="n"/>
      <c r="K450" s="4" t="n"/>
      <c r="L450" s="4" t="n"/>
      <c r="M450" s="4" t="n"/>
      <c r="N450" s="4" t="n"/>
      <c r="O450" s="4" t="n"/>
      <c r="P450" s="4" t="n"/>
      <c r="Q450" s="4" t="n"/>
      <c r="R450" s="4" t="n"/>
    </row>
    <row r="451" ht="15.75" customHeight="1" s="108">
      <c r="A451" s="4" t="n"/>
      <c r="B451" s="4" t="n"/>
      <c r="C451" s="4" t="n"/>
      <c r="D451" s="4" t="n"/>
      <c r="E451" s="4" t="n"/>
      <c r="F451" s="4" t="n"/>
      <c r="G451" s="4" t="n"/>
      <c r="H451" s="4" t="n"/>
      <c r="I451" s="4" t="n"/>
      <c r="J451" s="4" t="n"/>
      <c r="K451" s="4" t="n"/>
      <c r="L451" s="4" t="n"/>
      <c r="M451" s="4" t="n"/>
      <c r="N451" s="4" t="n"/>
      <c r="O451" s="4" t="n"/>
      <c r="P451" s="4" t="n"/>
      <c r="Q451" s="4" t="n"/>
      <c r="R451" s="4" t="n"/>
    </row>
    <row r="452" ht="15.75" customHeight="1" s="108">
      <c r="A452" s="4" t="n"/>
      <c r="B452" s="4" t="n"/>
      <c r="C452" s="4" t="n"/>
      <c r="D452" s="4" t="n"/>
      <c r="E452" s="4" t="n"/>
      <c r="F452" s="4" t="n"/>
      <c r="G452" s="4" t="n"/>
      <c r="H452" s="4" t="n"/>
      <c r="I452" s="4" t="n"/>
      <c r="J452" s="4" t="n"/>
      <c r="K452" s="4" t="n"/>
      <c r="L452" s="4" t="n"/>
      <c r="M452" s="4" t="n"/>
      <c r="N452" s="4" t="n"/>
      <c r="O452" s="4" t="n"/>
      <c r="P452" s="4" t="n"/>
      <c r="Q452" s="4" t="n"/>
      <c r="R452" s="4" t="n"/>
    </row>
    <row r="453" ht="15.75" customHeight="1" s="108">
      <c r="A453" s="4" t="n"/>
      <c r="B453" s="4" t="n"/>
      <c r="C453" s="4" t="n"/>
      <c r="D453" s="4" t="n"/>
      <c r="E453" s="4" t="n"/>
      <c r="F453" s="4" t="n"/>
      <c r="G453" s="4" t="n"/>
      <c r="H453" s="4" t="n"/>
      <c r="I453" s="4" t="n"/>
      <c r="J453" s="4" t="n"/>
      <c r="K453" s="4" t="n"/>
      <c r="L453" s="4" t="n"/>
      <c r="M453" s="4" t="n"/>
      <c r="N453" s="4" t="n"/>
      <c r="O453" s="4" t="n"/>
      <c r="P453" s="4" t="n"/>
      <c r="Q453" s="4" t="n"/>
      <c r="R453" s="4" t="n"/>
    </row>
    <row r="454" ht="15.75" customHeight="1" s="108">
      <c r="A454" s="4" t="n"/>
      <c r="B454" s="4" t="n"/>
      <c r="C454" s="4" t="n"/>
      <c r="D454" s="4" t="n"/>
      <c r="E454" s="4" t="n"/>
      <c r="F454" s="4" t="n"/>
      <c r="G454" s="4" t="n"/>
      <c r="H454" s="4" t="n"/>
      <c r="I454" s="4" t="n"/>
      <c r="J454" s="4" t="n"/>
      <c r="K454" s="4" t="n"/>
      <c r="L454" s="4" t="n"/>
      <c r="M454" s="4" t="n"/>
      <c r="N454" s="4" t="n"/>
      <c r="O454" s="4" t="n"/>
      <c r="P454" s="4" t="n"/>
      <c r="Q454" s="4" t="n"/>
      <c r="R454" s="4" t="n"/>
    </row>
    <row r="455" ht="15.75" customHeight="1" s="108">
      <c r="A455" s="4" t="n"/>
      <c r="B455" s="4" t="n"/>
      <c r="C455" s="4" t="n"/>
      <c r="D455" s="4" t="n"/>
      <c r="E455" s="4" t="n"/>
      <c r="F455" s="4" t="n"/>
      <c r="G455" s="4" t="n"/>
      <c r="H455" s="4" t="n"/>
      <c r="I455" s="4" t="n"/>
      <c r="J455" s="4" t="n"/>
      <c r="K455" s="4" t="n"/>
      <c r="L455" s="4" t="n"/>
      <c r="M455" s="4" t="n"/>
      <c r="N455" s="4" t="n"/>
      <c r="O455" s="4" t="n"/>
      <c r="P455" s="4" t="n"/>
      <c r="Q455" s="4" t="n"/>
      <c r="R455" s="4" t="n"/>
    </row>
    <row r="456" ht="15.75" customHeight="1" s="108">
      <c r="A456" s="4" t="n"/>
      <c r="B456" s="4" t="n"/>
      <c r="C456" s="4" t="n"/>
      <c r="D456" s="4" t="n"/>
      <c r="E456" s="4" t="n"/>
      <c r="F456" s="4" t="n"/>
      <c r="G456" s="4" t="n"/>
      <c r="H456" s="4" t="n"/>
      <c r="I456" s="4" t="n"/>
      <c r="J456" s="4" t="n"/>
      <c r="K456" s="4" t="n"/>
      <c r="L456" s="4" t="n"/>
      <c r="M456" s="4" t="n"/>
      <c r="N456" s="4" t="n"/>
      <c r="O456" s="4" t="n"/>
      <c r="P456" s="4" t="n"/>
      <c r="Q456" s="4" t="n"/>
      <c r="R456" s="4" t="n"/>
    </row>
    <row r="457" ht="15.75" customHeight="1" s="108">
      <c r="A457" s="4" t="n"/>
      <c r="B457" s="4" t="n"/>
      <c r="C457" s="4" t="n"/>
      <c r="D457" s="4" t="n"/>
      <c r="E457" s="4" t="n"/>
      <c r="F457" s="4" t="n"/>
      <c r="G457" s="4" t="n"/>
      <c r="H457" s="4" t="n"/>
      <c r="I457" s="4" t="n"/>
      <c r="J457" s="4" t="n"/>
      <c r="K457" s="4" t="n"/>
      <c r="L457" s="4" t="n"/>
      <c r="M457" s="4" t="n"/>
      <c r="N457" s="4" t="n"/>
      <c r="O457" s="4" t="n"/>
      <c r="P457" s="4" t="n"/>
      <c r="Q457" s="4" t="n"/>
      <c r="R457" s="4" t="n"/>
    </row>
    <row r="458" ht="15.75" customHeight="1" s="108">
      <c r="A458" s="4" t="n"/>
      <c r="B458" s="4" t="n"/>
      <c r="C458" s="4" t="n"/>
      <c r="D458" s="4" t="n"/>
      <c r="E458" s="4" t="n"/>
      <c r="F458" s="4" t="n"/>
      <c r="G458" s="4" t="n"/>
      <c r="H458" s="4" t="n"/>
      <c r="I458" s="4" t="n"/>
      <c r="J458" s="4" t="n"/>
      <c r="K458" s="4" t="n"/>
      <c r="L458" s="4" t="n"/>
      <c r="M458" s="4" t="n"/>
      <c r="N458" s="4" t="n"/>
      <c r="O458" s="4" t="n"/>
      <c r="P458" s="4" t="n"/>
      <c r="Q458" s="4" t="n"/>
      <c r="R458" s="4" t="n"/>
    </row>
    <row r="459" ht="15.75" customHeight="1" s="108">
      <c r="A459" s="4" t="n"/>
      <c r="B459" s="4" t="n"/>
      <c r="C459" s="4" t="n"/>
      <c r="D459" s="4" t="n"/>
      <c r="E459" s="4" t="n"/>
      <c r="F459" s="4" t="n"/>
      <c r="G459" s="4" t="n"/>
      <c r="H459" s="4" t="n"/>
      <c r="I459" s="4" t="n"/>
      <c r="J459" s="4" t="n"/>
      <c r="K459" s="4" t="n"/>
      <c r="L459" s="4" t="n"/>
      <c r="M459" s="4" t="n"/>
      <c r="N459" s="4" t="n"/>
      <c r="O459" s="4" t="n"/>
      <c r="P459" s="4" t="n"/>
      <c r="Q459" s="4" t="n"/>
      <c r="R459" s="4" t="n"/>
    </row>
    <row r="460" ht="15.75" customHeight="1" s="108">
      <c r="A460" s="4" t="n"/>
      <c r="B460" s="4" t="n"/>
      <c r="C460" s="4" t="n"/>
      <c r="D460" s="4" t="n"/>
      <c r="E460" s="4" t="n"/>
      <c r="F460" s="4" t="n"/>
      <c r="G460" s="4" t="n"/>
      <c r="H460" s="4" t="n"/>
      <c r="I460" s="4" t="n"/>
      <c r="J460" s="4" t="n"/>
      <c r="K460" s="4" t="n"/>
      <c r="L460" s="4" t="n"/>
      <c r="M460" s="4" t="n"/>
      <c r="N460" s="4" t="n"/>
      <c r="O460" s="4" t="n"/>
      <c r="P460" s="4" t="n"/>
      <c r="Q460" s="4" t="n"/>
      <c r="R460" s="4" t="n"/>
    </row>
    <row r="461" ht="15.75" customHeight="1" s="108">
      <c r="A461" s="4" t="n"/>
      <c r="B461" s="4" t="n"/>
      <c r="C461" s="4" t="n"/>
      <c r="D461" s="4" t="n"/>
      <c r="E461" s="4" t="n"/>
      <c r="F461" s="4" t="n"/>
      <c r="G461" s="4" t="n"/>
      <c r="H461" s="4" t="n"/>
      <c r="I461" s="4" t="n"/>
      <c r="J461" s="4" t="n"/>
      <c r="K461" s="4" t="n"/>
      <c r="L461" s="4" t="n"/>
      <c r="M461" s="4" t="n"/>
      <c r="N461" s="4" t="n"/>
      <c r="O461" s="4" t="n"/>
      <c r="P461" s="4" t="n"/>
      <c r="Q461" s="4" t="n"/>
      <c r="R461" s="4" t="n"/>
    </row>
    <row r="462" ht="15.75" customHeight="1" s="108">
      <c r="A462" s="4" t="n"/>
      <c r="B462" s="4" t="n"/>
      <c r="C462" s="4" t="n"/>
      <c r="D462" s="4" t="n"/>
      <c r="E462" s="4" t="n"/>
      <c r="F462" s="4" t="n"/>
      <c r="G462" s="4" t="n"/>
      <c r="H462" s="4" t="n"/>
      <c r="I462" s="4" t="n"/>
      <c r="J462" s="4" t="n"/>
      <c r="K462" s="4" t="n"/>
      <c r="L462" s="4" t="n"/>
      <c r="M462" s="4" t="n"/>
      <c r="N462" s="4" t="n"/>
      <c r="O462" s="4" t="n"/>
      <c r="P462" s="4" t="n"/>
      <c r="Q462" s="4" t="n"/>
      <c r="R462" s="4" t="n"/>
    </row>
    <row r="463" ht="15.75" customHeight="1" s="108">
      <c r="A463" s="4" t="n"/>
      <c r="B463" s="4" t="n"/>
      <c r="C463" s="4" t="n"/>
      <c r="D463" s="4" t="n"/>
      <c r="E463" s="4" t="n"/>
      <c r="F463" s="4" t="n"/>
      <c r="G463" s="4" t="n"/>
      <c r="H463" s="4" t="n"/>
      <c r="I463" s="4" t="n"/>
      <c r="J463" s="4" t="n"/>
      <c r="K463" s="4" t="n"/>
      <c r="L463" s="4" t="n"/>
      <c r="M463" s="4" t="n"/>
      <c r="N463" s="4" t="n"/>
      <c r="O463" s="4" t="n"/>
      <c r="P463" s="4" t="n"/>
      <c r="Q463" s="4" t="n"/>
      <c r="R463" s="4" t="n"/>
    </row>
    <row r="464" ht="15.75" customHeight="1" s="108">
      <c r="A464" s="4" t="n"/>
      <c r="B464" s="4" t="n"/>
      <c r="C464" s="4" t="n"/>
      <c r="D464" s="4" t="n"/>
      <c r="E464" s="4" t="n"/>
      <c r="F464" s="4" t="n"/>
      <c r="G464" s="4" t="n"/>
      <c r="H464" s="4" t="n"/>
      <c r="I464" s="4" t="n"/>
      <c r="J464" s="4" t="n"/>
      <c r="K464" s="4" t="n"/>
      <c r="L464" s="4" t="n"/>
      <c r="M464" s="4" t="n"/>
      <c r="N464" s="4" t="n"/>
      <c r="O464" s="4" t="n"/>
      <c r="P464" s="4" t="n"/>
      <c r="Q464" s="4" t="n"/>
      <c r="R464" s="4" t="n"/>
    </row>
    <row r="465" ht="15.75" customHeight="1" s="108">
      <c r="A465" s="4" t="n"/>
      <c r="B465" s="4" t="n"/>
      <c r="C465" s="4" t="n"/>
      <c r="D465" s="4" t="n"/>
      <c r="E465" s="4" t="n"/>
      <c r="F465" s="4" t="n"/>
      <c r="G465" s="4" t="n"/>
      <c r="H465" s="4" t="n"/>
      <c r="I465" s="4" t="n"/>
      <c r="J465" s="4" t="n"/>
      <c r="K465" s="4" t="n"/>
      <c r="L465" s="4" t="n"/>
      <c r="M465" s="4" t="n"/>
      <c r="N465" s="4" t="n"/>
      <c r="O465" s="4" t="n"/>
      <c r="P465" s="4" t="n"/>
      <c r="Q465" s="4" t="n"/>
      <c r="R465" s="4" t="n"/>
    </row>
    <row r="466" ht="15.75" customHeight="1" s="108">
      <c r="A466" s="4" t="n"/>
      <c r="B466" s="4" t="n"/>
      <c r="C466" s="4" t="n"/>
      <c r="D466" s="4" t="n"/>
      <c r="E466" s="4" t="n"/>
      <c r="F466" s="4" t="n"/>
      <c r="G466" s="4" t="n"/>
      <c r="H466" s="4" t="n"/>
      <c r="I466" s="4" t="n"/>
      <c r="J466" s="4" t="n"/>
      <c r="K466" s="4" t="n"/>
      <c r="L466" s="4" t="n"/>
      <c r="M466" s="4" t="n"/>
      <c r="N466" s="4" t="n"/>
      <c r="O466" s="4" t="n"/>
      <c r="P466" s="4" t="n"/>
      <c r="Q466" s="4" t="n"/>
      <c r="R466" s="4" t="n"/>
    </row>
    <row r="467" ht="15.75" customHeight="1" s="108">
      <c r="A467" s="4" t="n"/>
      <c r="B467" s="4" t="n"/>
      <c r="C467" s="4" t="n"/>
      <c r="D467" s="4" t="n"/>
      <c r="E467" s="4" t="n"/>
      <c r="F467" s="4" t="n"/>
      <c r="G467" s="4" t="n"/>
      <c r="H467" s="4" t="n"/>
      <c r="I467" s="4" t="n"/>
      <c r="J467" s="4" t="n"/>
      <c r="K467" s="4" t="n"/>
      <c r="L467" s="4" t="n"/>
      <c r="M467" s="4" t="n"/>
      <c r="N467" s="4" t="n"/>
      <c r="O467" s="4" t="n"/>
      <c r="P467" s="4" t="n"/>
      <c r="Q467" s="4" t="n"/>
      <c r="R467" s="4" t="n"/>
    </row>
    <row r="468" ht="15.75" customHeight="1" s="108">
      <c r="A468" s="4" t="n"/>
      <c r="B468" s="4" t="n"/>
      <c r="C468" s="4" t="n"/>
      <c r="D468" s="4" t="n"/>
      <c r="E468" s="4" t="n"/>
      <c r="F468" s="4" t="n"/>
      <c r="G468" s="4" t="n"/>
      <c r="H468" s="4" t="n"/>
      <c r="I468" s="4" t="n"/>
      <c r="J468" s="4" t="n"/>
      <c r="K468" s="4" t="n"/>
      <c r="L468" s="4" t="n"/>
      <c r="M468" s="4" t="n"/>
      <c r="N468" s="4" t="n"/>
      <c r="O468" s="4" t="n"/>
      <c r="P468" s="4" t="n"/>
      <c r="Q468" s="4" t="n"/>
      <c r="R468" s="4" t="n"/>
    </row>
    <row r="469" ht="15.75" customHeight="1" s="108">
      <c r="A469" s="4" t="n"/>
      <c r="B469" s="4" t="n"/>
      <c r="C469" s="4" t="n"/>
      <c r="D469" s="4" t="n"/>
      <c r="E469" s="4" t="n"/>
      <c r="F469" s="4" t="n"/>
      <c r="G469" s="4" t="n"/>
      <c r="H469" s="4" t="n"/>
      <c r="I469" s="4" t="n"/>
      <c r="J469" s="4" t="n"/>
      <c r="K469" s="4" t="n"/>
      <c r="L469" s="4" t="n"/>
      <c r="M469" s="4" t="n"/>
      <c r="N469" s="4" t="n"/>
      <c r="O469" s="4" t="n"/>
      <c r="P469" s="4" t="n"/>
      <c r="Q469" s="4" t="n"/>
      <c r="R469" s="4" t="n"/>
    </row>
    <row r="470" ht="15.75" customHeight="1" s="108">
      <c r="A470" s="4" t="n"/>
      <c r="B470" s="4" t="n"/>
      <c r="C470" s="4" t="n"/>
      <c r="D470" s="4" t="n"/>
      <c r="E470" s="4" t="n"/>
      <c r="F470" s="4" t="n"/>
      <c r="G470" s="4" t="n"/>
      <c r="H470" s="4" t="n"/>
      <c r="I470" s="4" t="n"/>
      <c r="J470" s="4" t="n"/>
      <c r="K470" s="4" t="n"/>
      <c r="L470" s="4" t="n"/>
      <c r="M470" s="4" t="n"/>
      <c r="N470" s="4" t="n"/>
      <c r="O470" s="4" t="n"/>
      <c r="P470" s="4" t="n"/>
      <c r="Q470" s="4" t="n"/>
      <c r="R470" s="4" t="n"/>
    </row>
    <row r="471" ht="15.75" customHeight="1" s="108">
      <c r="A471" s="4" t="n"/>
      <c r="B471" s="4" t="n"/>
      <c r="C471" s="4" t="n"/>
      <c r="D471" s="4" t="n"/>
      <c r="E471" s="4" t="n"/>
      <c r="F471" s="4" t="n"/>
      <c r="G471" s="4" t="n"/>
      <c r="H471" s="4" t="n"/>
      <c r="I471" s="4" t="n"/>
      <c r="J471" s="4" t="n"/>
      <c r="K471" s="4" t="n"/>
      <c r="L471" s="4" t="n"/>
      <c r="M471" s="4" t="n"/>
      <c r="N471" s="4" t="n"/>
      <c r="O471" s="4" t="n"/>
      <c r="P471" s="4" t="n"/>
      <c r="Q471" s="4" t="n"/>
      <c r="R471" s="4" t="n"/>
    </row>
    <row r="472" ht="15.75" customHeight="1" s="108">
      <c r="A472" s="4" t="n"/>
      <c r="B472" s="4" t="n"/>
      <c r="C472" s="4" t="n"/>
      <c r="D472" s="4" t="n"/>
      <c r="E472" s="4" t="n"/>
      <c r="F472" s="4" t="n"/>
      <c r="G472" s="4" t="n"/>
      <c r="H472" s="4" t="n"/>
      <c r="I472" s="4" t="n"/>
      <c r="J472" s="4" t="n"/>
      <c r="K472" s="4" t="n"/>
      <c r="L472" s="4" t="n"/>
      <c r="M472" s="4" t="n"/>
      <c r="N472" s="4" t="n"/>
      <c r="O472" s="4" t="n"/>
      <c r="P472" s="4" t="n"/>
      <c r="Q472" s="4" t="n"/>
      <c r="R472" s="4" t="n"/>
    </row>
    <row r="473" ht="15.75" customHeight="1" s="108">
      <c r="A473" s="4" t="n"/>
      <c r="B473" s="4" t="n"/>
      <c r="C473" s="4" t="n"/>
      <c r="D473" s="4" t="n"/>
      <c r="E473" s="4" t="n"/>
      <c r="F473" s="4" t="n"/>
      <c r="G473" s="4" t="n"/>
      <c r="H473" s="4" t="n"/>
      <c r="I473" s="4" t="n"/>
      <c r="J473" s="4" t="n"/>
      <c r="K473" s="4" t="n"/>
      <c r="L473" s="4" t="n"/>
      <c r="M473" s="4" t="n"/>
      <c r="N473" s="4" t="n"/>
      <c r="O473" s="4" t="n"/>
      <c r="P473" s="4" t="n"/>
      <c r="Q473" s="4" t="n"/>
      <c r="R473" s="4" t="n"/>
    </row>
    <row r="474" ht="15.75" customHeight="1" s="108">
      <c r="A474" s="4" t="n"/>
      <c r="B474" s="4" t="n"/>
      <c r="C474" s="4" t="n"/>
      <c r="D474" s="4" t="n"/>
      <c r="E474" s="4" t="n"/>
      <c r="F474" s="4" t="n"/>
      <c r="G474" s="4" t="n"/>
      <c r="H474" s="4" t="n"/>
      <c r="I474" s="4" t="n"/>
      <c r="J474" s="4" t="n"/>
      <c r="K474" s="4" t="n"/>
      <c r="L474" s="4" t="n"/>
      <c r="M474" s="4" t="n"/>
      <c r="N474" s="4" t="n"/>
      <c r="O474" s="4" t="n"/>
      <c r="P474" s="4" t="n"/>
      <c r="Q474" s="4" t="n"/>
      <c r="R474" s="4" t="n"/>
    </row>
    <row r="475" ht="15.75" customHeight="1" s="108">
      <c r="A475" s="4" t="n"/>
      <c r="B475" s="4" t="n"/>
      <c r="C475" s="4" t="n"/>
      <c r="D475" s="4" t="n"/>
      <c r="E475" s="4" t="n"/>
      <c r="F475" s="4" t="n"/>
      <c r="G475" s="4" t="n"/>
      <c r="H475" s="4" t="n"/>
      <c r="I475" s="4" t="n"/>
      <c r="J475" s="4" t="n"/>
      <c r="K475" s="4" t="n"/>
      <c r="L475" s="4" t="n"/>
      <c r="M475" s="4" t="n"/>
      <c r="N475" s="4" t="n"/>
      <c r="O475" s="4" t="n"/>
      <c r="P475" s="4" t="n"/>
      <c r="Q475" s="4" t="n"/>
      <c r="R475" s="4" t="n"/>
    </row>
    <row r="476" ht="15.75" customHeight="1" s="108">
      <c r="A476" s="4" t="n"/>
      <c r="B476" s="4" t="n"/>
      <c r="C476" s="4" t="n"/>
      <c r="D476" s="4" t="n"/>
      <c r="E476" s="4" t="n"/>
      <c r="F476" s="4" t="n"/>
      <c r="G476" s="4" t="n"/>
      <c r="H476" s="4" t="n"/>
      <c r="I476" s="4" t="n"/>
      <c r="J476" s="4" t="n"/>
      <c r="K476" s="4" t="n"/>
      <c r="L476" s="4" t="n"/>
      <c r="M476" s="4" t="n"/>
      <c r="N476" s="4" t="n"/>
      <c r="O476" s="4" t="n"/>
      <c r="P476" s="4" t="n"/>
      <c r="Q476" s="4" t="n"/>
      <c r="R476" s="4" t="n"/>
    </row>
    <row r="477" ht="15.75" customHeight="1" s="108">
      <c r="A477" s="4" t="n"/>
      <c r="B477" s="4" t="n"/>
      <c r="C477" s="4" t="n"/>
      <c r="D477" s="4" t="n"/>
      <c r="E477" s="4" t="n"/>
      <c r="F477" s="4" t="n"/>
      <c r="G477" s="4" t="n"/>
      <c r="H477" s="4" t="n"/>
      <c r="I477" s="4" t="n"/>
      <c r="J477" s="4" t="n"/>
      <c r="K477" s="4" t="n"/>
      <c r="L477" s="4" t="n"/>
      <c r="M477" s="4" t="n"/>
      <c r="N477" s="4" t="n"/>
      <c r="O477" s="4" t="n"/>
      <c r="P477" s="4" t="n"/>
      <c r="Q477" s="4" t="n"/>
      <c r="R477" s="4" t="n"/>
    </row>
    <row r="478" ht="15.75" customHeight="1" s="108">
      <c r="A478" s="4" t="n"/>
      <c r="B478" s="4" t="n"/>
      <c r="C478" s="4" t="n"/>
      <c r="D478" s="4" t="n"/>
      <c r="E478" s="4" t="n"/>
      <c r="F478" s="4" t="n"/>
      <c r="G478" s="4" t="n"/>
      <c r="H478" s="4" t="n"/>
      <c r="I478" s="4" t="n"/>
      <c r="J478" s="4" t="n"/>
      <c r="K478" s="4" t="n"/>
      <c r="L478" s="4" t="n"/>
      <c r="M478" s="4" t="n"/>
      <c r="N478" s="4" t="n"/>
      <c r="O478" s="4" t="n"/>
      <c r="P478" s="4" t="n"/>
      <c r="Q478" s="4" t="n"/>
      <c r="R478" s="4" t="n"/>
    </row>
    <row r="479" ht="15.75" customHeight="1" s="108">
      <c r="A479" s="4" t="n"/>
      <c r="B479" s="4" t="n"/>
      <c r="C479" s="4" t="n"/>
      <c r="D479" s="4" t="n"/>
      <c r="E479" s="4" t="n"/>
      <c r="F479" s="4" t="n"/>
      <c r="G479" s="4" t="n"/>
      <c r="H479" s="4" t="n"/>
      <c r="I479" s="4" t="n"/>
      <c r="J479" s="4" t="n"/>
      <c r="K479" s="4" t="n"/>
      <c r="L479" s="4" t="n"/>
      <c r="M479" s="4" t="n"/>
      <c r="N479" s="4" t="n"/>
      <c r="O479" s="4" t="n"/>
      <c r="P479" s="4" t="n"/>
      <c r="Q479" s="4" t="n"/>
      <c r="R479" s="4" t="n"/>
    </row>
    <row r="480" ht="15.75" customHeight="1" s="108">
      <c r="A480" s="4" t="n"/>
      <c r="B480" s="4" t="n"/>
      <c r="C480" s="4" t="n"/>
      <c r="D480" s="4" t="n"/>
      <c r="E480" s="4" t="n"/>
      <c r="F480" s="4" t="n"/>
      <c r="G480" s="4" t="n"/>
      <c r="H480" s="4" t="n"/>
      <c r="I480" s="4" t="n"/>
      <c r="J480" s="4" t="n"/>
      <c r="K480" s="4" t="n"/>
      <c r="L480" s="4" t="n"/>
      <c r="M480" s="4" t="n"/>
      <c r="N480" s="4" t="n"/>
      <c r="O480" s="4" t="n"/>
      <c r="P480" s="4" t="n"/>
      <c r="Q480" s="4" t="n"/>
      <c r="R480" s="4" t="n"/>
    </row>
    <row r="481" ht="15.75" customHeight="1" s="108">
      <c r="A481" s="4" t="n"/>
      <c r="B481" s="4" t="n"/>
      <c r="C481" s="4" t="n"/>
      <c r="D481" s="4" t="n"/>
      <c r="E481" s="4" t="n"/>
      <c r="F481" s="4" t="n"/>
      <c r="G481" s="4" t="n"/>
      <c r="H481" s="4" t="n"/>
      <c r="I481" s="4" t="n"/>
      <c r="J481" s="4" t="n"/>
      <c r="K481" s="4" t="n"/>
      <c r="L481" s="4" t="n"/>
      <c r="M481" s="4" t="n"/>
      <c r="N481" s="4" t="n"/>
      <c r="O481" s="4" t="n"/>
      <c r="P481" s="4" t="n"/>
      <c r="Q481" s="4" t="n"/>
      <c r="R481" s="4" t="n"/>
    </row>
    <row r="482" ht="15.75" customHeight="1" s="108">
      <c r="A482" s="4" t="n"/>
      <c r="B482" s="4" t="n"/>
      <c r="C482" s="4" t="n"/>
      <c r="D482" s="4" t="n"/>
      <c r="E482" s="4" t="n"/>
      <c r="F482" s="4" t="n"/>
      <c r="G482" s="4" t="n"/>
      <c r="H482" s="4" t="n"/>
      <c r="I482" s="4" t="n"/>
      <c r="J482" s="4" t="n"/>
      <c r="K482" s="4" t="n"/>
      <c r="L482" s="4" t="n"/>
      <c r="M482" s="4" t="n"/>
      <c r="N482" s="4" t="n"/>
      <c r="O482" s="4" t="n"/>
      <c r="P482" s="4" t="n"/>
      <c r="Q482" s="4" t="n"/>
      <c r="R482" s="4" t="n"/>
    </row>
    <row r="483" ht="15.75" customHeight="1" s="108">
      <c r="A483" s="4" t="n"/>
      <c r="B483" s="4" t="n"/>
      <c r="C483" s="4" t="n"/>
      <c r="D483" s="4" t="n"/>
      <c r="E483" s="4" t="n"/>
      <c r="F483" s="4" t="n"/>
      <c r="G483" s="4" t="n"/>
      <c r="H483" s="4" t="n"/>
      <c r="I483" s="4" t="n"/>
      <c r="J483" s="4" t="n"/>
      <c r="K483" s="4" t="n"/>
      <c r="L483" s="4" t="n"/>
      <c r="M483" s="4" t="n"/>
      <c r="N483" s="4" t="n"/>
      <c r="O483" s="4" t="n"/>
      <c r="P483" s="4" t="n"/>
      <c r="Q483" s="4" t="n"/>
      <c r="R483" s="4" t="n"/>
    </row>
    <row r="484" ht="15.75" customHeight="1" s="108">
      <c r="A484" s="4" t="n"/>
      <c r="B484" s="4" t="n"/>
      <c r="C484" s="4" t="n"/>
      <c r="D484" s="4" t="n"/>
      <c r="E484" s="4" t="n"/>
      <c r="F484" s="4" t="n"/>
      <c r="G484" s="4" t="n"/>
      <c r="H484" s="4" t="n"/>
      <c r="I484" s="4" t="n"/>
      <c r="J484" s="4" t="n"/>
      <c r="K484" s="4" t="n"/>
      <c r="L484" s="4" t="n"/>
      <c r="M484" s="4" t="n"/>
      <c r="N484" s="4" t="n"/>
      <c r="O484" s="4" t="n"/>
      <c r="P484" s="4" t="n"/>
      <c r="Q484" s="4" t="n"/>
      <c r="R484" s="4" t="n"/>
    </row>
    <row r="485" ht="15.75" customHeight="1" s="108">
      <c r="A485" s="4" t="n"/>
      <c r="B485" s="4" t="n"/>
      <c r="C485" s="4" t="n"/>
      <c r="D485" s="4" t="n"/>
      <c r="E485" s="4" t="n"/>
      <c r="F485" s="4" t="n"/>
      <c r="G485" s="4" t="n"/>
      <c r="H485" s="4" t="n"/>
      <c r="I485" s="4" t="n"/>
      <c r="J485" s="4" t="n"/>
      <c r="K485" s="4" t="n"/>
      <c r="L485" s="4" t="n"/>
      <c r="M485" s="4" t="n"/>
      <c r="N485" s="4" t="n"/>
      <c r="O485" s="4" t="n"/>
      <c r="P485" s="4" t="n"/>
      <c r="Q485" s="4" t="n"/>
      <c r="R485" s="4" t="n"/>
    </row>
    <row r="486" ht="15.75" customHeight="1" s="108">
      <c r="A486" s="4" t="n"/>
      <c r="B486" s="4" t="n"/>
      <c r="C486" s="4" t="n"/>
      <c r="D486" s="4" t="n"/>
      <c r="E486" s="4" t="n"/>
      <c r="F486" s="4" t="n"/>
      <c r="G486" s="4" t="n"/>
      <c r="H486" s="4" t="n"/>
      <c r="I486" s="4" t="n"/>
      <c r="J486" s="4" t="n"/>
      <c r="K486" s="4" t="n"/>
      <c r="L486" s="4" t="n"/>
      <c r="M486" s="4" t="n"/>
      <c r="N486" s="4" t="n"/>
      <c r="O486" s="4" t="n"/>
      <c r="P486" s="4" t="n"/>
      <c r="Q486" s="4" t="n"/>
      <c r="R486" s="4" t="n"/>
    </row>
    <row r="487" ht="15.75" customHeight="1" s="108">
      <c r="A487" s="4" t="n"/>
      <c r="B487" s="4" t="n"/>
      <c r="C487" s="4" t="n"/>
      <c r="D487" s="4" t="n"/>
      <c r="E487" s="4" t="n"/>
      <c r="F487" s="4" t="n"/>
      <c r="G487" s="4" t="n"/>
      <c r="H487" s="4" t="n"/>
      <c r="I487" s="4" t="n"/>
      <c r="J487" s="4" t="n"/>
      <c r="K487" s="4" t="n"/>
      <c r="L487" s="4" t="n"/>
      <c r="M487" s="4" t="n"/>
      <c r="N487" s="4" t="n"/>
      <c r="O487" s="4" t="n"/>
      <c r="P487" s="4" t="n"/>
      <c r="Q487" s="4" t="n"/>
      <c r="R487" s="4" t="n"/>
    </row>
    <row r="488" ht="15.75" customHeight="1" s="108">
      <c r="A488" s="4" t="n"/>
      <c r="B488" s="4" t="n"/>
      <c r="C488" s="4" t="n"/>
      <c r="D488" s="4" t="n"/>
      <c r="E488" s="4" t="n"/>
      <c r="F488" s="4" t="n"/>
      <c r="G488" s="4" t="n"/>
      <c r="H488" s="4" t="n"/>
      <c r="I488" s="4" t="n"/>
      <c r="J488" s="4" t="n"/>
      <c r="K488" s="4" t="n"/>
      <c r="L488" s="4" t="n"/>
      <c r="M488" s="4" t="n"/>
      <c r="N488" s="4" t="n"/>
      <c r="O488" s="4" t="n"/>
      <c r="P488" s="4" t="n"/>
      <c r="Q488" s="4" t="n"/>
      <c r="R488" s="4" t="n"/>
    </row>
    <row r="489" ht="15.75" customHeight="1" s="108">
      <c r="A489" s="4" t="n"/>
      <c r="B489" s="4" t="n"/>
      <c r="C489" s="4" t="n"/>
      <c r="D489" s="4" t="n"/>
      <c r="E489" s="4" t="n"/>
      <c r="F489" s="4" t="n"/>
      <c r="G489" s="4" t="n"/>
      <c r="H489" s="4" t="n"/>
      <c r="I489" s="4" t="n"/>
      <c r="J489" s="4" t="n"/>
      <c r="K489" s="4" t="n"/>
      <c r="L489" s="4" t="n"/>
      <c r="M489" s="4" t="n"/>
      <c r="N489" s="4" t="n"/>
      <c r="O489" s="4" t="n"/>
      <c r="P489" s="4" t="n"/>
      <c r="Q489" s="4" t="n"/>
      <c r="R489" s="4" t="n"/>
    </row>
    <row r="490" ht="15.75" customHeight="1" s="108">
      <c r="A490" s="4" t="n"/>
      <c r="B490" s="4" t="n"/>
      <c r="C490" s="4" t="n"/>
      <c r="D490" s="4" t="n"/>
      <c r="E490" s="4" t="n"/>
      <c r="F490" s="4" t="n"/>
      <c r="G490" s="4" t="n"/>
      <c r="H490" s="4" t="n"/>
      <c r="I490" s="4" t="n"/>
      <c r="J490" s="4" t="n"/>
      <c r="K490" s="4" t="n"/>
      <c r="L490" s="4" t="n"/>
      <c r="M490" s="4" t="n"/>
      <c r="N490" s="4" t="n"/>
      <c r="O490" s="4" t="n"/>
      <c r="P490" s="4" t="n"/>
      <c r="Q490" s="4" t="n"/>
      <c r="R490" s="4" t="n"/>
    </row>
    <row r="491" ht="15.75" customHeight="1" s="108">
      <c r="A491" s="4" t="n"/>
      <c r="B491" s="4" t="n"/>
      <c r="C491" s="4" t="n"/>
      <c r="D491" s="4" t="n"/>
      <c r="E491" s="4" t="n"/>
      <c r="F491" s="4" t="n"/>
      <c r="G491" s="4" t="n"/>
      <c r="H491" s="4" t="n"/>
      <c r="I491" s="4" t="n"/>
      <c r="J491" s="4" t="n"/>
      <c r="K491" s="4" t="n"/>
      <c r="L491" s="4" t="n"/>
      <c r="M491" s="4" t="n"/>
      <c r="N491" s="4" t="n"/>
      <c r="O491" s="4" t="n"/>
      <c r="P491" s="4" t="n"/>
      <c r="Q491" s="4" t="n"/>
      <c r="R491" s="4" t="n"/>
    </row>
    <row r="492" ht="15.75" customHeight="1" s="108">
      <c r="A492" s="4" t="n"/>
      <c r="B492" s="4" t="n"/>
      <c r="C492" s="4" t="n"/>
      <c r="D492" s="4" t="n"/>
      <c r="E492" s="4" t="n"/>
      <c r="F492" s="4" t="n"/>
      <c r="G492" s="4" t="n"/>
      <c r="H492" s="4" t="n"/>
      <c r="I492" s="4" t="n"/>
      <c r="J492" s="4" t="n"/>
      <c r="K492" s="4" t="n"/>
      <c r="L492" s="4" t="n"/>
      <c r="M492" s="4" t="n"/>
      <c r="N492" s="4" t="n"/>
      <c r="O492" s="4" t="n"/>
      <c r="P492" s="4" t="n"/>
      <c r="Q492" s="4" t="n"/>
      <c r="R492" s="4" t="n"/>
    </row>
    <row r="493" ht="15.75" customHeight="1" s="108">
      <c r="A493" s="4" t="n"/>
      <c r="B493" s="4" t="n"/>
      <c r="C493" s="4" t="n"/>
      <c r="D493" s="4" t="n"/>
      <c r="E493" s="4" t="n"/>
      <c r="F493" s="4" t="n"/>
      <c r="G493" s="4" t="n"/>
      <c r="H493" s="4" t="n"/>
      <c r="I493" s="4" t="n"/>
      <c r="J493" s="4" t="n"/>
      <c r="K493" s="4" t="n"/>
      <c r="L493" s="4" t="n"/>
      <c r="M493" s="4" t="n"/>
      <c r="N493" s="4" t="n"/>
      <c r="O493" s="4" t="n"/>
      <c r="P493" s="4" t="n"/>
      <c r="Q493" s="4" t="n"/>
      <c r="R493" s="4" t="n"/>
    </row>
    <row r="494" ht="15.75" customHeight="1" s="108">
      <c r="A494" s="4" t="n"/>
      <c r="B494" s="4" t="n"/>
      <c r="C494" s="4" t="n"/>
      <c r="D494" s="4" t="n"/>
      <c r="E494" s="4" t="n"/>
      <c r="F494" s="4" t="n"/>
      <c r="G494" s="4" t="n"/>
      <c r="H494" s="4" t="n"/>
      <c r="I494" s="4" t="n"/>
      <c r="J494" s="4" t="n"/>
      <c r="K494" s="4" t="n"/>
      <c r="L494" s="4" t="n"/>
      <c r="M494" s="4" t="n"/>
      <c r="N494" s="4" t="n"/>
      <c r="O494" s="4" t="n"/>
      <c r="P494" s="4" t="n"/>
      <c r="Q494" s="4" t="n"/>
      <c r="R494" s="4" t="n"/>
    </row>
    <row r="495" ht="15.75" customHeight="1" s="108">
      <c r="A495" s="4" t="n"/>
      <c r="B495" s="4" t="n"/>
      <c r="C495" s="4" t="n"/>
      <c r="D495" s="4" t="n"/>
      <c r="E495" s="4" t="n"/>
      <c r="F495" s="4" t="n"/>
      <c r="G495" s="4" t="n"/>
      <c r="H495" s="4" t="n"/>
      <c r="I495" s="4" t="n"/>
      <c r="J495" s="4" t="n"/>
      <c r="K495" s="4" t="n"/>
      <c r="L495" s="4" t="n"/>
      <c r="M495" s="4" t="n"/>
      <c r="N495" s="4" t="n"/>
      <c r="O495" s="4" t="n"/>
      <c r="P495" s="4" t="n"/>
      <c r="Q495" s="4" t="n"/>
      <c r="R495" s="4" t="n"/>
    </row>
    <row r="496" ht="15.75" customHeight="1" s="108">
      <c r="A496" s="4" t="n"/>
      <c r="B496" s="4" t="n"/>
      <c r="C496" s="4" t="n"/>
      <c r="D496" s="4" t="n"/>
      <c r="E496" s="4" t="n"/>
      <c r="F496" s="4" t="n"/>
      <c r="G496" s="4" t="n"/>
      <c r="H496" s="4" t="n"/>
      <c r="I496" s="4" t="n"/>
      <c r="J496" s="4" t="n"/>
      <c r="K496" s="4" t="n"/>
      <c r="L496" s="4" t="n"/>
      <c r="M496" s="4" t="n"/>
      <c r="N496" s="4" t="n"/>
      <c r="O496" s="4" t="n"/>
      <c r="P496" s="4" t="n"/>
      <c r="Q496" s="4" t="n"/>
      <c r="R496" s="4" t="n"/>
    </row>
    <row r="497" ht="15.75" customHeight="1" s="108">
      <c r="A497" s="4" t="n"/>
      <c r="B497" s="4" t="n"/>
      <c r="C497" s="4" t="n"/>
      <c r="D497" s="4" t="n"/>
      <c r="E497" s="4" t="n"/>
      <c r="F497" s="4" t="n"/>
      <c r="G497" s="4" t="n"/>
      <c r="H497" s="4" t="n"/>
      <c r="I497" s="4" t="n"/>
      <c r="J497" s="4" t="n"/>
      <c r="K497" s="4" t="n"/>
      <c r="L497" s="4" t="n"/>
      <c r="M497" s="4" t="n"/>
      <c r="N497" s="4" t="n"/>
      <c r="O497" s="4" t="n"/>
      <c r="P497" s="4" t="n"/>
      <c r="Q497" s="4" t="n"/>
      <c r="R497" s="4" t="n"/>
    </row>
    <row r="498" ht="15.75" customHeight="1" s="108">
      <c r="A498" s="4" t="n"/>
      <c r="B498" s="4" t="n"/>
      <c r="C498" s="4" t="n"/>
      <c r="D498" s="4" t="n"/>
      <c r="E498" s="4" t="n"/>
      <c r="F498" s="4" t="n"/>
      <c r="G498" s="4" t="n"/>
      <c r="H498" s="4" t="n"/>
      <c r="I498" s="4" t="n"/>
      <c r="J498" s="4" t="n"/>
      <c r="K498" s="4" t="n"/>
      <c r="L498" s="4" t="n"/>
      <c r="M498" s="4" t="n"/>
      <c r="N498" s="4" t="n"/>
      <c r="O498" s="4" t="n"/>
      <c r="P498" s="4" t="n"/>
      <c r="Q498" s="4" t="n"/>
      <c r="R498" s="4" t="n"/>
    </row>
    <row r="499" ht="15.75" customHeight="1" s="108">
      <c r="A499" s="4" t="n"/>
      <c r="B499" s="4" t="n"/>
      <c r="C499" s="4" t="n"/>
      <c r="D499" s="4" t="n"/>
      <c r="E499" s="4" t="n"/>
      <c r="F499" s="4" t="n"/>
      <c r="G499" s="4" t="n"/>
      <c r="H499" s="4" t="n"/>
      <c r="I499" s="4" t="n"/>
      <c r="J499" s="4" t="n"/>
      <c r="K499" s="4" t="n"/>
      <c r="L499" s="4" t="n"/>
      <c r="M499" s="4" t="n"/>
      <c r="N499" s="4" t="n"/>
      <c r="O499" s="4" t="n"/>
      <c r="P499" s="4" t="n"/>
      <c r="Q499" s="4" t="n"/>
      <c r="R499" s="4" t="n"/>
    </row>
    <row r="500" ht="15.75" customHeight="1" s="108">
      <c r="A500" s="4" t="n"/>
      <c r="B500" s="4" t="n"/>
      <c r="C500" s="4" t="n"/>
      <c r="D500" s="4" t="n"/>
      <c r="E500" s="4" t="n"/>
      <c r="F500" s="4" t="n"/>
      <c r="G500" s="4" t="n"/>
      <c r="H500" s="4" t="n"/>
      <c r="I500" s="4" t="n"/>
      <c r="J500" s="4" t="n"/>
      <c r="K500" s="4" t="n"/>
      <c r="L500" s="4" t="n"/>
      <c r="M500" s="4" t="n"/>
      <c r="N500" s="4" t="n"/>
      <c r="O500" s="4" t="n"/>
      <c r="P500" s="4" t="n"/>
      <c r="Q500" s="4" t="n"/>
      <c r="R500" s="4" t="n"/>
    </row>
    <row r="501" ht="15.75" customHeight="1" s="108">
      <c r="A501" s="4" t="n"/>
      <c r="B501" s="4" t="n"/>
      <c r="C501" s="4" t="n"/>
      <c r="D501" s="4" t="n"/>
      <c r="E501" s="4" t="n"/>
      <c r="F501" s="4" t="n"/>
      <c r="G501" s="4" t="n"/>
      <c r="H501" s="4" t="n"/>
      <c r="I501" s="4" t="n"/>
      <c r="J501" s="4" t="n"/>
      <c r="K501" s="4" t="n"/>
      <c r="L501" s="4" t="n"/>
      <c r="M501" s="4" t="n"/>
      <c r="N501" s="4" t="n"/>
      <c r="O501" s="4" t="n"/>
      <c r="P501" s="4" t="n"/>
      <c r="Q501" s="4" t="n"/>
      <c r="R501" s="4" t="n"/>
    </row>
    <row r="502" ht="15.75" customHeight="1" s="108">
      <c r="A502" s="4" t="n"/>
      <c r="B502" s="4" t="n"/>
      <c r="C502" s="4" t="n"/>
      <c r="D502" s="4" t="n"/>
      <c r="E502" s="4" t="n"/>
      <c r="F502" s="4" t="n"/>
      <c r="G502" s="4" t="n"/>
      <c r="H502" s="4" t="n"/>
      <c r="I502" s="4" t="n"/>
      <c r="J502" s="4" t="n"/>
      <c r="K502" s="4" t="n"/>
      <c r="L502" s="4" t="n"/>
      <c r="M502" s="4" t="n"/>
      <c r="N502" s="4" t="n"/>
      <c r="O502" s="4" t="n"/>
      <c r="P502" s="4" t="n"/>
      <c r="Q502" s="4" t="n"/>
      <c r="R502" s="4" t="n"/>
    </row>
    <row r="503" ht="15.75" customHeight="1" s="108">
      <c r="A503" s="4" t="n"/>
      <c r="B503" s="4" t="n"/>
      <c r="C503" s="4" t="n"/>
      <c r="D503" s="4" t="n"/>
      <c r="E503" s="4" t="n"/>
      <c r="F503" s="4" t="n"/>
      <c r="G503" s="4" t="n"/>
      <c r="H503" s="4" t="n"/>
      <c r="I503" s="4" t="n"/>
      <c r="J503" s="4" t="n"/>
      <c r="K503" s="4" t="n"/>
      <c r="L503" s="4" t="n"/>
      <c r="M503" s="4" t="n"/>
      <c r="N503" s="4" t="n"/>
      <c r="O503" s="4" t="n"/>
      <c r="P503" s="4" t="n"/>
      <c r="Q503" s="4" t="n"/>
      <c r="R503" s="4" t="n"/>
    </row>
    <row r="504" ht="15.75" customHeight="1" s="108">
      <c r="A504" s="4" t="n"/>
      <c r="B504" s="4" t="n"/>
      <c r="C504" s="4" t="n"/>
      <c r="D504" s="4" t="n"/>
      <c r="E504" s="4" t="n"/>
      <c r="F504" s="4" t="n"/>
      <c r="G504" s="4" t="n"/>
      <c r="H504" s="4" t="n"/>
      <c r="I504" s="4" t="n"/>
      <c r="J504" s="4" t="n"/>
      <c r="K504" s="4" t="n"/>
      <c r="L504" s="4" t="n"/>
      <c r="M504" s="4" t="n"/>
      <c r="N504" s="4" t="n"/>
      <c r="O504" s="4" t="n"/>
      <c r="P504" s="4" t="n"/>
      <c r="Q504" s="4" t="n"/>
      <c r="R504" s="4" t="n"/>
    </row>
    <row r="505" ht="15.75" customHeight="1" s="108">
      <c r="A505" s="4" t="n"/>
      <c r="B505" s="4" t="n"/>
      <c r="C505" s="4" t="n"/>
      <c r="D505" s="4" t="n"/>
      <c r="E505" s="4" t="n"/>
      <c r="F505" s="4" t="n"/>
      <c r="G505" s="4" t="n"/>
      <c r="H505" s="4" t="n"/>
      <c r="I505" s="4" t="n"/>
      <c r="J505" s="4" t="n"/>
      <c r="K505" s="4" t="n"/>
      <c r="L505" s="4" t="n"/>
      <c r="M505" s="4" t="n"/>
      <c r="N505" s="4" t="n"/>
      <c r="O505" s="4" t="n"/>
      <c r="P505" s="4" t="n"/>
      <c r="Q505" s="4" t="n"/>
      <c r="R505" s="4" t="n"/>
    </row>
    <row r="506" ht="15.75" customHeight="1" s="108">
      <c r="A506" s="4" t="n"/>
      <c r="B506" s="4" t="n"/>
      <c r="C506" s="4" t="n"/>
      <c r="D506" s="4" t="n"/>
      <c r="E506" s="4" t="n"/>
      <c r="F506" s="4" t="n"/>
      <c r="G506" s="4" t="n"/>
      <c r="H506" s="4" t="n"/>
      <c r="I506" s="4" t="n"/>
      <c r="J506" s="4" t="n"/>
      <c r="K506" s="4" t="n"/>
      <c r="L506" s="4" t="n"/>
      <c r="M506" s="4" t="n"/>
      <c r="N506" s="4" t="n"/>
      <c r="O506" s="4" t="n"/>
      <c r="P506" s="4" t="n"/>
      <c r="Q506" s="4" t="n"/>
      <c r="R506" s="4" t="n"/>
    </row>
    <row r="507" ht="15.75" customHeight="1" s="108">
      <c r="A507" s="4" t="n"/>
      <c r="B507" s="4" t="n"/>
      <c r="C507" s="4" t="n"/>
      <c r="D507" s="4" t="n"/>
      <c r="E507" s="4" t="n"/>
      <c r="F507" s="4" t="n"/>
      <c r="G507" s="4" t="n"/>
      <c r="H507" s="4" t="n"/>
      <c r="I507" s="4" t="n"/>
      <c r="J507" s="4" t="n"/>
      <c r="K507" s="4" t="n"/>
      <c r="L507" s="4" t="n"/>
      <c r="M507" s="4" t="n"/>
      <c r="N507" s="4" t="n"/>
      <c r="O507" s="4" t="n"/>
      <c r="P507" s="4" t="n"/>
      <c r="Q507" s="4" t="n"/>
      <c r="R507" s="4" t="n"/>
    </row>
    <row r="508" ht="15.75" customHeight="1" s="108">
      <c r="A508" s="4" t="n"/>
      <c r="B508" s="4" t="n"/>
      <c r="C508" s="4" t="n"/>
      <c r="D508" s="4" t="n"/>
      <c r="E508" s="4" t="n"/>
      <c r="F508" s="4" t="n"/>
      <c r="G508" s="4" t="n"/>
      <c r="H508" s="4" t="n"/>
      <c r="I508" s="4" t="n"/>
      <c r="J508" s="4" t="n"/>
      <c r="K508" s="4" t="n"/>
      <c r="L508" s="4" t="n"/>
      <c r="M508" s="4" t="n"/>
      <c r="N508" s="4" t="n"/>
      <c r="O508" s="4" t="n"/>
      <c r="P508" s="4" t="n"/>
      <c r="Q508" s="4" t="n"/>
      <c r="R508" s="4" t="n"/>
    </row>
    <row r="509" ht="15.75" customHeight="1" s="108">
      <c r="A509" s="4" t="n"/>
      <c r="B509" s="4" t="n"/>
      <c r="C509" s="4" t="n"/>
      <c r="D509" s="4" t="n"/>
      <c r="E509" s="4" t="n"/>
      <c r="F509" s="4" t="n"/>
      <c r="G509" s="4" t="n"/>
      <c r="H509" s="4" t="n"/>
      <c r="I509" s="4" t="n"/>
      <c r="J509" s="4" t="n"/>
      <c r="K509" s="4" t="n"/>
      <c r="L509" s="4" t="n"/>
      <c r="M509" s="4" t="n"/>
      <c r="N509" s="4" t="n"/>
      <c r="O509" s="4" t="n"/>
      <c r="P509" s="4" t="n"/>
      <c r="Q509" s="4" t="n"/>
      <c r="R509" s="4" t="n"/>
    </row>
    <row r="510" ht="15.75" customHeight="1" s="108">
      <c r="A510" s="4" t="n"/>
      <c r="B510" s="4" t="n"/>
      <c r="C510" s="4" t="n"/>
      <c r="D510" s="4" t="n"/>
      <c r="E510" s="4" t="n"/>
      <c r="F510" s="4" t="n"/>
      <c r="G510" s="4" t="n"/>
      <c r="H510" s="4" t="n"/>
      <c r="I510" s="4" t="n"/>
      <c r="J510" s="4" t="n"/>
      <c r="K510" s="4" t="n"/>
      <c r="L510" s="4" t="n"/>
      <c r="M510" s="4" t="n"/>
      <c r="N510" s="4" t="n"/>
      <c r="O510" s="4" t="n"/>
      <c r="P510" s="4" t="n"/>
      <c r="Q510" s="4" t="n"/>
      <c r="R510" s="4" t="n"/>
    </row>
    <row r="511" ht="15.75" customHeight="1" s="108">
      <c r="A511" s="4" t="n"/>
      <c r="B511" s="4" t="n"/>
      <c r="C511" s="4" t="n"/>
      <c r="D511" s="4" t="n"/>
      <c r="E511" s="4" t="n"/>
      <c r="F511" s="4" t="n"/>
      <c r="G511" s="4" t="n"/>
      <c r="H511" s="4" t="n"/>
      <c r="I511" s="4" t="n"/>
      <c r="J511" s="4" t="n"/>
      <c r="K511" s="4" t="n"/>
      <c r="L511" s="4" t="n"/>
      <c r="M511" s="4" t="n"/>
      <c r="N511" s="4" t="n"/>
      <c r="O511" s="4" t="n"/>
      <c r="P511" s="4" t="n"/>
      <c r="Q511" s="4" t="n"/>
      <c r="R511" s="4" t="n"/>
    </row>
    <row r="512" ht="15.75" customHeight="1" s="108">
      <c r="A512" s="4" t="n"/>
      <c r="B512" s="4" t="n"/>
      <c r="C512" s="4" t="n"/>
      <c r="D512" s="4" t="n"/>
      <c r="E512" s="4" t="n"/>
      <c r="F512" s="4" t="n"/>
      <c r="G512" s="4" t="n"/>
      <c r="H512" s="4" t="n"/>
      <c r="I512" s="4" t="n"/>
      <c r="J512" s="4" t="n"/>
      <c r="K512" s="4" t="n"/>
      <c r="L512" s="4" t="n"/>
      <c r="M512" s="4" t="n"/>
      <c r="N512" s="4" t="n"/>
      <c r="O512" s="4" t="n"/>
      <c r="P512" s="4" t="n"/>
      <c r="Q512" s="4" t="n"/>
      <c r="R512" s="4" t="n"/>
    </row>
    <row r="513" ht="15.75" customHeight="1" s="108">
      <c r="A513" s="4" t="n"/>
      <c r="B513" s="4" t="n"/>
      <c r="C513" s="4" t="n"/>
      <c r="D513" s="4" t="n"/>
      <c r="E513" s="4" t="n"/>
      <c r="F513" s="4" t="n"/>
      <c r="G513" s="4" t="n"/>
      <c r="H513" s="4" t="n"/>
      <c r="I513" s="4" t="n"/>
      <c r="J513" s="4" t="n"/>
      <c r="K513" s="4" t="n"/>
      <c r="L513" s="4" t="n"/>
      <c r="M513" s="4" t="n"/>
      <c r="N513" s="4" t="n"/>
      <c r="O513" s="4" t="n"/>
      <c r="P513" s="4" t="n"/>
      <c r="Q513" s="4" t="n"/>
      <c r="R513" s="4" t="n"/>
    </row>
    <row r="514" ht="15.75" customHeight="1" s="108">
      <c r="A514" s="4" t="n"/>
      <c r="B514" s="4" t="n"/>
      <c r="C514" s="4" t="n"/>
      <c r="D514" s="4" t="n"/>
      <c r="E514" s="4" t="n"/>
      <c r="F514" s="4" t="n"/>
      <c r="G514" s="4" t="n"/>
      <c r="H514" s="4" t="n"/>
      <c r="I514" s="4" t="n"/>
      <c r="J514" s="4" t="n"/>
      <c r="K514" s="4" t="n"/>
      <c r="L514" s="4" t="n"/>
      <c r="M514" s="4" t="n"/>
      <c r="N514" s="4" t="n"/>
      <c r="O514" s="4" t="n"/>
      <c r="P514" s="4" t="n"/>
      <c r="Q514" s="4" t="n"/>
      <c r="R514" s="4" t="n"/>
    </row>
    <row r="515" ht="15.75" customHeight="1" s="108">
      <c r="A515" s="4" t="n"/>
      <c r="B515" s="4" t="n"/>
      <c r="C515" s="4" t="n"/>
      <c r="D515" s="4" t="n"/>
      <c r="E515" s="4" t="n"/>
      <c r="F515" s="4" t="n"/>
      <c r="G515" s="4" t="n"/>
      <c r="H515" s="4" t="n"/>
      <c r="I515" s="4" t="n"/>
      <c r="J515" s="4" t="n"/>
      <c r="K515" s="4" t="n"/>
      <c r="L515" s="4" t="n"/>
      <c r="M515" s="4" t="n"/>
      <c r="N515" s="4" t="n"/>
      <c r="O515" s="4" t="n"/>
      <c r="P515" s="4" t="n"/>
      <c r="Q515" s="4" t="n"/>
      <c r="R515" s="4" t="n"/>
    </row>
    <row r="516" ht="15.75" customHeight="1" s="108">
      <c r="A516" s="4" t="n"/>
      <c r="B516" s="4" t="n"/>
      <c r="C516" s="4" t="n"/>
      <c r="D516" s="4" t="n"/>
      <c r="E516" s="4" t="n"/>
      <c r="F516" s="4" t="n"/>
      <c r="G516" s="4" t="n"/>
      <c r="H516" s="4" t="n"/>
      <c r="I516" s="4" t="n"/>
      <c r="J516" s="4" t="n"/>
      <c r="K516" s="4" t="n"/>
      <c r="L516" s="4" t="n"/>
      <c r="M516" s="4" t="n"/>
      <c r="N516" s="4" t="n"/>
      <c r="O516" s="4" t="n"/>
      <c r="P516" s="4" t="n"/>
      <c r="Q516" s="4" t="n"/>
      <c r="R516" s="4" t="n"/>
    </row>
    <row r="517" ht="15.75" customHeight="1" s="108">
      <c r="A517" s="4" t="n"/>
      <c r="B517" s="4" t="n"/>
      <c r="C517" s="4" t="n"/>
      <c r="D517" s="4" t="n"/>
      <c r="E517" s="4" t="n"/>
      <c r="F517" s="4" t="n"/>
      <c r="G517" s="4" t="n"/>
      <c r="H517" s="4" t="n"/>
      <c r="I517" s="4" t="n"/>
      <c r="J517" s="4" t="n"/>
      <c r="K517" s="4" t="n"/>
      <c r="L517" s="4" t="n"/>
      <c r="M517" s="4" t="n"/>
      <c r="N517" s="4" t="n"/>
      <c r="O517" s="4" t="n"/>
      <c r="P517" s="4" t="n"/>
      <c r="Q517" s="4" t="n"/>
      <c r="R517" s="4" t="n"/>
    </row>
    <row r="518" ht="15.75" customHeight="1" s="108">
      <c r="A518" s="4" t="n"/>
      <c r="B518" s="4" t="n"/>
      <c r="C518" s="4" t="n"/>
      <c r="D518" s="4" t="n"/>
      <c r="E518" s="4" t="n"/>
      <c r="F518" s="4" t="n"/>
      <c r="G518" s="4" t="n"/>
      <c r="H518" s="4" t="n"/>
      <c r="I518" s="4" t="n"/>
      <c r="J518" s="4" t="n"/>
      <c r="K518" s="4" t="n"/>
      <c r="L518" s="4" t="n"/>
      <c r="M518" s="4" t="n"/>
      <c r="N518" s="4" t="n"/>
      <c r="O518" s="4" t="n"/>
      <c r="P518" s="4" t="n"/>
      <c r="Q518" s="4" t="n"/>
      <c r="R518" s="4" t="n"/>
    </row>
    <row r="519" ht="15.75" customHeight="1" s="108">
      <c r="A519" s="4" t="n"/>
      <c r="B519" s="4" t="n"/>
      <c r="C519" s="4" t="n"/>
      <c r="D519" s="4" t="n"/>
      <c r="E519" s="4" t="n"/>
      <c r="F519" s="4" t="n"/>
      <c r="G519" s="4" t="n"/>
      <c r="H519" s="4" t="n"/>
      <c r="I519" s="4" t="n"/>
      <c r="J519" s="4" t="n"/>
      <c r="K519" s="4" t="n"/>
      <c r="L519" s="4" t="n"/>
      <c r="M519" s="4" t="n"/>
      <c r="N519" s="4" t="n"/>
      <c r="O519" s="4" t="n"/>
      <c r="P519" s="4" t="n"/>
      <c r="Q519" s="4" t="n"/>
      <c r="R519" s="4" t="n"/>
    </row>
    <row r="520" ht="15.75" customHeight="1" s="108">
      <c r="A520" s="4" t="n"/>
      <c r="B520" s="4" t="n"/>
      <c r="C520" s="4" t="n"/>
      <c r="D520" s="4" t="n"/>
      <c r="E520" s="4" t="n"/>
      <c r="F520" s="4" t="n"/>
      <c r="G520" s="4" t="n"/>
      <c r="H520" s="4" t="n"/>
      <c r="I520" s="4" t="n"/>
      <c r="J520" s="4" t="n"/>
      <c r="K520" s="4" t="n"/>
      <c r="L520" s="4" t="n"/>
      <c r="M520" s="4" t="n"/>
      <c r="N520" s="4" t="n"/>
      <c r="O520" s="4" t="n"/>
      <c r="P520" s="4" t="n"/>
      <c r="Q520" s="4" t="n"/>
      <c r="R520" s="4" t="n"/>
    </row>
    <row r="521" ht="15.75" customHeight="1" s="108">
      <c r="A521" s="4" t="n"/>
      <c r="B521" s="4" t="n"/>
      <c r="C521" s="4" t="n"/>
      <c r="D521" s="4" t="n"/>
      <c r="E521" s="4" t="n"/>
      <c r="F521" s="4" t="n"/>
      <c r="G521" s="4" t="n"/>
      <c r="H521" s="4" t="n"/>
      <c r="I521" s="4" t="n"/>
      <c r="J521" s="4" t="n"/>
      <c r="K521" s="4" t="n"/>
      <c r="L521" s="4" t="n"/>
      <c r="M521" s="4" t="n"/>
      <c r="N521" s="4" t="n"/>
      <c r="O521" s="4" t="n"/>
      <c r="P521" s="4" t="n"/>
      <c r="Q521" s="4" t="n"/>
      <c r="R521" s="4" t="n"/>
    </row>
    <row r="522" ht="15.75" customHeight="1" s="108">
      <c r="A522" s="4" t="n"/>
      <c r="B522" s="4" t="n"/>
      <c r="C522" s="4" t="n"/>
      <c r="D522" s="4" t="n"/>
      <c r="E522" s="4" t="n"/>
      <c r="F522" s="4" t="n"/>
      <c r="G522" s="4" t="n"/>
      <c r="H522" s="4" t="n"/>
      <c r="I522" s="4" t="n"/>
      <c r="J522" s="4" t="n"/>
      <c r="K522" s="4" t="n"/>
      <c r="L522" s="4" t="n"/>
      <c r="M522" s="4" t="n"/>
      <c r="N522" s="4" t="n"/>
      <c r="O522" s="4" t="n"/>
      <c r="P522" s="4" t="n"/>
      <c r="Q522" s="4" t="n"/>
      <c r="R522" s="4" t="n"/>
    </row>
    <row r="523" ht="15.75" customHeight="1" s="108">
      <c r="A523" s="4" t="n"/>
      <c r="B523" s="4" t="n"/>
      <c r="C523" s="4" t="n"/>
      <c r="D523" s="4" t="n"/>
      <c r="E523" s="4" t="n"/>
      <c r="F523" s="4" t="n"/>
      <c r="G523" s="4" t="n"/>
      <c r="H523" s="4" t="n"/>
      <c r="I523" s="4" t="n"/>
      <c r="J523" s="4" t="n"/>
      <c r="K523" s="4" t="n"/>
      <c r="L523" s="4" t="n"/>
      <c r="M523" s="4" t="n"/>
      <c r="N523" s="4" t="n"/>
      <c r="O523" s="4" t="n"/>
      <c r="P523" s="4" t="n"/>
      <c r="Q523" s="4" t="n"/>
      <c r="R523" s="4" t="n"/>
    </row>
    <row r="524" ht="15.75" customHeight="1" s="108">
      <c r="A524" s="4" t="n"/>
      <c r="B524" s="4" t="n"/>
      <c r="C524" s="4" t="n"/>
      <c r="D524" s="4" t="n"/>
      <c r="E524" s="4" t="n"/>
      <c r="F524" s="4" t="n"/>
      <c r="G524" s="4" t="n"/>
      <c r="H524" s="4" t="n"/>
      <c r="I524" s="4" t="n"/>
      <c r="J524" s="4" t="n"/>
      <c r="K524" s="4" t="n"/>
      <c r="L524" s="4" t="n"/>
      <c r="M524" s="4" t="n"/>
      <c r="N524" s="4" t="n"/>
      <c r="O524" s="4" t="n"/>
      <c r="P524" s="4" t="n"/>
      <c r="Q524" s="4" t="n"/>
      <c r="R524" s="4" t="n"/>
    </row>
    <row r="525" ht="15.75" customHeight="1" s="108">
      <c r="A525" s="4" t="n"/>
      <c r="B525" s="4" t="n"/>
      <c r="C525" s="4" t="n"/>
      <c r="D525" s="4" t="n"/>
      <c r="E525" s="4" t="n"/>
      <c r="F525" s="4" t="n"/>
      <c r="G525" s="4" t="n"/>
      <c r="H525" s="4" t="n"/>
      <c r="I525" s="4" t="n"/>
      <c r="J525" s="4" t="n"/>
      <c r="K525" s="4" t="n"/>
      <c r="L525" s="4" t="n"/>
      <c r="M525" s="4" t="n"/>
      <c r="N525" s="4" t="n"/>
      <c r="O525" s="4" t="n"/>
      <c r="P525" s="4" t="n"/>
      <c r="Q525" s="4" t="n"/>
      <c r="R525" s="4" t="n"/>
    </row>
    <row r="526" ht="15.75" customHeight="1" s="108">
      <c r="A526" s="4" t="n"/>
      <c r="B526" s="4" t="n"/>
      <c r="C526" s="4" t="n"/>
      <c r="D526" s="4" t="n"/>
      <c r="E526" s="4" t="n"/>
      <c r="F526" s="4" t="n"/>
      <c r="G526" s="4" t="n"/>
      <c r="H526" s="4" t="n"/>
      <c r="I526" s="4" t="n"/>
      <c r="J526" s="4" t="n"/>
      <c r="K526" s="4" t="n"/>
      <c r="L526" s="4" t="n"/>
      <c r="M526" s="4" t="n"/>
      <c r="N526" s="4" t="n"/>
      <c r="O526" s="4" t="n"/>
      <c r="P526" s="4" t="n"/>
      <c r="Q526" s="4" t="n"/>
      <c r="R526" s="4" t="n"/>
    </row>
    <row r="527" ht="15.75" customHeight="1" s="108">
      <c r="A527" s="4" t="n"/>
      <c r="B527" s="4" t="n"/>
      <c r="C527" s="4" t="n"/>
      <c r="D527" s="4" t="n"/>
      <c r="E527" s="4" t="n"/>
      <c r="F527" s="4" t="n"/>
      <c r="G527" s="4" t="n"/>
      <c r="H527" s="4" t="n"/>
      <c r="I527" s="4" t="n"/>
      <c r="J527" s="4" t="n"/>
      <c r="K527" s="4" t="n"/>
      <c r="L527" s="4" t="n"/>
      <c r="M527" s="4" t="n"/>
      <c r="N527" s="4" t="n"/>
      <c r="O527" s="4" t="n"/>
      <c r="P527" s="4" t="n"/>
      <c r="Q527" s="4" t="n"/>
      <c r="R527" s="4" t="n"/>
    </row>
    <row r="528" ht="15.75" customHeight="1" s="108">
      <c r="A528" s="4" t="n"/>
      <c r="B528" s="4" t="n"/>
      <c r="C528" s="4" t="n"/>
      <c r="D528" s="4" t="n"/>
      <c r="E528" s="4" t="n"/>
      <c r="F528" s="4" t="n"/>
      <c r="G528" s="4" t="n"/>
      <c r="H528" s="4" t="n"/>
      <c r="I528" s="4" t="n"/>
      <c r="J528" s="4" t="n"/>
      <c r="K528" s="4" t="n"/>
      <c r="L528" s="4" t="n"/>
      <c r="M528" s="4" t="n"/>
      <c r="N528" s="4" t="n"/>
      <c r="O528" s="4" t="n"/>
      <c r="P528" s="4" t="n"/>
      <c r="Q528" s="4" t="n"/>
      <c r="R528" s="4" t="n"/>
    </row>
    <row r="529" ht="15.75" customHeight="1" s="108">
      <c r="A529" s="4" t="n"/>
      <c r="B529" s="4" t="n"/>
      <c r="C529" s="4" t="n"/>
      <c r="D529" s="4" t="n"/>
      <c r="E529" s="4" t="n"/>
      <c r="F529" s="4" t="n"/>
      <c r="G529" s="4" t="n"/>
      <c r="H529" s="4" t="n"/>
      <c r="I529" s="4" t="n"/>
      <c r="J529" s="4" t="n"/>
      <c r="K529" s="4" t="n"/>
      <c r="L529" s="4" t="n"/>
      <c r="M529" s="4" t="n"/>
      <c r="N529" s="4" t="n"/>
      <c r="O529" s="4" t="n"/>
      <c r="P529" s="4" t="n"/>
      <c r="Q529" s="4" t="n"/>
      <c r="R529" s="4" t="n"/>
    </row>
    <row r="530" ht="15.75" customHeight="1" s="108">
      <c r="A530" s="4" t="n"/>
      <c r="B530" s="4" t="n"/>
      <c r="C530" s="4" t="n"/>
      <c r="D530" s="4" t="n"/>
      <c r="E530" s="4" t="n"/>
      <c r="F530" s="4" t="n"/>
      <c r="G530" s="4" t="n"/>
      <c r="H530" s="4" t="n"/>
      <c r="I530" s="4" t="n"/>
      <c r="J530" s="4" t="n"/>
      <c r="K530" s="4" t="n"/>
      <c r="L530" s="4" t="n"/>
      <c r="M530" s="4" t="n"/>
      <c r="N530" s="4" t="n"/>
      <c r="O530" s="4" t="n"/>
      <c r="P530" s="4" t="n"/>
      <c r="Q530" s="4" t="n"/>
      <c r="R530" s="4" t="n"/>
    </row>
    <row r="531" ht="15.75" customHeight="1" s="108">
      <c r="A531" s="4" t="n"/>
      <c r="B531" s="4" t="n"/>
      <c r="C531" s="4" t="n"/>
      <c r="D531" s="4" t="n"/>
      <c r="E531" s="4" t="n"/>
      <c r="F531" s="4" t="n"/>
      <c r="G531" s="4" t="n"/>
      <c r="H531" s="4" t="n"/>
      <c r="I531" s="4" t="n"/>
      <c r="J531" s="4" t="n"/>
      <c r="K531" s="4" t="n"/>
      <c r="L531" s="4" t="n"/>
      <c r="M531" s="4" t="n"/>
      <c r="N531" s="4" t="n"/>
      <c r="O531" s="4" t="n"/>
      <c r="P531" s="4" t="n"/>
      <c r="Q531" s="4" t="n"/>
      <c r="R531" s="4" t="n"/>
    </row>
    <row r="532" ht="15.75" customHeight="1" s="108">
      <c r="A532" s="4" t="n"/>
      <c r="B532" s="4" t="n"/>
      <c r="C532" s="4" t="n"/>
      <c r="D532" s="4" t="n"/>
      <c r="E532" s="4" t="n"/>
      <c r="F532" s="4" t="n"/>
      <c r="G532" s="4" t="n"/>
      <c r="H532" s="4" t="n"/>
      <c r="I532" s="4" t="n"/>
      <c r="J532" s="4" t="n"/>
      <c r="K532" s="4" t="n"/>
      <c r="L532" s="4" t="n"/>
      <c r="M532" s="4" t="n"/>
      <c r="N532" s="4" t="n"/>
      <c r="O532" s="4" t="n"/>
      <c r="P532" s="4" t="n"/>
      <c r="Q532" s="4" t="n"/>
      <c r="R532" s="4" t="n"/>
    </row>
    <row r="533" ht="15.75" customHeight="1" s="108">
      <c r="A533" s="4" t="n"/>
      <c r="B533" s="4" t="n"/>
      <c r="C533" s="4" t="n"/>
      <c r="D533" s="4" t="n"/>
      <c r="E533" s="4" t="n"/>
      <c r="F533" s="4" t="n"/>
      <c r="G533" s="4" t="n"/>
      <c r="H533" s="4" t="n"/>
      <c r="I533" s="4" t="n"/>
      <c r="J533" s="4" t="n"/>
      <c r="K533" s="4" t="n"/>
      <c r="L533" s="4" t="n"/>
      <c r="M533" s="4" t="n"/>
      <c r="N533" s="4" t="n"/>
      <c r="O533" s="4" t="n"/>
      <c r="P533" s="4" t="n"/>
      <c r="Q533" s="4" t="n"/>
      <c r="R533" s="4" t="n"/>
    </row>
    <row r="534" ht="15.75" customHeight="1" s="108">
      <c r="A534" s="4" t="n"/>
      <c r="B534" s="4" t="n"/>
      <c r="C534" s="4" t="n"/>
      <c r="D534" s="4" t="n"/>
      <c r="E534" s="4" t="n"/>
      <c r="F534" s="4" t="n"/>
      <c r="G534" s="4" t="n"/>
      <c r="H534" s="4" t="n"/>
      <c r="I534" s="4" t="n"/>
      <c r="J534" s="4" t="n"/>
      <c r="K534" s="4" t="n"/>
      <c r="L534" s="4" t="n"/>
      <c r="M534" s="4" t="n"/>
      <c r="N534" s="4" t="n"/>
      <c r="O534" s="4" t="n"/>
      <c r="P534" s="4" t="n"/>
      <c r="Q534" s="4" t="n"/>
      <c r="R534" s="4" t="n"/>
    </row>
    <row r="535" ht="15.75" customHeight="1" s="108">
      <c r="A535" s="4" t="n"/>
      <c r="B535" s="4" t="n"/>
      <c r="C535" s="4" t="n"/>
      <c r="D535" s="4" t="n"/>
      <c r="E535" s="4" t="n"/>
      <c r="F535" s="4" t="n"/>
      <c r="G535" s="4" t="n"/>
      <c r="H535" s="4" t="n"/>
      <c r="I535" s="4" t="n"/>
      <c r="J535" s="4" t="n"/>
      <c r="K535" s="4" t="n"/>
      <c r="L535" s="4" t="n"/>
      <c r="M535" s="4" t="n"/>
      <c r="N535" s="4" t="n"/>
      <c r="O535" s="4" t="n"/>
      <c r="P535" s="4" t="n"/>
      <c r="Q535" s="4" t="n"/>
      <c r="R535" s="4" t="n"/>
    </row>
    <row r="536" ht="15.75" customHeight="1" s="108">
      <c r="A536" s="4" t="n"/>
      <c r="B536" s="4" t="n"/>
      <c r="C536" s="4" t="n"/>
      <c r="D536" s="4" t="n"/>
      <c r="E536" s="4" t="n"/>
      <c r="F536" s="4" t="n"/>
      <c r="G536" s="4" t="n"/>
      <c r="H536" s="4" t="n"/>
      <c r="I536" s="4" t="n"/>
      <c r="J536" s="4" t="n"/>
      <c r="K536" s="4" t="n"/>
      <c r="L536" s="4" t="n"/>
      <c r="M536" s="4" t="n"/>
      <c r="N536" s="4" t="n"/>
      <c r="O536" s="4" t="n"/>
      <c r="P536" s="4" t="n"/>
      <c r="Q536" s="4" t="n"/>
      <c r="R536" s="4" t="n"/>
    </row>
    <row r="537" ht="15.75" customHeight="1" s="108">
      <c r="A537" s="4" t="n"/>
      <c r="B537" s="4" t="n"/>
      <c r="C537" s="4" t="n"/>
      <c r="D537" s="4" t="n"/>
      <c r="E537" s="4" t="n"/>
      <c r="F537" s="4" t="n"/>
      <c r="G537" s="4" t="n"/>
      <c r="H537" s="4" t="n"/>
      <c r="I537" s="4" t="n"/>
      <c r="J537" s="4" t="n"/>
      <c r="K537" s="4" t="n"/>
      <c r="L537" s="4" t="n"/>
      <c r="M537" s="4" t="n"/>
      <c r="N537" s="4" t="n"/>
      <c r="O537" s="4" t="n"/>
      <c r="P537" s="4" t="n"/>
      <c r="Q537" s="4" t="n"/>
      <c r="R537" s="4" t="n"/>
    </row>
    <row r="538" ht="15.75" customHeight="1" s="108">
      <c r="A538" s="4" t="n"/>
      <c r="B538" s="4" t="n"/>
      <c r="C538" s="4" t="n"/>
      <c r="D538" s="4" t="n"/>
      <c r="E538" s="4" t="n"/>
      <c r="F538" s="4" t="n"/>
      <c r="G538" s="4" t="n"/>
      <c r="H538" s="4" t="n"/>
      <c r="I538" s="4" t="n"/>
      <c r="J538" s="4" t="n"/>
      <c r="K538" s="4" t="n"/>
      <c r="L538" s="4" t="n"/>
      <c r="M538" s="4" t="n"/>
      <c r="N538" s="4" t="n"/>
      <c r="O538" s="4" t="n"/>
      <c r="P538" s="4" t="n"/>
      <c r="Q538" s="4" t="n"/>
      <c r="R538" s="4" t="n"/>
    </row>
    <row r="539" ht="15.75" customHeight="1" s="108">
      <c r="A539" s="4" t="n"/>
      <c r="B539" s="4" t="n"/>
      <c r="C539" s="4" t="n"/>
      <c r="D539" s="4" t="n"/>
      <c r="E539" s="4" t="n"/>
      <c r="F539" s="4" t="n"/>
      <c r="G539" s="4" t="n"/>
      <c r="H539" s="4" t="n"/>
      <c r="I539" s="4" t="n"/>
      <c r="J539" s="4" t="n"/>
      <c r="K539" s="4" t="n"/>
      <c r="L539" s="4" t="n"/>
      <c r="M539" s="4" t="n"/>
      <c r="N539" s="4" t="n"/>
      <c r="O539" s="4" t="n"/>
      <c r="P539" s="4" t="n"/>
      <c r="Q539" s="4" t="n"/>
      <c r="R539" s="4" t="n"/>
    </row>
    <row r="540" ht="15.75" customHeight="1" s="108">
      <c r="A540" s="4" t="n"/>
      <c r="B540" s="4" t="n"/>
      <c r="C540" s="4" t="n"/>
      <c r="D540" s="4" t="n"/>
      <c r="E540" s="4" t="n"/>
      <c r="F540" s="4" t="n"/>
      <c r="G540" s="4" t="n"/>
      <c r="H540" s="4" t="n"/>
      <c r="I540" s="4" t="n"/>
      <c r="J540" s="4" t="n"/>
      <c r="K540" s="4" t="n"/>
      <c r="L540" s="4" t="n"/>
      <c r="M540" s="4" t="n"/>
      <c r="N540" s="4" t="n"/>
      <c r="O540" s="4" t="n"/>
      <c r="P540" s="4" t="n"/>
      <c r="Q540" s="4" t="n"/>
      <c r="R540" s="4" t="n"/>
    </row>
    <row r="541" ht="15.75" customHeight="1" s="108">
      <c r="A541" s="4" t="n"/>
      <c r="B541" s="4" t="n"/>
      <c r="C541" s="4" t="n"/>
      <c r="D541" s="4" t="n"/>
      <c r="E541" s="4" t="n"/>
      <c r="F541" s="4" t="n"/>
      <c r="G541" s="4" t="n"/>
      <c r="H541" s="4" t="n"/>
      <c r="I541" s="4" t="n"/>
      <c r="J541" s="4" t="n"/>
      <c r="K541" s="4" t="n"/>
      <c r="L541" s="4" t="n"/>
      <c r="M541" s="4" t="n"/>
      <c r="N541" s="4" t="n"/>
      <c r="O541" s="4" t="n"/>
      <c r="P541" s="4" t="n"/>
      <c r="Q541" s="4" t="n"/>
      <c r="R541" s="4" t="n"/>
    </row>
    <row r="542" ht="15.75" customHeight="1" s="108">
      <c r="A542" s="4" t="n"/>
      <c r="B542" s="4" t="n"/>
      <c r="C542" s="4" t="n"/>
      <c r="D542" s="4" t="n"/>
      <c r="E542" s="4" t="n"/>
      <c r="F542" s="4" t="n"/>
      <c r="G542" s="4" t="n"/>
      <c r="H542" s="4" t="n"/>
      <c r="I542" s="4" t="n"/>
      <c r="J542" s="4" t="n"/>
      <c r="K542" s="4" t="n"/>
      <c r="L542" s="4" t="n"/>
      <c r="M542" s="4" t="n"/>
      <c r="N542" s="4" t="n"/>
      <c r="O542" s="4" t="n"/>
      <c r="P542" s="4" t="n"/>
      <c r="Q542" s="4" t="n"/>
      <c r="R542" s="4" t="n"/>
    </row>
    <row r="543" ht="15.75" customHeight="1" s="108">
      <c r="A543" s="4" t="n"/>
      <c r="B543" s="4" t="n"/>
      <c r="C543" s="4" t="n"/>
      <c r="D543" s="4" t="n"/>
      <c r="E543" s="4" t="n"/>
      <c r="F543" s="4" t="n"/>
      <c r="G543" s="4" t="n"/>
      <c r="H543" s="4" t="n"/>
      <c r="I543" s="4" t="n"/>
      <c r="J543" s="4" t="n"/>
      <c r="K543" s="4" t="n"/>
      <c r="L543" s="4" t="n"/>
      <c r="M543" s="4" t="n"/>
      <c r="N543" s="4" t="n"/>
      <c r="O543" s="4" t="n"/>
      <c r="P543" s="4" t="n"/>
      <c r="Q543" s="4" t="n"/>
      <c r="R543" s="4" t="n"/>
    </row>
    <row r="544" ht="15.75" customHeight="1" s="108">
      <c r="A544" s="4" t="n"/>
      <c r="B544" s="4" t="n"/>
      <c r="C544" s="4" t="n"/>
      <c r="D544" s="4" t="n"/>
      <c r="E544" s="4" t="n"/>
      <c r="F544" s="4" t="n"/>
      <c r="G544" s="4" t="n"/>
      <c r="H544" s="4" t="n"/>
      <c r="I544" s="4" t="n"/>
      <c r="J544" s="4" t="n"/>
      <c r="K544" s="4" t="n"/>
      <c r="L544" s="4" t="n"/>
      <c r="M544" s="4" t="n"/>
      <c r="N544" s="4" t="n"/>
      <c r="O544" s="4" t="n"/>
      <c r="P544" s="4" t="n"/>
      <c r="Q544" s="4" t="n"/>
      <c r="R544" s="4" t="n"/>
    </row>
    <row r="545" ht="15.75" customHeight="1" s="108">
      <c r="A545" s="4" t="n"/>
      <c r="B545" s="4" t="n"/>
      <c r="C545" s="4" t="n"/>
      <c r="D545" s="4" t="n"/>
      <c r="E545" s="4" t="n"/>
      <c r="F545" s="4" t="n"/>
      <c r="G545" s="4" t="n"/>
      <c r="H545" s="4" t="n"/>
      <c r="I545" s="4" t="n"/>
      <c r="J545" s="4" t="n"/>
      <c r="K545" s="4" t="n"/>
      <c r="L545" s="4" t="n"/>
      <c r="M545" s="4" t="n"/>
      <c r="N545" s="4" t="n"/>
      <c r="O545" s="4" t="n"/>
      <c r="P545" s="4" t="n"/>
      <c r="Q545" s="4" t="n"/>
      <c r="R545" s="4" t="n"/>
    </row>
    <row r="546" ht="15.75" customHeight="1" s="108">
      <c r="A546" s="4" t="n"/>
      <c r="B546" s="4" t="n"/>
      <c r="C546" s="4" t="n"/>
      <c r="D546" s="4" t="n"/>
      <c r="E546" s="4" t="n"/>
      <c r="F546" s="4" t="n"/>
      <c r="G546" s="4" t="n"/>
      <c r="H546" s="4" t="n"/>
      <c r="I546" s="4" t="n"/>
      <c r="J546" s="4" t="n"/>
      <c r="K546" s="4" t="n"/>
      <c r="L546" s="4" t="n"/>
      <c r="M546" s="4" t="n"/>
      <c r="N546" s="4" t="n"/>
      <c r="O546" s="4" t="n"/>
      <c r="P546" s="4" t="n"/>
      <c r="Q546" s="4" t="n"/>
      <c r="R546" s="4" t="n"/>
    </row>
    <row r="547" ht="15.75" customHeight="1" s="108">
      <c r="A547" s="4" t="n"/>
      <c r="B547" s="4" t="n"/>
      <c r="C547" s="4" t="n"/>
      <c r="D547" s="4" t="n"/>
      <c r="E547" s="4" t="n"/>
      <c r="F547" s="4" t="n"/>
      <c r="G547" s="4" t="n"/>
      <c r="H547" s="4" t="n"/>
      <c r="I547" s="4" t="n"/>
      <c r="J547" s="4" t="n"/>
      <c r="K547" s="4" t="n"/>
      <c r="L547" s="4" t="n"/>
      <c r="M547" s="4" t="n"/>
      <c r="N547" s="4" t="n"/>
      <c r="O547" s="4" t="n"/>
      <c r="P547" s="4" t="n"/>
      <c r="Q547" s="4" t="n"/>
      <c r="R547" s="4" t="n"/>
    </row>
    <row r="548" ht="15.75" customHeight="1" s="108">
      <c r="A548" s="4" t="n"/>
      <c r="B548" s="4" t="n"/>
      <c r="C548" s="4" t="n"/>
      <c r="D548" s="4" t="n"/>
      <c r="E548" s="4" t="n"/>
      <c r="F548" s="4" t="n"/>
      <c r="G548" s="4" t="n"/>
      <c r="H548" s="4" t="n"/>
      <c r="I548" s="4" t="n"/>
      <c r="J548" s="4" t="n"/>
      <c r="K548" s="4" t="n"/>
      <c r="L548" s="4" t="n"/>
      <c r="M548" s="4" t="n"/>
      <c r="N548" s="4" t="n"/>
      <c r="O548" s="4" t="n"/>
      <c r="P548" s="4" t="n"/>
      <c r="Q548" s="4" t="n"/>
      <c r="R548" s="4" t="n"/>
    </row>
    <row r="549" ht="15.75" customHeight="1" s="108">
      <c r="A549" s="4" t="n"/>
      <c r="B549" s="4" t="n"/>
      <c r="C549" s="4" t="n"/>
      <c r="D549" s="4" t="n"/>
      <c r="E549" s="4" t="n"/>
      <c r="F549" s="4" t="n"/>
      <c r="G549" s="4" t="n"/>
      <c r="H549" s="4" t="n"/>
      <c r="I549" s="4" t="n"/>
      <c r="J549" s="4" t="n"/>
      <c r="K549" s="4" t="n"/>
      <c r="L549" s="4" t="n"/>
      <c r="M549" s="4" t="n"/>
      <c r="N549" s="4" t="n"/>
      <c r="O549" s="4" t="n"/>
      <c r="P549" s="4" t="n"/>
      <c r="Q549" s="4" t="n"/>
      <c r="R549" s="4" t="n"/>
    </row>
    <row r="550" ht="15.75" customHeight="1" s="108">
      <c r="A550" s="4" t="n"/>
      <c r="B550" s="4" t="n"/>
      <c r="C550" s="4" t="n"/>
      <c r="D550" s="4" t="n"/>
      <c r="E550" s="4" t="n"/>
      <c r="F550" s="4" t="n"/>
      <c r="G550" s="4" t="n"/>
      <c r="H550" s="4" t="n"/>
      <c r="I550" s="4" t="n"/>
      <c r="J550" s="4" t="n"/>
      <c r="K550" s="4" t="n"/>
      <c r="L550" s="4" t="n"/>
      <c r="M550" s="4" t="n"/>
      <c r="N550" s="4" t="n"/>
      <c r="O550" s="4" t="n"/>
      <c r="P550" s="4" t="n"/>
      <c r="Q550" s="4" t="n"/>
      <c r="R550" s="4" t="n"/>
    </row>
    <row r="551" ht="15.75" customHeight="1" s="108">
      <c r="A551" s="4" t="n"/>
      <c r="B551" s="4" t="n"/>
      <c r="C551" s="4" t="n"/>
      <c r="D551" s="4" t="n"/>
      <c r="E551" s="4" t="n"/>
      <c r="F551" s="4" t="n"/>
      <c r="G551" s="4" t="n"/>
      <c r="H551" s="4" t="n"/>
      <c r="I551" s="4" t="n"/>
      <c r="J551" s="4" t="n"/>
      <c r="K551" s="4" t="n"/>
      <c r="L551" s="4" t="n"/>
      <c r="M551" s="4" t="n"/>
      <c r="N551" s="4" t="n"/>
      <c r="O551" s="4" t="n"/>
      <c r="P551" s="4" t="n"/>
      <c r="Q551" s="4" t="n"/>
      <c r="R551" s="4" t="n"/>
    </row>
    <row r="552" ht="15.75" customHeight="1" s="108">
      <c r="A552" s="4" t="n"/>
      <c r="B552" s="4" t="n"/>
      <c r="C552" s="4" t="n"/>
      <c r="D552" s="4" t="n"/>
      <c r="E552" s="4" t="n"/>
      <c r="F552" s="4" t="n"/>
      <c r="G552" s="4" t="n"/>
      <c r="H552" s="4" t="n"/>
      <c r="I552" s="4" t="n"/>
      <c r="J552" s="4" t="n"/>
      <c r="K552" s="4" t="n"/>
      <c r="L552" s="4" t="n"/>
      <c r="M552" s="4" t="n"/>
      <c r="N552" s="4" t="n"/>
      <c r="O552" s="4" t="n"/>
      <c r="P552" s="4" t="n"/>
      <c r="Q552" s="4" t="n"/>
      <c r="R552" s="4" t="n"/>
    </row>
    <row r="553" ht="15.75" customHeight="1" s="108">
      <c r="A553" s="4" t="n"/>
      <c r="B553" s="4" t="n"/>
      <c r="C553" s="4" t="n"/>
      <c r="D553" s="4" t="n"/>
      <c r="E553" s="4" t="n"/>
      <c r="F553" s="4" t="n"/>
      <c r="G553" s="4" t="n"/>
      <c r="H553" s="4" t="n"/>
      <c r="I553" s="4" t="n"/>
      <c r="J553" s="4" t="n"/>
      <c r="K553" s="4" t="n"/>
      <c r="L553" s="4" t="n"/>
      <c r="M553" s="4" t="n"/>
      <c r="N553" s="4" t="n"/>
      <c r="O553" s="4" t="n"/>
      <c r="P553" s="4" t="n"/>
      <c r="Q553" s="4" t="n"/>
      <c r="R553" s="4" t="n"/>
    </row>
    <row r="554" ht="15.75" customHeight="1" s="108">
      <c r="A554" s="4" t="n"/>
      <c r="B554" s="4" t="n"/>
      <c r="C554" s="4" t="n"/>
      <c r="D554" s="4" t="n"/>
      <c r="E554" s="4" t="n"/>
      <c r="F554" s="4" t="n"/>
      <c r="G554" s="4" t="n"/>
      <c r="H554" s="4" t="n"/>
      <c r="I554" s="4" t="n"/>
      <c r="J554" s="4" t="n"/>
      <c r="K554" s="4" t="n"/>
      <c r="L554" s="4" t="n"/>
      <c r="M554" s="4" t="n"/>
      <c r="N554" s="4" t="n"/>
      <c r="O554" s="4" t="n"/>
      <c r="P554" s="4" t="n"/>
      <c r="Q554" s="4" t="n"/>
      <c r="R554" s="4" t="n"/>
    </row>
    <row r="555" ht="15.75" customHeight="1" s="108">
      <c r="A555" s="4" t="n"/>
      <c r="B555" s="4" t="n"/>
      <c r="C555" s="4" t="n"/>
      <c r="D555" s="4" t="n"/>
      <c r="E555" s="4" t="n"/>
      <c r="F555" s="4" t="n"/>
      <c r="G555" s="4" t="n"/>
      <c r="H555" s="4" t="n"/>
      <c r="I555" s="4" t="n"/>
      <c r="J555" s="4" t="n"/>
      <c r="K555" s="4" t="n"/>
      <c r="L555" s="4" t="n"/>
      <c r="M555" s="4" t="n"/>
      <c r="N555" s="4" t="n"/>
      <c r="O555" s="4" t="n"/>
      <c r="P555" s="4" t="n"/>
      <c r="Q555" s="4" t="n"/>
      <c r="R555" s="4" t="n"/>
    </row>
    <row r="556" ht="15.75" customHeight="1" s="108">
      <c r="A556" s="4" t="n"/>
      <c r="B556" s="4" t="n"/>
      <c r="C556" s="4" t="n"/>
      <c r="D556" s="4" t="n"/>
      <c r="E556" s="4" t="n"/>
      <c r="F556" s="4" t="n"/>
      <c r="G556" s="4" t="n"/>
      <c r="H556" s="4" t="n"/>
      <c r="I556" s="4" t="n"/>
      <c r="J556" s="4" t="n"/>
      <c r="K556" s="4" t="n"/>
      <c r="L556" s="4" t="n"/>
      <c r="M556" s="4" t="n"/>
      <c r="N556" s="4" t="n"/>
      <c r="O556" s="4" t="n"/>
      <c r="P556" s="4" t="n"/>
      <c r="Q556" s="4" t="n"/>
      <c r="R556" s="4" t="n"/>
    </row>
    <row r="557" ht="15.75" customHeight="1" s="108">
      <c r="A557" s="4" t="n"/>
      <c r="B557" s="4" t="n"/>
      <c r="C557" s="4" t="n"/>
      <c r="D557" s="4" t="n"/>
      <c r="E557" s="4" t="n"/>
      <c r="F557" s="4" t="n"/>
      <c r="G557" s="4" t="n"/>
      <c r="H557" s="4" t="n"/>
      <c r="I557" s="4" t="n"/>
      <c r="J557" s="4" t="n"/>
      <c r="K557" s="4" t="n"/>
      <c r="L557" s="4" t="n"/>
      <c r="M557" s="4" t="n"/>
      <c r="N557" s="4" t="n"/>
      <c r="O557" s="4" t="n"/>
      <c r="P557" s="4" t="n"/>
      <c r="Q557" s="4" t="n"/>
      <c r="R557" s="4" t="n"/>
    </row>
    <row r="558" ht="15.75" customHeight="1" s="108">
      <c r="A558" s="4" t="n"/>
      <c r="B558" s="4" t="n"/>
      <c r="C558" s="4" t="n"/>
      <c r="D558" s="4" t="n"/>
      <c r="E558" s="4" t="n"/>
      <c r="F558" s="4" t="n"/>
      <c r="G558" s="4" t="n"/>
      <c r="H558" s="4" t="n"/>
      <c r="I558" s="4" t="n"/>
      <c r="J558" s="4" t="n"/>
      <c r="K558" s="4" t="n"/>
      <c r="L558" s="4" t="n"/>
      <c r="M558" s="4" t="n"/>
      <c r="N558" s="4" t="n"/>
      <c r="O558" s="4" t="n"/>
      <c r="P558" s="4" t="n"/>
      <c r="Q558" s="4" t="n"/>
      <c r="R558" s="4" t="n"/>
    </row>
    <row r="559" ht="15.75" customHeight="1" s="108">
      <c r="A559" s="4" t="n"/>
      <c r="B559" s="4" t="n"/>
      <c r="C559" s="4" t="n"/>
      <c r="D559" s="4" t="n"/>
      <c r="E559" s="4" t="n"/>
      <c r="F559" s="4" t="n"/>
      <c r="G559" s="4" t="n"/>
      <c r="H559" s="4" t="n"/>
      <c r="I559" s="4" t="n"/>
      <c r="J559" s="4" t="n"/>
      <c r="K559" s="4" t="n"/>
      <c r="L559" s="4" t="n"/>
      <c r="M559" s="4" t="n"/>
      <c r="N559" s="4" t="n"/>
      <c r="O559" s="4" t="n"/>
      <c r="P559" s="4" t="n"/>
      <c r="Q559" s="4" t="n"/>
      <c r="R559" s="4" t="n"/>
    </row>
    <row r="560" ht="15.75" customHeight="1" s="108">
      <c r="A560" s="4" t="n"/>
      <c r="B560" s="4" t="n"/>
      <c r="C560" s="4" t="n"/>
      <c r="D560" s="4" t="n"/>
      <c r="E560" s="4" t="n"/>
      <c r="F560" s="4" t="n"/>
      <c r="G560" s="4" t="n"/>
      <c r="H560" s="4" t="n"/>
      <c r="I560" s="4" t="n"/>
      <c r="J560" s="4" t="n"/>
      <c r="K560" s="4" t="n"/>
      <c r="L560" s="4" t="n"/>
      <c r="M560" s="4" t="n"/>
      <c r="N560" s="4" t="n"/>
      <c r="O560" s="4" t="n"/>
      <c r="P560" s="4" t="n"/>
      <c r="Q560" s="4" t="n"/>
      <c r="R560" s="4" t="n"/>
    </row>
    <row r="561" ht="15.75" customHeight="1" s="108">
      <c r="A561" s="4" t="n"/>
      <c r="B561" s="4" t="n"/>
      <c r="C561" s="4" t="n"/>
      <c r="D561" s="4" t="n"/>
      <c r="E561" s="4" t="n"/>
      <c r="F561" s="4" t="n"/>
      <c r="G561" s="4" t="n"/>
      <c r="H561" s="4" t="n"/>
      <c r="I561" s="4" t="n"/>
      <c r="J561" s="4" t="n"/>
      <c r="K561" s="4" t="n"/>
      <c r="L561" s="4" t="n"/>
      <c r="M561" s="4" t="n"/>
      <c r="N561" s="4" t="n"/>
      <c r="O561" s="4" t="n"/>
      <c r="P561" s="4" t="n"/>
      <c r="Q561" s="4" t="n"/>
      <c r="R561" s="4" t="n"/>
    </row>
    <row r="562" ht="15.75" customHeight="1" s="108">
      <c r="A562" s="4" t="n"/>
      <c r="B562" s="4" t="n"/>
      <c r="C562" s="4" t="n"/>
      <c r="D562" s="4" t="n"/>
      <c r="E562" s="4" t="n"/>
      <c r="F562" s="4" t="n"/>
      <c r="G562" s="4" t="n"/>
      <c r="H562" s="4" t="n"/>
      <c r="I562" s="4" t="n"/>
      <c r="J562" s="4" t="n"/>
      <c r="K562" s="4" t="n"/>
      <c r="L562" s="4" t="n"/>
      <c r="M562" s="4" t="n"/>
      <c r="N562" s="4" t="n"/>
      <c r="O562" s="4" t="n"/>
      <c r="P562" s="4" t="n"/>
      <c r="Q562" s="4" t="n"/>
      <c r="R562" s="4" t="n"/>
    </row>
    <row r="563" ht="15.75" customHeight="1" s="108">
      <c r="A563" s="4" t="n"/>
      <c r="B563" s="4" t="n"/>
      <c r="C563" s="4" t="n"/>
      <c r="D563" s="4" t="n"/>
      <c r="E563" s="4" t="n"/>
      <c r="F563" s="4" t="n"/>
      <c r="G563" s="4" t="n"/>
      <c r="H563" s="4" t="n"/>
      <c r="I563" s="4" t="n"/>
      <c r="J563" s="4" t="n"/>
      <c r="K563" s="4" t="n"/>
      <c r="L563" s="4" t="n"/>
      <c r="M563" s="4" t="n"/>
      <c r="N563" s="4" t="n"/>
      <c r="O563" s="4" t="n"/>
      <c r="P563" s="4" t="n"/>
      <c r="Q563" s="4" t="n"/>
      <c r="R563" s="4" t="n"/>
    </row>
    <row r="564" ht="15.75" customHeight="1" s="108">
      <c r="A564" s="4" t="n"/>
      <c r="B564" s="4" t="n"/>
      <c r="C564" s="4" t="n"/>
      <c r="D564" s="4" t="n"/>
      <c r="E564" s="4" t="n"/>
      <c r="F564" s="4" t="n"/>
      <c r="G564" s="4" t="n"/>
      <c r="H564" s="4" t="n"/>
      <c r="I564" s="4" t="n"/>
      <c r="J564" s="4" t="n"/>
      <c r="K564" s="4" t="n"/>
      <c r="L564" s="4" t="n"/>
      <c r="M564" s="4" t="n"/>
      <c r="N564" s="4" t="n"/>
      <c r="O564" s="4" t="n"/>
      <c r="P564" s="4" t="n"/>
      <c r="Q564" s="4" t="n"/>
      <c r="R564" s="4" t="n"/>
    </row>
    <row r="565" ht="15.75" customHeight="1" s="108">
      <c r="A565" s="4" t="n"/>
      <c r="B565" s="4" t="n"/>
      <c r="C565" s="4" t="n"/>
      <c r="D565" s="4" t="n"/>
      <c r="E565" s="4" t="n"/>
      <c r="F565" s="4" t="n"/>
      <c r="G565" s="4" t="n"/>
      <c r="H565" s="4" t="n"/>
      <c r="I565" s="4" t="n"/>
      <c r="J565" s="4" t="n"/>
      <c r="K565" s="4" t="n"/>
      <c r="L565" s="4" t="n"/>
      <c r="M565" s="4" t="n"/>
      <c r="N565" s="4" t="n"/>
      <c r="O565" s="4" t="n"/>
      <c r="P565" s="4" t="n"/>
      <c r="Q565" s="4" t="n"/>
      <c r="R565" s="4" t="n"/>
    </row>
    <row r="566" ht="15.75" customHeight="1" s="108">
      <c r="A566" s="4" t="n"/>
      <c r="B566" s="4" t="n"/>
      <c r="C566" s="4" t="n"/>
      <c r="D566" s="4" t="n"/>
      <c r="E566" s="4" t="n"/>
      <c r="F566" s="4" t="n"/>
      <c r="G566" s="4" t="n"/>
      <c r="H566" s="4" t="n"/>
      <c r="I566" s="4" t="n"/>
      <c r="J566" s="4" t="n"/>
      <c r="K566" s="4" t="n"/>
      <c r="L566" s="4" t="n"/>
      <c r="M566" s="4" t="n"/>
      <c r="N566" s="4" t="n"/>
      <c r="O566" s="4" t="n"/>
      <c r="P566" s="4" t="n"/>
      <c r="Q566" s="4" t="n"/>
      <c r="R566" s="4" t="n"/>
    </row>
    <row r="567" ht="15.75" customHeight="1" s="108">
      <c r="A567" s="4" t="n"/>
      <c r="B567" s="4" t="n"/>
      <c r="C567" s="4" t="n"/>
      <c r="D567" s="4" t="n"/>
      <c r="E567" s="4" t="n"/>
      <c r="F567" s="4" t="n"/>
      <c r="G567" s="4" t="n"/>
      <c r="H567" s="4" t="n"/>
      <c r="I567" s="4" t="n"/>
      <c r="J567" s="4" t="n"/>
      <c r="K567" s="4" t="n"/>
      <c r="L567" s="4" t="n"/>
      <c r="M567" s="4" t="n"/>
      <c r="N567" s="4" t="n"/>
      <c r="O567" s="4" t="n"/>
      <c r="P567" s="4" t="n"/>
      <c r="Q567" s="4" t="n"/>
      <c r="R567" s="4" t="n"/>
    </row>
    <row r="568" ht="15.75" customHeight="1" s="108">
      <c r="A568" s="4" t="n"/>
      <c r="B568" s="4" t="n"/>
      <c r="C568" s="4" t="n"/>
      <c r="D568" s="4" t="n"/>
      <c r="E568" s="4" t="n"/>
      <c r="F568" s="4" t="n"/>
      <c r="G568" s="4" t="n"/>
      <c r="H568" s="4" t="n"/>
      <c r="I568" s="4" t="n"/>
      <c r="J568" s="4" t="n"/>
      <c r="K568" s="4" t="n"/>
      <c r="L568" s="4" t="n"/>
      <c r="M568" s="4" t="n"/>
      <c r="N568" s="4" t="n"/>
      <c r="O568" s="4" t="n"/>
      <c r="P568" s="4" t="n"/>
      <c r="Q568" s="4" t="n"/>
      <c r="R568" s="4" t="n"/>
    </row>
    <row r="569" ht="15.75" customHeight="1" s="108">
      <c r="A569" s="4" t="n"/>
      <c r="B569" s="4" t="n"/>
      <c r="C569" s="4" t="n"/>
      <c r="D569" s="4" t="n"/>
      <c r="E569" s="4" t="n"/>
      <c r="F569" s="4" t="n"/>
      <c r="G569" s="4" t="n"/>
      <c r="H569" s="4" t="n"/>
      <c r="I569" s="4" t="n"/>
      <c r="J569" s="4" t="n"/>
      <c r="K569" s="4" t="n"/>
      <c r="L569" s="4" t="n"/>
      <c r="M569" s="4" t="n"/>
      <c r="N569" s="4" t="n"/>
      <c r="O569" s="4" t="n"/>
      <c r="P569" s="4" t="n"/>
      <c r="Q569" s="4" t="n"/>
      <c r="R569" s="4" t="n"/>
    </row>
    <row r="570" ht="15.75" customHeight="1" s="108">
      <c r="A570" s="4" t="n"/>
      <c r="B570" s="4" t="n"/>
      <c r="C570" s="4" t="n"/>
      <c r="D570" s="4" t="n"/>
      <c r="E570" s="4" t="n"/>
      <c r="F570" s="4" t="n"/>
      <c r="G570" s="4" t="n"/>
      <c r="H570" s="4" t="n"/>
      <c r="I570" s="4" t="n"/>
      <c r="J570" s="4" t="n"/>
      <c r="K570" s="4" t="n"/>
      <c r="L570" s="4" t="n"/>
      <c r="M570" s="4" t="n"/>
      <c r="N570" s="4" t="n"/>
      <c r="O570" s="4" t="n"/>
      <c r="P570" s="4" t="n"/>
      <c r="Q570" s="4" t="n"/>
      <c r="R570" s="4" t="n"/>
    </row>
    <row r="571" ht="15.75" customHeight="1" s="108">
      <c r="A571" s="4" t="n"/>
      <c r="B571" s="4" t="n"/>
      <c r="C571" s="4" t="n"/>
      <c r="D571" s="4" t="n"/>
      <c r="E571" s="4" t="n"/>
      <c r="F571" s="4" t="n"/>
      <c r="G571" s="4" t="n"/>
      <c r="H571" s="4" t="n"/>
      <c r="I571" s="4" t="n"/>
      <c r="J571" s="4" t="n"/>
      <c r="K571" s="4" t="n"/>
      <c r="L571" s="4" t="n"/>
      <c r="M571" s="4" t="n"/>
      <c r="N571" s="4" t="n"/>
      <c r="O571" s="4" t="n"/>
      <c r="P571" s="4" t="n"/>
      <c r="Q571" s="4" t="n"/>
      <c r="R571" s="4" t="n"/>
    </row>
    <row r="572" ht="15.75" customHeight="1" s="108">
      <c r="A572" s="4" t="n"/>
      <c r="B572" s="4" t="n"/>
      <c r="C572" s="4" t="n"/>
      <c r="D572" s="4" t="n"/>
      <c r="E572" s="4" t="n"/>
      <c r="F572" s="4" t="n"/>
      <c r="G572" s="4" t="n"/>
      <c r="H572" s="4" t="n"/>
      <c r="I572" s="4" t="n"/>
      <c r="J572" s="4" t="n"/>
      <c r="K572" s="4" t="n"/>
      <c r="L572" s="4" t="n"/>
      <c r="M572" s="4" t="n"/>
      <c r="N572" s="4" t="n"/>
      <c r="O572" s="4" t="n"/>
      <c r="P572" s="4" t="n"/>
      <c r="Q572" s="4" t="n"/>
      <c r="R572" s="4" t="n"/>
    </row>
    <row r="573" ht="15.75" customHeight="1" s="108">
      <c r="A573" s="4" t="n"/>
      <c r="B573" s="4" t="n"/>
      <c r="C573" s="4" t="n"/>
      <c r="D573" s="4" t="n"/>
      <c r="E573" s="4" t="n"/>
      <c r="F573" s="4" t="n"/>
      <c r="G573" s="4" t="n"/>
      <c r="H573" s="4" t="n"/>
      <c r="I573" s="4" t="n"/>
      <c r="J573" s="4" t="n"/>
      <c r="K573" s="4" t="n"/>
      <c r="L573" s="4" t="n"/>
      <c r="M573" s="4" t="n"/>
      <c r="N573" s="4" t="n"/>
      <c r="O573" s="4" t="n"/>
      <c r="P573" s="4" t="n"/>
      <c r="Q573" s="4" t="n"/>
      <c r="R573" s="4" t="n"/>
    </row>
    <row r="574" ht="15.75" customHeight="1" s="108">
      <c r="A574" s="4" t="n"/>
      <c r="B574" s="4" t="n"/>
      <c r="C574" s="4" t="n"/>
      <c r="D574" s="4" t="n"/>
      <c r="E574" s="4" t="n"/>
      <c r="F574" s="4" t="n"/>
      <c r="G574" s="4" t="n"/>
      <c r="H574" s="4" t="n"/>
      <c r="I574" s="4" t="n"/>
      <c r="J574" s="4" t="n"/>
      <c r="K574" s="4" t="n"/>
      <c r="L574" s="4" t="n"/>
      <c r="M574" s="4" t="n"/>
      <c r="N574" s="4" t="n"/>
      <c r="O574" s="4" t="n"/>
      <c r="P574" s="4" t="n"/>
      <c r="Q574" s="4" t="n"/>
      <c r="R574" s="4" t="n"/>
    </row>
    <row r="575" ht="15.75" customHeight="1" s="108">
      <c r="A575" s="4" t="n"/>
      <c r="B575" s="4" t="n"/>
      <c r="C575" s="4" t="n"/>
      <c r="D575" s="4" t="n"/>
      <c r="E575" s="4" t="n"/>
      <c r="F575" s="4" t="n"/>
      <c r="G575" s="4" t="n"/>
      <c r="H575" s="4" t="n"/>
      <c r="I575" s="4" t="n"/>
      <c r="J575" s="4" t="n"/>
      <c r="K575" s="4" t="n"/>
      <c r="L575" s="4" t="n"/>
      <c r="M575" s="4" t="n"/>
      <c r="N575" s="4" t="n"/>
      <c r="O575" s="4" t="n"/>
      <c r="P575" s="4" t="n"/>
      <c r="Q575" s="4" t="n"/>
      <c r="R575" s="4" t="n"/>
    </row>
    <row r="576" ht="15.75" customHeight="1" s="108">
      <c r="A576" s="4" t="n"/>
      <c r="B576" s="4" t="n"/>
      <c r="C576" s="4" t="n"/>
      <c r="D576" s="4" t="n"/>
      <c r="E576" s="4" t="n"/>
      <c r="F576" s="4" t="n"/>
      <c r="G576" s="4" t="n"/>
      <c r="H576" s="4" t="n"/>
      <c r="I576" s="4" t="n"/>
      <c r="J576" s="4" t="n"/>
      <c r="K576" s="4" t="n"/>
      <c r="L576" s="4" t="n"/>
      <c r="M576" s="4" t="n"/>
      <c r="N576" s="4" t="n"/>
      <c r="O576" s="4" t="n"/>
      <c r="P576" s="4" t="n"/>
      <c r="Q576" s="4" t="n"/>
      <c r="R576" s="4" t="n"/>
    </row>
    <row r="577" ht="15.75" customHeight="1" s="108">
      <c r="A577" s="4" t="n"/>
      <c r="B577" s="4" t="n"/>
      <c r="C577" s="4" t="n"/>
      <c r="D577" s="4" t="n"/>
      <c r="E577" s="4" t="n"/>
      <c r="F577" s="4" t="n"/>
      <c r="G577" s="4" t="n"/>
      <c r="H577" s="4" t="n"/>
      <c r="I577" s="4" t="n"/>
      <c r="J577" s="4" t="n"/>
      <c r="K577" s="4" t="n"/>
      <c r="L577" s="4" t="n"/>
      <c r="M577" s="4" t="n"/>
      <c r="N577" s="4" t="n"/>
      <c r="O577" s="4" t="n"/>
      <c r="P577" s="4" t="n"/>
      <c r="Q577" s="4" t="n"/>
      <c r="R577" s="4" t="n"/>
    </row>
    <row r="578" ht="15.75" customHeight="1" s="108">
      <c r="A578" s="4" t="n"/>
      <c r="B578" s="4" t="n"/>
      <c r="C578" s="4" t="n"/>
      <c r="D578" s="4" t="n"/>
      <c r="E578" s="4" t="n"/>
      <c r="F578" s="4" t="n"/>
      <c r="G578" s="4" t="n"/>
      <c r="H578" s="4" t="n"/>
      <c r="I578" s="4" t="n"/>
      <c r="J578" s="4" t="n"/>
      <c r="K578" s="4" t="n"/>
      <c r="L578" s="4" t="n"/>
      <c r="M578" s="4" t="n"/>
      <c r="N578" s="4" t="n"/>
      <c r="O578" s="4" t="n"/>
      <c r="P578" s="4" t="n"/>
      <c r="Q578" s="4" t="n"/>
      <c r="R578" s="4" t="n"/>
    </row>
    <row r="579" ht="15.75" customHeight="1" s="108">
      <c r="A579" s="4" t="n"/>
      <c r="B579" s="4" t="n"/>
      <c r="C579" s="4" t="n"/>
      <c r="D579" s="4" t="n"/>
      <c r="E579" s="4" t="n"/>
      <c r="F579" s="4" t="n"/>
      <c r="G579" s="4" t="n"/>
      <c r="H579" s="4" t="n"/>
      <c r="I579" s="4" t="n"/>
      <c r="J579" s="4" t="n"/>
      <c r="K579" s="4" t="n"/>
      <c r="L579" s="4" t="n"/>
      <c r="M579" s="4" t="n"/>
      <c r="N579" s="4" t="n"/>
      <c r="O579" s="4" t="n"/>
      <c r="P579" s="4" t="n"/>
      <c r="Q579" s="4" t="n"/>
      <c r="R579" s="4" t="n"/>
    </row>
    <row r="580" ht="15.75" customHeight="1" s="108">
      <c r="A580" s="4" t="n"/>
      <c r="B580" s="4" t="n"/>
      <c r="C580" s="4" t="n"/>
      <c r="D580" s="4" t="n"/>
      <c r="E580" s="4" t="n"/>
      <c r="F580" s="4" t="n"/>
      <c r="G580" s="4" t="n"/>
      <c r="H580" s="4" t="n"/>
      <c r="I580" s="4" t="n"/>
      <c r="J580" s="4" t="n"/>
      <c r="K580" s="4" t="n"/>
      <c r="L580" s="4" t="n"/>
      <c r="M580" s="4" t="n"/>
      <c r="N580" s="4" t="n"/>
      <c r="O580" s="4" t="n"/>
      <c r="P580" s="4" t="n"/>
      <c r="Q580" s="4" t="n"/>
      <c r="R580" s="4" t="n"/>
    </row>
    <row r="581" ht="15.75" customHeight="1" s="108">
      <c r="A581" s="4" t="n"/>
      <c r="B581" s="4" t="n"/>
      <c r="C581" s="4" t="n"/>
      <c r="D581" s="4" t="n"/>
      <c r="E581" s="4" t="n"/>
      <c r="F581" s="4" t="n"/>
      <c r="G581" s="4" t="n"/>
      <c r="H581" s="4" t="n"/>
      <c r="I581" s="4" t="n"/>
      <c r="J581" s="4" t="n"/>
      <c r="K581" s="4" t="n"/>
      <c r="L581" s="4" t="n"/>
      <c r="M581" s="4" t="n"/>
      <c r="N581" s="4" t="n"/>
      <c r="O581" s="4" t="n"/>
      <c r="P581" s="4" t="n"/>
      <c r="Q581" s="4" t="n"/>
      <c r="R581" s="4" t="n"/>
    </row>
    <row r="582" ht="15.75" customHeight="1" s="108">
      <c r="A582" s="4" t="n"/>
      <c r="B582" s="4" t="n"/>
      <c r="C582" s="4" t="n"/>
      <c r="D582" s="4" t="n"/>
      <c r="E582" s="4" t="n"/>
      <c r="F582" s="4" t="n"/>
      <c r="G582" s="4" t="n"/>
      <c r="H582" s="4" t="n"/>
      <c r="I582" s="4" t="n"/>
      <c r="J582" s="4" t="n"/>
      <c r="K582" s="4" t="n"/>
      <c r="L582" s="4" t="n"/>
      <c r="M582" s="4" t="n"/>
      <c r="N582" s="4" t="n"/>
      <c r="O582" s="4" t="n"/>
      <c r="P582" s="4" t="n"/>
      <c r="Q582" s="4" t="n"/>
      <c r="R582" s="4" t="n"/>
    </row>
    <row r="583" ht="15.75" customHeight="1" s="108">
      <c r="A583" s="4" t="n"/>
      <c r="B583" s="4" t="n"/>
      <c r="C583" s="4" t="n"/>
      <c r="D583" s="4" t="n"/>
      <c r="E583" s="4" t="n"/>
      <c r="F583" s="4" t="n"/>
      <c r="G583" s="4" t="n"/>
      <c r="H583" s="4" t="n"/>
      <c r="I583" s="4" t="n"/>
      <c r="J583" s="4" t="n"/>
      <c r="K583" s="4" t="n"/>
      <c r="L583" s="4" t="n"/>
      <c r="M583" s="4" t="n"/>
      <c r="N583" s="4" t="n"/>
      <c r="O583" s="4" t="n"/>
      <c r="P583" s="4" t="n"/>
      <c r="Q583" s="4" t="n"/>
      <c r="R583" s="4" t="n"/>
    </row>
    <row r="584" ht="15.75" customHeight="1" s="108">
      <c r="A584" s="4" t="n"/>
      <c r="B584" s="4" t="n"/>
      <c r="C584" s="4" t="n"/>
      <c r="D584" s="4" t="n"/>
      <c r="E584" s="4" t="n"/>
      <c r="F584" s="4" t="n"/>
      <c r="G584" s="4" t="n"/>
      <c r="H584" s="4" t="n"/>
      <c r="I584" s="4" t="n"/>
      <c r="J584" s="4" t="n"/>
      <c r="K584" s="4" t="n"/>
      <c r="L584" s="4" t="n"/>
      <c r="M584" s="4" t="n"/>
      <c r="N584" s="4" t="n"/>
      <c r="O584" s="4" t="n"/>
      <c r="P584" s="4" t="n"/>
      <c r="Q584" s="4" t="n"/>
      <c r="R584" s="4" t="n"/>
    </row>
    <row r="585" ht="15.75" customHeight="1" s="108">
      <c r="A585" s="4" t="n"/>
      <c r="B585" s="4" t="n"/>
      <c r="C585" s="4" t="n"/>
      <c r="D585" s="4" t="n"/>
      <c r="E585" s="4" t="n"/>
      <c r="F585" s="4" t="n"/>
      <c r="G585" s="4" t="n"/>
      <c r="H585" s="4" t="n"/>
      <c r="I585" s="4" t="n"/>
      <c r="J585" s="4" t="n"/>
      <c r="K585" s="4" t="n"/>
      <c r="L585" s="4" t="n"/>
      <c r="M585" s="4" t="n"/>
      <c r="N585" s="4" t="n"/>
      <c r="O585" s="4" t="n"/>
      <c r="P585" s="4" t="n"/>
      <c r="Q585" s="4" t="n"/>
      <c r="R585" s="4" t="n"/>
    </row>
    <row r="586" ht="15.75" customHeight="1" s="108">
      <c r="A586" s="4" t="n"/>
      <c r="B586" s="4" t="n"/>
      <c r="C586" s="4" t="n"/>
      <c r="D586" s="4" t="n"/>
      <c r="E586" s="4" t="n"/>
      <c r="F586" s="4" t="n"/>
      <c r="G586" s="4" t="n"/>
      <c r="H586" s="4" t="n"/>
      <c r="I586" s="4" t="n"/>
      <c r="J586" s="4" t="n"/>
      <c r="K586" s="4" t="n"/>
      <c r="L586" s="4" t="n"/>
      <c r="M586" s="4" t="n"/>
      <c r="N586" s="4" t="n"/>
      <c r="O586" s="4" t="n"/>
      <c r="P586" s="4" t="n"/>
      <c r="Q586" s="4" t="n"/>
      <c r="R586" s="4" t="n"/>
    </row>
    <row r="587" ht="15.75" customHeight="1" s="108">
      <c r="A587" s="4" t="n"/>
      <c r="B587" s="4" t="n"/>
      <c r="C587" s="4" t="n"/>
      <c r="D587" s="4" t="n"/>
      <c r="E587" s="4" t="n"/>
      <c r="F587" s="4" t="n"/>
      <c r="G587" s="4" t="n"/>
      <c r="H587" s="4" t="n"/>
      <c r="I587" s="4" t="n"/>
      <c r="J587" s="4" t="n"/>
      <c r="K587" s="4" t="n"/>
      <c r="L587" s="4" t="n"/>
      <c r="M587" s="4" t="n"/>
      <c r="N587" s="4" t="n"/>
      <c r="O587" s="4" t="n"/>
      <c r="P587" s="4" t="n"/>
      <c r="Q587" s="4" t="n"/>
      <c r="R587" s="4" t="n"/>
    </row>
    <row r="588" ht="15.75" customHeight="1" s="108">
      <c r="A588" s="4" t="n"/>
      <c r="B588" s="4" t="n"/>
      <c r="C588" s="4" t="n"/>
      <c r="D588" s="4" t="n"/>
      <c r="E588" s="4" t="n"/>
      <c r="F588" s="4" t="n"/>
      <c r="G588" s="4" t="n"/>
      <c r="H588" s="4" t="n"/>
      <c r="I588" s="4" t="n"/>
      <c r="J588" s="4" t="n"/>
      <c r="K588" s="4" t="n"/>
      <c r="L588" s="4" t="n"/>
      <c r="M588" s="4" t="n"/>
      <c r="N588" s="4" t="n"/>
      <c r="O588" s="4" t="n"/>
      <c r="P588" s="4" t="n"/>
      <c r="Q588" s="4" t="n"/>
      <c r="R588" s="4" t="n"/>
    </row>
    <row r="589" ht="15.75" customHeight="1" s="108">
      <c r="A589" s="4" t="n"/>
      <c r="B589" s="4" t="n"/>
      <c r="C589" s="4" t="n"/>
      <c r="D589" s="4" t="n"/>
      <c r="E589" s="4" t="n"/>
      <c r="F589" s="4" t="n"/>
      <c r="G589" s="4" t="n"/>
      <c r="H589" s="4" t="n"/>
      <c r="I589" s="4" t="n"/>
      <c r="J589" s="4" t="n"/>
      <c r="K589" s="4" t="n"/>
      <c r="L589" s="4" t="n"/>
      <c r="M589" s="4" t="n"/>
      <c r="N589" s="4" t="n"/>
      <c r="O589" s="4" t="n"/>
      <c r="P589" s="4" t="n"/>
      <c r="Q589" s="4" t="n"/>
      <c r="R589" s="4" t="n"/>
    </row>
    <row r="590" ht="15.75" customHeight="1" s="108">
      <c r="A590" s="4" t="n"/>
      <c r="B590" s="4" t="n"/>
      <c r="C590" s="4" t="n"/>
      <c r="D590" s="4" t="n"/>
      <c r="E590" s="4" t="n"/>
      <c r="F590" s="4" t="n"/>
      <c r="G590" s="4" t="n"/>
      <c r="H590" s="4" t="n"/>
      <c r="I590" s="4" t="n"/>
      <c r="J590" s="4" t="n"/>
      <c r="K590" s="4" t="n"/>
      <c r="L590" s="4" t="n"/>
      <c r="M590" s="4" t="n"/>
      <c r="N590" s="4" t="n"/>
      <c r="O590" s="4" t="n"/>
      <c r="P590" s="4" t="n"/>
      <c r="Q590" s="4" t="n"/>
      <c r="R590" s="4" t="n"/>
    </row>
    <row r="591" ht="15.75" customHeight="1" s="108">
      <c r="A591" s="4" t="n"/>
      <c r="B591" s="4" t="n"/>
      <c r="C591" s="4" t="n"/>
      <c r="D591" s="4" t="n"/>
      <c r="E591" s="4" t="n"/>
      <c r="F591" s="4" t="n"/>
      <c r="G591" s="4" t="n"/>
      <c r="H591" s="4" t="n"/>
      <c r="I591" s="4" t="n"/>
      <c r="J591" s="4" t="n"/>
      <c r="K591" s="4" t="n"/>
      <c r="L591" s="4" t="n"/>
      <c r="M591" s="4" t="n"/>
      <c r="N591" s="4" t="n"/>
      <c r="O591" s="4" t="n"/>
      <c r="P591" s="4" t="n"/>
      <c r="Q591" s="4" t="n"/>
      <c r="R591" s="4" t="n"/>
    </row>
    <row r="592" ht="15.75" customHeight="1" s="108">
      <c r="A592" s="4" t="n"/>
      <c r="B592" s="4" t="n"/>
      <c r="C592" s="4" t="n"/>
      <c r="D592" s="4" t="n"/>
      <c r="E592" s="4" t="n"/>
      <c r="F592" s="4" t="n"/>
      <c r="G592" s="4" t="n"/>
      <c r="H592" s="4" t="n"/>
      <c r="I592" s="4" t="n"/>
      <c r="J592" s="4" t="n"/>
      <c r="K592" s="4" t="n"/>
      <c r="L592" s="4" t="n"/>
      <c r="M592" s="4" t="n"/>
      <c r="N592" s="4" t="n"/>
      <c r="O592" s="4" t="n"/>
      <c r="P592" s="4" t="n"/>
      <c r="Q592" s="4" t="n"/>
      <c r="R592" s="4" t="n"/>
    </row>
    <row r="593" ht="15.75" customHeight="1" s="108">
      <c r="A593" s="4" t="n"/>
      <c r="B593" s="4" t="n"/>
      <c r="C593" s="4" t="n"/>
      <c r="D593" s="4" t="n"/>
      <c r="E593" s="4" t="n"/>
      <c r="F593" s="4" t="n"/>
      <c r="G593" s="4" t="n"/>
      <c r="H593" s="4" t="n"/>
      <c r="I593" s="4" t="n"/>
      <c r="J593" s="4" t="n"/>
      <c r="K593" s="4" t="n"/>
      <c r="L593" s="4" t="n"/>
      <c r="M593" s="4" t="n"/>
      <c r="N593" s="4" t="n"/>
      <c r="O593" s="4" t="n"/>
      <c r="P593" s="4" t="n"/>
      <c r="Q593" s="4" t="n"/>
      <c r="R593" s="4" t="n"/>
    </row>
    <row r="594" ht="15.75" customHeight="1" s="108">
      <c r="A594" s="4" t="n"/>
      <c r="B594" s="4" t="n"/>
      <c r="C594" s="4" t="n"/>
      <c r="D594" s="4" t="n"/>
      <c r="E594" s="4" t="n"/>
      <c r="F594" s="4" t="n"/>
      <c r="G594" s="4" t="n"/>
      <c r="H594" s="4" t="n"/>
      <c r="I594" s="4" t="n"/>
      <c r="J594" s="4" t="n"/>
      <c r="K594" s="4" t="n"/>
      <c r="L594" s="4" t="n"/>
      <c r="M594" s="4" t="n"/>
      <c r="N594" s="4" t="n"/>
      <c r="O594" s="4" t="n"/>
      <c r="P594" s="4" t="n"/>
      <c r="Q594" s="4" t="n"/>
      <c r="R594" s="4" t="n"/>
    </row>
    <row r="595" ht="15.75" customHeight="1" s="108">
      <c r="A595" s="4" t="n"/>
      <c r="B595" s="4" t="n"/>
      <c r="C595" s="4" t="n"/>
      <c r="D595" s="4" t="n"/>
      <c r="E595" s="4" t="n"/>
      <c r="F595" s="4" t="n"/>
      <c r="G595" s="4" t="n"/>
      <c r="H595" s="4" t="n"/>
      <c r="I595" s="4" t="n"/>
      <c r="J595" s="4" t="n"/>
      <c r="K595" s="4" t="n"/>
      <c r="L595" s="4" t="n"/>
      <c r="M595" s="4" t="n"/>
      <c r="N595" s="4" t="n"/>
      <c r="O595" s="4" t="n"/>
      <c r="P595" s="4" t="n"/>
      <c r="Q595" s="4" t="n"/>
      <c r="R595" s="4" t="n"/>
    </row>
    <row r="596" ht="15.75" customHeight="1" s="108">
      <c r="A596" s="4" t="n"/>
      <c r="B596" s="4" t="n"/>
      <c r="C596" s="4" t="n"/>
      <c r="D596" s="4" t="n"/>
      <c r="E596" s="4" t="n"/>
      <c r="F596" s="4" t="n"/>
      <c r="G596" s="4" t="n"/>
      <c r="H596" s="4" t="n"/>
      <c r="I596" s="4" t="n"/>
      <c r="J596" s="4" t="n"/>
      <c r="K596" s="4" t="n"/>
      <c r="L596" s="4" t="n"/>
      <c r="M596" s="4" t="n"/>
      <c r="N596" s="4" t="n"/>
      <c r="O596" s="4" t="n"/>
      <c r="P596" s="4" t="n"/>
      <c r="Q596" s="4" t="n"/>
      <c r="R596" s="4" t="n"/>
    </row>
    <row r="597" ht="15.75" customHeight="1" s="108">
      <c r="A597" s="4" t="n"/>
      <c r="B597" s="4" t="n"/>
      <c r="C597" s="4" t="n"/>
      <c r="D597" s="4" t="n"/>
      <c r="E597" s="4" t="n"/>
      <c r="F597" s="4" t="n"/>
      <c r="G597" s="4" t="n"/>
      <c r="H597" s="4" t="n"/>
      <c r="I597" s="4" t="n"/>
      <c r="J597" s="4" t="n"/>
      <c r="K597" s="4" t="n"/>
      <c r="L597" s="4" t="n"/>
      <c r="M597" s="4" t="n"/>
      <c r="N597" s="4" t="n"/>
      <c r="O597" s="4" t="n"/>
      <c r="P597" s="4" t="n"/>
      <c r="Q597" s="4" t="n"/>
      <c r="R597" s="4" t="n"/>
    </row>
    <row r="598" ht="15.75" customHeight="1" s="108">
      <c r="A598" s="4" t="n"/>
      <c r="B598" s="4" t="n"/>
      <c r="C598" s="4" t="n"/>
      <c r="D598" s="4" t="n"/>
      <c r="E598" s="4" t="n"/>
      <c r="F598" s="4" t="n"/>
      <c r="G598" s="4" t="n"/>
      <c r="H598" s="4" t="n"/>
      <c r="I598" s="4" t="n"/>
      <c r="J598" s="4" t="n"/>
      <c r="K598" s="4" t="n"/>
      <c r="L598" s="4" t="n"/>
      <c r="M598" s="4" t="n"/>
      <c r="N598" s="4" t="n"/>
      <c r="O598" s="4" t="n"/>
      <c r="P598" s="4" t="n"/>
      <c r="Q598" s="4" t="n"/>
      <c r="R598" s="4" t="n"/>
    </row>
    <row r="599" ht="15.75" customHeight="1" s="108">
      <c r="A599" s="4" t="n"/>
      <c r="B599" s="4" t="n"/>
      <c r="C599" s="4" t="n"/>
      <c r="D599" s="4" t="n"/>
      <c r="E599" s="4" t="n"/>
      <c r="F599" s="4" t="n"/>
      <c r="G599" s="4" t="n"/>
      <c r="H599" s="4" t="n"/>
      <c r="I599" s="4" t="n"/>
      <c r="J599" s="4" t="n"/>
      <c r="K599" s="4" t="n"/>
      <c r="L599" s="4" t="n"/>
      <c r="M599" s="4" t="n"/>
      <c r="N599" s="4" t="n"/>
      <c r="O599" s="4" t="n"/>
      <c r="P599" s="4" t="n"/>
      <c r="Q599" s="4" t="n"/>
      <c r="R599" s="4" t="n"/>
    </row>
    <row r="600" ht="15.75" customHeight="1" s="108">
      <c r="A600" s="4" t="n"/>
      <c r="B600" s="4" t="n"/>
      <c r="C600" s="4" t="n"/>
      <c r="D600" s="4" t="n"/>
      <c r="E600" s="4" t="n"/>
      <c r="F600" s="4" t="n"/>
      <c r="G600" s="4" t="n"/>
      <c r="H600" s="4" t="n"/>
      <c r="I600" s="4" t="n"/>
      <c r="J600" s="4" t="n"/>
      <c r="K600" s="4" t="n"/>
      <c r="L600" s="4" t="n"/>
      <c r="M600" s="4" t="n"/>
      <c r="N600" s="4" t="n"/>
      <c r="O600" s="4" t="n"/>
      <c r="P600" s="4" t="n"/>
      <c r="Q600" s="4" t="n"/>
      <c r="R600" s="4" t="n"/>
    </row>
    <row r="601" ht="15.75" customHeight="1" s="108">
      <c r="A601" s="4" t="n"/>
      <c r="B601" s="4" t="n"/>
      <c r="C601" s="4" t="n"/>
      <c r="D601" s="4" t="n"/>
      <c r="E601" s="4" t="n"/>
      <c r="F601" s="4" t="n"/>
      <c r="G601" s="4" t="n"/>
      <c r="H601" s="4" t="n"/>
      <c r="I601" s="4" t="n"/>
      <c r="J601" s="4" t="n"/>
      <c r="K601" s="4" t="n"/>
      <c r="L601" s="4" t="n"/>
      <c r="M601" s="4" t="n"/>
      <c r="N601" s="4" t="n"/>
      <c r="O601" s="4" t="n"/>
      <c r="P601" s="4" t="n"/>
      <c r="Q601" s="4" t="n"/>
      <c r="R601" s="4" t="n"/>
    </row>
    <row r="602" ht="15.75" customHeight="1" s="108">
      <c r="A602" s="4" t="n"/>
      <c r="B602" s="4" t="n"/>
      <c r="C602" s="4" t="n"/>
      <c r="D602" s="4" t="n"/>
      <c r="E602" s="4" t="n"/>
      <c r="F602" s="4" t="n"/>
      <c r="G602" s="4" t="n"/>
      <c r="H602" s="4" t="n"/>
      <c r="I602" s="4" t="n"/>
      <c r="J602" s="4" t="n"/>
      <c r="K602" s="4" t="n"/>
      <c r="L602" s="4" t="n"/>
      <c r="M602" s="4" t="n"/>
      <c r="N602" s="4" t="n"/>
      <c r="O602" s="4" t="n"/>
      <c r="P602" s="4" t="n"/>
      <c r="Q602" s="4" t="n"/>
      <c r="R602" s="4" t="n"/>
    </row>
    <row r="603" ht="15.75" customHeight="1" s="108">
      <c r="A603" s="4" t="n"/>
      <c r="B603" s="4" t="n"/>
      <c r="C603" s="4" t="n"/>
      <c r="D603" s="4" t="n"/>
      <c r="E603" s="4" t="n"/>
      <c r="F603" s="4" t="n"/>
      <c r="G603" s="4" t="n"/>
      <c r="H603" s="4" t="n"/>
      <c r="I603" s="4" t="n"/>
      <c r="J603" s="4" t="n"/>
      <c r="K603" s="4" t="n"/>
      <c r="L603" s="4" t="n"/>
      <c r="M603" s="4" t="n"/>
      <c r="N603" s="4" t="n"/>
      <c r="O603" s="4" t="n"/>
      <c r="P603" s="4" t="n"/>
      <c r="Q603" s="4" t="n"/>
      <c r="R603" s="4" t="n"/>
    </row>
    <row r="604" ht="15.75" customHeight="1" s="108">
      <c r="A604" s="4" t="n"/>
      <c r="B604" s="4" t="n"/>
      <c r="C604" s="4" t="n"/>
      <c r="D604" s="4" t="n"/>
      <c r="E604" s="4" t="n"/>
      <c r="F604" s="4" t="n"/>
      <c r="G604" s="4" t="n"/>
      <c r="H604" s="4" t="n"/>
      <c r="I604" s="4" t="n"/>
      <c r="J604" s="4" t="n"/>
      <c r="K604" s="4" t="n"/>
      <c r="L604" s="4" t="n"/>
      <c r="M604" s="4" t="n"/>
      <c r="N604" s="4" t="n"/>
      <c r="O604" s="4" t="n"/>
      <c r="P604" s="4" t="n"/>
      <c r="Q604" s="4" t="n"/>
      <c r="R604" s="4" t="n"/>
    </row>
    <row r="605" ht="15.75" customHeight="1" s="108">
      <c r="A605" s="4" t="n"/>
      <c r="B605" s="4" t="n"/>
      <c r="C605" s="4" t="n"/>
      <c r="D605" s="4" t="n"/>
      <c r="E605" s="4" t="n"/>
      <c r="F605" s="4" t="n"/>
      <c r="G605" s="4" t="n"/>
      <c r="H605" s="4" t="n"/>
      <c r="I605" s="4" t="n"/>
      <c r="J605" s="4" t="n"/>
      <c r="K605" s="4" t="n"/>
      <c r="L605" s="4" t="n"/>
      <c r="M605" s="4" t="n"/>
      <c r="N605" s="4" t="n"/>
      <c r="O605" s="4" t="n"/>
      <c r="P605" s="4" t="n"/>
      <c r="Q605" s="4" t="n"/>
      <c r="R605" s="4" t="n"/>
    </row>
    <row r="606" ht="15.75" customHeight="1" s="108">
      <c r="A606" s="4" t="n"/>
      <c r="B606" s="4" t="n"/>
      <c r="C606" s="4" t="n"/>
      <c r="D606" s="4" t="n"/>
      <c r="E606" s="4" t="n"/>
      <c r="F606" s="4" t="n"/>
      <c r="G606" s="4" t="n"/>
      <c r="H606" s="4" t="n"/>
      <c r="I606" s="4" t="n"/>
      <c r="J606" s="4" t="n"/>
      <c r="K606" s="4" t="n"/>
      <c r="L606" s="4" t="n"/>
      <c r="M606" s="4" t="n"/>
      <c r="N606" s="4" t="n"/>
      <c r="O606" s="4" t="n"/>
      <c r="P606" s="4" t="n"/>
      <c r="Q606" s="4" t="n"/>
      <c r="R606" s="4" t="n"/>
    </row>
    <row r="607" ht="15.75" customHeight="1" s="108">
      <c r="A607" s="4" t="n"/>
      <c r="B607" s="4" t="n"/>
      <c r="C607" s="4" t="n"/>
      <c r="D607" s="4" t="n"/>
      <c r="E607" s="4" t="n"/>
      <c r="F607" s="4" t="n"/>
      <c r="G607" s="4" t="n"/>
      <c r="H607" s="4" t="n"/>
      <c r="I607" s="4" t="n"/>
      <c r="J607" s="4" t="n"/>
      <c r="K607" s="4" t="n"/>
      <c r="L607" s="4" t="n"/>
      <c r="M607" s="4" t="n"/>
      <c r="N607" s="4" t="n"/>
      <c r="O607" s="4" t="n"/>
      <c r="P607" s="4" t="n"/>
      <c r="Q607" s="4" t="n"/>
      <c r="R607" s="4" t="n"/>
    </row>
    <row r="608" ht="15.75" customHeight="1" s="108">
      <c r="A608" s="4" t="n"/>
      <c r="B608" s="4" t="n"/>
      <c r="C608" s="4" t="n"/>
      <c r="D608" s="4" t="n"/>
      <c r="E608" s="4" t="n"/>
      <c r="F608" s="4" t="n"/>
      <c r="G608" s="4" t="n"/>
      <c r="H608" s="4" t="n"/>
      <c r="I608" s="4" t="n"/>
      <c r="J608" s="4" t="n"/>
      <c r="K608" s="4" t="n"/>
      <c r="L608" s="4" t="n"/>
      <c r="M608" s="4" t="n"/>
      <c r="N608" s="4" t="n"/>
      <c r="O608" s="4" t="n"/>
      <c r="P608" s="4" t="n"/>
      <c r="Q608" s="4" t="n"/>
      <c r="R608" s="4" t="n"/>
    </row>
    <row r="609" ht="15.75" customHeight="1" s="108">
      <c r="A609" s="4" t="n"/>
      <c r="B609" s="4" t="n"/>
      <c r="C609" s="4" t="n"/>
      <c r="D609" s="4" t="n"/>
      <c r="E609" s="4" t="n"/>
      <c r="F609" s="4" t="n"/>
      <c r="G609" s="4" t="n"/>
      <c r="H609" s="4" t="n"/>
      <c r="I609" s="4" t="n"/>
      <c r="J609" s="4" t="n"/>
      <c r="K609" s="4" t="n"/>
      <c r="L609" s="4" t="n"/>
      <c r="M609" s="4" t="n"/>
      <c r="N609" s="4" t="n"/>
      <c r="O609" s="4" t="n"/>
      <c r="P609" s="4" t="n"/>
      <c r="Q609" s="4" t="n"/>
      <c r="R609" s="4" t="n"/>
    </row>
    <row r="610" ht="15.75" customHeight="1" s="108">
      <c r="A610" s="4" t="n"/>
      <c r="B610" s="4" t="n"/>
      <c r="C610" s="4" t="n"/>
      <c r="D610" s="4" t="n"/>
      <c r="E610" s="4" t="n"/>
      <c r="F610" s="4" t="n"/>
      <c r="G610" s="4" t="n"/>
      <c r="H610" s="4" t="n"/>
      <c r="I610" s="4" t="n"/>
      <c r="J610" s="4" t="n"/>
      <c r="K610" s="4" t="n"/>
      <c r="L610" s="4" t="n"/>
      <c r="M610" s="4" t="n"/>
      <c r="N610" s="4" t="n"/>
      <c r="O610" s="4" t="n"/>
      <c r="P610" s="4" t="n"/>
      <c r="Q610" s="4" t="n"/>
      <c r="R610" s="4" t="n"/>
    </row>
    <row r="611" ht="15.75" customHeight="1" s="108">
      <c r="A611" s="4" t="n"/>
      <c r="B611" s="4" t="n"/>
      <c r="C611" s="4" t="n"/>
      <c r="D611" s="4" t="n"/>
      <c r="E611" s="4" t="n"/>
      <c r="F611" s="4" t="n"/>
      <c r="G611" s="4" t="n"/>
      <c r="H611" s="4" t="n"/>
      <c r="I611" s="4" t="n"/>
      <c r="J611" s="4" t="n"/>
      <c r="K611" s="4" t="n"/>
      <c r="L611" s="4" t="n"/>
      <c r="M611" s="4" t="n"/>
      <c r="N611" s="4" t="n"/>
      <c r="O611" s="4" t="n"/>
      <c r="P611" s="4" t="n"/>
      <c r="Q611" s="4" t="n"/>
      <c r="R611" s="4" t="n"/>
    </row>
    <row r="612" ht="15.75" customHeight="1" s="108">
      <c r="A612" s="4" t="n"/>
      <c r="B612" s="4" t="n"/>
      <c r="C612" s="4" t="n"/>
      <c r="D612" s="4" t="n"/>
      <c r="E612" s="4" t="n"/>
      <c r="F612" s="4" t="n"/>
      <c r="G612" s="4" t="n"/>
      <c r="H612" s="4" t="n"/>
      <c r="I612" s="4" t="n"/>
      <c r="J612" s="4" t="n"/>
      <c r="K612" s="4" t="n"/>
      <c r="L612" s="4" t="n"/>
      <c r="M612" s="4" t="n"/>
      <c r="N612" s="4" t="n"/>
      <c r="O612" s="4" t="n"/>
      <c r="P612" s="4" t="n"/>
      <c r="Q612" s="4" t="n"/>
      <c r="R612" s="4" t="n"/>
    </row>
    <row r="613" ht="15.75" customHeight="1" s="108">
      <c r="A613" s="4" t="n"/>
      <c r="B613" s="4" t="n"/>
      <c r="C613" s="4" t="n"/>
      <c r="D613" s="4" t="n"/>
      <c r="E613" s="4" t="n"/>
      <c r="F613" s="4" t="n"/>
      <c r="G613" s="4" t="n"/>
      <c r="H613" s="4" t="n"/>
      <c r="I613" s="4" t="n"/>
      <c r="J613" s="4" t="n"/>
      <c r="K613" s="4" t="n"/>
      <c r="L613" s="4" t="n"/>
      <c r="M613" s="4" t="n"/>
      <c r="N613" s="4" t="n"/>
      <c r="O613" s="4" t="n"/>
      <c r="P613" s="4" t="n"/>
      <c r="Q613" s="4" t="n"/>
      <c r="R613" s="4" t="n"/>
    </row>
    <row r="614" ht="15.75" customHeight="1" s="108">
      <c r="A614" s="4" t="n"/>
      <c r="B614" s="4" t="n"/>
      <c r="C614" s="4" t="n"/>
      <c r="D614" s="4" t="n"/>
      <c r="E614" s="4" t="n"/>
      <c r="F614" s="4" t="n"/>
      <c r="G614" s="4" t="n"/>
      <c r="H614" s="4" t="n"/>
      <c r="I614" s="4" t="n"/>
      <c r="J614" s="4" t="n"/>
      <c r="K614" s="4" t="n"/>
      <c r="L614" s="4" t="n"/>
      <c r="M614" s="4" t="n"/>
      <c r="N614" s="4" t="n"/>
      <c r="O614" s="4" t="n"/>
      <c r="P614" s="4" t="n"/>
      <c r="Q614" s="4" t="n"/>
      <c r="R614" s="4" t="n"/>
    </row>
    <row r="615" ht="15.75" customHeight="1" s="108">
      <c r="A615" s="4" t="n"/>
      <c r="B615" s="4" t="n"/>
      <c r="C615" s="4" t="n"/>
      <c r="D615" s="4" t="n"/>
      <c r="E615" s="4" t="n"/>
      <c r="F615" s="4" t="n"/>
      <c r="G615" s="4" t="n"/>
      <c r="H615" s="4" t="n"/>
      <c r="I615" s="4" t="n"/>
      <c r="J615" s="4" t="n"/>
      <c r="K615" s="4" t="n"/>
      <c r="L615" s="4" t="n"/>
      <c r="M615" s="4" t="n"/>
      <c r="N615" s="4" t="n"/>
      <c r="O615" s="4" t="n"/>
      <c r="P615" s="4" t="n"/>
      <c r="Q615" s="4" t="n"/>
      <c r="R615" s="4" t="n"/>
    </row>
    <row r="616" ht="15.75" customHeight="1" s="108">
      <c r="A616" s="4" t="n"/>
      <c r="B616" s="4" t="n"/>
      <c r="C616" s="4" t="n"/>
      <c r="D616" s="4" t="n"/>
      <c r="E616" s="4" t="n"/>
      <c r="F616" s="4" t="n"/>
      <c r="G616" s="4" t="n"/>
      <c r="H616" s="4" t="n"/>
      <c r="I616" s="4" t="n"/>
      <c r="J616" s="4" t="n"/>
      <c r="K616" s="4" t="n"/>
      <c r="L616" s="4" t="n"/>
      <c r="M616" s="4" t="n"/>
      <c r="N616" s="4" t="n"/>
      <c r="O616" s="4" t="n"/>
      <c r="P616" s="4" t="n"/>
      <c r="Q616" s="4" t="n"/>
      <c r="R616" s="4" t="n"/>
    </row>
    <row r="617" ht="15.75" customHeight="1" s="108">
      <c r="A617" s="4" t="n"/>
      <c r="B617" s="4" t="n"/>
      <c r="C617" s="4" t="n"/>
      <c r="D617" s="4" t="n"/>
      <c r="E617" s="4" t="n"/>
      <c r="F617" s="4" t="n"/>
      <c r="G617" s="4" t="n"/>
      <c r="H617" s="4" t="n"/>
      <c r="I617" s="4" t="n"/>
      <c r="J617" s="4" t="n"/>
      <c r="K617" s="4" t="n"/>
      <c r="L617" s="4" t="n"/>
      <c r="M617" s="4" t="n"/>
      <c r="N617" s="4" t="n"/>
      <c r="O617" s="4" t="n"/>
      <c r="P617" s="4" t="n"/>
      <c r="Q617" s="4" t="n"/>
      <c r="R617" s="4" t="n"/>
    </row>
    <row r="618" ht="15.75" customHeight="1" s="108">
      <c r="A618" s="4" t="n"/>
      <c r="B618" s="4" t="n"/>
      <c r="C618" s="4" t="n"/>
      <c r="D618" s="4" t="n"/>
      <c r="E618" s="4" t="n"/>
      <c r="F618" s="4" t="n"/>
      <c r="G618" s="4" t="n"/>
      <c r="H618" s="4" t="n"/>
      <c r="I618" s="4" t="n"/>
      <c r="J618" s="4" t="n"/>
      <c r="K618" s="4" t="n"/>
      <c r="L618" s="4" t="n"/>
      <c r="M618" s="4" t="n"/>
      <c r="N618" s="4" t="n"/>
      <c r="O618" s="4" t="n"/>
      <c r="P618" s="4" t="n"/>
      <c r="Q618" s="4" t="n"/>
      <c r="R618" s="4" t="n"/>
    </row>
    <row r="619" ht="15.75" customHeight="1" s="108">
      <c r="A619" s="4" t="n"/>
      <c r="B619" s="4" t="n"/>
      <c r="C619" s="4" t="n"/>
      <c r="D619" s="4" t="n"/>
      <c r="E619" s="4" t="n"/>
      <c r="F619" s="4" t="n"/>
      <c r="G619" s="4" t="n"/>
      <c r="H619" s="4" t="n"/>
      <c r="I619" s="4" t="n"/>
      <c r="J619" s="4" t="n"/>
      <c r="K619" s="4" t="n"/>
      <c r="L619" s="4" t="n"/>
      <c r="M619" s="4" t="n"/>
      <c r="N619" s="4" t="n"/>
      <c r="O619" s="4" t="n"/>
      <c r="P619" s="4" t="n"/>
      <c r="Q619" s="4" t="n"/>
      <c r="R619" s="4" t="n"/>
    </row>
    <row r="620" ht="15.75" customHeight="1" s="108">
      <c r="A620" s="4" t="n"/>
      <c r="B620" s="4" t="n"/>
      <c r="C620" s="4" t="n"/>
      <c r="D620" s="4" t="n"/>
      <c r="E620" s="4" t="n"/>
      <c r="F620" s="4" t="n"/>
      <c r="G620" s="4" t="n"/>
      <c r="H620" s="4" t="n"/>
      <c r="I620" s="4" t="n"/>
      <c r="J620" s="4" t="n"/>
      <c r="K620" s="4" t="n"/>
      <c r="L620" s="4" t="n"/>
      <c r="M620" s="4" t="n"/>
      <c r="N620" s="4" t="n"/>
      <c r="O620" s="4" t="n"/>
      <c r="P620" s="4" t="n"/>
      <c r="Q620" s="4" t="n"/>
      <c r="R620" s="4" t="n"/>
    </row>
    <row r="621" ht="15.75" customHeight="1" s="108">
      <c r="A621" s="4" t="n"/>
      <c r="B621" s="4" t="n"/>
      <c r="C621" s="4" t="n"/>
      <c r="D621" s="4" t="n"/>
      <c r="E621" s="4" t="n"/>
      <c r="F621" s="4" t="n"/>
      <c r="G621" s="4" t="n"/>
      <c r="H621" s="4" t="n"/>
      <c r="I621" s="4" t="n"/>
      <c r="J621" s="4" t="n"/>
      <c r="K621" s="4" t="n"/>
      <c r="L621" s="4" t="n"/>
      <c r="M621" s="4" t="n"/>
      <c r="N621" s="4" t="n"/>
      <c r="O621" s="4" t="n"/>
      <c r="P621" s="4" t="n"/>
      <c r="Q621" s="4" t="n"/>
      <c r="R621" s="4" t="n"/>
    </row>
    <row r="622" ht="15.75" customHeight="1" s="108">
      <c r="A622" s="4" t="n"/>
      <c r="B622" s="4" t="n"/>
      <c r="C622" s="4" t="n"/>
      <c r="D622" s="4" t="n"/>
      <c r="E622" s="4" t="n"/>
      <c r="F622" s="4" t="n"/>
      <c r="G622" s="4" t="n"/>
      <c r="H622" s="4" t="n"/>
      <c r="I622" s="4" t="n"/>
      <c r="J622" s="4" t="n"/>
      <c r="K622" s="4" t="n"/>
      <c r="L622" s="4" t="n"/>
      <c r="M622" s="4" t="n"/>
      <c r="N622" s="4" t="n"/>
      <c r="O622" s="4" t="n"/>
      <c r="P622" s="4" t="n"/>
      <c r="Q622" s="4" t="n"/>
      <c r="R622" s="4" t="n"/>
    </row>
    <row r="623" ht="15.75" customHeight="1" s="108">
      <c r="A623" s="4" t="n"/>
      <c r="B623" s="4" t="n"/>
      <c r="C623" s="4" t="n"/>
      <c r="D623" s="4" t="n"/>
      <c r="E623" s="4" t="n"/>
      <c r="F623" s="4" t="n"/>
      <c r="G623" s="4" t="n"/>
      <c r="H623" s="4" t="n"/>
      <c r="I623" s="4" t="n"/>
      <c r="J623" s="4" t="n"/>
      <c r="K623" s="4" t="n"/>
      <c r="L623" s="4" t="n"/>
      <c r="M623" s="4" t="n"/>
      <c r="N623" s="4" t="n"/>
      <c r="O623" s="4" t="n"/>
      <c r="P623" s="4" t="n"/>
      <c r="Q623" s="4" t="n"/>
      <c r="R623" s="4" t="n"/>
    </row>
    <row r="624" ht="15.75" customHeight="1" s="108">
      <c r="A624" s="4" t="n"/>
      <c r="B624" s="4" t="n"/>
      <c r="C624" s="4" t="n"/>
      <c r="D624" s="4" t="n"/>
      <c r="E624" s="4" t="n"/>
      <c r="F624" s="4" t="n"/>
      <c r="G624" s="4" t="n"/>
      <c r="H624" s="4" t="n"/>
      <c r="I624" s="4" t="n"/>
      <c r="J624" s="4" t="n"/>
      <c r="K624" s="4" t="n"/>
      <c r="L624" s="4" t="n"/>
      <c r="M624" s="4" t="n"/>
      <c r="N624" s="4" t="n"/>
      <c r="O624" s="4" t="n"/>
      <c r="P624" s="4" t="n"/>
      <c r="Q624" s="4" t="n"/>
      <c r="R624" s="4" t="n"/>
    </row>
    <row r="625" ht="15.75" customHeight="1" s="108">
      <c r="A625" s="4" t="n"/>
      <c r="B625" s="4" t="n"/>
      <c r="C625" s="4" t="n"/>
      <c r="D625" s="4" t="n"/>
      <c r="E625" s="4" t="n"/>
      <c r="F625" s="4" t="n"/>
      <c r="G625" s="4" t="n"/>
      <c r="H625" s="4" t="n"/>
      <c r="I625" s="4" t="n"/>
      <c r="J625" s="4" t="n"/>
      <c r="K625" s="4" t="n"/>
      <c r="L625" s="4" t="n"/>
      <c r="M625" s="4" t="n"/>
      <c r="N625" s="4" t="n"/>
      <c r="O625" s="4" t="n"/>
      <c r="P625" s="4" t="n"/>
      <c r="Q625" s="4" t="n"/>
      <c r="R625" s="4" t="n"/>
    </row>
    <row r="626" ht="15.75" customHeight="1" s="108">
      <c r="A626" s="4" t="n"/>
      <c r="B626" s="4" t="n"/>
      <c r="C626" s="4" t="n"/>
      <c r="D626" s="4" t="n"/>
      <c r="E626" s="4" t="n"/>
      <c r="F626" s="4" t="n"/>
      <c r="G626" s="4" t="n"/>
      <c r="H626" s="4" t="n"/>
      <c r="I626" s="4" t="n"/>
      <c r="J626" s="4" t="n"/>
      <c r="K626" s="4" t="n"/>
      <c r="L626" s="4" t="n"/>
      <c r="M626" s="4" t="n"/>
      <c r="N626" s="4" t="n"/>
      <c r="O626" s="4" t="n"/>
      <c r="P626" s="4" t="n"/>
      <c r="Q626" s="4" t="n"/>
      <c r="R626" s="4" t="n"/>
    </row>
    <row r="627" ht="15.75" customHeight="1" s="108">
      <c r="A627" s="4" t="n"/>
      <c r="B627" s="4" t="n"/>
      <c r="C627" s="4" t="n"/>
      <c r="D627" s="4" t="n"/>
      <c r="E627" s="4" t="n"/>
      <c r="F627" s="4" t="n"/>
      <c r="G627" s="4" t="n"/>
      <c r="H627" s="4" t="n"/>
      <c r="I627" s="4" t="n"/>
      <c r="J627" s="4" t="n"/>
      <c r="K627" s="4" t="n"/>
      <c r="L627" s="4" t="n"/>
      <c r="M627" s="4" t="n"/>
      <c r="N627" s="4" t="n"/>
      <c r="O627" s="4" t="n"/>
      <c r="P627" s="4" t="n"/>
      <c r="Q627" s="4" t="n"/>
      <c r="R627" s="4" t="n"/>
    </row>
    <row r="628" ht="15.75" customHeight="1" s="108">
      <c r="A628" s="4" t="n"/>
      <c r="B628" s="4" t="n"/>
      <c r="C628" s="4" t="n"/>
      <c r="D628" s="4" t="n"/>
      <c r="E628" s="4" t="n"/>
      <c r="F628" s="4" t="n"/>
      <c r="G628" s="4" t="n"/>
      <c r="H628" s="4" t="n"/>
      <c r="I628" s="4" t="n"/>
      <c r="J628" s="4" t="n"/>
      <c r="K628" s="4" t="n"/>
      <c r="L628" s="4" t="n"/>
      <c r="M628" s="4" t="n"/>
      <c r="N628" s="4" t="n"/>
      <c r="O628" s="4" t="n"/>
      <c r="P628" s="4" t="n"/>
      <c r="Q628" s="4" t="n"/>
      <c r="R628" s="4" t="n"/>
    </row>
    <row r="629" ht="15.75" customHeight="1" s="108">
      <c r="A629" s="4" t="n"/>
      <c r="B629" s="4" t="n"/>
      <c r="C629" s="4" t="n"/>
      <c r="D629" s="4" t="n"/>
      <c r="E629" s="4" t="n"/>
      <c r="F629" s="4" t="n"/>
      <c r="G629" s="4" t="n"/>
      <c r="H629" s="4" t="n"/>
      <c r="I629" s="4" t="n"/>
      <c r="J629" s="4" t="n"/>
      <c r="K629" s="4" t="n"/>
      <c r="L629" s="4" t="n"/>
      <c r="M629" s="4" t="n"/>
      <c r="N629" s="4" t="n"/>
      <c r="O629" s="4" t="n"/>
      <c r="P629" s="4" t="n"/>
      <c r="Q629" s="4" t="n"/>
      <c r="R629" s="4" t="n"/>
    </row>
    <row r="630" ht="15.75" customHeight="1" s="108">
      <c r="A630" s="4" t="n"/>
      <c r="B630" s="4" t="n"/>
      <c r="C630" s="4" t="n"/>
      <c r="D630" s="4" t="n"/>
      <c r="E630" s="4" t="n"/>
      <c r="F630" s="4" t="n"/>
      <c r="G630" s="4" t="n"/>
      <c r="H630" s="4" t="n"/>
      <c r="I630" s="4" t="n"/>
      <c r="J630" s="4" t="n"/>
      <c r="K630" s="4" t="n"/>
      <c r="L630" s="4" t="n"/>
      <c r="M630" s="4" t="n"/>
      <c r="N630" s="4" t="n"/>
      <c r="O630" s="4" t="n"/>
      <c r="P630" s="4" t="n"/>
      <c r="Q630" s="4" t="n"/>
      <c r="R630" s="4" t="n"/>
    </row>
    <row r="631" ht="15.75" customHeight="1" s="108">
      <c r="A631" s="4" t="n"/>
      <c r="B631" s="4" t="n"/>
      <c r="C631" s="4" t="n"/>
      <c r="D631" s="4" t="n"/>
      <c r="E631" s="4" t="n"/>
      <c r="F631" s="4" t="n"/>
      <c r="G631" s="4" t="n"/>
      <c r="H631" s="4" t="n"/>
      <c r="I631" s="4" t="n"/>
      <c r="J631" s="4" t="n"/>
      <c r="K631" s="4" t="n"/>
      <c r="L631" s="4" t="n"/>
      <c r="M631" s="4" t="n"/>
      <c r="N631" s="4" t="n"/>
      <c r="O631" s="4" t="n"/>
      <c r="P631" s="4" t="n"/>
      <c r="Q631" s="4" t="n"/>
      <c r="R631" s="4" t="n"/>
    </row>
    <row r="632" ht="15.75" customHeight="1" s="108">
      <c r="A632" s="4" t="n"/>
      <c r="B632" s="4" t="n"/>
      <c r="C632" s="4" t="n"/>
      <c r="D632" s="4" t="n"/>
      <c r="E632" s="4" t="n"/>
      <c r="F632" s="4" t="n"/>
      <c r="G632" s="4" t="n"/>
      <c r="H632" s="4" t="n"/>
      <c r="I632" s="4" t="n"/>
      <c r="J632" s="4" t="n"/>
      <c r="K632" s="4" t="n"/>
      <c r="L632" s="4" t="n"/>
      <c r="M632" s="4" t="n"/>
      <c r="N632" s="4" t="n"/>
      <c r="O632" s="4" t="n"/>
      <c r="P632" s="4" t="n"/>
      <c r="Q632" s="4" t="n"/>
      <c r="R632" s="4" t="n"/>
    </row>
    <row r="633" ht="15.75" customHeight="1" s="108">
      <c r="A633" s="4" t="n"/>
      <c r="B633" s="4" t="n"/>
      <c r="C633" s="4" t="n"/>
      <c r="D633" s="4" t="n"/>
      <c r="E633" s="4" t="n"/>
      <c r="F633" s="4" t="n"/>
      <c r="G633" s="4" t="n"/>
      <c r="H633" s="4" t="n"/>
      <c r="I633" s="4" t="n"/>
      <c r="J633" s="4" t="n"/>
      <c r="K633" s="4" t="n"/>
      <c r="L633" s="4" t="n"/>
      <c r="M633" s="4" t="n"/>
      <c r="N633" s="4" t="n"/>
      <c r="O633" s="4" t="n"/>
      <c r="P633" s="4" t="n"/>
      <c r="Q633" s="4" t="n"/>
      <c r="R633" s="4" t="n"/>
    </row>
    <row r="634" ht="15.75" customHeight="1" s="108">
      <c r="A634" s="4" t="n"/>
      <c r="B634" s="4" t="n"/>
      <c r="C634" s="4" t="n"/>
      <c r="D634" s="4" t="n"/>
      <c r="E634" s="4" t="n"/>
      <c r="F634" s="4" t="n"/>
      <c r="G634" s="4" t="n"/>
      <c r="H634" s="4" t="n"/>
      <c r="I634" s="4" t="n"/>
      <c r="J634" s="4" t="n"/>
      <c r="K634" s="4" t="n"/>
      <c r="L634" s="4" t="n"/>
      <c r="M634" s="4" t="n"/>
      <c r="N634" s="4" t="n"/>
      <c r="O634" s="4" t="n"/>
      <c r="P634" s="4" t="n"/>
      <c r="Q634" s="4" t="n"/>
      <c r="R634" s="4" t="n"/>
    </row>
    <row r="635" ht="15.75" customHeight="1" s="108">
      <c r="A635" s="4" t="n"/>
      <c r="B635" s="4" t="n"/>
      <c r="C635" s="4" t="n"/>
      <c r="D635" s="4" t="n"/>
      <c r="E635" s="4" t="n"/>
      <c r="F635" s="4" t="n"/>
      <c r="G635" s="4" t="n"/>
      <c r="H635" s="4" t="n"/>
      <c r="I635" s="4" t="n"/>
      <c r="J635" s="4" t="n"/>
      <c r="K635" s="4" t="n"/>
      <c r="L635" s="4" t="n"/>
      <c r="M635" s="4" t="n"/>
      <c r="N635" s="4" t="n"/>
      <c r="O635" s="4" t="n"/>
      <c r="P635" s="4" t="n"/>
      <c r="Q635" s="4" t="n"/>
      <c r="R635" s="4" t="n"/>
    </row>
    <row r="636" ht="15.75" customHeight="1" s="108">
      <c r="A636" s="4" t="n"/>
      <c r="B636" s="4" t="n"/>
      <c r="C636" s="4" t="n"/>
      <c r="D636" s="4" t="n"/>
      <c r="E636" s="4" t="n"/>
      <c r="F636" s="4" t="n"/>
      <c r="G636" s="4" t="n"/>
      <c r="H636" s="4" t="n"/>
      <c r="I636" s="4" t="n"/>
      <c r="J636" s="4" t="n"/>
      <c r="K636" s="4" t="n"/>
      <c r="L636" s="4" t="n"/>
      <c r="M636" s="4" t="n"/>
      <c r="N636" s="4" t="n"/>
      <c r="O636" s="4" t="n"/>
      <c r="P636" s="4" t="n"/>
      <c r="Q636" s="4" t="n"/>
      <c r="R636" s="4" t="n"/>
    </row>
    <row r="637" ht="15.75" customHeight="1" s="108">
      <c r="A637" s="4" t="n"/>
      <c r="B637" s="4" t="n"/>
      <c r="C637" s="4" t="n"/>
      <c r="D637" s="4" t="n"/>
      <c r="E637" s="4" t="n"/>
      <c r="F637" s="4" t="n"/>
      <c r="G637" s="4" t="n"/>
      <c r="H637" s="4" t="n"/>
      <c r="I637" s="4" t="n"/>
      <c r="J637" s="4" t="n"/>
      <c r="K637" s="4" t="n"/>
      <c r="L637" s="4" t="n"/>
      <c r="M637" s="4" t="n"/>
      <c r="N637" s="4" t="n"/>
      <c r="O637" s="4" t="n"/>
      <c r="P637" s="4" t="n"/>
      <c r="Q637" s="4" t="n"/>
      <c r="R637" s="4" t="n"/>
    </row>
    <row r="638" ht="15.75" customHeight="1" s="108">
      <c r="A638" s="4" t="n"/>
      <c r="B638" s="4" t="n"/>
      <c r="C638" s="4" t="n"/>
      <c r="D638" s="4" t="n"/>
      <c r="E638" s="4" t="n"/>
      <c r="F638" s="4" t="n"/>
      <c r="G638" s="4" t="n"/>
      <c r="H638" s="4" t="n"/>
      <c r="I638" s="4" t="n"/>
      <c r="J638" s="4" t="n"/>
      <c r="K638" s="4" t="n"/>
      <c r="L638" s="4" t="n"/>
      <c r="M638" s="4" t="n"/>
      <c r="N638" s="4" t="n"/>
      <c r="O638" s="4" t="n"/>
      <c r="P638" s="4" t="n"/>
      <c r="Q638" s="4" t="n"/>
      <c r="R638" s="4" t="n"/>
    </row>
    <row r="639" ht="15.75" customHeight="1" s="108">
      <c r="A639" s="4" t="n"/>
      <c r="B639" s="4" t="n"/>
      <c r="C639" s="4" t="n"/>
      <c r="D639" s="4" t="n"/>
      <c r="E639" s="4" t="n"/>
      <c r="F639" s="4" t="n"/>
      <c r="G639" s="4" t="n"/>
      <c r="H639" s="4" t="n"/>
      <c r="I639" s="4" t="n"/>
      <c r="J639" s="4" t="n"/>
      <c r="K639" s="4" t="n"/>
      <c r="L639" s="4" t="n"/>
      <c r="M639" s="4" t="n"/>
      <c r="N639" s="4" t="n"/>
      <c r="O639" s="4" t="n"/>
      <c r="P639" s="4" t="n"/>
      <c r="Q639" s="4" t="n"/>
      <c r="R639" s="4" t="n"/>
    </row>
    <row r="640" ht="15.75" customHeight="1" s="108">
      <c r="A640" s="4" t="n"/>
      <c r="B640" s="4" t="n"/>
      <c r="C640" s="4" t="n"/>
      <c r="D640" s="4" t="n"/>
      <c r="E640" s="4" t="n"/>
      <c r="F640" s="4" t="n"/>
      <c r="G640" s="4" t="n"/>
      <c r="H640" s="4" t="n"/>
      <c r="I640" s="4" t="n"/>
      <c r="J640" s="4" t="n"/>
      <c r="K640" s="4" t="n"/>
      <c r="L640" s="4" t="n"/>
      <c r="M640" s="4" t="n"/>
      <c r="N640" s="4" t="n"/>
      <c r="O640" s="4" t="n"/>
      <c r="P640" s="4" t="n"/>
      <c r="Q640" s="4" t="n"/>
      <c r="R640" s="4" t="n"/>
    </row>
    <row r="641" ht="15.75" customHeight="1" s="108">
      <c r="A641" s="4" t="n"/>
      <c r="B641" s="4" t="n"/>
      <c r="C641" s="4" t="n"/>
      <c r="D641" s="4" t="n"/>
      <c r="E641" s="4" t="n"/>
      <c r="F641" s="4" t="n"/>
      <c r="G641" s="4" t="n"/>
      <c r="H641" s="4" t="n"/>
      <c r="I641" s="4" t="n"/>
      <c r="J641" s="4" t="n"/>
      <c r="K641" s="4" t="n"/>
      <c r="L641" s="4" t="n"/>
      <c r="M641" s="4" t="n"/>
      <c r="N641" s="4" t="n"/>
      <c r="O641" s="4" t="n"/>
      <c r="P641" s="4" t="n"/>
      <c r="Q641" s="4" t="n"/>
      <c r="R641" s="4" t="n"/>
    </row>
    <row r="642" ht="15.75" customHeight="1" s="108">
      <c r="A642" s="4" t="n"/>
      <c r="B642" s="4" t="n"/>
      <c r="C642" s="4" t="n"/>
      <c r="D642" s="4" t="n"/>
      <c r="E642" s="4" t="n"/>
      <c r="F642" s="4" t="n"/>
      <c r="G642" s="4" t="n"/>
      <c r="H642" s="4" t="n"/>
      <c r="I642" s="4" t="n"/>
      <c r="J642" s="4" t="n"/>
      <c r="K642" s="4" t="n"/>
      <c r="L642" s="4" t="n"/>
      <c r="M642" s="4" t="n"/>
      <c r="N642" s="4" t="n"/>
      <c r="O642" s="4" t="n"/>
      <c r="P642" s="4" t="n"/>
      <c r="Q642" s="4" t="n"/>
      <c r="R642" s="4" t="n"/>
    </row>
    <row r="643" ht="15.75" customHeight="1" s="108">
      <c r="A643" s="4" t="n"/>
      <c r="B643" s="4" t="n"/>
      <c r="C643" s="4" t="n"/>
      <c r="D643" s="4" t="n"/>
      <c r="E643" s="4" t="n"/>
      <c r="F643" s="4" t="n"/>
      <c r="G643" s="4" t="n"/>
      <c r="H643" s="4" t="n"/>
      <c r="I643" s="4" t="n"/>
      <c r="J643" s="4" t="n"/>
      <c r="K643" s="4" t="n"/>
      <c r="L643" s="4" t="n"/>
      <c r="M643" s="4" t="n"/>
      <c r="N643" s="4" t="n"/>
      <c r="O643" s="4" t="n"/>
      <c r="P643" s="4" t="n"/>
      <c r="Q643" s="4" t="n"/>
      <c r="R643" s="4" t="n"/>
    </row>
    <row r="644" ht="15.75" customHeight="1" s="108">
      <c r="A644" s="4" t="n"/>
      <c r="B644" s="4" t="n"/>
      <c r="C644" s="4" t="n"/>
      <c r="D644" s="4" t="n"/>
      <c r="E644" s="4" t="n"/>
      <c r="F644" s="4" t="n"/>
      <c r="G644" s="4" t="n"/>
      <c r="H644" s="4" t="n"/>
      <c r="I644" s="4" t="n"/>
      <c r="J644" s="4" t="n"/>
      <c r="K644" s="4" t="n"/>
      <c r="L644" s="4" t="n"/>
      <c r="M644" s="4" t="n"/>
      <c r="N644" s="4" t="n"/>
      <c r="O644" s="4" t="n"/>
      <c r="P644" s="4" t="n"/>
      <c r="Q644" s="4" t="n"/>
      <c r="R644" s="4" t="n"/>
    </row>
    <row r="645" ht="15.75" customHeight="1" s="108">
      <c r="A645" s="4" t="n"/>
      <c r="B645" s="4" t="n"/>
      <c r="C645" s="4" t="n"/>
      <c r="D645" s="4" t="n"/>
      <c r="E645" s="4" t="n"/>
      <c r="F645" s="4" t="n"/>
      <c r="G645" s="4" t="n"/>
      <c r="H645" s="4" t="n"/>
      <c r="I645" s="4" t="n"/>
      <c r="J645" s="4" t="n"/>
      <c r="K645" s="4" t="n"/>
      <c r="L645" s="4" t="n"/>
      <c r="M645" s="4" t="n"/>
      <c r="N645" s="4" t="n"/>
      <c r="O645" s="4" t="n"/>
      <c r="P645" s="4" t="n"/>
      <c r="Q645" s="4" t="n"/>
      <c r="R645" s="4" t="n"/>
    </row>
    <row r="646" ht="15.75" customHeight="1" s="108">
      <c r="A646" s="4" t="n"/>
      <c r="B646" s="4" t="n"/>
      <c r="C646" s="4" t="n"/>
      <c r="D646" s="4" t="n"/>
      <c r="E646" s="4" t="n"/>
      <c r="F646" s="4" t="n"/>
      <c r="G646" s="4" t="n"/>
      <c r="H646" s="4" t="n"/>
      <c r="I646" s="4" t="n"/>
      <c r="J646" s="4" t="n"/>
      <c r="K646" s="4" t="n"/>
      <c r="L646" s="4" t="n"/>
      <c r="M646" s="4" t="n"/>
      <c r="N646" s="4" t="n"/>
      <c r="O646" s="4" t="n"/>
      <c r="P646" s="4" t="n"/>
      <c r="Q646" s="4" t="n"/>
      <c r="R646" s="4" t="n"/>
    </row>
    <row r="647" ht="15.75" customHeight="1" s="108">
      <c r="A647" s="4" t="n"/>
      <c r="B647" s="4" t="n"/>
      <c r="C647" s="4" t="n"/>
      <c r="D647" s="4" t="n"/>
      <c r="E647" s="4" t="n"/>
      <c r="F647" s="4" t="n"/>
      <c r="G647" s="4" t="n"/>
      <c r="H647" s="4" t="n"/>
      <c r="I647" s="4" t="n"/>
      <c r="J647" s="4" t="n"/>
      <c r="K647" s="4" t="n"/>
      <c r="L647" s="4" t="n"/>
      <c r="M647" s="4" t="n"/>
      <c r="N647" s="4" t="n"/>
      <c r="O647" s="4" t="n"/>
      <c r="P647" s="4" t="n"/>
      <c r="Q647" s="4" t="n"/>
      <c r="R647" s="4" t="n"/>
    </row>
    <row r="648" ht="15.75" customHeight="1" s="108">
      <c r="A648" s="4" t="n"/>
      <c r="B648" s="4" t="n"/>
      <c r="C648" s="4" t="n"/>
      <c r="D648" s="4" t="n"/>
      <c r="E648" s="4" t="n"/>
      <c r="F648" s="4" t="n"/>
      <c r="G648" s="4" t="n"/>
      <c r="H648" s="4" t="n"/>
      <c r="I648" s="4" t="n"/>
      <c r="J648" s="4" t="n"/>
      <c r="K648" s="4" t="n"/>
      <c r="L648" s="4" t="n"/>
      <c r="M648" s="4" t="n"/>
      <c r="N648" s="4" t="n"/>
      <c r="O648" s="4" t="n"/>
      <c r="P648" s="4" t="n"/>
      <c r="Q648" s="4" t="n"/>
      <c r="R648" s="4" t="n"/>
    </row>
    <row r="649" ht="15.75" customHeight="1" s="108">
      <c r="A649" s="4" t="n"/>
      <c r="B649" s="4" t="n"/>
      <c r="C649" s="4" t="n"/>
      <c r="D649" s="4" t="n"/>
      <c r="E649" s="4" t="n"/>
      <c r="F649" s="4" t="n"/>
      <c r="G649" s="4" t="n"/>
      <c r="H649" s="4" t="n"/>
      <c r="I649" s="4" t="n"/>
      <c r="J649" s="4" t="n"/>
      <c r="K649" s="4" t="n"/>
      <c r="L649" s="4" t="n"/>
      <c r="M649" s="4" t="n"/>
      <c r="N649" s="4" t="n"/>
      <c r="O649" s="4" t="n"/>
      <c r="P649" s="4" t="n"/>
      <c r="Q649" s="4" t="n"/>
      <c r="R649" s="4" t="n"/>
    </row>
    <row r="650" ht="15.75" customHeight="1" s="108">
      <c r="A650" s="4" t="n"/>
      <c r="B650" s="4" t="n"/>
      <c r="C650" s="4" t="n"/>
      <c r="D650" s="4" t="n"/>
      <c r="E650" s="4" t="n"/>
      <c r="F650" s="4" t="n"/>
      <c r="G650" s="4" t="n"/>
      <c r="H650" s="4" t="n"/>
      <c r="I650" s="4" t="n"/>
      <c r="J650" s="4" t="n"/>
      <c r="K650" s="4" t="n"/>
      <c r="L650" s="4" t="n"/>
      <c r="M650" s="4" t="n"/>
      <c r="N650" s="4" t="n"/>
      <c r="O650" s="4" t="n"/>
      <c r="P650" s="4" t="n"/>
      <c r="Q650" s="4" t="n"/>
      <c r="R650" s="4" t="n"/>
    </row>
    <row r="651" ht="15.75" customHeight="1" s="108">
      <c r="A651" s="4" t="n"/>
      <c r="B651" s="4" t="n"/>
      <c r="C651" s="4" t="n"/>
      <c r="D651" s="4" t="n"/>
      <c r="E651" s="4" t="n"/>
      <c r="F651" s="4" t="n"/>
      <c r="G651" s="4" t="n"/>
      <c r="H651" s="4" t="n"/>
      <c r="I651" s="4" t="n"/>
      <c r="J651" s="4" t="n"/>
      <c r="K651" s="4" t="n"/>
      <c r="L651" s="4" t="n"/>
      <c r="M651" s="4" t="n"/>
      <c r="N651" s="4" t="n"/>
      <c r="O651" s="4" t="n"/>
      <c r="P651" s="4" t="n"/>
      <c r="Q651" s="4" t="n"/>
      <c r="R651" s="4" t="n"/>
    </row>
    <row r="652" ht="15.75" customHeight="1" s="108">
      <c r="A652" s="4" t="n"/>
      <c r="B652" s="4" t="n"/>
      <c r="C652" s="4" t="n"/>
      <c r="D652" s="4" t="n"/>
      <c r="E652" s="4" t="n"/>
      <c r="F652" s="4" t="n"/>
      <c r="G652" s="4" t="n"/>
      <c r="H652" s="4" t="n"/>
      <c r="I652" s="4" t="n"/>
      <c r="J652" s="4" t="n"/>
      <c r="K652" s="4" t="n"/>
      <c r="L652" s="4" t="n"/>
      <c r="M652" s="4" t="n"/>
      <c r="N652" s="4" t="n"/>
      <c r="O652" s="4" t="n"/>
      <c r="P652" s="4" t="n"/>
      <c r="Q652" s="4" t="n"/>
      <c r="R652" s="4" t="n"/>
    </row>
    <row r="653" ht="15.75" customHeight="1" s="108">
      <c r="A653" s="4" t="n"/>
      <c r="B653" s="4" t="n"/>
      <c r="C653" s="4" t="n"/>
      <c r="D653" s="4" t="n"/>
      <c r="E653" s="4" t="n"/>
      <c r="F653" s="4" t="n"/>
      <c r="G653" s="4" t="n"/>
      <c r="H653" s="4" t="n"/>
      <c r="I653" s="4" t="n"/>
      <c r="J653" s="4" t="n"/>
      <c r="K653" s="4" t="n"/>
      <c r="L653" s="4" t="n"/>
      <c r="M653" s="4" t="n"/>
      <c r="N653" s="4" t="n"/>
      <c r="O653" s="4" t="n"/>
      <c r="P653" s="4" t="n"/>
      <c r="Q653" s="4" t="n"/>
      <c r="R653" s="4" t="n"/>
    </row>
    <row r="654" ht="15.75" customHeight="1" s="108">
      <c r="A654" s="4" t="n"/>
      <c r="B654" s="4" t="n"/>
      <c r="C654" s="4" t="n"/>
      <c r="D654" s="4" t="n"/>
      <c r="E654" s="4" t="n"/>
      <c r="F654" s="4" t="n"/>
      <c r="G654" s="4" t="n"/>
      <c r="H654" s="4" t="n"/>
      <c r="I654" s="4" t="n"/>
      <c r="J654" s="4" t="n"/>
      <c r="K654" s="4" t="n"/>
      <c r="L654" s="4" t="n"/>
      <c r="M654" s="4" t="n"/>
      <c r="N654" s="4" t="n"/>
      <c r="O654" s="4" t="n"/>
      <c r="P654" s="4" t="n"/>
      <c r="Q654" s="4" t="n"/>
      <c r="R654" s="4" t="n"/>
    </row>
    <row r="655" ht="15.75" customHeight="1" s="108">
      <c r="A655" s="4" t="n"/>
      <c r="B655" s="4" t="n"/>
      <c r="C655" s="4" t="n"/>
      <c r="D655" s="4" t="n"/>
      <c r="E655" s="4" t="n"/>
      <c r="F655" s="4" t="n"/>
      <c r="G655" s="4" t="n"/>
      <c r="H655" s="4" t="n"/>
      <c r="I655" s="4" t="n"/>
      <c r="J655" s="4" t="n"/>
      <c r="K655" s="4" t="n"/>
      <c r="L655" s="4" t="n"/>
      <c r="M655" s="4" t="n"/>
      <c r="N655" s="4" t="n"/>
      <c r="O655" s="4" t="n"/>
      <c r="P655" s="4" t="n"/>
      <c r="Q655" s="4" t="n"/>
      <c r="R655" s="4" t="n"/>
    </row>
    <row r="656" ht="15.75" customHeight="1" s="108">
      <c r="A656" s="4" t="n"/>
      <c r="B656" s="4" t="n"/>
      <c r="C656" s="4" t="n"/>
      <c r="D656" s="4" t="n"/>
      <c r="E656" s="4" t="n"/>
      <c r="F656" s="4" t="n"/>
      <c r="G656" s="4" t="n"/>
      <c r="H656" s="4" t="n"/>
      <c r="I656" s="4" t="n"/>
      <c r="J656" s="4" t="n"/>
      <c r="K656" s="4" t="n"/>
      <c r="L656" s="4" t="n"/>
      <c r="M656" s="4" t="n"/>
      <c r="N656" s="4" t="n"/>
      <c r="O656" s="4" t="n"/>
      <c r="P656" s="4" t="n"/>
      <c r="Q656" s="4" t="n"/>
      <c r="R656" s="4" t="n"/>
    </row>
    <row r="657" ht="15.75" customHeight="1" s="108">
      <c r="A657" s="4" t="n"/>
      <c r="B657" s="4" t="n"/>
      <c r="C657" s="4" t="n"/>
      <c r="D657" s="4" t="n"/>
      <c r="E657" s="4" t="n"/>
      <c r="F657" s="4" t="n"/>
      <c r="G657" s="4" t="n"/>
      <c r="H657" s="4" t="n"/>
      <c r="I657" s="4" t="n"/>
      <c r="J657" s="4" t="n"/>
      <c r="K657" s="4" t="n"/>
      <c r="L657" s="4" t="n"/>
      <c r="M657" s="4" t="n"/>
      <c r="N657" s="4" t="n"/>
      <c r="O657" s="4" t="n"/>
      <c r="P657" s="4" t="n"/>
      <c r="Q657" s="4" t="n"/>
      <c r="R657" s="4" t="n"/>
    </row>
    <row r="658" ht="15.75" customHeight="1" s="108">
      <c r="A658" s="4" t="n"/>
      <c r="B658" s="4" t="n"/>
      <c r="C658" s="4" t="n"/>
      <c r="D658" s="4" t="n"/>
      <c r="E658" s="4" t="n"/>
      <c r="F658" s="4" t="n"/>
      <c r="G658" s="4" t="n"/>
      <c r="H658" s="4" t="n"/>
      <c r="I658" s="4" t="n"/>
      <c r="J658" s="4" t="n"/>
      <c r="K658" s="4" t="n"/>
      <c r="L658" s="4" t="n"/>
      <c r="M658" s="4" t="n"/>
      <c r="N658" s="4" t="n"/>
      <c r="O658" s="4" t="n"/>
      <c r="P658" s="4" t="n"/>
      <c r="Q658" s="4" t="n"/>
      <c r="R658" s="4" t="n"/>
    </row>
    <row r="659" ht="15.75" customHeight="1" s="108">
      <c r="A659" s="4" t="n"/>
      <c r="B659" s="4" t="n"/>
      <c r="C659" s="4" t="n"/>
      <c r="D659" s="4" t="n"/>
      <c r="E659" s="4" t="n"/>
      <c r="F659" s="4" t="n"/>
      <c r="G659" s="4" t="n"/>
      <c r="H659" s="4" t="n"/>
      <c r="I659" s="4" t="n"/>
      <c r="J659" s="4" t="n"/>
      <c r="K659" s="4" t="n"/>
      <c r="L659" s="4" t="n"/>
      <c r="M659" s="4" t="n"/>
      <c r="N659" s="4" t="n"/>
      <c r="O659" s="4" t="n"/>
      <c r="P659" s="4" t="n"/>
      <c r="Q659" s="4" t="n"/>
      <c r="R659" s="4" t="n"/>
    </row>
    <row r="660" ht="15.75" customHeight="1" s="108">
      <c r="A660" s="4" t="n"/>
      <c r="B660" s="4" t="n"/>
      <c r="C660" s="4" t="n"/>
      <c r="D660" s="4" t="n"/>
      <c r="E660" s="4" t="n"/>
      <c r="F660" s="4" t="n"/>
      <c r="G660" s="4" t="n"/>
      <c r="H660" s="4" t="n"/>
      <c r="I660" s="4" t="n"/>
      <c r="J660" s="4" t="n"/>
      <c r="K660" s="4" t="n"/>
      <c r="L660" s="4" t="n"/>
      <c r="M660" s="4" t="n"/>
      <c r="N660" s="4" t="n"/>
      <c r="O660" s="4" t="n"/>
      <c r="P660" s="4" t="n"/>
      <c r="Q660" s="4" t="n"/>
      <c r="R660" s="4" t="n"/>
    </row>
    <row r="661" ht="15.75" customHeight="1" s="108">
      <c r="A661" s="4" t="n"/>
      <c r="B661" s="4" t="n"/>
      <c r="C661" s="4" t="n"/>
      <c r="D661" s="4" t="n"/>
      <c r="E661" s="4" t="n"/>
      <c r="F661" s="4" t="n"/>
      <c r="G661" s="4" t="n"/>
      <c r="H661" s="4" t="n"/>
      <c r="I661" s="4" t="n"/>
      <c r="J661" s="4" t="n"/>
      <c r="K661" s="4" t="n"/>
      <c r="L661" s="4" t="n"/>
      <c r="M661" s="4" t="n"/>
      <c r="N661" s="4" t="n"/>
      <c r="O661" s="4" t="n"/>
      <c r="P661" s="4" t="n"/>
      <c r="Q661" s="4" t="n"/>
      <c r="R661" s="4" t="n"/>
    </row>
    <row r="662" ht="15.75" customHeight="1" s="108">
      <c r="A662" s="4" t="n"/>
      <c r="B662" s="4" t="n"/>
      <c r="C662" s="4" t="n"/>
      <c r="D662" s="4" t="n"/>
      <c r="E662" s="4" t="n"/>
      <c r="F662" s="4" t="n"/>
      <c r="G662" s="4" t="n"/>
      <c r="H662" s="4" t="n"/>
      <c r="I662" s="4" t="n"/>
      <c r="J662" s="4" t="n"/>
      <c r="K662" s="4" t="n"/>
      <c r="L662" s="4" t="n"/>
      <c r="M662" s="4" t="n"/>
      <c r="N662" s="4" t="n"/>
      <c r="O662" s="4" t="n"/>
      <c r="P662" s="4" t="n"/>
      <c r="Q662" s="4" t="n"/>
      <c r="R662" s="4" t="n"/>
    </row>
    <row r="663" ht="15.75" customHeight="1" s="108">
      <c r="A663" s="4" t="n"/>
      <c r="B663" s="4" t="n"/>
      <c r="C663" s="4" t="n"/>
      <c r="D663" s="4" t="n"/>
      <c r="E663" s="4" t="n"/>
      <c r="F663" s="4" t="n"/>
      <c r="G663" s="4" t="n"/>
      <c r="H663" s="4" t="n"/>
      <c r="I663" s="4" t="n"/>
      <c r="J663" s="4" t="n"/>
      <c r="K663" s="4" t="n"/>
      <c r="L663" s="4" t="n"/>
      <c r="M663" s="4" t="n"/>
      <c r="N663" s="4" t="n"/>
      <c r="O663" s="4" t="n"/>
      <c r="P663" s="4" t="n"/>
      <c r="Q663" s="4" t="n"/>
      <c r="R663" s="4" t="n"/>
    </row>
    <row r="664" ht="15.75" customHeight="1" s="108">
      <c r="A664" s="4" t="n"/>
      <c r="B664" s="4" t="n"/>
      <c r="C664" s="4" t="n"/>
      <c r="D664" s="4" t="n"/>
      <c r="E664" s="4" t="n"/>
      <c r="F664" s="4" t="n"/>
      <c r="G664" s="4" t="n"/>
      <c r="H664" s="4" t="n"/>
      <c r="I664" s="4" t="n"/>
      <c r="J664" s="4" t="n"/>
      <c r="K664" s="4" t="n"/>
      <c r="L664" s="4" t="n"/>
      <c r="M664" s="4" t="n"/>
      <c r="N664" s="4" t="n"/>
      <c r="O664" s="4" t="n"/>
      <c r="P664" s="4" t="n"/>
      <c r="Q664" s="4" t="n"/>
      <c r="R664" s="4" t="n"/>
    </row>
    <row r="665" ht="15.75" customHeight="1" s="108">
      <c r="A665" s="4" t="n"/>
      <c r="B665" s="4" t="n"/>
      <c r="C665" s="4" t="n"/>
      <c r="D665" s="4" t="n"/>
      <c r="E665" s="4" t="n"/>
      <c r="F665" s="4" t="n"/>
      <c r="G665" s="4" t="n"/>
      <c r="H665" s="4" t="n"/>
      <c r="I665" s="4" t="n"/>
      <c r="J665" s="4" t="n"/>
      <c r="K665" s="4" t="n"/>
      <c r="L665" s="4" t="n"/>
      <c r="M665" s="4" t="n"/>
      <c r="N665" s="4" t="n"/>
      <c r="O665" s="4" t="n"/>
      <c r="P665" s="4" t="n"/>
      <c r="Q665" s="4" t="n"/>
      <c r="R665" s="4" t="n"/>
    </row>
    <row r="666" ht="15.75" customHeight="1" s="108">
      <c r="A666" s="4" t="n"/>
      <c r="B666" s="4" t="n"/>
      <c r="C666" s="4" t="n"/>
      <c r="D666" s="4" t="n"/>
      <c r="E666" s="4" t="n"/>
      <c r="F666" s="4" t="n"/>
      <c r="G666" s="4" t="n"/>
      <c r="H666" s="4" t="n"/>
      <c r="I666" s="4" t="n"/>
      <c r="J666" s="4" t="n"/>
      <c r="K666" s="4" t="n"/>
      <c r="L666" s="4" t="n"/>
      <c r="M666" s="4" t="n"/>
      <c r="N666" s="4" t="n"/>
      <c r="O666" s="4" t="n"/>
      <c r="P666" s="4" t="n"/>
      <c r="Q666" s="4" t="n"/>
      <c r="R666" s="4" t="n"/>
    </row>
    <row r="667" ht="15.75" customHeight="1" s="108">
      <c r="A667" s="4" t="n"/>
      <c r="B667" s="4" t="n"/>
      <c r="C667" s="4" t="n"/>
      <c r="D667" s="4" t="n"/>
      <c r="E667" s="4" t="n"/>
      <c r="F667" s="4" t="n"/>
      <c r="G667" s="4" t="n"/>
      <c r="H667" s="4" t="n"/>
      <c r="I667" s="4" t="n"/>
      <c r="J667" s="4" t="n"/>
      <c r="K667" s="4" t="n"/>
      <c r="L667" s="4" t="n"/>
      <c r="M667" s="4" t="n"/>
      <c r="N667" s="4" t="n"/>
      <c r="O667" s="4" t="n"/>
      <c r="P667" s="4" t="n"/>
      <c r="Q667" s="4" t="n"/>
      <c r="R667" s="4" t="n"/>
    </row>
    <row r="668" ht="15.75" customHeight="1" s="108">
      <c r="A668" s="4" t="n"/>
      <c r="B668" s="4" t="n"/>
      <c r="C668" s="4" t="n"/>
      <c r="D668" s="4" t="n"/>
      <c r="E668" s="4" t="n"/>
      <c r="F668" s="4" t="n"/>
      <c r="G668" s="4" t="n"/>
      <c r="H668" s="4" t="n"/>
      <c r="I668" s="4" t="n"/>
      <c r="J668" s="4" t="n"/>
      <c r="K668" s="4" t="n"/>
      <c r="L668" s="4" t="n"/>
      <c r="M668" s="4" t="n"/>
      <c r="N668" s="4" t="n"/>
      <c r="O668" s="4" t="n"/>
      <c r="P668" s="4" t="n"/>
      <c r="Q668" s="4" t="n"/>
      <c r="R668" s="4" t="n"/>
    </row>
    <row r="669" ht="15.75" customHeight="1" s="108">
      <c r="A669" s="4" t="n"/>
      <c r="B669" s="4" t="n"/>
      <c r="C669" s="4" t="n"/>
      <c r="D669" s="4" t="n"/>
      <c r="E669" s="4" t="n"/>
      <c r="F669" s="4" t="n"/>
      <c r="G669" s="4" t="n"/>
      <c r="H669" s="4" t="n"/>
      <c r="I669" s="4" t="n"/>
      <c r="J669" s="4" t="n"/>
      <c r="K669" s="4" t="n"/>
      <c r="L669" s="4" t="n"/>
      <c r="M669" s="4" t="n"/>
      <c r="N669" s="4" t="n"/>
      <c r="O669" s="4" t="n"/>
      <c r="P669" s="4" t="n"/>
      <c r="Q669" s="4" t="n"/>
      <c r="R669" s="4" t="n"/>
    </row>
    <row r="670" ht="15.75" customHeight="1" s="108">
      <c r="A670" s="4" t="n"/>
      <c r="B670" s="4" t="n"/>
      <c r="C670" s="4" t="n"/>
      <c r="D670" s="4" t="n"/>
      <c r="E670" s="4" t="n"/>
      <c r="F670" s="4" t="n"/>
      <c r="G670" s="4" t="n"/>
      <c r="H670" s="4" t="n"/>
      <c r="I670" s="4" t="n"/>
      <c r="J670" s="4" t="n"/>
      <c r="K670" s="4" t="n"/>
      <c r="L670" s="4" t="n"/>
      <c r="M670" s="4" t="n"/>
      <c r="N670" s="4" t="n"/>
      <c r="O670" s="4" t="n"/>
      <c r="P670" s="4" t="n"/>
      <c r="Q670" s="4" t="n"/>
      <c r="R670" s="4" t="n"/>
    </row>
    <row r="671" ht="15.75" customHeight="1" s="108">
      <c r="A671" s="4" t="n"/>
      <c r="B671" s="4" t="n"/>
      <c r="C671" s="4" t="n"/>
      <c r="D671" s="4" t="n"/>
      <c r="E671" s="4" t="n"/>
      <c r="F671" s="4" t="n"/>
      <c r="G671" s="4" t="n"/>
      <c r="H671" s="4" t="n"/>
      <c r="I671" s="4" t="n"/>
      <c r="J671" s="4" t="n"/>
      <c r="K671" s="4" t="n"/>
      <c r="L671" s="4" t="n"/>
      <c r="M671" s="4" t="n"/>
      <c r="N671" s="4" t="n"/>
      <c r="O671" s="4" t="n"/>
      <c r="P671" s="4" t="n"/>
      <c r="Q671" s="4" t="n"/>
      <c r="R671" s="4" t="n"/>
    </row>
    <row r="672" ht="15.75" customHeight="1" s="108">
      <c r="A672" s="4" t="n"/>
      <c r="B672" s="4" t="n"/>
      <c r="C672" s="4" t="n"/>
      <c r="D672" s="4" t="n"/>
      <c r="E672" s="4" t="n"/>
      <c r="F672" s="4" t="n"/>
      <c r="G672" s="4" t="n"/>
      <c r="H672" s="4" t="n"/>
      <c r="I672" s="4" t="n"/>
      <c r="J672" s="4" t="n"/>
      <c r="K672" s="4" t="n"/>
      <c r="L672" s="4" t="n"/>
      <c r="M672" s="4" t="n"/>
      <c r="N672" s="4" t="n"/>
      <c r="O672" s="4" t="n"/>
      <c r="P672" s="4" t="n"/>
      <c r="Q672" s="4" t="n"/>
      <c r="R672" s="4" t="n"/>
    </row>
    <row r="673" ht="15.75" customHeight="1" s="108">
      <c r="A673" s="4" t="n"/>
      <c r="B673" s="4" t="n"/>
      <c r="C673" s="4" t="n"/>
      <c r="D673" s="4" t="n"/>
      <c r="E673" s="4" t="n"/>
      <c r="F673" s="4" t="n"/>
      <c r="G673" s="4" t="n"/>
      <c r="H673" s="4" t="n"/>
      <c r="I673" s="4" t="n"/>
      <c r="J673" s="4" t="n"/>
      <c r="K673" s="4" t="n"/>
      <c r="L673" s="4" t="n"/>
      <c r="M673" s="4" t="n"/>
      <c r="N673" s="4" t="n"/>
      <c r="O673" s="4" t="n"/>
      <c r="P673" s="4" t="n"/>
      <c r="Q673" s="4" t="n"/>
      <c r="R673" s="4" t="n"/>
    </row>
    <row r="674" ht="15.75" customHeight="1" s="108">
      <c r="A674" s="4" t="n"/>
      <c r="B674" s="4" t="n"/>
      <c r="C674" s="4" t="n"/>
      <c r="D674" s="4" t="n"/>
      <c r="E674" s="4" t="n"/>
      <c r="F674" s="4" t="n"/>
      <c r="G674" s="4" t="n"/>
      <c r="H674" s="4" t="n"/>
      <c r="I674" s="4" t="n"/>
      <c r="J674" s="4" t="n"/>
      <c r="K674" s="4" t="n"/>
      <c r="L674" s="4" t="n"/>
      <c r="M674" s="4" t="n"/>
      <c r="N674" s="4" t="n"/>
      <c r="O674" s="4" t="n"/>
      <c r="P674" s="4" t="n"/>
      <c r="Q674" s="4" t="n"/>
      <c r="R674" s="4" t="n"/>
    </row>
    <row r="675" ht="15.75" customHeight="1" s="108">
      <c r="A675" s="4" t="n"/>
      <c r="B675" s="4" t="n"/>
      <c r="C675" s="4" t="n"/>
      <c r="D675" s="4" t="n"/>
      <c r="E675" s="4" t="n"/>
      <c r="F675" s="4" t="n"/>
      <c r="G675" s="4" t="n"/>
      <c r="H675" s="4" t="n"/>
      <c r="I675" s="4" t="n"/>
      <c r="J675" s="4" t="n"/>
      <c r="K675" s="4" t="n"/>
      <c r="L675" s="4" t="n"/>
      <c r="M675" s="4" t="n"/>
      <c r="N675" s="4" t="n"/>
      <c r="O675" s="4" t="n"/>
      <c r="P675" s="4" t="n"/>
      <c r="Q675" s="4" t="n"/>
      <c r="R675" s="4" t="n"/>
    </row>
    <row r="676" ht="15.75" customHeight="1" s="108">
      <c r="A676" s="4" t="n"/>
      <c r="B676" s="4" t="n"/>
      <c r="C676" s="4" t="n"/>
      <c r="D676" s="4" t="n"/>
      <c r="E676" s="4" t="n"/>
      <c r="F676" s="4" t="n"/>
      <c r="G676" s="4" t="n"/>
      <c r="H676" s="4" t="n"/>
      <c r="I676" s="4" t="n"/>
      <c r="J676" s="4" t="n"/>
      <c r="K676" s="4" t="n"/>
      <c r="L676" s="4" t="n"/>
      <c r="M676" s="4" t="n"/>
      <c r="N676" s="4" t="n"/>
      <c r="O676" s="4" t="n"/>
      <c r="P676" s="4" t="n"/>
      <c r="Q676" s="4" t="n"/>
      <c r="R676" s="4" t="n"/>
    </row>
    <row r="677" ht="15.75" customHeight="1" s="108">
      <c r="A677" s="4" t="n"/>
      <c r="B677" s="4" t="n"/>
      <c r="C677" s="4" t="n"/>
      <c r="D677" s="4" t="n"/>
      <c r="E677" s="4" t="n"/>
      <c r="F677" s="4" t="n"/>
      <c r="G677" s="4" t="n"/>
      <c r="H677" s="4" t="n"/>
      <c r="I677" s="4" t="n"/>
      <c r="J677" s="4" t="n"/>
      <c r="K677" s="4" t="n"/>
      <c r="L677" s="4" t="n"/>
      <c r="M677" s="4" t="n"/>
      <c r="N677" s="4" t="n"/>
      <c r="O677" s="4" t="n"/>
      <c r="P677" s="4" t="n"/>
      <c r="Q677" s="4" t="n"/>
      <c r="R677" s="4" t="n"/>
    </row>
    <row r="678" ht="15.75" customHeight="1" s="108">
      <c r="A678" s="4" t="n"/>
      <c r="B678" s="4" t="n"/>
      <c r="C678" s="4" t="n"/>
      <c r="D678" s="4" t="n"/>
      <c r="E678" s="4" t="n"/>
      <c r="F678" s="4" t="n"/>
      <c r="G678" s="4" t="n"/>
      <c r="H678" s="4" t="n"/>
      <c r="I678" s="4" t="n"/>
      <c r="J678" s="4" t="n"/>
      <c r="K678" s="4" t="n"/>
      <c r="L678" s="4" t="n"/>
      <c r="M678" s="4" t="n"/>
      <c r="N678" s="4" t="n"/>
      <c r="O678" s="4" t="n"/>
      <c r="P678" s="4" t="n"/>
      <c r="Q678" s="4" t="n"/>
      <c r="R678" s="4" t="n"/>
    </row>
    <row r="679" ht="15.75" customHeight="1" s="108">
      <c r="A679" s="4" t="n"/>
      <c r="B679" s="4" t="n"/>
      <c r="C679" s="4" t="n"/>
      <c r="D679" s="4" t="n"/>
      <c r="E679" s="4" t="n"/>
      <c r="F679" s="4" t="n"/>
      <c r="G679" s="4" t="n"/>
      <c r="H679" s="4" t="n"/>
      <c r="I679" s="4" t="n"/>
      <c r="J679" s="4" t="n"/>
      <c r="K679" s="4" t="n"/>
      <c r="L679" s="4" t="n"/>
      <c r="M679" s="4" t="n"/>
      <c r="N679" s="4" t="n"/>
      <c r="O679" s="4" t="n"/>
      <c r="P679" s="4" t="n"/>
      <c r="Q679" s="4" t="n"/>
      <c r="R679" s="4" t="n"/>
    </row>
    <row r="680" ht="15.75" customHeight="1" s="108">
      <c r="A680" s="4" t="n"/>
      <c r="B680" s="4" t="n"/>
      <c r="C680" s="4" t="n"/>
      <c r="D680" s="4" t="n"/>
      <c r="E680" s="4" t="n"/>
      <c r="F680" s="4" t="n"/>
      <c r="G680" s="4" t="n"/>
      <c r="H680" s="4" t="n"/>
      <c r="I680" s="4" t="n"/>
      <c r="J680" s="4" t="n"/>
      <c r="K680" s="4" t="n"/>
      <c r="L680" s="4" t="n"/>
      <c r="M680" s="4" t="n"/>
      <c r="N680" s="4" t="n"/>
      <c r="O680" s="4" t="n"/>
      <c r="P680" s="4" t="n"/>
      <c r="Q680" s="4" t="n"/>
      <c r="R680" s="4" t="n"/>
    </row>
    <row r="681" ht="15.75" customHeight="1" s="108">
      <c r="A681" s="4" t="n"/>
      <c r="B681" s="4" t="n"/>
      <c r="C681" s="4" t="n"/>
      <c r="D681" s="4" t="n"/>
      <c r="E681" s="4" t="n"/>
      <c r="F681" s="4" t="n"/>
      <c r="G681" s="4" t="n"/>
      <c r="H681" s="4" t="n"/>
      <c r="I681" s="4" t="n"/>
      <c r="J681" s="4" t="n"/>
      <c r="K681" s="4" t="n"/>
      <c r="L681" s="4" t="n"/>
      <c r="M681" s="4" t="n"/>
      <c r="N681" s="4" t="n"/>
      <c r="O681" s="4" t="n"/>
      <c r="P681" s="4" t="n"/>
      <c r="Q681" s="4" t="n"/>
      <c r="R681" s="4" t="n"/>
    </row>
    <row r="682" ht="15.75" customHeight="1" s="108">
      <c r="A682" s="4" t="n"/>
      <c r="B682" s="4" t="n"/>
      <c r="C682" s="4" t="n"/>
      <c r="D682" s="4" t="n"/>
      <c r="E682" s="4" t="n"/>
      <c r="F682" s="4" t="n"/>
      <c r="G682" s="4" t="n"/>
      <c r="H682" s="4" t="n"/>
      <c r="I682" s="4" t="n"/>
      <c r="J682" s="4" t="n"/>
      <c r="K682" s="4" t="n"/>
      <c r="L682" s="4" t="n"/>
      <c r="M682" s="4" t="n"/>
      <c r="N682" s="4" t="n"/>
      <c r="O682" s="4" t="n"/>
      <c r="P682" s="4" t="n"/>
      <c r="Q682" s="4" t="n"/>
      <c r="R682" s="4" t="n"/>
    </row>
    <row r="683" ht="15.75" customHeight="1" s="108">
      <c r="A683" s="4" t="n"/>
      <c r="B683" s="4" t="n"/>
      <c r="C683" s="4" t="n"/>
      <c r="D683" s="4" t="n"/>
      <c r="E683" s="4" t="n"/>
      <c r="F683" s="4" t="n"/>
      <c r="G683" s="4" t="n"/>
      <c r="H683" s="4" t="n"/>
      <c r="I683" s="4" t="n"/>
      <c r="J683" s="4" t="n"/>
      <c r="K683" s="4" t="n"/>
      <c r="L683" s="4" t="n"/>
      <c r="M683" s="4" t="n"/>
      <c r="N683" s="4" t="n"/>
      <c r="O683" s="4" t="n"/>
      <c r="P683" s="4" t="n"/>
      <c r="Q683" s="4" t="n"/>
      <c r="R683" s="4" t="n"/>
    </row>
    <row r="684" ht="15.75" customHeight="1" s="108">
      <c r="A684" s="4" t="n"/>
      <c r="B684" s="4" t="n"/>
      <c r="C684" s="4" t="n"/>
      <c r="D684" s="4" t="n"/>
      <c r="E684" s="4" t="n"/>
      <c r="F684" s="4" t="n"/>
      <c r="G684" s="4" t="n"/>
      <c r="H684" s="4" t="n"/>
      <c r="I684" s="4" t="n"/>
      <c r="J684" s="4" t="n"/>
      <c r="K684" s="4" t="n"/>
      <c r="L684" s="4" t="n"/>
      <c r="M684" s="4" t="n"/>
      <c r="N684" s="4" t="n"/>
      <c r="O684" s="4" t="n"/>
      <c r="P684" s="4" t="n"/>
      <c r="Q684" s="4" t="n"/>
      <c r="R684" s="4" t="n"/>
    </row>
    <row r="685" ht="15.75" customHeight="1" s="108">
      <c r="A685" s="4" t="n"/>
      <c r="B685" s="4" t="n"/>
      <c r="C685" s="4" t="n"/>
      <c r="D685" s="4" t="n"/>
      <c r="E685" s="4" t="n"/>
      <c r="F685" s="4" t="n"/>
      <c r="G685" s="4" t="n"/>
      <c r="H685" s="4" t="n"/>
      <c r="I685" s="4" t="n"/>
      <c r="J685" s="4" t="n"/>
      <c r="K685" s="4" t="n"/>
      <c r="L685" s="4" t="n"/>
      <c r="M685" s="4" t="n"/>
      <c r="N685" s="4" t="n"/>
      <c r="O685" s="4" t="n"/>
      <c r="P685" s="4" t="n"/>
      <c r="Q685" s="4" t="n"/>
      <c r="R685" s="4" t="n"/>
    </row>
    <row r="686" ht="15.75" customHeight="1" s="108">
      <c r="A686" s="4" t="n"/>
      <c r="B686" s="4" t="n"/>
      <c r="C686" s="4" t="n"/>
      <c r="D686" s="4" t="n"/>
      <c r="E686" s="4" t="n"/>
      <c r="F686" s="4" t="n"/>
      <c r="G686" s="4" t="n"/>
      <c r="H686" s="4" t="n"/>
      <c r="I686" s="4" t="n"/>
      <c r="J686" s="4" t="n"/>
      <c r="K686" s="4" t="n"/>
      <c r="L686" s="4" t="n"/>
      <c r="M686" s="4" t="n"/>
      <c r="N686" s="4" t="n"/>
      <c r="O686" s="4" t="n"/>
      <c r="P686" s="4" t="n"/>
      <c r="Q686" s="4" t="n"/>
      <c r="R686" s="4" t="n"/>
    </row>
    <row r="687" ht="15.75" customHeight="1" s="108">
      <c r="A687" s="4" t="n"/>
      <c r="B687" s="4" t="n"/>
      <c r="C687" s="4" t="n"/>
      <c r="D687" s="4" t="n"/>
      <c r="E687" s="4" t="n"/>
      <c r="F687" s="4" t="n"/>
      <c r="G687" s="4" t="n"/>
      <c r="H687" s="4" t="n"/>
      <c r="I687" s="4" t="n"/>
      <c r="J687" s="4" t="n"/>
      <c r="K687" s="4" t="n"/>
      <c r="L687" s="4" t="n"/>
      <c r="M687" s="4" t="n"/>
      <c r="N687" s="4" t="n"/>
      <c r="O687" s="4" t="n"/>
      <c r="P687" s="4" t="n"/>
      <c r="Q687" s="4" t="n"/>
      <c r="R687" s="4" t="n"/>
    </row>
    <row r="688" ht="15.75" customHeight="1" s="108">
      <c r="A688" s="4" t="n"/>
      <c r="B688" s="4" t="n"/>
      <c r="C688" s="4" t="n"/>
      <c r="D688" s="4" t="n"/>
      <c r="E688" s="4" t="n"/>
      <c r="F688" s="4" t="n"/>
      <c r="G688" s="4" t="n"/>
      <c r="H688" s="4" t="n"/>
      <c r="I688" s="4" t="n"/>
      <c r="J688" s="4" t="n"/>
      <c r="K688" s="4" t="n"/>
      <c r="L688" s="4" t="n"/>
      <c r="M688" s="4" t="n"/>
      <c r="N688" s="4" t="n"/>
      <c r="O688" s="4" t="n"/>
      <c r="P688" s="4" t="n"/>
      <c r="Q688" s="4" t="n"/>
      <c r="R688" s="4" t="n"/>
    </row>
    <row r="689" ht="15.75" customHeight="1" s="108">
      <c r="A689" s="4" t="n"/>
      <c r="B689" s="4" t="n"/>
      <c r="C689" s="4" t="n"/>
      <c r="D689" s="4" t="n"/>
      <c r="E689" s="4" t="n"/>
      <c r="F689" s="4" t="n"/>
      <c r="G689" s="4" t="n"/>
      <c r="H689" s="4" t="n"/>
      <c r="I689" s="4" t="n"/>
      <c r="J689" s="4" t="n"/>
      <c r="K689" s="4" t="n"/>
      <c r="L689" s="4" t="n"/>
      <c r="M689" s="4" t="n"/>
      <c r="N689" s="4" t="n"/>
      <c r="O689" s="4" t="n"/>
      <c r="P689" s="4" t="n"/>
      <c r="Q689" s="4" t="n"/>
      <c r="R689" s="4" t="n"/>
    </row>
    <row r="690" ht="15.75" customHeight="1" s="108">
      <c r="A690" s="4" t="n"/>
      <c r="B690" s="4" t="n"/>
      <c r="C690" s="4" t="n"/>
      <c r="D690" s="4" t="n"/>
      <c r="E690" s="4" t="n"/>
      <c r="F690" s="4" t="n"/>
      <c r="G690" s="4" t="n"/>
      <c r="H690" s="4" t="n"/>
      <c r="I690" s="4" t="n"/>
      <c r="J690" s="4" t="n"/>
      <c r="K690" s="4" t="n"/>
      <c r="L690" s="4" t="n"/>
      <c r="M690" s="4" t="n"/>
      <c r="N690" s="4" t="n"/>
      <c r="O690" s="4" t="n"/>
      <c r="P690" s="4" t="n"/>
      <c r="Q690" s="4" t="n"/>
      <c r="R690" s="4" t="n"/>
    </row>
    <row r="691" ht="15.75" customHeight="1" s="108">
      <c r="A691" s="4" t="n"/>
      <c r="B691" s="4" t="n"/>
      <c r="C691" s="4" t="n"/>
      <c r="D691" s="4" t="n"/>
      <c r="E691" s="4" t="n"/>
      <c r="F691" s="4" t="n"/>
      <c r="G691" s="4" t="n"/>
      <c r="H691" s="4" t="n"/>
      <c r="I691" s="4" t="n"/>
      <c r="J691" s="4" t="n"/>
      <c r="K691" s="4" t="n"/>
      <c r="L691" s="4" t="n"/>
      <c r="M691" s="4" t="n"/>
      <c r="N691" s="4" t="n"/>
      <c r="O691" s="4" t="n"/>
      <c r="P691" s="4" t="n"/>
      <c r="Q691" s="4" t="n"/>
      <c r="R691" s="4" t="n"/>
    </row>
    <row r="692" ht="15.75" customHeight="1" s="108">
      <c r="A692" s="4" t="n"/>
      <c r="B692" s="4" t="n"/>
      <c r="C692" s="4" t="n"/>
      <c r="D692" s="4" t="n"/>
      <c r="E692" s="4" t="n"/>
      <c r="F692" s="4" t="n"/>
      <c r="G692" s="4" t="n"/>
      <c r="H692" s="4" t="n"/>
      <c r="I692" s="4" t="n"/>
      <c r="J692" s="4" t="n"/>
      <c r="K692" s="4" t="n"/>
      <c r="L692" s="4" t="n"/>
      <c r="M692" s="4" t="n"/>
      <c r="N692" s="4" t="n"/>
      <c r="O692" s="4" t="n"/>
      <c r="P692" s="4" t="n"/>
      <c r="Q692" s="4" t="n"/>
      <c r="R692" s="4" t="n"/>
    </row>
    <row r="693" ht="15.75" customHeight="1" s="108">
      <c r="A693" s="4" t="n"/>
      <c r="B693" s="4" t="n"/>
      <c r="C693" s="4" t="n"/>
      <c r="D693" s="4" t="n"/>
      <c r="E693" s="4" t="n"/>
      <c r="F693" s="4" t="n"/>
      <c r="G693" s="4" t="n"/>
      <c r="H693" s="4" t="n"/>
      <c r="I693" s="4" t="n"/>
      <c r="J693" s="4" t="n"/>
      <c r="K693" s="4" t="n"/>
      <c r="L693" s="4" t="n"/>
      <c r="M693" s="4" t="n"/>
      <c r="N693" s="4" t="n"/>
      <c r="O693" s="4" t="n"/>
      <c r="P693" s="4" t="n"/>
      <c r="Q693" s="4" t="n"/>
      <c r="R693" s="4" t="n"/>
    </row>
    <row r="694" ht="15.75" customHeight="1" s="108">
      <c r="A694" s="4" t="n"/>
      <c r="B694" s="4" t="n"/>
      <c r="C694" s="4" t="n"/>
      <c r="D694" s="4" t="n"/>
      <c r="E694" s="4" t="n"/>
      <c r="F694" s="4" t="n"/>
      <c r="G694" s="4" t="n"/>
      <c r="H694" s="4" t="n"/>
      <c r="I694" s="4" t="n"/>
      <c r="J694" s="4" t="n"/>
      <c r="K694" s="4" t="n"/>
      <c r="L694" s="4" t="n"/>
      <c r="M694" s="4" t="n"/>
      <c r="N694" s="4" t="n"/>
      <c r="O694" s="4" t="n"/>
      <c r="P694" s="4" t="n"/>
      <c r="Q694" s="4" t="n"/>
      <c r="R694" s="4" t="n"/>
    </row>
    <row r="695" ht="15.75" customHeight="1" s="108">
      <c r="A695" s="4" t="n"/>
      <c r="B695" s="4" t="n"/>
      <c r="C695" s="4" t="n"/>
      <c r="D695" s="4" t="n"/>
      <c r="E695" s="4" t="n"/>
      <c r="F695" s="4" t="n"/>
      <c r="G695" s="4" t="n"/>
      <c r="H695" s="4" t="n"/>
      <c r="I695" s="4" t="n"/>
      <c r="J695" s="4" t="n"/>
      <c r="K695" s="4" t="n"/>
      <c r="L695" s="4" t="n"/>
      <c r="M695" s="4" t="n"/>
      <c r="N695" s="4" t="n"/>
      <c r="O695" s="4" t="n"/>
      <c r="P695" s="4" t="n"/>
      <c r="Q695" s="4" t="n"/>
      <c r="R695" s="4" t="n"/>
    </row>
    <row r="696" ht="15.75" customHeight="1" s="108">
      <c r="A696" s="4" t="n"/>
      <c r="B696" s="4" t="n"/>
      <c r="C696" s="4" t="n"/>
      <c r="D696" s="4" t="n"/>
      <c r="E696" s="4" t="n"/>
      <c r="F696" s="4" t="n"/>
      <c r="G696" s="4" t="n"/>
      <c r="H696" s="4" t="n"/>
      <c r="I696" s="4" t="n"/>
      <c r="J696" s="4" t="n"/>
      <c r="K696" s="4" t="n"/>
      <c r="L696" s="4" t="n"/>
      <c r="M696" s="4" t="n"/>
      <c r="N696" s="4" t="n"/>
      <c r="O696" s="4" t="n"/>
      <c r="P696" s="4" t="n"/>
      <c r="Q696" s="4" t="n"/>
      <c r="R696" s="4" t="n"/>
    </row>
    <row r="697" ht="15.75" customHeight="1" s="108">
      <c r="A697" s="4" t="n"/>
      <c r="B697" s="4" t="n"/>
      <c r="C697" s="4" t="n"/>
      <c r="D697" s="4" t="n"/>
      <c r="E697" s="4" t="n"/>
      <c r="F697" s="4" t="n"/>
      <c r="G697" s="4" t="n"/>
      <c r="H697" s="4" t="n"/>
      <c r="I697" s="4" t="n"/>
      <c r="J697" s="4" t="n"/>
      <c r="K697" s="4" t="n"/>
      <c r="L697" s="4" t="n"/>
      <c r="M697" s="4" t="n"/>
      <c r="N697" s="4" t="n"/>
      <c r="O697" s="4" t="n"/>
      <c r="P697" s="4" t="n"/>
      <c r="Q697" s="4" t="n"/>
      <c r="R697" s="4" t="n"/>
    </row>
    <row r="698" ht="15.75" customHeight="1" s="108">
      <c r="A698" s="4" t="n"/>
      <c r="B698" s="4" t="n"/>
      <c r="C698" s="4" t="n"/>
      <c r="D698" s="4" t="n"/>
      <c r="E698" s="4" t="n"/>
      <c r="F698" s="4" t="n"/>
      <c r="G698" s="4" t="n"/>
      <c r="H698" s="4" t="n"/>
      <c r="I698" s="4" t="n"/>
      <c r="J698" s="4" t="n"/>
      <c r="K698" s="4" t="n"/>
      <c r="L698" s="4" t="n"/>
      <c r="M698" s="4" t="n"/>
      <c r="N698" s="4" t="n"/>
      <c r="O698" s="4" t="n"/>
      <c r="P698" s="4" t="n"/>
      <c r="Q698" s="4" t="n"/>
      <c r="R698" s="4" t="n"/>
    </row>
    <row r="699" ht="15.75" customHeight="1" s="108">
      <c r="A699" s="4" t="n"/>
      <c r="B699" s="4" t="n"/>
      <c r="C699" s="4" t="n"/>
      <c r="D699" s="4" t="n"/>
      <c r="E699" s="4" t="n"/>
      <c r="F699" s="4" t="n"/>
      <c r="G699" s="4" t="n"/>
      <c r="H699" s="4" t="n"/>
      <c r="I699" s="4" t="n"/>
      <c r="J699" s="4" t="n"/>
      <c r="K699" s="4" t="n"/>
      <c r="L699" s="4" t="n"/>
      <c r="M699" s="4" t="n"/>
      <c r="N699" s="4" t="n"/>
      <c r="O699" s="4" t="n"/>
      <c r="P699" s="4" t="n"/>
      <c r="Q699" s="4" t="n"/>
      <c r="R699" s="4" t="n"/>
    </row>
    <row r="700" ht="15.75" customHeight="1" s="108">
      <c r="A700" s="4" t="n"/>
      <c r="B700" s="4" t="n"/>
      <c r="C700" s="4" t="n"/>
      <c r="D700" s="4" t="n"/>
      <c r="E700" s="4" t="n"/>
      <c r="F700" s="4" t="n"/>
      <c r="G700" s="4" t="n"/>
      <c r="H700" s="4" t="n"/>
      <c r="I700" s="4" t="n"/>
      <c r="J700" s="4" t="n"/>
      <c r="K700" s="4" t="n"/>
      <c r="L700" s="4" t="n"/>
      <c r="M700" s="4" t="n"/>
      <c r="N700" s="4" t="n"/>
      <c r="O700" s="4" t="n"/>
      <c r="P700" s="4" t="n"/>
      <c r="Q700" s="4" t="n"/>
      <c r="R700" s="4" t="n"/>
    </row>
    <row r="701" ht="15.75" customHeight="1" s="108">
      <c r="A701" s="4" t="n"/>
      <c r="B701" s="4" t="n"/>
      <c r="C701" s="4" t="n"/>
      <c r="D701" s="4" t="n"/>
      <c r="E701" s="4" t="n"/>
      <c r="F701" s="4" t="n"/>
      <c r="G701" s="4" t="n"/>
      <c r="H701" s="4" t="n"/>
      <c r="I701" s="4" t="n"/>
      <c r="J701" s="4" t="n"/>
      <c r="K701" s="4" t="n"/>
      <c r="L701" s="4" t="n"/>
      <c r="M701" s="4" t="n"/>
      <c r="N701" s="4" t="n"/>
      <c r="O701" s="4" t="n"/>
      <c r="P701" s="4" t="n"/>
      <c r="Q701" s="4" t="n"/>
      <c r="R701" s="4" t="n"/>
    </row>
    <row r="702" ht="15.75" customHeight="1" s="108">
      <c r="A702" s="4" t="n"/>
      <c r="B702" s="4" t="n"/>
      <c r="C702" s="4" t="n"/>
      <c r="D702" s="4" t="n"/>
      <c r="E702" s="4" t="n"/>
      <c r="F702" s="4" t="n"/>
      <c r="G702" s="4" t="n"/>
      <c r="H702" s="4" t="n"/>
      <c r="I702" s="4" t="n"/>
      <c r="J702" s="4" t="n"/>
      <c r="K702" s="4" t="n"/>
      <c r="L702" s="4" t="n"/>
      <c r="M702" s="4" t="n"/>
      <c r="N702" s="4" t="n"/>
      <c r="O702" s="4" t="n"/>
      <c r="P702" s="4" t="n"/>
      <c r="Q702" s="4" t="n"/>
      <c r="R702" s="4" t="n"/>
    </row>
    <row r="703" ht="15.75" customHeight="1" s="108">
      <c r="A703" s="4" t="n"/>
      <c r="B703" s="4" t="n"/>
      <c r="C703" s="4" t="n"/>
      <c r="D703" s="4" t="n"/>
      <c r="E703" s="4" t="n"/>
      <c r="F703" s="4" t="n"/>
      <c r="G703" s="4" t="n"/>
      <c r="H703" s="4" t="n"/>
      <c r="I703" s="4" t="n"/>
      <c r="J703" s="4" t="n"/>
      <c r="K703" s="4" t="n"/>
      <c r="L703" s="4" t="n"/>
      <c r="M703" s="4" t="n"/>
      <c r="N703" s="4" t="n"/>
      <c r="O703" s="4" t="n"/>
      <c r="P703" s="4" t="n"/>
      <c r="Q703" s="4" t="n"/>
      <c r="R703" s="4" t="n"/>
    </row>
    <row r="704" ht="15.75" customHeight="1" s="108">
      <c r="A704" s="4" t="n"/>
      <c r="B704" s="4" t="n"/>
      <c r="C704" s="4" t="n"/>
      <c r="D704" s="4" t="n"/>
      <c r="E704" s="4" t="n"/>
      <c r="F704" s="4" t="n"/>
      <c r="G704" s="4" t="n"/>
      <c r="H704" s="4" t="n"/>
      <c r="I704" s="4" t="n"/>
      <c r="J704" s="4" t="n"/>
      <c r="K704" s="4" t="n"/>
      <c r="L704" s="4" t="n"/>
      <c r="M704" s="4" t="n"/>
      <c r="N704" s="4" t="n"/>
      <c r="O704" s="4" t="n"/>
      <c r="P704" s="4" t="n"/>
      <c r="Q704" s="4" t="n"/>
      <c r="R704" s="4" t="n"/>
    </row>
    <row r="705" ht="15.75" customHeight="1" s="108">
      <c r="A705" s="4" t="n"/>
      <c r="B705" s="4" t="n"/>
      <c r="C705" s="4" t="n"/>
      <c r="D705" s="4" t="n"/>
      <c r="E705" s="4" t="n"/>
      <c r="F705" s="4" t="n"/>
      <c r="G705" s="4" t="n"/>
      <c r="H705" s="4" t="n"/>
      <c r="I705" s="4" t="n"/>
      <c r="J705" s="4" t="n"/>
      <c r="K705" s="4" t="n"/>
      <c r="L705" s="4" t="n"/>
      <c r="M705" s="4" t="n"/>
      <c r="N705" s="4" t="n"/>
      <c r="O705" s="4" t="n"/>
      <c r="P705" s="4" t="n"/>
      <c r="Q705" s="4" t="n"/>
      <c r="R705" s="4" t="n"/>
    </row>
    <row r="706" ht="15.75" customHeight="1" s="108">
      <c r="A706" s="4" t="n"/>
      <c r="B706" s="4" t="n"/>
      <c r="C706" s="4" t="n"/>
      <c r="D706" s="4" t="n"/>
      <c r="E706" s="4" t="n"/>
      <c r="F706" s="4" t="n"/>
      <c r="G706" s="4" t="n"/>
      <c r="H706" s="4" t="n"/>
      <c r="I706" s="4" t="n"/>
      <c r="J706" s="4" t="n"/>
      <c r="K706" s="4" t="n"/>
      <c r="L706" s="4" t="n"/>
      <c r="M706" s="4" t="n"/>
      <c r="N706" s="4" t="n"/>
      <c r="O706" s="4" t="n"/>
      <c r="P706" s="4" t="n"/>
      <c r="Q706" s="4" t="n"/>
      <c r="R706" s="4" t="n"/>
    </row>
    <row r="707" ht="15.75" customHeight="1" s="108">
      <c r="A707" s="4" t="n"/>
      <c r="B707" s="4" t="n"/>
      <c r="C707" s="4" t="n"/>
      <c r="D707" s="4" t="n"/>
      <c r="E707" s="4" t="n"/>
      <c r="F707" s="4" t="n"/>
      <c r="G707" s="4" t="n"/>
      <c r="H707" s="4" t="n"/>
      <c r="I707" s="4" t="n"/>
      <c r="J707" s="4" t="n"/>
      <c r="K707" s="4" t="n"/>
      <c r="L707" s="4" t="n"/>
      <c r="M707" s="4" t="n"/>
      <c r="N707" s="4" t="n"/>
      <c r="O707" s="4" t="n"/>
      <c r="P707" s="4" t="n"/>
      <c r="Q707" s="4" t="n"/>
      <c r="R707" s="4" t="n"/>
    </row>
    <row r="708" ht="15.75" customHeight="1" s="108">
      <c r="A708" s="4" t="n"/>
      <c r="B708" s="4" t="n"/>
      <c r="C708" s="4" t="n"/>
      <c r="D708" s="4" t="n"/>
      <c r="E708" s="4" t="n"/>
      <c r="F708" s="4" t="n"/>
      <c r="G708" s="4" t="n"/>
      <c r="H708" s="4" t="n"/>
      <c r="I708" s="4" t="n"/>
      <c r="J708" s="4" t="n"/>
      <c r="K708" s="4" t="n"/>
      <c r="L708" s="4" t="n"/>
      <c r="M708" s="4" t="n"/>
      <c r="N708" s="4" t="n"/>
      <c r="O708" s="4" t="n"/>
      <c r="P708" s="4" t="n"/>
      <c r="Q708" s="4" t="n"/>
      <c r="R708" s="4" t="n"/>
    </row>
    <row r="709" ht="15.75" customHeight="1" s="108">
      <c r="A709" s="4" t="n"/>
      <c r="B709" s="4" t="n"/>
      <c r="C709" s="4" t="n"/>
      <c r="D709" s="4" t="n"/>
      <c r="E709" s="4" t="n"/>
      <c r="F709" s="4" t="n"/>
      <c r="G709" s="4" t="n"/>
      <c r="H709" s="4" t="n"/>
      <c r="I709" s="4" t="n"/>
      <c r="J709" s="4" t="n"/>
      <c r="K709" s="4" t="n"/>
      <c r="L709" s="4" t="n"/>
      <c r="M709" s="4" t="n"/>
      <c r="N709" s="4" t="n"/>
      <c r="O709" s="4" t="n"/>
      <c r="P709" s="4" t="n"/>
      <c r="Q709" s="4" t="n"/>
      <c r="R709" s="4" t="n"/>
    </row>
    <row r="710" ht="15.75" customHeight="1" s="108">
      <c r="A710" s="4" t="n"/>
      <c r="B710" s="4" t="n"/>
      <c r="C710" s="4" t="n"/>
      <c r="D710" s="4" t="n"/>
      <c r="E710" s="4" t="n"/>
      <c r="F710" s="4" t="n"/>
      <c r="G710" s="4" t="n"/>
      <c r="H710" s="4" t="n"/>
      <c r="I710" s="4" t="n"/>
      <c r="J710" s="4" t="n"/>
      <c r="K710" s="4" t="n"/>
      <c r="L710" s="4" t="n"/>
      <c r="M710" s="4" t="n"/>
      <c r="N710" s="4" t="n"/>
      <c r="O710" s="4" t="n"/>
      <c r="P710" s="4" t="n"/>
      <c r="Q710" s="4" t="n"/>
      <c r="R710" s="4" t="n"/>
    </row>
    <row r="711" ht="15.75" customHeight="1" s="108">
      <c r="A711" s="4" t="n"/>
      <c r="B711" s="4" t="n"/>
      <c r="C711" s="4" t="n"/>
      <c r="D711" s="4" t="n"/>
      <c r="E711" s="4" t="n"/>
      <c r="F711" s="4" t="n"/>
      <c r="G711" s="4" t="n"/>
      <c r="H711" s="4" t="n"/>
      <c r="I711" s="4" t="n"/>
      <c r="J711" s="4" t="n"/>
      <c r="K711" s="4" t="n"/>
      <c r="L711" s="4" t="n"/>
      <c r="M711" s="4" t="n"/>
      <c r="N711" s="4" t="n"/>
      <c r="O711" s="4" t="n"/>
      <c r="P711" s="4" t="n"/>
      <c r="Q711" s="4" t="n"/>
      <c r="R711" s="4" t="n"/>
    </row>
    <row r="712" ht="15.75" customHeight="1" s="108">
      <c r="A712" s="4" t="n"/>
      <c r="B712" s="4" t="n"/>
      <c r="C712" s="4" t="n"/>
      <c r="D712" s="4" t="n"/>
      <c r="E712" s="4" t="n"/>
      <c r="F712" s="4" t="n"/>
      <c r="G712" s="4" t="n"/>
      <c r="H712" s="4" t="n"/>
      <c r="I712" s="4" t="n"/>
      <c r="J712" s="4" t="n"/>
      <c r="K712" s="4" t="n"/>
      <c r="L712" s="4" t="n"/>
      <c r="M712" s="4" t="n"/>
      <c r="N712" s="4" t="n"/>
      <c r="O712" s="4" t="n"/>
      <c r="P712" s="4" t="n"/>
      <c r="Q712" s="4" t="n"/>
      <c r="R712" s="4" t="n"/>
    </row>
    <row r="713" ht="15.75" customHeight="1" s="108">
      <c r="A713" s="4" t="n"/>
      <c r="B713" s="4" t="n"/>
      <c r="C713" s="4" t="n"/>
      <c r="D713" s="4" t="n"/>
      <c r="E713" s="4" t="n"/>
      <c r="F713" s="4" t="n"/>
      <c r="G713" s="4" t="n"/>
      <c r="H713" s="4" t="n"/>
      <c r="I713" s="4" t="n"/>
      <c r="J713" s="4" t="n"/>
      <c r="K713" s="4" t="n"/>
      <c r="L713" s="4" t="n"/>
      <c r="M713" s="4" t="n"/>
      <c r="N713" s="4" t="n"/>
      <c r="O713" s="4" t="n"/>
      <c r="P713" s="4" t="n"/>
      <c r="Q713" s="4" t="n"/>
      <c r="R713" s="4" t="n"/>
    </row>
    <row r="714" ht="15.75" customHeight="1" s="108">
      <c r="A714" s="4" t="n"/>
      <c r="B714" s="4" t="n"/>
      <c r="C714" s="4" t="n"/>
      <c r="D714" s="4" t="n"/>
      <c r="E714" s="4" t="n"/>
      <c r="F714" s="4" t="n"/>
      <c r="G714" s="4" t="n"/>
      <c r="H714" s="4" t="n"/>
      <c r="I714" s="4" t="n"/>
      <c r="J714" s="4" t="n"/>
      <c r="K714" s="4" t="n"/>
      <c r="L714" s="4" t="n"/>
      <c r="M714" s="4" t="n"/>
      <c r="N714" s="4" t="n"/>
      <c r="O714" s="4" t="n"/>
      <c r="P714" s="4" t="n"/>
      <c r="Q714" s="4" t="n"/>
      <c r="R714" s="4" t="n"/>
    </row>
    <row r="715" ht="15.75" customHeight="1" s="108">
      <c r="A715" s="4" t="n"/>
      <c r="B715" s="4" t="n"/>
      <c r="C715" s="4" t="n"/>
      <c r="D715" s="4" t="n"/>
      <c r="E715" s="4" t="n"/>
      <c r="F715" s="4" t="n"/>
      <c r="G715" s="4" t="n"/>
      <c r="H715" s="4" t="n"/>
      <c r="I715" s="4" t="n"/>
      <c r="J715" s="4" t="n"/>
      <c r="K715" s="4" t="n"/>
      <c r="L715" s="4" t="n"/>
      <c r="M715" s="4" t="n"/>
      <c r="N715" s="4" t="n"/>
      <c r="O715" s="4" t="n"/>
      <c r="P715" s="4" t="n"/>
      <c r="Q715" s="4" t="n"/>
      <c r="R715" s="4" t="n"/>
    </row>
    <row r="716" ht="15.75" customHeight="1" s="108">
      <c r="A716" s="4" t="n"/>
      <c r="B716" s="4" t="n"/>
      <c r="C716" s="4" t="n"/>
      <c r="D716" s="4" t="n"/>
      <c r="E716" s="4" t="n"/>
      <c r="F716" s="4" t="n"/>
      <c r="G716" s="4" t="n"/>
      <c r="H716" s="4" t="n"/>
      <c r="I716" s="4" t="n"/>
      <c r="J716" s="4" t="n"/>
      <c r="K716" s="4" t="n"/>
      <c r="L716" s="4" t="n"/>
      <c r="M716" s="4" t="n"/>
      <c r="N716" s="4" t="n"/>
      <c r="O716" s="4" t="n"/>
      <c r="P716" s="4" t="n"/>
      <c r="Q716" s="4" t="n"/>
      <c r="R716" s="4" t="n"/>
    </row>
    <row r="717" ht="15.75" customHeight="1" s="108">
      <c r="A717" s="4" t="n"/>
      <c r="B717" s="4" t="n"/>
      <c r="C717" s="4" t="n"/>
      <c r="D717" s="4" t="n"/>
      <c r="E717" s="4" t="n"/>
      <c r="F717" s="4" t="n"/>
      <c r="G717" s="4" t="n"/>
      <c r="H717" s="4" t="n"/>
      <c r="I717" s="4" t="n"/>
      <c r="J717" s="4" t="n"/>
      <c r="K717" s="4" t="n"/>
      <c r="L717" s="4" t="n"/>
      <c r="M717" s="4" t="n"/>
      <c r="N717" s="4" t="n"/>
      <c r="O717" s="4" t="n"/>
      <c r="P717" s="4" t="n"/>
      <c r="Q717" s="4" t="n"/>
      <c r="R717" s="4" t="n"/>
    </row>
    <row r="718" ht="15.75" customHeight="1" s="108">
      <c r="A718" s="4" t="n"/>
      <c r="B718" s="4" t="n"/>
      <c r="C718" s="4" t="n"/>
      <c r="D718" s="4" t="n"/>
      <c r="E718" s="4" t="n"/>
      <c r="F718" s="4" t="n"/>
      <c r="G718" s="4" t="n"/>
      <c r="H718" s="4" t="n"/>
      <c r="I718" s="4" t="n"/>
      <c r="J718" s="4" t="n"/>
      <c r="K718" s="4" t="n"/>
      <c r="L718" s="4" t="n"/>
      <c r="M718" s="4" t="n"/>
      <c r="N718" s="4" t="n"/>
      <c r="O718" s="4" t="n"/>
      <c r="P718" s="4" t="n"/>
      <c r="Q718" s="4" t="n"/>
      <c r="R718" s="4" t="n"/>
    </row>
    <row r="719" ht="15.75" customHeight="1" s="108">
      <c r="A719" s="4" t="n"/>
      <c r="B719" s="4" t="n"/>
      <c r="C719" s="4" t="n"/>
      <c r="D719" s="4" t="n"/>
      <c r="E719" s="4" t="n"/>
      <c r="F719" s="4" t="n"/>
      <c r="G719" s="4" t="n"/>
      <c r="H719" s="4" t="n"/>
      <c r="I719" s="4" t="n"/>
      <c r="J719" s="4" t="n"/>
      <c r="K719" s="4" t="n"/>
      <c r="L719" s="4" t="n"/>
      <c r="M719" s="4" t="n"/>
      <c r="N719" s="4" t="n"/>
      <c r="O719" s="4" t="n"/>
      <c r="P719" s="4" t="n"/>
      <c r="Q719" s="4" t="n"/>
      <c r="R719" s="4" t="n"/>
    </row>
    <row r="720" ht="15.75" customHeight="1" s="108">
      <c r="A720" s="4" t="n"/>
      <c r="B720" s="4" t="n"/>
      <c r="C720" s="4" t="n"/>
      <c r="D720" s="4" t="n"/>
      <c r="E720" s="4" t="n"/>
      <c r="F720" s="4" t="n"/>
      <c r="G720" s="4" t="n"/>
      <c r="H720" s="4" t="n"/>
      <c r="I720" s="4" t="n"/>
      <c r="J720" s="4" t="n"/>
      <c r="K720" s="4" t="n"/>
      <c r="L720" s="4" t="n"/>
      <c r="M720" s="4" t="n"/>
      <c r="N720" s="4" t="n"/>
      <c r="O720" s="4" t="n"/>
      <c r="P720" s="4" t="n"/>
      <c r="Q720" s="4" t="n"/>
      <c r="R720" s="4" t="n"/>
    </row>
    <row r="721" ht="15.75" customHeight="1" s="108">
      <c r="A721" s="4" t="n"/>
      <c r="B721" s="4" t="n"/>
      <c r="C721" s="4" t="n"/>
      <c r="D721" s="4" t="n"/>
      <c r="E721" s="4" t="n"/>
      <c r="F721" s="4" t="n"/>
      <c r="G721" s="4" t="n"/>
      <c r="H721" s="4" t="n"/>
      <c r="I721" s="4" t="n"/>
      <c r="J721" s="4" t="n"/>
      <c r="K721" s="4" t="n"/>
      <c r="L721" s="4" t="n"/>
      <c r="M721" s="4" t="n"/>
      <c r="N721" s="4" t="n"/>
      <c r="O721" s="4" t="n"/>
      <c r="P721" s="4" t="n"/>
      <c r="Q721" s="4" t="n"/>
      <c r="R721" s="4" t="n"/>
    </row>
    <row r="722" ht="15.75" customHeight="1" s="108">
      <c r="A722" s="4" t="n"/>
      <c r="B722" s="4" t="n"/>
      <c r="C722" s="4" t="n"/>
      <c r="D722" s="4" t="n"/>
      <c r="E722" s="4" t="n"/>
      <c r="F722" s="4" t="n"/>
      <c r="G722" s="4" t="n"/>
      <c r="H722" s="4" t="n"/>
      <c r="I722" s="4" t="n"/>
      <c r="J722" s="4" t="n"/>
      <c r="K722" s="4" t="n"/>
      <c r="L722" s="4" t="n"/>
      <c r="M722" s="4" t="n"/>
      <c r="N722" s="4" t="n"/>
      <c r="O722" s="4" t="n"/>
      <c r="P722" s="4" t="n"/>
      <c r="Q722" s="4" t="n"/>
      <c r="R722" s="4" t="n"/>
    </row>
    <row r="723" ht="15.75" customHeight="1" s="108">
      <c r="A723" s="4" t="n"/>
      <c r="B723" s="4" t="n"/>
      <c r="C723" s="4" t="n"/>
      <c r="D723" s="4" t="n"/>
      <c r="E723" s="4" t="n"/>
      <c r="F723" s="4" t="n"/>
      <c r="G723" s="4" t="n"/>
      <c r="H723" s="4" t="n"/>
      <c r="I723" s="4" t="n"/>
      <c r="J723" s="4" t="n"/>
      <c r="K723" s="4" t="n"/>
      <c r="L723" s="4" t="n"/>
      <c r="M723" s="4" t="n"/>
      <c r="N723" s="4" t="n"/>
      <c r="O723" s="4" t="n"/>
      <c r="P723" s="4" t="n"/>
      <c r="Q723" s="4" t="n"/>
      <c r="R723" s="4" t="n"/>
    </row>
    <row r="724" ht="15.75" customHeight="1" s="108">
      <c r="A724" s="4" t="n"/>
      <c r="B724" s="4" t="n"/>
      <c r="C724" s="4" t="n"/>
      <c r="D724" s="4" t="n"/>
      <c r="E724" s="4" t="n"/>
      <c r="F724" s="4" t="n"/>
      <c r="G724" s="4" t="n"/>
      <c r="H724" s="4" t="n"/>
      <c r="I724" s="4" t="n"/>
      <c r="J724" s="4" t="n"/>
      <c r="K724" s="4" t="n"/>
      <c r="L724" s="4" t="n"/>
      <c r="M724" s="4" t="n"/>
      <c r="N724" s="4" t="n"/>
      <c r="O724" s="4" t="n"/>
      <c r="P724" s="4" t="n"/>
      <c r="Q724" s="4" t="n"/>
      <c r="R724" s="4" t="n"/>
    </row>
    <row r="725" ht="15.75" customHeight="1" s="108">
      <c r="A725" s="4" t="n"/>
      <c r="B725" s="4" t="n"/>
      <c r="C725" s="4" t="n"/>
      <c r="D725" s="4" t="n"/>
      <c r="E725" s="4" t="n"/>
      <c r="F725" s="4" t="n"/>
      <c r="G725" s="4" t="n"/>
      <c r="H725" s="4" t="n"/>
      <c r="I725" s="4" t="n"/>
      <c r="J725" s="4" t="n"/>
      <c r="K725" s="4" t="n"/>
      <c r="L725" s="4" t="n"/>
      <c r="M725" s="4" t="n"/>
      <c r="N725" s="4" t="n"/>
      <c r="O725" s="4" t="n"/>
      <c r="P725" s="4" t="n"/>
      <c r="Q725" s="4" t="n"/>
      <c r="R725" s="4" t="n"/>
    </row>
    <row r="726" ht="15.75" customHeight="1" s="108">
      <c r="A726" s="4" t="n"/>
      <c r="B726" s="4" t="n"/>
      <c r="C726" s="4" t="n"/>
      <c r="D726" s="4" t="n"/>
      <c r="E726" s="4" t="n"/>
      <c r="F726" s="4" t="n"/>
      <c r="G726" s="4" t="n"/>
      <c r="H726" s="4" t="n"/>
      <c r="I726" s="4" t="n"/>
      <c r="J726" s="4" t="n"/>
      <c r="K726" s="4" t="n"/>
      <c r="L726" s="4" t="n"/>
      <c r="M726" s="4" t="n"/>
      <c r="N726" s="4" t="n"/>
      <c r="O726" s="4" t="n"/>
      <c r="P726" s="4" t="n"/>
      <c r="Q726" s="4" t="n"/>
      <c r="R726" s="4" t="n"/>
    </row>
    <row r="727" ht="15.75" customHeight="1" s="108">
      <c r="A727" s="4" t="n"/>
      <c r="B727" s="4" t="n"/>
      <c r="C727" s="4" t="n"/>
      <c r="D727" s="4" t="n"/>
      <c r="E727" s="4" t="n"/>
      <c r="F727" s="4" t="n"/>
      <c r="G727" s="4" t="n"/>
      <c r="H727" s="4" t="n"/>
      <c r="I727" s="4" t="n"/>
      <c r="J727" s="4" t="n"/>
      <c r="K727" s="4" t="n"/>
      <c r="L727" s="4" t="n"/>
      <c r="M727" s="4" t="n"/>
      <c r="N727" s="4" t="n"/>
      <c r="O727" s="4" t="n"/>
      <c r="P727" s="4" t="n"/>
      <c r="Q727" s="4" t="n"/>
      <c r="R727" s="4" t="n"/>
    </row>
    <row r="728" ht="15.75" customHeight="1" s="108">
      <c r="A728" s="4" t="n"/>
      <c r="B728" s="4" t="n"/>
      <c r="C728" s="4" t="n"/>
      <c r="D728" s="4" t="n"/>
      <c r="E728" s="4" t="n"/>
      <c r="F728" s="4" t="n"/>
      <c r="G728" s="4" t="n"/>
      <c r="H728" s="4" t="n"/>
      <c r="I728" s="4" t="n"/>
      <c r="J728" s="4" t="n"/>
      <c r="K728" s="4" t="n"/>
      <c r="L728" s="4" t="n"/>
      <c r="M728" s="4" t="n"/>
      <c r="N728" s="4" t="n"/>
      <c r="O728" s="4" t="n"/>
      <c r="P728" s="4" t="n"/>
      <c r="Q728" s="4" t="n"/>
      <c r="R728" s="4" t="n"/>
    </row>
    <row r="729" ht="15.75" customHeight="1" s="108">
      <c r="A729" s="4" t="n"/>
      <c r="B729" s="4" t="n"/>
      <c r="C729" s="4" t="n"/>
      <c r="D729" s="4" t="n"/>
      <c r="E729" s="4" t="n"/>
      <c r="F729" s="4" t="n"/>
      <c r="G729" s="4" t="n"/>
      <c r="H729" s="4" t="n"/>
      <c r="I729" s="4" t="n"/>
      <c r="J729" s="4" t="n"/>
      <c r="K729" s="4" t="n"/>
      <c r="L729" s="4" t="n"/>
      <c r="M729" s="4" t="n"/>
      <c r="N729" s="4" t="n"/>
      <c r="O729" s="4" t="n"/>
      <c r="P729" s="4" t="n"/>
      <c r="Q729" s="4" t="n"/>
      <c r="R729" s="4" t="n"/>
    </row>
    <row r="730" ht="15.75" customHeight="1" s="108">
      <c r="A730" s="4" t="n"/>
      <c r="B730" s="4" t="n"/>
      <c r="C730" s="4" t="n"/>
      <c r="D730" s="4" t="n"/>
      <c r="E730" s="4" t="n"/>
      <c r="F730" s="4" t="n"/>
      <c r="G730" s="4" t="n"/>
      <c r="H730" s="4" t="n"/>
      <c r="I730" s="4" t="n"/>
      <c r="J730" s="4" t="n"/>
      <c r="K730" s="4" t="n"/>
      <c r="L730" s="4" t="n"/>
      <c r="M730" s="4" t="n"/>
      <c r="N730" s="4" t="n"/>
      <c r="O730" s="4" t="n"/>
      <c r="P730" s="4" t="n"/>
      <c r="Q730" s="4" t="n"/>
      <c r="R730" s="4" t="n"/>
    </row>
    <row r="731" ht="15.75" customHeight="1" s="108">
      <c r="A731" s="4" t="n"/>
      <c r="B731" s="4" t="n"/>
      <c r="C731" s="4" t="n"/>
      <c r="D731" s="4" t="n"/>
      <c r="E731" s="4" t="n"/>
      <c r="F731" s="4" t="n"/>
      <c r="G731" s="4" t="n"/>
      <c r="H731" s="4" t="n"/>
      <c r="I731" s="4" t="n"/>
      <c r="J731" s="4" t="n"/>
      <c r="K731" s="4" t="n"/>
      <c r="L731" s="4" t="n"/>
      <c r="M731" s="4" t="n"/>
      <c r="N731" s="4" t="n"/>
      <c r="O731" s="4" t="n"/>
      <c r="P731" s="4" t="n"/>
      <c r="Q731" s="4" t="n"/>
      <c r="R731" s="4" t="n"/>
    </row>
    <row r="732" ht="15.75" customHeight="1" s="108">
      <c r="A732" s="4" t="n"/>
      <c r="B732" s="4" t="n"/>
      <c r="C732" s="4" t="n"/>
      <c r="D732" s="4" t="n"/>
      <c r="E732" s="4" t="n"/>
      <c r="F732" s="4" t="n"/>
      <c r="G732" s="4" t="n"/>
      <c r="H732" s="4" t="n"/>
      <c r="I732" s="4" t="n"/>
      <c r="J732" s="4" t="n"/>
      <c r="K732" s="4" t="n"/>
      <c r="L732" s="4" t="n"/>
      <c r="M732" s="4" t="n"/>
      <c r="N732" s="4" t="n"/>
      <c r="O732" s="4" t="n"/>
      <c r="P732" s="4" t="n"/>
      <c r="Q732" s="4" t="n"/>
      <c r="R732" s="4" t="n"/>
    </row>
    <row r="733" ht="15.75" customHeight="1" s="108">
      <c r="A733" s="4" t="n"/>
      <c r="B733" s="4" t="n"/>
      <c r="C733" s="4" t="n"/>
      <c r="D733" s="4" t="n"/>
      <c r="E733" s="4" t="n"/>
      <c r="F733" s="4" t="n"/>
      <c r="G733" s="4" t="n"/>
      <c r="H733" s="4" t="n"/>
      <c r="I733" s="4" t="n"/>
      <c r="J733" s="4" t="n"/>
      <c r="K733" s="4" t="n"/>
      <c r="L733" s="4" t="n"/>
      <c r="M733" s="4" t="n"/>
      <c r="N733" s="4" t="n"/>
      <c r="O733" s="4" t="n"/>
      <c r="P733" s="4" t="n"/>
      <c r="Q733" s="4" t="n"/>
      <c r="R733" s="4" t="n"/>
    </row>
    <row r="734" ht="15.75" customHeight="1" s="108">
      <c r="A734" s="4" t="n"/>
      <c r="B734" s="4" t="n"/>
      <c r="C734" s="4" t="n"/>
      <c r="D734" s="4" t="n"/>
      <c r="E734" s="4" t="n"/>
      <c r="F734" s="4" t="n"/>
      <c r="G734" s="4" t="n"/>
      <c r="H734" s="4" t="n"/>
      <c r="I734" s="4" t="n"/>
      <c r="J734" s="4" t="n"/>
      <c r="K734" s="4" t="n"/>
      <c r="L734" s="4" t="n"/>
      <c r="M734" s="4" t="n"/>
      <c r="N734" s="4" t="n"/>
      <c r="O734" s="4" t="n"/>
      <c r="P734" s="4" t="n"/>
      <c r="Q734" s="4" t="n"/>
      <c r="R734" s="4" t="n"/>
    </row>
    <row r="735" ht="15.75" customHeight="1" s="108">
      <c r="A735" s="4" t="n"/>
      <c r="B735" s="4" t="n"/>
      <c r="C735" s="4" t="n"/>
      <c r="D735" s="4" t="n"/>
      <c r="E735" s="4" t="n"/>
      <c r="F735" s="4" t="n"/>
      <c r="G735" s="4" t="n"/>
      <c r="H735" s="4" t="n"/>
      <c r="I735" s="4" t="n"/>
      <c r="J735" s="4" t="n"/>
      <c r="K735" s="4" t="n"/>
      <c r="L735" s="4" t="n"/>
      <c r="M735" s="4" t="n"/>
      <c r="N735" s="4" t="n"/>
      <c r="O735" s="4" t="n"/>
      <c r="P735" s="4" t="n"/>
      <c r="Q735" s="4" t="n"/>
      <c r="R735" s="4" t="n"/>
    </row>
    <row r="736" ht="15.75" customHeight="1" s="108">
      <c r="A736" s="4" t="n"/>
      <c r="B736" s="4" t="n"/>
      <c r="C736" s="4" t="n"/>
      <c r="D736" s="4" t="n"/>
      <c r="E736" s="4" t="n"/>
      <c r="F736" s="4" t="n"/>
      <c r="G736" s="4" t="n"/>
      <c r="H736" s="4" t="n"/>
      <c r="I736" s="4" t="n"/>
      <c r="J736" s="4" t="n"/>
      <c r="K736" s="4" t="n"/>
      <c r="L736" s="4" t="n"/>
      <c r="M736" s="4" t="n"/>
      <c r="N736" s="4" t="n"/>
      <c r="O736" s="4" t="n"/>
      <c r="P736" s="4" t="n"/>
      <c r="Q736" s="4" t="n"/>
      <c r="R736" s="4" t="n"/>
    </row>
    <row r="737" ht="15.75" customHeight="1" s="108">
      <c r="A737" s="4" t="n"/>
      <c r="B737" s="4" t="n"/>
      <c r="C737" s="4" t="n"/>
      <c r="D737" s="4" t="n"/>
      <c r="E737" s="4" t="n"/>
      <c r="F737" s="4" t="n"/>
      <c r="G737" s="4" t="n"/>
      <c r="H737" s="4" t="n"/>
      <c r="I737" s="4" t="n"/>
      <c r="J737" s="4" t="n"/>
      <c r="K737" s="4" t="n"/>
      <c r="L737" s="4" t="n"/>
      <c r="M737" s="4" t="n"/>
      <c r="N737" s="4" t="n"/>
      <c r="O737" s="4" t="n"/>
      <c r="P737" s="4" t="n"/>
      <c r="Q737" s="4" t="n"/>
      <c r="R737" s="4" t="n"/>
    </row>
    <row r="738" ht="15.75" customHeight="1" s="108">
      <c r="A738" s="4" t="n"/>
      <c r="B738" s="4" t="n"/>
      <c r="C738" s="4" t="n"/>
      <c r="D738" s="4" t="n"/>
      <c r="E738" s="4" t="n"/>
      <c r="F738" s="4" t="n"/>
      <c r="G738" s="4" t="n"/>
      <c r="H738" s="4" t="n"/>
      <c r="I738" s="4" t="n"/>
      <c r="J738" s="4" t="n"/>
      <c r="K738" s="4" t="n"/>
      <c r="L738" s="4" t="n"/>
      <c r="M738" s="4" t="n"/>
      <c r="N738" s="4" t="n"/>
      <c r="O738" s="4" t="n"/>
      <c r="P738" s="4" t="n"/>
      <c r="Q738" s="4" t="n"/>
      <c r="R738" s="4" t="n"/>
    </row>
    <row r="739" ht="15.75" customHeight="1" s="108">
      <c r="A739" s="4" t="n"/>
      <c r="B739" s="4" t="n"/>
      <c r="C739" s="4" t="n"/>
      <c r="D739" s="4" t="n"/>
      <c r="E739" s="4" t="n"/>
      <c r="F739" s="4" t="n"/>
      <c r="G739" s="4" t="n"/>
      <c r="H739" s="4" t="n"/>
      <c r="I739" s="4" t="n"/>
      <c r="J739" s="4" t="n"/>
      <c r="K739" s="4" t="n"/>
      <c r="L739" s="4" t="n"/>
      <c r="M739" s="4" t="n"/>
      <c r="N739" s="4" t="n"/>
      <c r="O739" s="4" t="n"/>
      <c r="P739" s="4" t="n"/>
      <c r="Q739" s="4" t="n"/>
      <c r="R739" s="4" t="n"/>
    </row>
    <row r="740" ht="15.75" customHeight="1" s="108">
      <c r="A740" s="4" t="n"/>
      <c r="B740" s="4" t="n"/>
      <c r="C740" s="4" t="n"/>
      <c r="D740" s="4" t="n"/>
      <c r="E740" s="4" t="n"/>
      <c r="F740" s="4" t="n"/>
      <c r="G740" s="4" t="n"/>
      <c r="H740" s="4" t="n"/>
      <c r="I740" s="4" t="n"/>
      <c r="J740" s="4" t="n"/>
      <c r="K740" s="4" t="n"/>
      <c r="L740" s="4" t="n"/>
      <c r="M740" s="4" t="n"/>
      <c r="N740" s="4" t="n"/>
      <c r="O740" s="4" t="n"/>
      <c r="P740" s="4" t="n"/>
      <c r="Q740" s="4" t="n"/>
      <c r="R740" s="4" t="n"/>
    </row>
    <row r="741" ht="15.75" customHeight="1" s="108">
      <c r="A741" s="4" t="n"/>
      <c r="B741" s="4" t="n"/>
      <c r="C741" s="4" t="n"/>
      <c r="D741" s="4" t="n"/>
      <c r="E741" s="4" t="n"/>
      <c r="F741" s="4" t="n"/>
      <c r="G741" s="4" t="n"/>
      <c r="H741" s="4" t="n"/>
      <c r="I741" s="4" t="n"/>
      <c r="J741" s="4" t="n"/>
      <c r="K741" s="4" t="n"/>
      <c r="L741" s="4" t="n"/>
      <c r="M741" s="4" t="n"/>
      <c r="N741" s="4" t="n"/>
      <c r="O741" s="4" t="n"/>
      <c r="P741" s="4" t="n"/>
      <c r="Q741" s="4" t="n"/>
      <c r="R741" s="4" t="n"/>
    </row>
    <row r="742" ht="15.75" customHeight="1" s="108">
      <c r="A742" s="4" t="n"/>
      <c r="B742" s="4" t="n"/>
      <c r="C742" s="4" t="n"/>
      <c r="D742" s="4" t="n"/>
      <c r="E742" s="4" t="n"/>
      <c r="F742" s="4" t="n"/>
      <c r="G742" s="4" t="n"/>
      <c r="H742" s="4" t="n"/>
      <c r="I742" s="4" t="n"/>
      <c r="J742" s="4" t="n"/>
      <c r="K742" s="4" t="n"/>
      <c r="L742" s="4" t="n"/>
      <c r="M742" s="4" t="n"/>
      <c r="N742" s="4" t="n"/>
      <c r="O742" s="4" t="n"/>
      <c r="P742" s="4" t="n"/>
      <c r="Q742" s="4" t="n"/>
      <c r="R742" s="4" t="n"/>
    </row>
    <row r="743" ht="15.75" customHeight="1" s="108">
      <c r="A743" s="4" t="n"/>
      <c r="B743" s="4" t="n"/>
      <c r="C743" s="4" t="n"/>
      <c r="D743" s="4" t="n"/>
      <c r="E743" s="4" t="n"/>
      <c r="F743" s="4" t="n"/>
      <c r="G743" s="4" t="n"/>
      <c r="H743" s="4" t="n"/>
      <c r="I743" s="4" t="n"/>
      <c r="J743" s="4" t="n"/>
      <c r="K743" s="4" t="n"/>
      <c r="L743" s="4" t="n"/>
      <c r="M743" s="4" t="n"/>
      <c r="N743" s="4" t="n"/>
      <c r="O743" s="4" t="n"/>
      <c r="P743" s="4" t="n"/>
      <c r="Q743" s="4" t="n"/>
      <c r="R743" s="4" t="n"/>
    </row>
    <row r="744" ht="15.75" customHeight="1" s="108">
      <c r="A744" s="4" t="n"/>
      <c r="B744" s="4" t="n"/>
      <c r="C744" s="4" t="n"/>
      <c r="D744" s="4" t="n"/>
      <c r="E744" s="4" t="n"/>
      <c r="F744" s="4" t="n"/>
      <c r="G744" s="4" t="n"/>
      <c r="H744" s="4" t="n"/>
      <c r="I744" s="4" t="n"/>
      <c r="J744" s="4" t="n"/>
      <c r="K744" s="4" t="n"/>
      <c r="L744" s="4" t="n"/>
      <c r="M744" s="4" t="n"/>
      <c r="N744" s="4" t="n"/>
      <c r="O744" s="4" t="n"/>
      <c r="P744" s="4" t="n"/>
      <c r="Q744" s="4" t="n"/>
      <c r="R744" s="4" t="n"/>
    </row>
    <row r="745" ht="15.75" customHeight="1" s="108">
      <c r="A745" s="4" t="n"/>
      <c r="B745" s="4" t="n"/>
      <c r="C745" s="4" t="n"/>
      <c r="D745" s="4" t="n"/>
      <c r="E745" s="4" t="n"/>
      <c r="F745" s="4" t="n"/>
      <c r="G745" s="4" t="n"/>
      <c r="H745" s="4" t="n"/>
      <c r="I745" s="4" t="n"/>
      <c r="J745" s="4" t="n"/>
      <c r="K745" s="4" t="n"/>
      <c r="L745" s="4" t="n"/>
      <c r="M745" s="4" t="n"/>
      <c r="N745" s="4" t="n"/>
      <c r="O745" s="4" t="n"/>
      <c r="P745" s="4" t="n"/>
      <c r="Q745" s="4" t="n"/>
      <c r="R745" s="4" t="n"/>
    </row>
    <row r="746" ht="15.75" customHeight="1" s="108">
      <c r="A746" s="4" t="n"/>
      <c r="B746" s="4" t="n"/>
      <c r="C746" s="4" t="n"/>
      <c r="D746" s="4" t="n"/>
      <c r="E746" s="4" t="n"/>
      <c r="F746" s="4" t="n"/>
      <c r="G746" s="4" t="n"/>
      <c r="H746" s="4" t="n"/>
      <c r="I746" s="4" t="n"/>
      <c r="J746" s="4" t="n"/>
      <c r="K746" s="4" t="n"/>
      <c r="L746" s="4" t="n"/>
      <c r="M746" s="4" t="n"/>
      <c r="N746" s="4" t="n"/>
      <c r="O746" s="4" t="n"/>
      <c r="P746" s="4" t="n"/>
      <c r="Q746" s="4" t="n"/>
      <c r="R746" s="4" t="n"/>
    </row>
    <row r="747" ht="15.75" customHeight="1" s="108">
      <c r="A747" s="4" t="n"/>
      <c r="B747" s="4" t="n"/>
      <c r="C747" s="4" t="n"/>
      <c r="D747" s="4" t="n"/>
      <c r="E747" s="4" t="n"/>
      <c r="F747" s="4" t="n"/>
      <c r="G747" s="4" t="n"/>
      <c r="H747" s="4" t="n"/>
      <c r="I747" s="4" t="n"/>
      <c r="J747" s="4" t="n"/>
      <c r="K747" s="4" t="n"/>
      <c r="L747" s="4" t="n"/>
      <c r="M747" s="4" t="n"/>
      <c r="N747" s="4" t="n"/>
      <c r="O747" s="4" t="n"/>
      <c r="P747" s="4" t="n"/>
      <c r="Q747" s="4" t="n"/>
      <c r="R747" s="4" t="n"/>
    </row>
    <row r="748" ht="15.75" customHeight="1" s="108">
      <c r="A748" s="4" t="n"/>
      <c r="B748" s="4" t="n"/>
      <c r="C748" s="4" t="n"/>
      <c r="D748" s="4" t="n"/>
      <c r="E748" s="4" t="n"/>
      <c r="F748" s="4" t="n"/>
      <c r="G748" s="4" t="n"/>
      <c r="H748" s="4" t="n"/>
      <c r="I748" s="4" t="n"/>
      <c r="J748" s="4" t="n"/>
      <c r="K748" s="4" t="n"/>
      <c r="L748" s="4" t="n"/>
      <c r="M748" s="4" t="n"/>
      <c r="N748" s="4" t="n"/>
      <c r="O748" s="4" t="n"/>
      <c r="P748" s="4" t="n"/>
      <c r="Q748" s="4" t="n"/>
      <c r="R748" s="4" t="n"/>
    </row>
    <row r="749" ht="15.75" customHeight="1" s="108">
      <c r="A749" s="4" t="n"/>
      <c r="B749" s="4" t="n"/>
      <c r="C749" s="4" t="n"/>
      <c r="D749" s="4" t="n"/>
      <c r="E749" s="4" t="n"/>
      <c r="F749" s="4" t="n"/>
      <c r="G749" s="4" t="n"/>
      <c r="H749" s="4" t="n"/>
      <c r="I749" s="4" t="n"/>
      <c r="J749" s="4" t="n"/>
      <c r="K749" s="4" t="n"/>
      <c r="L749" s="4" t="n"/>
      <c r="M749" s="4" t="n"/>
      <c r="N749" s="4" t="n"/>
      <c r="O749" s="4" t="n"/>
      <c r="P749" s="4" t="n"/>
      <c r="Q749" s="4" t="n"/>
      <c r="R749" s="4" t="n"/>
    </row>
    <row r="750" ht="15.75" customHeight="1" s="108">
      <c r="A750" s="4" t="n"/>
      <c r="B750" s="4" t="n"/>
      <c r="C750" s="4" t="n"/>
      <c r="D750" s="4" t="n"/>
      <c r="E750" s="4" t="n"/>
      <c r="F750" s="4" t="n"/>
      <c r="G750" s="4" t="n"/>
      <c r="H750" s="4" t="n"/>
      <c r="I750" s="4" t="n"/>
      <c r="J750" s="4" t="n"/>
      <c r="K750" s="4" t="n"/>
      <c r="L750" s="4" t="n"/>
      <c r="M750" s="4" t="n"/>
      <c r="N750" s="4" t="n"/>
      <c r="O750" s="4" t="n"/>
      <c r="P750" s="4" t="n"/>
      <c r="Q750" s="4" t="n"/>
      <c r="R750" s="4" t="n"/>
    </row>
    <row r="751" ht="15.75" customHeight="1" s="108">
      <c r="A751" s="4" t="n"/>
      <c r="B751" s="4" t="n"/>
      <c r="C751" s="4" t="n"/>
      <c r="D751" s="4" t="n"/>
      <c r="E751" s="4" t="n"/>
      <c r="F751" s="4" t="n"/>
      <c r="G751" s="4" t="n"/>
      <c r="H751" s="4" t="n"/>
      <c r="I751" s="4" t="n"/>
      <c r="J751" s="4" t="n"/>
      <c r="K751" s="4" t="n"/>
      <c r="L751" s="4" t="n"/>
      <c r="M751" s="4" t="n"/>
      <c r="N751" s="4" t="n"/>
      <c r="O751" s="4" t="n"/>
      <c r="P751" s="4" t="n"/>
      <c r="Q751" s="4" t="n"/>
      <c r="R751" s="4" t="n"/>
    </row>
    <row r="752" ht="15.75" customHeight="1" s="108">
      <c r="A752" s="4" t="n"/>
      <c r="B752" s="4" t="n"/>
      <c r="C752" s="4" t="n"/>
      <c r="D752" s="4" t="n"/>
      <c r="E752" s="4" t="n"/>
      <c r="F752" s="4" t="n"/>
      <c r="G752" s="4" t="n"/>
      <c r="H752" s="4" t="n"/>
      <c r="I752" s="4" t="n"/>
      <c r="J752" s="4" t="n"/>
      <c r="K752" s="4" t="n"/>
      <c r="L752" s="4" t="n"/>
      <c r="M752" s="4" t="n"/>
      <c r="N752" s="4" t="n"/>
      <c r="O752" s="4" t="n"/>
      <c r="P752" s="4" t="n"/>
      <c r="Q752" s="4" t="n"/>
      <c r="R752" s="4" t="n"/>
    </row>
    <row r="753" ht="15.75" customHeight="1" s="108">
      <c r="A753" s="4" t="n"/>
      <c r="B753" s="4" t="n"/>
      <c r="C753" s="4" t="n"/>
      <c r="D753" s="4" t="n"/>
      <c r="E753" s="4" t="n"/>
      <c r="F753" s="4" t="n"/>
      <c r="G753" s="4" t="n"/>
      <c r="H753" s="4" t="n"/>
      <c r="I753" s="4" t="n"/>
      <c r="J753" s="4" t="n"/>
      <c r="K753" s="4" t="n"/>
      <c r="L753" s="4" t="n"/>
      <c r="M753" s="4" t="n"/>
      <c r="N753" s="4" t="n"/>
      <c r="O753" s="4" t="n"/>
      <c r="P753" s="4" t="n"/>
      <c r="Q753" s="4" t="n"/>
      <c r="R753" s="4" t="n"/>
    </row>
    <row r="754" ht="15.75" customHeight="1" s="108">
      <c r="A754" s="4" t="n"/>
      <c r="B754" s="4" t="n"/>
      <c r="C754" s="4" t="n"/>
      <c r="D754" s="4" t="n"/>
      <c r="E754" s="4" t="n"/>
      <c r="F754" s="4" t="n"/>
      <c r="G754" s="4" t="n"/>
      <c r="H754" s="4" t="n"/>
      <c r="I754" s="4" t="n"/>
      <c r="J754" s="4" t="n"/>
      <c r="K754" s="4" t="n"/>
      <c r="L754" s="4" t="n"/>
      <c r="M754" s="4" t="n"/>
      <c r="N754" s="4" t="n"/>
      <c r="O754" s="4" t="n"/>
      <c r="P754" s="4" t="n"/>
      <c r="Q754" s="4" t="n"/>
      <c r="R754" s="4" t="n"/>
    </row>
    <row r="755" ht="15.75" customHeight="1" s="108">
      <c r="A755" s="4" t="n"/>
      <c r="B755" s="4" t="n"/>
      <c r="C755" s="4" t="n"/>
      <c r="D755" s="4" t="n"/>
      <c r="E755" s="4" t="n"/>
      <c r="F755" s="4" t="n"/>
      <c r="G755" s="4" t="n"/>
      <c r="H755" s="4" t="n"/>
      <c r="I755" s="4" t="n"/>
      <c r="J755" s="4" t="n"/>
      <c r="K755" s="4" t="n"/>
      <c r="L755" s="4" t="n"/>
      <c r="M755" s="4" t="n"/>
      <c r="N755" s="4" t="n"/>
      <c r="O755" s="4" t="n"/>
      <c r="P755" s="4" t="n"/>
      <c r="Q755" s="4" t="n"/>
      <c r="R755" s="4" t="n"/>
    </row>
    <row r="756" ht="15.75" customHeight="1" s="108">
      <c r="A756" s="4" t="n"/>
      <c r="B756" s="4" t="n"/>
      <c r="C756" s="4" t="n"/>
      <c r="D756" s="4" t="n"/>
      <c r="E756" s="4" t="n"/>
      <c r="F756" s="4" t="n"/>
      <c r="G756" s="4" t="n"/>
      <c r="H756" s="4" t="n"/>
      <c r="I756" s="4" t="n"/>
      <c r="J756" s="4" t="n"/>
      <c r="K756" s="4" t="n"/>
      <c r="L756" s="4" t="n"/>
      <c r="M756" s="4" t="n"/>
      <c r="N756" s="4" t="n"/>
      <c r="O756" s="4" t="n"/>
      <c r="P756" s="4" t="n"/>
      <c r="Q756" s="4" t="n"/>
      <c r="R756" s="4" t="n"/>
    </row>
    <row r="757" ht="15.75" customHeight="1" s="108">
      <c r="A757" s="4" t="n"/>
      <c r="B757" s="4" t="n"/>
      <c r="C757" s="4" t="n"/>
      <c r="D757" s="4" t="n"/>
      <c r="E757" s="4" t="n"/>
      <c r="F757" s="4" t="n"/>
      <c r="G757" s="4" t="n"/>
      <c r="H757" s="4" t="n"/>
      <c r="I757" s="4" t="n"/>
      <c r="J757" s="4" t="n"/>
      <c r="K757" s="4" t="n"/>
      <c r="L757" s="4" t="n"/>
      <c r="M757" s="4" t="n"/>
      <c r="N757" s="4" t="n"/>
      <c r="O757" s="4" t="n"/>
      <c r="P757" s="4" t="n"/>
      <c r="Q757" s="4" t="n"/>
      <c r="R757" s="4" t="n"/>
    </row>
    <row r="758" ht="15.75" customHeight="1" s="108">
      <c r="A758" s="4" t="n"/>
      <c r="B758" s="4" t="n"/>
      <c r="C758" s="4" t="n"/>
      <c r="D758" s="4" t="n"/>
      <c r="E758" s="4" t="n"/>
      <c r="F758" s="4" t="n"/>
      <c r="G758" s="4" t="n"/>
      <c r="H758" s="4" t="n"/>
      <c r="I758" s="4" t="n"/>
      <c r="J758" s="4" t="n"/>
      <c r="K758" s="4" t="n"/>
      <c r="L758" s="4" t="n"/>
      <c r="M758" s="4" t="n"/>
      <c r="N758" s="4" t="n"/>
      <c r="O758" s="4" t="n"/>
      <c r="P758" s="4" t="n"/>
      <c r="Q758" s="4" t="n"/>
      <c r="R758" s="4" t="n"/>
    </row>
    <row r="759" ht="15.75" customHeight="1" s="108">
      <c r="A759" s="4" t="n"/>
      <c r="B759" s="4" t="n"/>
      <c r="C759" s="4" t="n"/>
      <c r="D759" s="4" t="n"/>
      <c r="E759" s="4" t="n"/>
      <c r="F759" s="4" t="n"/>
      <c r="G759" s="4" t="n"/>
      <c r="H759" s="4" t="n"/>
      <c r="I759" s="4" t="n"/>
      <c r="J759" s="4" t="n"/>
      <c r="K759" s="4" t="n"/>
      <c r="L759" s="4" t="n"/>
      <c r="M759" s="4" t="n"/>
      <c r="N759" s="4" t="n"/>
      <c r="O759" s="4" t="n"/>
      <c r="P759" s="4" t="n"/>
      <c r="Q759" s="4" t="n"/>
      <c r="R759" s="4" t="n"/>
    </row>
    <row r="760" ht="15.75" customHeight="1" s="108">
      <c r="A760" s="4" t="n"/>
      <c r="B760" s="4" t="n"/>
      <c r="C760" s="4" t="n"/>
      <c r="D760" s="4" t="n"/>
      <c r="E760" s="4" t="n"/>
      <c r="F760" s="4" t="n"/>
      <c r="G760" s="4" t="n"/>
      <c r="H760" s="4" t="n"/>
      <c r="I760" s="4" t="n"/>
      <c r="J760" s="4" t="n"/>
      <c r="K760" s="4" t="n"/>
      <c r="L760" s="4" t="n"/>
      <c r="M760" s="4" t="n"/>
      <c r="N760" s="4" t="n"/>
      <c r="O760" s="4" t="n"/>
      <c r="P760" s="4" t="n"/>
      <c r="Q760" s="4" t="n"/>
      <c r="R760" s="4" t="n"/>
    </row>
    <row r="761" ht="15.75" customHeight="1" s="108">
      <c r="A761" s="4" t="n"/>
      <c r="B761" s="4" t="n"/>
      <c r="C761" s="4" t="n"/>
      <c r="D761" s="4" t="n"/>
      <c r="E761" s="4" t="n"/>
      <c r="F761" s="4" t="n"/>
      <c r="G761" s="4" t="n"/>
      <c r="H761" s="4" t="n"/>
      <c r="I761" s="4" t="n"/>
      <c r="J761" s="4" t="n"/>
      <c r="K761" s="4" t="n"/>
      <c r="L761" s="4" t="n"/>
      <c r="M761" s="4" t="n"/>
      <c r="N761" s="4" t="n"/>
      <c r="O761" s="4" t="n"/>
      <c r="P761" s="4" t="n"/>
      <c r="Q761" s="4" t="n"/>
      <c r="R761" s="4" t="n"/>
    </row>
    <row r="762" ht="15.75" customHeight="1" s="108">
      <c r="A762" s="4" t="n"/>
      <c r="B762" s="4" t="n"/>
      <c r="C762" s="4" t="n"/>
      <c r="D762" s="4" t="n"/>
      <c r="E762" s="4" t="n"/>
      <c r="F762" s="4" t="n"/>
      <c r="G762" s="4" t="n"/>
      <c r="H762" s="4" t="n"/>
      <c r="I762" s="4" t="n"/>
      <c r="J762" s="4" t="n"/>
      <c r="K762" s="4" t="n"/>
      <c r="L762" s="4" t="n"/>
      <c r="M762" s="4" t="n"/>
      <c r="N762" s="4" t="n"/>
      <c r="O762" s="4" t="n"/>
      <c r="P762" s="4" t="n"/>
      <c r="Q762" s="4" t="n"/>
      <c r="R762" s="4" t="n"/>
    </row>
    <row r="763" ht="15.75" customHeight="1" s="108">
      <c r="A763" s="4" t="n"/>
      <c r="B763" s="4" t="n"/>
      <c r="C763" s="4" t="n"/>
      <c r="D763" s="4" t="n"/>
      <c r="E763" s="4" t="n"/>
      <c r="F763" s="4" t="n"/>
      <c r="G763" s="4" t="n"/>
      <c r="H763" s="4" t="n"/>
      <c r="I763" s="4" t="n"/>
      <c r="J763" s="4" t="n"/>
      <c r="K763" s="4" t="n"/>
      <c r="L763" s="4" t="n"/>
      <c r="M763" s="4" t="n"/>
      <c r="N763" s="4" t="n"/>
      <c r="O763" s="4" t="n"/>
      <c r="P763" s="4" t="n"/>
      <c r="Q763" s="4" t="n"/>
      <c r="R763" s="4" t="n"/>
    </row>
    <row r="764" ht="15.75" customHeight="1" s="108">
      <c r="A764" s="4" t="n"/>
      <c r="B764" s="4" t="n"/>
      <c r="C764" s="4" t="n"/>
      <c r="D764" s="4" t="n"/>
      <c r="E764" s="4" t="n"/>
      <c r="F764" s="4" t="n"/>
      <c r="G764" s="4" t="n"/>
      <c r="H764" s="4" t="n"/>
      <c r="I764" s="4" t="n"/>
      <c r="J764" s="4" t="n"/>
      <c r="K764" s="4" t="n"/>
      <c r="L764" s="4" t="n"/>
      <c r="M764" s="4" t="n"/>
      <c r="N764" s="4" t="n"/>
      <c r="O764" s="4" t="n"/>
      <c r="P764" s="4" t="n"/>
      <c r="Q764" s="4" t="n"/>
      <c r="R764" s="4" t="n"/>
    </row>
    <row r="765" ht="15.75" customHeight="1" s="108">
      <c r="A765" s="4" t="n"/>
      <c r="B765" s="4" t="n"/>
      <c r="C765" s="4" t="n"/>
      <c r="D765" s="4" t="n"/>
      <c r="E765" s="4" t="n"/>
      <c r="F765" s="4" t="n"/>
      <c r="G765" s="4" t="n"/>
      <c r="H765" s="4" t="n"/>
      <c r="I765" s="4" t="n"/>
      <c r="J765" s="4" t="n"/>
      <c r="K765" s="4" t="n"/>
      <c r="L765" s="4" t="n"/>
      <c r="M765" s="4" t="n"/>
      <c r="N765" s="4" t="n"/>
      <c r="O765" s="4" t="n"/>
      <c r="P765" s="4" t="n"/>
      <c r="Q765" s="4" t="n"/>
      <c r="R765" s="4" t="n"/>
    </row>
    <row r="766" ht="15.75" customHeight="1" s="108">
      <c r="A766" s="4" t="n"/>
      <c r="B766" s="4" t="n"/>
      <c r="C766" s="4" t="n"/>
      <c r="D766" s="4" t="n"/>
      <c r="E766" s="4" t="n"/>
      <c r="F766" s="4" t="n"/>
      <c r="G766" s="4" t="n"/>
      <c r="H766" s="4" t="n"/>
      <c r="I766" s="4" t="n"/>
      <c r="J766" s="4" t="n"/>
      <c r="K766" s="4" t="n"/>
      <c r="L766" s="4" t="n"/>
      <c r="M766" s="4" t="n"/>
      <c r="N766" s="4" t="n"/>
      <c r="O766" s="4" t="n"/>
      <c r="P766" s="4" t="n"/>
      <c r="Q766" s="4" t="n"/>
      <c r="R766" s="4" t="n"/>
    </row>
    <row r="767" ht="15.75" customHeight="1" s="108">
      <c r="A767" s="4" t="n"/>
      <c r="B767" s="4" t="n"/>
      <c r="C767" s="4" t="n"/>
      <c r="D767" s="4" t="n"/>
      <c r="E767" s="4" t="n"/>
      <c r="F767" s="4" t="n"/>
      <c r="G767" s="4" t="n"/>
      <c r="H767" s="4" t="n"/>
      <c r="I767" s="4" t="n"/>
      <c r="J767" s="4" t="n"/>
      <c r="K767" s="4" t="n"/>
      <c r="L767" s="4" t="n"/>
      <c r="M767" s="4" t="n"/>
      <c r="N767" s="4" t="n"/>
      <c r="O767" s="4" t="n"/>
      <c r="P767" s="4" t="n"/>
      <c r="Q767" s="4" t="n"/>
      <c r="R767" s="4" t="n"/>
    </row>
    <row r="768" ht="15.75" customHeight="1" s="108">
      <c r="A768" s="4" t="n"/>
      <c r="B768" s="4" t="n"/>
      <c r="C768" s="4" t="n"/>
      <c r="D768" s="4" t="n"/>
      <c r="E768" s="4" t="n"/>
      <c r="F768" s="4" t="n"/>
      <c r="G768" s="4" t="n"/>
      <c r="H768" s="4" t="n"/>
      <c r="I768" s="4" t="n"/>
      <c r="J768" s="4" t="n"/>
      <c r="K768" s="4" t="n"/>
      <c r="L768" s="4" t="n"/>
      <c r="M768" s="4" t="n"/>
      <c r="N768" s="4" t="n"/>
      <c r="O768" s="4" t="n"/>
      <c r="P768" s="4" t="n"/>
      <c r="Q768" s="4" t="n"/>
      <c r="R768" s="4" t="n"/>
    </row>
    <row r="769" ht="15.75" customHeight="1" s="108">
      <c r="A769" s="4" t="n"/>
      <c r="B769" s="4" t="n"/>
      <c r="C769" s="4" t="n"/>
      <c r="D769" s="4" t="n"/>
      <c r="E769" s="4" t="n"/>
      <c r="F769" s="4" t="n"/>
      <c r="G769" s="4" t="n"/>
      <c r="H769" s="4" t="n"/>
      <c r="I769" s="4" t="n"/>
      <c r="J769" s="4" t="n"/>
      <c r="K769" s="4" t="n"/>
      <c r="L769" s="4" t="n"/>
      <c r="M769" s="4" t="n"/>
      <c r="N769" s="4" t="n"/>
      <c r="O769" s="4" t="n"/>
      <c r="P769" s="4" t="n"/>
      <c r="Q769" s="4" t="n"/>
      <c r="R769" s="4" t="n"/>
    </row>
    <row r="770" ht="15.75" customHeight="1" s="108">
      <c r="A770" s="4" t="n"/>
      <c r="B770" s="4" t="n"/>
      <c r="C770" s="4" t="n"/>
      <c r="D770" s="4" t="n"/>
      <c r="E770" s="4" t="n"/>
      <c r="F770" s="4" t="n"/>
      <c r="G770" s="4" t="n"/>
      <c r="H770" s="4" t="n"/>
      <c r="I770" s="4" t="n"/>
      <c r="J770" s="4" t="n"/>
      <c r="K770" s="4" t="n"/>
      <c r="L770" s="4" t="n"/>
      <c r="M770" s="4" t="n"/>
      <c r="N770" s="4" t="n"/>
      <c r="O770" s="4" t="n"/>
      <c r="P770" s="4" t="n"/>
      <c r="Q770" s="4" t="n"/>
      <c r="R770" s="4" t="n"/>
    </row>
    <row r="771" ht="15.75" customHeight="1" s="108">
      <c r="A771" s="4" t="n"/>
      <c r="B771" s="4" t="n"/>
      <c r="C771" s="4" t="n"/>
      <c r="D771" s="4" t="n"/>
      <c r="E771" s="4" t="n"/>
      <c r="F771" s="4" t="n"/>
      <c r="G771" s="4" t="n"/>
      <c r="H771" s="4" t="n"/>
      <c r="I771" s="4" t="n"/>
      <c r="J771" s="4" t="n"/>
      <c r="K771" s="4" t="n"/>
      <c r="L771" s="4" t="n"/>
      <c r="M771" s="4" t="n"/>
      <c r="N771" s="4" t="n"/>
      <c r="O771" s="4" t="n"/>
      <c r="P771" s="4" t="n"/>
      <c r="Q771" s="4" t="n"/>
      <c r="R771" s="4" t="n"/>
    </row>
    <row r="772" ht="15.75" customHeight="1" s="108">
      <c r="A772" s="4" t="n"/>
      <c r="B772" s="4" t="n"/>
      <c r="C772" s="4" t="n"/>
      <c r="D772" s="4" t="n"/>
      <c r="E772" s="4" t="n"/>
      <c r="F772" s="4" t="n"/>
      <c r="G772" s="4" t="n"/>
      <c r="H772" s="4" t="n"/>
      <c r="I772" s="4" t="n"/>
      <c r="J772" s="4" t="n"/>
      <c r="K772" s="4" t="n"/>
      <c r="L772" s="4" t="n"/>
      <c r="M772" s="4" t="n"/>
      <c r="N772" s="4" t="n"/>
      <c r="O772" s="4" t="n"/>
      <c r="P772" s="4" t="n"/>
      <c r="Q772" s="4" t="n"/>
      <c r="R772" s="4" t="n"/>
    </row>
    <row r="773" ht="15.75" customHeight="1" s="108">
      <c r="A773" s="4" t="n"/>
      <c r="B773" s="4" t="n"/>
      <c r="C773" s="4" t="n"/>
      <c r="D773" s="4" t="n"/>
      <c r="E773" s="4" t="n"/>
      <c r="F773" s="4" t="n"/>
      <c r="G773" s="4" t="n"/>
      <c r="H773" s="4" t="n"/>
      <c r="I773" s="4" t="n"/>
      <c r="J773" s="4" t="n"/>
      <c r="K773" s="4" t="n"/>
      <c r="L773" s="4" t="n"/>
      <c r="M773" s="4" t="n"/>
      <c r="N773" s="4" t="n"/>
      <c r="O773" s="4" t="n"/>
      <c r="P773" s="4" t="n"/>
      <c r="Q773" s="4" t="n"/>
      <c r="R773" s="4" t="n"/>
    </row>
    <row r="774" ht="15.75" customHeight="1" s="108">
      <c r="A774" s="4" t="n"/>
      <c r="B774" s="4" t="n"/>
      <c r="C774" s="4" t="n"/>
      <c r="D774" s="4" t="n"/>
      <c r="E774" s="4" t="n"/>
      <c r="F774" s="4" t="n"/>
      <c r="G774" s="4" t="n"/>
      <c r="H774" s="4" t="n"/>
      <c r="I774" s="4" t="n"/>
      <c r="J774" s="4" t="n"/>
      <c r="K774" s="4" t="n"/>
      <c r="L774" s="4" t="n"/>
      <c r="M774" s="4" t="n"/>
      <c r="N774" s="4" t="n"/>
      <c r="O774" s="4" t="n"/>
      <c r="P774" s="4" t="n"/>
      <c r="Q774" s="4" t="n"/>
      <c r="R774" s="4" t="n"/>
    </row>
    <row r="775" ht="15.75" customHeight="1" s="108">
      <c r="A775" s="4" t="n"/>
      <c r="B775" s="4" t="n"/>
      <c r="C775" s="4" t="n"/>
      <c r="D775" s="4" t="n"/>
      <c r="E775" s="4" t="n"/>
      <c r="F775" s="4" t="n"/>
      <c r="G775" s="4" t="n"/>
      <c r="H775" s="4" t="n"/>
      <c r="I775" s="4" t="n"/>
      <c r="J775" s="4" t="n"/>
      <c r="K775" s="4" t="n"/>
      <c r="L775" s="4" t="n"/>
      <c r="M775" s="4" t="n"/>
      <c r="N775" s="4" t="n"/>
      <c r="O775" s="4" t="n"/>
      <c r="P775" s="4" t="n"/>
      <c r="Q775" s="4" t="n"/>
      <c r="R775" s="4" t="n"/>
    </row>
    <row r="776" ht="15.75" customHeight="1" s="108">
      <c r="A776" s="4" t="n"/>
      <c r="B776" s="4" t="n"/>
      <c r="C776" s="4" t="n"/>
      <c r="D776" s="4" t="n"/>
      <c r="E776" s="4" t="n"/>
      <c r="F776" s="4" t="n"/>
      <c r="G776" s="4" t="n"/>
      <c r="H776" s="4" t="n"/>
      <c r="I776" s="4" t="n"/>
      <c r="J776" s="4" t="n"/>
      <c r="K776" s="4" t="n"/>
      <c r="L776" s="4" t="n"/>
      <c r="M776" s="4" t="n"/>
      <c r="N776" s="4" t="n"/>
      <c r="O776" s="4" t="n"/>
      <c r="P776" s="4" t="n"/>
      <c r="Q776" s="4" t="n"/>
      <c r="R776" s="4" t="n"/>
    </row>
    <row r="777" ht="15.75" customHeight="1" s="108">
      <c r="A777" s="4" t="n"/>
      <c r="B777" s="4" t="n"/>
      <c r="C777" s="4" t="n"/>
      <c r="D777" s="4" t="n"/>
      <c r="E777" s="4" t="n"/>
      <c r="F777" s="4" t="n"/>
      <c r="G777" s="4" t="n"/>
      <c r="H777" s="4" t="n"/>
      <c r="I777" s="4" t="n"/>
      <c r="J777" s="4" t="n"/>
      <c r="K777" s="4" t="n"/>
      <c r="L777" s="4" t="n"/>
      <c r="M777" s="4" t="n"/>
      <c r="N777" s="4" t="n"/>
      <c r="O777" s="4" t="n"/>
      <c r="P777" s="4" t="n"/>
      <c r="Q777" s="4" t="n"/>
      <c r="R777" s="4" t="n"/>
    </row>
    <row r="778" ht="15.75" customHeight="1" s="108">
      <c r="A778" s="4" t="n"/>
      <c r="B778" s="4" t="n"/>
      <c r="C778" s="4" t="n"/>
      <c r="D778" s="4" t="n"/>
      <c r="E778" s="4" t="n"/>
      <c r="F778" s="4" t="n"/>
      <c r="G778" s="4" t="n"/>
      <c r="H778" s="4" t="n"/>
      <c r="I778" s="4" t="n"/>
      <c r="J778" s="4" t="n"/>
      <c r="K778" s="4" t="n"/>
      <c r="L778" s="4" t="n"/>
      <c r="M778" s="4" t="n"/>
      <c r="N778" s="4" t="n"/>
      <c r="O778" s="4" t="n"/>
      <c r="P778" s="4" t="n"/>
      <c r="Q778" s="4" t="n"/>
      <c r="R778" s="4" t="n"/>
    </row>
    <row r="779" ht="15.75" customHeight="1" s="108">
      <c r="A779" s="4" t="n"/>
      <c r="B779" s="4" t="n"/>
      <c r="C779" s="4" t="n"/>
      <c r="D779" s="4" t="n"/>
      <c r="E779" s="4" t="n"/>
      <c r="F779" s="4" t="n"/>
      <c r="G779" s="4" t="n"/>
      <c r="H779" s="4" t="n"/>
      <c r="I779" s="4" t="n"/>
      <c r="J779" s="4" t="n"/>
      <c r="K779" s="4" t="n"/>
      <c r="L779" s="4" t="n"/>
      <c r="M779" s="4" t="n"/>
      <c r="N779" s="4" t="n"/>
      <c r="O779" s="4" t="n"/>
      <c r="P779" s="4" t="n"/>
      <c r="Q779" s="4" t="n"/>
      <c r="R779" s="4" t="n"/>
    </row>
    <row r="780" ht="15.75" customHeight="1" s="108">
      <c r="A780" s="4" t="n"/>
      <c r="B780" s="4" t="n"/>
      <c r="C780" s="4" t="n"/>
      <c r="D780" s="4" t="n"/>
      <c r="E780" s="4" t="n"/>
      <c r="F780" s="4" t="n"/>
      <c r="G780" s="4" t="n"/>
      <c r="H780" s="4" t="n"/>
      <c r="I780" s="4" t="n"/>
      <c r="J780" s="4" t="n"/>
      <c r="K780" s="4" t="n"/>
      <c r="L780" s="4" t="n"/>
      <c r="M780" s="4" t="n"/>
      <c r="N780" s="4" t="n"/>
      <c r="O780" s="4" t="n"/>
      <c r="P780" s="4" t="n"/>
      <c r="Q780" s="4" t="n"/>
      <c r="R780" s="4" t="n"/>
    </row>
    <row r="781" ht="15.75" customHeight="1" s="108">
      <c r="A781" s="4" t="n"/>
      <c r="B781" s="4" t="n"/>
      <c r="C781" s="4" t="n"/>
      <c r="D781" s="4" t="n"/>
      <c r="E781" s="4" t="n"/>
      <c r="F781" s="4" t="n"/>
      <c r="G781" s="4" t="n"/>
      <c r="H781" s="4" t="n"/>
      <c r="I781" s="4" t="n"/>
      <c r="J781" s="4" t="n"/>
      <c r="K781" s="4" t="n"/>
      <c r="L781" s="4" t="n"/>
      <c r="M781" s="4" t="n"/>
      <c r="N781" s="4" t="n"/>
      <c r="O781" s="4" t="n"/>
      <c r="P781" s="4" t="n"/>
      <c r="Q781" s="4" t="n"/>
      <c r="R781" s="4" t="n"/>
    </row>
    <row r="782" ht="15.75" customHeight="1" s="108">
      <c r="A782" s="4" t="n"/>
      <c r="B782" s="4" t="n"/>
      <c r="C782" s="4" t="n"/>
      <c r="D782" s="4" t="n"/>
      <c r="E782" s="4" t="n"/>
      <c r="F782" s="4" t="n"/>
      <c r="G782" s="4" t="n"/>
      <c r="H782" s="4" t="n"/>
      <c r="I782" s="4" t="n"/>
      <c r="J782" s="4" t="n"/>
      <c r="K782" s="4" t="n"/>
      <c r="L782" s="4" t="n"/>
      <c r="M782" s="4" t="n"/>
      <c r="N782" s="4" t="n"/>
      <c r="O782" s="4" t="n"/>
      <c r="P782" s="4" t="n"/>
      <c r="Q782" s="4" t="n"/>
      <c r="R782" s="4" t="n"/>
    </row>
    <row r="783" ht="15.75" customHeight="1" s="108">
      <c r="A783" s="4" t="n"/>
      <c r="B783" s="4" t="n"/>
      <c r="C783" s="4" t="n"/>
      <c r="D783" s="4" t="n"/>
      <c r="E783" s="4" t="n"/>
      <c r="F783" s="4" t="n"/>
      <c r="G783" s="4" t="n"/>
      <c r="H783" s="4" t="n"/>
      <c r="I783" s="4" t="n"/>
      <c r="J783" s="4" t="n"/>
      <c r="K783" s="4" t="n"/>
      <c r="L783" s="4" t="n"/>
      <c r="M783" s="4" t="n"/>
      <c r="N783" s="4" t="n"/>
      <c r="O783" s="4" t="n"/>
      <c r="P783" s="4" t="n"/>
      <c r="Q783" s="4" t="n"/>
      <c r="R783" s="4" t="n"/>
    </row>
    <row r="784" ht="15.75" customHeight="1" s="108">
      <c r="A784" s="4" t="n"/>
      <c r="B784" s="4" t="n"/>
      <c r="C784" s="4" t="n"/>
      <c r="D784" s="4" t="n"/>
      <c r="E784" s="4" t="n"/>
      <c r="F784" s="4" t="n"/>
      <c r="G784" s="4" t="n"/>
      <c r="H784" s="4" t="n"/>
      <c r="I784" s="4" t="n"/>
      <c r="J784" s="4" t="n"/>
      <c r="K784" s="4" t="n"/>
      <c r="L784" s="4" t="n"/>
      <c r="M784" s="4" t="n"/>
      <c r="N784" s="4" t="n"/>
      <c r="O784" s="4" t="n"/>
      <c r="P784" s="4" t="n"/>
      <c r="Q784" s="4" t="n"/>
      <c r="R784" s="4" t="n"/>
    </row>
    <row r="785" ht="15.75" customHeight="1" s="108">
      <c r="A785" s="4" t="n"/>
      <c r="B785" s="4" t="n"/>
      <c r="C785" s="4" t="n"/>
      <c r="D785" s="4" t="n"/>
      <c r="E785" s="4" t="n"/>
      <c r="F785" s="4" t="n"/>
      <c r="G785" s="4" t="n"/>
      <c r="H785" s="4" t="n"/>
      <c r="I785" s="4" t="n"/>
      <c r="J785" s="4" t="n"/>
      <c r="K785" s="4" t="n"/>
      <c r="L785" s="4" t="n"/>
      <c r="M785" s="4" t="n"/>
      <c r="N785" s="4" t="n"/>
      <c r="O785" s="4" t="n"/>
      <c r="P785" s="4" t="n"/>
      <c r="Q785" s="4" t="n"/>
      <c r="R785" s="4" t="n"/>
    </row>
    <row r="786" ht="15.75" customHeight="1" s="108">
      <c r="A786" s="4" t="n"/>
      <c r="B786" s="4" t="n"/>
      <c r="C786" s="4" t="n"/>
      <c r="D786" s="4" t="n"/>
      <c r="E786" s="4" t="n"/>
      <c r="F786" s="4" t="n"/>
      <c r="G786" s="4" t="n"/>
      <c r="H786" s="4" t="n"/>
      <c r="I786" s="4" t="n"/>
      <c r="J786" s="4" t="n"/>
      <c r="K786" s="4" t="n"/>
      <c r="L786" s="4" t="n"/>
      <c r="M786" s="4" t="n"/>
      <c r="N786" s="4" t="n"/>
      <c r="O786" s="4" t="n"/>
      <c r="P786" s="4" t="n"/>
      <c r="Q786" s="4" t="n"/>
      <c r="R786" s="4" t="n"/>
    </row>
    <row r="787" ht="15.75" customHeight="1" s="108">
      <c r="A787" s="4" t="n"/>
      <c r="B787" s="4" t="n"/>
      <c r="C787" s="4" t="n"/>
      <c r="D787" s="4" t="n"/>
      <c r="E787" s="4" t="n"/>
      <c r="F787" s="4" t="n"/>
      <c r="G787" s="4" t="n"/>
      <c r="H787" s="4" t="n"/>
      <c r="I787" s="4" t="n"/>
      <c r="J787" s="4" t="n"/>
      <c r="K787" s="4" t="n"/>
      <c r="L787" s="4" t="n"/>
      <c r="M787" s="4" t="n"/>
      <c r="N787" s="4" t="n"/>
      <c r="O787" s="4" t="n"/>
      <c r="P787" s="4" t="n"/>
      <c r="Q787" s="4" t="n"/>
      <c r="R787" s="4" t="n"/>
    </row>
    <row r="788" ht="15.75" customHeight="1" s="108">
      <c r="A788" s="4" t="n"/>
      <c r="B788" s="4" t="n"/>
      <c r="C788" s="4" t="n"/>
      <c r="D788" s="4" t="n"/>
      <c r="E788" s="4" t="n"/>
      <c r="F788" s="4" t="n"/>
      <c r="G788" s="4" t="n"/>
      <c r="H788" s="4" t="n"/>
      <c r="I788" s="4" t="n"/>
      <c r="J788" s="4" t="n"/>
      <c r="K788" s="4" t="n"/>
      <c r="L788" s="4" t="n"/>
      <c r="M788" s="4" t="n"/>
      <c r="N788" s="4" t="n"/>
      <c r="O788" s="4" t="n"/>
      <c r="P788" s="4" t="n"/>
      <c r="Q788" s="4" t="n"/>
      <c r="R788" s="4" t="n"/>
    </row>
    <row r="789" ht="15.75" customHeight="1" s="108">
      <c r="A789" s="4" t="n"/>
      <c r="B789" s="4" t="n"/>
      <c r="C789" s="4" t="n"/>
      <c r="D789" s="4" t="n"/>
      <c r="E789" s="4" t="n"/>
      <c r="F789" s="4" t="n"/>
      <c r="G789" s="4" t="n"/>
      <c r="H789" s="4" t="n"/>
      <c r="I789" s="4" t="n"/>
      <c r="J789" s="4" t="n"/>
      <c r="K789" s="4" t="n"/>
      <c r="L789" s="4" t="n"/>
      <c r="M789" s="4" t="n"/>
      <c r="N789" s="4" t="n"/>
      <c r="O789" s="4" t="n"/>
      <c r="P789" s="4" t="n"/>
      <c r="Q789" s="4" t="n"/>
      <c r="R789" s="4" t="n"/>
    </row>
    <row r="790" ht="15.75" customHeight="1" s="108">
      <c r="A790" s="4" t="n"/>
      <c r="B790" s="4" t="n"/>
      <c r="C790" s="4" t="n"/>
      <c r="D790" s="4" t="n"/>
      <c r="E790" s="4" t="n"/>
      <c r="F790" s="4" t="n"/>
      <c r="G790" s="4" t="n"/>
      <c r="H790" s="4" t="n"/>
      <c r="I790" s="4" t="n"/>
      <c r="J790" s="4" t="n"/>
      <c r="K790" s="4" t="n"/>
      <c r="L790" s="4" t="n"/>
      <c r="M790" s="4" t="n"/>
      <c r="N790" s="4" t="n"/>
      <c r="O790" s="4" t="n"/>
      <c r="P790" s="4" t="n"/>
      <c r="Q790" s="4" t="n"/>
      <c r="R790" s="4" t="n"/>
    </row>
    <row r="791" ht="15.75" customHeight="1" s="108">
      <c r="A791" s="4" t="n"/>
      <c r="B791" s="4" t="n"/>
      <c r="C791" s="4" t="n"/>
      <c r="D791" s="4" t="n"/>
      <c r="E791" s="4" t="n"/>
      <c r="F791" s="4" t="n"/>
      <c r="G791" s="4" t="n"/>
      <c r="H791" s="4" t="n"/>
      <c r="I791" s="4" t="n"/>
      <c r="J791" s="4" t="n"/>
      <c r="K791" s="4" t="n"/>
      <c r="L791" s="4" t="n"/>
      <c r="M791" s="4" t="n"/>
      <c r="N791" s="4" t="n"/>
      <c r="O791" s="4" t="n"/>
      <c r="P791" s="4" t="n"/>
      <c r="Q791" s="4" t="n"/>
      <c r="R791" s="4" t="n"/>
    </row>
    <row r="792" ht="15.75" customHeight="1" s="108">
      <c r="A792" s="4" t="n"/>
      <c r="B792" s="4" t="n"/>
      <c r="C792" s="4" t="n"/>
      <c r="D792" s="4" t="n"/>
      <c r="E792" s="4" t="n"/>
      <c r="F792" s="4" t="n"/>
      <c r="G792" s="4" t="n"/>
      <c r="H792" s="4" t="n"/>
      <c r="I792" s="4" t="n"/>
      <c r="J792" s="4" t="n"/>
      <c r="K792" s="4" t="n"/>
      <c r="L792" s="4" t="n"/>
      <c r="M792" s="4" t="n"/>
      <c r="N792" s="4" t="n"/>
      <c r="O792" s="4" t="n"/>
      <c r="P792" s="4" t="n"/>
      <c r="Q792" s="4" t="n"/>
      <c r="R792" s="4" t="n"/>
    </row>
    <row r="793" ht="15.75" customHeight="1" s="108">
      <c r="A793" s="4" t="n"/>
      <c r="B793" s="4" t="n"/>
      <c r="C793" s="4" t="n"/>
      <c r="D793" s="4" t="n"/>
      <c r="E793" s="4" t="n"/>
      <c r="F793" s="4" t="n"/>
      <c r="G793" s="4" t="n"/>
      <c r="H793" s="4" t="n"/>
      <c r="I793" s="4" t="n"/>
      <c r="J793" s="4" t="n"/>
      <c r="K793" s="4" t="n"/>
      <c r="L793" s="4" t="n"/>
      <c r="M793" s="4" t="n"/>
      <c r="N793" s="4" t="n"/>
      <c r="O793" s="4" t="n"/>
      <c r="P793" s="4" t="n"/>
      <c r="Q793" s="4" t="n"/>
      <c r="R793" s="4" t="n"/>
    </row>
    <row r="794" ht="15.75" customHeight="1" s="108">
      <c r="A794" s="4" t="n"/>
      <c r="B794" s="4" t="n"/>
      <c r="C794" s="4" t="n"/>
      <c r="D794" s="4" t="n"/>
      <c r="E794" s="4" t="n"/>
      <c r="F794" s="4" t="n"/>
      <c r="G794" s="4" t="n"/>
      <c r="H794" s="4" t="n"/>
      <c r="I794" s="4" t="n"/>
      <c r="J794" s="4" t="n"/>
      <c r="K794" s="4" t="n"/>
      <c r="L794" s="4" t="n"/>
      <c r="M794" s="4" t="n"/>
      <c r="N794" s="4" t="n"/>
      <c r="O794" s="4" t="n"/>
      <c r="P794" s="4" t="n"/>
      <c r="Q794" s="4" t="n"/>
      <c r="R794" s="4" t="n"/>
    </row>
    <row r="795" ht="15.75" customHeight="1" s="108">
      <c r="A795" s="4" t="n"/>
      <c r="B795" s="4" t="n"/>
      <c r="C795" s="4" t="n"/>
      <c r="D795" s="4" t="n"/>
      <c r="E795" s="4" t="n"/>
      <c r="F795" s="4" t="n"/>
      <c r="G795" s="4" t="n"/>
      <c r="H795" s="4" t="n"/>
      <c r="I795" s="4" t="n"/>
      <c r="J795" s="4" t="n"/>
      <c r="K795" s="4" t="n"/>
      <c r="L795" s="4" t="n"/>
      <c r="M795" s="4" t="n"/>
      <c r="N795" s="4" t="n"/>
      <c r="O795" s="4" t="n"/>
      <c r="P795" s="4" t="n"/>
      <c r="Q795" s="4" t="n"/>
      <c r="R795" s="4" t="n"/>
    </row>
    <row r="796" ht="15.75" customHeight="1" s="108">
      <c r="A796" s="4" t="n"/>
      <c r="B796" s="4" t="n"/>
      <c r="C796" s="4" t="n"/>
      <c r="D796" s="4" t="n"/>
      <c r="E796" s="4" t="n"/>
      <c r="F796" s="4" t="n"/>
      <c r="G796" s="4" t="n"/>
      <c r="H796" s="4" t="n"/>
      <c r="I796" s="4" t="n"/>
      <c r="J796" s="4" t="n"/>
      <c r="K796" s="4" t="n"/>
      <c r="L796" s="4" t="n"/>
      <c r="M796" s="4" t="n"/>
      <c r="N796" s="4" t="n"/>
      <c r="O796" s="4" t="n"/>
      <c r="P796" s="4" t="n"/>
      <c r="Q796" s="4" t="n"/>
      <c r="R796" s="4" t="n"/>
    </row>
    <row r="797" ht="15.75" customHeight="1" s="108">
      <c r="A797" s="4" t="n"/>
      <c r="B797" s="4" t="n"/>
      <c r="C797" s="4" t="n"/>
      <c r="D797" s="4" t="n"/>
      <c r="E797" s="4" t="n"/>
      <c r="F797" s="4" t="n"/>
      <c r="G797" s="4" t="n"/>
      <c r="H797" s="4" t="n"/>
      <c r="I797" s="4" t="n"/>
      <c r="J797" s="4" t="n"/>
      <c r="K797" s="4" t="n"/>
      <c r="L797" s="4" t="n"/>
      <c r="M797" s="4" t="n"/>
      <c r="N797" s="4" t="n"/>
      <c r="O797" s="4" t="n"/>
      <c r="P797" s="4" t="n"/>
      <c r="Q797" s="4" t="n"/>
      <c r="R797" s="4" t="n"/>
    </row>
    <row r="798" ht="15.75" customHeight="1" s="108">
      <c r="A798" s="4" t="n"/>
      <c r="B798" s="4" t="n"/>
      <c r="C798" s="4" t="n"/>
      <c r="D798" s="4" t="n"/>
      <c r="E798" s="4" t="n"/>
      <c r="F798" s="4" t="n"/>
      <c r="G798" s="4" t="n"/>
      <c r="H798" s="4" t="n"/>
      <c r="I798" s="4" t="n"/>
      <c r="J798" s="4" t="n"/>
      <c r="K798" s="4" t="n"/>
      <c r="L798" s="4" t="n"/>
      <c r="M798" s="4" t="n"/>
      <c r="N798" s="4" t="n"/>
      <c r="O798" s="4" t="n"/>
      <c r="P798" s="4" t="n"/>
      <c r="Q798" s="4" t="n"/>
      <c r="R798" s="4" t="n"/>
    </row>
    <row r="799" ht="15.75" customHeight="1" s="108">
      <c r="A799" s="4" t="n"/>
      <c r="B799" s="4" t="n"/>
      <c r="C799" s="4" t="n"/>
      <c r="D799" s="4" t="n"/>
      <c r="E799" s="4" t="n"/>
      <c r="F799" s="4" t="n"/>
      <c r="G799" s="4" t="n"/>
      <c r="H799" s="4" t="n"/>
      <c r="I799" s="4" t="n"/>
      <c r="J799" s="4" t="n"/>
      <c r="K799" s="4" t="n"/>
      <c r="L799" s="4" t="n"/>
      <c r="M799" s="4" t="n"/>
      <c r="N799" s="4" t="n"/>
      <c r="O799" s="4" t="n"/>
      <c r="P799" s="4" t="n"/>
      <c r="Q799" s="4" t="n"/>
      <c r="R799" s="4" t="n"/>
    </row>
    <row r="800" ht="15.75" customHeight="1" s="108">
      <c r="A800" s="4" t="n"/>
      <c r="B800" s="4" t="n"/>
      <c r="C800" s="4" t="n"/>
      <c r="D800" s="4" t="n"/>
      <c r="E800" s="4" t="n"/>
      <c r="F800" s="4" t="n"/>
      <c r="G800" s="4" t="n"/>
      <c r="H800" s="4" t="n"/>
      <c r="I800" s="4" t="n"/>
      <c r="J800" s="4" t="n"/>
      <c r="K800" s="4" t="n"/>
      <c r="L800" s="4" t="n"/>
      <c r="M800" s="4" t="n"/>
      <c r="N800" s="4" t="n"/>
      <c r="O800" s="4" t="n"/>
      <c r="P800" s="4" t="n"/>
      <c r="Q800" s="4" t="n"/>
      <c r="R800" s="4" t="n"/>
    </row>
    <row r="801" ht="15.75" customHeight="1" s="108">
      <c r="A801" s="4" t="n"/>
      <c r="B801" s="4" t="n"/>
      <c r="C801" s="4" t="n"/>
      <c r="D801" s="4" t="n"/>
      <c r="E801" s="4" t="n"/>
      <c r="F801" s="4" t="n"/>
      <c r="G801" s="4" t="n"/>
      <c r="H801" s="4" t="n"/>
      <c r="I801" s="4" t="n"/>
      <c r="J801" s="4" t="n"/>
      <c r="K801" s="4" t="n"/>
      <c r="L801" s="4" t="n"/>
      <c r="M801" s="4" t="n"/>
      <c r="N801" s="4" t="n"/>
      <c r="O801" s="4" t="n"/>
      <c r="P801" s="4" t="n"/>
      <c r="Q801" s="4" t="n"/>
      <c r="R801" s="4" t="n"/>
    </row>
    <row r="802" ht="15.75" customHeight="1" s="108">
      <c r="A802" s="4" t="n"/>
      <c r="B802" s="4" t="n"/>
      <c r="C802" s="4" t="n"/>
      <c r="D802" s="4" t="n"/>
      <c r="E802" s="4" t="n"/>
      <c r="F802" s="4" t="n"/>
      <c r="G802" s="4" t="n"/>
      <c r="H802" s="4" t="n"/>
      <c r="I802" s="4" t="n"/>
      <c r="J802" s="4" t="n"/>
      <c r="K802" s="4" t="n"/>
      <c r="L802" s="4" t="n"/>
      <c r="M802" s="4" t="n"/>
      <c r="N802" s="4" t="n"/>
      <c r="O802" s="4" t="n"/>
      <c r="P802" s="4" t="n"/>
      <c r="Q802" s="4" t="n"/>
      <c r="R802" s="4" t="n"/>
    </row>
    <row r="803" ht="15.75" customHeight="1" s="108">
      <c r="A803" s="4" t="n"/>
      <c r="B803" s="4" t="n"/>
      <c r="C803" s="4" t="n"/>
      <c r="D803" s="4" t="n"/>
      <c r="E803" s="4" t="n"/>
      <c r="F803" s="4" t="n"/>
      <c r="G803" s="4" t="n"/>
      <c r="H803" s="4" t="n"/>
      <c r="I803" s="4" t="n"/>
      <c r="J803" s="4" t="n"/>
      <c r="K803" s="4" t="n"/>
      <c r="L803" s="4" t="n"/>
      <c r="M803" s="4" t="n"/>
      <c r="N803" s="4" t="n"/>
      <c r="O803" s="4" t="n"/>
      <c r="P803" s="4" t="n"/>
      <c r="Q803" s="4" t="n"/>
      <c r="R803" s="4" t="n"/>
    </row>
    <row r="804" ht="15.75" customHeight="1" s="108">
      <c r="A804" s="4" t="n"/>
      <c r="B804" s="4" t="n"/>
      <c r="C804" s="4" t="n"/>
      <c r="D804" s="4" t="n"/>
      <c r="E804" s="4" t="n"/>
      <c r="F804" s="4" t="n"/>
      <c r="G804" s="4" t="n"/>
      <c r="H804" s="4" t="n"/>
      <c r="I804" s="4" t="n"/>
      <c r="J804" s="4" t="n"/>
      <c r="K804" s="4" t="n"/>
      <c r="L804" s="4" t="n"/>
      <c r="M804" s="4" t="n"/>
      <c r="N804" s="4" t="n"/>
      <c r="O804" s="4" t="n"/>
      <c r="P804" s="4" t="n"/>
      <c r="Q804" s="4" t="n"/>
      <c r="R804" s="4" t="n"/>
    </row>
    <row r="805" ht="15.75" customHeight="1" s="108">
      <c r="A805" s="4" t="n"/>
      <c r="B805" s="4" t="n"/>
      <c r="C805" s="4" t="n"/>
      <c r="D805" s="4" t="n"/>
      <c r="E805" s="4" t="n"/>
      <c r="F805" s="4" t="n"/>
      <c r="G805" s="4" t="n"/>
      <c r="H805" s="4" t="n"/>
      <c r="I805" s="4" t="n"/>
      <c r="J805" s="4" t="n"/>
      <c r="K805" s="4" t="n"/>
      <c r="L805" s="4" t="n"/>
      <c r="M805" s="4" t="n"/>
      <c r="N805" s="4" t="n"/>
      <c r="O805" s="4" t="n"/>
      <c r="P805" s="4" t="n"/>
      <c r="Q805" s="4" t="n"/>
      <c r="R805" s="4" t="n"/>
    </row>
    <row r="806" ht="15.75" customHeight="1" s="108">
      <c r="A806" s="4" t="n"/>
      <c r="B806" s="4" t="n"/>
      <c r="C806" s="4" t="n"/>
      <c r="D806" s="4" t="n"/>
      <c r="E806" s="4" t="n"/>
      <c r="F806" s="4" t="n"/>
      <c r="G806" s="4" t="n"/>
      <c r="H806" s="4" t="n"/>
      <c r="I806" s="4" t="n"/>
      <c r="J806" s="4" t="n"/>
      <c r="K806" s="4" t="n"/>
      <c r="L806" s="4" t="n"/>
      <c r="M806" s="4" t="n"/>
      <c r="N806" s="4" t="n"/>
      <c r="O806" s="4" t="n"/>
      <c r="P806" s="4" t="n"/>
      <c r="Q806" s="4" t="n"/>
      <c r="R806" s="4" t="n"/>
    </row>
    <row r="807" ht="15.75" customHeight="1" s="108">
      <c r="A807" s="4" t="n"/>
      <c r="B807" s="4" t="n"/>
      <c r="C807" s="4" t="n"/>
      <c r="D807" s="4" t="n"/>
      <c r="E807" s="4" t="n"/>
      <c r="F807" s="4" t="n"/>
      <c r="G807" s="4" t="n"/>
      <c r="H807" s="4" t="n"/>
      <c r="I807" s="4" t="n"/>
      <c r="J807" s="4" t="n"/>
      <c r="K807" s="4" t="n"/>
      <c r="L807" s="4" t="n"/>
      <c r="M807" s="4" t="n"/>
      <c r="N807" s="4" t="n"/>
      <c r="O807" s="4" t="n"/>
      <c r="P807" s="4" t="n"/>
      <c r="Q807" s="4" t="n"/>
      <c r="R807" s="4" t="n"/>
    </row>
    <row r="808" ht="15.75" customHeight="1" s="108">
      <c r="A808" s="4" t="n"/>
      <c r="B808" s="4" t="n"/>
      <c r="C808" s="4" t="n"/>
      <c r="D808" s="4" t="n"/>
      <c r="E808" s="4" t="n"/>
      <c r="F808" s="4" t="n"/>
      <c r="G808" s="4" t="n"/>
      <c r="H808" s="4" t="n"/>
      <c r="I808" s="4" t="n"/>
      <c r="J808" s="4" t="n"/>
      <c r="K808" s="4" t="n"/>
      <c r="L808" s="4" t="n"/>
      <c r="M808" s="4" t="n"/>
      <c r="N808" s="4" t="n"/>
      <c r="O808" s="4" t="n"/>
      <c r="P808" s="4" t="n"/>
      <c r="Q808" s="4" t="n"/>
      <c r="R808" s="4" t="n"/>
    </row>
    <row r="809" ht="15.75" customHeight="1" s="108">
      <c r="A809" s="4" t="n"/>
      <c r="B809" s="4" t="n"/>
      <c r="C809" s="4" t="n"/>
      <c r="D809" s="4" t="n"/>
      <c r="E809" s="4" t="n"/>
      <c r="F809" s="4" t="n"/>
      <c r="G809" s="4" t="n"/>
      <c r="H809" s="4" t="n"/>
      <c r="I809" s="4" t="n"/>
      <c r="J809" s="4" t="n"/>
      <c r="K809" s="4" t="n"/>
      <c r="L809" s="4" t="n"/>
      <c r="M809" s="4" t="n"/>
      <c r="N809" s="4" t="n"/>
      <c r="O809" s="4" t="n"/>
      <c r="P809" s="4" t="n"/>
      <c r="Q809" s="4" t="n"/>
      <c r="R809" s="4" t="n"/>
    </row>
    <row r="810" ht="15.75" customHeight="1" s="108">
      <c r="A810" s="4" t="n"/>
      <c r="B810" s="4" t="n"/>
      <c r="C810" s="4" t="n"/>
      <c r="D810" s="4" t="n"/>
      <c r="E810" s="4" t="n"/>
      <c r="F810" s="4" t="n"/>
      <c r="G810" s="4" t="n"/>
      <c r="H810" s="4" t="n"/>
      <c r="I810" s="4" t="n"/>
      <c r="J810" s="4" t="n"/>
      <c r="K810" s="4" t="n"/>
      <c r="L810" s="4" t="n"/>
      <c r="M810" s="4" t="n"/>
      <c r="N810" s="4" t="n"/>
      <c r="O810" s="4" t="n"/>
      <c r="P810" s="4" t="n"/>
      <c r="Q810" s="4" t="n"/>
      <c r="R810" s="4" t="n"/>
    </row>
    <row r="811" ht="15.75" customHeight="1" s="108">
      <c r="A811" s="4" t="n"/>
      <c r="B811" s="4" t="n"/>
      <c r="C811" s="4" t="n"/>
      <c r="D811" s="4" t="n"/>
      <c r="E811" s="4" t="n"/>
      <c r="F811" s="4" t="n"/>
      <c r="G811" s="4" t="n"/>
      <c r="H811" s="4" t="n"/>
      <c r="I811" s="4" t="n"/>
      <c r="J811" s="4" t="n"/>
      <c r="K811" s="4" t="n"/>
      <c r="L811" s="4" t="n"/>
      <c r="M811" s="4" t="n"/>
      <c r="N811" s="4" t="n"/>
      <c r="O811" s="4" t="n"/>
      <c r="P811" s="4" t="n"/>
      <c r="Q811" s="4" t="n"/>
      <c r="R811" s="4" t="n"/>
    </row>
    <row r="812" ht="15.75" customHeight="1" s="108">
      <c r="A812" s="4" t="n"/>
      <c r="B812" s="4" t="n"/>
      <c r="C812" s="4" t="n"/>
      <c r="D812" s="4" t="n"/>
      <c r="E812" s="4" t="n"/>
      <c r="F812" s="4" t="n"/>
      <c r="G812" s="4" t="n"/>
      <c r="H812" s="4" t="n"/>
      <c r="I812" s="4" t="n"/>
      <c r="J812" s="4" t="n"/>
      <c r="K812" s="4" t="n"/>
      <c r="L812" s="4" t="n"/>
      <c r="M812" s="4" t="n"/>
      <c r="N812" s="4" t="n"/>
      <c r="O812" s="4" t="n"/>
      <c r="P812" s="4" t="n"/>
      <c r="Q812" s="4" t="n"/>
      <c r="R812" s="4" t="n"/>
    </row>
    <row r="813" ht="15.75" customHeight="1" s="108">
      <c r="A813" s="4" t="n"/>
      <c r="B813" s="4" t="n"/>
      <c r="C813" s="4" t="n"/>
      <c r="D813" s="4" t="n"/>
      <c r="E813" s="4" t="n"/>
      <c r="F813" s="4" t="n"/>
      <c r="G813" s="4" t="n"/>
      <c r="H813" s="4" t="n"/>
      <c r="I813" s="4" t="n"/>
      <c r="J813" s="4" t="n"/>
      <c r="K813" s="4" t="n"/>
      <c r="L813" s="4" t="n"/>
      <c r="M813" s="4" t="n"/>
      <c r="N813" s="4" t="n"/>
      <c r="O813" s="4" t="n"/>
      <c r="P813" s="4" t="n"/>
      <c r="Q813" s="4" t="n"/>
      <c r="R813" s="4" t="n"/>
    </row>
    <row r="814" ht="15.75" customHeight="1" s="108">
      <c r="A814" s="4" t="n"/>
      <c r="B814" s="4" t="n"/>
      <c r="C814" s="4" t="n"/>
      <c r="D814" s="4" t="n"/>
      <c r="E814" s="4" t="n"/>
      <c r="F814" s="4" t="n"/>
      <c r="G814" s="4" t="n"/>
      <c r="H814" s="4" t="n"/>
      <c r="I814" s="4" t="n"/>
      <c r="J814" s="4" t="n"/>
      <c r="K814" s="4" t="n"/>
      <c r="L814" s="4" t="n"/>
      <c r="M814" s="4" t="n"/>
      <c r="N814" s="4" t="n"/>
      <c r="O814" s="4" t="n"/>
      <c r="P814" s="4" t="n"/>
      <c r="Q814" s="4" t="n"/>
      <c r="R814" s="4" t="n"/>
    </row>
    <row r="815" ht="15.75" customHeight="1" s="108">
      <c r="A815" s="4" t="n"/>
      <c r="B815" s="4" t="n"/>
      <c r="C815" s="4" t="n"/>
      <c r="D815" s="4" t="n"/>
      <c r="E815" s="4" t="n"/>
      <c r="F815" s="4" t="n"/>
      <c r="G815" s="4" t="n"/>
      <c r="H815" s="4" t="n"/>
      <c r="I815" s="4" t="n"/>
      <c r="J815" s="4" t="n"/>
      <c r="K815" s="4" t="n"/>
      <c r="L815" s="4" t="n"/>
      <c r="M815" s="4" t="n"/>
      <c r="N815" s="4" t="n"/>
      <c r="O815" s="4" t="n"/>
      <c r="P815" s="4" t="n"/>
      <c r="Q815" s="4" t="n"/>
      <c r="R815" s="4" t="n"/>
    </row>
    <row r="816" ht="15.75" customHeight="1" s="108">
      <c r="A816" s="4" t="n"/>
      <c r="B816" s="4" t="n"/>
      <c r="C816" s="4" t="n"/>
      <c r="D816" s="4" t="n"/>
      <c r="E816" s="4" t="n"/>
      <c r="F816" s="4" t="n"/>
      <c r="G816" s="4" t="n"/>
      <c r="H816" s="4" t="n"/>
      <c r="I816" s="4" t="n"/>
      <c r="J816" s="4" t="n"/>
      <c r="K816" s="4" t="n"/>
      <c r="L816" s="4" t="n"/>
      <c r="M816" s="4" t="n"/>
      <c r="N816" s="4" t="n"/>
      <c r="O816" s="4" t="n"/>
      <c r="P816" s="4" t="n"/>
      <c r="Q816" s="4" t="n"/>
      <c r="R816" s="4" t="n"/>
    </row>
    <row r="817" ht="15.75" customHeight="1" s="108">
      <c r="A817" s="4" t="n"/>
      <c r="B817" s="4" t="n"/>
      <c r="C817" s="4" t="n"/>
      <c r="D817" s="4" t="n"/>
      <c r="E817" s="4" t="n"/>
      <c r="F817" s="4" t="n"/>
      <c r="G817" s="4" t="n"/>
      <c r="H817" s="4" t="n"/>
      <c r="I817" s="4" t="n"/>
      <c r="J817" s="4" t="n"/>
      <c r="K817" s="4" t="n"/>
      <c r="L817" s="4" t="n"/>
      <c r="M817" s="4" t="n"/>
      <c r="N817" s="4" t="n"/>
      <c r="O817" s="4" t="n"/>
      <c r="P817" s="4" t="n"/>
      <c r="Q817" s="4" t="n"/>
      <c r="R817" s="4" t="n"/>
    </row>
    <row r="818" ht="15.75" customHeight="1" s="108">
      <c r="A818" s="4" t="n"/>
      <c r="B818" s="4" t="n"/>
      <c r="C818" s="4" t="n"/>
      <c r="D818" s="4" t="n"/>
      <c r="E818" s="4" t="n"/>
      <c r="F818" s="4" t="n"/>
      <c r="G818" s="4" t="n"/>
      <c r="H818" s="4" t="n"/>
      <c r="I818" s="4" t="n"/>
      <c r="J818" s="4" t="n"/>
      <c r="K818" s="4" t="n"/>
      <c r="L818" s="4" t="n"/>
      <c r="M818" s="4" t="n"/>
      <c r="N818" s="4" t="n"/>
      <c r="O818" s="4" t="n"/>
      <c r="P818" s="4" t="n"/>
      <c r="Q818" s="4" t="n"/>
      <c r="R818" s="4" t="n"/>
    </row>
    <row r="819" ht="15.75" customHeight="1" s="108">
      <c r="A819" s="4" t="n"/>
      <c r="B819" s="4" t="n"/>
      <c r="C819" s="4" t="n"/>
      <c r="D819" s="4" t="n"/>
      <c r="E819" s="4" t="n"/>
      <c r="F819" s="4" t="n"/>
      <c r="G819" s="4" t="n"/>
      <c r="H819" s="4" t="n"/>
      <c r="I819" s="4" t="n"/>
      <c r="J819" s="4" t="n"/>
      <c r="K819" s="4" t="n"/>
      <c r="L819" s="4" t="n"/>
      <c r="M819" s="4" t="n"/>
      <c r="N819" s="4" t="n"/>
      <c r="O819" s="4" t="n"/>
      <c r="P819" s="4" t="n"/>
      <c r="Q819" s="4" t="n"/>
      <c r="R819" s="4" t="n"/>
    </row>
    <row r="820" ht="15.75" customHeight="1" s="108">
      <c r="A820" s="4" t="n"/>
      <c r="B820" s="4" t="n"/>
      <c r="C820" s="4" t="n"/>
      <c r="D820" s="4" t="n"/>
      <c r="E820" s="4" t="n"/>
      <c r="F820" s="4" t="n"/>
      <c r="G820" s="4" t="n"/>
      <c r="H820" s="4" t="n"/>
      <c r="I820" s="4" t="n"/>
      <c r="J820" s="4" t="n"/>
      <c r="K820" s="4" t="n"/>
      <c r="L820" s="4" t="n"/>
      <c r="M820" s="4" t="n"/>
      <c r="N820" s="4" t="n"/>
      <c r="O820" s="4" t="n"/>
      <c r="P820" s="4" t="n"/>
      <c r="Q820" s="4" t="n"/>
      <c r="R820" s="4" t="n"/>
    </row>
    <row r="821" ht="15.75" customHeight="1" s="108">
      <c r="A821" s="4" t="n"/>
      <c r="B821" s="4" t="n"/>
      <c r="C821" s="4" t="n"/>
      <c r="D821" s="4" t="n"/>
      <c r="E821" s="4" t="n"/>
      <c r="F821" s="4" t="n"/>
      <c r="G821" s="4" t="n"/>
      <c r="H821" s="4" t="n"/>
      <c r="I821" s="4" t="n"/>
      <c r="J821" s="4" t="n"/>
      <c r="K821" s="4" t="n"/>
      <c r="L821" s="4" t="n"/>
      <c r="M821" s="4" t="n"/>
      <c r="N821" s="4" t="n"/>
      <c r="O821" s="4" t="n"/>
      <c r="P821" s="4" t="n"/>
      <c r="Q821" s="4" t="n"/>
      <c r="R821" s="4" t="n"/>
    </row>
    <row r="822" ht="15.75" customHeight="1" s="108">
      <c r="A822" s="4" t="n"/>
      <c r="B822" s="4" t="n"/>
      <c r="C822" s="4" t="n"/>
      <c r="D822" s="4" t="n"/>
      <c r="E822" s="4" t="n"/>
      <c r="F822" s="4" t="n"/>
      <c r="G822" s="4" t="n"/>
      <c r="H822" s="4" t="n"/>
      <c r="I822" s="4" t="n"/>
      <c r="J822" s="4" t="n"/>
      <c r="K822" s="4" t="n"/>
      <c r="L822" s="4" t="n"/>
      <c r="M822" s="4" t="n"/>
      <c r="N822" s="4" t="n"/>
      <c r="O822" s="4" t="n"/>
      <c r="P822" s="4" t="n"/>
      <c r="Q822" s="4" t="n"/>
      <c r="R822" s="4" t="n"/>
    </row>
    <row r="823" ht="15.75" customHeight="1" s="108">
      <c r="A823" s="4" t="n"/>
      <c r="B823" s="4" t="n"/>
      <c r="C823" s="4" t="n"/>
      <c r="D823" s="4" t="n"/>
      <c r="E823" s="4" t="n"/>
      <c r="F823" s="4" t="n"/>
      <c r="G823" s="4" t="n"/>
      <c r="H823" s="4" t="n"/>
      <c r="I823" s="4" t="n"/>
      <c r="J823" s="4" t="n"/>
      <c r="K823" s="4" t="n"/>
      <c r="L823" s="4" t="n"/>
      <c r="M823" s="4" t="n"/>
      <c r="N823" s="4" t="n"/>
      <c r="O823" s="4" t="n"/>
      <c r="P823" s="4" t="n"/>
      <c r="Q823" s="4" t="n"/>
      <c r="R823" s="4" t="n"/>
    </row>
    <row r="824" ht="15.75" customHeight="1" s="108">
      <c r="A824" s="4" t="n"/>
      <c r="B824" s="4" t="n"/>
      <c r="C824" s="4" t="n"/>
      <c r="D824" s="4" t="n"/>
      <c r="E824" s="4" t="n"/>
      <c r="F824" s="4" t="n"/>
      <c r="G824" s="4" t="n"/>
      <c r="H824" s="4" t="n"/>
      <c r="I824" s="4" t="n"/>
      <c r="J824" s="4" t="n"/>
      <c r="K824" s="4" t="n"/>
      <c r="L824" s="4" t="n"/>
      <c r="M824" s="4" t="n"/>
      <c r="N824" s="4" t="n"/>
      <c r="O824" s="4" t="n"/>
      <c r="P824" s="4" t="n"/>
      <c r="Q824" s="4" t="n"/>
      <c r="R824" s="4" t="n"/>
    </row>
    <row r="825" ht="15.75" customHeight="1" s="108">
      <c r="A825" s="4" t="n"/>
      <c r="B825" s="4" t="n"/>
      <c r="C825" s="4" t="n"/>
      <c r="D825" s="4" t="n"/>
      <c r="E825" s="4" t="n"/>
      <c r="F825" s="4" t="n"/>
      <c r="G825" s="4" t="n"/>
      <c r="H825" s="4" t="n"/>
      <c r="I825" s="4" t="n"/>
      <c r="J825" s="4" t="n"/>
      <c r="K825" s="4" t="n"/>
      <c r="L825" s="4" t="n"/>
      <c r="M825" s="4" t="n"/>
      <c r="N825" s="4" t="n"/>
      <c r="O825" s="4" t="n"/>
      <c r="P825" s="4" t="n"/>
      <c r="Q825" s="4" t="n"/>
      <c r="R825" s="4" t="n"/>
    </row>
    <row r="826" ht="15.75" customHeight="1" s="108">
      <c r="A826" s="4" t="n"/>
      <c r="B826" s="4" t="n"/>
      <c r="C826" s="4" t="n"/>
      <c r="D826" s="4" t="n"/>
      <c r="E826" s="4" t="n"/>
      <c r="F826" s="4" t="n"/>
      <c r="G826" s="4" t="n"/>
      <c r="H826" s="4" t="n"/>
      <c r="I826" s="4" t="n"/>
      <c r="J826" s="4" t="n"/>
      <c r="K826" s="4" t="n"/>
      <c r="L826" s="4" t="n"/>
      <c r="M826" s="4" t="n"/>
      <c r="N826" s="4" t="n"/>
      <c r="O826" s="4" t="n"/>
      <c r="P826" s="4" t="n"/>
      <c r="Q826" s="4" t="n"/>
      <c r="R826" s="4" t="n"/>
    </row>
    <row r="827" ht="15.75" customHeight="1" s="108">
      <c r="A827" s="4" t="n"/>
      <c r="B827" s="4" t="n"/>
      <c r="C827" s="4" t="n"/>
      <c r="D827" s="4" t="n"/>
      <c r="E827" s="4" t="n"/>
      <c r="F827" s="4" t="n"/>
      <c r="G827" s="4" t="n"/>
      <c r="H827" s="4" t="n"/>
      <c r="I827" s="4" t="n"/>
      <c r="J827" s="4" t="n"/>
      <c r="K827" s="4" t="n"/>
      <c r="L827" s="4" t="n"/>
      <c r="M827" s="4" t="n"/>
      <c r="N827" s="4" t="n"/>
      <c r="O827" s="4" t="n"/>
      <c r="P827" s="4" t="n"/>
      <c r="Q827" s="4" t="n"/>
      <c r="R827" s="4" t="n"/>
    </row>
    <row r="828" ht="15.75" customHeight="1" s="108">
      <c r="A828" s="4" t="n"/>
      <c r="B828" s="4" t="n"/>
      <c r="C828" s="4" t="n"/>
      <c r="D828" s="4" t="n"/>
      <c r="E828" s="4" t="n"/>
      <c r="F828" s="4" t="n"/>
      <c r="G828" s="4" t="n"/>
      <c r="H828" s="4" t="n"/>
      <c r="I828" s="4" t="n"/>
      <c r="J828" s="4" t="n"/>
      <c r="K828" s="4" t="n"/>
      <c r="L828" s="4" t="n"/>
      <c r="M828" s="4" t="n"/>
      <c r="N828" s="4" t="n"/>
      <c r="O828" s="4" t="n"/>
      <c r="P828" s="4" t="n"/>
      <c r="Q828" s="4" t="n"/>
      <c r="R828" s="4" t="n"/>
    </row>
    <row r="829" ht="15.75" customHeight="1" s="108">
      <c r="A829" s="4" t="n"/>
      <c r="B829" s="4" t="n"/>
      <c r="C829" s="4" t="n"/>
      <c r="D829" s="4" t="n"/>
      <c r="E829" s="4" t="n"/>
      <c r="F829" s="4" t="n"/>
      <c r="G829" s="4" t="n"/>
      <c r="H829" s="4" t="n"/>
      <c r="I829" s="4" t="n"/>
      <c r="J829" s="4" t="n"/>
      <c r="K829" s="4" t="n"/>
      <c r="L829" s="4" t="n"/>
      <c r="M829" s="4" t="n"/>
      <c r="N829" s="4" t="n"/>
      <c r="O829" s="4" t="n"/>
      <c r="P829" s="4" t="n"/>
      <c r="Q829" s="4" t="n"/>
      <c r="R829" s="4" t="n"/>
    </row>
    <row r="830" ht="15.75" customHeight="1" s="108">
      <c r="A830" s="4" t="n"/>
      <c r="B830" s="4" t="n"/>
      <c r="C830" s="4" t="n"/>
      <c r="D830" s="4" t="n"/>
      <c r="E830" s="4" t="n"/>
      <c r="F830" s="4" t="n"/>
      <c r="G830" s="4" t="n"/>
      <c r="H830" s="4" t="n"/>
      <c r="I830" s="4" t="n"/>
      <c r="J830" s="4" t="n"/>
      <c r="K830" s="4" t="n"/>
      <c r="L830" s="4" t="n"/>
      <c r="M830" s="4" t="n"/>
      <c r="N830" s="4" t="n"/>
      <c r="O830" s="4" t="n"/>
      <c r="P830" s="4" t="n"/>
      <c r="Q830" s="4" t="n"/>
      <c r="R830" s="4" t="n"/>
    </row>
    <row r="831" ht="15.75" customHeight="1" s="108">
      <c r="A831" s="4" t="n"/>
      <c r="B831" s="4" t="n"/>
      <c r="C831" s="4" t="n"/>
      <c r="D831" s="4" t="n"/>
      <c r="E831" s="4" t="n"/>
      <c r="F831" s="4" t="n"/>
      <c r="G831" s="4" t="n"/>
      <c r="H831" s="4" t="n"/>
      <c r="I831" s="4" t="n"/>
      <c r="J831" s="4" t="n"/>
      <c r="K831" s="4" t="n"/>
      <c r="L831" s="4" t="n"/>
      <c r="M831" s="4" t="n"/>
      <c r="N831" s="4" t="n"/>
      <c r="O831" s="4" t="n"/>
      <c r="P831" s="4" t="n"/>
      <c r="Q831" s="4" t="n"/>
      <c r="R831" s="4" t="n"/>
    </row>
    <row r="832" ht="15.75" customHeight="1" s="108">
      <c r="A832" s="4" t="n"/>
      <c r="B832" s="4" t="n"/>
      <c r="C832" s="4" t="n"/>
      <c r="D832" s="4" t="n"/>
      <c r="E832" s="4" t="n"/>
      <c r="F832" s="4" t="n"/>
      <c r="G832" s="4" t="n"/>
      <c r="H832" s="4" t="n"/>
      <c r="I832" s="4" t="n"/>
      <c r="J832" s="4" t="n"/>
      <c r="K832" s="4" t="n"/>
      <c r="L832" s="4" t="n"/>
      <c r="M832" s="4" t="n"/>
      <c r="N832" s="4" t="n"/>
      <c r="O832" s="4" t="n"/>
      <c r="P832" s="4" t="n"/>
      <c r="Q832" s="4" t="n"/>
      <c r="R832" s="4" t="n"/>
    </row>
    <row r="833" ht="15.75" customHeight="1" s="108">
      <c r="A833" s="4" t="n"/>
      <c r="B833" s="4" t="n"/>
      <c r="C833" s="4" t="n"/>
      <c r="D833" s="4" t="n"/>
      <c r="E833" s="4" t="n"/>
      <c r="F833" s="4" t="n"/>
      <c r="G833" s="4" t="n"/>
      <c r="H833" s="4" t="n"/>
      <c r="I833" s="4" t="n"/>
      <c r="J833" s="4" t="n"/>
      <c r="K833" s="4" t="n"/>
      <c r="L833" s="4" t="n"/>
      <c r="M833" s="4" t="n"/>
      <c r="N833" s="4" t="n"/>
      <c r="O833" s="4" t="n"/>
      <c r="P833" s="4" t="n"/>
      <c r="Q833" s="4" t="n"/>
      <c r="R833" s="4" t="n"/>
    </row>
    <row r="834" ht="15.75" customHeight="1" s="108">
      <c r="A834" s="4" t="n"/>
      <c r="B834" s="4" t="n"/>
      <c r="C834" s="4" t="n"/>
      <c r="D834" s="4" t="n"/>
      <c r="E834" s="4" t="n"/>
      <c r="F834" s="4" t="n"/>
      <c r="G834" s="4" t="n"/>
      <c r="H834" s="4" t="n"/>
      <c r="I834" s="4" t="n"/>
      <c r="J834" s="4" t="n"/>
      <c r="K834" s="4" t="n"/>
      <c r="L834" s="4" t="n"/>
      <c r="M834" s="4" t="n"/>
      <c r="N834" s="4" t="n"/>
      <c r="O834" s="4" t="n"/>
      <c r="P834" s="4" t="n"/>
      <c r="Q834" s="4" t="n"/>
      <c r="R834" s="4" t="n"/>
    </row>
    <row r="835" ht="15.75" customHeight="1" s="108">
      <c r="A835" s="4" t="n"/>
      <c r="B835" s="4" t="n"/>
      <c r="C835" s="4" t="n"/>
      <c r="D835" s="4" t="n"/>
      <c r="E835" s="4" t="n"/>
      <c r="F835" s="4" t="n"/>
      <c r="G835" s="4" t="n"/>
      <c r="H835" s="4" t="n"/>
      <c r="I835" s="4" t="n"/>
      <c r="J835" s="4" t="n"/>
      <c r="K835" s="4" t="n"/>
      <c r="L835" s="4" t="n"/>
      <c r="M835" s="4" t="n"/>
      <c r="N835" s="4" t="n"/>
      <c r="O835" s="4" t="n"/>
      <c r="P835" s="4" t="n"/>
      <c r="Q835" s="4" t="n"/>
      <c r="R835" s="4" t="n"/>
    </row>
    <row r="836" ht="15.75" customHeight="1" s="108">
      <c r="A836" s="4" t="n"/>
      <c r="B836" s="4" t="n"/>
      <c r="C836" s="4" t="n"/>
      <c r="D836" s="4" t="n"/>
      <c r="E836" s="4" t="n"/>
      <c r="F836" s="4" t="n"/>
      <c r="G836" s="4" t="n"/>
      <c r="H836" s="4" t="n"/>
      <c r="I836" s="4" t="n"/>
      <c r="J836" s="4" t="n"/>
      <c r="K836" s="4" t="n"/>
      <c r="L836" s="4" t="n"/>
      <c r="M836" s="4" t="n"/>
      <c r="N836" s="4" t="n"/>
      <c r="O836" s="4" t="n"/>
      <c r="P836" s="4" t="n"/>
      <c r="Q836" s="4" t="n"/>
      <c r="R836" s="4" t="n"/>
    </row>
    <row r="837" ht="15.75" customHeight="1" s="108">
      <c r="A837" s="4" t="n"/>
      <c r="B837" s="4" t="n"/>
      <c r="C837" s="4" t="n"/>
      <c r="D837" s="4" t="n"/>
      <c r="E837" s="4" t="n"/>
      <c r="F837" s="4" t="n"/>
      <c r="G837" s="4" t="n"/>
      <c r="H837" s="4" t="n"/>
      <c r="I837" s="4" t="n"/>
      <c r="J837" s="4" t="n"/>
      <c r="K837" s="4" t="n"/>
      <c r="L837" s="4" t="n"/>
      <c r="M837" s="4" t="n"/>
      <c r="N837" s="4" t="n"/>
      <c r="O837" s="4" t="n"/>
      <c r="P837" s="4" t="n"/>
      <c r="Q837" s="4" t="n"/>
      <c r="R837" s="4" t="n"/>
    </row>
    <row r="838" ht="15.75" customHeight="1" s="108">
      <c r="A838" s="4" t="n"/>
      <c r="B838" s="4" t="n"/>
      <c r="C838" s="4" t="n"/>
      <c r="D838" s="4" t="n"/>
      <c r="E838" s="4" t="n"/>
      <c r="F838" s="4" t="n"/>
      <c r="G838" s="4" t="n"/>
      <c r="H838" s="4" t="n"/>
      <c r="I838" s="4" t="n"/>
      <c r="J838" s="4" t="n"/>
      <c r="K838" s="4" t="n"/>
      <c r="L838" s="4" t="n"/>
      <c r="M838" s="4" t="n"/>
      <c r="N838" s="4" t="n"/>
      <c r="O838" s="4" t="n"/>
      <c r="P838" s="4" t="n"/>
      <c r="Q838" s="4" t="n"/>
      <c r="R838" s="4" t="n"/>
    </row>
    <row r="839" ht="15.75" customHeight="1" s="108">
      <c r="A839" s="4" t="n"/>
      <c r="B839" s="4" t="n"/>
      <c r="C839" s="4" t="n"/>
      <c r="D839" s="4" t="n"/>
      <c r="E839" s="4" t="n"/>
      <c r="F839" s="4" t="n"/>
      <c r="G839" s="4" t="n"/>
      <c r="H839" s="4" t="n"/>
      <c r="I839" s="4" t="n"/>
      <c r="J839" s="4" t="n"/>
      <c r="K839" s="4" t="n"/>
      <c r="L839" s="4" t="n"/>
      <c r="M839" s="4" t="n"/>
      <c r="N839" s="4" t="n"/>
      <c r="O839" s="4" t="n"/>
      <c r="P839" s="4" t="n"/>
      <c r="Q839" s="4" t="n"/>
      <c r="R839" s="4" t="n"/>
    </row>
    <row r="840" ht="15.75" customHeight="1" s="108">
      <c r="A840" s="4" t="n"/>
      <c r="B840" s="4" t="n"/>
      <c r="C840" s="4" t="n"/>
      <c r="D840" s="4" t="n"/>
      <c r="E840" s="4" t="n"/>
      <c r="F840" s="4" t="n"/>
      <c r="G840" s="4" t="n"/>
      <c r="H840" s="4" t="n"/>
      <c r="I840" s="4" t="n"/>
      <c r="J840" s="4" t="n"/>
      <c r="K840" s="4" t="n"/>
      <c r="L840" s="4" t="n"/>
      <c r="M840" s="4" t="n"/>
      <c r="N840" s="4" t="n"/>
      <c r="O840" s="4" t="n"/>
      <c r="P840" s="4" t="n"/>
      <c r="Q840" s="4" t="n"/>
      <c r="R840" s="4" t="n"/>
    </row>
    <row r="841" ht="15.75" customHeight="1" s="108">
      <c r="A841" s="4" t="n"/>
      <c r="B841" s="4" t="n"/>
      <c r="C841" s="4" t="n"/>
      <c r="D841" s="4" t="n"/>
      <c r="E841" s="4" t="n"/>
      <c r="F841" s="4" t="n"/>
      <c r="G841" s="4" t="n"/>
      <c r="H841" s="4" t="n"/>
      <c r="I841" s="4" t="n"/>
      <c r="J841" s="4" t="n"/>
      <c r="K841" s="4" t="n"/>
      <c r="L841" s="4" t="n"/>
      <c r="M841" s="4" t="n"/>
      <c r="N841" s="4" t="n"/>
      <c r="O841" s="4" t="n"/>
      <c r="P841" s="4" t="n"/>
      <c r="Q841" s="4" t="n"/>
      <c r="R841" s="4" t="n"/>
    </row>
    <row r="842" ht="15.75" customHeight="1" s="108">
      <c r="A842" s="4" t="n"/>
      <c r="B842" s="4" t="n"/>
      <c r="C842" s="4" t="n"/>
      <c r="D842" s="4" t="n"/>
      <c r="E842" s="4" t="n"/>
      <c r="F842" s="4" t="n"/>
      <c r="G842" s="4" t="n"/>
      <c r="H842" s="4" t="n"/>
      <c r="I842" s="4" t="n"/>
      <c r="J842" s="4" t="n"/>
      <c r="K842" s="4" t="n"/>
      <c r="L842" s="4" t="n"/>
      <c r="M842" s="4" t="n"/>
      <c r="N842" s="4" t="n"/>
      <c r="O842" s="4" t="n"/>
      <c r="P842" s="4" t="n"/>
      <c r="Q842" s="4" t="n"/>
      <c r="R842" s="4" t="n"/>
    </row>
    <row r="843" ht="15.75" customHeight="1" s="108">
      <c r="A843" s="4" t="n"/>
      <c r="B843" s="4" t="n"/>
      <c r="C843" s="4" t="n"/>
      <c r="D843" s="4" t="n"/>
      <c r="E843" s="4" t="n"/>
      <c r="F843" s="4" t="n"/>
      <c r="G843" s="4" t="n"/>
      <c r="H843" s="4" t="n"/>
      <c r="I843" s="4" t="n"/>
      <c r="J843" s="4" t="n"/>
      <c r="K843" s="4" t="n"/>
      <c r="L843" s="4" t="n"/>
      <c r="M843" s="4" t="n"/>
      <c r="N843" s="4" t="n"/>
      <c r="O843" s="4" t="n"/>
      <c r="P843" s="4" t="n"/>
      <c r="Q843" s="4" t="n"/>
      <c r="R843" s="4" t="n"/>
    </row>
    <row r="844" ht="15.75" customHeight="1" s="108">
      <c r="A844" s="4" t="n"/>
      <c r="B844" s="4" t="n"/>
      <c r="C844" s="4" t="n"/>
      <c r="D844" s="4" t="n"/>
      <c r="E844" s="4" t="n"/>
      <c r="F844" s="4" t="n"/>
      <c r="G844" s="4" t="n"/>
      <c r="H844" s="4" t="n"/>
      <c r="I844" s="4" t="n"/>
      <c r="J844" s="4" t="n"/>
      <c r="K844" s="4" t="n"/>
      <c r="L844" s="4" t="n"/>
      <c r="M844" s="4" t="n"/>
      <c r="N844" s="4" t="n"/>
      <c r="O844" s="4" t="n"/>
      <c r="P844" s="4" t="n"/>
      <c r="Q844" s="4" t="n"/>
      <c r="R844" s="4" t="n"/>
    </row>
    <row r="845" ht="15.75" customHeight="1" s="108">
      <c r="A845" s="4" t="n"/>
      <c r="B845" s="4" t="n"/>
      <c r="C845" s="4" t="n"/>
      <c r="D845" s="4" t="n"/>
      <c r="E845" s="4" t="n"/>
      <c r="F845" s="4" t="n"/>
      <c r="G845" s="4" t="n"/>
      <c r="H845" s="4" t="n"/>
      <c r="I845" s="4" t="n"/>
      <c r="J845" s="4" t="n"/>
      <c r="K845" s="4" t="n"/>
      <c r="L845" s="4" t="n"/>
      <c r="M845" s="4" t="n"/>
      <c r="N845" s="4" t="n"/>
      <c r="O845" s="4" t="n"/>
      <c r="P845" s="4" t="n"/>
      <c r="Q845" s="4" t="n"/>
      <c r="R845" s="4" t="n"/>
    </row>
    <row r="846" ht="15.75" customHeight="1" s="108">
      <c r="A846" s="4" t="n"/>
      <c r="B846" s="4" t="n"/>
      <c r="C846" s="4" t="n"/>
      <c r="D846" s="4" t="n"/>
      <c r="E846" s="4" t="n"/>
      <c r="F846" s="4" t="n"/>
      <c r="G846" s="4" t="n"/>
      <c r="H846" s="4" t="n"/>
      <c r="I846" s="4" t="n"/>
      <c r="J846" s="4" t="n"/>
      <c r="K846" s="4" t="n"/>
      <c r="L846" s="4" t="n"/>
      <c r="M846" s="4" t="n"/>
      <c r="N846" s="4" t="n"/>
      <c r="O846" s="4" t="n"/>
      <c r="P846" s="4" t="n"/>
      <c r="Q846" s="4" t="n"/>
      <c r="R846" s="4" t="n"/>
    </row>
    <row r="847" ht="15.75" customHeight="1" s="108">
      <c r="A847" s="4" t="n"/>
      <c r="B847" s="4" t="n"/>
      <c r="C847" s="4" t="n"/>
      <c r="D847" s="4" t="n"/>
      <c r="E847" s="4" t="n"/>
      <c r="F847" s="4" t="n"/>
      <c r="G847" s="4" t="n"/>
      <c r="H847" s="4" t="n"/>
      <c r="I847" s="4" t="n"/>
      <c r="J847" s="4" t="n"/>
      <c r="K847" s="4" t="n"/>
      <c r="L847" s="4" t="n"/>
      <c r="M847" s="4" t="n"/>
      <c r="N847" s="4" t="n"/>
      <c r="O847" s="4" t="n"/>
      <c r="P847" s="4" t="n"/>
      <c r="Q847" s="4" t="n"/>
      <c r="R847" s="4" t="n"/>
    </row>
    <row r="848" ht="15.75" customHeight="1" s="108">
      <c r="A848" s="4" t="n"/>
      <c r="B848" s="4" t="n"/>
      <c r="C848" s="4" t="n"/>
      <c r="D848" s="4" t="n"/>
      <c r="E848" s="4" t="n"/>
      <c r="F848" s="4" t="n"/>
      <c r="G848" s="4" t="n"/>
      <c r="H848" s="4" t="n"/>
      <c r="I848" s="4" t="n"/>
      <c r="J848" s="4" t="n"/>
      <c r="K848" s="4" t="n"/>
      <c r="L848" s="4" t="n"/>
      <c r="M848" s="4" t="n"/>
      <c r="N848" s="4" t="n"/>
      <c r="O848" s="4" t="n"/>
      <c r="P848" s="4" t="n"/>
      <c r="Q848" s="4" t="n"/>
      <c r="R848" s="4" t="n"/>
    </row>
    <row r="849" ht="15.75" customHeight="1" s="108">
      <c r="A849" s="4" t="n"/>
      <c r="B849" s="4" t="n"/>
      <c r="C849" s="4" t="n"/>
      <c r="D849" s="4" t="n"/>
      <c r="E849" s="4" t="n"/>
      <c r="F849" s="4" t="n"/>
      <c r="G849" s="4" t="n"/>
      <c r="H849" s="4" t="n"/>
      <c r="I849" s="4" t="n"/>
      <c r="J849" s="4" t="n"/>
      <c r="K849" s="4" t="n"/>
      <c r="L849" s="4" t="n"/>
      <c r="M849" s="4" t="n"/>
      <c r="N849" s="4" t="n"/>
      <c r="O849" s="4" t="n"/>
      <c r="P849" s="4" t="n"/>
      <c r="Q849" s="4" t="n"/>
      <c r="R849" s="4" t="n"/>
    </row>
    <row r="850" ht="15.75" customHeight="1" s="108">
      <c r="A850" s="4" t="n"/>
      <c r="B850" s="4" t="n"/>
      <c r="C850" s="4" t="n"/>
      <c r="D850" s="4" t="n"/>
      <c r="E850" s="4" t="n"/>
      <c r="F850" s="4" t="n"/>
      <c r="G850" s="4" t="n"/>
      <c r="H850" s="4" t="n"/>
      <c r="I850" s="4" t="n"/>
      <c r="J850" s="4" t="n"/>
      <c r="K850" s="4" t="n"/>
      <c r="L850" s="4" t="n"/>
      <c r="M850" s="4" t="n"/>
      <c r="N850" s="4" t="n"/>
      <c r="O850" s="4" t="n"/>
      <c r="P850" s="4" t="n"/>
      <c r="Q850" s="4" t="n"/>
      <c r="R850" s="4" t="n"/>
    </row>
    <row r="851" ht="15.75" customHeight="1" s="108">
      <c r="A851" s="4" t="n"/>
      <c r="B851" s="4" t="n"/>
      <c r="C851" s="4" t="n"/>
      <c r="D851" s="4" t="n"/>
      <c r="E851" s="4" t="n"/>
      <c r="F851" s="4" t="n"/>
      <c r="G851" s="4" t="n"/>
      <c r="H851" s="4" t="n"/>
      <c r="I851" s="4" t="n"/>
      <c r="J851" s="4" t="n"/>
      <c r="K851" s="4" t="n"/>
      <c r="L851" s="4" t="n"/>
      <c r="M851" s="4" t="n"/>
      <c r="N851" s="4" t="n"/>
      <c r="O851" s="4" t="n"/>
      <c r="P851" s="4" t="n"/>
      <c r="Q851" s="4" t="n"/>
      <c r="R851" s="4" t="n"/>
    </row>
    <row r="852" ht="15.75" customHeight="1" s="108">
      <c r="A852" s="4" t="n"/>
      <c r="B852" s="4" t="n"/>
      <c r="C852" s="4" t="n"/>
      <c r="D852" s="4" t="n"/>
      <c r="E852" s="4" t="n"/>
      <c r="F852" s="4" t="n"/>
      <c r="G852" s="4" t="n"/>
      <c r="H852" s="4" t="n"/>
      <c r="I852" s="4" t="n"/>
      <c r="J852" s="4" t="n"/>
      <c r="K852" s="4" t="n"/>
      <c r="L852" s="4" t="n"/>
      <c r="M852" s="4" t="n"/>
      <c r="N852" s="4" t="n"/>
      <c r="O852" s="4" t="n"/>
      <c r="P852" s="4" t="n"/>
      <c r="Q852" s="4" t="n"/>
      <c r="R852" s="4" t="n"/>
    </row>
    <row r="853" ht="15.75" customHeight="1" s="108">
      <c r="A853" s="4" t="n"/>
      <c r="B853" s="4" t="n"/>
      <c r="C853" s="4" t="n"/>
      <c r="D853" s="4" t="n"/>
      <c r="E853" s="4" t="n"/>
      <c r="F853" s="4" t="n"/>
      <c r="G853" s="4" t="n"/>
      <c r="H853" s="4" t="n"/>
      <c r="I853" s="4" t="n"/>
      <c r="J853" s="4" t="n"/>
      <c r="K853" s="4" t="n"/>
      <c r="L853" s="4" t="n"/>
      <c r="M853" s="4" t="n"/>
      <c r="N853" s="4" t="n"/>
      <c r="O853" s="4" t="n"/>
      <c r="P853" s="4" t="n"/>
      <c r="Q853" s="4" t="n"/>
      <c r="R853" s="4" t="n"/>
    </row>
    <row r="854" ht="15.75" customHeight="1" s="108">
      <c r="A854" s="4" t="n"/>
      <c r="B854" s="4" t="n"/>
      <c r="C854" s="4" t="n"/>
      <c r="D854" s="4" t="n"/>
      <c r="E854" s="4" t="n"/>
      <c r="F854" s="4" t="n"/>
      <c r="G854" s="4" t="n"/>
      <c r="H854" s="4" t="n"/>
      <c r="I854" s="4" t="n"/>
      <c r="J854" s="4" t="n"/>
      <c r="K854" s="4" t="n"/>
      <c r="L854" s="4" t="n"/>
      <c r="M854" s="4" t="n"/>
      <c r="N854" s="4" t="n"/>
      <c r="O854" s="4" t="n"/>
      <c r="P854" s="4" t="n"/>
      <c r="Q854" s="4" t="n"/>
      <c r="R854" s="4" t="n"/>
    </row>
    <row r="855" ht="15.75" customHeight="1" s="108">
      <c r="A855" s="4" t="n"/>
      <c r="B855" s="4" t="n"/>
      <c r="C855" s="4" t="n"/>
      <c r="D855" s="4" t="n"/>
      <c r="E855" s="4" t="n"/>
      <c r="F855" s="4" t="n"/>
      <c r="G855" s="4" t="n"/>
      <c r="H855" s="4" t="n"/>
      <c r="I855" s="4" t="n"/>
      <c r="J855" s="4" t="n"/>
      <c r="K855" s="4" t="n"/>
      <c r="L855" s="4" t="n"/>
      <c r="M855" s="4" t="n"/>
      <c r="N855" s="4" t="n"/>
      <c r="O855" s="4" t="n"/>
      <c r="P855" s="4" t="n"/>
      <c r="Q855" s="4" t="n"/>
      <c r="R855" s="4" t="n"/>
    </row>
    <row r="856" ht="15.75" customHeight="1" s="108">
      <c r="A856" s="4" t="n"/>
      <c r="B856" s="4" t="n"/>
      <c r="C856" s="4" t="n"/>
      <c r="D856" s="4" t="n"/>
      <c r="E856" s="4" t="n"/>
      <c r="F856" s="4" t="n"/>
      <c r="G856" s="4" t="n"/>
      <c r="H856" s="4" t="n"/>
      <c r="I856" s="4" t="n"/>
      <c r="J856" s="4" t="n"/>
      <c r="K856" s="4" t="n"/>
      <c r="L856" s="4" t="n"/>
      <c r="M856" s="4" t="n"/>
      <c r="N856" s="4" t="n"/>
      <c r="O856" s="4" t="n"/>
      <c r="P856" s="4" t="n"/>
      <c r="Q856" s="4" t="n"/>
      <c r="R856" s="4" t="n"/>
    </row>
    <row r="857" ht="15.75" customHeight="1" s="108">
      <c r="A857" s="4" t="n"/>
      <c r="B857" s="4" t="n"/>
      <c r="C857" s="4" t="n"/>
      <c r="D857" s="4" t="n"/>
      <c r="E857" s="4" t="n"/>
      <c r="F857" s="4" t="n"/>
      <c r="G857" s="4" t="n"/>
      <c r="H857" s="4" t="n"/>
      <c r="I857" s="4" t="n"/>
      <c r="J857" s="4" t="n"/>
      <c r="K857" s="4" t="n"/>
      <c r="L857" s="4" t="n"/>
      <c r="M857" s="4" t="n"/>
      <c r="N857" s="4" t="n"/>
      <c r="O857" s="4" t="n"/>
      <c r="P857" s="4" t="n"/>
      <c r="Q857" s="4" t="n"/>
      <c r="R857" s="4" t="n"/>
    </row>
    <row r="858" ht="15.75" customHeight="1" s="108">
      <c r="A858" s="4" t="n"/>
      <c r="B858" s="4" t="n"/>
      <c r="C858" s="4" t="n"/>
      <c r="D858" s="4" t="n"/>
      <c r="E858" s="4" t="n"/>
      <c r="F858" s="4" t="n"/>
      <c r="G858" s="4" t="n"/>
      <c r="H858" s="4" t="n"/>
      <c r="I858" s="4" t="n"/>
      <c r="J858" s="4" t="n"/>
      <c r="K858" s="4" t="n"/>
      <c r="L858" s="4" t="n"/>
      <c r="M858" s="4" t="n"/>
      <c r="N858" s="4" t="n"/>
      <c r="O858" s="4" t="n"/>
      <c r="P858" s="4" t="n"/>
      <c r="Q858" s="4" t="n"/>
      <c r="R858" s="4" t="n"/>
    </row>
    <row r="859" ht="15.75" customHeight="1" s="108">
      <c r="A859" s="4" t="n"/>
      <c r="B859" s="4" t="n"/>
      <c r="C859" s="4" t="n"/>
      <c r="D859" s="4" t="n"/>
      <c r="E859" s="4" t="n"/>
      <c r="F859" s="4" t="n"/>
      <c r="G859" s="4" t="n"/>
      <c r="H859" s="4" t="n"/>
      <c r="I859" s="4" t="n"/>
      <c r="J859" s="4" t="n"/>
      <c r="K859" s="4" t="n"/>
      <c r="L859" s="4" t="n"/>
      <c r="M859" s="4" t="n"/>
      <c r="N859" s="4" t="n"/>
      <c r="O859" s="4" t="n"/>
      <c r="P859" s="4" t="n"/>
      <c r="Q859" s="4" t="n"/>
      <c r="R859" s="4" t="n"/>
    </row>
    <row r="860" ht="15.75" customHeight="1" s="108">
      <c r="A860" s="4" t="n"/>
      <c r="B860" s="4" t="n"/>
      <c r="C860" s="4" t="n"/>
      <c r="D860" s="4" t="n"/>
      <c r="E860" s="4" t="n"/>
      <c r="F860" s="4" t="n"/>
      <c r="G860" s="4" t="n"/>
      <c r="H860" s="4" t="n"/>
      <c r="I860" s="4" t="n"/>
      <c r="J860" s="4" t="n"/>
      <c r="K860" s="4" t="n"/>
      <c r="L860" s="4" t="n"/>
      <c r="M860" s="4" t="n"/>
      <c r="N860" s="4" t="n"/>
      <c r="O860" s="4" t="n"/>
      <c r="P860" s="4" t="n"/>
      <c r="Q860" s="4" t="n"/>
      <c r="R860" s="4" t="n"/>
    </row>
    <row r="861" ht="15.75" customHeight="1" s="108">
      <c r="A861" s="4" t="n"/>
      <c r="B861" s="4" t="n"/>
      <c r="C861" s="4" t="n"/>
      <c r="D861" s="4" t="n"/>
      <c r="E861" s="4" t="n"/>
      <c r="F861" s="4" t="n"/>
      <c r="G861" s="4" t="n"/>
      <c r="H861" s="4" t="n"/>
      <c r="I861" s="4" t="n"/>
      <c r="J861" s="4" t="n"/>
      <c r="K861" s="4" t="n"/>
      <c r="L861" s="4" t="n"/>
      <c r="M861" s="4" t="n"/>
      <c r="N861" s="4" t="n"/>
      <c r="O861" s="4" t="n"/>
      <c r="P861" s="4" t="n"/>
      <c r="Q861" s="4" t="n"/>
      <c r="R861" s="4" t="n"/>
    </row>
    <row r="862" ht="15.75" customHeight="1" s="108">
      <c r="A862" s="4" t="n"/>
      <c r="B862" s="4" t="n"/>
      <c r="C862" s="4" t="n"/>
      <c r="D862" s="4" t="n"/>
      <c r="E862" s="4" t="n"/>
      <c r="F862" s="4" t="n"/>
      <c r="G862" s="4" t="n"/>
      <c r="H862" s="4" t="n"/>
      <c r="I862" s="4" t="n"/>
      <c r="J862" s="4" t="n"/>
      <c r="K862" s="4" t="n"/>
      <c r="L862" s="4" t="n"/>
      <c r="M862" s="4" t="n"/>
      <c r="N862" s="4" t="n"/>
      <c r="O862" s="4" t="n"/>
      <c r="P862" s="4" t="n"/>
      <c r="Q862" s="4" t="n"/>
      <c r="R862" s="4" t="n"/>
    </row>
    <row r="863" ht="15.75" customHeight="1" s="108">
      <c r="A863" s="4" t="n"/>
      <c r="B863" s="4" t="n"/>
      <c r="C863" s="4" t="n"/>
      <c r="D863" s="4" t="n"/>
      <c r="E863" s="4" t="n"/>
      <c r="F863" s="4" t="n"/>
      <c r="G863" s="4" t="n"/>
      <c r="H863" s="4" t="n"/>
      <c r="I863" s="4" t="n"/>
      <c r="J863" s="4" t="n"/>
      <c r="K863" s="4" t="n"/>
      <c r="L863" s="4" t="n"/>
      <c r="M863" s="4" t="n"/>
      <c r="N863" s="4" t="n"/>
      <c r="O863" s="4" t="n"/>
      <c r="P863" s="4" t="n"/>
      <c r="Q863" s="4" t="n"/>
      <c r="R863" s="4" t="n"/>
    </row>
    <row r="864" ht="15.75" customHeight="1" s="108">
      <c r="A864" s="4" t="n"/>
      <c r="B864" s="4" t="n"/>
      <c r="C864" s="4" t="n"/>
      <c r="D864" s="4" t="n"/>
      <c r="E864" s="4" t="n"/>
      <c r="F864" s="4" t="n"/>
      <c r="G864" s="4" t="n"/>
      <c r="H864" s="4" t="n"/>
      <c r="I864" s="4" t="n"/>
      <c r="J864" s="4" t="n"/>
      <c r="K864" s="4" t="n"/>
      <c r="L864" s="4" t="n"/>
      <c r="M864" s="4" t="n"/>
      <c r="N864" s="4" t="n"/>
      <c r="O864" s="4" t="n"/>
      <c r="P864" s="4" t="n"/>
      <c r="Q864" s="4" t="n"/>
      <c r="R864" s="4" t="n"/>
    </row>
    <row r="865" ht="15.75" customHeight="1" s="108">
      <c r="A865" s="4" t="n"/>
      <c r="B865" s="4" t="n"/>
      <c r="C865" s="4" t="n"/>
      <c r="D865" s="4" t="n"/>
      <c r="E865" s="4" t="n"/>
      <c r="F865" s="4" t="n"/>
      <c r="G865" s="4" t="n"/>
      <c r="H865" s="4" t="n"/>
      <c r="I865" s="4" t="n"/>
      <c r="J865" s="4" t="n"/>
      <c r="K865" s="4" t="n"/>
      <c r="L865" s="4" t="n"/>
      <c r="M865" s="4" t="n"/>
      <c r="N865" s="4" t="n"/>
      <c r="O865" s="4" t="n"/>
      <c r="P865" s="4" t="n"/>
      <c r="Q865" s="4" t="n"/>
      <c r="R865" s="4" t="n"/>
    </row>
    <row r="866" ht="15.75" customHeight="1" s="108">
      <c r="A866" s="4" t="n"/>
      <c r="B866" s="4" t="n"/>
      <c r="C866" s="4" t="n"/>
      <c r="D866" s="4" t="n"/>
      <c r="E866" s="4" t="n"/>
      <c r="F866" s="4" t="n"/>
      <c r="G866" s="4" t="n"/>
      <c r="H866" s="4" t="n"/>
      <c r="I866" s="4" t="n"/>
      <c r="J866" s="4" t="n"/>
      <c r="K866" s="4" t="n"/>
      <c r="L866" s="4" t="n"/>
      <c r="M866" s="4" t="n"/>
      <c r="N866" s="4" t="n"/>
      <c r="O866" s="4" t="n"/>
      <c r="P866" s="4" t="n"/>
      <c r="Q866" s="4" t="n"/>
      <c r="R866" s="4" t="n"/>
    </row>
    <row r="867" ht="15.75" customHeight="1" s="108">
      <c r="A867" s="4" t="n"/>
      <c r="B867" s="4" t="n"/>
      <c r="C867" s="4" t="n"/>
      <c r="D867" s="4" t="n"/>
      <c r="E867" s="4" t="n"/>
      <c r="F867" s="4" t="n"/>
      <c r="G867" s="4" t="n"/>
      <c r="H867" s="4" t="n"/>
      <c r="I867" s="4" t="n"/>
      <c r="J867" s="4" t="n"/>
      <c r="K867" s="4" t="n"/>
      <c r="L867" s="4" t="n"/>
      <c r="M867" s="4" t="n"/>
      <c r="N867" s="4" t="n"/>
      <c r="O867" s="4" t="n"/>
      <c r="P867" s="4" t="n"/>
      <c r="Q867" s="4" t="n"/>
      <c r="R867" s="4" t="n"/>
    </row>
    <row r="868" ht="15.75" customHeight="1" s="108">
      <c r="A868" s="4" t="n"/>
      <c r="B868" s="4" t="n"/>
      <c r="C868" s="4" t="n"/>
      <c r="D868" s="4" t="n"/>
      <c r="E868" s="4" t="n"/>
      <c r="F868" s="4" t="n"/>
      <c r="G868" s="4" t="n"/>
      <c r="H868" s="4" t="n"/>
      <c r="I868" s="4" t="n"/>
      <c r="J868" s="4" t="n"/>
      <c r="K868" s="4" t="n"/>
      <c r="L868" s="4" t="n"/>
      <c r="M868" s="4" t="n"/>
      <c r="N868" s="4" t="n"/>
      <c r="O868" s="4" t="n"/>
      <c r="P868" s="4" t="n"/>
      <c r="Q868" s="4" t="n"/>
      <c r="R868" s="4" t="n"/>
    </row>
    <row r="869" ht="15.75" customHeight="1" s="108">
      <c r="A869" s="4" t="n"/>
      <c r="B869" s="4" t="n"/>
      <c r="C869" s="4" t="n"/>
      <c r="D869" s="4" t="n"/>
      <c r="E869" s="4" t="n"/>
      <c r="F869" s="4" t="n"/>
      <c r="G869" s="4" t="n"/>
      <c r="H869" s="4" t="n"/>
      <c r="I869" s="4" t="n"/>
      <c r="J869" s="4" t="n"/>
      <c r="K869" s="4" t="n"/>
      <c r="L869" s="4" t="n"/>
      <c r="M869" s="4" t="n"/>
      <c r="N869" s="4" t="n"/>
      <c r="O869" s="4" t="n"/>
      <c r="P869" s="4" t="n"/>
      <c r="Q869" s="4" t="n"/>
      <c r="R869" s="4" t="n"/>
    </row>
    <row r="870" ht="15.75" customHeight="1" s="108">
      <c r="A870" s="4" t="n"/>
      <c r="B870" s="4" t="n"/>
      <c r="C870" s="4" t="n"/>
      <c r="D870" s="4" t="n"/>
      <c r="E870" s="4" t="n"/>
      <c r="F870" s="4" t="n"/>
      <c r="G870" s="4" t="n"/>
      <c r="H870" s="4" t="n"/>
      <c r="I870" s="4" t="n"/>
      <c r="J870" s="4" t="n"/>
      <c r="K870" s="4" t="n"/>
      <c r="L870" s="4" t="n"/>
      <c r="M870" s="4" t="n"/>
      <c r="N870" s="4" t="n"/>
      <c r="O870" s="4" t="n"/>
      <c r="P870" s="4" t="n"/>
      <c r="Q870" s="4" t="n"/>
      <c r="R870" s="4" t="n"/>
    </row>
    <row r="871" ht="15.75" customHeight="1" s="108">
      <c r="A871" s="4" t="n"/>
      <c r="B871" s="4" t="n"/>
      <c r="C871" s="4" t="n"/>
      <c r="D871" s="4" t="n"/>
      <c r="E871" s="4" t="n"/>
      <c r="F871" s="4" t="n"/>
      <c r="G871" s="4" t="n"/>
      <c r="H871" s="4" t="n"/>
      <c r="I871" s="4" t="n"/>
      <c r="J871" s="4" t="n"/>
      <c r="K871" s="4" t="n"/>
      <c r="L871" s="4" t="n"/>
      <c r="M871" s="4" t="n"/>
      <c r="N871" s="4" t="n"/>
      <c r="O871" s="4" t="n"/>
      <c r="P871" s="4" t="n"/>
      <c r="Q871" s="4" t="n"/>
      <c r="R871" s="4" t="n"/>
    </row>
    <row r="872" ht="15.75" customHeight="1" s="108">
      <c r="A872" s="4" t="n"/>
      <c r="B872" s="4" t="n"/>
      <c r="C872" s="4" t="n"/>
      <c r="D872" s="4" t="n"/>
      <c r="E872" s="4" t="n"/>
      <c r="F872" s="4" t="n"/>
      <c r="G872" s="4" t="n"/>
      <c r="H872" s="4" t="n"/>
      <c r="I872" s="4" t="n"/>
      <c r="J872" s="4" t="n"/>
      <c r="K872" s="4" t="n"/>
      <c r="L872" s="4" t="n"/>
      <c r="M872" s="4" t="n"/>
      <c r="N872" s="4" t="n"/>
      <c r="O872" s="4" t="n"/>
      <c r="P872" s="4" t="n"/>
      <c r="Q872" s="4" t="n"/>
      <c r="R872" s="4" t="n"/>
    </row>
    <row r="873" ht="15.75" customHeight="1" s="108">
      <c r="A873" s="4" t="n"/>
      <c r="B873" s="4" t="n"/>
      <c r="C873" s="4" t="n"/>
      <c r="D873" s="4" t="n"/>
      <c r="E873" s="4" t="n"/>
      <c r="F873" s="4" t="n"/>
      <c r="G873" s="4" t="n"/>
      <c r="H873" s="4" t="n"/>
      <c r="I873" s="4" t="n"/>
      <c r="J873" s="4" t="n"/>
      <c r="K873" s="4" t="n"/>
      <c r="L873" s="4" t="n"/>
      <c r="M873" s="4" t="n"/>
      <c r="N873" s="4" t="n"/>
      <c r="O873" s="4" t="n"/>
      <c r="P873" s="4" t="n"/>
      <c r="Q873" s="4" t="n"/>
      <c r="R873" s="4" t="n"/>
    </row>
    <row r="874" ht="15.75" customHeight="1" s="108">
      <c r="A874" s="4" t="n"/>
      <c r="B874" s="4" t="n"/>
      <c r="C874" s="4" t="n"/>
      <c r="D874" s="4" t="n"/>
      <c r="E874" s="4" t="n"/>
      <c r="F874" s="4" t="n"/>
      <c r="G874" s="4" t="n"/>
      <c r="H874" s="4" t="n"/>
      <c r="I874" s="4" t="n"/>
      <c r="J874" s="4" t="n"/>
      <c r="K874" s="4" t="n"/>
      <c r="L874" s="4" t="n"/>
      <c r="M874" s="4" t="n"/>
      <c r="N874" s="4" t="n"/>
      <c r="O874" s="4" t="n"/>
      <c r="P874" s="4" t="n"/>
      <c r="Q874" s="4" t="n"/>
      <c r="R874" s="4" t="n"/>
    </row>
    <row r="875" ht="15.75" customHeight="1" s="108">
      <c r="A875" s="4" t="n"/>
      <c r="B875" s="4" t="n"/>
      <c r="C875" s="4" t="n"/>
      <c r="D875" s="4" t="n"/>
      <c r="E875" s="4" t="n"/>
      <c r="F875" s="4" t="n"/>
      <c r="G875" s="4" t="n"/>
      <c r="H875" s="4" t="n"/>
      <c r="I875" s="4" t="n"/>
      <c r="J875" s="4" t="n"/>
      <c r="K875" s="4" t="n"/>
      <c r="L875" s="4" t="n"/>
      <c r="M875" s="4" t="n"/>
      <c r="N875" s="4" t="n"/>
      <c r="O875" s="4" t="n"/>
      <c r="P875" s="4" t="n"/>
      <c r="Q875" s="4" t="n"/>
      <c r="R875" s="4" t="n"/>
    </row>
    <row r="876" ht="15.75" customHeight="1" s="108">
      <c r="A876" s="4" t="n"/>
      <c r="B876" s="4" t="n"/>
      <c r="C876" s="4" t="n"/>
      <c r="D876" s="4" t="n"/>
      <c r="E876" s="4" t="n"/>
      <c r="F876" s="4" t="n"/>
      <c r="G876" s="4" t="n"/>
      <c r="H876" s="4" t="n"/>
      <c r="I876" s="4" t="n"/>
      <c r="J876" s="4" t="n"/>
      <c r="K876" s="4" t="n"/>
      <c r="L876" s="4" t="n"/>
      <c r="M876" s="4" t="n"/>
      <c r="N876" s="4" t="n"/>
      <c r="O876" s="4" t="n"/>
      <c r="P876" s="4" t="n"/>
      <c r="Q876" s="4" t="n"/>
      <c r="R876" s="4" t="n"/>
    </row>
    <row r="877" ht="15.75" customHeight="1" s="108">
      <c r="A877" s="4" t="n"/>
      <c r="B877" s="4" t="n"/>
      <c r="C877" s="4" t="n"/>
      <c r="D877" s="4" t="n"/>
      <c r="E877" s="4" t="n"/>
      <c r="F877" s="4" t="n"/>
      <c r="G877" s="4" t="n"/>
      <c r="H877" s="4" t="n"/>
      <c r="I877" s="4" t="n"/>
      <c r="J877" s="4" t="n"/>
      <c r="K877" s="4" t="n"/>
      <c r="L877" s="4" t="n"/>
      <c r="M877" s="4" t="n"/>
      <c r="N877" s="4" t="n"/>
      <c r="O877" s="4" t="n"/>
      <c r="P877" s="4" t="n"/>
      <c r="Q877" s="4" t="n"/>
      <c r="R877" s="4" t="n"/>
    </row>
    <row r="878" ht="15.75" customHeight="1" s="108">
      <c r="A878" s="4" t="n"/>
      <c r="B878" s="4" t="n"/>
      <c r="C878" s="4" t="n"/>
      <c r="D878" s="4" t="n"/>
      <c r="E878" s="4" t="n"/>
      <c r="F878" s="4" t="n"/>
      <c r="G878" s="4" t="n"/>
      <c r="H878" s="4" t="n"/>
      <c r="I878" s="4" t="n"/>
      <c r="J878" s="4" t="n"/>
      <c r="K878" s="4" t="n"/>
      <c r="L878" s="4" t="n"/>
      <c r="M878" s="4" t="n"/>
      <c r="N878" s="4" t="n"/>
      <c r="O878" s="4" t="n"/>
      <c r="P878" s="4" t="n"/>
      <c r="Q878" s="4" t="n"/>
      <c r="R878" s="4" t="n"/>
    </row>
    <row r="879" ht="15.75" customHeight="1" s="108">
      <c r="A879" s="4" t="n"/>
      <c r="B879" s="4" t="n"/>
      <c r="C879" s="4" t="n"/>
      <c r="D879" s="4" t="n"/>
      <c r="E879" s="4" t="n"/>
      <c r="F879" s="4" t="n"/>
      <c r="G879" s="4" t="n"/>
      <c r="H879" s="4" t="n"/>
      <c r="I879" s="4" t="n"/>
      <c r="J879" s="4" t="n"/>
      <c r="K879" s="4" t="n"/>
      <c r="L879" s="4" t="n"/>
      <c r="M879" s="4" t="n"/>
      <c r="N879" s="4" t="n"/>
      <c r="O879" s="4" t="n"/>
      <c r="P879" s="4" t="n"/>
      <c r="Q879" s="4" t="n"/>
      <c r="R879" s="4" t="n"/>
    </row>
    <row r="880" ht="15.75" customHeight="1" s="108">
      <c r="A880" s="4" t="n"/>
      <c r="B880" s="4" t="n"/>
      <c r="C880" s="4" t="n"/>
      <c r="D880" s="4" t="n"/>
      <c r="E880" s="4" t="n"/>
      <c r="F880" s="4" t="n"/>
      <c r="G880" s="4" t="n"/>
      <c r="H880" s="4" t="n"/>
      <c r="I880" s="4" t="n"/>
      <c r="J880" s="4" t="n"/>
      <c r="K880" s="4" t="n"/>
      <c r="L880" s="4" t="n"/>
      <c r="M880" s="4" t="n"/>
      <c r="N880" s="4" t="n"/>
      <c r="O880" s="4" t="n"/>
      <c r="P880" s="4" t="n"/>
      <c r="Q880" s="4" t="n"/>
      <c r="R880" s="4" t="n"/>
    </row>
    <row r="881" ht="15.75" customHeight="1" s="108">
      <c r="A881" s="4" t="n"/>
      <c r="B881" s="4" t="n"/>
      <c r="C881" s="4" t="n"/>
      <c r="D881" s="4" t="n"/>
      <c r="E881" s="4" t="n"/>
      <c r="F881" s="4" t="n"/>
      <c r="G881" s="4" t="n"/>
      <c r="H881" s="4" t="n"/>
      <c r="I881" s="4" t="n"/>
      <c r="J881" s="4" t="n"/>
      <c r="K881" s="4" t="n"/>
      <c r="L881" s="4" t="n"/>
      <c r="M881" s="4" t="n"/>
      <c r="N881" s="4" t="n"/>
      <c r="O881" s="4" t="n"/>
      <c r="P881" s="4" t="n"/>
      <c r="Q881" s="4" t="n"/>
      <c r="R881" s="4" t="n"/>
    </row>
    <row r="882" ht="15.75" customHeight="1" s="108">
      <c r="A882" s="4" t="n"/>
      <c r="B882" s="4" t="n"/>
      <c r="C882" s="4" t="n"/>
      <c r="D882" s="4" t="n"/>
      <c r="E882" s="4" t="n"/>
      <c r="F882" s="4" t="n"/>
      <c r="G882" s="4" t="n"/>
      <c r="H882" s="4" t="n"/>
      <c r="I882" s="4" t="n"/>
      <c r="J882" s="4" t="n"/>
      <c r="K882" s="4" t="n"/>
      <c r="L882" s="4" t="n"/>
      <c r="M882" s="4" t="n"/>
      <c r="N882" s="4" t="n"/>
      <c r="O882" s="4" t="n"/>
      <c r="P882" s="4" t="n"/>
      <c r="Q882" s="4" t="n"/>
      <c r="R882" s="4" t="n"/>
    </row>
    <row r="883" ht="15.75" customHeight="1" s="108">
      <c r="A883" s="4" t="n"/>
      <c r="B883" s="4" t="n"/>
      <c r="C883" s="4" t="n"/>
      <c r="D883" s="4" t="n"/>
      <c r="E883" s="4" t="n"/>
      <c r="F883" s="4" t="n"/>
      <c r="G883" s="4" t="n"/>
      <c r="H883" s="4" t="n"/>
      <c r="I883" s="4" t="n"/>
      <c r="J883" s="4" t="n"/>
      <c r="K883" s="4" t="n"/>
      <c r="L883" s="4" t="n"/>
      <c r="M883" s="4" t="n"/>
      <c r="N883" s="4" t="n"/>
      <c r="O883" s="4" t="n"/>
      <c r="P883" s="4" t="n"/>
      <c r="Q883" s="4" t="n"/>
      <c r="R883" s="4" t="n"/>
    </row>
    <row r="884" ht="15.75" customHeight="1" s="108">
      <c r="A884" s="4" t="n"/>
      <c r="B884" s="4" t="n"/>
      <c r="C884" s="4" t="n"/>
      <c r="D884" s="4" t="n"/>
      <c r="E884" s="4" t="n"/>
      <c r="F884" s="4" t="n"/>
      <c r="G884" s="4" t="n"/>
      <c r="H884" s="4" t="n"/>
      <c r="I884" s="4" t="n"/>
      <c r="J884" s="4" t="n"/>
      <c r="K884" s="4" t="n"/>
      <c r="L884" s="4" t="n"/>
      <c r="M884" s="4" t="n"/>
      <c r="N884" s="4" t="n"/>
      <c r="O884" s="4" t="n"/>
      <c r="P884" s="4" t="n"/>
      <c r="Q884" s="4" t="n"/>
      <c r="R884" s="4" t="n"/>
    </row>
    <row r="885" ht="15.75" customHeight="1" s="108">
      <c r="A885" s="4" t="n"/>
      <c r="B885" s="4" t="n"/>
      <c r="C885" s="4" t="n"/>
      <c r="D885" s="4" t="n"/>
      <c r="E885" s="4" t="n"/>
      <c r="F885" s="4" t="n"/>
      <c r="G885" s="4" t="n"/>
      <c r="H885" s="4" t="n"/>
      <c r="I885" s="4" t="n"/>
      <c r="J885" s="4" t="n"/>
      <c r="K885" s="4" t="n"/>
      <c r="L885" s="4" t="n"/>
      <c r="M885" s="4" t="n"/>
      <c r="N885" s="4" t="n"/>
      <c r="O885" s="4" t="n"/>
      <c r="P885" s="4" t="n"/>
      <c r="Q885" s="4" t="n"/>
      <c r="R885" s="4" t="n"/>
    </row>
    <row r="886" ht="15.75" customHeight="1" s="108">
      <c r="A886" s="4" t="n"/>
      <c r="B886" s="4" t="n"/>
      <c r="C886" s="4" t="n"/>
      <c r="D886" s="4" t="n"/>
      <c r="E886" s="4" t="n"/>
      <c r="F886" s="4" t="n"/>
      <c r="G886" s="4" t="n"/>
      <c r="H886" s="4" t="n"/>
      <c r="I886" s="4" t="n"/>
      <c r="J886" s="4" t="n"/>
      <c r="K886" s="4" t="n"/>
      <c r="L886" s="4" t="n"/>
      <c r="M886" s="4" t="n"/>
      <c r="N886" s="4" t="n"/>
      <c r="O886" s="4" t="n"/>
      <c r="P886" s="4" t="n"/>
      <c r="Q886" s="4" t="n"/>
      <c r="R886" s="4" t="n"/>
    </row>
    <row r="887" ht="15.75" customHeight="1" s="108">
      <c r="A887" s="4" t="n"/>
      <c r="B887" s="4" t="n"/>
      <c r="C887" s="4" t="n"/>
      <c r="D887" s="4" t="n"/>
      <c r="E887" s="4" t="n"/>
      <c r="F887" s="4" t="n"/>
      <c r="G887" s="4" t="n"/>
      <c r="H887" s="4" t="n"/>
      <c r="I887" s="4" t="n"/>
      <c r="J887" s="4" t="n"/>
      <c r="K887" s="4" t="n"/>
      <c r="L887" s="4" t="n"/>
      <c r="M887" s="4" t="n"/>
      <c r="N887" s="4" t="n"/>
      <c r="O887" s="4" t="n"/>
      <c r="P887" s="4" t="n"/>
      <c r="Q887" s="4" t="n"/>
      <c r="R887" s="4" t="n"/>
    </row>
    <row r="888" ht="15.75" customHeight="1" s="108">
      <c r="A888" s="4" t="n"/>
      <c r="B888" s="4" t="n"/>
      <c r="C888" s="4" t="n"/>
      <c r="D888" s="4" t="n"/>
      <c r="E888" s="4" t="n"/>
      <c r="F888" s="4" t="n"/>
      <c r="G888" s="4" t="n"/>
      <c r="H888" s="4" t="n"/>
      <c r="I888" s="4" t="n"/>
      <c r="J888" s="4" t="n"/>
      <c r="K888" s="4" t="n"/>
      <c r="L888" s="4" t="n"/>
      <c r="M888" s="4" t="n"/>
      <c r="N888" s="4" t="n"/>
      <c r="O888" s="4" t="n"/>
      <c r="P888" s="4" t="n"/>
      <c r="Q888" s="4" t="n"/>
      <c r="R888" s="4" t="n"/>
    </row>
    <row r="889" ht="15.75" customHeight="1" s="108">
      <c r="A889" s="4" t="n"/>
      <c r="B889" s="4" t="n"/>
      <c r="C889" s="4" t="n"/>
      <c r="D889" s="4" t="n"/>
      <c r="E889" s="4" t="n"/>
      <c r="F889" s="4" t="n"/>
      <c r="G889" s="4" t="n"/>
      <c r="H889" s="4" t="n"/>
      <c r="I889" s="4" t="n"/>
      <c r="J889" s="4" t="n"/>
      <c r="K889" s="4" t="n"/>
      <c r="L889" s="4" t="n"/>
      <c r="M889" s="4" t="n"/>
      <c r="N889" s="4" t="n"/>
      <c r="O889" s="4" t="n"/>
      <c r="P889" s="4" t="n"/>
      <c r="Q889" s="4" t="n"/>
      <c r="R889" s="4" t="n"/>
    </row>
    <row r="890" ht="15.75" customHeight="1" s="108">
      <c r="A890" s="4" t="n"/>
      <c r="B890" s="4" t="n"/>
      <c r="C890" s="4" t="n"/>
      <c r="D890" s="4" t="n"/>
      <c r="E890" s="4" t="n"/>
      <c r="F890" s="4" t="n"/>
      <c r="G890" s="4" t="n"/>
      <c r="H890" s="4" t="n"/>
      <c r="I890" s="4" t="n"/>
      <c r="J890" s="4" t="n"/>
      <c r="K890" s="4" t="n"/>
      <c r="L890" s="4" t="n"/>
      <c r="M890" s="4" t="n"/>
      <c r="N890" s="4" t="n"/>
      <c r="O890" s="4" t="n"/>
      <c r="P890" s="4" t="n"/>
      <c r="Q890" s="4" t="n"/>
      <c r="R890" s="4" t="n"/>
    </row>
    <row r="891" ht="15.75" customHeight="1" s="108">
      <c r="A891" s="4" t="n"/>
      <c r="B891" s="4" t="n"/>
      <c r="C891" s="4" t="n"/>
      <c r="D891" s="4" t="n"/>
      <c r="E891" s="4" t="n"/>
      <c r="F891" s="4" t="n"/>
      <c r="G891" s="4" t="n"/>
      <c r="H891" s="4" t="n"/>
      <c r="I891" s="4" t="n"/>
      <c r="J891" s="4" t="n"/>
      <c r="K891" s="4" t="n"/>
      <c r="L891" s="4" t="n"/>
      <c r="M891" s="4" t="n"/>
      <c r="N891" s="4" t="n"/>
      <c r="O891" s="4" t="n"/>
      <c r="P891" s="4" t="n"/>
      <c r="Q891" s="4" t="n"/>
      <c r="R891" s="4" t="n"/>
    </row>
    <row r="892" ht="15.75" customHeight="1" s="108">
      <c r="A892" s="4" t="n"/>
      <c r="B892" s="4" t="n"/>
      <c r="C892" s="4" t="n"/>
      <c r="D892" s="4" t="n"/>
      <c r="E892" s="4" t="n"/>
      <c r="F892" s="4" t="n"/>
      <c r="G892" s="4" t="n"/>
      <c r="H892" s="4" t="n"/>
      <c r="I892" s="4" t="n"/>
      <c r="J892" s="4" t="n"/>
      <c r="K892" s="4" t="n"/>
      <c r="L892" s="4" t="n"/>
      <c r="M892" s="4" t="n"/>
      <c r="N892" s="4" t="n"/>
      <c r="O892" s="4" t="n"/>
      <c r="P892" s="4" t="n"/>
      <c r="Q892" s="4" t="n"/>
      <c r="R892" s="4" t="n"/>
    </row>
    <row r="893" ht="15.75" customHeight="1" s="108">
      <c r="A893" s="4" t="n"/>
      <c r="B893" s="4" t="n"/>
      <c r="C893" s="4" t="n"/>
      <c r="D893" s="4" t="n"/>
      <c r="E893" s="4" t="n"/>
      <c r="F893" s="4" t="n"/>
      <c r="G893" s="4" t="n"/>
      <c r="H893" s="4" t="n"/>
      <c r="I893" s="4" t="n"/>
      <c r="J893" s="4" t="n"/>
      <c r="K893" s="4" t="n"/>
      <c r="L893" s="4" t="n"/>
      <c r="M893" s="4" t="n"/>
      <c r="N893" s="4" t="n"/>
      <c r="O893" s="4" t="n"/>
      <c r="P893" s="4" t="n"/>
      <c r="Q893" s="4" t="n"/>
      <c r="R893" s="4" t="n"/>
    </row>
    <row r="894" ht="15.75" customHeight="1" s="108">
      <c r="A894" s="4" t="n"/>
      <c r="B894" s="4" t="n"/>
      <c r="C894" s="4" t="n"/>
      <c r="D894" s="4" t="n"/>
      <c r="E894" s="4" t="n"/>
      <c r="F894" s="4" t="n"/>
      <c r="G894" s="4" t="n"/>
      <c r="H894" s="4" t="n"/>
      <c r="I894" s="4" t="n"/>
      <c r="J894" s="4" t="n"/>
      <c r="K894" s="4" t="n"/>
      <c r="L894" s="4" t="n"/>
      <c r="M894" s="4" t="n"/>
      <c r="N894" s="4" t="n"/>
      <c r="O894" s="4" t="n"/>
      <c r="P894" s="4" t="n"/>
      <c r="Q894" s="4" t="n"/>
      <c r="R894" s="4" t="n"/>
    </row>
    <row r="895" ht="15.75" customHeight="1" s="108">
      <c r="A895" s="4" t="n"/>
      <c r="B895" s="4" t="n"/>
      <c r="C895" s="4" t="n"/>
      <c r="D895" s="4" t="n"/>
      <c r="E895" s="4" t="n"/>
      <c r="F895" s="4" t="n"/>
      <c r="G895" s="4" t="n"/>
      <c r="H895" s="4" t="n"/>
      <c r="I895" s="4" t="n"/>
      <c r="J895" s="4" t="n"/>
      <c r="K895" s="4" t="n"/>
      <c r="L895" s="4" t="n"/>
      <c r="M895" s="4" t="n"/>
      <c r="N895" s="4" t="n"/>
      <c r="O895" s="4" t="n"/>
      <c r="P895" s="4" t="n"/>
      <c r="Q895" s="4" t="n"/>
      <c r="R895" s="4" t="n"/>
    </row>
    <row r="896" ht="15.75" customHeight="1" s="108">
      <c r="A896" s="4" t="n"/>
      <c r="B896" s="4" t="n"/>
      <c r="C896" s="4" t="n"/>
      <c r="D896" s="4" t="n"/>
      <c r="E896" s="4" t="n"/>
      <c r="F896" s="4" t="n"/>
      <c r="G896" s="4" t="n"/>
      <c r="H896" s="4" t="n"/>
      <c r="I896" s="4" t="n"/>
      <c r="J896" s="4" t="n"/>
      <c r="K896" s="4" t="n"/>
      <c r="L896" s="4" t="n"/>
      <c r="M896" s="4" t="n"/>
      <c r="N896" s="4" t="n"/>
      <c r="O896" s="4" t="n"/>
      <c r="P896" s="4" t="n"/>
      <c r="Q896" s="4" t="n"/>
      <c r="R896" s="4" t="n"/>
    </row>
    <row r="897" ht="15.75" customHeight="1" s="108">
      <c r="A897" s="4" t="n"/>
      <c r="B897" s="4" t="n"/>
      <c r="C897" s="4" t="n"/>
      <c r="D897" s="4" t="n"/>
      <c r="E897" s="4" t="n"/>
      <c r="F897" s="4" t="n"/>
      <c r="G897" s="4" t="n"/>
      <c r="H897" s="4" t="n"/>
      <c r="I897" s="4" t="n"/>
      <c r="J897" s="4" t="n"/>
      <c r="K897" s="4" t="n"/>
      <c r="L897" s="4" t="n"/>
      <c r="M897" s="4" t="n"/>
      <c r="N897" s="4" t="n"/>
      <c r="O897" s="4" t="n"/>
      <c r="P897" s="4" t="n"/>
      <c r="Q897" s="4" t="n"/>
      <c r="R897" s="4" t="n"/>
    </row>
    <row r="898" ht="15.75" customHeight="1" s="108">
      <c r="A898" s="4" t="n"/>
      <c r="B898" s="4" t="n"/>
      <c r="C898" s="4" t="n"/>
      <c r="D898" s="4" t="n"/>
      <c r="E898" s="4" t="n"/>
      <c r="F898" s="4" t="n"/>
      <c r="G898" s="4" t="n"/>
      <c r="H898" s="4" t="n"/>
      <c r="I898" s="4" t="n"/>
      <c r="J898" s="4" t="n"/>
      <c r="K898" s="4" t="n"/>
      <c r="L898" s="4" t="n"/>
      <c r="M898" s="4" t="n"/>
      <c r="N898" s="4" t="n"/>
      <c r="O898" s="4" t="n"/>
      <c r="P898" s="4" t="n"/>
      <c r="Q898" s="4" t="n"/>
      <c r="R898" s="4" t="n"/>
    </row>
    <row r="899" ht="15.75" customHeight="1" s="108">
      <c r="A899" s="4" t="n"/>
      <c r="B899" s="4" t="n"/>
      <c r="C899" s="4" t="n"/>
      <c r="D899" s="4" t="n"/>
      <c r="E899" s="4" t="n"/>
      <c r="F899" s="4" t="n"/>
      <c r="G899" s="4" t="n"/>
      <c r="H899" s="4" t="n"/>
      <c r="I899" s="4" t="n"/>
      <c r="J899" s="4" t="n"/>
      <c r="K899" s="4" t="n"/>
      <c r="L899" s="4" t="n"/>
      <c r="M899" s="4" t="n"/>
      <c r="N899" s="4" t="n"/>
      <c r="O899" s="4" t="n"/>
      <c r="P899" s="4" t="n"/>
      <c r="Q899" s="4" t="n"/>
      <c r="R899" s="4" t="n"/>
    </row>
    <row r="900" ht="15.75" customHeight="1" s="108">
      <c r="A900" s="4" t="n"/>
      <c r="B900" s="4" t="n"/>
      <c r="C900" s="4" t="n"/>
      <c r="D900" s="4" t="n"/>
      <c r="E900" s="4" t="n"/>
      <c r="F900" s="4" t="n"/>
      <c r="G900" s="4" t="n"/>
      <c r="H900" s="4" t="n"/>
      <c r="I900" s="4" t="n"/>
      <c r="J900" s="4" t="n"/>
      <c r="K900" s="4" t="n"/>
      <c r="L900" s="4" t="n"/>
      <c r="M900" s="4" t="n"/>
      <c r="N900" s="4" t="n"/>
      <c r="O900" s="4" t="n"/>
      <c r="P900" s="4" t="n"/>
      <c r="Q900" s="4" t="n"/>
      <c r="R900" s="4" t="n"/>
    </row>
    <row r="901" ht="15.75" customHeight="1" s="108">
      <c r="A901" s="4" t="n"/>
      <c r="B901" s="4" t="n"/>
      <c r="C901" s="4" t="n"/>
      <c r="D901" s="4" t="n"/>
      <c r="E901" s="4" t="n"/>
      <c r="F901" s="4" t="n"/>
      <c r="G901" s="4" t="n"/>
      <c r="H901" s="4" t="n"/>
      <c r="I901" s="4" t="n"/>
      <c r="J901" s="4" t="n"/>
      <c r="K901" s="4" t="n"/>
      <c r="L901" s="4" t="n"/>
      <c r="M901" s="4" t="n"/>
      <c r="N901" s="4" t="n"/>
      <c r="O901" s="4" t="n"/>
      <c r="P901" s="4" t="n"/>
      <c r="Q901" s="4" t="n"/>
      <c r="R901" s="4" t="n"/>
    </row>
    <row r="902" ht="15.75" customHeight="1" s="108">
      <c r="A902" s="4" t="n"/>
      <c r="B902" s="4" t="n"/>
      <c r="C902" s="4" t="n"/>
      <c r="D902" s="4" t="n"/>
      <c r="E902" s="4" t="n"/>
      <c r="F902" s="4" t="n"/>
      <c r="G902" s="4" t="n"/>
      <c r="H902" s="4" t="n"/>
      <c r="I902" s="4" t="n"/>
      <c r="J902" s="4" t="n"/>
      <c r="K902" s="4" t="n"/>
      <c r="L902" s="4" t="n"/>
      <c r="M902" s="4" t="n"/>
      <c r="N902" s="4" t="n"/>
      <c r="O902" s="4" t="n"/>
      <c r="P902" s="4" t="n"/>
      <c r="Q902" s="4" t="n"/>
      <c r="R902" s="4" t="n"/>
    </row>
    <row r="903" ht="15.75" customHeight="1" s="108">
      <c r="A903" s="4" t="n"/>
      <c r="B903" s="4" t="n"/>
      <c r="C903" s="4" t="n"/>
      <c r="D903" s="4" t="n"/>
      <c r="E903" s="4" t="n"/>
      <c r="F903" s="4" t="n"/>
      <c r="G903" s="4" t="n"/>
      <c r="H903" s="4" t="n"/>
      <c r="I903" s="4" t="n"/>
      <c r="J903" s="4" t="n"/>
      <c r="K903" s="4" t="n"/>
      <c r="L903" s="4" t="n"/>
      <c r="M903" s="4" t="n"/>
      <c r="N903" s="4" t="n"/>
      <c r="O903" s="4" t="n"/>
      <c r="P903" s="4" t="n"/>
      <c r="Q903" s="4" t="n"/>
      <c r="R903" s="4" t="n"/>
    </row>
    <row r="904" ht="15.75" customHeight="1" s="108">
      <c r="A904" s="4" t="n"/>
      <c r="B904" s="4" t="n"/>
      <c r="C904" s="4" t="n"/>
      <c r="D904" s="4" t="n"/>
      <c r="E904" s="4" t="n"/>
      <c r="F904" s="4" t="n"/>
      <c r="G904" s="4" t="n"/>
      <c r="H904" s="4" t="n"/>
      <c r="I904" s="4" t="n"/>
      <c r="J904" s="4" t="n"/>
      <c r="K904" s="4" t="n"/>
      <c r="L904" s="4" t="n"/>
      <c r="M904" s="4" t="n"/>
      <c r="N904" s="4" t="n"/>
      <c r="O904" s="4" t="n"/>
      <c r="P904" s="4" t="n"/>
      <c r="Q904" s="4" t="n"/>
      <c r="R904" s="4" t="n"/>
    </row>
    <row r="905" ht="15.75" customHeight="1" s="108">
      <c r="A905" s="4" t="n"/>
      <c r="B905" s="4" t="n"/>
      <c r="C905" s="4" t="n"/>
      <c r="D905" s="4" t="n"/>
      <c r="E905" s="4" t="n"/>
      <c r="F905" s="4" t="n"/>
      <c r="G905" s="4" t="n"/>
      <c r="H905" s="4" t="n"/>
      <c r="I905" s="4" t="n"/>
      <c r="J905" s="4" t="n"/>
      <c r="K905" s="4" t="n"/>
      <c r="L905" s="4" t="n"/>
      <c r="M905" s="4" t="n"/>
      <c r="N905" s="4" t="n"/>
      <c r="O905" s="4" t="n"/>
      <c r="P905" s="4" t="n"/>
      <c r="Q905" s="4" t="n"/>
      <c r="R905" s="4" t="n"/>
    </row>
    <row r="906" ht="15.75" customHeight="1" s="108">
      <c r="A906" s="4" t="n"/>
      <c r="B906" s="4" t="n"/>
      <c r="C906" s="4" t="n"/>
      <c r="D906" s="4" t="n"/>
      <c r="E906" s="4" t="n"/>
      <c r="F906" s="4" t="n"/>
      <c r="G906" s="4" t="n"/>
      <c r="H906" s="4" t="n"/>
      <c r="I906" s="4" t="n"/>
      <c r="J906" s="4" t="n"/>
      <c r="K906" s="4" t="n"/>
      <c r="L906" s="4" t="n"/>
      <c r="M906" s="4" t="n"/>
      <c r="N906" s="4" t="n"/>
      <c r="O906" s="4" t="n"/>
      <c r="P906" s="4" t="n"/>
      <c r="Q906" s="4" t="n"/>
      <c r="R906" s="4" t="n"/>
    </row>
    <row r="907" ht="15.75" customHeight="1" s="108">
      <c r="A907" s="4" t="n"/>
      <c r="B907" s="4" t="n"/>
      <c r="C907" s="4" t="n"/>
      <c r="D907" s="4" t="n"/>
      <c r="E907" s="4" t="n"/>
      <c r="F907" s="4" t="n"/>
      <c r="G907" s="4" t="n"/>
      <c r="H907" s="4" t="n"/>
      <c r="I907" s="4" t="n"/>
      <c r="J907" s="4" t="n"/>
      <c r="K907" s="4" t="n"/>
      <c r="L907" s="4" t="n"/>
      <c r="M907" s="4" t="n"/>
      <c r="N907" s="4" t="n"/>
      <c r="O907" s="4" t="n"/>
      <c r="P907" s="4" t="n"/>
      <c r="Q907" s="4" t="n"/>
      <c r="R907" s="4" t="n"/>
    </row>
    <row r="908" ht="15.75" customHeight="1" s="108">
      <c r="A908" s="4" t="n"/>
      <c r="B908" s="4" t="n"/>
      <c r="C908" s="4" t="n"/>
      <c r="D908" s="4" t="n"/>
      <c r="E908" s="4" t="n"/>
      <c r="F908" s="4" t="n"/>
      <c r="G908" s="4" t="n"/>
      <c r="H908" s="4" t="n"/>
      <c r="I908" s="4" t="n"/>
      <c r="J908" s="4" t="n"/>
      <c r="K908" s="4" t="n"/>
      <c r="L908" s="4" t="n"/>
      <c r="M908" s="4" t="n"/>
      <c r="N908" s="4" t="n"/>
      <c r="O908" s="4" t="n"/>
      <c r="P908" s="4" t="n"/>
      <c r="Q908" s="4" t="n"/>
      <c r="R908" s="4" t="n"/>
    </row>
    <row r="909" ht="15.75" customHeight="1" s="108">
      <c r="A909" s="4" t="n"/>
      <c r="B909" s="4" t="n"/>
      <c r="C909" s="4" t="n"/>
      <c r="D909" s="4" t="n"/>
      <c r="E909" s="4" t="n"/>
      <c r="F909" s="4" t="n"/>
      <c r="G909" s="4" t="n"/>
      <c r="H909" s="4" t="n"/>
      <c r="I909" s="4" t="n"/>
      <c r="J909" s="4" t="n"/>
      <c r="K909" s="4" t="n"/>
      <c r="L909" s="4" t="n"/>
      <c r="M909" s="4" t="n"/>
      <c r="N909" s="4" t="n"/>
      <c r="O909" s="4" t="n"/>
      <c r="P909" s="4" t="n"/>
      <c r="Q909" s="4" t="n"/>
      <c r="R909" s="4" t="n"/>
    </row>
    <row r="910" ht="15.75" customHeight="1" s="108">
      <c r="A910" s="4" t="n"/>
      <c r="B910" s="4" t="n"/>
      <c r="C910" s="4" t="n"/>
      <c r="D910" s="4" t="n"/>
      <c r="E910" s="4" t="n"/>
      <c r="F910" s="4" t="n"/>
      <c r="G910" s="4" t="n"/>
      <c r="H910" s="4" t="n"/>
      <c r="I910" s="4" t="n"/>
      <c r="J910" s="4" t="n"/>
      <c r="K910" s="4" t="n"/>
      <c r="L910" s="4" t="n"/>
      <c r="M910" s="4" t="n"/>
      <c r="N910" s="4" t="n"/>
      <c r="O910" s="4" t="n"/>
      <c r="P910" s="4" t="n"/>
      <c r="Q910" s="4" t="n"/>
      <c r="R910" s="4" t="n"/>
    </row>
    <row r="911" ht="15.75" customHeight="1" s="108">
      <c r="A911" s="4" t="n"/>
      <c r="B911" s="4" t="n"/>
      <c r="C911" s="4" t="n"/>
      <c r="D911" s="4" t="n"/>
      <c r="E911" s="4" t="n"/>
      <c r="F911" s="4" t="n"/>
      <c r="G911" s="4" t="n"/>
      <c r="H911" s="4" t="n"/>
      <c r="I911" s="4" t="n"/>
      <c r="J911" s="4" t="n"/>
      <c r="K911" s="4" t="n"/>
      <c r="L911" s="4" t="n"/>
      <c r="M911" s="4" t="n"/>
      <c r="N911" s="4" t="n"/>
      <c r="O911" s="4" t="n"/>
      <c r="P911" s="4" t="n"/>
      <c r="Q911" s="4" t="n"/>
      <c r="R911" s="4" t="n"/>
    </row>
    <row r="912" ht="15.75" customHeight="1" s="108">
      <c r="A912" s="4" t="n"/>
      <c r="B912" s="4" t="n"/>
      <c r="C912" s="4" t="n"/>
      <c r="D912" s="4" t="n"/>
      <c r="E912" s="4" t="n"/>
      <c r="F912" s="4" t="n"/>
      <c r="G912" s="4" t="n"/>
      <c r="H912" s="4" t="n"/>
      <c r="I912" s="4" t="n"/>
      <c r="J912" s="4" t="n"/>
      <c r="K912" s="4" t="n"/>
      <c r="L912" s="4" t="n"/>
      <c r="M912" s="4" t="n"/>
      <c r="N912" s="4" t="n"/>
      <c r="O912" s="4" t="n"/>
      <c r="P912" s="4" t="n"/>
      <c r="Q912" s="4" t="n"/>
      <c r="R912" s="4" t="n"/>
    </row>
    <row r="913" ht="15.75" customHeight="1" s="108">
      <c r="A913" s="4" t="n"/>
      <c r="B913" s="4" t="n"/>
      <c r="C913" s="4" t="n"/>
      <c r="D913" s="4" t="n"/>
      <c r="E913" s="4" t="n"/>
      <c r="F913" s="4" t="n"/>
      <c r="G913" s="4" t="n"/>
      <c r="H913" s="4" t="n"/>
      <c r="I913" s="4" t="n"/>
      <c r="J913" s="4" t="n"/>
      <c r="K913" s="4" t="n"/>
      <c r="L913" s="4" t="n"/>
      <c r="M913" s="4" t="n"/>
      <c r="N913" s="4" t="n"/>
      <c r="O913" s="4" t="n"/>
      <c r="P913" s="4" t="n"/>
      <c r="Q913" s="4" t="n"/>
      <c r="R913" s="4" t="n"/>
    </row>
    <row r="914" ht="15.75" customHeight="1" s="108">
      <c r="A914" s="4" t="n"/>
      <c r="B914" s="4" t="n"/>
      <c r="C914" s="4" t="n"/>
      <c r="D914" s="4" t="n"/>
      <c r="E914" s="4" t="n"/>
      <c r="F914" s="4" t="n"/>
      <c r="G914" s="4" t="n"/>
      <c r="H914" s="4" t="n"/>
      <c r="I914" s="4" t="n"/>
      <c r="J914" s="4" t="n"/>
      <c r="K914" s="4" t="n"/>
      <c r="L914" s="4" t="n"/>
      <c r="M914" s="4" t="n"/>
      <c r="N914" s="4" t="n"/>
      <c r="O914" s="4" t="n"/>
      <c r="P914" s="4" t="n"/>
      <c r="Q914" s="4" t="n"/>
      <c r="R914" s="4" t="n"/>
    </row>
    <row r="915" ht="15.75" customHeight="1" s="108">
      <c r="A915" s="4" t="n"/>
      <c r="B915" s="4" t="n"/>
      <c r="C915" s="4" t="n"/>
      <c r="D915" s="4" t="n"/>
      <c r="E915" s="4" t="n"/>
      <c r="F915" s="4" t="n"/>
      <c r="G915" s="4" t="n"/>
      <c r="H915" s="4" t="n"/>
      <c r="I915" s="4" t="n"/>
      <c r="J915" s="4" t="n"/>
      <c r="K915" s="4" t="n"/>
      <c r="L915" s="4" t="n"/>
      <c r="M915" s="4" t="n"/>
      <c r="N915" s="4" t="n"/>
      <c r="O915" s="4" t="n"/>
      <c r="P915" s="4" t="n"/>
      <c r="Q915" s="4" t="n"/>
      <c r="R915" s="4" t="n"/>
    </row>
    <row r="916" ht="15.75" customHeight="1" s="108">
      <c r="A916" s="4" t="n"/>
      <c r="B916" s="4" t="n"/>
      <c r="C916" s="4" t="n"/>
      <c r="D916" s="4" t="n"/>
      <c r="E916" s="4" t="n"/>
      <c r="F916" s="4" t="n"/>
      <c r="G916" s="4" t="n"/>
      <c r="H916" s="4" t="n"/>
      <c r="I916" s="4" t="n"/>
      <c r="J916" s="4" t="n"/>
      <c r="K916" s="4" t="n"/>
      <c r="L916" s="4" t="n"/>
      <c r="M916" s="4" t="n"/>
      <c r="N916" s="4" t="n"/>
      <c r="O916" s="4" t="n"/>
      <c r="P916" s="4" t="n"/>
      <c r="Q916" s="4" t="n"/>
      <c r="R916" s="4" t="n"/>
    </row>
    <row r="917" ht="15.75" customHeight="1" s="108">
      <c r="A917" s="4" t="n"/>
      <c r="B917" s="4" t="n"/>
      <c r="C917" s="4" t="n"/>
      <c r="D917" s="4" t="n"/>
      <c r="E917" s="4" t="n"/>
      <c r="F917" s="4" t="n"/>
      <c r="G917" s="4" t="n"/>
      <c r="H917" s="4" t="n"/>
      <c r="I917" s="4" t="n"/>
      <c r="J917" s="4" t="n"/>
      <c r="K917" s="4" t="n"/>
      <c r="L917" s="4" t="n"/>
      <c r="M917" s="4" t="n"/>
      <c r="N917" s="4" t="n"/>
      <c r="O917" s="4" t="n"/>
      <c r="P917" s="4" t="n"/>
      <c r="Q917" s="4" t="n"/>
      <c r="R917" s="4" t="n"/>
    </row>
    <row r="918" ht="15.75" customHeight="1" s="108">
      <c r="A918" s="4" t="n"/>
      <c r="B918" s="4" t="n"/>
      <c r="C918" s="4" t="n"/>
      <c r="D918" s="4" t="n"/>
      <c r="E918" s="4" t="n"/>
      <c r="F918" s="4" t="n"/>
      <c r="G918" s="4" t="n"/>
      <c r="H918" s="4" t="n"/>
      <c r="I918" s="4" t="n"/>
      <c r="J918" s="4" t="n"/>
      <c r="K918" s="4" t="n"/>
      <c r="L918" s="4" t="n"/>
      <c r="M918" s="4" t="n"/>
      <c r="N918" s="4" t="n"/>
      <c r="O918" s="4" t="n"/>
      <c r="P918" s="4" t="n"/>
      <c r="Q918" s="4" t="n"/>
      <c r="R918" s="4" t="n"/>
    </row>
    <row r="919" ht="15.75" customHeight="1" s="108">
      <c r="A919" s="4" t="n"/>
      <c r="B919" s="4" t="n"/>
      <c r="C919" s="4" t="n"/>
      <c r="D919" s="4" t="n"/>
      <c r="E919" s="4" t="n"/>
      <c r="F919" s="4" t="n"/>
      <c r="G919" s="4" t="n"/>
      <c r="H919" s="4" t="n"/>
      <c r="I919" s="4" t="n"/>
      <c r="J919" s="4" t="n"/>
      <c r="K919" s="4" t="n"/>
      <c r="L919" s="4" t="n"/>
      <c r="M919" s="4" t="n"/>
      <c r="N919" s="4" t="n"/>
      <c r="O919" s="4" t="n"/>
      <c r="P919" s="4" t="n"/>
      <c r="Q919" s="4" t="n"/>
      <c r="R919" s="4" t="n"/>
    </row>
    <row r="920" ht="15.75" customHeight="1" s="108">
      <c r="A920" s="4" t="n"/>
      <c r="B920" s="4" t="n"/>
      <c r="C920" s="4" t="n"/>
      <c r="D920" s="4" t="n"/>
      <c r="E920" s="4" t="n"/>
      <c r="F920" s="4" t="n"/>
      <c r="G920" s="4" t="n"/>
      <c r="H920" s="4" t="n"/>
      <c r="I920" s="4" t="n"/>
      <c r="J920" s="4" t="n"/>
      <c r="K920" s="4" t="n"/>
      <c r="L920" s="4" t="n"/>
      <c r="M920" s="4" t="n"/>
      <c r="N920" s="4" t="n"/>
      <c r="O920" s="4" t="n"/>
      <c r="P920" s="4" t="n"/>
      <c r="Q920" s="4" t="n"/>
      <c r="R920" s="4" t="n"/>
    </row>
    <row r="921" ht="15.75" customHeight="1" s="108">
      <c r="A921" s="4" t="n"/>
      <c r="B921" s="4" t="n"/>
      <c r="C921" s="4" t="n"/>
      <c r="D921" s="4" t="n"/>
      <c r="E921" s="4" t="n"/>
      <c r="F921" s="4" t="n"/>
      <c r="G921" s="4" t="n"/>
      <c r="H921" s="4" t="n"/>
      <c r="I921" s="4" t="n"/>
      <c r="J921" s="4" t="n"/>
      <c r="K921" s="4" t="n"/>
      <c r="L921" s="4" t="n"/>
      <c r="M921" s="4" t="n"/>
      <c r="N921" s="4" t="n"/>
      <c r="O921" s="4" t="n"/>
      <c r="P921" s="4" t="n"/>
      <c r="Q921" s="4" t="n"/>
      <c r="R921" s="4" t="n"/>
    </row>
    <row r="922" ht="15.75" customHeight="1" s="108">
      <c r="A922" s="4" t="n"/>
      <c r="B922" s="4" t="n"/>
      <c r="C922" s="4" t="n"/>
      <c r="D922" s="4" t="n"/>
      <c r="E922" s="4" t="n"/>
      <c r="F922" s="4" t="n"/>
      <c r="G922" s="4" t="n"/>
      <c r="H922" s="4" t="n"/>
      <c r="I922" s="4" t="n"/>
      <c r="J922" s="4" t="n"/>
      <c r="K922" s="4" t="n"/>
      <c r="L922" s="4" t="n"/>
      <c r="M922" s="4" t="n"/>
      <c r="N922" s="4" t="n"/>
      <c r="O922" s="4" t="n"/>
      <c r="P922" s="4" t="n"/>
      <c r="Q922" s="4" t="n"/>
      <c r="R922" s="4" t="n"/>
    </row>
    <row r="923" ht="15.75" customHeight="1" s="108">
      <c r="A923" s="4" t="n"/>
      <c r="B923" s="4" t="n"/>
      <c r="C923" s="4" t="n"/>
      <c r="D923" s="4" t="n"/>
      <c r="E923" s="4" t="n"/>
      <c r="F923" s="4" t="n"/>
      <c r="G923" s="4" t="n"/>
      <c r="H923" s="4" t="n"/>
      <c r="I923" s="4" t="n"/>
      <c r="J923" s="4" t="n"/>
      <c r="K923" s="4" t="n"/>
      <c r="L923" s="4" t="n"/>
      <c r="M923" s="4" t="n"/>
      <c r="N923" s="4" t="n"/>
      <c r="O923" s="4" t="n"/>
      <c r="P923" s="4" t="n"/>
      <c r="Q923" s="4" t="n"/>
      <c r="R923" s="4" t="n"/>
    </row>
    <row r="924" ht="15.75" customHeight="1" s="108">
      <c r="A924" s="4" t="n"/>
      <c r="B924" s="4" t="n"/>
      <c r="C924" s="4" t="n"/>
      <c r="D924" s="4" t="n"/>
      <c r="E924" s="4" t="n"/>
      <c r="F924" s="4" t="n"/>
      <c r="G924" s="4" t="n"/>
      <c r="H924" s="4" t="n"/>
      <c r="I924" s="4" t="n"/>
      <c r="J924" s="4" t="n"/>
      <c r="K924" s="4" t="n"/>
      <c r="L924" s="4" t="n"/>
      <c r="M924" s="4" t="n"/>
      <c r="N924" s="4" t="n"/>
      <c r="O924" s="4" t="n"/>
      <c r="P924" s="4" t="n"/>
      <c r="Q924" s="4" t="n"/>
      <c r="R924" s="4" t="n"/>
    </row>
    <row r="925" ht="15.75" customHeight="1" s="108">
      <c r="A925" s="4" t="n"/>
      <c r="B925" s="4" t="n"/>
      <c r="C925" s="4" t="n"/>
      <c r="D925" s="4" t="n"/>
      <c r="E925" s="4" t="n"/>
      <c r="F925" s="4" t="n"/>
      <c r="G925" s="4" t="n"/>
      <c r="H925" s="4" t="n"/>
      <c r="I925" s="4" t="n"/>
      <c r="J925" s="4" t="n"/>
      <c r="K925" s="4" t="n"/>
      <c r="L925" s="4" t="n"/>
      <c r="M925" s="4" t="n"/>
      <c r="N925" s="4" t="n"/>
      <c r="O925" s="4" t="n"/>
      <c r="P925" s="4" t="n"/>
      <c r="Q925" s="4" t="n"/>
      <c r="R925" s="4" t="n"/>
    </row>
    <row r="926" ht="15.75" customHeight="1" s="108">
      <c r="A926" s="4" t="n"/>
      <c r="B926" s="4" t="n"/>
      <c r="C926" s="4" t="n"/>
      <c r="D926" s="4" t="n"/>
      <c r="E926" s="4" t="n"/>
      <c r="F926" s="4" t="n"/>
      <c r="G926" s="4" t="n"/>
      <c r="H926" s="4" t="n"/>
      <c r="I926" s="4" t="n"/>
      <c r="J926" s="4" t="n"/>
      <c r="K926" s="4" t="n"/>
      <c r="L926" s="4" t="n"/>
      <c r="M926" s="4" t="n"/>
      <c r="N926" s="4" t="n"/>
      <c r="O926" s="4" t="n"/>
      <c r="P926" s="4" t="n"/>
      <c r="Q926" s="4" t="n"/>
      <c r="R926" s="4" t="n"/>
    </row>
    <row r="927" ht="15.75" customHeight="1" s="108">
      <c r="A927" s="4" t="n"/>
      <c r="B927" s="4" t="n"/>
      <c r="C927" s="4" t="n"/>
      <c r="D927" s="4" t="n"/>
      <c r="E927" s="4" t="n"/>
      <c r="F927" s="4" t="n"/>
      <c r="G927" s="4" t="n"/>
      <c r="H927" s="4" t="n"/>
      <c r="I927" s="4" t="n"/>
      <c r="J927" s="4" t="n"/>
      <c r="K927" s="4" t="n"/>
      <c r="L927" s="4" t="n"/>
      <c r="M927" s="4" t="n"/>
      <c r="N927" s="4" t="n"/>
      <c r="O927" s="4" t="n"/>
      <c r="P927" s="4" t="n"/>
      <c r="Q927" s="4" t="n"/>
      <c r="R927" s="4" t="n"/>
    </row>
    <row r="928" ht="15.75" customHeight="1" s="108">
      <c r="A928" s="4" t="n"/>
      <c r="B928" s="4" t="n"/>
      <c r="C928" s="4" t="n"/>
      <c r="D928" s="4" t="n"/>
      <c r="E928" s="4" t="n"/>
      <c r="F928" s="4" t="n"/>
      <c r="G928" s="4" t="n"/>
      <c r="H928" s="4" t="n"/>
      <c r="I928" s="4" t="n"/>
      <c r="J928" s="4" t="n"/>
      <c r="K928" s="4" t="n"/>
      <c r="L928" s="4" t="n"/>
      <c r="M928" s="4" t="n"/>
      <c r="N928" s="4" t="n"/>
      <c r="O928" s="4" t="n"/>
      <c r="P928" s="4" t="n"/>
      <c r="Q928" s="4" t="n"/>
      <c r="R928" s="4" t="n"/>
    </row>
    <row r="929" ht="15.75" customHeight="1" s="108">
      <c r="A929" s="4" t="n"/>
      <c r="B929" s="4" t="n"/>
      <c r="C929" s="4" t="n"/>
      <c r="D929" s="4" t="n"/>
      <c r="E929" s="4" t="n"/>
      <c r="F929" s="4" t="n"/>
      <c r="G929" s="4" t="n"/>
      <c r="H929" s="4" t="n"/>
      <c r="I929" s="4" t="n"/>
      <c r="J929" s="4" t="n"/>
      <c r="K929" s="4" t="n"/>
      <c r="L929" s="4" t="n"/>
      <c r="M929" s="4" t="n"/>
      <c r="N929" s="4" t="n"/>
      <c r="O929" s="4" t="n"/>
      <c r="P929" s="4" t="n"/>
      <c r="Q929" s="4" t="n"/>
      <c r="R929" s="4" t="n"/>
    </row>
    <row r="930" ht="15.75" customHeight="1" s="108">
      <c r="A930" s="4" t="n"/>
      <c r="B930" s="4" t="n"/>
      <c r="C930" s="4" t="n"/>
      <c r="D930" s="4" t="n"/>
      <c r="E930" s="4" t="n"/>
      <c r="F930" s="4" t="n"/>
      <c r="G930" s="4" t="n"/>
      <c r="H930" s="4" t="n"/>
      <c r="I930" s="4" t="n"/>
      <c r="J930" s="4" t="n"/>
      <c r="K930" s="4" t="n"/>
      <c r="L930" s="4" t="n"/>
      <c r="M930" s="4" t="n"/>
      <c r="N930" s="4" t="n"/>
      <c r="O930" s="4" t="n"/>
      <c r="P930" s="4" t="n"/>
      <c r="Q930" s="4" t="n"/>
      <c r="R930" s="4" t="n"/>
    </row>
    <row r="931" ht="15.75" customHeight="1" s="108">
      <c r="A931" s="4" t="n"/>
      <c r="B931" s="4" t="n"/>
      <c r="C931" s="4" t="n"/>
      <c r="D931" s="4" t="n"/>
      <c r="E931" s="4" t="n"/>
      <c r="F931" s="4" t="n"/>
      <c r="G931" s="4" t="n"/>
      <c r="H931" s="4" t="n"/>
      <c r="I931" s="4" t="n"/>
      <c r="J931" s="4" t="n"/>
      <c r="K931" s="4" t="n"/>
      <c r="L931" s="4" t="n"/>
      <c r="M931" s="4" t="n"/>
      <c r="N931" s="4" t="n"/>
      <c r="O931" s="4" t="n"/>
      <c r="P931" s="4" t="n"/>
      <c r="Q931" s="4" t="n"/>
      <c r="R931" s="4" t="n"/>
    </row>
    <row r="932" ht="15.75" customHeight="1" s="108">
      <c r="A932" s="4" t="n"/>
      <c r="B932" s="4" t="n"/>
      <c r="C932" s="4" t="n"/>
      <c r="D932" s="4" t="n"/>
      <c r="E932" s="4" t="n"/>
      <c r="F932" s="4" t="n"/>
      <c r="G932" s="4" t="n"/>
      <c r="H932" s="4" t="n"/>
      <c r="I932" s="4" t="n"/>
      <c r="J932" s="4" t="n"/>
      <c r="K932" s="4" t="n"/>
      <c r="L932" s="4" t="n"/>
      <c r="M932" s="4" t="n"/>
      <c r="N932" s="4" t="n"/>
      <c r="O932" s="4" t="n"/>
      <c r="P932" s="4" t="n"/>
      <c r="Q932" s="4" t="n"/>
      <c r="R932" s="4" t="n"/>
    </row>
    <row r="933" ht="15.75" customHeight="1" s="108">
      <c r="A933" s="4" t="n"/>
      <c r="B933" s="4" t="n"/>
      <c r="C933" s="4" t="n"/>
      <c r="D933" s="4" t="n"/>
      <c r="E933" s="4" t="n"/>
      <c r="F933" s="4" t="n"/>
      <c r="G933" s="4" t="n"/>
      <c r="H933" s="4" t="n"/>
      <c r="I933" s="4" t="n"/>
      <c r="J933" s="4" t="n"/>
      <c r="K933" s="4" t="n"/>
      <c r="L933" s="4" t="n"/>
      <c r="M933" s="4" t="n"/>
      <c r="N933" s="4" t="n"/>
      <c r="O933" s="4" t="n"/>
      <c r="P933" s="4" t="n"/>
      <c r="Q933" s="4" t="n"/>
      <c r="R933" s="4" t="n"/>
    </row>
    <row r="934" ht="15.75" customHeight="1" s="108">
      <c r="A934" s="4" t="n"/>
      <c r="B934" s="4" t="n"/>
      <c r="C934" s="4" t="n"/>
      <c r="D934" s="4" t="n"/>
      <c r="E934" s="4" t="n"/>
      <c r="F934" s="4" t="n"/>
      <c r="G934" s="4" t="n"/>
      <c r="H934" s="4" t="n"/>
      <c r="I934" s="4" t="n"/>
      <c r="J934" s="4" t="n"/>
      <c r="K934" s="4" t="n"/>
      <c r="L934" s="4" t="n"/>
      <c r="M934" s="4" t="n"/>
      <c r="N934" s="4" t="n"/>
      <c r="O934" s="4" t="n"/>
      <c r="P934" s="4" t="n"/>
      <c r="Q934" s="4" t="n"/>
      <c r="R934" s="4" t="n"/>
    </row>
    <row r="935" ht="15.75" customHeight="1" s="108">
      <c r="A935" s="4" t="n"/>
      <c r="B935" s="4" t="n"/>
      <c r="C935" s="4" t="n"/>
      <c r="D935" s="4" t="n"/>
      <c r="E935" s="4" t="n"/>
      <c r="F935" s="4" t="n"/>
      <c r="G935" s="4" t="n"/>
      <c r="H935" s="4" t="n"/>
      <c r="I935" s="4" t="n"/>
      <c r="J935" s="4" t="n"/>
      <c r="K935" s="4" t="n"/>
      <c r="L935" s="4" t="n"/>
      <c r="M935" s="4" t="n"/>
      <c r="N935" s="4" t="n"/>
      <c r="O935" s="4" t="n"/>
      <c r="P935" s="4" t="n"/>
      <c r="Q935" s="4" t="n"/>
      <c r="R935" s="4" t="n"/>
    </row>
    <row r="936" ht="15.75" customHeight="1" s="108">
      <c r="A936" s="4" t="n"/>
      <c r="B936" s="4" t="n"/>
      <c r="C936" s="4" t="n"/>
      <c r="D936" s="4" t="n"/>
      <c r="E936" s="4" t="n"/>
      <c r="F936" s="4" t="n"/>
      <c r="G936" s="4" t="n"/>
      <c r="H936" s="4" t="n"/>
      <c r="I936" s="4" t="n"/>
      <c r="J936" s="4" t="n"/>
      <c r="K936" s="4" t="n"/>
      <c r="L936" s="4" t="n"/>
      <c r="M936" s="4" t="n"/>
      <c r="N936" s="4" t="n"/>
      <c r="O936" s="4" t="n"/>
      <c r="P936" s="4" t="n"/>
      <c r="Q936" s="4" t="n"/>
      <c r="R936" s="4" t="n"/>
    </row>
    <row r="937" ht="15.75" customHeight="1" s="108">
      <c r="A937" s="4" t="n"/>
      <c r="B937" s="4" t="n"/>
      <c r="C937" s="4" t="n"/>
      <c r="D937" s="4" t="n"/>
      <c r="E937" s="4" t="n"/>
      <c r="F937" s="4" t="n"/>
      <c r="G937" s="4" t="n"/>
      <c r="H937" s="4" t="n"/>
      <c r="I937" s="4" t="n"/>
      <c r="J937" s="4" t="n"/>
      <c r="K937" s="4" t="n"/>
      <c r="L937" s="4" t="n"/>
      <c r="M937" s="4" t="n"/>
      <c r="N937" s="4" t="n"/>
      <c r="O937" s="4" t="n"/>
      <c r="P937" s="4" t="n"/>
      <c r="Q937" s="4" t="n"/>
      <c r="R937" s="4" t="n"/>
    </row>
    <row r="938" ht="15.75" customHeight="1" s="108">
      <c r="A938" s="4" t="n"/>
      <c r="B938" s="4" t="n"/>
      <c r="C938" s="4" t="n"/>
      <c r="D938" s="4" t="n"/>
      <c r="E938" s="4" t="n"/>
      <c r="F938" s="4" t="n"/>
      <c r="G938" s="4" t="n"/>
      <c r="H938" s="4" t="n"/>
      <c r="I938" s="4" t="n"/>
      <c r="J938" s="4" t="n"/>
      <c r="K938" s="4" t="n"/>
      <c r="L938" s="4" t="n"/>
      <c r="M938" s="4" t="n"/>
      <c r="N938" s="4" t="n"/>
      <c r="O938" s="4" t="n"/>
      <c r="P938" s="4" t="n"/>
      <c r="Q938" s="4" t="n"/>
      <c r="R938" s="4" t="n"/>
    </row>
    <row r="939" ht="15.75" customHeight="1" s="108">
      <c r="A939" s="4" t="n"/>
      <c r="B939" s="4" t="n"/>
      <c r="C939" s="4" t="n"/>
      <c r="D939" s="4" t="n"/>
      <c r="E939" s="4" t="n"/>
      <c r="F939" s="4" t="n"/>
      <c r="G939" s="4" t="n"/>
      <c r="H939" s="4" t="n"/>
      <c r="I939" s="4" t="n"/>
      <c r="J939" s="4" t="n"/>
      <c r="K939" s="4" t="n"/>
      <c r="L939" s="4" t="n"/>
      <c r="M939" s="4" t="n"/>
      <c r="N939" s="4" t="n"/>
      <c r="O939" s="4" t="n"/>
      <c r="P939" s="4" t="n"/>
      <c r="Q939" s="4" t="n"/>
      <c r="R939" s="4" t="n"/>
    </row>
    <row r="940" ht="15.75" customHeight="1" s="108">
      <c r="A940" s="4" t="n"/>
      <c r="B940" s="4" t="n"/>
      <c r="C940" s="4" t="n"/>
      <c r="D940" s="4" t="n"/>
      <c r="E940" s="4" t="n"/>
      <c r="F940" s="4" t="n"/>
      <c r="G940" s="4" t="n"/>
      <c r="H940" s="4" t="n"/>
      <c r="I940" s="4" t="n"/>
      <c r="J940" s="4" t="n"/>
      <c r="K940" s="4" t="n"/>
      <c r="L940" s="4" t="n"/>
      <c r="M940" s="4" t="n"/>
      <c r="N940" s="4" t="n"/>
      <c r="O940" s="4" t="n"/>
      <c r="P940" s="4" t="n"/>
      <c r="Q940" s="4" t="n"/>
      <c r="R940" s="4" t="n"/>
    </row>
    <row r="941" ht="15.75" customHeight="1" s="108">
      <c r="A941" s="4" t="n"/>
      <c r="B941" s="4" t="n"/>
      <c r="C941" s="4" t="n"/>
      <c r="D941" s="4" t="n"/>
      <c r="E941" s="4" t="n"/>
      <c r="F941" s="4" t="n"/>
      <c r="G941" s="4" t="n"/>
      <c r="H941" s="4" t="n"/>
      <c r="I941" s="4" t="n"/>
      <c r="J941" s="4" t="n"/>
      <c r="K941" s="4" t="n"/>
      <c r="L941" s="4" t="n"/>
      <c r="M941" s="4" t="n"/>
      <c r="N941" s="4" t="n"/>
      <c r="O941" s="4" t="n"/>
      <c r="P941" s="4" t="n"/>
      <c r="Q941" s="4" t="n"/>
      <c r="R941" s="4" t="n"/>
    </row>
    <row r="942" ht="15.75" customHeight="1" s="108">
      <c r="A942" s="4" t="n"/>
      <c r="B942" s="4" t="n"/>
      <c r="C942" s="4" t="n"/>
      <c r="D942" s="4" t="n"/>
      <c r="E942" s="4" t="n"/>
      <c r="F942" s="4" t="n"/>
      <c r="G942" s="4" t="n"/>
      <c r="H942" s="4" t="n"/>
      <c r="I942" s="4" t="n"/>
      <c r="J942" s="4" t="n"/>
      <c r="K942" s="4" t="n"/>
      <c r="L942" s="4" t="n"/>
      <c r="M942" s="4" t="n"/>
      <c r="N942" s="4" t="n"/>
      <c r="O942" s="4" t="n"/>
      <c r="P942" s="4" t="n"/>
      <c r="Q942" s="4" t="n"/>
      <c r="R942" s="4" t="n"/>
    </row>
    <row r="943" ht="15.75" customHeight="1" s="108">
      <c r="A943" s="4" t="n"/>
      <c r="B943" s="4" t="n"/>
      <c r="C943" s="4" t="n"/>
      <c r="D943" s="4" t="n"/>
      <c r="E943" s="4" t="n"/>
      <c r="F943" s="4" t="n"/>
      <c r="G943" s="4" t="n"/>
      <c r="H943" s="4" t="n"/>
      <c r="I943" s="4" t="n"/>
      <c r="J943" s="4" t="n"/>
      <c r="K943" s="4" t="n"/>
      <c r="L943" s="4" t="n"/>
      <c r="M943" s="4" t="n"/>
      <c r="N943" s="4" t="n"/>
      <c r="O943" s="4" t="n"/>
      <c r="P943" s="4" t="n"/>
      <c r="Q943" s="4" t="n"/>
      <c r="R943" s="4" t="n"/>
    </row>
    <row r="944" ht="15.75" customHeight="1" s="108">
      <c r="A944" s="4" t="n"/>
      <c r="B944" s="4" t="n"/>
      <c r="C944" s="4" t="n"/>
      <c r="D944" s="4" t="n"/>
      <c r="E944" s="4" t="n"/>
      <c r="F944" s="4" t="n"/>
      <c r="G944" s="4" t="n"/>
      <c r="H944" s="4" t="n"/>
      <c r="I944" s="4" t="n"/>
      <c r="J944" s="4" t="n"/>
      <c r="K944" s="4" t="n"/>
      <c r="L944" s="4" t="n"/>
      <c r="M944" s="4" t="n"/>
      <c r="N944" s="4" t="n"/>
      <c r="O944" s="4" t="n"/>
      <c r="P944" s="4" t="n"/>
      <c r="Q944" s="4" t="n"/>
      <c r="R944" s="4" t="n"/>
    </row>
    <row r="945" ht="15.75" customHeight="1" s="108">
      <c r="A945" s="4" t="n"/>
      <c r="B945" s="4" t="n"/>
      <c r="C945" s="4" t="n"/>
      <c r="D945" s="4" t="n"/>
      <c r="E945" s="4" t="n"/>
      <c r="F945" s="4" t="n"/>
      <c r="G945" s="4" t="n"/>
      <c r="H945" s="4" t="n"/>
      <c r="I945" s="4" t="n"/>
      <c r="J945" s="4" t="n"/>
      <c r="K945" s="4" t="n"/>
      <c r="L945" s="4" t="n"/>
      <c r="M945" s="4" t="n"/>
      <c r="N945" s="4" t="n"/>
      <c r="O945" s="4" t="n"/>
      <c r="P945" s="4" t="n"/>
      <c r="Q945" s="4" t="n"/>
      <c r="R945" s="4" t="n"/>
    </row>
    <row r="946" ht="15.75" customHeight="1" s="108">
      <c r="A946" s="4" t="n"/>
      <c r="B946" s="4" t="n"/>
      <c r="C946" s="4" t="n"/>
      <c r="D946" s="4" t="n"/>
      <c r="E946" s="4" t="n"/>
      <c r="F946" s="4" t="n"/>
      <c r="G946" s="4" t="n"/>
      <c r="H946" s="4" t="n"/>
      <c r="I946" s="4" t="n"/>
      <c r="J946" s="4" t="n"/>
      <c r="K946" s="4" t="n"/>
      <c r="L946" s="4" t="n"/>
      <c r="M946" s="4" t="n"/>
      <c r="N946" s="4" t="n"/>
      <c r="O946" s="4" t="n"/>
      <c r="P946" s="4" t="n"/>
      <c r="Q946" s="4" t="n"/>
      <c r="R946" s="4" t="n"/>
    </row>
    <row r="947" ht="15.75" customHeight="1" s="108">
      <c r="A947" s="4" t="n"/>
      <c r="B947" s="4" t="n"/>
      <c r="C947" s="4" t="n"/>
      <c r="D947" s="4" t="n"/>
      <c r="E947" s="4" t="n"/>
      <c r="F947" s="4" t="n"/>
      <c r="G947" s="4" t="n"/>
      <c r="H947" s="4" t="n"/>
      <c r="I947" s="4" t="n"/>
      <c r="J947" s="4" t="n"/>
      <c r="K947" s="4" t="n"/>
      <c r="L947" s="4" t="n"/>
      <c r="M947" s="4" t="n"/>
      <c r="N947" s="4" t="n"/>
      <c r="O947" s="4" t="n"/>
      <c r="P947" s="4" t="n"/>
      <c r="Q947" s="4" t="n"/>
      <c r="R947" s="4" t="n"/>
    </row>
    <row r="948" ht="15.75" customHeight="1" s="108">
      <c r="A948" s="4" t="n"/>
      <c r="B948" s="4" t="n"/>
      <c r="C948" s="4" t="n"/>
      <c r="D948" s="4" t="n"/>
      <c r="E948" s="4" t="n"/>
      <c r="F948" s="4" t="n"/>
      <c r="G948" s="4" t="n"/>
      <c r="H948" s="4" t="n"/>
      <c r="I948" s="4" t="n"/>
      <c r="J948" s="4" t="n"/>
      <c r="K948" s="4" t="n"/>
      <c r="L948" s="4" t="n"/>
      <c r="M948" s="4" t="n"/>
      <c r="N948" s="4" t="n"/>
      <c r="O948" s="4" t="n"/>
      <c r="P948" s="4" t="n"/>
      <c r="Q948" s="4" t="n"/>
      <c r="R948" s="4" t="n"/>
    </row>
    <row r="949" ht="15.75" customHeight="1" s="108">
      <c r="A949" s="4" t="n"/>
      <c r="B949" s="4" t="n"/>
      <c r="C949" s="4" t="n"/>
      <c r="D949" s="4" t="n"/>
      <c r="E949" s="4" t="n"/>
      <c r="F949" s="4" t="n"/>
      <c r="G949" s="4" t="n"/>
      <c r="H949" s="4" t="n"/>
      <c r="I949" s="4" t="n"/>
      <c r="J949" s="4" t="n"/>
      <c r="K949" s="4" t="n"/>
      <c r="L949" s="4" t="n"/>
      <c r="M949" s="4" t="n"/>
      <c r="N949" s="4" t="n"/>
      <c r="O949" s="4" t="n"/>
      <c r="P949" s="4" t="n"/>
      <c r="Q949" s="4" t="n"/>
      <c r="R949" s="4" t="n"/>
    </row>
    <row r="950" ht="15.75" customHeight="1" s="108">
      <c r="A950" s="4" t="n"/>
      <c r="B950" s="4" t="n"/>
      <c r="C950" s="4" t="n"/>
      <c r="D950" s="4" t="n"/>
      <c r="E950" s="4" t="n"/>
      <c r="F950" s="4" t="n"/>
      <c r="G950" s="4" t="n"/>
      <c r="H950" s="4" t="n"/>
      <c r="I950" s="4" t="n"/>
      <c r="J950" s="4" t="n"/>
      <c r="K950" s="4" t="n"/>
      <c r="L950" s="4" t="n"/>
      <c r="M950" s="4" t="n"/>
      <c r="N950" s="4" t="n"/>
      <c r="O950" s="4" t="n"/>
      <c r="P950" s="4" t="n"/>
      <c r="Q950" s="4" t="n"/>
      <c r="R950" s="4" t="n"/>
    </row>
    <row r="951" ht="15.75" customHeight="1" s="108">
      <c r="A951" s="4" t="n"/>
      <c r="B951" s="4" t="n"/>
      <c r="C951" s="4" t="n"/>
      <c r="D951" s="4" t="n"/>
      <c r="E951" s="4" t="n"/>
      <c r="F951" s="4" t="n"/>
      <c r="G951" s="4" t="n"/>
      <c r="H951" s="4" t="n"/>
      <c r="I951" s="4" t="n"/>
      <c r="J951" s="4" t="n"/>
      <c r="K951" s="4" t="n"/>
      <c r="L951" s="4" t="n"/>
      <c r="M951" s="4" t="n"/>
      <c r="N951" s="4" t="n"/>
      <c r="O951" s="4" t="n"/>
      <c r="P951" s="4" t="n"/>
      <c r="Q951" s="4" t="n"/>
      <c r="R951" s="4" t="n"/>
    </row>
    <row r="952" ht="15.75" customHeight="1" s="108">
      <c r="A952" s="4" t="n"/>
      <c r="B952" s="4" t="n"/>
      <c r="C952" s="4" t="n"/>
      <c r="D952" s="4" t="n"/>
      <c r="E952" s="4" t="n"/>
      <c r="F952" s="4" t="n"/>
      <c r="G952" s="4" t="n"/>
      <c r="H952" s="4" t="n"/>
      <c r="I952" s="4" t="n"/>
      <c r="J952" s="4" t="n"/>
      <c r="K952" s="4" t="n"/>
      <c r="L952" s="4" t="n"/>
      <c r="M952" s="4" t="n"/>
      <c r="N952" s="4" t="n"/>
      <c r="O952" s="4" t="n"/>
      <c r="P952" s="4" t="n"/>
      <c r="Q952" s="4" t="n"/>
      <c r="R952" s="4" t="n"/>
    </row>
    <row r="953" ht="15.75" customHeight="1" s="108">
      <c r="A953" s="4" t="n"/>
      <c r="B953" s="4" t="n"/>
      <c r="C953" s="4" t="n"/>
      <c r="D953" s="4" t="n"/>
      <c r="E953" s="4" t="n"/>
      <c r="F953" s="4" t="n"/>
      <c r="G953" s="4" t="n"/>
      <c r="H953" s="4" t="n"/>
      <c r="I953" s="4" t="n"/>
      <c r="J953" s="4" t="n"/>
      <c r="K953" s="4" t="n"/>
      <c r="L953" s="4" t="n"/>
      <c r="M953" s="4" t="n"/>
      <c r="N953" s="4" t="n"/>
      <c r="O953" s="4" t="n"/>
      <c r="P953" s="4" t="n"/>
      <c r="Q953" s="4" t="n"/>
      <c r="R953" s="4" t="n"/>
    </row>
    <row r="954" ht="15.75" customHeight="1" s="108">
      <c r="A954" s="4" t="n"/>
      <c r="B954" s="4" t="n"/>
      <c r="C954" s="4" t="n"/>
      <c r="D954" s="4" t="n"/>
      <c r="E954" s="4" t="n"/>
      <c r="F954" s="4" t="n"/>
      <c r="G954" s="4" t="n"/>
      <c r="H954" s="4" t="n"/>
      <c r="I954" s="4" t="n"/>
      <c r="J954" s="4" t="n"/>
      <c r="K954" s="4" t="n"/>
      <c r="L954" s="4" t="n"/>
      <c r="M954" s="4" t="n"/>
      <c r="N954" s="4" t="n"/>
      <c r="O954" s="4" t="n"/>
      <c r="P954" s="4" t="n"/>
      <c r="Q954" s="4" t="n"/>
      <c r="R954" s="4" t="n"/>
    </row>
    <row r="955" ht="15.75" customHeight="1" s="108">
      <c r="A955" s="4" t="n"/>
      <c r="B955" s="4" t="n"/>
      <c r="C955" s="4" t="n"/>
      <c r="D955" s="4" t="n"/>
      <c r="E955" s="4" t="n"/>
      <c r="F955" s="4" t="n"/>
      <c r="G955" s="4" t="n"/>
      <c r="H955" s="4" t="n"/>
      <c r="I955" s="4" t="n"/>
      <c r="J955" s="4" t="n"/>
      <c r="K955" s="4" t="n"/>
      <c r="L955" s="4" t="n"/>
      <c r="M955" s="4" t="n"/>
      <c r="N955" s="4" t="n"/>
      <c r="O955" s="4" t="n"/>
      <c r="P955" s="4" t="n"/>
      <c r="Q955" s="4" t="n"/>
      <c r="R955" s="4" t="n"/>
    </row>
    <row r="956" ht="15.75" customHeight="1" s="108">
      <c r="A956" s="4" t="n"/>
      <c r="B956" s="4" t="n"/>
      <c r="C956" s="4" t="n"/>
      <c r="D956" s="4" t="n"/>
      <c r="E956" s="4" t="n"/>
      <c r="F956" s="4" t="n"/>
      <c r="G956" s="4" t="n"/>
      <c r="H956" s="4" t="n"/>
      <c r="I956" s="4" t="n"/>
      <c r="J956" s="4" t="n"/>
      <c r="K956" s="4" t="n"/>
      <c r="L956" s="4" t="n"/>
      <c r="M956" s="4" t="n"/>
      <c r="N956" s="4" t="n"/>
      <c r="O956" s="4" t="n"/>
      <c r="P956" s="4" t="n"/>
      <c r="Q956" s="4" t="n"/>
      <c r="R956" s="4" t="n"/>
    </row>
    <row r="957" ht="15.75" customHeight="1" s="108">
      <c r="A957" s="4" t="n"/>
      <c r="B957" s="4" t="n"/>
      <c r="C957" s="4" t="n"/>
      <c r="D957" s="4" t="n"/>
      <c r="E957" s="4" t="n"/>
      <c r="F957" s="4" t="n"/>
      <c r="G957" s="4" t="n"/>
      <c r="H957" s="4" t="n"/>
      <c r="I957" s="4" t="n"/>
      <c r="J957" s="4" t="n"/>
      <c r="K957" s="4" t="n"/>
      <c r="L957" s="4" t="n"/>
      <c r="M957" s="4" t="n"/>
      <c r="N957" s="4" t="n"/>
      <c r="O957" s="4" t="n"/>
      <c r="P957" s="4" t="n"/>
      <c r="Q957" s="4" t="n"/>
      <c r="R957" s="4" t="n"/>
    </row>
    <row r="958" ht="15.75" customHeight="1" s="108">
      <c r="A958" s="4" t="n"/>
      <c r="B958" s="4" t="n"/>
      <c r="C958" s="4" t="n"/>
      <c r="D958" s="4" t="n"/>
      <c r="E958" s="4" t="n"/>
      <c r="F958" s="4" t="n"/>
      <c r="G958" s="4" t="n"/>
      <c r="H958" s="4" t="n"/>
      <c r="I958" s="4" t="n"/>
      <c r="J958" s="4" t="n"/>
      <c r="K958" s="4" t="n"/>
      <c r="L958" s="4" t="n"/>
      <c r="M958" s="4" t="n"/>
      <c r="N958" s="4" t="n"/>
      <c r="O958" s="4" t="n"/>
      <c r="P958" s="4" t="n"/>
      <c r="Q958" s="4" t="n"/>
      <c r="R958" s="4" t="n"/>
    </row>
    <row r="959" ht="15.75" customHeight="1" s="108">
      <c r="A959" s="4" t="n"/>
      <c r="B959" s="4" t="n"/>
      <c r="C959" s="4" t="n"/>
      <c r="D959" s="4" t="n"/>
      <c r="E959" s="4" t="n"/>
      <c r="F959" s="4" t="n"/>
      <c r="G959" s="4" t="n"/>
      <c r="H959" s="4" t="n"/>
      <c r="I959" s="4" t="n"/>
      <c r="J959" s="4" t="n"/>
      <c r="K959" s="4" t="n"/>
      <c r="L959" s="4" t="n"/>
      <c r="M959" s="4" t="n"/>
      <c r="N959" s="4" t="n"/>
      <c r="O959" s="4" t="n"/>
      <c r="P959" s="4" t="n"/>
      <c r="Q959" s="4" t="n"/>
      <c r="R959" s="4" t="n"/>
    </row>
    <row r="960" ht="15.75" customHeight="1" s="108">
      <c r="A960" s="4" t="n"/>
      <c r="B960" s="4" t="n"/>
      <c r="C960" s="4" t="n"/>
      <c r="D960" s="4" t="n"/>
      <c r="E960" s="4" t="n"/>
      <c r="F960" s="4" t="n"/>
      <c r="G960" s="4" t="n"/>
      <c r="H960" s="4" t="n"/>
      <c r="I960" s="4" t="n"/>
      <c r="J960" s="4" t="n"/>
      <c r="K960" s="4" t="n"/>
      <c r="L960" s="4" t="n"/>
      <c r="M960" s="4" t="n"/>
      <c r="N960" s="4" t="n"/>
      <c r="O960" s="4" t="n"/>
      <c r="P960" s="4" t="n"/>
      <c r="Q960" s="4" t="n"/>
      <c r="R960" s="4" t="n"/>
    </row>
    <row r="961" ht="15.75" customHeight="1" s="108">
      <c r="A961" s="4" t="n"/>
      <c r="B961" s="4" t="n"/>
      <c r="C961" s="4" t="n"/>
      <c r="D961" s="4" t="n"/>
      <c r="E961" s="4" t="n"/>
      <c r="F961" s="4" t="n"/>
      <c r="G961" s="4" t="n"/>
      <c r="H961" s="4" t="n"/>
      <c r="I961" s="4" t="n"/>
      <c r="J961" s="4" t="n"/>
      <c r="K961" s="4" t="n"/>
      <c r="L961" s="4" t="n"/>
      <c r="M961" s="4" t="n"/>
      <c r="N961" s="4" t="n"/>
      <c r="O961" s="4" t="n"/>
      <c r="P961" s="4" t="n"/>
      <c r="Q961" s="4" t="n"/>
      <c r="R961" s="4" t="n"/>
    </row>
    <row r="962" ht="15.75" customHeight="1" s="108">
      <c r="A962" s="4" t="n"/>
      <c r="B962" s="4" t="n"/>
      <c r="C962" s="4" t="n"/>
      <c r="D962" s="4" t="n"/>
      <c r="E962" s="4" t="n"/>
      <c r="F962" s="4" t="n"/>
      <c r="G962" s="4" t="n"/>
      <c r="H962" s="4" t="n"/>
      <c r="I962" s="4" t="n"/>
      <c r="J962" s="4" t="n"/>
      <c r="K962" s="4" t="n"/>
      <c r="L962" s="4" t="n"/>
      <c r="M962" s="4" t="n"/>
      <c r="N962" s="4" t="n"/>
      <c r="O962" s="4" t="n"/>
      <c r="P962" s="4" t="n"/>
      <c r="Q962" s="4" t="n"/>
      <c r="R962" s="4" t="n"/>
    </row>
    <row r="963" ht="15.75" customHeight="1" s="108">
      <c r="A963" s="4" t="n"/>
      <c r="B963" s="4" t="n"/>
      <c r="C963" s="4" t="n"/>
      <c r="D963" s="4" t="n"/>
      <c r="E963" s="4" t="n"/>
      <c r="F963" s="4" t="n"/>
      <c r="G963" s="4" t="n"/>
      <c r="H963" s="4" t="n"/>
      <c r="I963" s="4" t="n"/>
      <c r="J963" s="4" t="n"/>
      <c r="K963" s="4" t="n"/>
      <c r="L963" s="4" t="n"/>
      <c r="M963" s="4" t="n"/>
      <c r="N963" s="4" t="n"/>
      <c r="O963" s="4" t="n"/>
      <c r="P963" s="4" t="n"/>
      <c r="Q963" s="4" t="n"/>
      <c r="R963" s="4" t="n"/>
    </row>
    <row r="964" ht="15.75" customHeight="1" s="108">
      <c r="A964" s="4" t="n"/>
      <c r="B964" s="4" t="n"/>
      <c r="C964" s="4" t="n"/>
      <c r="D964" s="4" t="n"/>
      <c r="E964" s="4" t="n"/>
      <c r="F964" s="4" t="n"/>
      <c r="G964" s="4" t="n"/>
      <c r="H964" s="4" t="n"/>
      <c r="I964" s="4" t="n"/>
      <c r="J964" s="4" t="n"/>
      <c r="K964" s="4" t="n"/>
      <c r="L964" s="4" t="n"/>
      <c r="M964" s="4" t="n"/>
      <c r="N964" s="4" t="n"/>
      <c r="O964" s="4" t="n"/>
      <c r="P964" s="4" t="n"/>
      <c r="Q964" s="4" t="n"/>
      <c r="R964" s="4" t="n"/>
    </row>
    <row r="965" ht="15.75" customHeight="1" s="108">
      <c r="A965" s="4" t="n"/>
      <c r="B965" s="4" t="n"/>
      <c r="C965" s="4" t="n"/>
      <c r="D965" s="4" t="n"/>
      <c r="E965" s="4" t="n"/>
      <c r="F965" s="4" t="n"/>
      <c r="G965" s="4" t="n"/>
      <c r="H965" s="4" t="n"/>
      <c r="I965" s="4" t="n"/>
      <c r="J965" s="4" t="n"/>
      <c r="K965" s="4" t="n"/>
      <c r="L965" s="4" t="n"/>
      <c r="M965" s="4" t="n"/>
      <c r="N965" s="4" t="n"/>
      <c r="O965" s="4" t="n"/>
      <c r="P965" s="4" t="n"/>
      <c r="Q965" s="4" t="n"/>
      <c r="R965" s="4" t="n"/>
    </row>
    <row r="966" ht="15.75" customHeight="1" s="108">
      <c r="A966" s="4" t="n"/>
      <c r="B966" s="4" t="n"/>
      <c r="C966" s="4" t="n"/>
      <c r="D966" s="4" t="n"/>
      <c r="E966" s="4" t="n"/>
      <c r="F966" s="4" t="n"/>
      <c r="G966" s="4" t="n"/>
      <c r="H966" s="4" t="n"/>
      <c r="I966" s="4" t="n"/>
      <c r="J966" s="4" t="n"/>
      <c r="K966" s="4" t="n"/>
      <c r="L966" s="4" t="n"/>
      <c r="M966" s="4" t="n"/>
      <c r="N966" s="4" t="n"/>
      <c r="O966" s="4" t="n"/>
      <c r="P966" s="4" t="n"/>
      <c r="Q966" s="4" t="n"/>
      <c r="R966" s="4" t="n"/>
    </row>
    <row r="967" ht="15.75" customHeight="1" s="108">
      <c r="A967" s="4" t="n"/>
      <c r="B967" s="4" t="n"/>
      <c r="C967" s="4" t="n"/>
      <c r="D967" s="4" t="n"/>
      <c r="E967" s="4" t="n"/>
      <c r="F967" s="4" t="n"/>
      <c r="G967" s="4" t="n"/>
      <c r="H967" s="4" t="n"/>
      <c r="I967" s="4" t="n"/>
      <c r="J967" s="4" t="n"/>
      <c r="K967" s="4" t="n"/>
      <c r="L967" s="4" t="n"/>
      <c r="M967" s="4" t="n"/>
      <c r="N967" s="4" t="n"/>
      <c r="O967" s="4" t="n"/>
      <c r="P967" s="4" t="n"/>
      <c r="Q967" s="4" t="n"/>
      <c r="R967" s="4" t="n"/>
    </row>
    <row r="968" ht="15.75" customHeight="1" s="108">
      <c r="A968" s="4" t="n"/>
      <c r="B968" s="4" t="n"/>
      <c r="C968" s="4" t="n"/>
      <c r="D968" s="4" t="n"/>
      <c r="E968" s="4" t="n"/>
      <c r="F968" s="4" t="n"/>
      <c r="G968" s="4" t="n"/>
      <c r="H968" s="4" t="n"/>
      <c r="I968" s="4" t="n"/>
      <c r="J968" s="4" t="n"/>
      <c r="K968" s="4" t="n"/>
      <c r="L968" s="4" t="n"/>
      <c r="M968" s="4" t="n"/>
      <c r="N968" s="4" t="n"/>
      <c r="O968" s="4" t="n"/>
      <c r="P968" s="4" t="n"/>
      <c r="Q968" s="4" t="n"/>
      <c r="R968" s="4" t="n"/>
    </row>
    <row r="969" ht="15.75" customHeight="1" s="108">
      <c r="A969" s="4" t="n"/>
      <c r="B969" s="4" t="n"/>
      <c r="C969" s="4" t="n"/>
      <c r="D969" s="4" t="n"/>
      <c r="E969" s="4" t="n"/>
      <c r="F969" s="4" t="n"/>
      <c r="G969" s="4" t="n"/>
      <c r="H969" s="4" t="n"/>
      <c r="I969" s="4" t="n"/>
      <c r="J969" s="4" t="n"/>
      <c r="K969" s="4" t="n"/>
      <c r="L969" s="4" t="n"/>
      <c r="M969" s="4" t="n"/>
      <c r="N969" s="4" t="n"/>
      <c r="O969" s="4" t="n"/>
      <c r="P969" s="4" t="n"/>
      <c r="Q969" s="4" t="n"/>
      <c r="R969" s="4" t="n"/>
    </row>
    <row r="970" ht="15.75" customHeight="1" s="108">
      <c r="A970" s="4" t="n"/>
      <c r="B970" s="4" t="n"/>
      <c r="C970" s="4" t="n"/>
      <c r="D970" s="4" t="n"/>
      <c r="E970" s="4" t="n"/>
      <c r="F970" s="4" t="n"/>
      <c r="G970" s="4" t="n"/>
      <c r="H970" s="4" t="n"/>
      <c r="I970" s="4" t="n"/>
      <c r="J970" s="4" t="n"/>
      <c r="K970" s="4" t="n"/>
      <c r="L970" s="4" t="n"/>
      <c r="M970" s="4" t="n"/>
      <c r="N970" s="4" t="n"/>
      <c r="O970" s="4" t="n"/>
      <c r="P970" s="4" t="n"/>
      <c r="Q970" s="4" t="n"/>
      <c r="R970" s="4" t="n"/>
    </row>
    <row r="971" ht="15.75" customHeight="1" s="108">
      <c r="A971" s="4" t="n"/>
      <c r="B971" s="4" t="n"/>
      <c r="C971" s="4" t="n"/>
      <c r="D971" s="4" t="n"/>
      <c r="E971" s="4" t="n"/>
      <c r="F971" s="4" t="n"/>
      <c r="G971" s="4" t="n"/>
      <c r="H971" s="4" t="n"/>
      <c r="I971" s="4" t="n"/>
      <c r="J971" s="4" t="n"/>
      <c r="K971" s="4" t="n"/>
      <c r="L971" s="4" t="n"/>
      <c r="M971" s="4" t="n"/>
      <c r="N971" s="4" t="n"/>
      <c r="O971" s="4" t="n"/>
      <c r="P971" s="4" t="n"/>
      <c r="Q971" s="4" t="n"/>
      <c r="R971" s="4" t="n"/>
    </row>
    <row r="972" ht="15.75" customHeight="1" s="108">
      <c r="A972" s="4" t="n"/>
      <c r="B972" s="4" t="n"/>
      <c r="C972" s="4" t="n"/>
      <c r="D972" s="4" t="n"/>
      <c r="E972" s="4" t="n"/>
      <c r="F972" s="4" t="n"/>
      <c r="G972" s="4" t="n"/>
      <c r="H972" s="4" t="n"/>
      <c r="I972" s="4" t="n"/>
      <c r="J972" s="4" t="n"/>
      <c r="K972" s="4" t="n"/>
      <c r="L972" s="4" t="n"/>
      <c r="M972" s="4" t="n"/>
      <c r="N972" s="4" t="n"/>
      <c r="O972" s="4" t="n"/>
      <c r="P972" s="4" t="n"/>
      <c r="Q972" s="4" t="n"/>
      <c r="R972" s="4" t="n"/>
    </row>
    <row r="973" ht="15.75" customHeight="1" s="108">
      <c r="A973" s="4" t="n"/>
      <c r="B973" s="4" t="n"/>
      <c r="C973" s="4" t="n"/>
      <c r="D973" s="4" t="n"/>
      <c r="E973" s="4" t="n"/>
      <c r="F973" s="4" t="n"/>
      <c r="G973" s="4" t="n"/>
      <c r="H973" s="4" t="n"/>
      <c r="I973" s="4" t="n"/>
      <c r="J973" s="4" t="n"/>
      <c r="K973" s="4" t="n"/>
      <c r="L973" s="4" t="n"/>
      <c r="M973" s="4" t="n"/>
      <c r="N973" s="4" t="n"/>
      <c r="O973" s="4" t="n"/>
      <c r="P973" s="4" t="n"/>
      <c r="Q973" s="4" t="n"/>
      <c r="R973" s="4" t="n"/>
    </row>
    <row r="974" ht="15.75" customHeight="1" s="108">
      <c r="A974" s="4" t="n"/>
      <c r="B974" s="4" t="n"/>
      <c r="C974" s="4" t="n"/>
      <c r="D974" s="4" t="n"/>
      <c r="E974" s="4" t="n"/>
      <c r="F974" s="4" t="n"/>
      <c r="G974" s="4" t="n"/>
      <c r="H974" s="4" t="n"/>
      <c r="I974" s="4" t="n"/>
      <c r="J974" s="4" t="n"/>
      <c r="K974" s="4" t="n"/>
      <c r="L974" s="4" t="n"/>
      <c r="M974" s="4" t="n"/>
      <c r="N974" s="4" t="n"/>
      <c r="O974" s="4" t="n"/>
      <c r="P974" s="4" t="n"/>
      <c r="Q974" s="4" t="n"/>
      <c r="R974" s="4" t="n"/>
    </row>
    <row r="975" ht="15.75" customHeight="1" s="108">
      <c r="A975" s="4" t="n"/>
      <c r="B975" s="4" t="n"/>
      <c r="C975" s="4" t="n"/>
      <c r="D975" s="4" t="n"/>
      <c r="E975" s="4" t="n"/>
      <c r="F975" s="4" t="n"/>
      <c r="G975" s="4" t="n"/>
      <c r="H975" s="4" t="n"/>
      <c r="I975" s="4" t="n"/>
      <c r="J975" s="4" t="n"/>
      <c r="K975" s="4" t="n"/>
      <c r="L975" s="4" t="n"/>
      <c r="M975" s="4" t="n"/>
      <c r="N975" s="4" t="n"/>
      <c r="O975" s="4" t="n"/>
      <c r="P975" s="4" t="n"/>
      <c r="Q975" s="4" t="n"/>
      <c r="R975" s="4" t="n"/>
    </row>
    <row r="976" ht="15.75" customHeight="1" s="108">
      <c r="A976" s="4" t="n"/>
      <c r="B976" s="4" t="n"/>
      <c r="C976" s="4" t="n"/>
      <c r="D976" s="4" t="n"/>
      <c r="E976" s="4" t="n"/>
      <c r="F976" s="4" t="n"/>
      <c r="G976" s="4" t="n"/>
      <c r="H976" s="4" t="n"/>
      <c r="I976" s="4" t="n"/>
      <c r="J976" s="4" t="n"/>
      <c r="K976" s="4" t="n"/>
      <c r="L976" s="4" t="n"/>
      <c r="M976" s="4" t="n"/>
      <c r="N976" s="4" t="n"/>
      <c r="O976" s="4" t="n"/>
      <c r="P976" s="4" t="n"/>
      <c r="Q976" s="4" t="n"/>
      <c r="R976" s="4" t="n"/>
    </row>
    <row r="977" ht="15.75" customHeight="1" s="108">
      <c r="A977" s="4" t="n"/>
      <c r="B977" s="4" t="n"/>
      <c r="C977" s="4" t="n"/>
      <c r="D977" s="4" t="n"/>
      <c r="E977" s="4" t="n"/>
      <c r="F977" s="4" t="n"/>
      <c r="G977" s="4" t="n"/>
      <c r="H977" s="4" t="n"/>
      <c r="I977" s="4" t="n"/>
      <c r="J977" s="4" t="n"/>
      <c r="K977" s="4" t="n"/>
      <c r="L977" s="4" t="n"/>
      <c r="M977" s="4" t="n"/>
      <c r="N977" s="4" t="n"/>
      <c r="O977" s="4" t="n"/>
      <c r="P977" s="4" t="n"/>
      <c r="Q977" s="4" t="n"/>
      <c r="R977" s="4" t="n"/>
    </row>
    <row r="978" ht="15.75" customHeight="1" s="108">
      <c r="A978" s="4" t="n"/>
      <c r="B978" s="4" t="n"/>
      <c r="C978" s="4" t="n"/>
      <c r="D978" s="4" t="n"/>
      <c r="E978" s="4" t="n"/>
      <c r="F978" s="4" t="n"/>
      <c r="G978" s="4" t="n"/>
      <c r="H978" s="4" t="n"/>
      <c r="I978" s="4" t="n"/>
      <c r="J978" s="4" t="n"/>
      <c r="K978" s="4" t="n"/>
      <c r="L978" s="4" t="n"/>
      <c r="M978" s="4" t="n"/>
      <c r="N978" s="4" t="n"/>
      <c r="O978" s="4" t="n"/>
      <c r="P978" s="4" t="n"/>
      <c r="Q978" s="4" t="n"/>
      <c r="R978" s="4" t="n"/>
    </row>
    <row r="979" ht="15.75" customHeight="1" s="108">
      <c r="A979" s="4" t="n"/>
      <c r="B979" s="4" t="n"/>
      <c r="C979" s="4" t="n"/>
      <c r="D979" s="4" t="n"/>
      <c r="E979" s="4" t="n"/>
      <c r="F979" s="4" t="n"/>
      <c r="G979" s="4" t="n"/>
      <c r="H979" s="4" t="n"/>
      <c r="I979" s="4" t="n"/>
      <c r="J979" s="4" t="n"/>
      <c r="K979" s="4" t="n"/>
      <c r="L979" s="4" t="n"/>
      <c r="M979" s="4" t="n"/>
      <c r="N979" s="4" t="n"/>
      <c r="O979" s="4" t="n"/>
      <c r="P979" s="4" t="n"/>
      <c r="Q979" s="4" t="n"/>
      <c r="R979" s="4" t="n"/>
    </row>
    <row r="980" ht="15.75" customHeight="1" s="108">
      <c r="A980" s="4" t="n"/>
      <c r="B980" s="4" t="n"/>
      <c r="C980" s="4" t="n"/>
      <c r="D980" s="4" t="n"/>
      <c r="E980" s="4" t="n"/>
      <c r="F980" s="4" t="n"/>
      <c r="G980" s="4" t="n"/>
      <c r="H980" s="4" t="n"/>
      <c r="I980" s="4" t="n"/>
      <c r="J980" s="4" t="n"/>
      <c r="K980" s="4" t="n"/>
      <c r="L980" s="4" t="n"/>
      <c r="M980" s="4" t="n"/>
      <c r="N980" s="4" t="n"/>
      <c r="O980" s="4" t="n"/>
      <c r="P980" s="4" t="n"/>
      <c r="Q980" s="4" t="n"/>
      <c r="R980" s="4" t="n"/>
    </row>
    <row r="981" ht="15.75" customHeight="1" s="108">
      <c r="A981" s="4" t="n"/>
      <c r="B981" s="4" t="n"/>
      <c r="C981" s="4" t="n"/>
      <c r="D981" s="4" t="n"/>
      <c r="E981" s="4" t="n"/>
      <c r="F981" s="4" t="n"/>
      <c r="G981" s="4" t="n"/>
      <c r="H981" s="4" t="n"/>
      <c r="I981" s="4" t="n"/>
      <c r="J981" s="4" t="n"/>
      <c r="K981" s="4" t="n"/>
      <c r="L981" s="4" t="n"/>
      <c r="M981" s="4" t="n"/>
      <c r="N981" s="4" t="n"/>
      <c r="O981" s="4" t="n"/>
      <c r="P981" s="4" t="n"/>
      <c r="Q981" s="4" t="n"/>
      <c r="R981" s="4" t="n"/>
    </row>
    <row r="982" ht="15.75" customHeight="1" s="108">
      <c r="A982" s="4" t="n"/>
      <c r="B982" s="4" t="n"/>
      <c r="C982" s="4" t="n"/>
      <c r="D982" s="4" t="n"/>
      <c r="E982" s="4" t="n"/>
      <c r="F982" s="4" t="n"/>
      <c r="G982" s="4" t="n"/>
      <c r="H982" s="4" t="n"/>
      <c r="I982" s="4" t="n"/>
      <c r="J982" s="4" t="n"/>
      <c r="K982" s="4" t="n"/>
      <c r="L982" s="4" t="n"/>
      <c r="M982" s="4" t="n"/>
      <c r="N982" s="4" t="n"/>
      <c r="O982" s="4" t="n"/>
      <c r="P982" s="4" t="n"/>
      <c r="Q982" s="4" t="n"/>
      <c r="R982" s="4" t="n"/>
    </row>
    <row r="983" ht="15.75" customHeight="1" s="108">
      <c r="A983" s="4" t="n"/>
      <c r="B983" s="4" t="n"/>
      <c r="C983" s="4" t="n"/>
      <c r="D983" s="4" t="n"/>
      <c r="E983" s="4" t="n"/>
      <c r="F983" s="4" t="n"/>
      <c r="G983" s="4" t="n"/>
      <c r="H983" s="4" t="n"/>
      <c r="I983" s="4" t="n"/>
      <c r="J983" s="4" t="n"/>
      <c r="K983" s="4" t="n"/>
      <c r="L983" s="4" t="n"/>
      <c r="M983" s="4" t="n"/>
      <c r="N983" s="4" t="n"/>
      <c r="O983" s="4" t="n"/>
      <c r="P983" s="4" t="n"/>
      <c r="Q983" s="4" t="n"/>
      <c r="R983" s="4" t="n"/>
    </row>
    <row r="984" ht="15.75" customHeight="1" s="108">
      <c r="A984" s="4" t="n"/>
      <c r="B984" s="4" t="n"/>
      <c r="C984" s="4" t="n"/>
      <c r="D984" s="4" t="n"/>
      <c r="E984" s="4" t="n"/>
      <c r="F984" s="4" t="n"/>
      <c r="G984" s="4" t="n"/>
      <c r="H984" s="4" t="n"/>
      <c r="I984" s="4" t="n"/>
      <c r="J984" s="4" t="n"/>
      <c r="K984" s="4" t="n"/>
      <c r="L984" s="4" t="n"/>
      <c r="M984" s="4" t="n"/>
      <c r="N984" s="4" t="n"/>
      <c r="O984" s="4" t="n"/>
      <c r="P984" s="4" t="n"/>
      <c r="Q984" s="4" t="n"/>
      <c r="R984" s="4" t="n"/>
    </row>
    <row r="985" ht="15.75" customHeight="1" s="108">
      <c r="A985" s="4" t="n"/>
      <c r="B985" s="4" t="n"/>
      <c r="C985" s="4" t="n"/>
      <c r="D985" s="4" t="n"/>
      <c r="E985" s="4" t="n"/>
      <c r="F985" s="4" t="n"/>
      <c r="G985" s="4" t="n"/>
      <c r="H985" s="4" t="n"/>
      <c r="I985" s="4" t="n"/>
      <c r="J985" s="4" t="n"/>
      <c r="K985" s="4" t="n"/>
      <c r="L985" s="4" t="n"/>
      <c r="M985" s="4" t="n"/>
      <c r="N985" s="4" t="n"/>
      <c r="O985" s="4" t="n"/>
      <c r="P985" s="4" t="n"/>
      <c r="Q985" s="4" t="n"/>
      <c r="R985" s="4" t="n"/>
    </row>
    <row r="986" ht="15.75" customHeight="1" s="108">
      <c r="A986" s="4" t="n"/>
      <c r="B986" s="4" t="n"/>
      <c r="C986" s="4" t="n"/>
      <c r="D986" s="4" t="n"/>
      <c r="E986" s="4" t="n"/>
      <c r="F986" s="4" t="n"/>
      <c r="G986" s="4" t="n"/>
      <c r="H986" s="4" t="n"/>
      <c r="I986" s="4" t="n"/>
      <c r="J986" s="4" t="n"/>
      <c r="K986" s="4" t="n"/>
      <c r="L986" s="4" t="n"/>
      <c r="M986" s="4" t="n"/>
      <c r="N986" s="4" t="n"/>
      <c r="O986" s="4" t="n"/>
      <c r="P986" s="4" t="n"/>
      <c r="Q986" s="4" t="n"/>
      <c r="R986" s="4" t="n"/>
    </row>
    <row r="987" ht="15.75" customHeight="1" s="108">
      <c r="A987" s="4" t="n"/>
      <c r="B987" s="4" t="n"/>
      <c r="C987" s="4" t="n"/>
      <c r="D987" s="4" t="n"/>
      <c r="E987" s="4" t="n"/>
      <c r="F987" s="4" t="n"/>
      <c r="G987" s="4" t="n"/>
      <c r="H987" s="4" t="n"/>
      <c r="I987" s="4" t="n"/>
      <c r="J987" s="4" t="n"/>
      <c r="K987" s="4" t="n"/>
      <c r="L987" s="4" t="n"/>
      <c r="M987" s="4" t="n"/>
      <c r="N987" s="4" t="n"/>
      <c r="O987" s="4" t="n"/>
      <c r="P987" s="4" t="n"/>
      <c r="Q987" s="4" t="n"/>
      <c r="R987" s="4" t="n"/>
    </row>
    <row r="988" ht="15.75" customHeight="1" s="108">
      <c r="A988" s="4" t="n"/>
      <c r="B988" s="4" t="n"/>
      <c r="C988" s="4" t="n"/>
      <c r="D988" s="4" t="n"/>
      <c r="E988" s="4" t="n"/>
      <c r="F988" s="4" t="n"/>
      <c r="G988" s="4" t="n"/>
      <c r="H988" s="4" t="n"/>
      <c r="I988" s="4" t="n"/>
      <c r="J988" s="4" t="n"/>
      <c r="K988" s="4" t="n"/>
      <c r="L988" s="4" t="n"/>
      <c r="M988" s="4" t="n"/>
      <c r="N988" s="4" t="n"/>
      <c r="O988" s="4" t="n"/>
      <c r="P988" s="4" t="n"/>
      <c r="Q988" s="4" t="n"/>
      <c r="R988" s="4" t="n"/>
    </row>
    <row r="989" ht="15.75" customHeight="1" s="108">
      <c r="A989" s="4" t="n"/>
      <c r="B989" s="4" t="n"/>
      <c r="C989" s="4" t="n"/>
      <c r="D989" s="4" t="n"/>
      <c r="E989" s="4" t="n"/>
      <c r="F989" s="4" t="n"/>
      <c r="G989" s="4" t="n"/>
      <c r="H989" s="4" t="n"/>
      <c r="I989" s="4" t="n"/>
      <c r="J989" s="4" t="n"/>
      <c r="K989" s="4" t="n"/>
      <c r="L989" s="4" t="n"/>
      <c r="M989" s="4" t="n"/>
      <c r="N989" s="4" t="n"/>
      <c r="O989" s="4" t="n"/>
      <c r="P989" s="4" t="n"/>
      <c r="Q989" s="4" t="n"/>
      <c r="R989" s="4" t="n"/>
    </row>
    <row r="990" ht="15.75" customHeight="1" s="108">
      <c r="A990" s="4" t="n"/>
      <c r="B990" s="4" t="n"/>
      <c r="C990" s="4" t="n"/>
      <c r="D990" s="4" t="n"/>
      <c r="E990" s="4" t="n"/>
      <c r="F990" s="4" t="n"/>
      <c r="G990" s="4" t="n"/>
      <c r="H990" s="4" t="n"/>
      <c r="I990" s="4" t="n"/>
      <c r="J990" s="4" t="n"/>
      <c r="K990" s="4" t="n"/>
      <c r="L990" s="4" t="n"/>
      <c r="M990" s="4" t="n"/>
      <c r="N990" s="4" t="n"/>
      <c r="O990" s="4" t="n"/>
      <c r="P990" s="4" t="n"/>
      <c r="Q990" s="4" t="n"/>
      <c r="R990" s="4" t="n"/>
    </row>
    <row r="991" ht="15.75" customHeight="1" s="108">
      <c r="A991" s="4" t="n"/>
      <c r="B991" s="4" t="n"/>
      <c r="C991" s="4" t="n"/>
      <c r="D991" s="4" t="n"/>
      <c r="E991" s="4" t="n"/>
      <c r="F991" s="4" t="n"/>
      <c r="G991" s="4" t="n"/>
      <c r="H991" s="4" t="n"/>
      <c r="I991" s="4" t="n"/>
      <c r="J991" s="4" t="n"/>
      <c r="K991" s="4" t="n"/>
      <c r="L991" s="4" t="n"/>
      <c r="M991" s="4" t="n"/>
      <c r="N991" s="4" t="n"/>
      <c r="O991" s="4" t="n"/>
      <c r="P991" s="4" t="n"/>
      <c r="Q991" s="4" t="n"/>
      <c r="R991" s="4" t="n"/>
    </row>
    <row r="992" ht="15.75" customHeight="1" s="108">
      <c r="A992" s="4" t="n"/>
      <c r="B992" s="4" t="n"/>
      <c r="C992" s="4" t="n"/>
      <c r="D992" s="4" t="n"/>
      <c r="E992" s="4" t="n"/>
      <c r="F992" s="4" t="n"/>
      <c r="G992" s="4" t="n"/>
      <c r="H992" s="4" t="n"/>
      <c r="I992" s="4" t="n"/>
      <c r="J992" s="4" t="n"/>
      <c r="K992" s="4" t="n"/>
      <c r="L992" s="4" t="n"/>
      <c r="M992" s="4" t="n"/>
      <c r="N992" s="4" t="n"/>
      <c r="O992" s="4" t="n"/>
      <c r="P992" s="4" t="n"/>
      <c r="Q992" s="4" t="n"/>
      <c r="R992" s="4" t="n"/>
    </row>
    <row r="993" ht="15.75" customHeight="1" s="108">
      <c r="A993" s="4" t="n"/>
      <c r="B993" s="4" t="n"/>
      <c r="C993" s="4" t="n"/>
      <c r="D993" s="4" t="n"/>
      <c r="E993" s="4" t="n"/>
      <c r="F993" s="4" t="n"/>
      <c r="G993" s="4" t="n"/>
      <c r="H993" s="4" t="n"/>
      <c r="I993" s="4" t="n"/>
      <c r="J993" s="4" t="n"/>
      <c r="K993" s="4" t="n"/>
      <c r="L993" s="4" t="n"/>
      <c r="M993" s="4" t="n"/>
      <c r="N993" s="4" t="n"/>
      <c r="O993" s="4" t="n"/>
      <c r="P993" s="4" t="n"/>
      <c r="Q993" s="4" t="n"/>
      <c r="R993" s="4" t="n"/>
    </row>
    <row r="994" ht="15.75" customHeight="1" s="108">
      <c r="A994" s="4" t="n"/>
      <c r="B994" s="4" t="n"/>
      <c r="C994" s="4" t="n"/>
      <c r="D994" s="4" t="n"/>
      <c r="E994" s="4" t="n"/>
      <c r="F994" s="4" t="n"/>
      <c r="G994" s="4" t="n"/>
      <c r="H994" s="4" t="n"/>
      <c r="I994" s="4" t="n"/>
      <c r="J994" s="4" t="n"/>
      <c r="K994" s="4" t="n"/>
      <c r="L994" s="4" t="n"/>
      <c r="M994" s="4" t="n"/>
      <c r="N994" s="4" t="n"/>
      <c r="O994" s="4" t="n"/>
      <c r="P994" s="4" t="n"/>
      <c r="Q994" s="4" t="n"/>
      <c r="R994" s="4" t="n"/>
    </row>
    <row r="995" ht="15.75" customHeight="1" s="108">
      <c r="A995" s="4" t="n"/>
      <c r="B995" s="4" t="n"/>
      <c r="C995" s="4" t="n"/>
      <c r="D995" s="4" t="n"/>
      <c r="E995" s="4" t="n"/>
      <c r="F995" s="4" t="n"/>
      <c r="G995" s="4" t="n"/>
      <c r="H995" s="4" t="n"/>
      <c r="I995" s="4" t="n"/>
      <c r="J995" s="4" t="n"/>
      <c r="K995" s="4" t="n"/>
      <c r="L995" s="4" t="n"/>
      <c r="M995" s="4" t="n"/>
      <c r="N995" s="4" t="n"/>
      <c r="O995" s="4" t="n"/>
      <c r="P995" s="4" t="n"/>
      <c r="Q995" s="4" t="n"/>
      <c r="R995" s="4" t="n"/>
    </row>
    <row r="996" ht="15.75" customHeight="1" s="108">
      <c r="A996" s="4" t="n"/>
      <c r="B996" s="4" t="n"/>
      <c r="C996" s="4" t="n"/>
      <c r="D996" s="4" t="n"/>
      <c r="E996" s="4" t="n"/>
      <c r="F996" s="4" t="n"/>
      <c r="G996" s="4" t="n"/>
      <c r="H996" s="4" t="n"/>
      <c r="I996" s="4" t="n"/>
      <c r="J996" s="4" t="n"/>
      <c r="K996" s="4" t="n"/>
      <c r="L996" s="4" t="n"/>
      <c r="M996" s="4" t="n"/>
      <c r="N996" s="4" t="n"/>
      <c r="O996" s="4" t="n"/>
      <c r="P996" s="4" t="n"/>
      <c r="Q996" s="4" t="n"/>
      <c r="R996" s="4" t="n"/>
    </row>
    <row r="997" ht="15.75" customHeight="1" s="108">
      <c r="A997" s="4" t="n"/>
      <c r="B997" s="4" t="n"/>
      <c r="C997" s="4" t="n"/>
      <c r="D997" s="4" t="n"/>
      <c r="E997" s="4" t="n"/>
      <c r="F997" s="4" t="n"/>
      <c r="G997" s="4" t="n"/>
      <c r="H997" s="4" t="n"/>
      <c r="I997" s="4" t="n"/>
      <c r="J997" s="4" t="n"/>
      <c r="K997" s="4" t="n"/>
      <c r="L997" s="4" t="n"/>
      <c r="M997" s="4" t="n"/>
      <c r="N997" s="4" t="n"/>
      <c r="O997" s="4" t="n"/>
      <c r="P997" s="4" t="n"/>
      <c r="Q997" s="4" t="n"/>
      <c r="R997" s="4" t="n"/>
    </row>
    <row r="998" ht="15.75" customHeight="1" s="108">
      <c r="A998" s="4" t="n"/>
      <c r="B998" s="4" t="n"/>
      <c r="C998" s="4" t="n"/>
      <c r="D998" s="4" t="n"/>
      <c r="E998" s="4" t="n"/>
      <c r="F998" s="4" t="n"/>
      <c r="G998" s="4" t="n"/>
      <c r="H998" s="4" t="n"/>
      <c r="I998" s="4" t="n"/>
      <c r="J998" s="4" t="n"/>
      <c r="K998" s="4" t="n"/>
      <c r="L998" s="4" t="n"/>
      <c r="M998" s="4" t="n"/>
      <c r="N998" s="4" t="n"/>
      <c r="O998" s="4" t="n"/>
      <c r="P998" s="4" t="n"/>
      <c r="Q998" s="4" t="n"/>
      <c r="R998" s="4" t="n"/>
    </row>
    <row r="999" ht="15.75" customHeight="1" s="108">
      <c r="A999" s="4" t="n"/>
      <c r="B999" s="4" t="n"/>
      <c r="C999" s="4" t="n"/>
      <c r="D999" s="4" t="n"/>
      <c r="E999" s="4" t="n"/>
      <c r="F999" s="4" t="n"/>
      <c r="G999" s="4" t="n"/>
      <c r="H999" s="4" t="n"/>
      <c r="I999" s="4" t="n"/>
      <c r="J999" s="4" t="n"/>
      <c r="K999" s="4" t="n"/>
      <c r="L999" s="4" t="n"/>
      <c r="M999" s="4" t="n"/>
      <c r="N999" s="4" t="n"/>
      <c r="O999" s="4" t="n"/>
      <c r="P999" s="4" t="n"/>
      <c r="Q999" s="4" t="n"/>
      <c r="R999" s="4" t="n"/>
    </row>
    <row r="1000" ht="15.75" customHeight="1" s="108">
      <c r="A1000" s="4" t="n"/>
      <c r="B1000" s="4" t="n"/>
      <c r="C1000" s="4" t="n"/>
      <c r="D1000" s="4" t="n"/>
      <c r="E1000" s="4" t="n"/>
      <c r="F1000" s="4" t="n"/>
      <c r="G1000" s="4" t="n"/>
      <c r="H1000" s="4" t="n"/>
      <c r="I1000" s="4" t="n"/>
      <c r="J1000" s="4" t="n"/>
      <c r="K1000" s="4" t="n"/>
      <c r="L1000" s="4" t="n"/>
      <c r="M1000" s="4" t="n"/>
      <c r="N1000" s="4" t="n"/>
      <c r="O1000" s="4" t="n"/>
      <c r="P1000" s="4" t="n"/>
      <c r="Q1000" s="4" t="n"/>
      <c r="R1000" s="4" t="n"/>
    </row>
  </sheetData>
  <mergeCells count="2">
    <mergeCell ref="A2:R2"/>
    <mergeCell ref="A1:R1"/>
  </mergeCells>
  <conditionalFormatting sqref="F5:F354">
    <cfRule type="expression" priority="1" dxfId="2">
      <formula>F5="Winner"</formula>
    </cfRule>
    <cfRule type="expression" priority="2" dxfId="11">
      <formula>F5="Nominated"</formula>
    </cfRule>
  </conditionalFormatting>
  <conditionalFormatting sqref="O5:O354">
    <cfRule type="expression" priority="3" dxfId="2">
      <formula>O5="Winner"</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4.43" defaultRowHeight="15" customHeight="1"/>
  <cols>
    <col width="10" customWidth="1" style="108" min="1" max="1"/>
    <col width="39" customWidth="1" style="108" min="2" max="2"/>
    <col width="8" customWidth="1" style="108" min="3" max="3"/>
    <col width="13" customWidth="1" style="108" min="4" max="4"/>
    <col width="10" customWidth="1" style="108" min="5" max="5"/>
    <col width="13" customWidth="1" style="108" min="6" max="6"/>
    <col width="12" customWidth="1" style="108" min="7" max="8"/>
    <col width="13" customWidth="1" style="108" min="9" max="9"/>
    <col width="14" customWidth="1" style="108" min="10" max="10"/>
    <col width="10" customWidth="1" style="108" min="11" max="11"/>
    <col width="14" customWidth="1" style="108" min="12" max="14"/>
    <col width="35" customWidth="1" style="108" min="15" max="15"/>
    <col width="37" customWidth="1" style="108" min="16" max="16"/>
    <col width="34" customWidth="1" style="108" min="17" max="17"/>
    <col width="35" customWidth="1" style="108" min="18" max="18"/>
    <col width="8.710000000000001" customWidth="1" style="108" min="19" max="26"/>
  </cols>
  <sheetData>
    <row r="1" ht="23.25" customHeight="1" s="108">
      <c r="A1" s="113" t="inlineStr">
        <is>
          <t>⭐ RATINGS</t>
        </is>
      </c>
    </row>
    <row r="2">
      <c r="A2" s="114" t="inlineStr">
        <is>
          <t>One row per film. External scores are snapshots rather than live formulas; the search links make future checking/updating quick and keep the workbook reliable.</t>
        </is>
      </c>
    </row>
    <row r="3">
      <c r="A3" s="4" t="n"/>
      <c r="B3" s="4" t="n"/>
      <c r="C3" s="4" t="n"/>
      <c r="D3" s="4" t="n"/>
      <c r="E3" s="4" t="n"/>
      <c r="F3" s="4" t="n"/>
      <c r="G3" s="4" t="n"/>
      <c r="H3" s="4" t="n"/>
      <c r="I3" s="4" t="n"/>
      <c r="J3" s="4" t="n"/>
      <c r="K3" s="4" t="n"/>
      <c r="L3" s="4" t="n"/>
      <c r="M3" s="4" t="n"/>
      <c r="N3" s="4" t="n"/>
      <c r="O3" s="4" t="n"/>
      <c r="P3" s="4" t="n"/>
      <c r="Q3" s="4" t="n"/>
      <c r="R3" s="4" t="n"/>
    </row>
    <row r="4" ht="30" customHeight="1" s="108">
      <c r="A4" s="82" t="inlineStr">
        <is>
          <t>Film ID</t>
        </is>
      </c>
      <c r="B4" s="82" t="inlineStr">
        <is>
          <t>Title</t>
        </is>
      </c>
      <c r="C4" s="82" t="inlineStr">
        <is>
          <t>Year</t>
        </is>
      </c>
      <c r="D4" s="82" t="inlineStr">
        <is>
          <t>Your Rating /5</t>
        </is>
      </c>
      <c r="E4" s="82" t="inlineStr">
        <is>
          <t>IMDb /10</t>
        </is>
      </c>
      <c r="F4" s="82" t="inlineStr">
        <is>
          <t>IMDb Votes</t>
        </is>
      </c>
      <c r="G4" s="82" t="inlineStr">
        <is>
          <t>RT Critics %</t>
        </is>
      </c>
      <c r="H4" s="82" t="inlineStr">
        <is>
          <t>RT Audience %</t>
        </is>
      </c>
      <c r="I4" s="82" t="inlineStr">
        <is>
          <t>Letterboxd /5</t>
        </is>
      </c>
      <c r="J4" s="82" t="inlineStr">
        <is>
          <t>Metacritic /100</t>
        </is>
      </c>
      <c r="K4" s="82" t="inlineStr">
        <is>
          <t>TMDb /10</t>
        </is>
      </c>
      <c r="L4" s="82" t="inlineStr">
        <is>
          <t>Consensus /100</t>
        </is>
      </c>
      <c r="M4" s="82" t="inlineStr">
        <is>
          <t>Rating Status</t>
        </is>
      </c>
      <c r="N4" s="82" t="inlineStr">
        <is>
          <t>Last Checked</t>
        </is>
      </c>
      <c r="O4" s="82" t="inlineStr">
        <is>
          <t>IMDb Lookup</t>
        </is>
      </c>
      <c r="P4" s="82" t="inlineStr">
        <is>
          <t>Rotten Tomatoes Lookup</t>
        </is>
      </c>
      <c r="Q4" s="82" t="inlineStr">
        <is>
          <t>Letterboxd Lookup</t>
        </is>
      </c>
      <c r="R4" s="82" t="inlineStr">
        <is>
          <t>Metacritic Lookup</t>
        </is>
      </c>
    </row>
    <row r="5">
      <c r="A5" s="83" t="inlineStr">
        <is>
          <t>F0001</t>
        </is>
      </c>
      <c r="B5" s="83" t="inlineStr">
        <is>
          <t>Casino Royale</t>
        </is>
      </c>
      <c r="C5" s="88" t="inlineStr">
        <is>
          <t>2006</t>
        </is>
      </c>
      <c r="D5" s="84" t="n"/>
      <c r="E5" s="89" t="n"/>
      <c r="F5" s="90" t="n"/>
      <c r="G5" s="91" t="n"/>
      <c r="H5" s="91" t="n"/>
      <c r="I5" s="92" t="n"/>
      <c r="J5" s="91" t="n"/>
      <c r="K5" s="89" t="n"/>
      <c r="L5" s="89">
        <f>IF(COUNT(E5,G5,H5,I5,J5,K5)=0,"",ROUND((IF(E5="",0,E5*10)+IF(G5="",0,G5)+IF(H5="",0,H5)+IF(I5="",0,I5*20)+IF(J5="",0,J5)+IF(K5="",0,K5*10))/COUNT(E5,G5,H5,I5,J5,K5),1))</f>
        <v/>
      </c>
      <c r="M5" s="83">
        <f>IF(L5="","",IF(L5&gt;=85,"Excellent",IF(L5&gt;=70,"Good",IF(L5&gt;=55,"Mixed","Poor"))))</f>
        <v/>
      </c>
      <c r="N5" s="96" t="n"/>
      <c r="O5" s="83" t="inlineStr">
        <is>
          <t>https://www.imdb.com/find/?q=Casino+Royale+2006</t>
        </is>
      </c>
      <c r="P5" s="83" t="inlineStr">
        <is>
          <t>https://www.rottentomatoes.com/search?search=Casino+Royale</t>
        </is>
      </c>
      <c r="Q5" s="83" t="inlineStr">
        <is>
          <t>https://letterboxd.com/search/Casino%20Royale/</t>
        </is>
      </c>
      <c r="R5" s="83" t="inlineStr">
        <is>
          <t>https://www.metacritic.com/search/Casino+Royale/</t>
        </is>
      </c>
    </row>
    <row r="6">
      <c r="A6" s="83" t="inlineStr">
        <is>
          <t>F0002</t>
        </is>
      </c>
      <c r="B6" s="83" t="inlineStr">
        <is>
          <t>Quantum of Solace</t>
        </is>
      </c>
      <c r="C6" s="88" t="inlineStr">
        <is>
          <t>2008</t>
        </is>
      </c>
      <c r="D6" s="84" t="n"/>
      <c r="E6" s="89" t="n"/>
      <c r="F6" s="90" t="n"/>
      <c r="G6" s="91" t="n"/>
      <c r="H6" s="91" t="n"/>
      <c r="I6" s="92" t="n"/>
      <c r="J6" s="91" t="n"/>
      <c r="K6" s="89" t="n"/>
      <c r="L6" s="89">
        <f>IF(COUNT(E6,G6,H6,I6,J6,K6)=0,"",ROUND((IF(E6="",0,E6*10)+IF(G6="",0,G6)+IF(H6="",0,H6)+IF(I6="",0,I6*20)+IF(J6="",0,J6)+IF(K6="",0,K6*10))/COUNT(E6,G6,H6,I6,J6,K6),1))</f>
        <v/>
      </c>
      <c r="M6" s="83">
        <f>IF(L6="","",IF(L6&gt;=85,"Excellent",IF(L6&gt;=70,"Good",IF(L6&gt;=55,"Mixed","Poor"))))</f>
        <v/>
      </c>
      <c r="N6" s="96" t="n"/>
      <c r="O6" s="83" t="inlineStr">
        <is>
          <t>https://www.imdb.com/find/?q=Quantum+of+Solace+2008</t>
        </is>
      </c>
      <c r="P6" s="83" t="inlineStr">
        <is>
          <t>https://www.rottentomatoes.com/search?search=Quantum+of+Solace</t>
        </is>
      </c>
      <c r="Q6" s="83" t="inlineStr">
        <is>
          <t>https://letterboxd.com/search/Quantum%20of%20Solace/</t>
        </is>
      </c>
      <c r="R6" s="83" t="inlineStr">
        <is>
          <t>https://www.metacritic.com/search/Quantum+of+Solace/</t>
        </is>
      </c>
    </row>
    <row r="7">
      <c r="A7" s="83" t="inlineStr">
        <is>
          <t>F0003</t>
        </is>
      </c>
      <c r="B7" s="83" t="inlineStr">
        <is>
          <t>Skyfall</t>
        </is>
      </c>
      <c r="C7" s="88" t="inlineStr">
        <is>
          <t>2012</t>
        </is>
      </c>
      <c r="D7" s="84" t="n"/>
      <c r="E7" s="89" t="n"/>
      <c r="F7" s="90" t="n"/>
      <c r="G7" s="91" t="n"/>
      <c r="H7" s="91" t="n"/>
      <c r="I7" s="92" t="n"/>
      <c r="J7" s="91" t="n"/>
      <c r="K7" s="89" t="n"/>
      <c r="L7" s="89">
        <f>IF(COUNT(E7,G7,H7,I7,J7,K7)=0,"",ROUND((IF(E7="",0,E7*10)+IF(G7="",0,G7)+IF(H7="",0,H7)+IF(I7="",0,I7*20)+IF(J7="",0,J7)+IF(K7="",0,K7*10))/COUNT(E7,G7,H7,I7,J7,K7),1))</f>
        <v/>
      </c>
      <c r="M7" s="83">
        <f>IF(L7="","",IF(L7&gt;=85,"Excellent",IF(L7&gt;=70,"Good",IF(L7&gt;=55,"Mixed","Poor"))))</f>
        <v/>
      </c>
      <c r="N7" s="96" t="n"/>
      <c r="O7" s="83" t="inlineStr">
        <is>
          <t>https://www.imdb.com/find/?q=Skyfall+2012</t>
        </is>
      </c>
      <c r="P7" s="83" t="inlineStr">
        <is>
          <t>https://www.rottentomatoes.com/search?search=Skyfall</t>
        </is>
      </c>
      <c r="Q7" s="83" t="inlineStr">
        <is>
          <t>https://letterboxd.com/search/Skyfall/</t>
        </is>
      </c>
      <c r="R7" s="83" t="inlineStr">
        <is>
          <t>https://www.metacritic.com/search/Skyfall/</t>
        </is>
      </c>
    </row>
    <row r="8">
      <c r="A8" s="83" t="inlineStr">
        <is>
          <t>F0004</t>
        </is>
      </c>
      <c r="B8" s="83" t="inlineStr">
        <is>
          <t>Spectre</t>
        </is>
      </c>
      <c r="C8" s="88" t="inlineStr">
        <is>
          <t>2015</t>
        </is>
      </c>
      <c r="D8" s="84" t="n"/>
      <c r="E8" s="89" t="n"/>
      <c r="F8" s="90" t="n"/>
      <c r="G8" s="91" t="n"/>
      <c r="H8" s="91" t="n"/>
      <c r="I8" s="92" t="n"/>
      <c r="J8" s="91" t="n"/>
      <c r="K8" s="89" t="n"/>
      <c r="L8" s="89">
        <f>IF(COUNT(E8,G8,H8,I8,J8,K8)=0,"",ROUND((IF(E8="",0,E8*10)+IF(G8="",0,G8)+IF(H8="",0,H8)+IF(I8="",0,I8*20)+IF(J8="",0,J8)+IF(K8="",0,K8*10))/COUNT(E8,G8,H8,I8,J8,K8),1))</f>
        <v/>
      </c>
      <c r="M8" s="83">
        <f>IF(L8="","",IF(L8&gt;=85,"Excellent",IF(L8&gt;=70,"Good",IF(L8&gt;=55,"Mixed","Poor"))))</f>
        <v/>
      </c>
      <c r="N8" s="96" t="n"/>
      <c r="O8" s="83" t="inlineStr">
        <is>
          <t>https://www.imdb.com/find/?q=Spectre+2015</t>
        </is>
      </c>
      <c r="P8" s="83" t="inlineStr">
        <is>
          <t>https://www.rottentomatoes.com/search?search=Spectre</t>
        </is>
      </c>
      <c r="Q8" s="83" t="inlineStr">
        <is>
          <t>https://letterboxd.com/search/Spectre/</t>
        </is>
      </c>
      <c r="R8" s="83" t="inlineStr">
        <is>
          <t>https://www.metacritic.com/search/Spectre/</t>
        </is>
      </c>
    </row>
    <row r="9">
      <c r="A9" s="83" t="inlineStr">
        <is>
          <t>F0005</t>
        </is>
      </c>
      <c r="B9" s="83" t="inlineStr">
        <is>
          <t>No Time to Die</t>
        </is>
      </c>
      <c r="C9" s="88" t="inlineStr">
        <is>
          <t>2021</t>
        </is>
      </c>
      <c r="D9" s="84" t="n"/>
      <c r="E9" s="89" t="n"/>
      <c r="F9" s="90" t="n"/>
      <c r="G9" s="91" t="n"/>
      <c r="H9" s="91" t="n"/>
      <c r="I9" s="92" t="n"/>
      <c r="J9" s="91" t="n"/>
      <c r="K9" s="89" t="n"/>
      <c r="L9" s="89">
        <f>IF(COUNT(E9,G9,H9,I9,J9,K9)=0,"",ROUND((IF(E9="",0,E9*10)+IF(G9="",0,G9)+IF(H9="",0,H9)+IF(I9="",0,I9*20)+IF(J9="",0,J9)+IF(K9="",0,K9*10))/COUNT(E9,G9,H9,I9,J9,K9),1))</f>
        <v/>
      </c>
      <c r="M9" s="83">
        <f>IF(L9="","",IF(L9&gt;=85,"Excellent",IF(L9&gt;=70,"Good",IF(L9&gt;=55,"Mixed","Poor"))))</f>
        <v/>
      </c>
      <c r="N9" s="96" t="n"/>
      <c r="O9" s="83" t="inlineStr">
        <is>
          <t>https://www.imdb.com/find/?q=No+Time+to+Die+2021</t>
        </is>
      </c>
      <c r="P9" s="83" t="inlineStr">
        <is>
          <t>https://www.rottentomatoes.com/search?search=No+Time+to+Die</t>
        </is>
      </c>
      <c r="Q9" s="83" t="inlineStr">
        <is>
          <t>https://letterboxd.com/search/No%20Time%20to%20Die/</t>
        </is>
      </c>
      <c r="R9" s="83" t="inlineStr">
        <is>
          <t>https://www.metacritic.com/search/No+Time+to+Die/</t>
        </is>
      </c>
    </row>
    <row r="10">
      <c r="A10" s="83" t="inlineStr">
        <is>
          <t>F0006</t>
        </is>
      </c>
      <c r="B10" s="83" t="inlineStr">
        <is>
          <t>2012</t>
        </is>
      </c>
      <c r="C10" s="88" t="inlineStr">
        <is>
          <t>2009</t>
        </is>
      </c>
      <c r="D10" s="84" t="n"/>
      <c r="E10" s="89" t="n"/>
      <c r="F10" s="90" t="n"/>
      <c r="G10" s="91" t="n"/>
      <c r="H10" s="91" t="n"/>
      <c r="I10" s="92" t="n"/>
      <c r="J10" s="91" t="n"/>
      <c r="K10" s="89" t="n"/>
      <c r="L10" s="89">
        <f>IF(COUNT(E10,G10,H10,I10,J10,K10)=0,"",ROUND((IF(E10="",0,E10*10)+IF(G10="",0,G10)+IF(H10="",0,H10)+IF(I10="",0,I10*20)+IF(J10="",0,J10)+IF(K10="",0,K10*10))/COUNT(E10,G10,H10,I10,J10,K10),1))</f>
        <v/>
      </c>
      <c r="M10" s="83">
        <f>IF(L10="","",IF(L10&gt;=85,"Excellent",IF(L10&gt;=70,"Good",IF(L10&gt;=55,"Mixed","Poor"))))</f>
        <v/>
      </c>
      <c r="N10" s="96" t="n"/>
      <c r="O10" s="83" t="inlineStr">
        <is>
          <t>https://www.imdb.com/find/?q=2012+2009</t>
        </is>
      </c>
      <c r="P10" s="83" t="inlineStr">
        <is>
          <t>https://www.rottentomatoes.com/search?search=2012</t>
        </is>
      </c>
      <c r="Q10" s="83" t="inlineStr">
        <is>
          <t>https://letterboxd.com/search/2012/</t>
        </is>
      </c>
      <c r="R10" s="83" t="inlineStr">
        <is>
          <t>https://www.metacritic.com/search/2012/</t>
        </is>
      </c>
    </row>
    <row r="11">
      <c r="A11" s="83" t="inlineStr">
        <is>
          <t>F0007</t>
        </is>
      </c>
      <c r="B11" s="83" t="inlineStr">
        <is>
          <t>21 Jump Street</t>
        </is>
      </c>
      <c r="C11" s="88" t="inlineStr">
        <is>
          <t>2012</t>
        </is>
      </c>
      <c r="D11" s="83" t="n">
        <v>3</v>
      </c>
      <c r="E11" s="89" t="n"/>
      <c r="F11" s="90" t="n"/>
      <c r="G11" s="91" t="n"/>
      <c r="H11" s="91" t="n"/>
      <c r="I11" s="92" t="n"/>
      <c r="J11" s="91" t="n"/>
      <c r="K11" s="89" t="n"/>
      <c r="L11" s="89">
        <f>IF(COUNT(E11,G11,H11,I11,J11,K11)=0,"",ROUND((IF(E11="",0,E11*10)+IF(G11="",0,G11)+IF(H11="",0,H11)+IF(I11="",0,I11*20)+IF(J11="",0,J11)+IF(K11="",0,K11*10))/COUNT(E11,G11,H11,I11,J11,K11),1))</f>
        <v/>
      </c>
      <c r="M11" s="83">
        <f>IF(L11="","",IF(L11&gt;=85,"Excellent",IF(L11&gt;=70,"Good",IF(L11&gt;=55,"Mixed","Poor"))))</f>
        <v/>
      </c>
      <c r="N11" s="96" t="n"/>
      <c r="O11" s="83" t="inlineStr">
        <is>
          <t>https://www.imdb.com/find/?q=21+Jump+Street+2012</t>
        </is>
      </c>
      <c r="P11" s="83" t="inlineStr">
        <is>
          <t>https://www.rottentomatoes.com/search?search=21+Jump+Street</t>
        </is>
      </c>
      <c r="Q11" s="83" t="inlineStr">
        <is>
          <t>https://letterboxd.com/search/21%20Jump%20Street/</t>
        </is>
      </c>
      <c r="R11" s="83" t="inlineStr">
        <is>
          <t>https://www.metacritic.com/search/21+Jump+Street/</t>
        </is>
      </c>
    </row>
    <row r="12">
      <c r="A12" s="83" t="inlineStr">
        <is>
          <t>F0008</t>
        </is>
      </c>
      <c r="B12" s="83" t="inlineStr">
        <is>
          <t>22 Jump Street</t>
        </is>
      </c>
      <c r="C12" s="88" t="inlineStr">
        <is>
          <t>2014</t>
        </is>
      </c>
      <c r="D12" s="84" t="n">
        <v>3</v>
      </c>
      <c r="E12" s="89" t="n"/>
      <c r="F12" s="90" t="n"/>
      <c r="G12" s="91" t="n"/>
      <c r="H12" s="91" t="n"/>
      <c r="I12" s="92" t="n"/>
      <c r="J12" s="91" t="n"/>
      <c r="K12" s="89" t="n"/>
      <c r="L12" s="89">
        <f>IF(COUNT(E12,G12,H12,I12,J12,K12)=0,"",ROUND((IF(E12="",0,E12*10)+IF(G12="",0,G12)+IF(H12="",0,H12)+IF(I12="",0,I12*20)+IF(J12="",0,J12)+IF(K12="",0,K12*10))/COUNT(E12,G12,H12,I12,J12,K12),1))</f>
        <v/>
      </c>
      <c r="M12" s="83">
        <f>IF(L12="","",IF(L12&gt;=85,"Excellent",IF(L12&gt;=70,"Good",IF(L12&gt;=55,"Mixed","Poor"))))</f>
        <v/>
      </c>
      <c r="N12" s="96" t="n"/>
      <c r="O12" s="83" t="inlineStr">
        <is>
          <t>https://www.imdb.com/find/?q=22+Jump+Street+2014</t>
        </is>
      </c>
      <c r="P12" s="83" t="inlineStr">
        <is>
          <t>https://www.rottentomatoes.com/search?search=22+Jump+Street</t>
        </is>
      </c>
      <c r="Q12" s="83" t="inlineStr">
        <is>
          <t>https://letterboxd.com/search/22%20Jump%20Street/</t>
        </is>
      </c>
      <c r="R12" s="83" t="inlineStr">
        <is>
          <t>https://www.metacritic.com/search/22+Jump+Street/</t>
        </is>
      </c>
    </row>
    <row r="13">
      <c r="A13" s="83" t="inlineStr">
        <is>
          <t>F0009</t>
        </is>
      </c>
      <c r="B13" s="83" t="inlineStr">
        <is>
          <t>30 Minutes or Less</t>
        </is>
      </c>
      <c r="C13" s="88" t="inlineStr">
        <is>
          <t>2011</t>
        </is>
      </c>
      <c r="D13" s="84" t="n"/>
      <c r="E13" s="89" t="n"/>
      <c r="F13" s="90" t="n"/>
      <c r="G13" s="91" t="n"/>
      <c r="H13" s="91" t="n"/>
      <c r="I13" s="92" t="n"/>
      <c r="J13" s="91" t="n"/>
      <c r="K13" s="89" t="n"/>
      <c r="L13" s="89">
        <f>IF(COUNT(E13,G13,H13,I13,J13,K13)=0,"",ROUND((IF(E13="",0,E13*10)+IF(G13="",0,G13)+IF(H13="",0,H13)+IF(I13="",0,I13*20)+IF(J13="",0,J13)+IF(K13="",0,K13*10))/COUNT(E13,G13,H13,I13,J13,K13),1))</f>
        <v/>
      </c>
      <c r="M13" s="83">
        <f>IF(L13="","",IF(L13&gt;=85,"Excellent",IF(L13&gt;=70,"Good",IF(L13&gt;=55,"Mixed","Poor"))))</f>
        <v/>
      </c>
      <c r="N13" s="96" t="n"/>
      <c r="O13" s="83" t="inlineStr">
        <is>
          <t>https://www.imdb.com/find/?q=30+Minutes+or+Less+2011</t>
        </is>
      </c>
      <c r="P13" s="83" t="inlineStr">
        <is>
          <t>https://www.rottentomatoes.com/search?search=30+Minutes+or+Less</t>
        </is>
      </c>
      <c r="Q13" s="83" t="inlineStr">
        <is>
          <t>https://letterboxd.com/search/30%20Minutes%20or%20Less/</t>
        </is>
      </c>
      <c r="R13" s="83" t="inlineStr">
        <is>
          <t>https://www.metacritic.com/search/30+Minutes+or+Less/</t>
        </is>
      </c>
    </row>
    <row r="14">
      <c r="A14" s="83" t="inlineStr">
        <is>
          <t>F0010</t>
        </is>
      </c>
      <c r="B14" s="83" t="inlineStr">
        <is>
          <t>44 Inch Chest</t>
        </is>
      </c>
      <c r="C14" s="88" t="inlineStr">
        <is>
          <t>2009</t>
        </is>
      </c>
      <c r="D14" s="84" t="n"/>
      <c r="E14" s="89" t="n"/>
      <c r="F14" s="90" t="n"/>
      <c r="G14" s="91" t="n"/>
      <c r="H14" s="91" t="n"/>
      <c r="I14" s="92" t="n"/>
      <c r="J14" s="91" t="n"/>
      <c r="K14" s="89" t="n"/>
      <c r="L14" s="89">
        <f>IF(COUNT(E14,G14,H14,I14,J14,K14)=0,"",ROUND((IF(E14="",0,E14*10)+IF(G14="",0,G14)+IF(H14="",0,H14)+IF(I14="",0,I14*20)+IF(J14="",0,J14)+IF(K14="",0,K14*10))/COUNT(E14,G14,H14,I14,J14,K14),1))</f>
        <v/>
      </c>
      <c r="M14" s="83">
        <f>IF(L14="","",IF(L14&gt;=85,"Excellent",IF(L14&gt;=70,"Good",IF(L14&gt;=55,"Mixed","Poor"))))</f>
        <v/>
      </c>
      <c r="N14" s="96" t="n"/>
      <c r="O14" s="83" t="inlineStr">
        <is>
          <t>https://www.imdb.com/find/?q=44+Inch+Chest+2009</t>
        </is>
      </c>
      <c r="P14" s="83" t="inlineStr">
        <is>
          <t>https://www.rottentomatoes.com/search?search=44+Inch+Chest</t>
        </is>
      </c>
      <c r="Q14" s="83" t="inlineStr">
        <is>
          <t>https://letterboxd.com/search/44%20Inch%20Chest/</t>
        </is>
      </c>
      <c r="R14" s="83" t="inlineStr">
        <is>
          <t>https://www.metacritic.com/search/44+Inch+Chest/</t>
        </is>
      </c>
    </row>
    <row r="15">
      <c r="A15" s="83" t="inlineStr">
        <is>
          <t>F0011</t>
        </is>
      </c>
      <c r="B15" s="83" t="inlineStr">
        <is>
          <t>50/50</t>
        </is>
      </c>
      <c r="C15" s="88" t="inlineStr">
        <is>
          <t>2011</t>
        </is>
      </c>
      <c r="D15" s="84" t="n"/>
      <c r="E15" s="89" t="n"/>
      <c r="F15" s="90" t="n"/>
      <c r="G15" s="91" t="n"/>
      <c r="H15" s="91" t="n"/>
      <c r="I15" s="92" t="n"/>
      <c r="J15" s="91" t="n"/>
      <c r="K15" s="89" t="n"/>
      <c r="L15" s="89">
        <f>IF(COUNT(E15,G15,H15,I15,J15,K15)=0,"",ROUND((IF(E15="",0,E15*10)+IF(G15="",0,G15)+IF(H15="",0,H15)+IF(I15="",0,I15*20)+IF(J15="",0,J15)+IF(K15="",0,K15*10))/COUNT(E15,G15,H15,I15,J15,K15),1))</f>
        <v/>
      </c>
      <c r="M15" s="83">
        <f>IF(L15="","",IF(L15&gt;=85,"Excellent",IF(L15&gt;=70,"Good",IF(L15&gt;=55,"Mixed","Poor"))))</f>
        <v/>
      </c>
      <c r="N15" s="96" t="n"/>
      <c r="O15" s="83" t="inlineStr">
        <is>
          <t>https://www.imdb.com/find/?q=50%2F50+2011</t>
        </is>
      </c>
      <c r="P15" s="83" t="inlineStr">
        <is>
          <t>https://www.rottentomatoes.com/search?search=50%2F50</t>
        </is>
      </c>
      <c r="Q15" s="83" t="inlineStr">
        <is>
          <t>https://letterboxd.com/search/50/50/</t>
        </is>
      </c>
      <c r="R15" s="83" t="inlineStr">
        <is>
          <t>https://www.metacritic.com/search/50%2F50/</t>
        </is>
      </c>
    </row>
    <row r="16">
      <c r="A16" s="83" t="inlineStr">
        <is>
          <t>F0012</t>
        </is>
      </c>
      <c r="B16" s="83" t="inlineStr">
        <is>
          <t>A Bug's Life</t>
        </is>
      </c>
      <c r="C16" s="88" t="inlineStr">
        <is>
          <t>1998</t>
        </is>
      </c>
      <c r="D16" s="83" t="n">
        <v>4</v>
      </c>
      <c r="E16" s="89" t="n"/>
      <c r="F16" s="90" t="n"/>
      <c r="G16" s="91" t="n"/>
      <c r="H16" s="91" t="n"/>
      <c r="I16" s="92" t="n"/>
      <c r="J16" s="91" t="n"/>
      <c r="K16" s="89" t="n"/>
      <c r="L16" s="89">
        <f>IF(COUNT(E16,G16,H16,I16,J16,K16)=0,"",ROUND((IF(E16="",0,E16*10)+IF(G16="",0,G16)+IF(H16="",0,H16)+IF(I16="",0,I16*20)+IF(J16="",0,J16)+IF(K16="",0,K16*10))/COUNT(E16,G16,H16,I16,J16,K16),1))</f>
        <v/>
      </c>
      <c r="M16" s="83">
        <f>IF(L16="","",IF(L16&gt;=85,"Excellent",IF(L16&gt;=70,"Good",IF(L16&gt;=55,"Mixed","Poor"))))</f>
        <v/>
      </c>
      <c r="N16" s="96" t="n"/>
      <c r="O16" s="83" t="inlineStr">
        <is>
          <t>https://www.imdb.com/find/?q=A+Bug%27s+Life+1998</t>
        </is>
      </c>
      <c r="P16" s="83" t="inlineStr">
        <is>
          <t>https://www.rottentomatoes.com/search?search=A+Bug%27s+Life</t>
        </is>
      </c>
      <c r="Q16" s="83" t="inlineStr">
        <is>
          <t>https://letterboxd.com/search/A%20Bug%27s%20Life/</t>
        </is>
      </c>
      <c r="R16" s="83" t="inlineStr">
        <is>
          <t>https://www.metacritic.com/search/A+Bug%27s+Life/</t>
        </is>
      </c>
    </row>
    <row r="17">
      <c r="A17" s="83" t="inlineStr">
        <is>
          <t>F0013</t>
        </is>
      </c>
      <c r="B17" s="83" t="inlineStr">
        <is>
          <t>The Accountant</t>
        </is>
      </c>
      <c r="C17" s="88" t="inlineStr">
        <is>
          <t>2016</t>
        </is>
      </c>
      <c r="D17" s="84" t="n"/>
      <c r="E17" s="89" t="n"/>
      <c r="F17" s="90" t="n"/>
      <c r="G17" s="91" t="n"/>
      <c r="H17" s="91" t="n"/>
      <c r="I17" s="92" t="n"/>
      <c r="J17" s="91" t="n"/>
      <c r="K17" s="89" t="n"/>
      <c r="L17" s="89">
        <f>IF(COUNT(E17,G17,H17,I17,J17,K17)=0,"",ROUND((IF(E17="",0,E17*10)+IF(G17="",0,G17)+IF(H17="",0,H17)+IF(I17="",0,I17*20)+IF(J17="",0,J17)+IF(K17="",0,K17*10))/COUNT(E17,G17,H17,I17,J17,K17),1))</f>
        <v/>
      </c>
      <c r="M17" s="83">
        <f>IF(L17="","",IF(L17&gt;=85,"Excellent",IF(L17&gt;=70,"Good",IF(L17&gt;=55,"Mixed","Poor"))))</f>
        <v/>
      </c>
      <c r="N17" s="96" t="n"/>
      <c r="O17" s="83" t="inlineStr">
        <is>
          <t>https://www.imdb.com/find/?q=The+Accountant+2016</t>
        </is>
      </c>
      <c r="P17" s="83" t="inlineStr">
        <is>
          <t>https://www.rottentomatoes.com/search?search=The+Accountant</t>
        </is>
      </c>
      <c r="Q17" s="83" t="inlineStr">
        <is>
          <t>https://letterboxd.com/search/The%20Accountant/</t>
        </is>
      </c>
      <c r="R17" s="83" t="inlineStr">
        <is>
          <t>https://www.metacritic.com/search/The+Accountant/</t>
        </is>
      </c>
    </row>
    <row r="18">
      <c r="A18" s="83" t="inlineStr">
        <is>
          <t>F0014</t>
        </is>
      </c>
      <c r="B18" s="83" t="inlineStr">
        <is>
          <t>Alan Partridge: Alpha Papa</t>
        </is>
      </c>
      <c r="C18" s="88" t="inlineStr">
        <is>
          <t>2013</t>
        </is>
      </c>
      <c r="D18" s="84" t="n"/>
      <c r="E18" s="89" t="n"/>
      <c r="F18" s="90" t="n"/>
      <c r="G18" s="91" t="n"/>
      <c r="H18" s="91" t="n"/>
      <c r="I18" s="92" t="n"/>
      <c r="J18" s="91" t="n"/>
      <c r="K18" s="89" t="n"/>
      <c r="L18" s="89">
        <f>IF(COUNT(E18,G18,H18,I18,J18,K18)=0,"",ROUND((IF(E18="",0,E18*10)+IF(G18="",0,G18)+IF(H18="",0,H18)+IF(I18="",0,I18*20)+IF(J18="",0,J18)+IF(K18="",0,K18*10))/COUNT(E18,G18,H18,I18,J18,K18),1))</f>
        <v/>
      </c>
      <c r="M18" s="83">
        <f>IF(L18="","",IF(L18&gt;=85,"Excellent",IF(L18&gt;=70,"Good",IF(L18&gt;=55,"Mixed","Poor"))))</f>
        <v/>
      </c>
      <c r="N18" s="96" t="n"/>
      <c r="O18" s="83" t="inlineStr">
        <is>
          <t>https://www.imdb.com/find/?q=Alan+Partridge%3A+Alpha+Papa+2013</t>
        </is>
      </c>
      <c r="P18" s="83" t="inlineStr">
        <is>
          <t>https://www.rottentomatoes.com/search?search=Alan+Partridge%3A+Alpha+Papa</t>
        </is>
      </c>
      <c r="Q18" s="83" t="inlineStr">
        <is>
          <t>https://letterboxd.com/search/Alan%20Partridge%3A%20Alpha%20Papa/</t>
        </is>
      </c>
      <c r="R18" s="83" t="inlineStr">
        <is>
          <t>https://www.metacritic.com/search/Alan+Partridge%3A+Alpha+Papa/</t>
        </is>
      </c>
    </row>
    <row r="19">
      <c r="A19" s="83" t="inlineStr">
        <is>
          <t>F0015</t>
        </is>
      </c>
      <c r="B19" s="83" t="inlineStr">
        <is>
          <t>Alien</t>
        </is>
      </c>
      <c r="C19" s="88" t="inlineStr">
        <is>
          <t>1979</t>
        </is>
      </c>
      <c r="D19" s="84" t="n"/>
      <c r="E19" s="89" t="n"/>
      <c r="F19" s="90" t="n"/>
      <c r="G19" s="91" t="n"/>
      <c r="H19" s="91" t="n"/>
      <c r="I19" s="92" t="n"/>
      <c r="J19" s="91" t="n"/>
      <c r="K19" s="89" t="n"/>
      <c r="L19" s="89">
        <f>IF(COUNT(E19,G19,H19,I19,J19,K19)=0,"",ROUND((IF(E19="",0,E19*10)+IF(G19="",0,G19)+IF(H19="",0,H19)+IF(I19="",0,I19*20)+IF(J19="",0,J19)+IF(K19="",0,K19*10))/COUNT(E19,G19,H19,I19,J19,K19),1))</f>
        <v/>
      </c>
      <c r="M19" s="83">
        <f>IF(L19="","",IF(L19&gt;=85,"Excellent",IF(L19&gt;=70,"Good",IF(L19&gt;=55,"Mixed","Poor"))))</f>
        <v/>
      </c>
      <c r="N19" s="96" t="n"/>
      <c r="O19" s="83" t="inlineStr">
        <is>
          <t>https://www.imdb.com/find/?q=Alien+1979</t>
        </is>
      </c>
      <c r="P19" s="83" t="inlineStr">
        <is>
          <t>https://www.rottentomatoes.com/search?search=Alien</t>
        </is>
      </c>
      <c r="Q19" s="83" t="inlineStr">
        <is>
          <t>https://letterboxd.com/search/Alien/</t>
        </is>
      </c>
      <c r="R19" s="83" t="inlineStr">
        <is>
          <t>https://www.metacritic.com/search/Alien/</t>
        </is>
      </c>
    </row>
    <row r="20">
      <c r="A20" s="83" t="inlineStr">
        <is>
          <t>F0016</t>
        </is>
      </c>
      <c r="B20" s="83" t="inlineStr">
        <is>
          <t>Aliens</t>
        </is>
      </c>
      <c r="C20" s="88" t="inlineStr">
        <is>
          <t>1986</t>
        </is>
      </c>
      <c r="D20" s="84" t="n"/>
      <c r="E20" s="89" t="n"/>
      <c r="F20" s="90" t="n"/>
      <c r="G20" s="91" t="n"/>
      <c r="H20" s="91" t="n"/>
      <c r="I20" s="92" t="n"/>
      <c r="J20" s="91" t="n"/>
      <c r="K20" s="89" t="n"/>
      <c r="L20" s="89">
        <f>IF(COUNT(E20,G20,H20,I20,J20,K20)=0,"",ROUND((IF(E20="",0,E20*10)+IF(G20="",0,G20)+IF(H20="",0,H20)+IF(I20="",0,I20*20)+IF(J20="",0,J20)+IF(K20="",0,K20*10))/COUNT(E20,G20,H20,I20,J20,K20),1))</f>
        <v/>
      </c>
      <c r="M20" s="83">
        <f>IF(L20="","",IF(L20&gt;=85,"Excellent",IF(L20&gt;=70,"Good",IF(L20&gt;=55,"Mixed","Poor"))))</f>
        <v/>
      </c>
      <c r="N20" s="96" t="n"/>
      <c r="O20" s="83" t="inlineStr">
        <is>
          <t>https://www.imdb.com/find/?q=Aliens+1986</t>
        </is>
      </c>
      <c r="P20" s="83" t="inlineStr">
        <is>
          <t>https://www.rottentomatoes.com/search?search=Aliens</t>
        </is>
      </c>
      <c r="Q20" s="83" t="inlineStr">
        <is>
          <t>https://letterboxd.com/search/Aliens/</t>
        </is>
      </c>
      <c r="R20" s="83" t="inlineStr">
        <is>
          <t>https://www.metacritic.com/search/Aliens/</t>
        </is>
      </c>
    </row>
    <row r="21" ht="15.75" customHeight="1" s="108">
      <c r="A21" s="83" t="inlineStr">
        <is>
          <t>F0017</t>
        </is>
      </c>
      <c r="B21" s="83" t="inlineStr">
        <is>
          <t>Alien³</t>
        </is>
      </c>
      <c r="C21" s="88" t="inlineStr">
        <is>
          <t>1992</t>
        </is>
      </c>
      <c r="D21" s="84" t="n"/>
      <c r="E21" s="89" t="n"/>
      <c r="F21" s="90" t="n"/>
      <c r="G21" s="91" t="n"/>
      <c r="H21" s="91" t="n"/>
      <c r="I21" s="92" t="n"/>
      <c r="J21" s="91" t="n"/>
      <c r="K21" s="89" t="n"/>
      <c r="L21" s="89">
        <f>IF(COUNT(E21,G21,H21,I21,J21,K21)=0,"",ROUND((IF(E21="",0,E21*10)+IF(G21="",0,G21)+IF(H21="",0,H21)+IF(I21="",0,I21*20)+IF(J21="",0,J21)+IF(K21="",0,K21*10))/COUNT(E21,G21,H21,I21,J21,K21),1))</f>
        <v/>
      </c>
      <c r="M21" s="83">
        <f>IF(L21="","",IF(L21&gt;=85,"Excellent",IF(L21&gt;=70,"Good",IF(L21&gt;=55,"Mixed","Poor"))))</f>
        <v/>
      </c>
      <c r="N21" s="96" t="n"/>
      <c r="O21" s="83" t="inlineStr">
        <is>
          <t>https://www.imdb.com/find/?q=Alien%C2%B3+1992</t>
        </is>
      </c>
      <c r="P21" s="83" t="inlineStr">
        <is>
          <t>https://www.rottentomatoes.com/search?search=Alien%C2%B3</t>
        </is>
      </c>
      <c r="Q21" s="83" t="inlineStr">
        <is>
          <t>https://letterboxd.com/search/Alien%C2%B3/</t>
        </is>
      </c>
      <c r="R21" s="83" t="inlineStr">
        <is>
          <t>https://www.metacritic.com/search/Alien%C2%B3/</t>
        </is>
      </c>
    </row>
    <row r="22" ht="15.75" customHeight="1" s="108">
      <c r="A22" s="83" t="inlineStr">
        <is>
          <t>F0018</t>
        </is>
      </c>
      <c r="B22" s="83" t="inlineStr">
        <is>
          <t>Alien Resurrection</t>
        </is>
      </c>
      <c r="C22" s="88" t="inlineStr">
        <is>
          <t>1997</t>
        </is>
      </c>
      <c r="D22" s="84" t="n"/>
      <c r="E22" s="89" t="n"/>
      <c r="F22" s="90" t="n"/>
      <c r="G22" s="91" t="n"/>
      <c r="H22" s="91" t="n"/>
      <c r="I22" s="92" t="n"/>
      <c r="J22" s="91" t="n"/>
      <c r="K22" s="89" t="n"/>
      <c r="L22" s="89">
        <f>IF(COUNT(E22,G22,H22,I22,J22,K22)=0,"",ROUND((IF(E22="",0,E22*10)+IF(G22="",0,G22)+IF(H22="",0,H22)+IF(I22="",0,I22*20)+IF(J22="",0,J22)+IF(K22="",0,K22*10))/COUNT(E22,G22,H22,I22,J22,K22),1))</f>
        <v/>
      </c>
      <c r="M22" s="83">
        <f>IF(L22="","",IF(L22&gt;=85,"Excellent",IF(L22&gt;=70,"Good",IF(L22&gt;=55,"Mixed","Poor"))))</f>
        <v/>
      </c>
      <c r="N22" s="96" t="n"/>
      <c r="O22" s="83" t="inlineStr">
        <is>
          <t>https://www.imdb.com/find/?q=Alien+Resurrection+1997</t>
        </is>
      </c>
      <c r="P22" s="83" t="inlineStr">
        <is>
          <t>https://www.rottentomatoes.com/search?search=Alien+Resurrection</t>
        </is>
      </c>
      <c r="Q22" s="83" t="inlineStr">
        <is>
          <t>https://letterboxd.com/search/Alien%20Resurrection/</t>
        </is>
      </c>
      <c r="R22" s="83" t="inlineStr">
        <is>
          <t>https://www.metacritic.com/search/Alien+Resurrection/</t>
        </is>
      </c>
    </row>
    <row r="23" ht="15.75" customHeight="1" s="108">
      <c r="A23" s="83" t="inlineStr">
        <is>
          <t>F0019</t>
        </is>
      </c>
      <c r="B23" s="83" t="inlineStr">
        <is>
          <t>The Amazing Spider-Man</t>
        </is>
      </c>
      <c r="C23" s="88" t="inlineStr">
        <is>
          <t>2012</t>
        </is>
      </c>
      <c r="D23" s="84" t="n"/>
      <c r="E23" s="89" t="n"/>
      <c r="F23" s="90" t="n"/>
      <c r="G23" s="91" t="n"/>
      <c r="H23" s="91" t="n"/>
      <c r="I23" s="92" t="n"/>
      <c r="J23" s="91" t="n"/>
      <c r="K23" s="89" t="n"/>
      <c r="L23" s="89">
        <f>IF(COUNT(E23,G23,H23,I23,J23,K23)=0,"",ROUND((IF(E23="",0,E23*10)+IF(G23="",0,G23)+IF(H23="",0,H23)+IF(I23="",0,I23*20)+IF(J23="",0,J23)+IF(K23="",0,K23*10))/COUNT(E23,G23,H23,I23,J23,K23),1))</f>
        <v/>
      </c>
      <c r="M23" s="83">
        <f>IF(L23="","",IF(L23&gt;=85,"Excellent",IF(L23&gt;=70,"Good",IF(L23&gt;=55,"Mixed","Poor"))))</f>
        <v/>
      </c>
      <c r="N23" s="96" t="n"/>
      <c r="O23" s="83" t="inlineStr">
        <is>
          <t>https://www.imdb.com/find/?q=The+Amazing+Spider-Man+2012</t>
        </is>
      </c>
      <c r="P23" s="83" t="inlineStr">
        <is>
          <t>https://www.rottentomatoes.com/search?search=The+Amazing+Spider-Man</t>
        </is>
      </c>
      <c r="Q23" s="83" t="inlineStr">
        <is>
          <t>https://letterboxd.com/search/The%20Amazing%20Spider-Man/</t>
        </is>
      </c>
      <c r="R23" s="83" t="inlineStr">
        <is>
          <t>https://www.metacritic.com/search/The+Amazing+Spider-Man/</t>
        </is>
      </c>
    </row>
    <row r="24" ht="15.75" customHeight="1" s="108">
      <c r="A24" s="83" t="inlineStr">
        <is>
          <t>F0020</t>
        </is>
      </c>
      <c r="B24" s="83" t="inlineStr">
        <is>
          <t>American Hustle</t>
        </is>
      </c>
      <c r="C24" s="88" t="inlineStr">
        <is>
          <t>2013</t>
        </is>
      </c>
      <c r="D24" s="84" t="n"/>
      <c r="E24" s="89" t="n"/>
      <c r="F24" s="90" t="n"/>
      <c r="G24" s="91" t="n"/>
      <c r="H24" s="91" t="n"/>
      <c r="I24" s="92" t="n"/>
      <c r="J24" s="91" t="n"/>
      <c r="K24" s="89" t="n"/>
      <c r="L24" s="89">
        <f>IF(COUNT(E24,G24,H24,I24,J24,K24)=0,"",ROUND((IF(E24="",0,E24*10)+IF(G24="",0,G24)+IF(H24="",0,H24)+IF(I24="",0,I24*20)+IF(J24="",0,J24)+IF(K24="",0,K24*10))/COUNT(E24,G24,H24,I24,J24,K24),1))</f>
        <v/>
      </c>
      <c r="M24" s="83">
        <f>IF(L24="","",IF(L24&gt;=85,"Excellent",IF(L24&gt;=70,"Good",IF(L24&gt;=55,"Mixed","Poor"))))</f>
        <v/>
      </c>
      <c r="N24" s="96" t="n"/>
      <c r="O24" s="83" t="inlineStr">
        <is>
          <t>https://www.imdb.com/find/?q=American+Hustle+2013</t>
        </is>
      </c>
      <c r="P24" s="83" t="inlineStr">
        <is>
          <t>https://www.rottentomatoes.com/search?search=American+Hustle</t>
        </is>
      </c>
      <c r="Q24" s="83" t="inlineStr">
        <is>
          <t>https://letterboxd.com/search/American%20Hustle/</t>
        </is>
      </c>
      <c r="R24" s="83" t="inlineStr">
        <is>
          <t>https://www.metacritic.com/search/American+Hustle/</t>
        </is>
      </c>
    </row>
    <row r="25" ht="15.75" customHeight="1" s="108">
      <c r="A25" s="83" t="inlineStr">
        <is>
          <t>F0021</t>
        </is>
      </c>
      <c r="B25" s="83" t="inlineStr">
        <is>
          <t>A Million Ways to Die in the West</t>
        </is>
      </c>
      <c r="C25" s="88" t="inlineStr">
        <is>
          <t>2014</t>
        </is>
      </c>
      <c r="D25" s="84" t="n"/>
      <c r="E25" s="89" t="n"/>
      <c r="F25" s="90" t="n"/>
      <c r="G25" s="91" t="n"/>
      <c r="H25" s="91" t="n"/>
      <c r="I25" s="92" t="n"/>
      <c r="J25" s="91" t="n"/>
      <c r="K25" s="89" t="n"/>
      <c r="L25" s="89">
        <f>IF(COUNT(E25,G25,H25,I25,J25,K25)=0,"",ROUND((IF(E25="",0,E25*10)+IF(G25="",0,G25)+IF(H25="",0,H25)+IF(I25="",0,I25*20)+IF(J25="",0,J25)+IF(K25="",0,K25*10))/COUNT(E25,G25,H25,I25,J25,K25),1))</f>
        <v/>
      </c>
      <c r="M25" s="83">
        <f>IF(L25="","",IF(L25&gt;=85,"Excellent",IF(L25&gt;=70,"Good",IF(L25&gt;=55,"Mixed","Poor"))))</f>
        <v/>
      </c>
      <c r="N25" s="96" t="n"/>
      <c r="O25" s="83" t="inlineStr">
        <is>
          <t>https://www.imdb.com/find/?q=A+Million+Ways+to+Die+in+the+West+2014</t>
        </is>
      </c>
      <c r="P25" s="83" t="inlineStr">
        <is>
          <t>https://www.rottentomatoes.com/search?search=A+Million+Ways+to+Die+in+the+West</t>
        </is>
      </c>
      <c r="Q25" s="83" t="inlineStr">
        <is>
          <t>https://letterboxd.com/search/A%20Million%20Ways%20to%20Die%20in%20the%20West/</t>
        </is>
      </c>
      <c r="R25" s="83" t="inlineStr">
        <is>
          <t>https://www.metacritic.com/search/A+Million+Ways+to+Die+in+the+West/</t>
        </is>
      </c>
    </row>
    <row r="26" ht="15.75" customHeight="1" s="108">
      <c r="A26" s="83" t="inlineStr">
        <is>
          <t>F0022</t>
        </is>
      </c>
      <c r="B26" s="83" t="inlineStr">
        <is>
          <t>Anchorman: The Legend of Ron Burgundy</t>
        </is>
      </c>
      <c r="C26" s="88" t="inlineStr">
        <is>
          <t>2004</t>
        </is>
      </c>
      <c r="D26" s="84" t="n">
        <v>4</v>
      </c>
      <c r="E26" s="89" t="n"/>
      <c r="F26" s="90" t="n"/>
      <c r="G26" s="91" t="n"/>
      <c r="H26" s="91" t="n"/>
      <c r="I26" s="92" t="n"/>
      <c r="J26" s="91" t="n"/>
      <c r="K26" s="89" t="n"/>
      <c r="L26" s="89">
        <f>IF(COUNT(E26,G26,H26,I26,J26,K26)=0,"",ROUND((IF(E26="",0,E26*10)+IF(G26="",0,G26)+IF(H26="",0,H26)+IF(I26="",0,I26*20)+IF(J26="",0,J26)+IF(K26="",0,K26*10))/COUNT(E26,G26,H26,I26,J26,K26),1))</f>
        <v/>
      </c>
      <c r="M26" s="83">
        <f>IF(L26="","",IF(L26&gt;=85,"Excellent",IF(L26&gt;=70,"Good",IF(L26&gt;=55,"Mixed","Poor"))))</f>
        <v/>
      </c>
      <c r="N26" s="96" t="n"/>
      <c r="O26" s="83" t="inlineStr">
        <is>
          <t>https://www.imdb.com/find/?q=Anchorman%3A+The+Legend+of+Ron+Burgundy+2004</t>
        </is>
      </c>
      <c r="P26" s="83" t="inlineStr">
        <is>
          <t>https://www.rottentomatoes.com/search?search=Anchorman%3A+The+Legend+of+Ron+Burgundy</t>
        </is>
      </c>
      <c r="Q26" s="83" t="inlineStr">
        <is>
          <t>https://letterboxd.com/search/Anchorman%3A%20The%20Legend%20of%20Ron%20Burgundy/</t>
        </is>
      </c>
      <c r="R26" s="83" t="inlineStr">
        <is>
          <t>https://www.metacritic.com/search/Anchorman%3A+The+Legend+of+Ron+Burgundy/</t>
        </is>
      </c>
    </row>
    <row r="27" ht="15.75" customHeight="1" s="108">
      <c r="A27" s="83" t="inlineStr">
        <is>
          <t>F0023</t>
        </is>
      </c>
      <c r="B27" s="83" t="inlineStr">
        <is>
          <t>Angels &amp; Demons</t>
        </is>
      </c>
      <c r="C27" s="88" t="inlineStr">
        <is>
          <t>2009</t>
        </is>
      </c>
      <c r="D27" s="84" t="n"/>
      <c r="E27" s="89" t="n"/>
      <c r="F27" s="90" t="n"/>
      <c r="G27" s="91" t="n"/>
      <c r="H27" s="91" t="n"/>
      <c r="I27" s="92" t="n"/>
      <c r="J27" s="91" t="n"/>
      <c r="K27" s="89" t="n"/>
      <c r="L27" s="89">
        <f>IF(COUNT(E27,G27,H27,I27,J27,K27)=0,"",ROUND((IF(E27="",0,E27*10)+IF(G27="",0,G27)+IF(H27="",0,H27)+IF(I27="",0,I27*20)+IF(J27="",0,J27)+IF(K27="",0,K27*10))/COUNT(E27,G27,H27,I27,J27,K27),1))</f>
        <v/>
      </c>
      <c r="M27" s="83">
        <f>IF(L27="","",IF(L27&gt;=85,"Excellent",IF(L27&gt;=70,"Good",IF(L27&gt;=55,"Mixed","Poor"))))</f>
        <v/>
      </c>
      <c r="N27" s="96" t="n"/>
      <c r="O27" s="83" t="inlineStr">
        <is>
          <t>https://www.imdb.com/find/?q=Angels+%26+Demons+2009</t>
        </is>
      </c>
      <c r="P27" s="83" t="inlineStr">
        <is>
          <t>https://www.rottentomatoes.com/search?search=Angels+%26+Demons</t>
        </is>
      </c>
      <c r="Q27" s="83" t="inlineStr">
        <is>
          <t>https://letterboxd.com/search/Angels%20%26%20Demons/</t>
        </is>
      </c>
      <c r="R27" s="83" t="inlineStr">
        <is>
          <t>https://www.metacritic.com/search/Angels+%26+Demons/</t>
        </is>
      </c>
    </row>
    <row r="28" ht="15.75" customHeight="1" s="108">
      <c r="A28" s="83" t="inlineStr">
        <is>
          <t>F0024</t>
        </is>
      </c>
      <c r="B28" s="83" t="inlineStr">
        <is>
          <t>Anuvahood</t>
        </is>
      </c>
      <c r="C28" s="88" t="inlineStr">
        <is>
          <t>2011</t>
        </is>
      </c>
      <c r="D28" s="84" t="n"/>
      <c r="E28" s="89" t="n"/>
      <c r="F28" s="90" t="n"/>
      <c r="G28" s="91" t="n"/>
      <c r="H28" s="91" t="n"/>
      <c r="I28" s="92" t="n"/>
      <c r="J28" s="91" t="n"/>
      <c r="K28" s="89" t="n"/>
      <c r="L28" s="89">
        <f>IF(COUNT(E28,G28,H28,I28,J28,K28)=0,"",ROUND((IF(E28="",0,E28*10)+IF(G28="",0,G28)+IF(H28="",0,H28)+IF(I28="",0,I28*20)+IF(J28="",0,J28)+IF(K28="",0,K28*10))/COUNT(E28,G28,H28,I28,J28,K28),1))</f>
        <v/>
      </c>
      <c r="M28" s="83">
        <f>IF(L28="","",IF(L28&gt;=85,"Excellent",IF(L28&gt;=70,"Good",IF(L28&gt;=55,"Mixed","Poor"))))</f>
        <v/>
      </c>
      <c r="N28" s="96" t="n"/>
      <c r="O28" s="83" t="inlineStr">
        <is>
          <t>https://www.imdb.com/find/?q=Anuvahood+2011</t>
        </is>
      </c>
      <c r="P28" s="83" t="inlineStr">
        <is>
          <t>https://www.rottentomatoes.com/search?search=Anuvahood</t>
        </is>
      </c>
      <c r="Q28" s="83" t="inlineStr">
        <is>
          <t>https://letterboxd.com/search/Anuvahood/</t>
        </is>
      </c>
      <c r="R28" s="83" t="inlineStr">
        <is>
          <t>https://www.metacritic.com/search/Anuvahood/</t>
        </is>
      </c>
    </row>
    <row r="29" ht="15.75" customHeight="1" s="108">
      <c r="A29" s="83" t="inlineStr">
        <is>
          <t>F0025</t>
        </is>
      </c>
      <c r="B29" s="83" t="inlineStr">
        <is>
          <t>Argo</t>
        </is>
      </c>
      <c r="C29" s="88" t="inlineStr">
        <is>
          <t>2012</t>
        </is>
      </c>
      <c r="D29" s="84" t="n"/>
      <c r="E29" s="89" t="n"/>
      <c r="F29" s="90" t="n"/>
      <c r="G29" s="91" t="n"/>
      <c r="H29" s="91" t="n"/>
      <c r="I29" s="92" t="n"/>
      <c r="J29" s="91" t="n"/>
      <c r="K29" s="89" t="n"/>
      <c r="L29" s="89">
        <f>IF(COUNT(E29,G29,H29,I29,J29,K29)=0,"",ROUND((IF(E29="",0,E29*10)+IF(G29="",0,G29)+IF(H29="",0,H29)+IF(I29="",0,I29*20)+IF(J29="",0,J29)+IF(K29="",0,K29*10))/COUNT(E29,G29,H29,I29,J29,K29),1))</f>
        <v/>
      </c>
      <c r="M29" s="83">
        <f>IF(L29="","",IF(L29&gt;=85,"Excellent",IF(L29&gt;=70,"Good",IF(L29&gt;=55,"Mixed","Poor"))))</f>
        <v/>
      </c>
      <c r="N29" s="96" t="n"/>
      <c r="O29" s="83" t="inlineStr">
        <is>
          <t>https://www.imdb.com/find/?q=Argo+2012</t>
        </is>
      </c>
      <c r="P29" s="83" t="inlineStr">
        <is>
          <t>https://www.rottentomatoes.com/search?search=Argo</t>
        </is>
      </c>
      <c r="Q29" s="83" t="inlineStr">
        <is>
          <t>https://letterboxd.com/search/Argo/</t>
        </is>
      </c>
      <c r="R29" s="83" t="inlineStr">
        <is>
          <t>https://www.metacritic.com/search/Argo/</t>
        </is>
      </c>
    </row>
    <row r="30" ht="15.75" customHeight="1" s="108">
      <c r="A30" s="83" t="inlineStr">
        <is>
          <t>F0026</t>
        </is>
      </c>
      <c r="B30" s="83" t="inlineStr">
        <is>
          <t>The A-Team</t>
        </is>
      </c>
      <c r="C30" s="88" t="inlineStr">
        <is>
          <t>2010</t>
        </is>
      </c>
      <c r="D30" s="84" t="n"/>
      <c r="E30" s="89" t="n"/>
      <c r="F30" s="90" t="n"/>
      <c r="G30" s="91" t="n"/>
      <c r="H30" s="91" t="n"/>
      <c r="I30" s="92" t="n"/>
      <c r="J30" s="91" t="n"/>
      <c r="K30" s="89" t="n"/>
      <c r="L30" s="89">
        <f>IF(COUNT(E30,G30,H30,I30,J30,K30)=0,"",ROUND((IF(E30="",0,E30*10)+IF(G30="",0,G30)+IF(H30="",0,H30)+IF(I30="",0,I30*20)+IF(J30="",0,J30)+IF(K30="",0,K30*10))/COUNT(E30,G30,H30,I30,J30,K30),1))</f>
        <v/>
      </c>
      <c r="M30" s="83">
        <f>IF(L30="","",IF(L30&gt;=85,"Excellent",IF(L30&gt;=70,"Good",IF(L30&gt;=55,"Mixed","Poor"))))</f>
        <v/>
      </c>
      <c r="N30" s="96" t="n"/>
      <c r="O30" s="83" t="inlineStr">
        <is>
          <t>https://www.imdb.com/find/?q=The+A-Team+2010</t>
        </is>
      </c>
      <c r="P30" s="83" t="inlineStr">
        <is>
          <t>https://www.rottentomatoes.com/search?search=The+A-Team</t>
        </is>
      </c>
      <c r="Q30" s="83" t="inlineStr">
        <is>
          <t>https://letterboxd.com/search/The%20A-Team/</t>
        </is>
      </c>
      <c r="R30" s="83" t="inlineStr">
        <is>
          <t>https://www.metacritic.com/search/The+A-Team/</t>
        </is>
      </c>
    </row>
    <row r="31" ht="15.75" customHeight="1" s="108">
      <c r="A31" s="83" t="inlineStr">
        <is>
          <t>F0027</t>
        </is>
      </c>
      <c r="B31" s="83" t="inlineStr">
        <is>
          <t>Attack the Block</t>
        </is>
      </c>
      <c r="C31" s="88" t="inlineStr">
        <is>
          <t>2011</t>
        </is>
      </c>
      <c r="D31" s="84" t="n"/>
      <c r="E31" s="89" t="n"/>
      <c r="F31" s="90" t="n"/>
      <c r="G31" s="91" t="n"/>
      <c r="H31" s="91" t="n"/>
      <c r="I31" s="92" t="n"/>
      <c r="J31" s="91" t="n"/>
      <c r="K31" s="89" t="n"/>
      <c r="L31" s="89">
        <f>IF(COUNT(E31,G31,H31,I31,J31,K31)=0,"",ROUND((IF(E31="",0,E31*10)+IF(G31="",0,G31)+IF(H31="",0,H31)+IF(I31="",0,I31*20)+IF(J31="",0,J31)+IF(K31="",0,K31*10))/COUNT(E31,G31,H31,I31,J31,K31),1))</f>
        <v/>
      </c>
      <c r="M31" s="83">
        <f>IF(L31="","",IF(L31&gt;=85,"Excellent",IF(L31&gt;=70,"Good",IF(L31&gt;=55,"Mixed","Poor"))))</f>
        <v/>
      </c>
      <c r="N31" s="96" t="n"/>
      <c r="O31" s="83" t="inlineStr">
        <is>
          <t>https://www.imdb.com/find/?q=Attack+the+Block+2011</t>
        </is>
      </c>
      <c r="P31" s="83" t="inlineStr">
        <is>
          <t>https://www.rottentomatoes.com/search?search=Attack+the+Block</t>
        </is>
      </c>
      <c r="Q31" s="83" t="inlineStr">
        <is>
          <t>https://letterboxd.com/search/Attack%20the%20Block/</t>
        </is>
      </c>
      <c r="R31" s="83" t="inlineStr">
        <is>
          <t>https://www.metacritic.com/search/Attack+the+Block/</t>
        </is>
      </c>
    </row>
    <row r="32" ht="15.75" customHeight="1" s="108">
      <c r="A32" s="83" t="inlineStr">
        <is>
          <t>F0028</t>
        </is>
      </c>
      <c r="B32" s="83" t="inlineStr">
        <is>
          <t>Avatar</t>
        </is>
      </c>
      <c r="C32" s="88" t="inlineStr">
        <is>
          <t>2009</t>
        </is>
      </c>
      <c r="D32" s="84" t="n"/>
      <c r="E32" s="89" t="n"/>
      <c r="F32" s="90" t="n"/>
      <c r="G32" s="91" t="n"/>
      <c r="H32" s="91" t="n"/>
      <c r="I32" s="92" t="n"/>
      <c r="J32" s="91" t="n"/>
      <c r="K32" s="89" t="n"/>
      <c r="L32" s="89">
        <f>IF(COUNT(E32,G32,H32,I32,J32,K32)=0,"",ROUND((IF(E32="",0,E32*10)+IF(G32="",0,G32)+IF(H32="",0,H32)+IF(I32="",0,I32*20)+IF(J32="",0,J32)+IF(K32="",0,K32*10))/COUNT(E32,G32,H32,I32,J32,K32),1))</f>
        <v/>
      </c>
      <c r="M32" s="83">
        <f>IF(L32="","",IF(L32&gt;=85,"Excellent",IF(L32&gt;=70,"Good",IF(L32&gt;=55,"Mixed","Poor"))))</f>
        <v/>
      </c>
      <c r="N32" s="96" t="n"/>
      <c r="O32" s="83" t="inlineStr">
        <is>
          <t>https://www.imdb.com/find/?q=Avatar+2009</t>
        </is>
      </c>
      <c r="P32" s="83" t="inlineStr">
        <is>
          <t>https://www.rottentomatoes.com/search?search=Avatar</t>
        </is>
      </c>
      <c r="Q32" s="83" t="inlineStr">
        <is>
          <t>https://letterboxd.com/search/Avatar/</t>
        </is>
      </c>
      <c r="R32" s="83" t="inlineStr">
        <is>
          <t>https://www.metacritic.com/search/Avatar/</t>
        </is>
      </c>
    </row>
    <row r="33" ht="15.75" customHeight="1" s="108">
      <c r="A33" s="83" t="inlineStr">
        <is>
          <t>F0029</t>
        </is>
      </c>
      <c r="B33" s="83" t="inlineStr">
        <is>
          <t>The Avengers</t>
        </is>
      </c>
      <c r="C33" s="88" t="inlineStr">
        <is>
          <t>2012</t>
        </is>
      </c>
      <c r="D33" s="84" t="n"/>
      <c r="E33" s="89" t="n"/>
      <c r="F33" s="90" t="n"/>
      <c r="G33" s="91" t="n"/>
      <c r="H33" s="91" t="n"/>
      <c r="I33" s="92" t="n"/>
      <c r="J33" s="91" t="n"/>
      <c r="K33" s="89" t="n"/>
      <c r="L33" s="89">
        <f>IF(COUNT(E33,G33,H33,I33,J33,K33)=0,"",ROUND((IF(E33="",0,E33*10)+IF(G33="",0,G33)+IF(H33="",0,H33)+IF(I33="",0,I33*20)+IF(J33="",0,J33)+IF(K33="",0,K33*10))/COUNT(E33,G33,H33,I33,J33,K33),1))</f>
        <v/>
      </c>
      <c r="M33" s="83">
        <f>IF(L33="","",IF(L33&gt;=85,"Excellent",IF(L33&gt;=70,"Good",IF(L33&gt;=55,"Mixed","Poor"))))</f>
        <v/>
      </c>
      <c r="N33" s="96" t="n"/>
      <c r="O33" s="83" t="inlineStr">
        <is>
          <t>https://www.imdb.com/find/?q=The+Avengers+2012</t>
        </is>
      </c>
      <c r="P33" s="83" t="inlineStr">
        <is>
          <t>https://www.rottentomatoes.com/search?search=The+Avengers</t>
        </is>
      </c>
      <c r="Q33" s="83" t="inlineStr">
        <is>
          <t>https://letterboxd.com/search/The%20Avengers/</t>
        </is>
      </c>
      <c r="R33" s="83" t="inlineStr">
        <is>
          <t>https://www.metacritic.com/search/The+Avengers/</t>
        </is>
      </c>
    </row>
    <row r="34" ht="15.75" customHeight="1" s="108">
      <c r="A34" s="83" t="inlineStr">
        <is>
          <t>F0030</t>
        </is>
      </c>
      <c r="B34" s="83" t="inlineStr">
        <is>
          <t>Avengers: Infinity War</t>
        </is>
      </c>
      <c r="C34" s="88" t="inlineStr">
        <is>
          <t>2018</t>
        </is>
      </c>
      <c r="D34" s="84" t="n"/>
      <c r="E34" s="89" t="n"/>
      <c r="F34" s="90" t="n"/>
      <c r="G34" s="91" t="n"/>
      <c r="H34" s="91" t="n"/>
      <c r="I34" s="92" t="n"/>
      <c r="J34" s="91" t="n"/>
      <c r="K34" s="89" t="n"/>
      <c r="L34" s="89">
        <f>IF(COUNT(E34,G34,H34,I34,J34,K34)=0,"",ROUND((IF(E34="",0,E34*10)+IF(G34="",0,G34)+IF(H34="",0,H34)+IF(I34="",0,I34*20)+IF(J34="",0,J34)+IF(K34="",0,K34*10))/COUNT(E34,G34,H34,I34,J34,K34),1))</f>
        <v/>
      </c>
      <c r="M34" s="83">
        <f>IF(L34="","",IF(L34&gt;=85,"Excellent",IF(L34&gt;=70,"Good",IF(L34&gt;=55,"Mixed","Poor"))))</f>
        <v/>
      </c>
      <c r="N34" s="96" t="n"/>
      <c r="O34" s="83" t="inlineStr">
        <is>
          <t>https://www.imdb.com/find/?q=Avengers%3A+Infinity+War+2018</t>
        </is>
      </c>
      <c r="P34" s="83" t="inlineStr">
        <is>
          <t>https://www.rottentomatoes.com/search?search=Avengers%3A+Infinity+War</t>
        </is>
      </c>
      <c r="Q34" s="83" t="inlineStr">
        <is>
          <t>https://letterboxd.com/search/Avengers%3A%20Infinity%20War/</t>
        </is>
      </c>
      <c r="R34" s="83" t="inlineStr">
        <is>
          <t>https://www.metacritic.com/search/Avengers%3A+Infinity+War/</t>
        </is>
      </c>
    </row>
    <row r="35" ht="15.75" customHeight="1" s="108">
      <c r="A35" s="83" t="inlineStr">
        <is>
          <t>F0031</t>
        </is>
      </c>
      <c r="B35" s="83" t="inlineStr">
        <is>
          <t>Avengers: Endgame</t>
        </is>
      </c>
      <c r="C35" s="88" t="inlineStr">
        <is>
          <t>2019</t>
        </is>
      </c>
      <c r="D35" s="84" t="n"/>
      <c r="E35" s="89" t="n"/>
      <c r="F35" s="90" t="n"/>
      <c r="G35" s="91" t="n"/>
      <c r="H35" s="91" t="n"/>
      <c r="I35" s="92" t="n"/>
      <c r="J35" s="91" t="n"/>
      <c r="K35" s="89" t="n"/>
      <c r="L35" s="89">
        <f>IF(COUNT(E35,G35,H35,I35,J35,K35)=0,"",ROUND((IF(E35="",0,E35*10)+IF(G35="",0,G35)+IF(H35="",0,H35)+IF(I35="",0,I35*20)+IF(J35="",0,J35)+IF(K35="",0,K35*10))/COUNT(E35,G35,H35,I35,J35,K35),1))</f>
        <v/>
      </c>
      <c r="M35" s="83">
        <f>IF(L35="","",IF(L35&gt;=85,"Excellent",IF(L35&gt;=70,"Good",IF(L35&gt;=55,"Mixed","Poor"))))</f>
        <v/>
      </c>
      <c r="N35" s="96" t="n"/>
      <c r="O35" s="83" t="inlineStr">
        <is>
          <t>https://www.imdb.com/find/?q=Avengers%3A+Endgame+2019</t>
        </is>
      </c>
      <c r="P35" s="83" t="inlineStr">
        <is>
          <t>https://www.rottentomatoes.com/search?search=Avengers%3A+Endgame</t>
        </is>
      </c>
      <c r="Q35" s="83" t="inlineStr">
        <is>
          <t>https://letterboxd.com/search/Avengers%3A%20Endgame/</t>
        </is>
      </c>
      <c r="R35" s="83" t="inlineStr">
        <is>
          <t>https://www.metacritic.com/search/Avengers%3A+Endgame/</t>
        </is>
      </c>
    </row>
    <row r="36" ht="15.75" customHeight="1" s="108">
      <c r="A36" s="83" t="inlineStr">
        <is>
          <t>F0032</t>
        </is>
      </c>
      <c r="B36" s="83" t="inlineStr">
        <is>
          <t>Baby Driver</t>
        </is>
      </c>
      <c r="C36" s="88" t="inlineStr">
        <is>
          <t>2017</t>
        </is>
      </c>
      <c r="D36" s="84" t="n"/>
      <c r="E36" s="89" t="n"/>
      <c r="F36" s="90" t="n"/>
      <c r="G36" s="91" t="n"/>
      <c r="H36" s="91" t="n"/>
      <c r="I36" s="92" t="n"/>
      <c r="J36" s="91" t="n"/>
      <c r="K36" s="89" t="n"/>
      <c r="L36" s="89">
        <f>IF(COUNT(E36,G36,H36,I36,J36,K36)=0,"",ROUND((IF(E36="",0,E36*10)+IF(G36="",0,G36)+IF(H36="",0,H36)+IF(I36="",0,I36*20)+IF(J36="",0,J36)+IF(K36="",0,K36*10))/COUNT(E36,G36,H36,I36,J36,K36),1))</f>
        <v/>
      </c>
      <c r="M36" s="83">
        <f>IF(L36="","",IF(L36&gt;=85,"Excellent",IF(L36&gt;=70,"Good",IF(L36&gt;=55,"Mixed","Poor"))))</f>
        <v/>
      </c>
      <c r="N36" s="96" t="n"/>
      <c r="O36" s="83" t="inlineStr">
        <is>
          <t>https://www.imdb.com/find/?q=Baby+Driver+2017</t>
        </is>
      </c>
      <c r="P36" s="83" t="inlineStr">
        <is>
          <t>https://www.rottentomatoes.com/search?search=Baby+Driver</t>
        </is>
      </c>
      <c r="Q36" s="83" t="inlineStr">
        <is>
          <t>https://letterboxd.com/search/Baby%20Driver/</t>
        </is>
      </c>
      <c r="R36" s="83" t="inlineStr">
        <is>
          <t>https://www.metacritic.com/search/Baby+Driver/</t>
        </is>
      </c>
    </row>
    <row r="37" ht="15.75" customHeight="1" s="108">
      <c r="A37" s="83" t="inlineStr">
        <is>
          <t>F0033</t>
        </is>
      </c>
      <c r="B37" s="83" t="inlineStr">
        <is>
          <t>Back to the Future</t>
        </is>
      </c>
      <c r="C37" s="88" t="inlineStr">
        <is>
          <t>1985</t>
        </is>
      </c>
      <c r="D37" s="84" t="n"/>
      <c r="E37" s="89" t="n"/>
      <c r="F37" s="90" t="n"/>
      <c r="G37" s="91" t="n"/>
      <c r="H37" s="91" t="n"/>
      <c r="I37" s="92" t="n"/>
      <c r="J37" s="91" t="n"/>
      <c r="K37" s="89" t="n"/>
      <c r="L37" s="89">
        <f>IF(COUNT(E37,G37,H37,I37,J37,K37)=0,"",ROUND((IF(E37="",0,E37*10)+IF(G37="",0,G37)+IF(H37="",0,H37)+IF(I37="",0,I37*20)+IF(J37="",0,J37)+IF(K37="",0,K37*10))/COUNT(E37,G37,H37,I37,J37,K37),1))</f>
        <v/>
      </c>
      <c r="M37" s="83">
        <f>IF(L37="","",IF(L37&gt;=85,"Excellent",IF(L37&gt;=70,"Good",IF(L37&gt;=55,"Mixed","Poor"))))</f>
        <v/>
      </c>
      <c r="N37" s="96" t="n"/>
      <c r="O37" s="83" t="inlineStr">
        <is>
          <t>https://www.imdb.com/find/?q=Back+to+the+Future+1985</t>
        </is>
      </c>
      <c r="P37" s="83" t="inlineStr">
        <is>
          <t>https://www.rottentomatoes.com/search?search=Back+to+the+Future</t>
        </is>
      </c>
      <c r="Q37" s="83" t="inlineStr">
        <is>
          <t>https://letterboxd.com/search/Back%20to%20the%20Future/</t>
        </is>
      </c>
      <c r="R37" s="83" t="inlineStr">
        <is>
          <t>https://www.metacritic.com/search/Back+to+the+Future/</t>
        </is>
      </c>
    </row>
    <row r="38" ht="15.75" customHeight="1" s="108">
      <c r="A38" s="83" t="inlineStr">
        <is>
          <t>F0034</t>
        </is>
      </c>
      <c r="B38" s="83" t="inlineStr">
        <is>
          <t>Back to the Future Part II</t>
        </is>
      </c>
      <c r="C38" s="88" t="inlineStr">
        <is>
          <t>1989</t>
        </is>
      </c>
      <c r="D38" s="84" t="n"/>
      <c r="E38" s="89" t="n"/>
      <c r="F38" s="90" t="n"/>
      <c r="G38" s="91" t="n"/>
      <c r="H38" s="91" t="n"/>
      <c r="I38" s="92" t="n"/>
      <c r="J38" s="91" t="n"/>
      <c r="K38" s="89" t="n"/>
      <c r="L38" s="89">
        <f>IF(COUNT(E38,G38,H38,I38,J38,K38)=0,"",ROUND((IF(E38="",0,E38*10)+IF(G38="",0,G38)+IF(H38="",0,H38)+IF(I38="",0,I38*20)+IF(J38="",0,J38)+IF(K38="",0,K38*10))/COUNT(E38,G38,H38,I38,J38,K38),1))</f>
        <v/>
      </c>
      <c r="M38" s="83">
        <f>IF(L38="","",IF(L38&gt;=85,"Excellent",IF(L38&gt;=70,"Good",IF(L38&gt;=55,"Mixed","Poor"))))</f>
        <v/>
      </c>
      <c r="N38" s="96" t="n"/>
      <c r="O38" s="83" t="inlineStr">
        <is>
          <t>https://www.imdb.com/find/?q=Back+to+the+Future+Part+II+1989</t>
        </is>
      </c>
      <c r="P38" s="83" t="inlineStr">
        <is>
          <t>https://www.rottentomatoes.com/search?search=Back+to+the+Future+Part+II</t>
        </is>
      </c>
      <c r="Q38" s="83" t="inlineStr">
        <is>
          <t>https://letterboxd.com/search/Back%20to%20the%20Future%20Part%20II/</t>
        </is>
      </c>
      <c r="R38" s="83" t="inlineStr">
        <is>
          <t>https://www.metacritic.com/search/Back+to+the+Future+Part+II/</t>
        </is>
      </c>
    </row>
    <row r="39" ht="15.75" customHeight="1" s="108">
      <c r="A39" s="83" t="inlineStr">
        <is>
          <t>F0035</t>
        </is>
      </c>
      <c r="B39" s="83" t="inlineStr">
        <is>
          <t>Back to the Future Part III</t>
        </is>
      </c>
      <c r="C39" s="88" t="inlineStr">
        <is>
          <t>1990</t>
        </is>
      </c>
      <c r="D39" s="84" t="n"/>
      <c r="E39" s="89" t="n"/>
      <c r="F39" s="90" t="n"/>
      <c r="G39" s="91" t="n"/>
      <c r="H39" s="91" t="n"/>
      <c r="I39" s="92" t="n"/>
      <c r="J39" s="91" t="n"/>
      <c r="K39" s="89" t="n"/>
      <c r="L39" s="89">
        <f>IF(COUNT(E39,G39,H39,I39,J39,K39)=0,"",ROUND((IF(E39="",0,E39*10)+IF(G39="",0,G39)+IF(H39="",0,H39)+IF(I39="",0,I39*20)+IF(J39="",0,J39)+IF(K39="",0,K39*10))/COUNT(E39,G39,H39,I39,J39,K39),1))</f>
        <v/>
      </c>
      <c r="M39" s="83">
        <f>IF(L39="","",IF(L39&gt;=85,"Excellent",IF(L39&gt;=70,"Good",IF(L39&gt;=55,"Mixed","Poor"))))</f>
        <v/>
      </c>
      <c r="N39" s="96" t="n"/>
      <c r="O39" s="83" t="inlineStr">
        <is>
          <t>https://www.imdb.com/find/?q=Back+to+the+Future+Part+III+1990</t>
        </is>
      </c>
      <c r="P39" s="83" t="inlineStr">
        <is>
          <t>https://www.rottentomatoes.com/search?search=Back+to+the+Future+Part+III</t>
        </is>
      </c>
      <c r="Q39" s="83" t="inlineStr">
        <is>
          <t>https://letterboxd.com/search/Back%20to%20the%20Future%20Part%20III/</t>
        </is>
      </c>
      <c r="R39" s="83" t="inlineStr">
        <is>
          <t>https://www.metacritic.com/search/Back+to+the+Future+Part+III/</t>
        </is>
      </c>
    </row>
    <row r="40" ht="15.75" customHeight="1" s="108">
      <c r="A40" s="83" t="inlineStr">
        <is>
          <t>F0036</t>
        </is>
      </c>
      <c r="B40" s="83" t="inlineStr">
        <is>
          <t>Bad Boys</t>
        </is>
      </c>
      <c r="C40" s="88" t="inlineStr">
        <is>
          <t>1995</t>
        </is>
      </c>
      <c r="D40" s="84" t="n"/>
      <c r="E40" s="89" t="n"/>
      <c r="F40" s="90" t="n"/>
      <c r="G40" s="91" t="n"/>
      <c r="H40" s="91" t="n"/>
      <c r="I40" s="92" t="n"/>
      <c r="J40" s="91" t="n"/>
      <c r="K40" s="89" t="n"/>
      <c r="L40" s="89">
        <f>IF(COUNT(E40,G40,H40,I40,J40,K40)=0,"",ROUND((IF(E40="",0,E40*10)+IF(G40="",0,G40)+IF(H40="",0,H40)+IF(I40="",0,I40*20)+IF(J40="",0,J40)+IF(K40="",0,K40*10))/COUNT(E40,G40,H40,I40,J40,K40),1))</f>
        <v/>
      </c>
      <c r="M40" s="83">
        <f>IF(L40="","",IF(L40&gt;=85,"Excellent",IF(L40&gt;=70,"Good",IF(L40&gt;=55,"Mixed","Poor"))))</f>
        <v/>
      </c>
      <c r="N40" s="96" t="n"/>
      <c r="O40" s="83" t="inlineStr">
        <is>
          <t>https://www.imdb.com/find/?q=Bad+Boys+1995</t>
        </is>
      </c>
      <c r="P40" s="83" t="inlineStr">
        <is>
          <t>https://www.rottentomatoes.com/search?search=Bad+Boys</t>
        </is>
      </c>
      <c r="Q40" s="83" t="inlineStr">
        <is>
          <t>https://letterboxd.com/search/Bad%20Boys/</t>
        </is>
      </c>
      <c r="R40" s="83" t="inlineStr">
        <is>
          <t>https://www.metacritic.com/search/Bad+Boys/</t>
        </is>
      </c>
    </row>
    <row r="41" ht="15.75" customHeight="1" s="108">
      <c r="A41" s="83" t="inlineStr">
        <is>
          <t>F0037</t>
        </is>
      </c>
      <c r="B41" s="83" t="inlineStr">
        <is>
          <t>Bad Boys II</t>
        </is>
      </c>
      <c r="C41" s="88" t="inlineStr">
        <is>
          <t>2003</t>
        </is>
      </c>
      <c r="D41" s="84" t="n"/>
      <c r="E41" s="89" t="n"/>
      <c r="F41" s="90" t="n"/>
      <c r="G41" s="91" t="n"/>
      <c r="H41" s="91" t="n"/>
      <c r="I41" s="92" t="n"/>
      <c r="J41" s="91" t="n"/>
      <c r="K41" s="89" t="n"/>
      <c r="L41" s="89">
        <f>IF(COUNT(E41,G41,H41,I41,J41,K41)=0,"",ROUND((IF(E41="",0,E41*10)+IF(G41="",0,G41)+IF(H41="",0,H41)+IF(I41="",0,I41*20)+IF(J41="",0,J41)+IF(K41="",0,K41*10))/COUNT(E41,G41,H41,I41,J41,K41),1))</f>
        <v/>
      </c>
      <c r="M41" s="83">
        <f>IF(L41="","",IF(L41&gt;=85,"Excellent",IF(L41&gt;=70,"Good",IF(L41&gt;=55,"Mixed","Poor"))))</f>
        <v/>
      </c>
      <c r="N41" s="96" t="n"/>
      <c r="O41" s="83" t="inlineStr">
        <is>
          <t>https://www.imdb.com/find/?q=Bad+Boys+II+2003</t>
        </is>
      </c>
      <c r="P41" s="83" t="inlineStr">
        <is>
          <t>https://www.rottentomatoes.com/search?search=Bad+Boys+II</t>
        </is>
      </c>
      <c r="Q41" s="83" t="inlineStr">
        <is>
          <t>https://letterboxd.com/search/Bad%20Boys%20II/</t>
        </is>
      </c>
      <c r="R41" s="83" t="inlineStr">
        <is>
          <t>https://www.metacritic.com/search/Bad+Boys+II/</t>
        </is>
      </c>
    </row>
    <row r="42" ht="15.75" customHeight="1" s="108">
      <c r="A42" s="83" t="inlineStr">
        <is>
          <t>F0038</t>
        </is>
      </c>
      <c r="B42" s="83" t="inlineStr">
        <is>
          <t>Bad Moms</t>
        </is>
      </c>
      <c r="C42" s="88" t="inlineStr">
        <is>
          <t>2016</t>
        </is>
      </c>
      <c r="D42" s="84" t="n"/>
      <c r="E42" s="89" t="n"/>
      <c r="F42" s="90" t="n"/>
      <c r="G42" s="91" t="n"/>
      <c r="H42" s="91" t="n"/>
      <c r="I42" s="92" t="n"/>
      <c r="J42" s="91" t="n"/>
      <c r="K42" s="89" t="n"/>
      <c r="L42" s="89">
        <f>IF(COUNT(E42,G42,H42,I42,J42,K42)=0,"",ROUND((IF(E42="",0,E42*10)+IF(G42="",0,G42)+IF(H42="",0,H42)+IF(I42="",0,I42*20)+IF(J42="",0,J42)+IF(K42="",0,K42*10))/COUNT(E42,G42,H42,I42,J42,K42),1))</f>
        <v/>
      </c>
      <c r="M42" s="83">
        <f>IF(L42="","",IF(L42&gt;=85,"Excellent",IF(L42&gt;=70,"Good",IF(L42&gt;=55,"Mixed","Poor"))))</f>
        <v/>
      </c>
      <c r="N42" s="96" t="n"/>
      <c r="O42" s="83" t="inlineStr">
        <is>
          <t>https://www.imdb.com/find/?q=Bad+Moms+2016</t>
        </is>
      </c>
      <c r="P42" s="83" t="inlineStr">
        <is>
          <t>https://www.rottentomatoes.com/search?search=Bad+Moms</t>
        </is>
      </c>
      <c r="Q42" s="83" t="inlineStr">
        <is>
          <t>https://letterboxd.com/search/Bad%20Moms/</t>
        </is>
      </c>
      <c r="R42" s="83" t="inlineStr">
        <is>
          <t>https://www.metacritic.com/search/Bad+Moms/</t>
        </is>
      </c>
    </row>
    <row r="43" ht="15.75" customHeight="1" s="108">
      <c r="A43" s="83" t="inlineStr">
        <is>
          <t>F0039</t>
        </is>
      </c>
      <c r="B43" s="83" t="inlineStr">
        <is>
          <t>Bad Teacher</t>
        </is>
      </c>
      <c r="C43" s="88" t="inlineStr">
        <is>
          <t>2011</t>
        </is>
      </c>
      <c r="D43" s="84" t="n"/>
      <c r="E43" s="89" t="n"/>
      <c r="F43" s="90" t="n"/>
      <c r="G43" s="91" t="n"/>
      <c r="H43" s="91" t="n"/>
      <c r="I43" s="92" t="n"/>
      <c r="J43" s="91" t="n"/>
      <c r="K43" s="89" t="n"/>
      <c r="L43" s="89">
        <f>IF(COUNT(E43,G43,H43,I43,J43,K43)=0,"",ROUND((IF(E43="",0,E43*10)+IF(G43="",0,G43)+IF(H43="",0,H43)+IF(I43="",0,I43*20)+IF(J43="",0,J43)+IF(K43="",0,K43*10))/COUNT(E43,G43,H43,I43,J43,K43),1))</f>
        <v/>
      </c>
      <c r="M43" s="83">
        <f>IF(L43="","",IF(L43&gt;=85,"Excellent",IF(L43&gt;=70,"Good",IF(L43&gt;=55,"Mixed","Poor"))))</f>
        <v/>
      </c>
      <c r="N43" s="96" t="n"/>
      <c r="O43" s="83" t="inlineStr">
        <is>
          <t>https://www.imdb.com/find/?q=Bad+Teacher+2011</t>
        </is>
      </c>
      <c r="P43" s="83" t="inlineStr">
        <is>
          <t>https://www.rottentomatoes.com/search?search=Bad+Teacher</t>
        </is>
      </c>
      <c r="Q43" s="83" t="inlineStr">
        <is>
          <t>https://letterboxd.com/search/Bad%20Teacher/</t>
        </is>
      </c>
      <c r="R43" s="83" t="inlineStr">
        <is>
          <t>https://www.metacritic.com/search/Bad+Teacher/</t>
        </is>
      </c>
    </row>
    <row r="44" ht="15.75" customHeight="1" s="108">
      <c r="A44" s="83" t="inlineStr">
        <is>
          <t>F0040</t>
        </is>
      </c>
      <c r="B44" s="83" t="inlineStr">
        <is>
          <t>The Bank Job</t>
        </is>
      </c>
      <c r="C44" s="88" t="inlineStr">
        <is>
          <t>2008</t>
        </is>
      </c>
      <c r="D44" s="84" t="n"/>
      <c r="E44" s="89" t="n"/>
      <c r="F44" s="90" t="n"/>
      <c r="G44" s="91" t="n"/>
      <c r="H44" s="91" t="n"/>
      <c r="I44" s="92" t="n"/>
      <c r="J44" s="91" t="n"/>
      <c r="K44" s="89" t="n"/>
      <c r="L44" s="89">
        <f>IF(COUNT(E44,G44,H44,I44,J44,K44)=0,"",ROUND((IF(E44="",0,E44*10)+IF(G44="",0,G44)+IF(H44="",0,H44)+IF(I44="",0,I44*20)+IF(J44="",0,J44)+IF(K44="",0,K44*10))/COUNT(E44,G44,H44,I44,J44,K44),1))</f>
        <v/>
      </c>
      <c r="M44" s="83">
        <f>IF(L44="","",IF(L44&gt;=85,"Excellent",IF(L44&gt;=70,"Good",IF(L44&gt;=55,"Mixed","Poor"))))</f>
        <v/>
      </c>
      <c r="N44" s="96" t="n"/>
      <c r="O44" s="83" t="inlineStr">
        <is>
          <t>https://www.imdb.com/find/?q=The+Bank+Job+2008</t>
        </is>
      </c>
      <c r="P44" s="83" t="inlineStr">
        <is>
          <t>https://www.rottentomatoes.com/search?search=The+Bank+Job</t>
        </is>
      </c>
      <c r="Q44" s="83" t="inlineStr">
        <is>
          <t>https://letterboxd.com/search/The%20Bank%20Job/</t>
        </is>
      </c>
      <c r="R44" s="83" t="inlineStr">
        <is>
          <t>https://www.metacritic.com/search/The+Bank+Job/</t>
        </is>
      </c>
    </row>
    <row r="45" ht="15.75" customHeight="1" s="108">
      <c r="A45" s="83" t="inlineStr">
        <is>
          <t>F0041</t>
        </is>
      </c>
      <c r="B45" s="83" t="inlineStr">
        <is>
          <t>Barbie</t>
        </is>
      </c>
      <c r="C45" s="88" t="inlineStr">
        <is>
          <t>2023</t>
        </is>
      </c>
      <c r="D45" s="84" t="n"/>
      <c r="E45" s="89" t="n"/>
      <c r="F45" s="90" t="n"/>
      <c r="G45" s="91" t="n"/>
      <c r="H45" s="91" t="n"/>
      <c r="I45" s="92" t="n"/>
      <c r="J45" s="91" t="n"/>
      <c r="K45" s="89" t="n"/>
      <c r="L45" s="89">
        <f>IF(COUNT(E45,G45,H45,I45,J45,K45)=0,"",ROUND((IF(E45="",0,E45*10)+IF(G45="",0,G45)+IF(H45="",0,H45)+IF(I45="",0,I45*20)+IF(J45="",0,J45)+IF(K45="",0,K45*10))/COUNT(E45,G45,H45,I45,J45,K45),1))</f>
        <v/>
      </c>
      <c r="M45" s="83">
        <f>IF(L45="","",IF(L45&gt;=85,"Excellent",IF(L45&gt;=70,"Good",IF(L45&gt;=55,"Mixed","Poor"))))</f>
        <v/>
      </c>
      <c r="N45" s="96" t="n"/>
      <c r="O45" s="83" t="inlineStr">
        <is>
          <t>https://www.imdb.com/find/?q=Barbie+2023</t>
        </is>
      </c>
      <c r="P45" s="83" t="inlineStr">
        <is>
          <t>https://www.rottentomatoes.com/search?search=Barbie</t>
        </is>
      </c>
      <c r="Q45" s="83" t="inlineStr">
        <is>
          <t>https://letterboxd.com/search/Barbie/</t>
        </is>
      </c>
      <c r="R45" s="83" t="inlineStr">
        <is>
          <t>https://www.metacritic.com/search/Barbie/</t>
        </is>
      </c>
    </row>
    <row r="46" ht="15.75" customHeight="1" s="108">
      <c r="A46" s="83" t="inlineStr">
        <is>
          <t>F0042</t>
        </is>
      </c>
      <c r="B46" s="83" t="inlineStr">
        <is>
          <t>The Batman</t>
        </is>
      </c>
      <c r="C46" s="88" t="inlineStr">
        <is>
          <t>2022</t>
        </is>
      </c>
      <c r="D46" s="84" t="n"/>
      <c r="E46" s="89" t="n"/>
      <c r="F46" s="90" t="n"/>
      <c r="G46" s="91" t="n"/>
      <c r="H46" s="91" t="n"/>
      <c r="I46" s="92" t="n"/>
      <c r="J46" s="91" t="n"/>
      <c r="K46" s="89" t="n"/>
      <c r="L46" s="89">
        <f>IF(COUNT(E46,G46,H46,I46,J46,K46)=0,"",ROUND((IF(E46="",0,E46*10)+IF(G46="",0,G46)+IF(H46="",0,H46)+IF(I46="",0,I46*20)+IF(J46="",0,J46)+IF(K46="",0,K46*10))/COUNT(E46,G46,H46,I46,J46,K46),1))</f>
        <v/>
      </c>
      <c r="M46" s="83">
        <f>IF(L46="","",IF(L46&gt;=85,"Excellent",IF(L46&gt;=70,"Good",IF(L46&gt;=55,"Mixed","Poor"))))</f>
        <v/>
      </c>
      <c r="N46" s="96" t="n"/>
      <c r="O46" s="83" t="inlineStr">
        <is>
          <t>https://www.imdb.com/find/?q=The+Batman+2022</t>
        </is>
      </c>
      <c r="P46" s="83" t="inlineStr">
        <is>
          <t>https://www.rottentomatoes.com/search?search=The+Batman</t>
        </is>
      </c>
      <c r="Q46" s="83" t="inlineStr">
        <is>
          <t>https://letterboxd.com/search/The%20Batman/</t>
        </is>
      </c>
      <c r="R46" s="83" t="inlineStr">
        <is>
          <t>https://www.metacritic.com/search/The+Batman/</t>
        </is>
      </c>
    </row>
    <row r="47" ht="15.75" customHeight="1" s="108">
      <c r="A47" s="83" t="inlineStr">
        <is>
          <t>F0043</t>
        </is>
      </c>
      <c r="B47" s="83" t="inlineStr">
        <is>
          <t>Batman Begins</t>
        </is>
      </c>
      <c r="C47" s="88" t="inlineStr">
        <is>
          <t>2005</t>
        </is>
      </c>
      <c r="D47" s="84" t="n"/>
      <c r="E47" s="89" t="n"/>
      <c r="F47" s="90" t="n"/>
      <c r="G47" s="91" t="n"/>
      <c r="H47" s="91" t="n"/>
      <c r="I47" s="92" t="n"/>
      <c r="J47" s="91" t="n"/>
      <c r="K47" s="89" t="n"/>
      <c r="L47" s="89">
        <f>IF(COUNT(E47,G47,H47,I47,J47,K47)=0,"",ROUND((IF(E47="",0,E47*10)+IF(G47="",0,G47)+IF(H47="",0,H47)+IF(I47="",0,I47*20)+IF(J47="",0,J47)+IF(K47="",0,K47*10))/COUNT(E47,G47,H47,I47,J47,K47),1))</f>
        <v/>
      </c>
      <c r="M47" s="83">
        <f>IF(L47="","",IF(L47&gt;=85,"Excellent",IF(L47&gt;=70,"Good",IF(L47&gt;=55,"Mixed","Poor"))))</f>
        <v/>
      </c>
      <c r="N47" s="96" t="n"/>
      <c r="O47" s="83" t="inlineStr">
        <is>
          <t>https://www.imdb.com/find/?q=Batman+Begins+2005</t>
        </is>
      </c>
      <c r="P47" s="83" t="inlineStr">
        <is>
          <t>https://www.rottentomatoes.com/search?search=Batman+Begins</t>
        </is>
      </c>
      <c r="Q47" s="83" t="inlineStr">
        <is>
          <t>https://letterboxd.com/search/Batman%20Begins/</t>
        </is>
      </c>
      <c r="R47" s="83" t="inlineStr">
        <is>
          <t>https://www.metacritic.com/search/Batman+Begins/</t>
        </is>
      </c>
    </row>
    <row r="48" ht="15.75" customHeight="1" s="108">
      <c r="A48" s="83" t="inlineStr">
        <is>
          <t>F0044</t>
        </is>
      </c>
      <c r="B48" s="83" t="inlineStr">
        <is>
          <t>The Dark Knight</t>
        </is>
      </c>
      <c r="C48" s="88" t="inlineStr">
        <is>
          <t>2008</t>
        </is>
      </c>
      <c r="D48" s="84" t="n"/>
      <c r="E48" s="89" t="n"/>
      <c r="F48" s="90" t="n"/>
      <c r="G48" s="91" t="n"/>
      <c r="H48" s="91" t="n"/>
      <c r="I48" s="92" t="n"/>
      <c r="J48" s="91" t="n"/>
      <c r="K48" s="89" t="n"/>
      <c r="L48" s="89">
        <f>IF(COUNT(E48,G48,H48,I48,J48,K48)=0,"",ROUND((IF(E48="",0,E48*10)+IF(G48="",0,G48)+IF(H48="",0,H48)+IF(I48="",0,I48*20)+IF(J48="",0,J48)+IF(K48="",0,K48*10))/COUNT(E48,G48,H48,I48,J48,K48),1))</f>
        <v/>
      </c>
      <c r="M48" s="83">
        <f>IF(L48="","",IF(L48&gt;=85,"Excellent",IF(L48&gt;=70,"Good",IF(L48&gt;=55,"Mixed","Poor"))))</f>
        <v/>
      </c>
      <c r="N48" s="96" t="n"/>
      <c r="O48" s="83" t="inlineStr">
        <is>
          <t>https://www.imdb.com/find/?q=The+Dark+Knight+2008</t>
        </is>
      </c>
      <c r="P48" s="83" t="inlineStr">
        <is>
          <t>https://www.rottentomatoes.com/search?search=The+Dark+Knight</t>
        </is>
      </c>
      <c r="Q48" s="83" t="inlineStr">
        <is>
          <t>https://letterboxd.com/search/The%20Dark%20Knight/</t>
        </is>
      </c>
      <c r="R48" s="83" t="inlineStr">
        <is>
          <t>https://www.metacritic.com/search/The+Dark+Knight/</t>
        </is>
      </c>
    </row>
    <row r="49" ht="15.75" customHeight="1" s="108">
      <c r="A49" s="83" t="inlineStr">
        <is>
          <t>F0045</t>
        </is>
      </c>
      <c r="B49" s="83" t="inlineStr">
        <is>
          <t>The Dark Knight Rises</t>
        </is>
      </c>
      <c r="C49" s="88" t="inlineStr">
        <is>
          <t>2012</t>
        </is>
      </c>
      <c r="D49" s="84" t="n"/>
      <c r="E49" s="89" t="n"/>
      <c r="F49" s="90" t="n"/>
      <c r="G49" s="91" t="n"/>
      <c r="H49" s="91" t="n"/>
      <c r="I49" s="92" t="n"/>
      <c r="J49" s="91" t="n"/>
      <c r="K49" s="89" t="n"/>
      <c r="L49" s="89">
        <f>IF(COUNT(E49,G49,H49,I49,J49,K49)=0,"",ROUND((IF(E49="",0,E49*10)+IF(G49="",0,G49)+IF(H49="",0,H49)+IF(I49="",0,I49*20)+IF(J49="",0,J49)+IF(K49="",0,K49*10))/COUNT(E49,G49,H49,I49,J49,K49),1))</f>
        <v/>
      </c>
      <c r="M49" s="83">
        <f>IF(L49="","",IF(L49&gt;=85,"Excellent",IF(L49&gt;=70,"Good",IF(L49&gt;=55,"Mixed","Poor"))))</f>
        <v/>
      </c>
      <c r="N49" s="96" t="n"/>
      <c r="O49" s="83" t="inlineStr">
        <is>
          <t>https://www.imdb.com/find/?q=The+Dark+Knight+Rises+2012</t>
        </is>
      </c>
      <c r="P49" s="83" t="inlineStr">
        <is>
          <t>https://www.rottentomatoes.com/search?search=The+Dark+Knight+Rises</t>
        </is>
      </c>
      <c r="Q49" s="83" t="inlineStr">
        <is>
          <t>https://letterboxd.com/search/The%20Dark%20Knight%20Rises/</t>
        </is>
      </c>
      <c r="R49" s="83" t="inlineStr">
        <is>
          <t>https://www.metacritic.com/search/The+Dark+Knight+Rises/</t>
        </is>
      </c>
    </row>
    <row r="50" ht="15.75" customHeight="1" s="108">
      <c r="A50" s="83" t="inlineStr">
        <is>
          <t>F0046</t>
        </is>
      </c>
      <c r="B50" s="83" t="inlineStr">
        <is>
          <t>Battle: Los Angeles</t>
        </is>
      </c>
      <c r="C50" s="88" t="inlineStr">
        <is>
          <t>2011</t>
        </is>
      </c>
      <c r="D50" s="84" t="n"/>
      <c r="E50" s="89" t="n"/>
      <c r="F50" s="90" t="n"/>
      <c r="G50" s="91" t="n"/>
      <c r="H50" s="91" t="n"/>
      <c r="I50" s="92" t="n"/>
      <c r="J50" s="91" t="n"/>
      <c r="K50" s="89" t="n"/>
      <c r="L50" s="89">
        <f>IF(COUNT(E50,G50,H50,I50,J50,K50)=0,"",ROUND((IF(E50="",0,E50*10)+IF(G50="",0,G50)+IF(H50="",0,H50)+IF(I50="",0,I50*20)+IF(J50="",0,J50)+IF(K50="",0,K50*10))/COUNT(E50,G50,H50,I50,J50,K50),1))</f>
        <v/>
      </c>
      <c r="M50" s="83">
        <f>IF(L50="","",IF(L50&gt;=85,"Excellent",IF(L50&gt;=70,"Good",IF(L50&gt;=55,"Mixed","Poor"))))</f>
        <v/>
      </c>
      <c r="N50" s="96" t="n"/>
      <c r="O50" s="83" t="inlineStr">
        <is>
          <t>https://www.imdb.com/find/?q=Battle%3A+Los+Angeles+2011</t>
        </is>
      </c>
      <c r="P50" s="83" t="inlineStr">
        <is>
          <t>https://www.rottentomatoes.com/search?search=Battle%3A+Los+Angeles</t>
        </is>
      </c>
      <c r="Q50" s="83" t="inlineStr">
        <is>
          <t>https://letterboxd.com/search/Battle%3A%20Los%20Angeles/</t>
        </is>
      </c>
      <c r="R50" s="83" t="inlineStr">
        <is>
          <t>https://www.metacritic.com/search/Battle%3A+Los+Angeles/</t>
        </is>
      </c>
    </row>
    <row r="51" ht="15.75" customHeight="1" s="108">
      <c r="A51" s="83" t="inlineStr">
        <is>
          <t>F0047</t>
        </is>
      </c>
      <c r="B51" s="83" t="inlineStr">
        <is>
          <t>The BFG</t>
        </is>
      </c>
      <c r="C51" s="88" t="inlineStr">
        <is>
          <t>2016</t>
        </is>
      </c>
      <c r="D51" s="84" t="n"/>
      <c r="E51" s="89" t="n"/>
      <c r="F51" s="90" t="n"/>
      <c r="G51" s="91" t="n"/>
      <c r="H51" s="91" t="n"/>
      <c r="I51" s="92" t="n"/>
      <c r="J51" s="91" t="n"/>
      <c r="K51" s="89" t="n"/>
      <c r="L51" s="89">
        <f>IF(COUNT(E51,G51,H51,I51,J51,K51)=0,"",ROUND((IF(E51="",0,E51*10)+IF(G51="",0,G51)+IF(H51="",0,H51)+IF(I51="",0,I51*20)+IF(J51="",0,J51)+IF(K51="",0,K51*10))/COUNT(E51,G51,H51,I51,J51,K51),1))</f>
        <v/>
      </c>
      <c r="M51" s="83">
        <f>IF(L51="","",IF(L51&gt;=85,"Excellent",IF(L51&gt;=70,"Good",IF(L51&gt;=55,"Mixed","Poor"))))</f>
        <v/>
      </c>
      <c r="N51" s="96" t="n"/>
      <c r="O51" s="83" t="inlineStr">
        <is>
          <t>https://www.imdb.com/find/?q=The+BFG+2016</t>
        </is>
      </c>
      <c r="P51" s="83" t="inlineStr">
        <is>
          <t>https://www.rottentomatoes.com/search?search=The+BFG</t>
        </is>
      </c>
      <c r="Q51" s="83" t="inlineStr">
        <is>
          <t>https://letterboxd.com/search/The%20BFG/</t>
        </is>
      </c>
      <c r="R51" s="83" t="inlineStr">
        <is>
          <t>https://www.metacritic.com/search/The+BFG/</t>
        </is>
      </c>
    </row>
    <row r="52" ht="15.75" customHeight="1" s="108">
      <c r="A52" s="83" t="inlineStr">
        <is>
          <t>F0048</t>
        </is>
      </c>
      <c r="B52" s="83" t="inlineStr">
        <is>
          <t>Big Hero 6</t>
        </is>
      </c>
      <c r="C52" s="88" t="inlineStr">
        <is>
          <t>2014</t>
        </is>
      </c>
      <c r="D52" s="84" t="n"/>
      <c r="E52" s="89" t="n"/>
      <c r="F52" s="90" t="n"/>
      <c r="G52" s="91" t="n"/>
      <c r="H52" s="91" t="n"/>
      <c r="I52" s="92" t="n"/>
      <c r="J52" s="91" t="n"/>
      <c r="K52" s="89" t="n"/>
      <c r="L52" s="89">
        <f>IF(COUNT(E52,G52,H52,I52,J52,K52)=0,"",ROUND((IF(E52="",0,E52*10)+IF(G52="",0,G52)+IF(H52="",0,H52)+IF(I52="",0,I52*20)+IF(J52="",0,J52)+IF(K52="",0,K52*10))/COUNT(E52,G52,H52,I52,J52,K52),1))</f>
        <v/>
      </c>
      <c r="M52" s="83">
        <f>IF(L52="","",IF(L52&gt;=85,"Excellent",IF(L52&gt;=70,"Good",IF(L52&gt;=55,"Mixed","Poor"))))</f>
        <v/>
      </c>
      <c r="N52" s="96" t="n"/>
      <c r="O52" s="83" t="inlineStr">
        <is>
          <t>https://www.imdb.com/find/?q=Big+Hero+6+2014</t>
        </is>
      </c>
      <c r="P52" s="83" t="inlineStr">
        <is>
          <t>https://www.rottentomatoes.com/search?search=Big+Hero+6</t>
        </is>
      </c>
      <c r="Q52" s="83" t="inlineStr">
        <is>
          <t>https://letterboxd.com/search/Big%20Hero%206/</t>
        </is>
      </c>
      <c r="R52" s="83" t="inlineStr">
        <is>
          <t>https://www.metacritic.com/search/Big+Hero+6/</t>
        </is>
      </c>
    </row>
    <row r="53" ht="15.75" customHeight="1" s="108">
      <c r="A53" s="83" t="inlineStr">
        <is>
          <t>F0049</t>
        </is>
      </c>
      <c r="B53" s="83" t="inlineStr">
        <is>
          <t>The Big Lebowski</t>
        </is>
      </c>
      <c r="C53" s="88" t="inlineStr">
        <is>
          <t>1998</t>
        </is>
      </c>
      <c r="D53" s="84" t="n"/>
      <c r="E53" s="89" t="n"/>
      <c r="F53" s="90" t="n"/>
      <c r="G53" s="91" t="n"/>
      <c r="H53" s="91" t="n"/>
      <c r="I53" s="92" t="n"/>
      <c r="J53" s="91" t="n"/>
      <c r="K53" s="89" t="n"/>
      <c r="L53" s="89">
        <f>IF(COUNT(E53,G53,H53,I53,J53,K53)=0,"",ROUND((IF(E53="",0,E53*10)+IF(G53="",0,G53)+IF(H53="",0,H53)+IF(I53="",0,I53*20)+IF(J53="",0,J53)+IF(K53="",0,K53*10))/COUNT(E53,G53,H53,I53,J53,K53),1))</f>
        <v/>
      </c>
      <c r="M53" s="83">
        <f>IF(L53="","",IF(L53&gt;=85,"Excellent",IF(L53&gt;=70,"Good",IF(L53&gt;=55,"Mixed","Poor"))))</f>
        <v/>
      </c>
      <c r="N53" s="96" t="n"/>
      <c r="O53" s="83" t="inlineStr">
        <is>
          <t>https://www.imdb.com/find/?q=The+Big+Lebowski+1998</t>
        </is>
      </c>
      <c r="P53" s="83" t="inlineStr">
        <is>
          <t>https://www.rottentomatoes.com/search?search=The+Big+Lebowski</t>
        </is>
      </c>
      <c r="Q53" s="83" t="inlineStr">
        <is>
          <t>https://letterboxd.com/search/The%20Big%20Lebowski/</t>
        </is>
      </c>
      <c r="R53" s="83" t="inlineStr">
        <is>
          <t>https://www.metacritic.com/search/The+Big+Lebowski/</t>
        </is>
      </c>
    </row>
    <row r="54" ht="15.75" customHeight="1" s="108">
      <c r="A54" s="83" t="inlineStr">
        <is>
          <t>F0050</t>
        </is>
      </c>
      <c r="B54" s="83" t="inlineStr">
        <is>
          <t>Black Hawk Down</t>
        </is>
      </c>
      <c r="C54" s="88" t="inlineStr">
        <is>
          <t>2001</t>
        </is>
      </c>
      <c r="D54" s="84" t="n"/>
      <c r="E54" s="89" t="n"/>
      <c r="F54" s="90" t="n"/>
      <c r="G54" s="91" t="n"/>
      <c r="H54" s="91" t="n"/>
      <c r="I54" s="92" t="n"/>
      <c r="J54" s="91" t="n"/>
      <c r="K54" s="89" t="n"/>
      <c r="L54" s="89">
        <f>IF(COUNT(E54,G54,H54,I54,J54,K54)=0,"",ROUND((IF(E54="",0,E54*10)+IF(G54="",0,G54)+IF(H54="",0,H54)+IF(I54="",0,I54*20)+IF(J54="",0,J54)+IF(K54="",0,K54*10))/COUNT(E54,G54,H54,I54,J54,K54),1))</f>
        <v/>
      </c>
      <c r="M54" s="83">
        <f>IF(L54="","",IF(L54&gt;=85,"Excellent",IF(L54&gt;=70,"Good",IF(L54&gt;=55,"Mixed","Poor"))))</f>
        <v/>
      </c>
      <c r="N54" s="96" t="n"/>
      <c r="O54" s="83" t="inlineStr">
        <is>
          <t>https://www.imdb.com/find/?q=Black+Hawk+Down+2001</t>
        </is>
      </c>
      <c r="P54" s="83" t="inlineStr">
        <is>
          <t>https://www.rottentomatoes.com/search?search=Black+Hawk+Down</t>
        </is>
      </c>
      <c r="Q54" s="83" t="inlineStr">
        <is>
          <t>https://letterboxd.com/search/Black%20Hawk%20Down/</t>
        </is>
      </c>
      <c r="R54" s="83" t="inlineStr">
        <is>
          <t>https://www.metacritic.com/search/Black+Hawk+Down/</t>
        </is>
      </c>
    </row>
    <row r="55" ht="15.75" customHeight="1" s="108">
      <c r="A55" s="83" t="inlineStr">
        <is>
          <t>F0051</t>
        </is>
      </c>
      <c r="B55" s="83" t="inlineStr">
        <is>
          <t>Body of Lies</t>
        </is>
      </c>
      <c r="C55" s="88" t="inlineStr">
        <is>
          <t>2008</t>
        </is>
      </c>
      <c r="D55" s="84" t="n"/>
      <c r="E55" s="89" t="n"/>
      <c r="F55" s="90" t="n"/>
      <c r="G55" s="91" t="n"/>
      <c r="H55" s="91" t="n"/>
      <c r="I55" s="92" t="n"/>
      <c r="J55" s="91" t="n"/>
      <c r="K55" s="89" t="n"/>
      <c r="L55" s="89">
        <f>IF(COUNT(E55,G55,H55,I55,J55,K55)=0,"",ROUND((IF(E55="",0,E55*10)+IF(G55="",0,G55)+IF(H55="",0,H55)+IF(I55="",0,I55*20)+IF(J55="",0,J55)+IF(K55="",0,K55*10))/COUNT(E55,G55,H55,I55,J55,K55),1))</f>
        <v/>
      </c>
      <c r="M55" s="83">
        <f>IF(L55="","",IF(L55&gt;=85,"Excellent",IF(L55&gt;=70,"Good",IF(L55&gt;=55,"Mixed","Poor"))))</f>
        <v/>
      </c>
      <c r="N55" s="96" t="n"/>
      <c r="O55" s="83" t="inlineStr">
        <is>
          <t>https://www.imdb.com/find/?q=Body+of+Lies+2008</t>
        </is>
      </c>
      <c r="P55" s="83" t="inlineStr">
        <is>
          <t>https://www.rottentomatoes.com/search?search=Body+of+Lies</t>
        </is>
      </c>
      <c r="Q55" s="83" t="inlineStr">
        <is>
          <t>https://letterboxd.com/search/Body%20of%20Lies/</t>
        </is>
      </c>
      <c r="R55" s="83" t="inlineStr">
        <is>
          <t>https://www.metacritic.com/search/Body+of+Lies/</t>
        </is>
      </c>
    </row>
    <row r="56" ht="15.75" customHeight="1" s="108">
      <c r="A56" s="83" t="inlineStr">
        <is>
          <t>F0052</t>
        </is>
      </c>
      <c r="B56" s="83" t="inlineStr">
        <is>
          <t>Bohemian Rhapsody</t>
        </is>
      </c>
      <c r="C56" s="88" t="inlineStr">
        <is>
          <t>2018</t>
        </is>
      </c>
      <c r="D56" s="84" t="n"/>
      <c r="E56" s="89" t="n"/>
      <c r="F56" s="90" t="n"/>
      <c r="G56" s="91" t="n"/>
      <c r="H56" s="91" t="n"/>
      <c r="I56" s="92" t="n"/>
      <c r="J56" s="91" t="n"/>
      <c r="K56" s="89" t="n"/>
      <c r="L56" s="89">
        <f>IF(COUNT(E56,G56,H56,I56,J56,K56)=0,"",ROUND((IF(E56="",0,E56*10)+IF(G56="",0,G56)+IF(H56="",0,H56)+IF(I56="",0,I56*20)+IF(J56="",0,J56)+IF(K56="",0,K56*10))/COUNT(E56,G56,H56,I56,J56,K56),1))</f>
        <v/>
      </c>
      <c r="M56" s="83">
        <f>IF(L56="","",IF(L56&gt;=85,"Excellent",IF(L56&gt;=70,"Good",IF(L56&gt;=55,"Mixed","Poor"))))</f>
        <v/>
      </c>
      <c r="N56" s="96" t="n"/>
      <c r="O56" s="83" t="inlineStr">
        <is>
          <t>https://www.imdb.com/find/?q=Bohemian+Rhapsody+2018</t>
        </is>
      </c>
      <c r="P56" s="83" t="inlineStr">
        <is>
          <t>https://www.rottentomatoes.com/search?search=Bohemian+Rhapsody</t>
        </is>
      </c>
      <c r="Q56" s="83" t="inlineStr">
        <is>
          <t>https://letterboxd.com/search/Bohemian%20Rhapsody/</t>
        </is>
      </c>
      <c r="R56" s="83" t="inlineStr">
        <is>
          <t>https://www.metacritic.com/search/Bohemian+Rhapsody/</t>
        </is>
      </c>
    </row>
    <row r="57" ht="15.75" customHeight="1" s="108">
      <c r="A57" s="83" t="inlineStr">
        <is>
          <t>F0053</t>
        </is>
      </c>
      <c r="B57" s="83" t="inlineStr">
        <is>
          <t>The Bourne Identity</t>
        </is>
      </c>
      <c r="C57" s="88" t="inlineStr">
        <is>
          <t>2002</t>
        </is>
      </c>
      <c r="D57" s="84" t="n">
        <v>3</v>
      </c>
      <c r="E57" s="89" t="n"/>
      <c r="F57" s="90" t="n"/>
      <c r="G57" s="91" t="n"/>
      <c r="H57" s="91" t="n"/>
      <c r="I57" s="92" t="n"/>
      <c r="J57" s="91" t="n"/>
      <c r="K57" s="89" t="n"/>
      <c r="L57" s="89">
        <f>IF(COUNT(E57,G57,H57,I57,J57,K57)=0,"",ROUND((IF(E57="",0,E57*10)+IF(G57="",0,G57)+IF(H57="",0,H57)+IF(I57="",0,I57*20)+IF(J57="",0,J57)+IF(K57="",0,K57*10))/COUNT(E57,G57,H57,I57,J57,K57),1))</f>
        <v/>
      </c>
      <c r="M57" s="83">
        <f>IF(L57="","",IF(L57&gt;=85,"Excellent",IF(L57&gt;=70,"Good",IF(L57&gt;=55,"Mixed","Poor"))))</f>
        <v/>
      </c>
      <c r="N57" s="96" t="n"/>
      <c r="O57" s="83" t="inlineStr">
        <is>
          <t>https://www.imdb.com/find/?q=The+Bourne+Identity+2002</t>
        </is>
      </c>
      <c r="P57" s="83" t="inlineStr">
        <is>
          <t>https://www.rottentomatoes.com/search?search=The+Bourne+Identity</t>
        </is>
      </c>
      <c r="Q57" s="83" t="inlineStr">
        <is>
          <t>https://letterboxd.com/search/The%20Bourne%20Identity/</t>
        </is>
      </c>
      <c r="R57" s="83" t="inlineStr">
        <is>
          <t>https://www.metacritic.com/search/The+Bourne+Identity/</t>
        </is>
      </c>
    </row>
    <row r="58" ht="15.75" customHeight="1" s="108">
      <c r="A58" s="83" t="inlineStr">
        <is>
          <t>F0054</t>
        </is>
      </c>
      <c r="B58" s="83" t="inlineStr">
        <is>
          <t>The Bourne Supremacy</t>
        </is>
      </c>
      <c r="C58" s="88" t="inlineStr">
        <is>
          <t>2004</t>
        </is>
      </c>
      <c r="D58" s="84" t="n">
        <v>4</v>
      </c>
      <c r="E58" s="89" t="n"/>
      <c r="F58" s="90" t="n"/>
      <c r="G58" s="91" t="n"/>
      <c r="H58" s="91" t="n"/>
      <c r="I58" s="92" t="n"/>
      <c r="J58" s="91" t="n"/>
      <c r="K58" s="89" t="n"/>
      <c r="L58" s="89">
        <f>IF(COUNT(E58,G58,H58,I58,J58,K58)=0,"",ROUND((IF(E58="",0,E58*10)+IF(G58="",0,G58)+IF(H58="",0,H58)+IF(I58="",0,I58*20)+IF(J58="",0,J58)+IF(K58="",0,K58*10))/COUNT(E58,G58,H58,I58,J58,K58),1))</f>
        <v/>
      </c>
      <c r="M58" s="83">
        <f>IF(L58="","",IF(L58&gt;=85,"Excellent",IF(L58&gt;=70,"Good",IF(L58&gt;=55,"Mixed","Poor"))))</f>
        <v/>
      </c>
      <c r="N58" s="96" t="n"/>
      <c r="O58" s="83" t="inlineStr">
        <is>
          <t>https://www.imdb.com/find/?q=The+Bourne+Supremacy+2004</t>
        </is>
      </c>
      <c r="P58" s="83" t="inlineStr">
        <is>
          <t>https://www.rottentomatoes.com/search?search=The+Bourne+Supremacy</t>
        </is>
      </c>
      <c r="Q58" s="83" t="inlineStr">
        <is>
          <t>https://letterboxd.com/search/The%20Bourne%20Supremacy/</t>
        </is>
      </c>
      <c r="R58" s="83" t="inlineStr">
        <is>
          <t>https://www.metacritic.com/search/The+Bourne+Supremacy/</t>
        </is>
      </c>
    </row>
    <row r="59" ht="15.75" customHeight="1" s="108">
      <c r="A59" s="83" t="inlineStr">
        <is>
          <t>F0055</t>
        </is>
      </c>
      <c r="B59" s="83" t="inlineStr">
        <is>
          <t>The Bourne Ultimatum</t>
        </is>
      </c>
      <c r="C59" s="88" t="inlineStr">
        <is>
          <t>2007</t>
        </is>
      </c>
      <c r="D59" s="84" t="n">
        <v>4</v>
      </c>
      <c r="E59" s="89" t="n"/>
      <c r="F59" s="90" t="n"/>
      <c r="G59" s="91" t="n"/>
      <c r="H59" s="91" t="n"/>
      <c r="I59" s="92" t="n"/>
      <c r="J59" s="91" t="n"/>
      <c r="K59" s="89" t="n"/>
      <c r="L59" s="89">
        <f>IF(COUNT(E59,G59,H59,I59,J59,K59)=0,"",ROUND((IF(E59="",0,E59*10)+IF(G59="",0,G59)+IF(H59="",0,H59)+IF(I59="",0,I59*20)+IF(J59="",0,J59)+IF(K59="",0,K59*10))/COUNT(E59,G59,H59,I59,J59,K59),1))</f>
        <v/>
      </c>
      <c r="M59" s="83">
        <f>IF(L59="","",IF(L59&gt;=85,"Excellent",IF(L59&gt;=70,"Good",IF(L59&gt;=55,"Mixed","Poor"))))</f>
        <v/>
      </c>
      <c r="N59" s="96" t="n"/>
      <c r="O59" s="83" t="inlineStr">
        <is>
          <t>https://www.imdb.com/find/?q=The+Bourne+Ultimatum+2007</t>
        </is>
      </c>
      <c r="P59" s="83" t="inlineStr">
        <is>
          <t>https://www.rottentomatoes.com/search?search=The+Bourne+Ultimatum</t>
        </is>
      </c>
      <c r="Q59" s="83" t="inlineStr">
        <is>
          <t>https://letterboxd.com/search/The%20Bourne%20Ultimatum/</t>
        </is>
      </c>
      <c r="R59" s="83" t="inlineStr">
        <is>
          <t>https://www.metacritic.com/search/The+Bourne+Ultimatum/</t>
        </is>
      </c>
    </row>
    <row r="60" ht="15.75" customHeight="1" s="108">
      <c r="A60" s="83" t="inlineStr">
        <is>
          <t>F0056</t>
        </is>
      </c>
      <c r="B60" s="83" t="inlineStr">
        <is>
          <t>The Bourne Legacy</t>
        </is>
      </c>
      <c r="C60" s="88" t="inlineStr">
        <is>
          <t>2012</t>
        </is>
      </c>
      <c r="D60" s="84" t="n">
        <v>3</v>
      </c>
      <c r="E60" s="89" t="n"/>
      <c r="F60" s="90" t="n"/>
      <c r="G60" s="91" t="n"/>
      <c r="H60" s="91" t="n"/>
      <c r="I60" s="92" t="n"/>
      <c r="J60" s="91" t="n"/>
      <c r="K60" s="89" t="n"/>
      <c r="L60" s="89">
        <f>IF(COUNT(E60,G60,H60,I60,J60,K60)=0,"",ROUND((IF(E60="",0,E60*10)+IF(G60="",0,G60)+IF(H60="",0,H60)+IF(I60="",0,I60*20)+IF(J60="",0,J60)+IF(K60="",0,K60*10))/COUNT(E60,G60,H60,I60,J60,K60),1))</f>
        <v/>
      </c>
      <c r="M60" s="83">
        <f>IF(L60="","",IF(L60&gt;=85,"Excellent",IF(L60&gt;=70,"Good",IF(L60&gt;=55,"Mixed","Poor"))))</f>
        <v/>
      </c>
      <c r="N60" s="96" t="n"/>
      <c r="O60" s="83" t="inlineStr">
        <is>
          <t>https://www.imdb.com/find/?q=The+Bourne+Legacy+2012</t>
        </is>
      </c>
      <c r="P60" s="83" t="inlineStr">
        <is>
          <t>https://www.rottentomatoes.com/search?search=The+Bourne+Legacy</t>
        </is>
      </c>
      <c r="Q60" s="83" t="inlineStr">
        <is>
          <t>https://letterboxd.com/search/The%20Bourne%20Legacy/</t>
        </is>
      </c>
      <c r="R60" s="83" t="inlineStr">
        <is>
          <t>https://www.metacritic.com/search/The+Bourne+Legacy/</t>
        </is>
      </c>
    </row>
    <row r="61" ht="15.75" customHeight="1" s="108">
      <c r="A61" s="83" t="inlineStr">
        <is>
          <t>F0057</t>
        </is>
      </c>
      <c r="B61" s="83" t="inlineStr">
        <is>
          <t>The Breakfast Club</t>
        </is>
      </c>
      <c r="C61" s="88" t="inlineStr">
        <is>
          <t>1985</t>
        </is>
      </c>
      <c r="D61" s="84" t="n"/>
      <c r="E61" s="89" t="n"/>
      <c r="F61" s="90" t="n"/>
      <c r="G61" s="91" t="n"/>
      <c r="H61" s="91" t="n"/>
      <c r="I61" s="92" t="n"/>
      <c r="J61" s="91" t="n"/>
      <c r="K61" s="89" t="n"/>
      <c r="L61" s="89">
        <f>IF(COUNT(E61,G61,H61,I61,J61,K61)=0,"",ROUND((IF(E61="",0,E61*10)+IF(G61="",0,G61)+IF(H61="",0,H61)+IF(I61="",0,I61*20)+IF(J61="",0,J61)+IF(K61="",0,K61*10))/COUNT(E61,G61,H61,I61,J61,K61),1))</f>
        <v/>
      </c>
      <c r="M61" s="83">
        <f>IF(L61="","",IF(L61&gt;=85,"Excellent",IF(L61&gt;=70,"Good",IF(L61&gt;=55,"Mixed","Poor"))))</f>
        <v/>
      </c>
      <c r="N61" s="96" t="n"/>
      <c r="O61" s="83" t="inlineStr">
        <is>
          <t>https://www.imdb.com/find/?q=The+Breakfast+Club+1985</t>
        </is>
      </c>
      <c r="P61" s="83" t="inlineStr">
        <is>
          <t>https://www.rottentomatoes.com/search?search=The+Breakfast+Club</t>
        </is>
      </c>
      <c r="Q61" s="83" t="inlineStr">
        <is>
          <t>https://letterboxd.com/search/The%20Breakfast%20Club/</t>
        </is>
      </c>
      <c r="R61" s="83" t="inlineStr">
        <is>
          <t>https://www.metacritic.com/search/The+Breakfast+Club/</t>
        </is>
      </c>
    </row>
    <row r="62" ht="15.75" customHeight="1" s="108">
      <c r="A62" s="83" t="inlineStr">
        <is>
          <t>F0058</t>
        </is>
      </c>
      <c r="B62" s="83" t="inlineStr">
        <is>
          <t>Bridesmaids</t>
        </is>
      </c>
      <c r="C62" s="88" t="inlineStr">
        <is>
          <t>2011</t>
        </is>
      </c>
      <c r="D62" s="84" t="n"/>
      <c r="E62" s="89" t="n"/>
      <c r="F62" s="90" t="n"/>
      <c r="G62" s="91" t="n"/>
      <c r="H62" s="91" t="n"/>
      <c r="I62" s="92" t="n"/>
      <c r="J62" s="91" t="n"/>
      <c r="K62" s="89" t="n"/>
      <c r="L62" s="89">
        <f>IF(COUNT(E62,G62,H62,I62,J62,K62)=0,"",ROUND((IF(E62="",0,E62*10)+IF(G62="",0,G62)+IF(H62="",0,H62)+IF(I62="",0,I62*20)+IF(J62="",0,J62)+IF(K62="",0,K62*10))/COUNT(E62,G62,H62,I62,J62,K62),1))</f>
        <v/>
      </c>
      <c r="M62" s="83">
        <f>IF(L62="","",IF(L62&gt;=85,"Excellent",IF(L62&gt;=70,"Good",IF(L62&gt;=55,"Mixed","Poor"))))</f>
        <v/>
      </c>
      <c r="N62" s="96" t="n"/>
      <c r="O62" s="83" t="inlineStr">
        <is>
          <t>https://www.imdb.com/find/?q=Bridesmaids+2011</t>
        </is>
      </c>
      <c r="P62" s="83" t="inlineStr">
        <is>
          <t>https://www.rottentomatoes.com/search?search=Bridesmaids</t>
        </is>
      </c>
      <c r="Q62" s="83" t="inlineStr">
        <is>
          <t>https://letterboxd.com/search/Bridesmaids/</t>
        </is>
      </c>
      <c r="R62" s="83" t="inlineStr">
        <is>
          <t>https://www.metacritic.com/search/Bridesmaids/</t>
        </is>
      </c>
    </row>
    <row r="63" ht="15.75" customHeight="1" s="108">
      <c r="A63" s="83" t="inlineStr">
        <is>
          <t>F0059</t>
        </is>
      </c>
      <c r="B63" s="83" t="inlineStr">
        <is>
          <t>Brüno</t>
        </is>
      </c>
      <c r="C63" s="88" t="inlineStr">
        <is>
          <t>2009</t>
        </is>
      </c>
      <c r="D63" s="84" t="n"/>
      <c r="E63" s="89" t="n"/>
      <c r="F63" s="90" t="n"/>
      <c r="G63" s="91" t="n"/>
      <c r="H63" s="91" t="n"/>
      <c r="I63" s="92" t="n"/>
      <c r="J63" s="91" t="n"/>
      <c r="K63" s="89" t="n"/>
      <c r="L63" s="89">
        <f>IF(COUNT(E63,G63,H63,I63,J63,K63)=0,"",ROUND((IF(E63="",0,E63*10)+IF(G63="",0,G63)+IF(H63="",0,H63)+IF(I63="",0,I63*20)+IF(J63="",0,J63)+IF(K63="",0,K63*10))/COUNT(E63,G63,H63,I63,J63,K63),1))</f>
        <v/>
      </c>
      <c r="M63" s="83">
        <f>IF(L63="","",IF(L63&gt;=85,"Excellent",IF(L63&gt;=70,"Good",IF(L63&gt;=55,"Mixed","Poor"))))</f>
        <v/>
      </c>
      <c r="N63" s="96" t="n"/>
      <c r="O63" s="83" t="inlineStr">
        <is>
          <t>https://www.imdb.com/find/?q=Br%C3%BCno+2009</t>
        </is>
      </c>
      <c r="P63" s="83" t="inlineStr">
        <is>
          <t>https://www.rottentomatoes.com/search?search=Br%C3%BCno</t>
        </is>
      </c>
      <c r="Q63" s="83" t="inlineStr">
        <is>
          <t>https://letterboxd.com/search/Br%C3%BCno/</t>
        </is>
      </c>
      <c r="R63" s="83" t="inlineStr">
        <is>
          <t>https://www.metacritic.com/search/Br%C3%BCno/</t>
        </is>
      </c>
    </row>
    <row r="64" ht="15.75" customHeight="1" s="108">
      <c r="A64" s="83" t="inlineStr">
        <is>
          <t>F0060</t>
        </is>
      </c>
      <c r="B64" s="83" t="inlineStr">
        <is>
          <t>The Bucket List</t>
        </is>
      </c>
      <c r="C64" s="88" t="inlineStr">
        <is>
          <t>2007</t>
        </is>
      </c>
      <c r="D64" s="84" t="n"/>
      <c r="E64" s="89" t="n"/>
      <c r="F64" s="90" t="n"/>
      <c r="G64" s="91" t="n"/>
      <c r="H64" s="91" t="n"/>
      <c r="I64" s="92" t="n"/>
      <c r="J64" s="91" t="n"/>
      <c r="K64" s="89" t="n"/>
      <c r="L64" s="89">
        <f>IF(COUNT(E64,G64,H64,I64,J64,K64)=0,"",ROUND((IF(E64="",0,E64*10)+IF(G64="",0,G64)+IF(H64="",0,H64)+IF(I64="",0,I64*20)+IF(J64="",0,J64)+IF(K64="",0,K64*10))/COUNT(E64,G64,H64,I64,J64,K64),1))</f>
        <v/>
      </c>
      <c r="M64" s="83">
        <f>IF(L64="","",IF(L64&gt;=85,"Excellent",IF(L64&gt;=70,"Good",IF(L64&gt;=55,"Mixed","Poor"))))</f>
        <v/>
      </c>
      <c r="N64" s="96" t="n"/>
      <c r="O64" s="83" t="inlineStr">
        <is>
          <t>https://www.imdb.com/find/?q=The+Bucket+List+2007</t>
        </is>
      </c>
      <c r="P64" s="83" t="inlineStr">
        <is>
          <t>https://www.rottentomatoes.com/search?search=The+Bucket+List</t>
        </is>
      </c>
      <c r="Q64" s="83" t="inlineStr">
        <is>
          <t>https://letterboxd.com/search/The%20Bucket%20List/</t>
        </is>
      </c>
      <c r="R64" s="83" t="inlineStr">
        <is>
          <t>https://www.metacritic.com/search/The+Bucket+List/</t>
        </is>
      </c>
    </row>
    <row r="65" ht="15.75" customHeight="1" s="108">
      <c r="A65" s="83" t="inlineStr">
        <is>
          <t>F0061</t>
        </is>
      </c>
      <c r="B65" s="83" t="inlineStr">
        <is>
          <t>Bumblebee</t>
        </is>
      </c>
      <c r="C65" s="88" t="inlineStr">
        <is>
          <t>2018</t>
        </is>
      </c>
      <c r="D65" s="84" t="n">
        <v>4</v>
      </c>
      <c r="E65" s="89" t="n"/>
      <c r="F65" s="90" t="n"/>
      <c r="G65" s="91" t="n"/>
      <c r="H65" s="91" t="n"/>
      <c r="I65" s="92" t="n"/>
      <c r="J65" s="91" t="n"/>
      <c r="K65" s="89" t="n"/>
      <c r="L65" s="89">
        <f>IF(COUNT(E65,G65,H65,I65,J65,K65)=0,"",ROUND((IF(E65="",0,E65*10)+IF(G65="",0,G65)+IF(H65="",0,H65)+IF(I65="",0,I65*20)+IF(J65="",0,J65)+IF(K65="",0,K65*10))/COUNT(E65,G65,H65,I65,J65,K65),1))</f>
        <v/>
      </c>
      <c r="M65" s="83">
        <f>IF(L65="","",IF(L65&gt;=85,"Excellent",IF(L65&gt;=70,"Good",IF(L65&gt;=55,"Mixed","Poor"))))</f>
        <v/>
      </c>
      <c r="N65" s="96" t="n"/>
      <c r="O65" s="83" t="inlineStr">
        <is>
          <t>https://www.imdb.com/find/?q=Bumblebee+2018</t>
        </is>
      </c>
      <c r="P65" s="83" t="inlineStr">
        <is>
          <t>https://www.rottentomatoes.com/search?search=Bumblebee</t>
        </is>
      </c>
      <c r="Q65" s="83" t="inlineStr">
        <is>
          <t>https://letterboxd.com/search/Bumblebee/</t>
        </is>
      </c>
      <c r="R65" s="83" t="inlineStr">
        <is>
          <t>https://www.metacritic.com/search/Bumblebee/</t>
        </is>
      </c>
    </row>
    <row r="66" ht="15.75" customHeight="1" s="108">
      <c r="A66" s="83" t="inlineStr">
        <is>
          <t>F0062</t>
        </is>
      </c>
      <c r="B66" s="83" t="inlineStr">
        <is>
          <t>Captain Phillips</t>
        </is>
      </c>
      <c r="C66" s="88" t="inlineStr">
        <is>
          <t>2013</t>
        </is>
      </c>
      <c r="D66" s="84" t="n"/>
      <c r="E66" s="89" t="n"/>
      <c r="F66" s="90" t="n"/>
      <c r="G66" s="91" t="n"/>
      <c r="H66" s="91" t="n"/>
      <c r="I66" s="92" t="n"/>
      <c r="J66" s="91" t="n"/>
      <c r="K66" s="89" t="n"/>
      <c r="L66" s="89">
        <f>IF(COUNT(E66,G66,H66,I66,J66,K66)=0,"",ROUND((IF(E66="",0,E66*10)+IF(G66="",0,G66)+IF(H66="",0,H66)+IF(I66="",0,I66*20)+IF(J66="",0,J66)+IF(K66="",0,K66*10))/COUNT(E66,G66,H66,I66,J66,K66),1))</f>
        <v/>
      </c>
      <c r="M66" s="83">
        <f>IF(L66="","",IF(L66&gt;=85,"Excellent",IF(L66&gt;=70,"Good",IF(L66&gt;=55,"Mixed","Poor"))))</f>
        <v/>
      </c>
      <c r="N66" s="96" t="n"/>
      <c r="O66" s="83" t="inlineStr">
        <is>
          <t>https://www.imdb.com/find/?q=Captain+Phillips+2013</t>
        </is>
      </c>
      <c r="P66" s="83" t="inlineStr">
        <is>
          <t>https://www.rottentomatoes.com/search?search=Captain+Phillips</t>
        </is>
      </c>
      <c r="Q66" s="83" t="inlineStr">
        <is>
          <t>https://letterboxd.com/search/Captain%20Phillips/</t>
        </is>
      </c>
      <c r="R66" s="83" t="inlineStr">
        <is>
          <t>https://www.metacritic.com/search/Captain+Phillips/</t>
        </is>
      </c>
    </row>
    <row r="67" ht="15.75" customHeight="1" s="108">
      <c r="A67" s="83" t="inlineStr">
        <is>
          <t>F0063</t>
        </is>
      </c>
      <c r="B67" s="83" t="inlineStr">
        <is>
          <t>Catch.44</t>
        </is>
      </c>
      <c r="C67" s="88" t="inlineStr">
        <is>
          <t>2011</t>
        </is>
      </c>
      <c r="D67" s="84" t="n"/>
      <c r="E67" s="89" t="n"/>
      <c r="F67" s="90" t="n"/>
      <c r="G67" s="91" t="n"/>
      <c r="H67" s="91" t="n"/>
      <c r="I67" s="92" t="n"/>
      <c r="J67" s="91" t="n"/>
      <c r="K67" s="89" t="n"/>
      <c r="L67" s="89">
        <f>IF(COUNT(E67,G67,H67,I67,J67,K67)=0,"",ROUND((IF(E67="",0,E67*10)+IF(G67="",0,G67)+IF(H67="",0,H67)+IF(I67="",0,I67*20)+IF(J67="",0,J67)+IF(K67="",0,K67*10))/COUNT(E67,G67,H67,I67,J67,K67),1))</f>
        <v/>
      </c>
      <c r="M67" s="83">
        <f>IF(L67="","",IF(L67&gt;=85,"Excellent",IF(L67&gt;=70,"Good",IF(L67&gt;=55,"Mixed","Poor"))))</f>
        <v/>
      </c>
      <c r="N67" s="96" t="n"/>
      <c r="O67" s="83" t="inlineStr">
        <is>
          <t>https://www.imdb.com/find/?q=Catch.44+2011</t>
        </is>
      </c>
      <c r="P67" s="83" t="inlineStr">
        <is>
          <t>https://www.rottentomatoes.com/search?search=Catch.44</t>
        </is>
      </c>
      <c r="Q67" s="83" t="inlineStr">
        <is>
          <t>https://letterboxd.com/search/Catch.44/</t>
        </is>
      </c>
      <c r="R67" s="83" t="inlineStr">
        <is>
          <t>https://www.metacritic.com/search/Catch.44/</t>
        </is>
      </c>
    </row>
    <row r="68" ht="15.75" customHeight="1" s="108">
      <c r="A68" s="83" t="inlineStr">
        <is>
          <t>F0064</t>
        </is>
      </c>
      <c r="B68" s="83" t="inlineStr">
        <is>
          <t>Catch Me If You Can</t>
        </is>
      </c>
      <c r="C68" s="88" t="inlineStr">
        <is>
          <t>2002</t>
        </is>
      </c>
      <c r="D68" s="84" t="n"/>
      <c r="E68" s="89" t="n"/>
      <c r="F68" s="90" t="n"/>
      <c r="G68" s="91" t="n"/>
      <c r="H68" s="91" t="n"/>
      <c r="I68" s="92" t="n"/>
      <c r="J68" s="91" t="n"/>
      <c r="K68" s="89" t="n"/>
      <c r="L68" s="89">
        <f>IF(COUNT(E68,G68,H68,I68,J68,K68)=0,"",ROUND((IF(E68="",0,E68*10)+IF(G68="",0,G68)+IF(H68="",0,H68)+IF(I68="",0,I68*20)+IF(J68="",0,J68)+IF(K68="",0,K68*10))/COUNT(E68,G68,H68,I68,J68,K68),1))</f>
        <v/>
      </c>
      <c r="M68" s="83">
        <f>IF(L68="","",IF(L68&gt;=85,"Excellent",IF(L68&gt;=70,"Good",IF(L68&gt;=55,"Mixed","Poor"))))</f>
        <v/>
      </c>
      <c r="N68" s="96" t="n"/>
      <c r="O68" s="83" t="inlineStr">
        <is>
          <t>https://www.imdb.com/find/?q=Catch+Me+If+You+Can+2002</t>
        </is>
      </c>
      <c r="P68" s="83" t="inlineStr">
        <is>
          <t>https://www.rottentomatoes.com/search?search=Catch+Me+If+You+Can</t>
        </is>
      </c>
      <c r="Q68" s="83" t="inlineStr">
        <is>
          <t>https://letterboxd.com/search/Catch%20Me%20If%20You%20Can/</t>
        </is>
      </c>
      <c r="R68" s="83" t="inlineStr">
        <is>
          <t>https://www.metacritic.com/search/Catch+Me+If+You+Can/</t>
        </is>
      </c>
    </row>
    <row r="69" ht="15.75" customHeight="1" s="108">
      <c r="A69" s="83" t="inlineStr">
        <is>
          <t>F0065</t>
        </is>
      </c>
      <c r="B69" s="83" t="inlineStr">
        <is>
          <t>Chef</t>
        </is>
      </c>
      <c r="C69" s="88" t="inlineStr">
        <is>
          <t>2014</t>
        </is>
      </c>
      <c r="D69" s="84" t="n">
        <v>5</v>
      </c>
      <c r="E69" s="89" t="n"/>
      <c r="F69" s="90" t="n"/>
      <c r="G69" s="91" t="n"/>
      <c r="H69" s="91" t="n"/>
      <c r="I69" s="92" t="n"/>
      <c r="J69" s="91" t="n"/>
      <c r="K69" s="89" t="n"/>
      <c r="L69" s="89">
        <f>IF(COUNT(E69,G69,H69,I69,J69,K69)=0,"",ROUND((IF(E69="",0,E69*10)+IF(G69="",0,G69)+IF(H69="",0,H69)+IF(I69="",0,I69*20)+IF(J69="",0,J69)+IF(K69="",0,K69*10))/COUNT(E69,G69,H69,I69,J69,K69),1))</f>
        <v/>
      </c>
      <c r="M69" s="83">
        <f>IF(L69="","",IF(L69&gt;=85,"Excellent",IF(L69&gt;=70,"Good",IF(L69&gt;=55,"Mixed","Poor"))))</f>
        <v/>
      </c>
      <c r="N69" s="96" t="n"/>
      <c r="O69" s="83" t="inlineStr">
        <is>
          <t>https://www.imdb.com/find/?q=Chef+2014</t>
        </is>
      </c>
      <c r="P69" s="83" t="inlineStr">
        <is>
          <t>https://www.rottentomatoes.com/search?search=Chef</t>
        </is>
      </c>
      <c r="Q69" s="83" t="inlineStr">
        <is>
          <t>https://letterboxd.com/search/Chef/</t>
        </is>
      </c>
      <c r="R69" s="83" t="inlineStr">
        <is>
          <t>https://www.metacritic.com/search/Chef/</t>
        </is>
      </c>
    </row>
    <row r="70" ht="15.75" customHeight="1" s="108">
      <c r="A70" s="83" t="inlineStr">
        <is>
          <t>F0066</t>
        </is>
      </c>
      <c r="B70" s="83" t="inlineStr">
        <is>
          <t>Clash of the Titans</t>
        </is>
      </c>
      <c r="C70" s="88" t="inlineStr">
        <is>
          <t>2010</t>
        </is>
      </c>
      <c r="D70" s="84" t="n"/>
      <c r="E70" s="89" t="n"/>
      <c r="F70" s="90" t="n"/>
      <c r="G70" s="91" t="n"/>
      <c r="H70" s="91" t="n"/>
      <c r="I70" s="92" t="n"/>
      <c r="J70" s="91" t="n"/>
      <c r="K70" s="89" t="n"/>
      <c r="L70" s="89">
        <f>IF(COUNT(E70,G70,H70,I70,J70,K70)=0,"",ROUND((IF(E70="",0,E70*10)+IF(G70="",0,G70)+IF(H70="",0,H70)+IF(I70="",0,I70*20)+IF(J70="",0,J70)+IF(K70="",0,K70*10))/COUNT(E70,G70,H70,I70,J70,K70),1))</f>
        <v/>
      </c>
      <c r="M70" s="83">
        <f>IF(L70="","",IF(L70&gt;=85,"Excellent",IF(L70&gt;=70,"Good",IF(L70&gt;=55,"Mixed","Poor"))))</f>
        <v/>
      </c>
      <c r="N70" s="96" t="n"/>
      <c r="O70" s="83" t="inlineStr">
        <is>
          <t>https://www.imdb.com/find/?q=Clash+of+the+Titans+2010</t>
        </is>
      </c>
      <c r="P70" s="83" t="inlineStr">
        <is>
          <t>https://www.rottentomatoes.com/search?search=Clash+of+the+Titans</t>
        </is>
      </c>
      <c r="Q70" s="83" t="inlineStr">
        <is>
          <t>https://letterboxd.com/search/Clash%20of%20the%20Titans/</t>
        </is>
      </c>
      <c r="R70" s="83" t="inlineStr">
        <is>
          <t>https://www.metacritic.com/search/Clash+of+the+Titans/</t>
        </is>
      </c>
    </row>
    <row r="71" ht="15.75" customHeight="1" s="108">
      <c r="A71" s="83" t="inlineStr">
        <is>
          <t>F0067</t>
        </is>
      </c>
      <c r="B71" s="83" t="inlineStr">
        <is>
          <t>Cloudy with a Chance of Meatballs 2</t>
        </is>
      </c>
      <c r="C71" s="88" t="inlineStr">
        <is>
          <t>2013</t>
        </is>
      </c>
      <c r="D71" s="84" t="n"/>
      <c r="E71" s="89" t="n"/>
      <c r="F71" s="90" t="n"/>
      <c r="G71" s="91" t="n"/>
      <c r="H71" s="91" t="n"/>
      <c r="I71" s="92" t="n"/>
      <c r="J71" s="91" t="n"/>
      <c r="K71" s="89" t="n"/>
      <c r="L71" s="89">
        <f>IF(COUNT(E71,G71,H71,I71,J71,K71)=0,"",ROUND((IF(E71="",0,E71*10)+IF(G71="",0,G71)+IF(H71="",0,H71)+IF(I71="",0,I71*20)+IF(J71="",0,J71)+IF(K71="",0,K71*10))/COUNT(E71,G71,H71,I71,J71,K71),1))</f>
        <v/>
      </c>
      <c r="M71" s="83">
        <f>IF(L71="","",IF(L71&gt;=85,"Excellent",IF(L71&gt;=70,"Good",IF(L71&gt;=55,"Mixed","Poor"))))</f>
        <v/>
      </c>
      <c r="N71" s="96" t="n"/>
      <c r="O71" s="83" t="inlineStr">
        <is>
          <t>https://www.imdb.com/find/?q=Cloudy+with+a+Chance+of+Meatballs+2+2013</t>
        </is>
      </c>
      <c r="P71" s="83" t="inlineStr">
        <is>
          <t>https://www.rottentomatoes.com/search?search=Cloudy+with+a+Chance+of+Meatballs+2</t>
        </is>
      </c>
      <c r="Q71" s="83" t="inlineStr">
        <is>
          <t>https://letterboxd.com/search/Cloudy%20with%20a%20Chance%20of%20Meatballs%202/</t>
        </is>
      </c>
      <c r="R71" s="83" t="inlineStr">
        <is>
          <t>https://www.metacritic.com/search/Cloudy+with+a+Chance+of+Meatballs+2/</t>
        </is>
      </c>
    </row>
    <row r="72" ht="15.75" customHeight="1" s="108">
      <c r="A72" s="83" t="inlineStr">
        <is>
          <t>F0068</t>
        </is>
      </c>
      <c r="B72" s="83" t="inlineStr">
        <is>
          <t>Con Air</t>
        </is>
      </c>
      <c r="C72" s="88" t="inlineStr">
        <is>
          <t>1997</t>
        </is>
      </c>
      <c r="D72" s="84" t="n"/>
      <c r="E72" s="89" t="n"/>
      <c r="F72" s="90" t="n"/>
      <c r="G72" s="91" t="n"/>
      <c r="H72" s="91" t="n"/>
      <c r="I72" s="92" t="n"/>
      <c r="J72" s="91" t="n"/>
      <c r="K72" s="89" t="n"/>
      <c r="L72" s="89">
        <f>IF(COUNT(E72,G72,H72,I72,J72,K72)=0,"",ROUND((IF(E72="",0,E72*10)+IF(G72="",0,G72)+IF(H72="",0,H72)+IF(I72="",0,I72*20)+IF(J72="",0,J72)+IF(K72="",0,K72*10))/COUNT(E72,G72,H72,I72,J72,K72),1))</f>
        <v/>
      </c>
      <c r="M72" s="83">
        <f>IF(L72="","",IF(L72&gt;=85,"Excellent",IF(L72&gt;=70,"Good",IF(L72&gt;=55,"Mixed","Poor"))))</f>
        <v/>
      </c>
      <c r="N72" s="96" t="n"/>
      <c r="O72" s="83" t="inlineStr">
        <is>
          <t>https://www.imdb.com/find/?q=Con+Air+1997</t>
        </is>
      </c>
      <c r="P72" s="83" t="inlineStr">
        <is>
          <t>https://www.rottentomatoes.com/search?search=Con+Air</t>
        </is>
      </c>
      <c r="Q72" s="83" t="inlineStr">
        <is>
          <t>https://letterboxd.com/search/Con%20Air/</t>
        </is>
      </c>
      <c r="R72" s="83" t="inlineStr">
        <is>
          <t>https://www.metacritic.com/search/Con+Air/</t>
        </is>
      </c>
    </row>
    <row r="73" ht="15.75" customHeight="1" s="108">
      <c r="A73" s="83" t="inlineStr">
        <is>
          <t>F0069</t>
        </is>
      </c>
      <c r="B73" s="83" t="inlineStr">
        <is>
          <t>Cop Out</t>
        </is>
      </c>
      <c r="C73" s="88" t="inlineStr">
        <is>
          <t>2010</t>
        </is>
      </c>
      <c r="D73" s="84" t="n"/>
      <c r="E73" s="89" t="n"/>
      <c r="F73" s="90" t="n"/>
      <c r="G73" s="91" t="n"/>
      <c r="H73" s="91" t="n"/>
      <c r="I73" s="92" t="n"/>
      <c r="J73" s="91" t="n"/>
      <c r="K73" s="89" t="n"/>
      <c r="L73" s="89">
        <f>IF(COUNT(E73,G73,H73,I73,J73,K73)=0,"",ROUND((IF(E73="",0,E73*10)+IF(G73="",0,G73)+IF(H73="",0,H73)+IF(I73="",0,I73*20)+IF(J73="",0,J73)+IF(K73="",0,K73*10))/COUNT(E73,G73,H73,I73,J73,K73),1))</f>
        <v/>
      </c>
      <c r="M73" s="83">
        <f>IF(L73="","",IF(L73&gt;=85,"Excellent",IF(L73&gt;=70,"Good",IF(L73&gt;=55,"Mixed","Poor"))))</f>
        <v/>
      </c>
      <c r="N73" s="96" t="n"/>
      <c r="O73" s="83" t="inlineStr">
        <is>
          <t>https://www.imdb.com/find/?q=Cop+Out+2010</t>
        </is>
      </c>
      <c r="P73" s="83" t="inlineStr">
        <is>
          <t>https://www.rottentomatoes.com/search?search=Cop+Out</t>
        </is>
      </c>
      <c r="Q73" s="83" t="inlineStr">
        <is>
          <t>https://letterboxd.com/search/Cop%20Out/</t>
        </is>
      </c>
      <c r="R73" s="83" t="inlineStr">
        <is>
          <t>https://www.metacritic.com/search/Cop+Out/</t>
        </is>
      </c>
    </row>
    <row r="74" ht="15.75" customHeight="1" s="108">
      <c r="A74" s="83" t="inlineStr">
        <is>
          <t>F0070</t>
        </is>
      </c>
      <c r="B74" s="83" t="inlineStr">
        <is>
          <t>Shaun of the Dead</t>
        </is>
      </c>
      <c r="C74" s="88" t="inlineStr">
        <is>
          <t>2004</t>
        </is>
      </c>
      <c r="D74" s="84" t="n"/>
      <c r="E74" s="89" t="n"/>
      <c r="F74" s="90" t="n"/>
      <c r="G74" s="91" t="n"/>
      <c r="H74" s="91" t="n"/>
      <c r="I74" s="92" t="n"/>
      <c r="J74" s="91" t="n"/>
      <c r="K74" s="89" t="n"/>
      <c r="L74" s="89">
        <f>IF(COUNT(E74,G74,H74,I74,J74,K74)=0,"",ROUND((IF(E74="",0,E74*10)+IF(G74="",0,G74)+IF(H74="",0,H74)+IF(I74="",0,I74*20)+IF(J74="",0,J74)+IF(K74="",0,K74*10))/COUNT(E74,G74,H74,I74,J74,K74),1))</f>
        <v/>
      </c>
      <c r="M74" s="83">
        <f>IF(L74="","",IF(L74&gt;=85,"Excellent",IF(L74&gt;=70,"Good",IF(L74&gt;=55,"Mixed","Poor"))))</f>
        <v/>
      </c>
      <c r="N74" s="96" t="n"/>
      <c r="O74" s="83" t="inlineStr">
        <is>
          <t>https://www.imdb.com/find/?q=Shaun+of+the+Dead+2004</t>
        </is>
      </c>
      <c r="P74" s="83" t="inlineStr">
        <is>
          <t>https://www.rottentomatoes.com/search?search=Shaun+of+the+Dead</t>
        </is>
      </c>
      <c r="Q74" s="83" t="inlineStr">
        <is>
          <t>https://letterboxd.com/search/Shaun%20of%20the%20Dead/</t>
        </is>
      </c>
      <c r="R74" s="83" t="inlineStr">
        <is>
          <t>https://www.metacritic.com/search/Shaun+of+the+Dead/</t>
        </is>
      </c>
    </row>
    <row r="75" ht="15.75" customHeight="1" s="108">
      <c r="A75" s="83" t="inlineStr">
        <is>
          <t>F0071</t>
        </is>
      </c>
      <c r="B75" s="83" t="inlineStr">
        <is>
          <t>Hot Fuzz</t>
        </is>
      </c>
      <c r="C75" s="88" t="inlineStr">
        <is>
          <t>2007</t>
        </is>
      </c>
      <c r="D75" s="84" t="n"/>
      <c r="E75" s="89" t="n"/>
      <c r="F75" s="90" t="n"/>
      <c r="G75" s="91" t="n"/>
      <c r="H75" s="91" t="n"/>
      <c r="I75" s="92" t="n"/>
      <c r="J75" s="91" t="n"/>
      <c r="K75" s="89" t="n"/>
      <c r="L75" s="89">
        <f>IF(COUNT(E75,G75,H75,I75,J75,K75)=0,"",ROUND((IF(E75="",0,E75*10)+IF(G75="",0,G75)+IF(H75="",0,H75)+IF(I75="",0,I75*20)+IF(J75="",0,J75)+IF(K75="",0,K75*10))/COUNT(E75,G75,H75,I75,J75,K75),1))</f>
        <v/>
      </c>
      <c r="M75" s="83">
        <f>IF(L75="","",IF(L75&gt;=85,"Excellent",IF(L75&gt;=70,"Good",IF(L75&gt;=55,"Mixed","Poor"))))</f>
        <v/>
      </c>
      <c r="N75" s="96" t="n"/>
      <c r="O75" s="83" t="inlineStr">
        <is>
          <t>https://www.imdb.com/find/?q=Hot+Fuzz+2007</t>
        </is>
      </c>
      <c r="P75" s="83" t="inlineStr">
        <is>
          <t>https://www.rottentomatoes.com/search?search=Hot+Fuzz</t>
        </is>
      </c>
      <c r="Q75" s="83" t="inlineStr">
        <is>
          <t>https://letterboxd.com/search/Hot%20Fuzz/</t>
        </is>
      </c>
      <c r="R75" s="83" t="inlineStr">
        <is>
          <t>https://www.metacritic.com/search/Hot+Fuzz/</t>
        </is>
      </c>
    </row>
    <row r="76" ht="15.75" customHeight="1" s="108">
      <c r="A76" s="83" t="inlineStr">
        <is>
          <t>F0072</t>
        </is>
      </c>
      <c r="B76" s="83" t="inlineStr">
        <is>
          <t>The World's End</t>
        </is>
      </c>
      <c r="C76" s="88" t="inlineStr">
        <is>
          <t>2013</t>
        </is>
      </c>
      <c r="D76" s="84" t="n"/>
      <c r="E76" s="89" t="n"/>
      <c r="F76" s="90" t="n"/>
      <c r="G76" s="91" t="n"/>
      <c r="H76" s="91" t="n"/>
      <c r="I76" s="92" t="n"/>
      <c r="J76" s="91" t="n"/>
      <c r="K76" s="89" t="n"/>
      <c r="L76" s="89">
        <f>IF(COUNT(E76,G76,H76,I76,J76,K76)=0,"",ROUND((IF(E76="",0,E76*10)+IF(G76="",0,G76)+IF(H76="",0,H76)+IF(I76="",0,I76*20)+IF(J76="",0,J76)+IF(K76="",0,K76*10))/COUNT(E76,G76,H76,I76,J76,K76),1))</f>
        <v/>
      </c>
      <c r="M76" s="83">
        <f>IF(L76="","",IF(L76&gt;=85,"Excellent",IF(L76&gt;=70,"Good",IF(L76&gt;=55,"Mixed","Poor"))))</f>
        <v/>
      </c>
      <c r="N76" s="96" t="n"/>
      <c r="O76" s="83" t="inlineStr">
        <is>
          <t>https://www.imdb.com/find/?q=The+World%27s+End+2013</t>
        </is>
      </c>
      <c r="P76" s="83" t="inlineStr">
        <is>
          <t>https://www.rottentomatoes.com/search?search=The+World%27s+End</t>
        </is>
      </c>
      <c r="Q76" s="83" t="inlineStr">
        <is>
          <t>https://letterboxd.com/search/The%20World%27s%20End/</t>
        </is>
      </c>
      <c r="R76" s="83" t="inlineStr">
        <is>
          <t>https://www.metacritic.com/search/The+World%27s+End/</t>
        </is>
      </c>
    </row>
    <row r="77" ht="15.75" customHeight="1" s="108">
      <c r="A77" s="83" t="inlineStr">
        <is>
          <t>F0073</t>
        </is>
      </c>
      <c r="B77" s="83" t="inlineStr">
        <is>
          <t>Cowboys &amp; Aliens</t>
        </is>
      </c>
      <c r="C77" s="88" t="inlineStr">
        <is>
          <t>2011</t>
        </is>
      </c>
      <c r="D77" s="84" t="n"/>
      <c r="E77" s="89" t="n"/>
      <c r="F77" s="90" t="n"/>
      <c r="G77" s="91" t="n"/>
      <c r="H77" s="91" t="n"/>
      <c r="I77" s="92" t="n"/>
      <c r="J77" s="91" t="n"/>
      <c r="K77" s="89" t="n"/>
      <c r="L77" s="89">
        <f>IF(COUNT(E77,G77,H77,I77,J77,K77)=0,"",ROUND((IF(E77="",0,E77*10)+IF(G77="",0,G77)+IF(H77="",0,H77)+IF(I77="",0,I77*20)+IF(J77="",0,J77)+IF(K77="",0,K77*10))/COUNT(E77,G77,H77,I77,J77,K77),1))</f>
        <v/>
      </c>
      <c r="M77" s="83">
        <f>IF(L77="","",IF(L77&gt;=85,"Excellent",IF(L77&gt;=70,"Good",IF(L77&gt;=55,"Mixed","Poor"))))</f>
        <v/>
      </c>
      <c r="N77" s="96" t="n"/>
      <c r="O77" s="83" t="inlineStr">
        <is>
          <t>https://www.imdb.com/find/?q=Cowboys+%26+Aliens+2011</t>
        </is>
      </c>
      <c r="P77" s="83" t="inlineStr">
        <is>
          <t>https://www.rottentomatoes.com/search?search=Cowboys+%26+Aliens</t>
        </is>
      </c>
      <c r="Q77" s="83" t="inlineStr">
        <is>
          <t>https://letterboxd.com/search/Cowboys%20%26%20Aliens/</t>
        </is>
      </c>
      <c r="R77" s="83" t="inlineStr">
        <is>
          <t>https://www.metacritic.com/search/Cowboys+%26+Aliens/</t>
        </is>
      </c>
    </row>
    <row r="78" ht="15.75" customHeight="1" s="108">
      <c r="A78" s="83" t="inlineStr">
        <is>
          <t>F0074</t>
        </is>
      </c>
      <c r="B78" s="83" t="inlineStr">
        <is>
          <t>Creed</t>
        </is>
      </c>
      <c r="C78" s="88" t="inlineStr">
        <is>
          <t>2015</t>
        </is>
      </c>
      <c r="D78" s="84" t="n"/>
      <c r="E78" s="89" t="n"/>
      <c r="F78" s="90" t="n"/>
      <c r="G78" s="91" t="n"/>
      <c r="H78" s="91" t="n"/>
      <c r="I78" s="92" t="n"/>
      <c r="J78" s="91" t="n"/>
      <c r="K78" s="89" t="n"/>
      <c r="L78" s="89">
        <f>IF(COUNT(E78,G78,H78,I78,J78,K78)=0,"",ROUND((IF(E78="",0,E78*10)+IF(G78="",0,G78)+IF(H78="",0,H78)+IF(I78="",0,I78*20)+IF(J78="",0,J78)+IF(K78="",0,K78*10))/COUNT(E78,G78,H78,I78,J78,K78),1))</f>
        <v/>
      </c>
      <c r="M78" s="83">
        <f>IF(L78="","",IF(L78&gt;=85,"Excellent",IF(L78&gt;=70,"Good",IF(L78&gt;=55,"Mixed","Poor"))))</f>
        <v/>
      </c>
      <c r="N78" s="96" t="n"/>
      <c r="O78" s="83" t="inlineStr">
        <is>
          <t>https://www.imdb.com/find/?q=Creed+2015</t>
        </is>
      </c>
      <c r="P78" s="83" t="inlineStr">
        <is>
          <t>https://www.rottentomatoes.com/search?search=Creed</t>
        </is>
      </c>
      <c r="Q78" s="83" t="inlineStr">
        <is>
          <t>https://letterboxd.com/search/Creed/</t>
        </is>
      </c>
      <c r="R78" s="83" t="inlineStr">
        <is>
          <t>https://www.metacritic.com/search/Creed/</t>
        </is>
      </c>
    </row>
    <row r="79" ht="15.75" customHeight="1" s="108">
      <c r="A79" s="83" t="inlineStr">
        <is>
          <t>F0075</t>
        </is>
      </c>
      <c r="B79" s="83" t="inlineStr">
        <is>
          <t>The Croods</t>
        </is>
      </c>
      <c r="C79" s="88" t="inlineStr">
        <is>
          <t>2013</t>
        </is>
      </c>
      <c r="D79" s="84" t="n"/>
      <c r="E79" s="89" t="n"/>
      <c r="F79" s="90" t="n"/>
      <c r="G79" s="91" t="n"/>
      <c r="H79" s="91" t="n"/>
      <c r="I79" s="92" t="n"/>
      <c r="J79" s="91" t="n"/>
      <c r="K79" s="89" t="n"/>
      <c r="L79" s="89">
        <f>IF(COUNT(E79,G79,H79,I79,J79,K79)=0,"",ROUND((IF(E79="",0,E79*10)+IF(G79="",0,G79)+IF(H79="",0,H79)+IF(I79="",0,I79*20)+IF(J79="",0,J79)+IF(K79="",0,K79*10))/COUNT(E79,G79,H79,I79,J79,K79),1))</f>
        <v/>
      </c>
      <c r="M79" s="83">
        <f>IF(L79="","",IF(L79&gt;=85,"Excellent",IF(L79&gt;=70,"Good",IF(L79&gt;=55,"Mixed","Poor"))))</f>
        <v/>
      </c>
      <c r="N79" s="96" t="n"/>
      <c r="O79" s="83" t="inlineStr">
        <is>
          <t>https://www.imdb.com/find/?q=The+Croods+2013</t>
        </is>
      </c>
      <c r="P79" s="83" t="inlineStr">
        <is>
          <t>https://www.rottentomatoes.com/search?search=The+Croods</t>
        </is>
      </c>
      <c r="Q79" s="83" t="inlineStr">
        <is>
          <t>https://letterboxd.com/search/The%20Croods/</t>
        </is>
      </c>
      <c r="R79" s="83" t="inlineStr">
        <is>
          <t>https://www.metacritic.com/search/The+Croods/</t>
        </is>
      </c>
    </row>
    <row r="80" ht="15.75" customHeight="1" s="108">
      <c r="A80" s="83" t="inlineStr">
        <is>
          <t>F0076</t>
        </is>
      </c>
      <c r="B80" s="83" t="inlineStr">
        <is>
          <t>Deadpool</t>
        </is>
      </c>
      <c r="C80" s="88" t="inlineStr">
        <is>
          <t>2016</t>
        </is>
      </c>
      <c r="D80" s="84" t="n">
        <v>5</v>
      </c>
      <c r="E80" s="89" t="n"/>
      <c r="F80" s="90" t="n"/>
      <c r="G80" s="91" t="n"/>
      <c r="H80" s="91" t="n"/>
      <c r="I80" s="92" t="n"/>
      <c r="J80" s="91" t="n"/>
      <c r="K80" s="89" t="n"/>
      <c r="L80" s="89">
        <f>IF(COUNT(E80,G80,H80,I80,J80,K80)=0,"",ROUND((IF(E80="",0,E80*10)+IF(G80="",0,G80)+IF(H80="",0,H80)+IF(I80="",0,I80*20)+IF(J80="",0,J80)+IF(K80="",0,K80*10))/COUNT(E80,G80,H80,I80,J80,K80),1))</f>
        <v/>
      </c>
      <c r="M80" s="83">
        <f>IF(L80="","",IF(L80&gt;=85,"Excellent",IF(L80&gt;=70,"Good",IF(L80&gt;=55,"Mixed","Poor"))))</f>
        <v/>
      </c>
      <c r="N80" s="96" t="n"/>
      <c r="O80" s="83" t="inlineStr">
        <is>
          <t>https://www.imdb.com/find/?q=Deadpool+2016</t>
        </is>
      </c>
      <c r="P80" s="83" t="inlineStr">
        <is>
          <t>https://www.rottentomatoes.com/search?search=Deadpool</t>
        </is>
      </c>
      <c r="Q80" s="83" t="inlineStr">
        <is>
          <t>https://letterboxd.com/search/Deadpool/</t>
        </is>
      </c>
      <c r="R80" s="83" t="inlineStr">
        <is>
          <t>https://www.metacritic.com/search/Deadpool/</t>
        </is>
      </c>
    </row>
    <row r="81" ht="15.75" customHeight="1" s="108">
      <c r="A81" s="83" t="inlineStr">
        <is>
          <t>F0077</t>
        </is>
      </c>
      <c r="B81" s="83" t="inlineStr">
        <is>
          <t>Deadpool 2</t>
        </is>
      </c>
      <c r="C81" s="88" t="inlineStr">
        <is>
          <t>2018</t>
        </is>
      </c>
      <c r="D81" s="84" t="n">
        <v>5</v>
      </c>
      <c r="E81" s="89" t="n"/>
      <c r="F81" s="90" t="n"/>
      <c r="G81" s="91" t="n"/>
      <c r="H81" s="91" t="n"/>
      <c r="I81" s="92" t="n"/>
      <c r="J81" s="91" t="n"/>
      <c r="K81" s="89" t="n"/>
      <c r="L81" s="89">
        <f>IF(COUNT(E81,G81,H81,I81,J81,K81)=0,"",ROUND((IF(E81="",0,E81*10)+IF(G81="",0,G81)+IF(H81="",0,H81)+IF(I81="",0,I81*20)+IF(J81="",0,J81)+IF(K81="",0,K81*10))/COUNT(E81,G81,H81,I81,J81,K81),1))</f>
        <v/>
      </c>
      <c r="M81" s="83">
        <f>IF(L81="","",IF(L81&gt;=85,"Excellent",IF(L81&gt;=70,"Good",IF(L81&gt;=55,"Mixed","Poor"))))</f>
        <v/>
      </c>
      <c r="N81" s="96" t="n"/>
      <c r="O81" s="83" t="inlineStr">
        <is>
          <t>https://www.imdb.com/find/?q=Deadpool+2+2018</t>
        </is>
      </c>
      <c r="P81" s="83" t="inlineStr">
        <is>
          <t>https://www.rottentomatoes.com/search?search=Deadpool+2</t>
        </is>
      </c>
      <c r="Q81" s="83" t="inlineStr">
        <is>
          <t>https://letterboxd.com/search/Deadpool%202/</t>
        </is>
      </c>
      <c r="R81" s="83" t="inlineStr">
        <is>
          <t>https://www.metacritic.com/search/Deadpool+2/</t>
        </is>
      </c>
    </row>
    <row r="82" ht="15.75" customHeight="1" s="108">
      <c r="A82" s="83" t="inlineStr">
        <is>
          <t>F0078</t>
        </is>
      </c>
      <c r="B82" s="83" t="inlineStr">
        <is>
          <t>Deadpool &amp; Wolverine</t>
        </is>
      </c>
      <c r="C82" s="88" t="inlineStr">
        <is>
          <t>2024</t>
        </is>
      </c>
      <c r="D82" s="84" t="n">
        <v>5</v>
      </c>
      <c r="E82" s="89" t="n"/>
      <c r="F82" s="90" t="n"/>
      <c r="G82" s="91" t="n"/>
      <c r="H82" s="91" t="n"/>
      <c r="I82" s="92" t="n"/>
      <c r="J82" s="91" t="n"/>
      <c r="K82" s="89" t="n"/>
      <c r="L82" s="89">
        <f>IF(COUNT(E82,G82,H82,I82,J82,K82)=0,"",ROUND((IF(E82="",0,E82*10)+IF(G82="",0,G82)+IF(H82="",0,H82)+IF(I82="",0,I82*20)+IF(J82="",0,J82)+IF(K82="",0,K82*10))/COUNT(E82,G82,H82,I82,J82,K82),1))</f>
        <v/>
      </c>
      <c r="M82" s="83">
        <f>IF(L82="","",IF(L82&gt;=85,"Excellent",IF(L82&gt;=70,"Good",IF(L82&gt;=55,"Mixed","Poor"))))</f>
        <v/>
      </c>
      <c r="N82" s="96" t="n"/>
      <c r="O82" s="83" t="inlineStr">
        <is>
          <t>https://www.imdb.com/find/?q=Deadpool+%26+Wolverine+2024</t>
        </is>
      </c>
      <c r="P82" s="83" t="inlineStr">
        <is>
          <t>https://www.rottentomatoes.com/search?search=Deadpool+%26+Wolverine</t>
        </is>
      </c>
      <c r="Q82" s="83" t="inlineStr">
        <is>
          <t>https://letterboxd.com/search/Deadpool%20%26%20Wolverine/</t>
        </is>
      </c>
      <c r="R82" s="83" t="inlineStr">
        <is>
          <t>https://www.metacritic.com/search/Deadpool+%26+Wolverine/</t>
        </is>
      </c>
    </row>
    <row r="83" ht="15.75" customHeight="1" s="108">
      <c r="A83" s="83" t="inlineStr">
        <is>
          <t>F0079</t>
        </is>
      </c>
      <c r="B83" s="83" t="inlineStr">
        <is>
          <t>Dear John</t>
        </is>
      </c>
      <c r="C83" s="88" t="inlineStr">
        <is>
          <t>2010</t>
        </is>
      </c>
      <c r="D83" s="84" t="n"/>
      <c r="E83" s="89" t="n"/>
      <c r="F83" s="90" t="n"/>
      <c r="G83" s="91" t="n"/>
      <c r="H83" s="91" t="n"/>
      <c r="I83" s="92" t="n"/>
      <c r="J83" s="91" t="n"/>
      <c r="K83" s="89" t="n"/>
      <c r="L83" s="89">
        <f>IF(COUNT(E83,G83,H83,I83,J83,K83)=0,"",ROUND((IF(E83="",0,E83*10)+IF(G83="",0,G83)+IF(H83="",0,H83)+IF(I83="",0,I83*20)+IF(J83="",0,J83)+IF(K83="",0,K83*10))/COUNT(E83,G83,H83,I83,J83,K83),1))</f>
        <v/>
      </c>
      <c r="M83" s="83">
        <f>IF(L83="","",IF(L83&gt;=85,"Excellent",IF(L83&gt;=70,"Good",IF(L83&gt;=55,"Mixed","Poor"))))</f>
        <v/>
      </c>
      <c r="N83" s="96" t="n"/>
      <c r="O83" s="83" t="inlineStr">
        <is>
          <t>https://www.imdb.com/find/?q=Dear+John+2010</t>
        </is>
      </c>
      <c r="P83" s="83" t="inlineStr">
        <is>
          <t>https://www.rottentomatoes.com/search?search=Dear+John</t>
        </is>
      </c>
      <c r="Q83" s="83" t="inlineStr">
        <is>
          <t>https://letterboxd.com/search/Dear%20John/</t>
        </is>
      </c>
      <c r="R83" s="83" t="inlineStr">
        <is>
          <t>https://www.metacritic.com/search/Dear+John/</t>
        </is>
      </c>
    </row>
    <row r="84" ht="15.75" customHeight="1" s="108">
      <c r="A84" s="83" t="inlineStr">
        <is>
          <t>F0080</t>
        </is>
      </c>
      <c r="B84" s="83" t="inlineStr">
        <is>
          <t>Delivery Man</t>
        </is>
      </c>
      <c r="C84" s="88" t="inlineStr">
        <is>
          <t>2013</t>
        </is>
      </c>
      <c r="D84" s="84" t="n"/>
      <c r="E84" s="89" t="n"/>
      <c r="F84" s="90" t="n"/>
      <c r="G84" s="91" t="n"/>
      <c r="H84" s="91" t="n"/>
      <c r="I84" s="92" t="n"/>
      <c r="J84" s="91" t="n"/>
      <c r="K84" s="89" t="n"/>
      <c r="L84" s="89">
        <f>IF(COUNT(E84,G84,H84,I84,J84,K84)=0,"",ROUND((IF(E84="",0,E84*10)+IF(G84="",0,G84)+IF(H84="",0,H84)+IF(I84="",0,I84*20)+IF(J84="",0,J84)+IF(K84="",0,K84*10))/COUNT(E84,G84,H84,I84,J84,K84),1))</f>
        <v/>
      </c>
      <c r="M84" s="83">
        <f>IF(L84="","",IF(L84&gt;=85,"Excellent",IF(L84&gt;=70,"Good",IF(L84&gt;=55,"Mixed","Poor"))))</f>
        <v/>
      </c>
      <c r="N84" s="96" t="n"/>
      <c r="O84" s="83" t="inlineStr">
        <is>
          <t>https://www.imdb.com/find/?q=Delivery+Man+2013</t>
        </is>
      </c>
      <c r="P84" s="83" t="inlineStr">
        <is>
          <t>https://www.rottentomatoes.com/search?search=Delivery+Man</t>
        </is>
      </c>
      <c r="Q84" s="83" t="inlineStr">
        <is>
          <t>https://letterboxd.com/search/Delivery%20Man/</t>
        </is>
      </c>
      <c r="R84" s="83" t="inlineStr">
        <is>
          <t>https://www.metacritic.com/search/Delivery+Man/</t>
        </is>
      </c>
    </row>
    <row r="85" ht="15.75" customHeight="1" s="108">
      <c r="A85" s="83" t="inlineStr">
        <is>
          <t>F0081</t>
        </is>
      </c>
      <c r="B85" s="83" t="inlineStr">
        <is>
          <t>The Departed</t>
        </is>
      </c>
      <c r="C85" s="88" t="inlineStr">
        <is>
          <t>2006</t>
        </is>
      </c>
      <c r="D85" s="84" t="n"/>
      <c r="E85" s="89" t="n"/>
      <c r="F85" s="90" t="n"/>
      <c r="G85" s="91" t="n"/>
      <c r="H85" s="91" t="n"/>
      <c r="I85" s="92" t="n"/>
      <c r="J85" s="91" t="n"/>
      <c r="K85" s="89" t="n"/>
      <c r="L85" s="89">
        <f>IF(COUNT(E85,G85,H85,I85,J85,K85)=0,"",ROUND((IF(E85="",0,E85*10)+IF(G85="",0,G85)+IF(H85="",0,H85)+IF(I85="",0,I85*20)+IF(J85="",0,J85)+IF(K85="",0,K85*10))/COUNT(E85,G85,H85,I85,J85,K85),1))</f>
        <v/>
      </c>
      <c r="M85" s="83">
        <f>IF(L85="","",IF(L85&gt;=85,"Excellent",IF(L85&gt;=70,"Good",IF(L85&gt;=55,"Mixed","Poor"))))</f>
        <v/>
      </c>
      <c r="N85" s="96" t="n"/>
      <c r="O85" s="83" t="inlineStr">
        <is>
          <t>https://www.imdb.com/find/?q=The+Departed+2006</t>
        </is>
      </c>
      <c r="P85" s="83" t="inlineStr">
        <is>
          <t>https://www.rottentomatoes.com/search?search=The+Departed</t>
        </is>
      </c>
      <c r="Q85" s="83" t="inlineStr">
        <is>
          <t>https://letterboxd.com/search/The%20Departed/</t>
        </is>
      </c>
      <c r="R85" s="83" t="inlineStr">
        <is>
          <t>https://www.metacritic.com/search/The+Departed/</t>
        </is>
      </c>
    </row>
    <row r="86" ht="15.75" customHeight="1" s="108">
      <c r="A86" s="83" t="inlineStr">
        <is>
          <t>F0082</t>
        </is>
      </c>
      <c r="B86" s="83" t="inlineStr">
        <is>
          <t>Despicable Me</t>
        </is>
      </c>
      <c r="C86" s="88" t="inlineStr">
        <is>
          <t>2010</t>
        </is>
      </c>
      <c r="D86" s="84" t="n"/>
      <c r="E86" s="89" t="n"/>
      <c r="F86" s="90" t="n"/>
      <c r="G86" s="91" t="n"/>
      <c r="H86" s="91" t="n"/>
      <c r="I86" s="92" t="n"/>
      <c r="J86" s="91" t="n"/>
      <c r="K86" s="89" t="n"/>
      <c r="L86" s="89">
        <f>IF(COUNT(E86,G86,H86,I86,J86,K86)=0,"",ROUND((IF(E86="",0,E86*10)+IF(G86="",0,G86)+IF(H86="",0,H86)+IF(I86="",0,I86*20)+IF(J86="",0,J86)+IF(K86="",0,K86*10))/COUNT(E86,G86,H86,I86,J86,K86),1))</f>
        <v/>
      </c>
      <c r="M86" s="83">
        <f>IF(L86="","",IF(L86&gt;=85,"Excellent",IF(L86&gt;=70,"Good",IF(L86&gt;=55,"Mixed","Poor"))))</f>
        <v/>
      </c>
      <c r="N86" s="96" t="n"/>
      <c r="O86" s="83" t="inlineStr">
        <is>
          <t>https://www.imdb.com/find/?q=Despicable+Me+2010</t>
        </is>
      </c>
      <c r="P86" s="83" t="inlineStr">
        <is>
          <t>https://www.rottentomatoes.com/search?search=Despicable+Me</t>
        </is>
      </c>
      <c r="Q86" s="83" t="inlineStr">
        <is>
          <t>https://letterboxd.com/search/Despicable%20Me/</t>
        </is>
      </c>
      <c r="R86" s="83" t="inlineStr">
        <is>
          <t>https://www.metacritic.com/search/Despicable+Me/</t>
        </is>
      </c>
    </row>
    <row r="87" ht="15.75" customHeight="1" s="108">
      <c r="A87" s="83" t="inlineStr">
        <is>
          <t>F0083</t>
        </is>
      </c>
      <c r="B87" s="83" t="inlineStr">
        <is>
          <t>Despicable Me 2</t>
        </is>
      </c>
      <c r="C87" s="88" t="inlineStr">
        <is>
          <t>2013</t>
        </is>
      </c>
      <c r="D87" s="84" t="n"/>
      <c r="E87" s="89" t="n"/>
      <c r="F87" s="90" t="n"/>
      <c r="G87" s="91" t="n"/>
      <c r="H87" s="91" t="n"/>
      <c r="I87" s="92" t="n"/>
      <c r="J87" s="91" t="n"/>
      <c r="K87" s="89" t="n"/>
      <c r="L87" s="89">
        <f>IF(COUNT(E87,G87,H87,I87,J87,K87)=0,"",ROUND((IF(E87="",0,E87*10)+IF(G87="",0,G87)+IF(H87="",0,H87)+IF(I87="",0,I87*20)+IF(J87="",0,J87)+IF(K87="",0,K87*10))/COUNT(E87,G87,H87,I87,J87,K87),1))</f>
        <v/>
      </c>
      <c r="M87" s="83">
        <f>IF(L87="","",IF(L87&gt;=85,"Excellent",IF(L87&gt;=70,"Good",IF(L87&gt;=55,"Mixed","Poor"))))</f>
        <v/>
      </c>
      <c r="N87" s="96" t="n"/>
      <c r="O87" s="83" t="inlineStr">
        <is>
          <t>https://www.imdb.com/find/?q=Despicable+Me+2+2013</t>
        </is>
      </c>
      <c r="P87" s="83" t="inlineStr">
        <is>
          <t>https://www.rottentomatoes.com/search?search=Despicable+Me+2</t>
        </is>
      </c>
      <c r="Q87" s="83" t="inlineStr">
        <is>
          <t>https://letterboxd.com/search/Despicable%20Me%202/</t>
        </is>
      </c>
      <c r="R87" s="83" t="inlineStr">
        <is>
          <t>https://www.metacritic.com/search/Despicable+Me+2/</t>
        </is>
      </c>
    </row>
    <row r="88" ht="15.75" customHeight="1" s="108">
      <c r="A88" s="83" t="inlineStr">
        <is>
          <t>F0084</t>
        </is>
      </c>
      <c r="B88" s="83" t="inlineStr">
        <is>
          <t>Despicable Me 3</t>
        </is>
      </c>
      <c r="C88" s="88" t="inlineStr">
        <is>
          <t>2017</t>
        </is>
      </c>
      <c r="D88" s="84" t="n"/>
      <c r="E88" s="89" t="n"/>
      <c r="F88" s="90" t="n"/>
      <c r="G88" s="91" t="n"/>
      <c r="H88" s="91" t="n"/>
      <c r="I88" s="92" t="n"/>
      <c r="J88" s="91" t="n"/>
      <c r="K88" s="89" t="n"/>
      <c r="L88" s="89">
        <f>IF(COUNT(E88,G88,H88,I88,J88,K88)=0,"",ROUND((IF(E88="",0,E88*10)+IF(G88="",0,G88)+IF(H88="",0,H88)+IF(I88="",0,I88*20)+IF(J88="",0,J88)+IF(K88="",0,K88*10))/COUNT(E88,G88,H88,I88,J88,K88),1))</f>
        <v/>
      </c>
      <c r="M88" s="83">
        <f>IF(L88="","",IF(L88&gt;=85,"Excellent",IF(L88&gt;=70,"Good",IF(L88&gt;=55,"Mixed","Poor"))))</f>
        <v/>
      </c>
      <c r="N88" s="96" t="n"/>
      <c r="O88" s="83" t="inlineStr">
        <is>
          <t>https://www.imdb.com/find/?q=Despicable+Me+3+2017</t>
        </is>
      </c>
      <c r="P88" s="83" t="inlineStr">
        <is>
          <t>https://www.rottentomatoes.com/search?search=Despicable+Me+3</t>
        </is>
      </c>
      <c r="Q88" s="83" t="inlineStr">
        <is>
          <t>https://letterboxd.com/search/Despicable%20Me%203/</t>
        </is>
      </c>
      <c r="R88" s="83" t="inlineStr">
        <is>
          <t>https://www.metacritic.com/search/Despicable+Me+3/</t>
        </is>
      </c>
    </row>
    <row r="89" ht="15.75" customHeight="1" s="108">
      <c r="A89" s="83" t="inlineStr">
        <is>
          <t>F0085</t>
        </is>
      </c>
      <c r="B89" s="83" t="inlineStr">
        <is>
          <t>The Dictator</t>
        </is>
      </c>
      <c r="C89" s="88" t="inlineStr">
        <is>
          <t>2012</t>
        </is>
      </c>
      <c r="D89" s="84" t="n"/>
      <c r="E89" s="89" t="n"/>
      <c r="F89" s="90" t="n"/>
      <c r="G89" s="91" t="n"/>
      <c r="H89" s="91" t="n"/>
      <c r="I89" s="92" t="n"/>
      <c r="J89" s="91" t="n"/>
      <c r="K89" s="89" t="n"/>
      <c r="L89" s="89">
        <f>IF(COUNT(E89,G89,H89,I89,J89,K89)=0,"",ROUND((IF(E89="",0,E89*10)+IF(G89="",0,G89)+IF(H89="",0,H89)+IF(I89="",0,I89*20)+IF(J89="",0,J89)+IF(K89="",0,K89*10))/COUNT(E89,G89,H89,I89,J89,K89),1))</f>
        <v/>
      </c>
      <c r="M89" s="83">
        <f>IF(L89="","",IF(L89&gt;=85,"Excellent",IF(L89&gt;=70,"Good",IF(L89&gt;=55,"Mixed","Poor"))))</f>
        <v/>
      </c>
      <c r="N89" s="96" t="n"/>
      <c r="O89" s="83" t="inlineStr">
        <is>
          <t>https://www.imdb.com/find/?q=The+Dictator+2012</t>
        </is>
      </c>
      <c r="P89" s="83" t="inlineStr">
        <is>
          <t>https://www.rottentomatoes.com/search?search=The+Dictator</t>
        </is>
      </c>
      <c r="Q89" s="83" t="inlineStr">
        <is>
          <t>https://letterboxd.com/search/The%20Dictator/</t>
        </is>
      </c>
      <c r="R89" s="83" t="inlineStr">
        <is>
          <t>https://www.metacritic.com/search/The+Dictator/</t>
        </is>
      </c>
    </row>
    <row r="90" ht="15.75" customHeight="1" s="108">
      <c r="A90" s="83" t="inlineStr">
        <is>
          <t>F0086</t>
        </is>
      </c>
      <c r="B90" s="83" t="inlineStr">
        <is>
          <t>Live Free or Die Hard</t>
        </is>
      </c>
      <c r="C90" s="88" t="inlineStr">
        <is>
          <t>2007</t>
        </is>
      </c>
      <c r="D90" s="84" t="n"/>
      <c r="E90" s="89" t="n"/>
      <c r="F90" s="90" t="n"/>
      <c r="G90" s="91" t="n"/>
      <c r="H90" s="91" t="n"/>
      <c r="I90" s="92" t="n"/>
      <c r="J90" s="91" t="n"/>
      <c r="K90" s="89" t="n"/>
      <c r="L90" s="89">
        <f>IF(COUNT(E90,G90,H90,I90,J90,K90)=0,"",ROUND((IF(E90="",0,E90*10)+IF(G90="",0,G90)+IF(H90="",0,H90)+IF(I90="",0,I90*20)+IF(J90="",0,J90)+IF(K90="",0,K90*10))/COUNT(E90,G90,H90,I90,J90,K90),1))</f>
        <v/>
      </c>
      <c r="M90" s="83">
        <f>IF(L90="","",IF(L90&gt;=85,"Excellent",IF(L90&gt;=70,"Good",IF(L90&gt;=55,"Mixed","Poor"))))</f>
        <v/>
      </c>
      <c r="N90" s="96" t="n"/>
      <c r="O90" s="83" t="inlineStr">
        <is>
          <t>https://www.imdb.com/find/?q=Live+Free+or+Die+Hard+2007</t>
        </is>
      </c>
      <c r="P90" s="83" t="inlineStr">
        <is>
          <t>https://www.rottentomatoes.com/search?search=Live+Free+or+Die+Hard</t>
        </is>
      </c>
      <c r="Q90" s="83" t="inlineStr">
        <is>
          <t>https://letterboxd.com/search/Live%20Free%20or%20Die%20Hard/</t>
        </is>
      </c>
      <c r="R90" s="83" t="inlineStr">
        <is>
          <t>https://www.metacritic.com/search/Live+Free+or+Die+Hard/</t>
        </is>
      </c>
    </row>
    <row r="91" ht="15.75" customHeight="1" s="108">
      <c r="A91" s="83" t="inlineStr">
        <is>
          <t>F0087</t>
        </is>
      </c>
      <c r="B91" s="83" t="inlineStr">
        <is>
          <t>Dirty Grandpa</t>
        </is>
      </c>
      <c r="C91" s="88" t="inlineStr">
        <is>
          <t>2016</t>
        </is>
      </c>
      <c r="D91" s="84" t="n"/>
      <c r="E91" s="89" t="n"/>
      <c r="F91" s="90" t="n"/>
      <c r="G91" s="91" t="n"/>
      <c r="H91" s="91" t="n"/>
      <c r="I91" s="92" t="n"/>
      <c r="J91" s="91" t="n"/>
      <c r="K91" s="89" t="n"/>
      <c r="L91" s="89">
        <f>IF(COUNT(E91,G91,H91,I91,J91,K91)=0,"",ROUND((IF(E91="",0,E91*10)+IF(G91="",0,G91)+IF(H91="",0,H91)+IF(I91="",0,I91*20)+IF(J91="",0,J91)+IF(K91="",0,K91*10))/COUNT(E91,G91,H91,I91,J91,K91),1))</f>
        <v/>
      </c>
      <c r="M91" s="83">
        <f>IF(L91="","",IF(L91&gt;=85,"Excellent",IF(L91&gt;=70,"Good",IF(L91&gt;=55,"Mixed","Poor"))))</f>
        <v/>
      </c>
      <c r="N91" s="96" t="n"/>
      <c r="O91" s="83" t="inlineStr">
        <is>
          <t>https://www.imdb.com/find/?q=Dirty+Grandpa+2016</t>
        </is>
      </c>
      <c r="P91" s="83" t="inlineStr">
        <is>
          <t>https://www.rottentomatoes.com/search?search=Dirty+Grandpa</t>
        </is>
      </c>
      <c r="Q91" s="83" t="inlineStr">
        <is>
          <t>https://letterboxd.com/search/Dirty%20Grandpa/</t>
        </is>
      </c>
      <c r="R91" s="83" t="inlineStr">
        <is>
          <t>https://www.metacritic.com/search/Dirty+Grandpa/</t>
        </is>
      </c>
    </row>
    <row r="92" ht="15.75" customHeight="1" s="108">
      <c r="A92" s="83" t="inlineStr">
        <is>
          <t>F0088</t>
        </is>
      </c>
      <c r="B92" s="83" t="inlineStr">
        <is>
          <t>District 9</t>
        </is>
      </c>
      <c r="C92" s="88" t="inlineStr">
        <is>
          <t>2009</t>
        </is>
      </c>
      <c r="D92" s="84" t="n"/>
      <c r="E92" s="89" t="n"/>
      <c r="F92" s="90" t="n"/>
      <c r="G92" s="91" t="n"/>
      <c r="H92" s="91" t="n"/>
      <c r="I92" s="92" t="n"/>
      <c r="J92" s="91" t="n"/>
      <c r="K92" s="89" t="n"/>
      <c r="L92" s="89">
        <f>IF(COUNT(E92,G92,H92,I92,J92,K92)=0,"",ROUND((IF(E92="",0,E92*10)+IF(G92="",0,G92)+IF(H92="",0,H92)+IF(I92="",0,I92*20)+IF(J92="",0,J92)+IF(K92="",0,K92*10))/COUNT(E92,G92,H92,I92,J92,K92),1))</f>
        <v/>
      </c>
      <c r="M92" s="83">
        <f>IF(L92="","",IF(L92&gt;=85,"Excellent",IF(L92&gt;=70,"Good",IF(L92&gt;=55,"Mixed","Poor"))))</f>
        <v/>
      </c>
      <c r="N92" s="96" t="n"/>
      <c r="O92" s="83" t="inlineStr">
        <is>
          <t>https://www.imdb.com/find/?q=District+9+2009</t>
        </is>
      </c>
      <c r="P92" s="83" t="inlineStr">
        <is>
          <t>https://www.rottentomatoes.com/search?search=District+9</t>
        </is>
      </c>
      <c r="Q92" s="83" t="inlineStr">
        <is>
          <t>https://letterboxd.com/search/District%209/</t>
        </is>
      </c>
      <c r="R92" s="83" t="inlineStr">
        <is>
          <t>https://www.metacritic.com/search/District+9/</t>
        </is>
      </c>
    </row>
    <row r="93" ht="15.75" customHeight="1" s="108">
      <c r="A93" s="83" t="inlineStr">
        <is>
          <t>F0089</t>
        </is>
      </c>
      <c r="B93" s="83" t="inlineStr">
        <is>
          <t>Divergent</t>
        </is>
      </c>
      <c r="C93" s="88" t="inlineStr">
        <is>
          <t>2014</t>
        </is>
      </c>
      <c r="D93" s="84" t="n"/>
      <c r="E93" s="89" t="n"/>
      <c r="F93" s="90" t="n"/>
      <c r="G93" s="91" t="n"/>
      <c r="H93" s="91" t="n"/>
      <c r="I93" s="92" t="n"/>
      <c r="J93" s="91" t="n"/>
      <c r="K93" s="89" t="n"/>
      <c r="L93" s="89">
        <f>IF(COUNT(E93,G93,H93,I93,J93,K93)=0,"",ROUND((IF(E93="",0,E93*10)+IF(G93="",0,G93)+IF(H93="",0,H93)+IF(I93="",0,I93*20)+IF(J93="",0,J93)+IF(K93="",0,K93*10))/COUNT(E93,G93,H93,I93,J93,K93),1))</f>
        <v/>
      </c>
      <c r="M93" s="83">
        <f>IF(L93="","",IF(L93&gt;=85,"Excellent",IF(L93&gt;=70,"Good",IF(L93&gt;=55,"Mixed","Poor"))))</f>
        <v/>
      </c>
      <c r="N93" s="96" t="n"/>
      <c r="O93" s="83" t="inlineStr">
        <is>
          <t>https://www.imdb.com/find/?q=Divergent+2014</t>
        </is>
      </c>
      <c r="P93" s="83" t="inlineStr">
        <is>
          <t>https://www.rottentomatoes.com/search?search=Divergent</t>
        </is>
      </c>
      <c r="Q93" s="83" t="inlineStr">
        <is>
          <t>https://letterboxd.com/search/Divergent/</t>
        </is>
      </c>
      <c r="R93" s="83" t="inlineStr">
        <is>
          <t>https://www.metacritic.com/search/Divergent/</t>
        </is>
      </c>
    </row>
    <row r="94" ht="15.75" customHeight="1" s="108">
      <c r="A94" s="83" t="inlineStr">
        <is>
          <t>F0090</t>
        </is>
      </c>
      <c r="B94" s="83" t="inlineStr">
        <is>
          <t>Django Unchained</t>
        </is>
      </c>
      <c r="C94" s="88" t="inlineStr">
        <is>
          <t>2012</t>
        </is>
      </c>
      <c r="D94" s="84" t="n"/>
      <c r="E94" s="89" t="n"/>
      <c r="F94" s="90" t="n"/>
      <c r="G94" s="91" t="n"/>
      <c r="H94" s="91" t="n"/>
      <c r="I94" s="92" t="n"/>
      <c r="J94" s="91" t="n"/>
      <c r="K94" s="89" t="n"/>
      <c r="L94" s="89">
        <f>IF(COUNT(E94,G94,H94,I94,J94,K94)=0,"",ROUND((IF(E94="",0,E94*10)+IF(G94="",0,G94)+IF(H94="",0,H94)+IF(I94="",0,I94*20)+IF(J94="",0,J94)+IF(K94="",0,K94*10))/COUNT(E94,G94,H94,I94,J94,K94),1))</f>
        <v/>
      </c>
      <c r="M94" s="83">
        <f>IF(L94="","",IF(L94&gt;=85,"Excellent",IF(L94&gt;=70,"Good",IF(L94&gt;=55,"Mixed","Poor"))))</f>
        <v/>
      </c>
      <c r="N94" s="96" t="n"/>
      <c r="O94" s="83" t="inlineStr">
        <is>
          <t>https://www.imdb.com/find/?q=Django+Unchained+2012</t>
        </is>
      </c>
      <c r="P94" s="83" t="inlineStr">
        <is>
          <t>https://www.rottentomatoes.com/search?search=Django+Unchained</t>
        </is>
      </c>
      <c r="Q94" s="83" t="inlineStr">
        <is>
          <t>https://letterboxd.com/search/Django%20Unchained/</t>
        </is>
      </c>
      <c r="R94" s="83" t="inlineStr">
        <is>
          <t>https://www.metacritic.com/search/Django+Unchained/</t>
        </is>
      </c>
    </row>
    <row r="95" ht="15.75" customHeight="1" s="108">
      <c r="A95" s="83" t="inlineStr">
        <is>
          <t>F0091</t>
        </is>
      </c>
      <c r="B95" s="83" t="inlineStr">
        <is>
          <t>Due Date</t>
        </is>
      </c>
      <c r="C95" s="88" t="inlineStr">
        <is>
          <t>2010</t>
        </is>
      </c>
      <c r="D95" s="83" t="n">
        <v>4</v>
      </c>
      <c r="E95" s="89" t="n"/>
      <c r="F95" s="90" t="n"/>
      <c r="G95" s="91" t="n"/>
      <c r="H95" s="91" t="n"/>
      <c r="I95" s="92" t="n"/>
      <c r="J95" s="91" t="n"/>
      <c r="K95" s="89" t="n"/>
      <c r="L95" s="89">
        <f>IF(COUNT(E95,G95,H95,I95,J95,K95)=0,"",ROUND((IF(E95="",0,E95*10)+IF(G95="",0,G95)+IF(H95="",0,H95)+IF(I95="",0,I95*20)+IF(J95="",0,J95)+IF(K95="",0,K95*10))/COUNT(E95,G95,H95,I95,J95,K95),1))</f>
        <v/>
      </c>
      <c r="M95" s="83">
        <f>IF(L95="","",IF(L95&gt;=85,"Excellent",IF(L95&gt;=70,"Good",IF(L95&gt;=55,"Mixed","Poor"))))</f>
        <v/>
      </c>
      <c r="N95" s="96" t="n"/>
      <c r="O95" s="83" t="inlineStr">
        <is>
          <t>https://www.imdb.com/find/?q=Due+Date+2010</t>
        </is>
      </c>
      <c r="P95" s="83" t="inlineStr">
        <is>
          <t>https://www.rottentomatoes.com/search?search=Due+Date</t>
        </is>
      </c>
      <c r="Q95" s="83" t="inlineStr">
        <is>
          <t>https://letterboxd.com/search/Due%20Date/</t>
        </is>
      </c>
      <c r="R95" s="83" t="inlineStr">
        <is>
          <t>https://www.metacritic.com/search/Due+Date/</t>
        </is>
      </c>
    </row>
    <row r="96" ht="15.75" customHeight="1" s="108">
      <c r="A96" s="83" t="inlineStr">
        <is>
          <t>F0092</t>
        </is>
      </c>
      <c r="B96" s="83" t="inlineStr">
        <is>
          <t>Elf</t>
        </is>
      </c>
      <c r="C96" s="88" t="inlineStr">
        <is>
          <t>2003</t>
        </is>
      </c>
      <c r="D96" s="84" t="n"/>
      <c r="E96" s="89" t="n"/>
      <c r="F96" s="90" t="n"/>
      <c r="G96" s="91" t="n"/>
      <c r="H96" s="91" t="n"/>
      <c r="I96" s="92" t="n"/>
      <c r="J96" s="91" t="n"/>
      <c r="K96" s="89" t="n"/>
      <c r="L96" s="89">
        <f>IF(COUNT(E96,G96,H96,I96,J96,K96)=0,"",ROUND((IF(E96="",0,E96*10)+IF(G96="",0,G96)+IF(H96="",0,H96)+IF(I96="",0,I96*20)+IF(J96="",0,J96)+IF(K96="",0,K96*10))/COUNT(E96,G96,H96,I96,J96,K96),1))</f>
        <v/>
      </c>
      <c r="M96" s="83">
        <f>IF(L96="","",IF(L96&gt;=85,"Excellent",IF(L96&gt;=70,"Good",IF(L96&gt;=55,"Mixed","Poor"))))</f>
        <v/>
      </c>
      <c r="N96" s="96" t="n"/>
      <c r="O96" s="83" t="inlineStr">
        <is>
          <t>https://www.imdb.com/find/?q=Elf+2003</t>
        </is>
      </c>
      <c r="P96" s="83" t="inlineStr">
        <is>
          <t>https://www.rottentomatoes.com/search?search=Elf</t>
        </is>
      </c>
      <c r="Q96" s="83" t="inlineStr">
        <is>
          <t>https://letterboxd.com/search/Elf/</t>
        </is>
      </c>
      <c r="R96" s="83" t="inlineStr">
        <is>
          <t>https://www.metacritic.com/search/Elf/</t>
        </is>
      </c>
    </row>
    <row r="97" ht="15.75" customHeight="1" s="108">
      <c r="A97" s="83" t="inlineStr">
        <is>
          <t>F0093</t>
        </is>
      </c>
      <c r="B97" s="83" t="inlineStr">
        <is>
          <t>Elysium</t>
        </is>
      </c>
      <c r="C97" s="88" t="inlineStr">
        <is>
          <t>2013</t>
        </is>
      </c>
      <c r="D97" s="84" t="n"/>
      <c r="E97" s="89" t="n"/>
      <c r="F97" s="90" t="n"/>
      <c r="G97" s="91" t="n"/>
      <c r="H97" s="91" t="n"/>
      <c r="I97" s="92" t="n"/>
      <c r="J97" s="91" t="n"/>
      <c r="K97" s="89" t="n"/>
      <c r="L97" s="89">
        <f>IF(COUNT(E97,G97,H97,I97,J97,K97)=0,"",ROUND((IF(E97="",0,E97*10)+IF(G97="",0,G97)+IF(H97="",0,H97)+IF(I97="",0,I97*20)+IF(J97="",0,J97)+IF(K97="",0,K97*10))/COUNT(E97,G97,H97,I97,J97,K97),1))</f>
        <v/>
      </c>
      <c r="M97" s="83">
        <f>IF(L97="","",IF(L97&gt;=85,"Excellent",IF(L97&gt;=70,"Good",IF(L97&gt;=55,"Mixed","Poor"))))</f>
        <v/>
      </c>
      <c r="N97" s="96" t="n"/>
      <c r="O97" s="83" t="inlineStr">
        <is>
          <t>https://www.imdb.com/find/?q=Elysium+2013</t>
        </is>
      </c>
      <c r="P97" s="83" t="inlineStr">
        <is>
          <t>https://www.rottentomatoes.com/search?search=Elysium</t>
        </is>
      </c>
      <c r="Q97" s="83" t="inlineStr">
        <is>
          <t>https://letterboxd.com/search/Elysium/</t>
        </is>
      </c>
      <c r="R97" s="83" t="inlineStr">
        <is>
          <t>https://www.metacritic.com/search/Elysium/</t>
        </is>
      </c>
    </row>
    <row r="98" ht="15.75" customHeight="1" s="108">
      <c r="A98" s="83" t="inlineStr">
        <is>
          <t>F0094</t>
        </is>
      </c>
      <c r="B98" s="83" t="inlineStr">
        <is>
          <t>Enemy of the State</t>
        </is>
      </c>
      <c r="C98" s="88" t="inlineStr">
        <is>
          <t>1998</t>
        </is>
      </c>
      <c r="D98" s="84" t="n"/>
      <c r="E98" s="89" t="n"/>
      <c r="F98" s="90" t="n"/>
      <c r="G98" s="91" t="n"/>
      <c r="H98" s="91" t="n"/>
      <c r="I98" s="92" t="n"/>
      <c r="J98" s="91" t="n"/>
      <c r="K98" s="89" t="n"/>
      <c r="L98" s="89">
        <f>IF(COUNT(E98,G98,H98,I98,J98,K98)=0,"",ROUND((IF(E98="",0,E98*10)+IF(G98="",0,G98)+IF(H98="",0,H98)+IF(I98="",0,I98*20)+IF(J98="",0,J98)+IF(K98="",0,K98*10))/COUNT(E98,G98,H98,I98,J98,K98),1))</f>
        <v/>
      </c>
      <c r="M98" s="83">
        <f>IF(L98="","",IF(L98&gt;=85,"Excellent",IF(L98&gt;=70,"Good",IF(L98&gt;=55,"Mixed","Poor"))))</f>
        <v/>
      </c>
      <c r="N98" s="96" t="n"/>
      <c r="O98" s="83" t="inlineStr">
        <is>
          <t>https://www.imdb.com/find/?q=Enemy+of+the+State+1998</t>
        </is>
      </c>
      <c r="P98" s="83" t="inlineStr">
        <is>
          <t>https://www.rottentomatoes.com/search?search=Enemy+of+the+State</t>
        </is>
      </c>
      <c r="Q98" s="83" t="inlineStr">
        <is>
          <t>https://letterboxd.com/search/Enemy%20of%20the%20State/</t>
        </is>
      </c>
      <c r="R98" s="83" t="inlineStr">
        <is>
          <t>https://www.metacritic.com/search/Enemy+of+the+State/</t>
        </is>
      </c>
    </row>
    <row r="99" ht="15.75" customHeight="1" s="108">
      <c r="A99" s="83" t="inlineStr">
        <is>
          <t>F0095</t>
        </is>
      </c>
      <c r="B99" s="83" t="inlineStr">
        <is>
          <t>The Expendables</t>
        </is>
      </c>
      <c r="C99" s="88" t="inlineStr">
        <is>
          <t>2010</t>
        </is>
      </c>
      <c r="D99" s="84" t="n"/>
      <c r="E99" s="89" t="n"/>
      <c r="F99" s="90" t="n"/>
      <c r="G99" s="91" t="n"/>
      <c r="H99" s="91" t="n"/>
      <c r="I99" s="92" t="n"/>
      <c r="J99" s="91" t="n"/>
      <c r="K99" s="89" t="n"/>
      <c r="L99" s="89">
        <f>IF(COUNT(E99,G99,H99,I99,J99,K99)=0,"",ROUND((IF(E99="",0,E99*10)+IF(G99="",0,G99)+IF(H99="",0,H99)+IF(I99="",0,I99*20)+IF(J99="",0,J99)+IF(K99="",0,K99*10))/COUNT(E99,G99,H99,I99,J99,K99),1))</f>
        <v/>
      </c>
      <c r="M99" s="83">
        <f>IF(L99="","",IF(L99&gt;=85,"Excellent",IF(L99&gt;=70,"Good",IF(L99&gt;=55,"Mixed","Poor"))))</f>
        <v/>
      </c>
      <c r="N99" s="96" t="n"/>
      <c r="O99" s="83" t="inlineStr">
        <is>
          <t>https://www.imdb.com/find/?q=The+Expendables+2010</t>
        </is>
      </c>
      <c r="P99" s="83" t="inlineStr">
        <is>
          <t>https://www.rottentomatoes.com/search?search=The+Expendables</t>
        </is>
      </c>
      <c r="Q99" s="83" t="inlineStr">
        <is>
          <t>https://letterboxd.com/search/The%20Expendables/</t>
        </is>
      </c>
      <c r="R99" s="83" t="inlineStr">
        <is>
          <t>https://www.metacritic.com/search/The+Expendables/</t>
        </is>
      </c>
    </row>
    <row r="100" ht="15.75" customHeight="1" s="108">
      <c r="A100" s="83" t="inlineStr">
        <is>
          <t>F0096</t>
        </is>
      </c>
      <c r="B100" s="83" t="inlineStr">
        <is>
          <t>The Expendables 2</t>
        </is>
      </c>
      <c r="C100" s="88" t="inlineStr">
        <is>
          <t>2012</t>
        </is>
      </c>
      <c r="D100" s="84" t="n"/>
      <c r="E100" s="89" t="n"/>
      <c r="F100" s="90" t="n"/>
      <c r="G100" s="91" t="n"/>
      <c r="H100" s="91" t="n"/>
      <c r="I100" s="92" t="n"/>
      <c r="J100" s="91" t="n"/>
      <c r="K100" s="89" t="n"/>
      <c r="L100" s="89">
        <f>IF(COUNT(E100,G100,H100,I100,J100,K100)=0,"",ROUND((IF(E100="",0,E100*10)+IF(G100="",0,G100)+IF(H100="",0,H100)+IF(I100="",0,I100*20)+IF(J100="",0,J100)+IF(K100="",0,K100*10))/COUNT(E100,G100,H100,I100,J100,K100),1))</f>
        <v/>
      </c>
      <c r="M100" s="83">
        <f>IF(L100="","",IF(L100&gt;=85,"Excellent",IF(L100&gt;=70,"Good",IF(L100&gt;=55,"Mixed","Poor"))))</f>
        <v/>
      </c>
      <c r="N100" s="96" t="n"/>
      <c r="O100" s="83" t="inlineStr">
        <is>
          <t>https://www.imdb.com/find/?q=The+Expendables+2+2012</t>
        </is>
      </c>
      <c r="P100" s="83" t="inlineStr">
        <is>
          <t>https://www.rottentomatoes.com/search?search=The+Expendables+2</t>
        </is>
      </c>
      <c r="Q100" s="83" t="inlineStr">
        <is>
          <t>https://letterboxd.com/search/The%20Expendables%202/</t>
        </is>
      </c>
      <c r="R100" s="83" t="inlineStr">
        <is>
          <t>https://www.metacritic.com/search/The+Expendables+2/</t>
        </is>
      </c>
    </row>
    <row r="101" ht="15.75" customHeight="1" s="108">
      <c r="A101" s="83" t="inlineStr">
        <is>
          <t>F0097</t>
        </is>
      </c>
      <c r="B101" s="83" t="inlineStr">
        <is>
          <t>The Expendables 3</t>
        </is>
      </c>
      <c r="C101" s="88" t="inlineStr">
        <is>
          <t>2014</t>
        </is>
      </c>
      <c r="D101" s="84" t="n"/>
      <c r="E101" s="89" t="n"/>
      <c r="F101" s="90" t="n"/>
      <c r="G101" s="91" t="n"/>
      <c r="H101" s="91" t="n"/>
      <c r="I101" s="92" t="n"/>
      <c r="J101" s="91" t="n"/>
      <c r="K101" s="89" t="n"/>
      <c r="L101" s="89">
        <f>IF(COUNT(E101,G101,H101,I101,J101,K101)=0,"",ROUND((IF(E101="",0,E101*10)+IF(G101="",0,G101)+IF(H101="",0,H101)+IF(I101="",0,I101*20)+IF(J101="",0,J101)+IF(K101="",0,K101*10))/COUNT(E101,G101,H101,I101,J101,K101),1))</f>
        <v/>
      </c>
      <c r="M101" s="83">
        <f>IF(L101="","",IF(L101&gt;=85,"Excellent",IF(L101&gt;=70,"Good",IF(L101&gt;=55,"Mixed","Poor"))))</f>
        <v/>
      </c>
      <c r="N101" s="96" t="n"/>
      <c r="O101" s="83" t="inlineStr">
        <is>
          <t>https://www.imdb.com/find/?q=The+Expendables+3+2014</t>
        </is>
      </c>
      <c r="P101" s="83" t="inlineStr">
        <is>
          <t>https://www.rottentomatoes.com/search?search=The+Expendables+3</t>
        </is>
      </c>
      <c r="Q101" s="83" t="inlineStr">
        <is>
          <t>https://letterboxd.com/search/The%20Expendables%203/</t>
        </is>
      </c>
      <c r="R101" s="83" t="inlineStr">
        <is>
          <t>https://www.metacritic.com/search/The+Expendables+3/</t>
        </is>
      </c>
    </row>
    <row r="102" ht="15.75" customHeight="1" s="108">
      <c r="A102" s="83" t="inlineStr">
        <is>
          <t>F0098</t>
        </is>
      </c>
      <c r="B102" s="83" t="inlineStr">
        <is>
          <t>F1</t>
        </is>
      </c>
      <c r="C102" s="88" t="inlineStr">
        <is>
          <t>2025</t>
        </is>
      </c>
      <c r="D102" s="84" t="n"/>
      <c r="E102" s="89" t="n"/>
      <c r="F102" s="90" t="n"/>
      <c r="G102" s="91" t="n"/>
      <c r="H102" s="91" t="n"/>
      <c r="I102" s="92" t="n"/>
      <c r="J102" s="91" t="n"/>
      <c r="K102" s="89" t="n"/>
      <c r="L102" s="89">
        <f>IF(COUNT(E102,G102,H102,I102,J102,K102)=0,"",ROUND((IF(E102="",0,E102*10)+IF(G102="",0,G102)+IF(H102="",0,H102)+IF(I102="",0,I102*20)+IF(J102="",0,J102)+IF(K102="",0,K102*10))/COUNT(E102,G102,H102,I102,J102,K102),1))</f>
        <v/>
      </c>
      <c r="M102" s="83">
        <f>IF(L102="","",IF(L102&gt;=85,"Excellent",IF(L102&gt;=70,"Good",IF(L102&gt;=55,"Mixed","Poor"))))</f>
        <v/>
      </c>
      <c r="N102" s="96" t="n"/>
      <c r="O102" s="83" t="inlineStr">
        <is>
          <t>https://www.imdb.com/find/?q=F1+2025</t>
        </is>
      </c>
      <c r="P102" s="83" t="inlineStr">
        <is>
          <t>https://www.rottentomatoes.com/search?search=F1</t>
        </is>
      </c>
      <c r="Q102" s="83" t="inlineStr">
        <is>
          <t>https://letterboxd.com/search/F1/</t>
        </is>
      </c>
      <c r="R102" s="83" t="inlineStr">
        <is>
          <t>https://www.metacritic.com/search/F1/</t>
        </is>
      </c>
    </row>
    <row r="103" ht="15.75" customHeight="1" s="108">
      <c r="A103" s="83" t="inlineStr">
        <is>
          <t>F0099</t>
        </is>
      </c>
      <c r="B103" s="83" t="inlineStr">
        <is>
          <t>The Fall Guy</t>
        </is>
      </c>
      <c r="C103" s="88" t="inlineStr">
        <is>
          <t>2024</t>
        </is>
      </c>
      <c r="D103" s="84" t="n"/>
      <c r="E103" s="89" t="n"/>
      <c r="F103" s="90" t="n"/>
      <c r="G103" s="91" t="n"/>
      <c r="H103" s="91" t="n"/>
      <c r="I103" s="92" t="n"/>
      <c r="J103" s="91" t="n"/>
      <c r="K103" s="89" t="n"/>
      <c r="L103" s="89">
        <f>IF(COUNT(E103,G103,H103,I103,J103,K103)=0,"",ROUND((IF(E103="",0,E103*10)+IF(G103="",0,G103)+IF(H103="",0,H103)+IF(I103="",0,I103*20)+IF(J103="",0,J103)+IF(K103="",0,K103*10))/COUNT(E103,G103,H103,I103,J103,K103),1))</f>
        <v/>
      </c>
      <c r="M103" s="83">
        <f>IF(L103="","",IF(L103&gt;=85,"Excellent",IF(L103&gt;=70,"Good",IF(L103&gt;=55,"Mixed","Poor"))))</f>
        <v/>
      </c>
      <c r="N103" s="96" t="n"/>
      <c r="O103" s="83" t="inlineStr">
        <is>
          <t>https://www.imdb.com/find/?q=The+Fall+Guy+2024</t>
        </is>
      </c>
      <c r="P103" s="83" t="inlineStr">
        <is>
          <t>https://www.rottentomatoes.com/search?search=The+Fall+Guy</t>
        </is>
      </c>
      <c r="Q103" s="83" t="inlineStr">
        <is>
          <t>https://letterboxd.com/search/The%20Fall%20Guy/</t>
        </is>
      </c>
      <c r="R103" s="83" t="inlineStr">
        <is>
          <t>https://www.metacritic.com/search/The+Fall+Guy/</t>
        </is>
      </c>
    </row>
    <row r="104" ht="15.75" customHeight="1" s="108">
      <c r="A104" s="83" t="inlineStr">
        <is>
          <t>F0100</t>
        </is>
      </c>
      <c r="B104" s="83" t="inlineStr">
        <is>
          <t>Fantastic Beasts and Where to Find Them</t>
        </is>
      </c>
      <c r="C104" s="88" t="inlineStr">
        <is>
          <t>2016</t>
        </is>
      </c>
      <c r="D104" s="84" t="n"/>
      <c r="E104" s="89" t="n"/>
      <c r="F104" s="90" t="n"/>
      <c r="G104" s="91" t="n"/>
      <c r="H104" s="91" t="n"/>
      <c r="I104" s="92" t="n"/>
      <c r="J104" s="91" t="n"/>
      <c r="K104" s="89" t="n"/>
      <c r="L104" s="89">
        <f>IF(COUNT(E104,G104,H104,I104,J104,K104)=0,"",ROUND((IF(E104="",0,E104*10)+IF(G104="",0,G104)+IF(H104="",0,H104)+IF(I104="",0,I104*20)+IF(J104="",0,J104)+IF(K104="",0,K104*10))/COUNT(E104,G104,H104,I104,J104,K104),1))</f>
        <v/>
      </c>
      <c r="M104" s="83">
        <f>IF(L104="","",IF(L104&gt;=85,"Excellent",IF(L104&gt;=70,"Good",IF(L104&gt;=55,"Mixed","Poor"))))</f>
        <v/>
      </c>
      <c r="N104" s="96" t="n"/>
      <c r="O104" s="83" t="inlineStr">
        <is>
          <t>https://www.imdb.com/find/?q=Fantastic+Beasts+and+Where+to+Find+Them+2016</t>
        </is>
      </c>
      <c r="P104" s="83" t="inlineStr">
        <is>
          <t>https://www.rottentomatoes.com/search?search=Fantastic+Beasts+and+Where+to+Find+Them</t>
        </is>
      </c>
      <c r="Q104" s="83" t="inlineStr">
        <is>
          <t>https://letterboxd.com/search/Fantastic%20Beasts%20and%20Where%20to%20Find%20Them/</t>
        </is>
      </c>
      <c r="R104" s="83" t="inlineStr">
        <is>
          <t>https://www.metacritic.com/search/Fantastic+Beasts+and+Where+to+Find+Them/</t>
        </is>
      </c>
    </row>
    <row r="105" ht="15.75" customHeight="1" s="108">
      <c r="A105" s="83" t="inlineStr">
        <is>
          <t>F0101</t>
        </is>
      </c>
      <c r="B105" s="83" t="inlineStr">
        <is>
          <t>The Fast and the Furious</t>
        </is>
      </c>
      <c r="C105" s="88" t="inlineStr">
        <is>
          <t>2001</t>
        </is>
      </c>
      <c r="D105" s="84" t="n"/>
      <c r="E105" s="89" t="n"/>
      <c r="F105" s="90" t="n"/>
      <c r="G105" s="91" t="n"/>
      <c r="H105" s="91" t="n"/>
      <c r="I105" s="92" t="n"/>
      <c r="J105" s="91" t="n"/>
      <c r="K105" s="89" t="n"/>
      <c r="L105" s="89">
        <f>IF(COUNT(E105,G105,H105,I105,J105,K105)=0,"",ROUND((IF(E105="",0,E105*10)+IF(G105="",0,G105)+IF(H105="",0,H105)+IF(I105="",0,I105*20)+IF(J105="",0,J105)+IF(K105="",0,K105*10))/COUNT(E105,G105,H105,I105,J105,K105),1))</f>
        <v/>
      </c>
      <c r="M105" s="83">
        <f>IF(L105="","",IF(L105&gt;=85,"Excellent",IF(L105&gt;=70,"Good",IF(L105&gt;=55,"Mixed","Poor"))))</f>
        <v/>
      </c>
      <c r="N105" s="96" t="n"/>
      <c r="O105" s="83" t="inlineStr">
        <is>
          <t>https://www.imdb.com/find/?q=The+Fast+and+the+Furious+2001</t>
        </is>
      </c>
      <c r="P105" s="83" t="inlineStr">
        <is>
          <t>https://www.rottentomatoes.com/search?search=The+Fast+and+the+Furious</t>
        </is>
      </c>
      <c r="Q105" s="83" t="inlineStr">
        <is>
          <t>https://letterboxd.com/search/The%20Fast%20and%20the%20Furious/</t>
        </is>
      </c>
      <c r="R105" s="83" t="inlineStr">
        <is>
          <t>https://www.metacritic.com/search/The+Fast+and+the+Furious/</t>
        </is>
      </c>
    </row>
    <row r="106" ht="15.75" customHeight="1" s="108">
      <c r="A106" s="83" t="inlineStr">
        <is>
          <t>F0102</t>
        </is>
      </c>
      <c r="B106" s="83" t="inlineStr">
        <is>
          <t>2 Fast 2 Furious</t>
        </is>
      </c>
      <c r="C106" s="88" t="inlineStr">
        <is>
          <t>2003</t>
        </is>
      </c>
      <c r="D106" s="84" t="n"/>
      <c r="E106" s="89" t="n"/>
      <c r="F106" s="90" t="n"/>
      <c r="G106" s="91" t="n"/>
      <c r="H106" s="91" t="n"/>
      <c r="I106" s="92" t="n"/>
      <c r="J106" s="91" t="n"/>
      <c r="K106" s="89" t="n"/>
      <c r="L106" s="89">
        <f>IF(COUNT(E106,G106,H106,I106,J106,K106)=0,"",ROUND((IF(E106="",0,E106*10)+IF(G106="",0,G106)+IF(H106="",0,H106)+IF(I106="",0,I106*20)+IF(J106="",0,J106)+IF(K106="",0,K106*10))/COUNT(E106,G106,H106,I106,J106,K106),1))</f>
        <v/>
      </c>
      <c r="M106" s="83">
        <f>IF(L106="","",IF(L106&gt;=85,"Excellent",IF(L106&gt;=70,"Good",IF(L106&gt;=55,"Mixed","Poor"))))</f>
        <v/>
      </c>
      <c r="N106" s="96" t="n"/>
      <c r="O106" s="83" t="inlineStr">
        <is>
          <t>https://www.imdb.com/find/?q=2+Fast+2+Furious+2003</t>
        </is>
      </c>
      <c r="P106" s="83" t="inlineStr">
        <is>
          <t>https://www.rottentomatoes.com/search?search=2+Fast+2+Furious</t>
        </is>
      </c>
      <c r="Q106" s="83" t="inlineStr">
        <is>
          <t>https://letterboxd.com/search/2%20Fast%202%20Furious/</t>
        </is>
      </c>
      <c r="R106" s="83" t="inlineStr">
        <is>
          <t>https://www.metacritic.com/search/2+Fast+2+Furious/</t>
        </is>
      </c>
    </row>
    <row r="107" ht="15.75" customHeight="1" s="108">
      <c r="A107" s="83" t="inlineStr">
        <is>
          <t>F0103</t>
        </is>
      </c>
      <c r="B107" s="83" t="inlineStr">
        <is>
          <t>The Fast and the Furious: Tokyo Drift</t>
        </is>
      </c>
      <c r="C107" s="88" t="inlineStr">
        <is>
          <t>2006</t>
        </is>
      </c>
      <c r="D107" s="84" t="n"/>
      <c r="E107" s="89" t="n"/>
      <c r="F107" s="90" t="n"/>
      <c r="G107" s="91" t="n"/>
      <c r="H107" s="91" t="n"/>
      <c r="I107" s="92" t="n"/>
      <c r="J107" s="91" t="n"/>
      <c r="K107" s="89" t="n"/>
      <c r="L107" s="89">
        <f>IF(COUNT(E107,G107,H107,I107,J107,K107)=0,"",ROUND((IF(E107="",0,E107*10)+IF(G107="",0,G107)+IF(H107="",0,H107)+IF(I107="",0,I107*20)+IF(J107="",0,J107)+IF(K107="",0,K107*10))/COUNT(E107,G107,H107,I107,J107,K107),1))</f>
        <v/>
      </c>
      <c r="M107" s="83">
        <f>IF(L107="","",IF(L107&gt;=85,"Excellent",IF(L107&gt;=70,"Good",IF(L107&gt;=55,"Mixed","Poor"))))</f>
        <v/>
      </c>
      <c r="N107" s="96" t="n"/>
      <c r="O107" s="83" t="inlineStr">
        <is>
          <t>https://www.imdb.com/find/?q=The+Fast+and+the+Furious%3A+Tokyo+Drift+2006</t>
        </is>
      </c>
      <c r="P107" s="83" t="inlineStr">
        <is>
          <t>https://www.rottentomatoes.com/search?search=The+Fast+and+the+Furious%3A+Tokyo+Drift</t>
        </is>
      </c>
      <c r="Q107" s="83" t="inlineStr">
        <is>
          <t>https://letterboxd.com/search/The%20Fast%20and%20the%20Furious%3A%20Tokyo%20Drift/</t>
        </is>
      </c>
      <c r="R107" s="83" t="inlineStr">
        <is>
          <t>https://www.metacritic.com/search/The+Fast+and+the+Furious%3A+Tokyo+Drift/</t>
        </is>
      </c>
    </row>
    <row r="108" ht="15.75" customHeight="1" s="108">
      <c r="A108" s="83" t="inlineStr">
        <is>
          <t>F0104</t>
        </is>
      </c>
      <c r="B108" s="83" t="inlineStr">
        <is>
          <t>Fast &amp; Furious</t>
        </is>
      </c>
      <c r="C108" s="88" t="inlineStr">
        <is>
          <t>2009</t>
        </is>
      </c>
      <c r="D108" s="84" t="n"/>
      <c r="E108" s="89" t="n"/>
      <c r="F108" s="90" t="n"/>
      <c r="G108" s="91" t="n"/>
      <c r="H108" s="91" t="n"/>
      <c r="I108" s="92" t="n"/>
      <c r="J108" s="91" t="n"/>
      <c r="K108" s="89" t="n"/>
      <c r="L108" s="89">
        <f>IF(COUNT(E108,G108,H108,I108,J108,K108)=0,"",ROUND((IF(E108="",0,E108*10)+IF(G108="",0,G108)+IF(H108="",0,H108)+IF(I108="",0,I108*20)+IF(J108="",0,J108)+IF(K108="",0,K108*10))/COUNT(E108,G108,H108,I108,J108,K108),1))</f>
        <v/>
      </c>
      <c r="M108" s="83">
        <f>IF(L108="","",IF(L108&gt;=85,"Excellent",IF(L108&gt;=70,"Good",IF(L108&gt;=55,"Mixed","Poor"))))</f>
        <v/>
      </c>
      <c r="N108" s="96" t="n"/>
      <c r="O108" s="83" t="inlineStr">
        <is>
          <t>https://www.imdb.com/find/?q=Fast+%26+Furious+2009</t>
        </is>
      </c>
      <c r="P108" s="83" t="inlineStr">
        <is>
          <t>https://www.rottentomatoes.com/search?search=Fast+%26+Furious</t>
        </is>
      </c>
      <c r="Q108" s="83" t="inlineStr">
        <is>
          <t>https://letterboxd.com/search/Fast%20%26%20Furious/</t>
        </is>
      </c>
      <c r="R108" s="83" t="inlineStr">
        <is>
          <t>https://www.metacritic.com/search/Fast+%26+Furious/</t>
        </is>
      </c>
    </row>
    <row r="109" ht="15.75" customHeight="1" s="108">
      <c r="A109" s="83" t="inlineStr">
        <is>
          <t>F0105</t>
        </is>
      </c>
      <c r="B109" s="83" t="inlineStr">
        <is>
          <t>Fast Five</t>
        </is>
      </c>
      <c r="C109" s="88" t="inlineStr">
        <is>
          <t>2011</t>
        </is>
      </c>
      <c r="D109" s="84" t="n"/>
      <c r="E109" s="89" t="n"/>
      <c r="F109" s="90" t="n"/>
      <c r="G109" s="91" t="n"/>
      <c r="H109" s="91" t="n"/>
      <c r="I109" s="92" t="n"/>
      <c r="J109" s="91" t="n"/>
      <c r="K109" s="89" t="n"/>
      <c r="L109" s="89">
        <f>IF(COUNT(E109,G109,H109,I109,J109,K109)=0,"",ROUND((IF(E109="",0,E109*10)+IF(G109="",0,G109)+IF(H109="",0,H109)+IF(I109="",0,I109*20)+IF(J109="",0,J109)+IF(K109="",0,K109*10))/COUNT(E109,G109,H109,I109,J109,K109),1))</f>
        <v/>
      </c>
      <c r="M109" s="83">
        <f>IF(L109="","",IF(L109&gt;=85,"Excellent",IF(L109&gt;=70,"Good",IF(L109&gt;=55,"Mixed","Poor"))))</f>
        <v/>
      </c>
      <c r="N109" s="96" t="n"/>
      <c r="O109" s="83" t="inlineStr">
        <is>
          <t>https://www.imdb.com/find/?q=Fast+Five+2011</t>
        </is>
      </c>
      <c r="P109" s="83" t="inlineStr">
        <is>
          <t>https://www.rottentomatoes.com/search?search=Fast+Five</t>
        </is>
      </c>
      <c r="Q109" s="83" t="inlineStr">
        <is>
          <t>https://letterboxd.com/search/Fast%20Five/</t>
        </is>
      </c>
      <c r="R109" s="83" t="inlineStr">
        <is>
          <t>https://www.metacritic.com/search/Fast+Five/</t>
        </is>
      </c>
    </row>
    <row r="110" ht="15.75" customHeight="1" s="108">
      <c r="A110" s="83" t="inlineStr">
        <is>
          <t>F0106</t>
        </is>
      </c>
      <c r="B110" s="83" t="inlineStr">
        <is>
          <t>Fast &amp; Furious 6</t>
        </is>
      </c>
      <c r="C110" s="88" t="inlineStr">
        <is>
          <t>2013</t>
        </is>
      </c>
      <c r="D110" s="84" t="n"/>
      <c r="E110" s="89" t="n"/>
      <c r="F110" s="90" t="n"/>
      <c r="G110" s="91" t="n"/>
      <c r="H110" s="91" t="n"/>
      <c r="I110" s="92" t="n"/>
      <c r="J110" s="91" t="n"/>
      <c r="K110" s="89" t="n"/>
      <c r="L110" s="89">
        <f>IF(COUNT(E110,G110,H110,I110,J110,K110)=0,"",ROUND((IF(E110="",0,E110*10)+IF(G110="",0,G110)+IF(H110="",0,H110)+IF(I110="",0,I110*20)+IF(J110="",0,J110)+IF(K110="",0,K110*10))/COUNT(E110,G110,H110,I110,J110,K110),1))</f>
        <v/>
      </c>
      <c r="M110" s="83">
        <f>IF(L110="","",IF(L110&gt;=85,"Excellent",IF(L110&gt;=70,"Good",IF(L110&gt;=55,"Mixed","Poor"))))</f>
        <v/>
      </c>
      <c r="N110" s="96" t="n"/>
      <c r="O110" s="83" t="inlineStr">
        <is>
          <t>https://www.imdb.com/find/?q=Fast+%26+Furious+6+2013</t>
        </is>
      </c>
      <c r="P110" s="83" t="inlineStr">
        <is>
          <t>https://www.rottentomatoes.com/search?search=Fast+%26+Furious+6</t>
        </is>
      </c>
      <c r="Q110" s="83" t="inlineStr">
        <is>
          <t>https://letterboxd.com/search/Fast%20%26%20Furious%206/</t>
        </is>
      </c>
      <c r="R110" s="83" t="inlineStr">
        <is>
          <t>https://www.metacritic.com/search/Fast+%26+Furious+6/</t>
        </is>
      </c>
    </row>
    <row r="111" ht="15.75" customHeight="1" s="108">
      <c r="A111" s="83" t="inlineStr">
        <is>
          <t>F0107</t>
        </is>
      </c>
      <c r="B111" s="83" t="inlineStr">
        <is>
          <t>Furious 7</t>
        </is>
      </c>
      <c r="C111" s="88" t="inlineStr">
        <is>
          <t>2015</t>
        </is>
      </c>
      <c r="D111" s="84" t="n"/>
      <c r="E111" s="89" t="n"/>
      <c r="F111" s="90" t="n"/>
      <c r="G111" s="91" t="n"/>
      <c r="H111" s="91" t="n"/>
      <c r="I111" s="92" t="n"/>
      <c r="J111" s="91" t="n"/>
      <c r="K111" s="89" t="n"/>
      <c r="L111" s="89">
        <f>IF(COUNT(E111,G111,H111,I111,J111,K111)=0,"",ROUND((IF(E111="",0,E111*10)+IF(G111="",0,G111)+IF(H111="",0,H111)+IF(I111="",0,I111*20)+IF(J111="",0,J111)+IF(K111="",0,K111*10))/COUNT(E111,G111,H111,I111,J111,K111),1))</f>
        <v/>
      </c>
      <c r="M111" s="83">
        <f>IF(L111="","",IF(L111&gt;=85,"Excellent",IF(L111&gt;=70,"Good",IF(L111&gt;=55,"Mixed","Poor"))))</f>
        <v/>
      </c>
      <c r="N111" s="96" t="n"/>
      <c r="O111" s="83" t="inlineStr">
        <is>
          <t>https://www.imdb.com/find/?q=Furious+7+2015</t>
        </is>
      </c>
      <c r="P111" s="83" t="inlineStr">
        <is>
          <t>https://www.rottentomatoes.com/search?search=Furious+7</t>
        </is>
      </c>
      <c r="Q111" s="83" t="inlineStr">
        <is>
          <t>https://letterboxd.com/search/Furious%207/</t>
        </is>
      </c>
      <c r="R111" s="83" t="inlineStr">
        <is>
          <t>https://www.metacritic.com/search/Furious+7/</t>
        </is>
      </c>
    </row>
    <row r="112" ht="15.75" customHeight="1" s="108">
      <c r="A112" s="83" t="inlineStr">
        <is>
          <t>F0108</t>
        </is>
      </c>
      <c r="B112" s="83" t="inlineStr">
        <is>
          <t>The Fate of the Furious</t>
        </is>
      </c>
      <c r="C112" s="88" t="inlineStr">
        <is>
          <t>2017</t>
        </is>
      </c>
      <c r="D112" s="84" t="n"/>
      <c r="E112" s="89" t="n"/>
      <c r="F112" s="90" t="n"/>
      <c r="G112" s="91" t="n"/>
      <c r="H112" s="91" t="n"/>
      <c r="I112" s="92" t="n"/>
      <c r="J112" s="91" t="n"/>
      <c r="K112" s="89" t="n"/>
      <c r="L112" s="89">
        <f>IF(COUNT(E112,G112,H112,I112,J112,K112)=0,"",ROUND((IF(E112="",0,E112*10)+IF(G112="",0,G112)+IF(H112="",0,H112)+IF(I112="",0,I112*20)+IF(J112="",0,J112)+IF(K112="",0,K112*10))/COUNT(E112,G112,H112,I112,J112,K112),1))</f>
        <v/>
      </c>
      <c r="M112" s="83">
        <f>IF(L112="","",IF(L112&gt;=85,"Excellent",IF(L112&gt;=70,"Good",IF(L112&gt;=55,"Mixed","Poor"))))</f>
        <v/>
      </c>
      <c r="N112" s="96" t="n"/>
      <c r="O112" s="83" t="inlineStr">
        <is>
          <t>https://www.imdb.com/find/?q=The+Fate+of+the+Furious+2017</t>
        </is>
      </c>
      <c r="P112" s="83" t="inlineStr">
        <is>
          <t>https://www.rottentomatoes.com/search?search=The+Fate+of+the+Furious</t>
        </is>
      </c>
      <c r="Q112" s="83" t="inlineStr">
        <is>
          <t>https://letterboxd.com/search/The%20Fate%20of%20the%20Furious/</t>
        </is>
      </c>
      <c r="R112" s="83" t="inlineStr">
        <is>
          <t>https://www.metacritic.com/search/The+Fate+of+the+Furious/</t>
        </is>
      </c>
    </row>
    <row r="113" ht="15.75" customHeight="1" s="108">
      <c r="A113" s="83" t="inlineStr">
        <is>
          <t>F0109</t>
        </is>
      </c>
      <c r="B113" s="83" t="inlineStr">
        <is>
          <t>F9: The Fast Saga</t>
        </is>
      </c>
      <c r="C113" s="88" t="inlineStr">
        <is>
          <t>2021</t>
        </is>
      </c>
      <c r="D113" s="84" t="n"/>
      <c r="E113" s="89" t="n"/>
      <c r="F113" s="90" t="n"/>
      <c r="G113" s="91" t="n"/>
      <c r="H113" s="91" t="n"/>
      <c r="I113" s="92" t="n"/>
      <c r="J113" s="91" t="n"/>
      <c r="K113" s="89" t="n"/>
      <c r="L113" s="89">
        <f>IF(COUNT(E113,G113,H113,I113,J113,K113)=0,"",ROUND((IF(E113="",0,E113*10)+IF(G113="",0,G113)+IF(H113="",0,H113)+IF(I113="",0,I113*20)+IF(J113="",0,J113)+IF(K113="",0,K113*10))/COUNT(E113,G113,H113,I113,J113,K113),1))</f>
        <v/>
      </c>
      <c r="M113" s="83">
        <f>IF(L113="","",IF(L113&gt;=85,"Excellent",IF(L113&gt;=70,"Good",IF(L113&gt;=55,"Mixed","Poor"))))</f>
        <v/>
      </c>
      <c r="N113" s="96" t="n"/>
      <c r="O113" s="83" t="inlineStr">
        <is>
          <t>https://www.imdb.com/find/?q=F9%3A+The+Fast+Saga+2021</t>
        </is>
      </c>
      <c r="P113" s="83" t="inlineStr">
        <is>
          <t>https://www.rottentomatoes.com/search?search=F9%3A+The+Fast+Saga</t>
        </is>
      </c>
      <c r="Q113" s="83" t="inlineStr">
        <is>
          <t>https://letterboxd.com/search/F9%3A%20The%20Fast%20Saga/</t>
        </is>
      </c>
      <c r="R113" s="83" t="inlineStr">
        <is>
          <t>https://www.metacritic.com/search/F9%3A+The+Fast+Saga/</t>
        </is>
      </c>
    </row>
    <row r="114" ht="15.75" customHeight="1" s="108">
      <c r="A114" s="83" t="inlineStr">
        <is>
          <t>F0110</t>
        </is>
      </c>
      <c r="B114" s="83" t="inlineStr">
        <is>
          <t>Fast X</t>
        </is>
      </c>
      <c r="C114" s="88" t="inlineStr">
        <is>
          <t>2023</t>
        </is>
      </c>
      <c r="D114" s="84" t="n"/>
      <c r="E114" s="89" t="n"/>
      <c r="F114" s="90" t="n"/>
      <c r="G114" s="91" t="n"/>
      <c r="H114" s="91" t="n"/>
      <c r="I114" s="92" t="n"/>
      <c r="J114" s="91" t="n"/>
      <c r="K114" s="89" t="n"/>
      <c r="L114" s="89">
        <f>IF(COUNT(E114,G114,H114,I114,J114,K114)=0,"",ROUND((IF(E114="",0,E114*10)+IF(G114="",0,G114)+IF(H114="",0,H114)+IF(I114="",0,I114*20)+IF(J114="",0,J114)+IF(K114="",0,K114*10))/COUNT(E114,G114,H114,I114,J114,K114),1))</f>
        <v/>
      </c>
      <c r="M114" s="83">
        <f>IF(L114="","",IF(L114&gt;=85,"Excellent",IF(L114&gt;=70,"Good",IF(L114&gt;=55,"Mixed","Poor"))))</f>
        <v/>
      </c>
      <c r="N114" s="96" t="n"/>
      <c r="O114" s="83" t="inlineStr">
        <is>
          <t>https://www.imdb.com/find/?q=Fast+X+2023</t>
        </is>
      </c>
      <c r="P114" s="83" t="inlineStr">
        <is>
          <t>https://www.rottentomatoes.com/search?search=Fast+X</t>
        </is>
      </c>
      <c r="Q114" s="83" t="inlineStr">
        <is>
          <t>https://letterboxd.com/search/Fast%20X/</t>
        </is>
      </c>
      <c r="R114" s="83" t="inlineStr">
        <is>
          <t>https://www.metacritic.com/search/Fast+X/</t>
        </is>
      </c>
    </row>
    <row r="115" ht="15.75" customHeight="1" s="108">
      <c r="A115" s="83" t="inlineStr">
        <is>
          <t>F0111</t>
        </is>
      </c>
      <c r="B115" s="83" t="inlineStr">
        <is>
          <t>Fast &amp; Furious Presents: Hobbs &amp; Shaw</t>
        </is>
      </c>
      <c r="C115" s="88" t="inlineStr">
        <is>
          <t>2019</t>
        </is>
      </c>
      <c r="D115" s="84" t="n"/>
      <c r="E115" s="89" t="n"/>
      <c r="F115" s="90" t="n"/>
      <c r="G115" s="91" t="n"/>
      <c r="H115" s="91" t="n"/>
      <c r="I115" s="92" t="n"/>
      <c r="J115" s="91" t="n"/>
      <c r="K115" s="89" t="n"/>
      <c r="L115" s="89">
        <f>IF(COUNT(E115,G115,H115,I115,J115,K115)=0,"",ROUND((IF(E115="",0,E115*10)+IF(G115="",0,G115)+IF(H115="",0,H115)+IF(I115="",0,I115*20)+IF(J115="",0,J115)+IF(K115="",0,K115*10))/COUNT(E115,G115,H115,I115,J115,K115),1))</f>
        <v/>
      </c>
      <c r="M115" s="83">
        <f>IF(L115="","",IF(L115&gt;=85,"Excellent",IF(L115&gt;=70,"Good",IF(L115&gt;=55,"Mixed","Poor"))))</f>
        <v/>
      </c>
      <c r="N115" s="96" t="n"/>
      <c r="O115" s="83" t="inlineStr">
        <is>
          <t>https://www.imdb.com/find/?q=Fast+%26+Furious+Presents%3A+Hobbs+%26+Shaw+2019</t>
        </is>
      </c>
      <c r="P115" s="83" t="inlineStr">
        <is>
          <t>https://www.rottentomatoes.com/search?search=Fast+%26+Furious+Presents%3A+Hobbs+%26+Shaw</t>
        </is>
      </c>
      <c r="Q115" s="83" t="inlineStr">
        <is>
          <t>https://letterboxd.com/search/Fast%20%26%20Furious%20Presents%3A%20Hobbs%20%26%20Shaw/</t>
        </is>
      </c>
      <c r="R115" s="83" t="inlineStr">
        <is>
          <t>https://www.metacritic.com/search/Fast+%26+Furious+Presents%3A+Hobbs+%26+Shaw/</t>
        </is>
      </c>
    </row>
    <row r="116" ht="15.75" customHeight="1" s="108">
      <c r="A116" s="83" t="inlineStr">
        <is>
          <t>F0112</t>
        </is>
      </c>
      <c r="B116" s="83" t="inlineStr">
        <is>
          <t>Fight Club</t>
        </is>
      </c>
      <c r="C116" s="88" t="inlineStr">
        <is>
          <t>1999</t>
        </is>
      </c>
      <c r="D116" s="84" t="n"/>
      <c r="E116" s="89" t="n"/>
      <c r="F116" s="90" t="n"/>
      <c r="G116" s="91" t="n"/>
      <c r="H116" s="91" t="n"/>
      <c r="I116" s="92" t="n"/>
      <c r="J116" s="91" t="n"/>
      <c r="K116" s="89" t="n"/>
      <c r="L116" s="89">
        <f>IF(COUNT(E116,G116,H116,I116,J116,K116)=0,"",ROUND((IF(E116="",0,E116*10)+IF(G116="",0,G116)+IF(H116="",0,H116)+IF(I116="",0,I116*20)+IF(J116="",0,J116)+IF(K116="",0,K116*10))/COUNT(E116,G116,H116,I116,J116,K116),1))</f>
        <v/>
      </c>
      <c r="M116" s="83">
        <f>IF(L116="","",IF(L116&gt;=85,"Excellent",IF(L116&gt;=70,"Good",IF(L116&gt;=55,"Mixed","Poor"))))</f>
        <v/>
      </c>
      <c r="N116" s="96" t="n"/>
      <c r="O116" s="83" t="inlineStr">
        <is>
          <t>https://www.imdb.com/find/?q=Fight+Club+1999</t>
        </is>
      </c>
      <c r="P116" s="83" t="inlineStr">
        <is>
          <t>https://www.rottentomatoes.com/search?search=Fight+Club</t>
        </is>
      </c>
      <c r="Q116" s="83" t="inlineStr">
        <is>
          <t>https://letterboxd.com/search/Fight%20Club/</t>
        </is>
      </c>
      <c r="R116" s="83" t="inlineStr">
        <is>
          <t>https://www.metacritic.com/search/Fight+Club/</t>
        </is>
      </c>
    </row>
    <row r="117" ht="15.75" customHeight="1" s="108">
      <c r="A117" s="83" t="inlineStr">
        <is>
          <t>F0113</t>
        </is>
      </c>
      <c r="B117" s="83" t="inlineStr">
        <is>
          <t>Finding Dory</t>
        </is>
      </c>
      <c r="C117" s="88" t="inlineStr">
        <is>
          <t>2016</t>
        </is>
      </c>
      <c r="D117" s="84" t="n"/>
      <c r="E117" s="89" t="n"/>
      <c r="F117" s="90" t="n"/>
      <c r="G117" s="91" t="n"/>
      <c r="H117" s="91" t="n"/>
      <c r="I117" s="92" t="n"/>
      <c r="J117" s="91" t="n"/>
      <c r="K117" s="89" t="n"/>
      <c r="L117" s="89">
        <f>IF(COUNT(E117,G117,H117,I117,J117,K117)=0,"",ROUND((IF(E117="",0,E117*10)+IF(G117="",0,G117)+IF(H117="",0,H117)+IF(I117="",0,I117*20)+IF(J117="",0,J117)+IF(K117="",0,K117*10))/COUNT(E117,G117,H117,I117,J117,K117),1))</f>
        <v/>
      </c>
      <c r="M117" s="83">
        <f>IF(L117="","",IF(L117&gt;=85,"Excellent",IF(L117&gt;=70,"Good",IF(L117&gt;=55,"Mixed","Poor"))))</f>
        <v/>
      </c>
      <c r="N117" s="96" t="n"/>
      <c r="O117" s="83" t="inlineStr">
        <is>
          <t>https://www.imdb.com/find/?q=Finding+Dory+2016</t>
        </is>
      </c>
      <c r="P117" s="83" t="inlineStr">
        <is>
          <t>https://www.rottentomatoes.com/search?search=Finding+Dory</t>
        </is>
      </c>
      <c r="Q117" s="83" t="inlineStr">
        <is>
          <t>https://letterboxd.com/search/Finding%20Dory/</t>
        </is>
      </c>
      <c r="R117" s="83" t="inlineStr">
        <is>
          <t>https://www.metacritic.com/search/Finding+Dory/</t>
        </is>
      </c>
    </row>
    <row r="118" ht="15.75" customHeight="1" s="108">
      <c r="A118" s="83" t="inlineStr">
        <is>
          <t>F0114</t>
        </is>
      </c>
      <c r="B118" s="83" t="inlineStr">
        <is>
          <t>Firewall</t>
        </is>
      </c>
      <c r="C118" s="88" t="inlineStr">
        <is>
          <t>2006</t>
        </is>
      </c>
      <c r="D118" s="84" t="n"/>
      <c r="E118" s="89" t="n"/>
      <c r="F118" s="90" t="n"/>
      <c r="G118" s="91" t="n"/>
      <c r="H118" s="91" t="n"/>
      <c r="I118" s="92" t="n"/>
      <c r="J118" s="91" t="n"/>
      <c r="K118" s="89" t="n"/>
      <c r="L118" s="89">
        <f>IF(COUNT(E118,G118,H118,I118,J118,K118)=0,"",ROUND((IF(E118="",0,E118*10)+IF(G118="",0,G118)+IF(H118="",0,H118)+IF(I118="",0,I118*20)+IF(J118="",0,J118)+IF(K118="",0,K118*10))/COUNT(E118,G118,H118,I118,J118,K118),1))</f>
        <v/>
      </c>
      <c r="M118" s="83">
        <f>IF(L118="","",IF(L118&gt;=85,"Excellent",IF(L118&gt;=70,"Good",IF(L118&gt;=55,"Mixed","Poor"))))</f>
        <v/>
      </c>
      <c r="N118" s="96" t="n"/>
      <c r="O118" s="83" t="inlineStr">
        <is>
          <t>https://www.imdb.com/find/?q=Firewall+2006</t>
        </is>
      </c>
      <c r="P118" s="83" t="inlineStr">
        <is>
          <t>https://www.rottentomatoes.com/search?search=Firewall</t>
        </is>
      </c>
      <c r="Q118" s="83" t="inlineStr">
        <is>
          <t>https://letterboxd.com/search/Firewall/</t>
        </is>
      </c>
      <c r="R118" s="83" t="inlineStr">
        <is>
          <t>https://www.metacritic.com/search/Firewall/</t>
        </is>
      </c>
    </row>
    <row r="119" ht="15.75" customHeight="1" s="108">
      <c r="A119" s="83" t="inlineStr">
        <is>
          <t>F0115</t>
        </is>
      </c>
      <c r="B119" s="83" t="inlineStr">
        <is>
          <t>Forgetting Sarah Marshall</t>
        </is>
      </c>
      <c r="C119" s="88" t="inlineStr">
        <is>
          <t>2008</t>
        </is>
      </c>
      <c r="D119" s="84" t="n"/>
      <c r="E119" s="89" t="n"/>
      <c r="F119" s="90" t="n"/>
      <c r="G119" s="91" t="n"/>
      <c r="H119" s="91" t="n"/>
      <c r="I119" s="92" t="n"/>
      <c r="J119" s="91" t="n"/>
      <c r="K119" s="89" t="n"/>
      <c r="L119" s="89">
        <f>IF(COUNT(E119,G119,H119,I119,J119,K119)=0,"",ROUND((IF(E119="",0,E119*10)+IF(G119="",0,G119)+IF(H119="",0,H119)+IF(I119="",0,I119*20)+IF(J119="",0,J119)+IF(K119="",0,K119*10))/COUNT(E119,G119,H119,I119,J119,K119),1))</f>
        <v/>
      </c>
      <c r="M119" s="83">
        <f>IF(L119="","",IF(L119&gt;=85,"Excellent",IF(L119&gt;=70,"Good",IF(L119&gt;=55,"Mixed","Poor"))))</f>
        <v/>
      </c>
      <c r="N119" s="96" t="n"/>
      <c r="O119" s="83" t="inlineStr">
        <is>
          <t>https://www.imdb.com/find/?q=Forgetting+Sarah+Marshall+2008</t>
        </is>
      </c>
      <c r="P119" s="83" t="inlineStr">
        <is>
          <t>https://www.rottentomatoes.com/search?search=Forgetting+Sarah+Marshall</t>
        </is>
      </c>
      <c r="Q119" s="83" t="inlineStr">
        <is>
          <t>https://letterboxd.com/search/Forgetting%20Sarah%20Marshall/</t>
        </is>
      </c>
      <c r="R119" s="83" t="inlineStr">
        <is>
          <t>https://www.metacritic.com/search/Forgetting+Sarah+Marshall/</t>
        </is>
      </c>
    </row>
    <row r="120" ht="15.75" customHeight="1" s="108">
      <c r="A120" s="83" t="inlineStr">
        <is>
          <t>F0116</t>
        </is>
      </c>
      <c r="B120" s="83" t="inlineStr">
        <is>
          <t>Frozen</t>
        </is>
      </c>
      <c r="C120" s="88" t="inlineStr">
        <is>
          <t>2013</t>
        </is>
      </c>
      <c r="D120" s="84" t="n"/>
      <c r="E120" s="89" t="n"/>
      <c r="F120" s="90" t="n"/>
      <c r="G120" s="91" t="n"/>
      <c r="H120" s="91" t="n"/>
      <c r="I120" s="92" t="n"/>
      <c r="J120" s="91" t="n"/>
      <c r="K120" s="89" t="n"/>
      <c r="L120" s="89">
        <f>IF(COUNT(E120,G120,H120,I120,J120,K120)=0,"",ROUND((IF(E120="",0,E120*10)+IF(G120="",0,G120)+IF(H120="",0,H120)+IF(I120="",0,I120*20)+IF(J120="",0,J120)+IF(K120="",0,K120*10))/COUNT(E120,G120,H120,I120,J120,K120),1))</f>
        <v/>
      </c>
      <c r="M120" s="83">
        <f>IF(L120="","",IF(L120&gt;=85,"Excellent",IF(L120&gt;=70,"Good",IF(L120&gt;=55,"Mixed","Poor"))))</f>
        <v/>
      </c>
      <c r="N120" s="96" t="n"/>
      <c r="O120" s="83" t="inlineStr">
        <is>
          <t>https://www.imdb.com/find/?q=Frozen+2013</t>
        </is>
      </c>
      <c r="P120" s="83" t="inlineStr">
        <is>
          <t>https://www.rottentomatoes.com/search?search=Frozen</t>
        </is>
      </c>
      <c r="Q120" s="83" t="inlineStr">
        <is>
          <t>https://letterboxd.com/search/Frozen/</t>
        </is>
      </c>
      <c r="R120" s="83" t="inlineStr">
        <is>
          <t>https://www.metacritic.com/search/Frozen/</t>
        </is>
      </c>
    </row>
    <row r="121" ht="15.75" customHeight="1" s="108">
      <c r="A121" s="83" t="inlineStr">
        <is>
          <t>F0117</t>
        </is>
      </c>
      <c r="B121" s="83" t="inlineStr">
        <is>
          <t>Fury</t>
        </is>
      </c>
      <c r="C121" s="88" t="inlineStr">
        <is>
          <t>2014</t>
        </is>
      </c>
      <c r="D121" s="84" t="n"/>
      <c r="E121" s="89" t="n"/>
      <c r="F121" s="90" t="n"/>
      <c r="G121" s="91" t="n"/>
      <c r="H121" s="91" t="n"/>
      <c r="I121" s="92" t="n"/>
      <c r="J121" s="91" t="n"/>
      <c r="K121" s="89" t="n"/>
      <c r="L121" s="89">
        <f>IF(COUNT(E121,G121,H121,I121,J121,K121)=0,"",ROUND((IF(E121="",0,E121*10)+IF(G121="",0,G121)+IF(H121="",0,H121)+IF(I121="",0,I121*20)+IF(J121="",0,J121)+IF(K121="",0,K121*10))/COUNT(E121,G121,H121,I121,J121,K121),1))</f>
        <v/>
      </c>
      <c r="M121" s="83">
        <f>IF(L121="","",IF(L121&gt;=85,"Excellent",IF(L121&gt;=70,"Good",IF(L121&gt;=55,"Mixed","Poor"))))</f>
        <v/>
      </c>
      <c r="N121" s="96" t="n"/>
      <c r="O121" s="83" t="inlineStr">
        <is>
          <t>https://www.imdb.com/find/?q=Fury+2014</t>
        </is>
      </c>
      <c r="P121" s="83" t="inlineStr">
        <is>
          <t>https://www.rottentomatoes.com/search?search=Fury</t>
        </is>
      </c>
      <c r="Q121" s="83" t="inlineStr">
        <is>
          <t>https://letterboxd.com/search/Fury/</t>
        </is>
      </c>
      <c r="R121" s="83" t="inlineStr">
        <is>
          <t>https://www.metacritic.com/search/Fury/</t>
        </is>
      </c>
    </row>
    <row r="122" ht="15.75" customHeight="1" s="108">
      <c r="A122" s="83" t="inlineStr">
        <is>
          <t>F0118</t>
        </is>
      </c>
      <c r="B122" s="83" t="inlineStr">
        <is>
          <t>G.I. Joe: The Rise of Cobra</t>
        </is>
      </c>
      <c r="C122" s="88" t="inlineStr">
        <is>
          <t>2009</t>
        </is>
      </c>
      <c r="D122" s="84" t="n"/>
      <c r="E122" s="89" t="n"/>
      <c r="F122" s="90" t="n"/>
      <c r="G122" s="91" t="n"/>
      <c r="H122" s="91" t="n"/>
      <c r="I122" s="92" t="n"/>
      <c r="J122" s="91" t="n"/>
      <c r="K122" s="89" t="n"/>
      <c r="L122" s="89">
        <f>IF(COUNT(E122,G122,H122,I122,J122,K122)=0,"",ROUND((IF(E122="",0,E122*10)+IF(G122="",0,G122)+IF(H122="",0,H122)+IF(I122="",0,I122*20)+IF(J122="",0,J122)+IF(K122="",0,K122*10))/COUNT(E122,G122,H122,I122,J122,K122),1))</f>
        <v/>
      </c>
      <c r="M122" s="83">
        <f>IF(L122="","",IF(L122&gt;=85,"Excellent",IF(L122&gt;=70,"Good",IF(L122&gt;=55,"Mixed","Poor"))))</f>
        <v/>
      </c>
      <c r="N122" s="96" t="n"/>
      <c r="O122" s="83" t="inlineStr">
        <is>
          <t>https://www.imdb.com/find/?q=G.I.+Joe%3A+The+Rise+of+Cobra+2009</t>
        </is>
      </c>
      <c r="P122" s="83" t="inlineStr">
        <is>
          <t>https://www.rottentomatoes.com/search?search=G.I.+Joe%3A+The+Rise+of+Cobra</t>
        </is>
      </c>
      <c r="Q122" s="83" t="inlineStr">
        <is>
          <t>https://letterboxd.com/search/G.I.%20Joe%3A%20The%20Rise%20of%20Cobra/</t>
        </is>
      </c>
      <c r="R122" s="83" t="inlineStr">
        <is>
          <t>https://www.metacritic.com/search/G.I.+Joe%3A+The+Rise+of+Cobra/</t>
        </is>
      </c>
    </row>
    <row r="123" ht="15.75" customHeight="1" s="108">
      <c r="A123" s="83" t="inlineStr">
        <is>
          <t>F0119</t>
        </is>
      </c>
      <c r="B123" s="83" t="inlineStr">
        <is>
          <t>The Gentlemen</t>
        </is>
      </c>
      <c r="C123" s="88" t="inlineStr">
        <is>
          <t>2020</t>
        </is>
      </c>
      <c r="D123" s="84" t="n"/>
      <c r="E123" s="89" t="n"/>
      <c r="F123" s="90" t="n"/>
      <c r="G123" s="91" t="n"/>
      <c r="H123" s="91" t="n"/>
      <c r="I123" s="92" t="n"/>
      <c r="J123" s="91" t="n"/>
      <c r="K123" s="89" t="n"/>
      <c r="L123" s="89">
        <f>IF(COUNT(E123,G123,H123,I123,J123,K123)=0,"",ROUND((IF(E123="",0,E123*10)+IF(G123="",0,G123)+IF(H123="",0,H123)+IF(I123="",0,I123*20)+IF(J123="",0,J123)+IF(K123="",0,K123*10))/COUNT(E123,G123,H123,I123,J123,K123),1))</f>
        <v/>
      </c>
      <c r="M123" s="83">
        <f>IF(L123="","",IF(L123&gt;=85,"Excellent",IF(L123&gt;=70,"Good",IF(L123&gt;=55,"Mixed","Poor"))))</f>
        <v/>
      </c>
      <c r="N123" s="96" t="n"/>
      <c r="O123" s="83" t="inlineStr">
        <is>
          <t>https://www.imdb.com/find/?q=The+Gentlemen+2020</t>
        </is>
      </c>
      <c r="P123" s="83" t="inlineStr">
        <is>
          <t>https://www.rottentomatoes.com/search?search=The+Gentlemen</t>
        </is>
      </c>
      <c r="Q123" s="83" t="inlineStr">
        <is>
          <t>https://letterboxd.com/search/The%20Gentlemen/</t>
        </is>
      </c>
      <c r="R123" s="83" t="inlineStr">
        <is>
          <t>https://www.metacritic.com/search/The+Gentlemen/</t>
        </is>
      </c>
    </row>
    <row r="124" ht="15.75" customHeight="1" s="108">
      <c r="A124" s="83" t="inlineStr">
        <is>
          <t>F0120</t>
        </is>
      </c>
      <c r="B124" s="83" t="inlineStr">
        <is>
          <t>The Girl with the Dragon Tattoo</t>
        </is>
      </c>
      <c r="C124" s="88" t="inlineStr">
        <is>
          <t>2011</t>
        </is>
      </c>
      <c r="D124" s="84" t="n"/>
      <c r="E124" s="89" t="n"/>
      <c r="F124" s="90" t="n"/>
      <c r="G124" s="91" t="n"/>
      <c r="H124" s="91" t="n"/>
      <c r="I124" s="92" t="n"/>
      <c r="J124" s="91" t="n"/>
      <c r="K124" s="89" t="n"/>
      <c r="L124" s="89">
        <f>IF(COUNT(E124,G124,H124,I124,J124,K124)=0,"",ROUND((IF(E124="",0,E124*10)+IF(G124="",0,G124)+IF(H124="",0,H124)+IF(I124="",0,I124*20)+IF(J124="",0,J124)+IF(K124="",0,K124*10))/COUNT(E124,G124,H124,I124,J124,K124),1))</f>
        <v/>
      </c>
      <c r="M124" s="83">
        <f>IF(L124="","",IF(L124&gt;=85,"Excellent",IF(L124&gt;=70,"Good",IF(L124&gt;=55,"Mixed","Poor"))))</f>
        <v/>
      </c>
      <c r="N124" s="96" t="n"/>
      <c r="O124" s="83" t="inlineStr">
        <is>
          <t>https://www.imdb.com/find/?q=The+Girl+with+the+Dragon+Tattoo+2011</t>
        </is>
      </c>
      <c r="P124" s="83" t="inlineStr">
        <is>
          <t>https://www.rottentomatoes.com/search?search=The+Girl+with+the+Dragon+Tattoo</t>
        </is>
      </c>
      <c r="Q124" s="83" t="inlineStr">
        <is>
          <t>https://letterboxd.com/search/The%20Girl%20with%20the%20Dragon%20Tattoo/</t>
        </is>
      </c>
      <c r="R124" s="83" t="inlineStr">
        <is>
          <t>https://www.metacritic.com/search/The+Girl+with+the+Dragon+Tattoo/</t>
        </is>
      </c>
    </row>
    <row r="125" ht="15.75" customHeight="1" s="108">
      <c r="A125" s="83" t="inlineStr">
        <is>
          <t>F0121</t>
        </is>
      </c>
      <c r="B125" s="83" t="inlineStr">
        <is>
          <t>Godzilla</t>
        </is>
      </c>
      <c r="C125" s="88" t="inlineStr">
        <is>
          <t>2014</t>
        </is>
      </c>
      <c r="D125" s="84" t="n"/>
      <c r="E125" s="89" t="n"/>
      <c r="F125" s="90" t="n"/>
      <c r="G125" s="91" t="n"/>
      <c r="H125" s="91" t="n"/>
      <c r="I125" s="92" t="n"/>
      <c r="J125" s="91" t="n"/>
      <c r="K125" s="89" t="n"/>
      <c r="L125" s="89">
        <f>IF(COUNT(E125,G125,H125,I125,J125,K125)=0,"",ROUND((IF(E125="",0,E125*10)+IF(G125="",0,G125)+IF(H125="",0,H125)+IF(I125="",0,I125*20)+IF(J125="",0,J125)+IF(K125="",0,K125*10))/COUNT(E125,G125,H125,I125,J125,K125),1))</f>
        <v/>
      </c>
      <c r="M125" s="83">
        <f>IF(L125="","",IF(L125&gt;=85,"Excellent",IF(L125&gt;=70,"Good",IF(L125&gt;=55,"Mixed","Poor"))))</f>
        <v/>
      </c>
      <c r="N125" s="96" t="n"/>
      <c r="O125" s="83" t="inlineStr">
        <is>
          <t>https://www.imdb.com/find/?q=Godzilla+2014</t>
        </is>
      </c>
      <c r="P125" s="83" t="inlineStr">
        <is>
          <t>https://www.rottentomatoes.com/search?search=Godzilla</t>
        </is>
      </c>
      <c r="Q125" s="83" t="inlineStr">
        <is>
          <t>https://letterboxd.com/search/Godzilla/</t>
        </is>
      </c>
      <c r="R125" s="83" t="inlineStr">
        <is>
          <t>https://www.metacritic.com/search/Godzilla/</t>
        </is>
      </c>
    </row>
    <row r="126" ht="15.75" customHeight="1" s="108">
      <c r="A126" s="83" t="inlineStr">
        <is>
          <t>F0122</t>
        </is>
      </c>
      <c r="B126" s="83" t="inlineStr">
        <is>
          <t>Godzilla: King of the Monsters</t>
        </is>
      </c>
      <c r="C126" s="88" t="inlineStr">
        <is>
          <t>2019</t>
        </is>
      </c>
      <c r="D126" s="84" t="n"/>
      <c r="E126" s="89" t="n"/>
      <c r="F126" s="90" t="n"/>
      <c r="G126" s="91" t="n"/>
      <c r="H126" s="91" t="n"/>
      <c r="I126" s="92" t="n"/>
      <c r="J126" s="91" t="n"/>
      <c r="K126" s="89" t="n"/>
      <c r="L126" s="89">
        <f>IF(COUNT(E126,G126,H126,I126,J126,K126)=0,"",ROUND((IF(E126="",0,E126*10)+IF(G126="",0,G126)+IF(H126="",0,H126)+IF(I126="",0,I126*20)+IF(J126="",0,J126)+IF(K126="",0,K126*10))/COUNT(E126,G126,H126,I126,J126,K126),1))</f>
        <v/>
      </c>
      <c r="M126" s="83">
        <f>IF(L126="","",IF(L126&gt;=85,"Excellent",IF(L126&gt;=70,"Good",IF(L126&gt;=55,"Mixed","Poor"))))</f>
        <v/>
      </c>
      <c r="N126" s="96" t="n"/>
      <c r="O126" s="83" t="inlineStr">
        <is>
          <t>https://www.imdb.com/find/?q=Godzilla%3A+King+of+the+Monsters+2019</t>
        </is>
      </c>
      <c r="P126" s="83" t="inlineStr">
        <is>
          <t>https://www.rottentomatoes.com/search?search=Godzilla%3A+King+of+the+Monsters</t>
        </is>
      </c>
      <c r="Q126" s="83" t="inlineStr">
        <is>
          <t>https://letterboxd.com/search/Godzilla%3A%20King%20of%20the%20Monsters/</t>
        </is>
      </c>
      <c r="R126" s="83" t="inlineStr">
        <is>
          <t>https://www.metacritic.com/search/Godzilla%3A+King+of+the+Monsters/</t>
        </is>
      </c>
    </row>
    <row r="127" ht="15.75" customHeight="1" s="108">
      <c r="A127" s="83" t="inlineStr">
        <is>
          <t>F0123</t>
        </is>
      </c>
      <c r="B127" s="83" t="inlineStr">
        <is>
          <t>Godzilla vs. Kong</t>
        </is>
      </c>
      <c r="C127" s="88" t="inlineStr">
        <is>
          <t>2021</t>
        </is>
      </c>
      <c r="D127" s="84" t="n"/>
      <c r="E127" s="89" t="n"/>
      <c r="F127" s="90" t="n"/>
      <c r="G127" s="91" t="n"/>
      <c r="H127" s="91" t="n"/>
      <c r="I127" s="92" t="n"/>
      <c r="J127" s="91" t="n"/>
      <c r="K127" s="89" t="n"/>
      <c r="L127" s="89">
        <f>IF(COUNT(E127,G127,H127,I127,J127,K127)=0,"",ROUND((IF(E127="",0,E127*10)+IF(G127="",0,G127)+IF(H127="",0,H127)+IF(I127="",0,I127*20)+IF(J127="",0,J127)+IF(K127="",0,K127*10))/COUNT(E127,G127,H127,I127,J127,K127),1))</f>
        <v/>
      </c>
      <c r="M127" s="83">
        <f>IF(L127="","",IF(L127&gt;=85,"Excellent",IF(L127&gt;=70,"Good",IF(L127&gt;=55,"Mixed","Poor"))))</f>
        <v/>
      </c>
      <c r="N127" s="96" t="n"/>
      <c r="O127" s="83" t="inlineStr">
        <is>
          <t>https://www.imdb.com/find/?q=Godzilla+vs.+Kong+2021</t>
        </is>
      </c>
      <c r="P127" s="83" t="inlineStr">
        <is>
          <t>https://www.rottentomatoes.com/search?search=Godzilla+vs.+Kong</t>
        </is>
      </c>
      <c r="Q127" s="83" t="inlineStr">
        <is>
          <t>https://letterboxd.com/search/Godzilla%20vs.%20Kong/</t>
        </is>
      </c>
      <c r="R127" s="83" t="inlineStr">
        <is>
          <t>https://www.metacritic.com/search/Godzilla+vs.+Kong/</t>
        </is>
      </c>
    </row>
    <row r="128" ht="15.75" customHeight="1" s="108">
      <c r="A128" s="83" t="inlineStr">
        <is>
          <t>F0124</t>
        </is>
      </c>
      <c r="B128" s="83" t="inlineStr">
        <is>
          <t>Good Will Hunting</t>
        </is>
      </c>
      <c r="C128" s="88" t="inlineStr">
        <is>
          <t>1997</t>
        </is>
      </c>
      <c r="D128" s="84" t="n"/>
      <c r="E128" s="89" t="n"/>
      <c r="F128" s="90" t="n"/>
      <c r="G128" s="91" t="n"/>
      <c r="H128" s="91" t="n"/>
      <c r="I128" s="92" t="n"/>
      <c r="J128" s="91" t="n"/>
      <c r="K128" s="89" t="n"/>
      <c r="L128" s="89">
        <f>IF(COUNT(E128,G128,H128,I128,J128,K128)=0,"",ROUND((IF(E128="",0,E128*10)+IF(G128="",0,G128)+IF(H128="",0,H128)+IF(I128="",0,I128*20)+IF(J128="",0,J128)+IF(K128="",0,K128*10))/COUNT(E128,G128,H128,I128,J128,K128),1))</f>
        <v/>
      </c>
      <c r="M128" s="83">
        <f>IF(L128="","",IF(L128&gt;=85,"Excellent",IF(L128&gt;=70,"Good",IF(L128&gt;=55,"Mixed","Poor"))))</f>
        <v/>
      </c>
      <c r="N128" s="96" t="n"/>
      <c r="O128" s="83" t="inlineStr">
        <is>
          <t>https://www.imdb.com/find/?q=Good+Will+Hunting+1997</t>
        </is>
      </c>
      <c r="P128" s="83" t="inlineStr">
        <is>
          <t>https://www.rottentomatoes.com/search?search=Good+Will+Hunting</t>
        </is>
      </c>
      <c r="Q128" s="83" t="inlineStr">
        <is>
          <t>https://letterboxd.com/search/Good%20Will%20Hunting/</t>
        </is>
      </c>
      <c r="R128" s="83" t="inlineStr">
        <is>
          <t>https://www.metacritic.com/search/Good+Will+Hunting/</t>
        </is>
      </c>
    </row>
    <row r="129" ht="15.75" customHeight="1" s="108">
      <c r="A129" s="83" t="inlineStr">
        <is>
          <t>F0125</t>
        </is>
      </c>
      <c r="B129" s="83" t="inlineStr">
        <is>
          <t>Gran Torino</t>
        </is>
      </c>
      <c r="C129" s="88" t="inlineStr">
        <is>
          <t>2008</t>
        </is>
      </c>
      <c r="D129" s="84" t="n"/>
      <c r="E129" s="89" t="n"/>
      <c r="F129" s="90" t="n"/>
      <c r="G129" s="91" t="n"/>
      <c r="H129" s="91" t="n"/>
      <c r="I129" s="92" t="n"/>
      <c r="J129" s="91" t="n"/>
      <c r="K129" s="89" t="n"/>
      <c r="L129" s="89">
        <f>IF(COUNT(E129,G129,H129,I129,J129,K129)=0,"",ROUND((IF(E129="",0,E129*10)+IF(G129="",0,G129)+IF(H129="",0,H129)+IF(I129="",0,I129*20)+IF(J129="",0,J129)+IF(K129="",0,K129*10))/COUNT(E129,G129,H129,I129,J129,K129),1))</f>
        <v/>
      </c>
      <c r="M129" s="83">
        <f>IF(L129="","",IF(L129&gt;=85,"Excellent",IF(L129&gt;=70,"Good",IF(L129&gt;=55,"Mixed","Poor"))))</f>
        <v/>
      </c>
      <c r="N129" s="96" t="n"/>
      <c r="O129" s="83" t="inlineStr">
        <is>
          <t>https://www.imdb.com/find/?q=Gran+Torino+2008</t>
        </is>
      </c>
      <c r="P129" s="83" t="inlineStr">
        <is>
          <t>https://www.rottentomatoes.com/search?search=Gran+Torino</t>
        </is>
      </c>
      <c r="Q129" s="83" t="inlineStr">
        <is>
          <t>https://letterboxd.com/search/Gran%20Torino/</t>
        </is>
      </c>
      <c r="R129" s="83" t="inlineStr">
        <is>
          <t>https://www.metacritic.com/search/Gran+Torino/</t>
        </is>
      </c>
    </row>
    <row r="130" ht="15.75" customHeight="1" s="108">
      <c r="A130" s="83" t="inlineStr">
        <is>
          <t>F0126</t>
        </is>
      </c>
      <c r="B130" s="83" t="inlineStr">
        <is>
          <t>The Great Gatsby</t>
        </is>
      </c>
      <c r="C130" s="88" t="inlineStr">
        <is>
          <t>2013</t>
        </is>
      </c>
      <c r="D130" s="84" t="n"/>
      <c r="E130" s="89" t="n"/>
      <c r="F130" s="90" t="n"/>
      <c r="G130" s="91" t="n"/>
      <c r="H130" s="91" t="n"/>
      <c r="I130" s="92" t="n"/>
      <c r="J130" s="91" t="n"/>
      <c r="K130" s="89" t="n"/>
      <c r="L130" s="89">
        <f>IF(COUNT(E130,G130,H130,I130,J130,K130)=0,"",ROUND((IF(E130="",0,E130*10)+IF(G130="",0,G130)+IF(H130="",0,H130)+IF(I130="",0,I130*20)+IF(J130="",0,J130)+IF(K130="",0,K130*10))/COUNT(E130,G130,H130,I130,J130,K130),1))</f>
        <v/>
      </c>
      <c r="M130" s="83">
        <f>IF(L130="","",IF(L130&gt;=85,"Excellent",IF(L130&gt;=70,"Good",IF(L130&gt;=55,"Mixed","Poor"))))</f>
        <v/>
      </c>
      <c r="N130" s="96" t="n"/>
      <c r="O130" s="83" t="inlineStr">
        <is>
          <t>https://www.imdb.com/find/?q=The+Great+Gatsby+2013</t>
        </is>
      </c>
      <c r="P130" s="83" t="inlineStr">
        <is>
          <t>https://www.rottentomatoes.com/search?search=The+Great+Gatsby</t>
        </is>
      </c>
      <c r="Q130" s="83" t="inlineStr">
        <is>
          <t>https://letterboxd.com/search/The%20Great%20Gatsby/</t>
        </is>
      </c>
      <c r="R130" s="83" t="inlineStr">
        <is>
          <t>https://www.metacritic.com/search/The+Great+Gatsby/</t>
        </is>
      </c>
    </row>
    <row r="131" ht="15.75" customHeight="1" s="108">
      <c r="A131" s="83" t="inlineStr">
        <is>
          <t>F0127</t>
        </is>
      </c>
      <c r="B131" s="83" t="inlineStr">
        <is>
          <t>The Greatest Showman</t>
        </is>
      </c>
      <c r="C131" s="88" t="inlineStr">
        <is>
          <t>2017</t>
        </is>
      </c>
      <c r="D131" s="84" t="n"/>
      <c r="E131" s="89" t="n"/>
      <c r="F131" s="90" t="n"/>
      <c r="G131" s="91" t="n"/>
      <c r="H131" s="91" t="n"/>
      <c r="I131" s="92" t="n"/>
      <c r="J131" s="91" t="n"/>
      <c r="K131" s="89" t="n"/>
      <c r="L131" s="89">
        <f>IF(COUNT(E131,G131,H131,I131,J131,K131)=0,"",ROUND((IF(E131="",0,E131*10)+IF(G131="",0,G131)+IF(H131="",0,H131)+IF(I131="",0,I131*20)+IF(J131="",0,J131)+IF(K131="",0,K131*10))/COUNT(E131,G131,H131,I131,J131,K131),1))</f>
        <v/>
      </c>
      <c r="M131" s="83">
        <f>IF(L131="","",IF(L131&gt;=85,"Excellent",IF(L131&gt;=70,"Good",IF(L131&gt;=55,"Mixed","Poor"))))</f>
        <v/>
      </c>
      <c r="N131" s="96" t="n"/>
      <c r="O131" s="83" t="inlineStr">
        <is>
          <t>https://www.imdb.com/find/?q=The+Greatest+Showman+2017</t>
        </is>
      </c>
      <c r="P131" s="83" t="inlineStr">
        <is>
          <t>https://www.rottentomatoes.com/search?search=The+Greatest+Showman</t>
        </is>
      </c>
      <c r="Q131" s="83" t="inlineStr">
        <is>
          <t>https://letterboxd.com/search/The%20Greatest%20Showman/</t>
        </is>
      </c>
      <c r="R131" s="83" t="inlineStr">
        <is>
          <t>https://www.metacritic.com/search/The+Greatest+Showman/</t>
        </is>
      </c>
    </row>
    <row r="132" ht="15.75" customHeight="1" s="108">
      <c r="A132" s="83" t="inlineStr">
        <is>
          <t>F0128</t>
        </is>
      </c>
      <c r="B132" s="83" t="inlineStr">
        <is>
          <t>Green Lantern</t>
        </is>
      </c>
      <c r="C132" s="88" t="inlineStr">
        <is>
          <t>2011</t>
        </is>
      </c>
      <c r="D132" s="84" t="n"/>
      <c r="E132" s="89" t="n"/>
      <c r="F132" s="90" t="n"/>
      <c r="G132" s="91" t="n"/>
      <c r="H132" s="91" t="n"/>
      <c r="I132" s="92" t="n"/>
      <c r="J132" s="91" t="n"/>
      <c r="K132" s="89" t="n"/>
      <c r="L132" s="89">
        <f>IF(COUNT(E132,G132,H132,I132,J132,K132)=0,"",ROUND((IF(E132="",0,E132*10)+IF(G132="",0,G132)+IF(H132="",0,H132)+IF(I132="",0,I132*20)+IF(J132="",0,J132)+IF(K132="",0,K132*10))/COUNT(E132,G132,H132,I132,J132,K132),1))</f>
        <v/>
      </c>
      <c r="M132" s="83">
        <f>IF(L132="","",IF(L132&gt;=85,"Excellent",IF(L132&gt;=70,"Good",IF(L132&gt;=55,"Mixed","Poor"))))</f>
        <v/>
      </c>
      <c r="N132" s="96" t="n"/>
      <c r="O132" s="83" t="inlineStr">
        <is>
          <t>https://www.imdb.com/find/?q=Green+Lantern+2011</t>
        </is>
      </c>
      <c r="P132" s="83" t="inlineStr">
        <is>
          <t>https://www.rottentomatoes.com/search?search=Green+Lantern</t>
        </is>
      </c>
      <c r="Q132" s="83" t="inlineStr">
        <is>
          <t>https://letterboxd.com/search/Green%20Lantern/</t>
        </is>
      </c>
      <c r="R132" s="83" t="inlineStr">
        <is>
          <t>https://www.metacritic.com/search/Green+Lantern/</t>
        </is>
      </c>
    </row>
    <row r="133" ht="15.75" customHeight="1" s="108">
      <c r="A133" s="83" t="inlineStr">
        <is>
          <t>F0129</t>
        </is>
      </c>
      <c r="B133" s="83" t="inlineStr">
        <is>
          <t>Green Zone</t>
        </is>
      </c>
      <c r="C133" s="88" t="inlineStr">
        <is>
          <t>2010</t>
        </is>
      </c>
      <c r="D133" s="84" t="n"/>
      <c r="E133" s="89" t="n"/>
      <c r="F133" s="90" t="n"/>
      <c r="G133" s="91" t="n"/>
      <c r="H133" s="91" t="n"/>
      <c r="I133" s="92" t="n"/>
      <c r="J133" s="91" t="n"/>
      <c r="K133" s="89" t="n"/>
      <c r="L133" s="89">
        <f>IF(COUNT(E133,G133,H133,I133,J133,K133)=0,"",ROUND((IF(E133="",0,E133*10)+IF(G133="",0,G133)+IF(H133="",0,H133)+IF(I133="",0,I133*20)+IF(J133="",0,J133)+IF(K133="",0,K133*10))/COUNT(E133,G133,H133,I133,J133,K133),1))</f>
        <v/>
      </c>
      <c r="M133" s="83">
        <f>IF(L133="","",IF(L133&gt;=85,"Excellent",IF(L133&gt;=70,"Good",IF(L133&gt;=55,"Mixed","Poor"))))</f>
        <v/>
      </c>
      <c r="N133" s="96" t="n"/>
      <c r="O133" s="83" t="inlineStr">
        <is>
          <t>https://www.imdb.com/find/?q=Green+Zone+2010</t>
        </is>
      </c>
      <c r="P133" s="83" t="inlineStr">
        <is>
          <t>https://www.rottentomatoes.com/search?search=Green+Zone</t>
        </is>
      </c>
      <c r="Q133" s="83" t="inlineStr">
        <is>
          <t>https://letterboxd.com/search/Green%20Zone/</t>
        </is>
      </c>
      <c r="R133" s="83" t="inlineStr">
        <is>
          <t>https://www.metacritic.com/search/Green+Zone/</t>
        </is>
      </c>
    </row>
    <row r="134" ht="15.75" customHeight="1" s="108">
      <c r="A134" s="83" t="inlineStr">
        <is>
          <t>F0130</t>
        </is>
      </c>
      <c r="B134" s="83" t="inlineStr">
        <is>
          <t>Grimsby</t>
        </is>
      </c>
      <c r="C134" s="88" t="inlineStr">
        <is>
          <t>2016</t>
        </is>
      </c>
      <c r="D134" s="84" t="n"/>
      <c r="E134" s="89" t="n"/>
      <c r="F134" s="90" t="n"/>
      <c r="G134" s="91" t="n"/>
      <c r="H134" s="91" t="n"/>
      <c r="I134" s="92" t="n"/>
      <c r="J134" s="91" t="n"/>
      <c r="K134" s="89" t="n"/>
      <c r="L134" s="89">
        <f>IF(COUNT(E134,G134,H134,I134,J134,K134)=0,"",ROUND((IF(E134="",0,E134*10)+IF(G134="",0,G134)+IF(H134="",0,H134)+IF(I134="",0,I134*20)+IF(J134="",0,J134)+IF(K134="",0,K134*10))/COUNT(E134,G134,H134,I134,J134,K134),1))</f>
        <v/>
      </c>
      <c r="M134" s="83">
        <f>IF(L134="","",IF(L134&gt;=85,"Excellent",IF(L134&gt;=70,"Good",IF(L134&gt;=55,"Mixed","Poor"))))</f>
        <v/>
      </c>
      <c r="N134" s="96" t="n"/>
      <c r="O134" s="83" t="inlineStr">
        <is>
          <t>https://www.imdb.com/find/?q=Grimsby+2016</t>
        </is>
      </c>
      <c r="P134" s="83" t="inlineStr">
        <is>
          <t>https://www.rottentomatoes.com/search?search=Grimsby</t>
        </is>
      </c>
      <c r="Q134" s="83" t="inlineStr">
        <is>
          <t>https://letterboxd.com/search/Grimsby/</t>
        </is>
      </c>
      <c r="R134" s="83" t="inlineStr">
        <is>
          <t>https://www.metacritic.com/search/Grimsby/</t>
        </is>
      </c>
    </row>
    <row r="135" ht="15.75" customHeight="1" s="108">
      <c r="A135" s="83" t="inlineStr">
        <is>
          <t>F0131</t>
        </is>
      </c>
      <c r="B135" s="83" t="inlineStr">
        <is>
          <t>Grown Ups</t>
        </is>
      </c>
      <c r="C135" s="88" t="inlineStr">
        <is>
          <t>2010</t>
        </is>
      </c>
      <c r="D135" s="84" t="n"/>
      <c r="E135" s="89" t="n"/>
      <c r="F135" s="90" t="n"/>
      <c r="G135" s="91" t="n"/>
      <c r="H135" s="91" t="n"/>
      <c r="I135" s="92" t="n"/>
      <c r="J135" s="91" t="n"/>
      <c r="K135" s="89" t="n"/>
      <c r="L135" s="89">
        <f>IF(COUNT(E135,G135,H135,I135,J135,K135)=0,"",ROUND((IF(E135="",0,E135*10)+IF(G135="",0,G135)+IF(H135="",0,H135)+IF(I135="",0,I135*20)+IF(J135="",0,J135)+IF(K135="",0,K135*10))/COUNT(E135,G135,H135,I135,J135,K135),1))</f>
        <v/>
      </c>
      <c r="M135" s="83">
        <f>IF(L135="","",IF(L135&gt;=85,"Excellent",IF(L135&gt;=70,"Good",IF(L135&gt;=55,"Mixed","Poor"))))</f>
        <v/>
      </c>
      <c r="N135" s="96" t="n"/>
      <c r="O135" s="83" t="inlineStr">
        <is>
          <t>https://www.imdb.com/find/?q=Grown+Ups+2010</t>
        </is>
      </c>
      <c r="P135" s="83" t="inlineStr">
        <is>
          <t>https://www.rottentomatoes.com/search?search=Grown+Ups</t>
        </is>
      </c>
      <c r="Q135" s="83" t="inlineStr">
        <is>
          <t>https://letterboxd.com/search/Grown%20Ups/</t>
        </is>
      </c>
      <c r="R135" s="83" t="inlineStr">
        <is>
          <t>https://www.metacritic.com/search/Grown+Ups/</t>
        </is>
      </c>
    </row>
    <row r="136" ht="15.75" customHeight="1" s="108">
      <c r="A136" s="83" t="inlineStr">
        <is>
          <t>F0132</t>
        </is>
      </c>
      <c r="B136" s="83" t="inlineStr">
        <is>
          <t>Grown Ups 2</t>
        </is>
      </c>
      <c r="C136" s="88" t="inlineStr">
        <is>
          <t>2013</t>
        </is>
      </c>
      <c r="D136" s="84" t="n"/>
      <c r="E136" s="89" t="n"/>
      <c r="F136" s="90" t="n"/>
      <c r="G136" s="91" t="n"/>
      <c r="H136" s="91" t="n"/>
      <c r="I136" s="92" t="n"/>
      <c r="J136" s="91" t="n"/>
      <c r="K136" s="89" t="n"/>
      <c r="L136" s="89">
        <f>IF(COUNT(E136,G136,H136,I136,J136,K136)=0,"",ROUND((IF(E136="",0,E136*10)+IF(G136="",0,G136)+IF(H136="",0,H136)+IF(I136="",0,I136*20)+IF(J136="",0,J136)+IF(K136="",0,K136*10))/COUNT(E136,G136,H136,I136,J136,K136),1))</f>
        <v/>
      </c>
      <c r="M136" s="83">
        <f>IF(L136="","",IF(L136&gt;=85,"Excellent",IF(L136&gt;=70,"Good",IF(L136&gt;=55,"Mixed","Poor"))))</f>
        <v/>
      </c>
      <c r="N136" s="96" t="n"/>
      <c r="O136" s="83" t="inlineStr">
        <is>
          <t>https://www.imdb.com/find/?q=Grown+Ups+2+2013</t>
        </is>
      </c>
      <c r="P136" s="83" t="inlineStr">
        <is>
          <t>https://www.rottentomatoes.com/search?search=Grown+Ups+2</t>
        </is>
      </c>
      <c r="Q136" s="83" t="inlineStr">
        <is>
          <t>https://letterboxd.com/search/Grown%20Ups%202/</t>
        </is>
      </c>
      <c r="R136" s="83" t="inlineStr">
        <is>
          <t>https://www.metacritic.com/search/Grown+Ups+2/</t>
        </is>
      </c>
    </row>
    <row r="137" ht="15.75" customHeight="1" s="108">
      <c r="A137" s="83" t="inlineStr">
        <is>
          <t>F0133</t>
        </is>
      </c>
      <c r="B137" s="83" t="inlineStr">
        <is>
          <t>Hacksaw Ridge</t>
        </is>
      </c>
      <c r="C137" s="88" t="inlineStr">
        <is>
          <t>2016</t>
        </is>
      </c>
      <c r="D137" s="84" t="n"/>
      <c r="E137" s="89" t="n"/>
      <c r="F137" s="90" t="n"/>
      <c r="G137" s="91" t="n"/>
      <c r="H137" s="91" t="n"/>
      <c r="I137" s="92" t="n"/>
      <c r="J137" s="91" t="n"/>
      <c r="K137" s="89" t="n"/>
      <c r="L137" s="89">
        <f>IF(COUNT(E137,G137,H137,I137,J137,K137)=0,"",ROUND((IF(E137="",0,E137*10)+IF(G137="",0,G137)+IF(H137="",0,H137)+IF(I137="",0,I137*20)+IF(J137="",0,J137)+IF(K137="",0,K137*10))/COUNT(E137,G137,H137,I137,J137,K137),1))</f>
        <v/>
      </c>
      <c r="M137" s="83">
        <f>IF(L137="","",IF(L137&gt;=85,"Excellent",IF(L137&gt;=70,"Good",IF(L137&gt;=55,"Mixed","Poor"))))</f>
        <v/>
      </c>
      <c r="N137" s="96" t="n"/>
      <c r="O137" s="83" t="inlineStr">
        <is>
          <t>https://www.imdb.com/find/?q=Hacksaw+Ridge+2016</t>
        </is>
      </c>
      <c r="P137" s="83" t="inlineStr">
        <is>
          <t>https://www.rottentomatoes.com/search?search=Hacksaw+Ridge</t>
        </is>
      </c>
      <c r="Q137" s="83" t="inlineStr">
        <is>
          <t>https://letterboxd.com/search/Hacksaw%20Ridge/</t>
        </is>
      </c>
      <c r="R137" s="83" t="inlineStr">
        <is>
          <t>https://www.metacritic.com/search/Hacksaw+Ridge/</t>
        </is>
      </c>
    </row>
    <row r="138" ht="15.75" customHeight="1" s="108">
      <c r="A138" s="83" t="inlineStr">
        <is>
          <t>F0134</t>
        </is>
      </c>
      <c r="B138" s="83" t="inlineStr">
        <is>
          <t>The Hangover</t>
        </is>
      </c>
      <c r="C138" s="88" t="inlineStr">
        <is>
          <t>2009</t>
        </is>
      </c>
      <c r="D138" s="84" t="n"/>
      <c r="E138" s="89" t="n"/>
      <c r="F138" s="90" t="n"/>
      <c r="G138" s="91" t="n"/>
      <c r="H138" s="91" t="n"/>
      <c r="I138" s="92" t="n"/>
      <c r="J138" s="91" t="n"/>
      <c r="K138" s="89" t="n"/>
      <c r="L138" s="89">
        <f>IF(COUNT(E138,G138,H138,I138,J138,K138)=0,"",ROUND((IF(E138="",0,E138*10)+IF(G138="",0,G138)+IF(H138="",0,H138)+IF(I138="",0,I138*20)+IF(J138="",0,J138)+IF(K138="",0,K138*10))/COUNT(E138,G138,H138,I138,J138,K138),1))</f>
        <v/>
      </c>
      <c r="M138" s="83">
        <f>IF(L138="","",IF(L138&gt;=85,"Excellent",IF(L138&gt;=70,"Good",IF(L138&gt;=55,"Mixed","Poor"))))</f>
        <v/>
      </c>
      <c r="N138" s="96" t="n"/>
      <c r="O138" s="83" t="inlineStr">
        <is>
          <t>https://www.imdb.com/find/?q=The+Hangover+2009</t>
        </is>
      </c>
      <c r="P138" s="83" t="inlineStr">
        <is>
          <t>https://www.rottentomatoes.com/search?search=The+Hangover</t>
        </is>
      </c>
      <c r="Q138" s="83" t="inlineStr">
        <is>
          <t>https://letterboxd.com/search/The%20Hangover/</t>
        </is>
      </c>
      <c r="R138" s="83" t="inlineStr">
        <is>
          <t>https://www.metacritic.com/search/The+Hangover/</t>
        </is>
      </c>
    </row>
    <row r="139" ht="15.75" customHeight="1" s="108">
      <c r="A139" s="83" t="inlineStr">
        <is>
          <t>F0135</t>
        </is>
      </c>
      <c r="B139" s="83" t="inlineStr">
        <is>
          <t>The Hangover Part II</t>
        </is>
      </c>
      <c r="C139" s="88" t="inlineStr">
        <is>
          <t>2011</t>
        </is>
      </c>
      <c r="D139" s="84" t="n"/>
      <c r="E139" s="89" t="n"/>
      <c r="F139" s="90" t="n"/>
      <c r="G139" s="91" t="n"/>
      <c r="H139" s="91" t="n"/>
      <c r="I139" s="92" t="n"/>
      <c r="J139" s="91" t="n"/>
      <c r="K139" s="89" t="n"/>
      <c r="L139" s="89">
        <f>IF(COUNT(E139,G139,H139,I139,J139,K139)=0,"",ROUND((IF(E139="",0,E139*10)+IF(G139="",0,G139)+IF(H139="",0,H139)+IF(I139="",0,I139*20)+IF(J139="",0,J139)+IF(K139="",0,K139*10))/COUNT(E139,G139,H139,I139,J139,K139),1))</f>
        <v/>
      </c>
      <c r="M139" s="83">
        <f>IF(L139="","",IF(L139&gt;=85,"Excellent",IF(L139&gt;=70,"Good",IF(L139&gt;=55,"Mixed","Poor"))))</f>
        <v/>
      </c>
      <c r="N139" s="96" t="n"/>
      <c r="O139" s="83" t="inlineStr">
        <is>
          <t>https://www.imdb.com/find/?q=The+Hangover+Part+II+2011</t>
        </is>
      </c>
      <c r="P139" s="83" t="inlineStr">
        <is>
          <t>https://www.rottentomatoes.com/search?search=The+Hangover+Part+II</t>
        </is>
      </c>
      <c r="Q139" s="83" t="inlineStr">
        <is>
          <t>https://letterboxd.com/search/The%20Hangover%20Part%20II/</t>
        </is>
      </c>
      <c r="R139" s="83" t="inlineStr">
        <is>
          <t>https://www.metacritic.com/search/The+Hangover+Part+II/</t>
        </is>
      </c>
    </row>
    <row r="140" ht="15.75" customHeight="1" s="108">
      <c r="A140" s="83" t="inlineStr">
        <is>
          <t>F0136</t>
        </is>
      </c>
      <c r="B140" s="83" t="inlineStr">
        <is>
          <t>The Hangover Part III</t>
        </is>
      </c>
      <c r="C140" s="88" t="inlineStr">
        <is>
          <t>2013</t>
        </is>
      </c>
      <c r="D140" s="84" t="n"/>
      <c r="E140" s="89" t="n"/>
      <c r="F140" s="90" t="n"/>
      <c r="G140" s="91" t="n"/>
      <c r="H140" s="91" t="n"/>
      <c r="I140" s="92" t="n"/>
      <c r="J140" s="91" t="n"/>
      <c r="K140" s="89" t="n"/>
      <c r="L140" s="89">
        <f>IF(COUNT(E140,G140,H140,I140,J140,K140)=0,"",ROUND((IF(E140="",0,E140*10)+IF(G140="",0,G140)+IF(H140="",0,H140)+IF(I140="",0,I140*20)+IF(J140="",0,J140)+IF(K140="",0,K140*10))/COUNT(E140,G140,H140,I140,J140,K140),1))</f>
        <v/>
      </c>
      <c r="M140" s="83">
        <f>IF(L140="","",IF(L140&gt;=85,"Excellent",IF(L140&gt;=70,"Good",IF(L140&gt;=55,"Mixed","Poor"))))</f>
        <v/>
      </c>
      <c r="N140" s="96" t="n"/>
      <c r="O140" s="83" t="inlineStr">
        <is>
          <t>https://www.imdb.com/find/?q=The+Hangover+Part+III+2013</t>
        </is>
      </c>
      <c r="P140" s="83" t="inlineStr">
        <is>
          <t>https://www.rottentomatoes.com/search?search=The+Hangover+Part+III</t>
        </is>
      </c>
      <c r="Q140" s="83" t="inlineStr">
        <is>
          <t>https://letterboxd.com/search/The%20Hangover%20Part%20III/</t>
        </is>
      </c>
      <c r="R140" s="83" t="inlineStr">
        <is>
          <t>https://www.metacritic.com/search/The+Hangover+Part+III/</t>
        </is>
      </c>
    </row>
    <row r="141" ht="15.75" customHeight="1" s="108">
      <c r="A141" s="83" t="inlineStr">
        <is>
          <t>F0137</t>
        </is>
      </c>
      <c r="B141" s="83" t="inlineStr">
        <is>
          <t>Harry Potter and the Philosopher's Stone</t>
        </is>
      </c>
      <c r="C141" s="88" t="inlineStr">
        <is>
          <t>2001</t>
        </is>
      </c>
      <c r="D141" s="84" t="n"/>
      <c r="E141" s="89" t="n"/>
      <c r="F141" s="90" t="n"/>
      <c r="G141" s="91" t="n"/>
      <c r="H141" s="91" t="n"/>
      <c r="I141" s="92" t="n"/>
      <c r="J141" s="91" t="n"/>
      <c r="K141" s="89" t="n"/>
      <c r="L141" s="89">
        <f>IF(COUNT(E141,G141,H141,I141,J141,K141)=0,"",ROUND((IF(E141="",0,E141*10)+IF(G141="",0,G141)+IF(H141="",0,H141)+IF(I141="",0,I141*20)+IF(J141="",0,J141)+IF(K141="",0,K141*10))/COUNT(E141,G141,H141,I141,J141,K141),1))</f>
        <v/>
      </c>
      <c r="M141" s="83">
        <f>IF(L141="","",IF(L141&gt;=85,"Excellent",IF(L141&gt;=70,"Good",IF(L141&gt;=55,"Mixed","Poor"))))</f>
        <v/>
      </c>
      <c r="N141" s="96" t="n"/>
      <c r="O141" s="83" t="inlineStr">
        <is>
          <t>https://www.imdb.com/find/?q=Harry+Potter+and+the+Philosopher%27s+Stone+2001</t>
        </is>
      </c>
      <c r="P141" s="83" t="inlineStr">
        <is>
          <t>https://www.rottentomatoes.com/search?search=Harry+Potter+and+the+Philosopher%27s+Stone</t>
        </is>
      </c>
      <c r="Q141" s="83" t="inlineStr">
        <is>
          <t>https://letterboxd.com/search/Harry%20Potter%20and%20the%20Philosopher%27s%20Stone/</t>
        </is>
      </c>
      <c r="R141" s="83" t="inlineStr">
        <is>
          <t>https://www.metacritic.com/search/Harry+Potter+and+the+Philosopher%27s+Stone/</t>
        </is>
      </c>
    </row>
    <row r="142" ht="15.75" customHeight="1" s="108">
      <c r="A142" s="83" t="inlineStr">
        <is>
          <t>F0138</t>
        </is>
      </c>
      <c r="B142" s="83" t="inlineStr">
        <is>
          <t>Harry Potter and the Chamber of Secrets</t>
        </is>
      </c>
      <c r="C142" s="88" t="inlineStr">
        <is>
          <t>2002</t>
        </is>
      </c>
      <c r="D142" s="84" t="n"/>
      <c r="E142" s="89" t="n"/>
      <c r="F142" s="90" t="n"/>
      <c r="G142" s="91" t="n"/>
      <c r="H142" s="91" t="n"/>
      <c r="I142" s="92" t="n"/>
      <c r="J142" s="91" t="n"/>
      <c r="K142" s="89" t="n"/>
      <c r="L142" s="89">
        <f>IF(COUNT(E142,G142,H142,I142,J142,K142)=0,"",ROUND((IF(E142="",0,E142*10)+IF(G142="",0,G142)+IF(H142="",0,H142)+IF(I142="",0,I142*20)+IF(J142="",0,J142)+IF(K142="",0,K142*10))/COUNT(E142,G142,H142,I142,J142,K142),1))</f>
        <v/>
      </c>
      <c r="M142" s="83">
        <f>IF(L142="","",IF(L142&gt;=85,"Excellent",IF(L142&gt;=70,"Good",IF(L142&gt;=55,"Mixed","Poor"))))</f>
        <v/>
      </c>
      <c r="N142" s="96" t="n"/>
      <c r="O142" s="83" t="inlineStr">
        <is>
          <t>https://www.imdb.com/find/?q=Harry+Potter+and+the+Chamber+of+Secrets+2002</t>
        </is>
      </c>
      <c r="P142" s="83" t="inlineStr">
        <is>
          <t>https://www.rottentomatoes.com/search?search=Harry+Potter+and+the+Chamber+of+Secrets</t>
        </is>
      </c>
      <c r="Q142" s="83" t="inlineStr">
        <is>
          <t>https://letterboxd.com/search/Harry%20Potter%20and%20the%20Chamber%20of%20Secrets/</t>
        </is>
      </c>
      <c r="R142" s="83" t="inlineStr">
        <is>
          <t>https://www.metacritic.com/search/Harry+Potter+and+the+Chamber+of+Secrets/</t>
        </is>
      </c>
    </row>
    <row r="143" ht="15.75" customHeight="1" s="108">
      <c r="A143" s="83" t="inlineStr">
        <is>
          <t>F0139</t>
        </is>
      </c>
      <c r="B143" s="83" t="inlineStr">
        <is>
          <t>Harry Potter and the Prisoner of Azkaban</t>
        </is>
      </c>
      <c r="C143" s="88" t="inlineStr">
        <is>
          <t>2004</t>
        </is>
      </c>
      <c r="D143" s="84" t="n"/>
      <c r="E143" s="89" t="n"/>
      <c r="F143" s="90" t="n"/>
      <c r="G143" s="91" t="n"/>
      <c r="H143" s="91" t="n"/>
      <c r="I143" s="92" t="n"/>
      <c r="J143" s="91" t="n"/>
      <c r="K143" s="89" t="n"/>
      <c r="L143" s="89">
        <f>IF(COUNT(E143,G143,H143,I143,J143,K143)=0,"",ROUND((IF(E143="",0,E143*10)+IF(G143="",0,G143)+IF(H143="",0,H143)+IF(I143="",0,I143*20)+IF(J143="",0,J143)+IF(K143="",0,K143*10))/COUNT(E143,G143,H143,I143,J143,K143),1))</f>
        <v/>
      </c>
      <c r="M143" s="83">
        <f>IF(L143="","",IF(L143&gt;=85,"Excellent",IF(L143&gt;=70,"Good",IF(L143&gt;=55,"Mixed","Poor"))))</f>
        <v/>
      </c>
      <c r="N143" s="96" t="n"/>
      <c r="O143" s="83" t="inlineStr">
        <is>
          <t>https://www.imdb.com/find/?q=Harry+Potter+and+the+Prisoner+of+Azkaban+2004</t>
        </is>
      </c>
      <c r="P143" s="83" t="inlineStr">
        <is>
          <t>https://www.rottentomatoes.com/search?search=Harry+Potter+and+the+Prisoner+of+Azkaban</t>
        </is>
      </c>
      <c r="Q143" s="83" t="inlineStr">
        <is>
          <t>https://letterboxd.com/search/Harry%20Potter%20and%20the%20Prisoner%20of%20Azkaban/</t>
        </is>
      </c>
      <c r="R143" s="83" t="inlineStr">
        <is>
          <t>https://www.metacritic.com/search/Harry+Potter+and+the+Prisoner+of+Azkaban/</t>
        </is>
      </c>
    </row>
    <row r="144" ht="15.75" customHeight="1" s="108">
      <c r="A144" s="83" t="inlineStr">
        <is>
          <t>F0140</t>
        </is>
      </c>
      <c r="B144" s="83" t="inlineStr">
        <is>
          <t>Harry Potter and the Goblet of Fire</t>
        </is>
      </c>
      <c r="C144" s="88" t="inlineStr">
        <is>
          <t>2005</t>
        </is>
      </c>
      <c r="D144" s="84" t="n"/>
      <c r="E144" s="89" t="n"/>
      <c r="F144" s="90" t="n"/>
      <c r="G144" s="91" t="n"/>
      <c r="H144" s="91" t="n"/>
      <c r="I144" s="92" t="n"/>
      <c r="J144" s="91" t="n"/>
      <c r="K144" s="89" t="n"/>
      <c r="L144" s="89">
        <f>IF(COUNT(E144,G144,H144,I144,J144,K144)=0,"",ROUND((IF(E144="",0,E144*10)+IF(G144="",0,G144)+IF(H144="",0,H144)+IF(I144="",0,I144*20)+IF(J144="",0,J144)+IF(K144="",0,K144*10))/COUNT(E144,G144,H144,I144,J144,K144),1))</f>
        <v/>
      </c>
      <c r="M144" s="83">
        <f>IF(L144="","",IF(L144&gt;=85,"Excellent",IF(L144&gt;=70,"Good",IF(L144&gt;=55,"Mixed","Poor"))))</f>
        <v/>
      </c>
      <c r="N144" s="96" t="n"/>
      <c r="O144" s="83" t="inlineStr">
        <is>
          <t>https://www.imdb.com/find/?q=Harry+Potter+and+the+Goblet+of+Fire+2005</t>
        </is>
      </c>
      <c r="P144" s="83" t="inlineStr">
        <is>
          <t>https://www.rottentomatoes.com/search?search=Harry+Potter+and+the+Goblet+of+Fire</t>
        </is>
      </c>
      <c r="Q144" s="83" t="inlineStr">
        <is>
          <t>https://letterboxd.com/search/Harry%20Potter%20and%20the%20Goblet%20of%20Fire/</t>
        </is>
      </c>
      <c r="R144" s="83" t="inlineStr">
        <is>
          <t>https://www.metacritic.com/search/Harry+Potter+and+the+Goblet+of+Fire/</t>
        </is>
      </c>
    </row>
    <row r="145" ht="15.75" customHeight="1" s="108">
      <c r="A145" s="83" t="inlineStr">
        <is>
          <t>F0141</t>
        </is>
      </c>
      <c r="B145" s="83" t="inlineStr">
        <is>
          <t>Harry Potter and the Order of the Phoenix</t>
        </is>
      </c>
      <c r="C145" s="88" t="inlineStr">
        <is>
          <t>2007</t>
        </is>
      </c>
      <c r="D145" s="84" t="n"/>
      <c r="E145" s="89" t="n"/>
      <c r="F145" s="90" t="n"/>
      <c r="G145" s="91" t="n"/>
      <c r="H145" s="91" t="n"/>
      <c r="I145" s="92" t="n"/>
      <c r="J145" s="91" t="n"/>
      <c r="K145" s="89" t="n"/>
      <c r="L145" s="89">
        <f>IF(COUNT(E145,G145,H145,I145,J145,K145)=0,"",ROUND((IF(E145="",0,E145*10)+IF(G145="",0,G145)+IF(H145="",0,H145)+IF(I145="",0,I145*20)+IF(J145="",0,J145)+IF(K145="",0,K145*10))/COUNT(E145,G145,H145,I145,J145,K145),1))</f>
        <v/>
      </c>
      <c r="M145" s="83">
        <f>IF(L145="","",IF(L145&gt;=85,"Excellent",IF(L145&gt;=70,"Good",IF(L145&gt;=55,"Mixed","Poor"))))</f>
        <v/>
      </c>
      <c r="N145" s="96" t="n"/>
      <c r="O145" s="83" t="inlineStr">
        <is>
          <t>https://www.imdb.com/find/?q=Harry+Potter+and+the+Order+of+the+Phoenix+2007</t>
        </is>
      </c>
      <c r="P145" s="83" t="inlineStr">
        <is>
          <t>https://www.rottentomatoes.com/search?search=Harry+Potter+and+the+Order+of+the+Phoenix</t>
        </is>
      </c>
      <c r="Q145" s="83" t="inlineStr">
        <is>
          <t>https://letterboxd.com/search/Harry%20Potter%20and%20the%20Order%20of%20the%20Phoenix/</t>
        </is>
      </c>
      <c r="R145" s="83" t="inlineStr">
        <is>
          <t>https://www.metacritic.com/search/Harry+Potter+and+the+Order+of+the+Phoenix/</t>
        </is>
      </c>
    </row>
    <row r="146" ht="15.75" customHeight="1" s="108">
      <c r="A146" s="83" t="inlineStr">
        <is>
          <t>F0142</t>
        </is>
      </c>
      <c r="B146" s="83" t="inlineStr">
        <is>
          <t>Harry Potter and the Half-Blood Prince</t>
        </is>
      </c>
      <c r="C146" s="88" t="inlineStr">
        <is>
          <t>2009</t>
        </is>
      </c>
      <c r="D146" s="84" t="n"/>
      <c r="E146" s="89" t="n"/>
      <c r="F146" s="90" t="n"/>
      <c r="G146" s="91" t="n"/>
      <c r="H146" s="91" t="n"/>
      <c r="I146" s="92" t="n"/>
      <c r="J146" s="91" t="n"/>
      <c r="K146" s="89" t="n"/>
      <c r="L146" s="89">
        <f>IF(COUNT(E146,G146,H146,I146,J146,K146)=0,"",ROUND((IF(E146="",0,E146*10)+IF(G146="",0,G146)+IF(H146="",0,H146)+IF(I146="",0,I146*20)+IF(J146="",0,J146)+IF(K146="",0,K146*10))/COUNT(E146,G146,H146,I146,J146,K146),1))</f>
        <v/>
      </c>
      <c r="M146" s="83">
        <f>IF(L146="","",IF(L146&gt;=85,"Excellent",IF(L146&gt;=70,"Good",IF(L146&gt;=55,"Mixed","Poor"))))</f>
        <v/>
      </c>
      <c r="N146" s="96" t="n"/>
      <c r="O146" s="83" t="inlineStr">
        <is>
          <t>https://www.imdb.com/find/?q=Harry+Potter+and+the+Half-Blood+Prince+2009</t>
        </is>
      </c>
      <c r="P146" s="83" t="inlineStr">
        <is>
          <t>https://www.rottentomatoes.com/search?search=Harry+Potter+and+the+Half-Blood+Prince</t>
        </is>
      </c>
      <c r="Q146" s="83" t="inlineStr">
        <is>
          <t>https://letterboxd.com/search/Harry%20Potter%20and%20the%20Half-Blood%20Prince/</t>
        </is>
      </c>
      <c r="R146" s="83" t="inlineStr">
        <is>
          <t>https://www.metacritic.com/search/Harry+Potter+and+the+Half-Blood+Prince/</t>
        </is>
      </c>
    </row>
    <row r="147" ht="15.75" customHeight="1" s="108">
      <c r="A147" s="83" t="inlineStr">
        <is>
          <t>F0143</t>
        </is>
      </c>
      <c r="B147" s="83" t="inlineStr">
        <is>
          <t>Harry Potter and the Deathly Hallows: Part 1</t>
        </is>
      </c>
      <c r="C147" s="88" t="inlineStr">
        <is>
          <t>2010</t>
        </is>
      </c>
      <c r="D147" s="84" t="n"/>
      <c r="E147" s="89" t="n"/>
      <c r="F147" s="90" t="n"/>
      <c r="G147" s="91" t="n"/>
      <c r="H147" s="91" t="n"/>
      <c r="I147" s="92" t="n"/>
      <c r="J147" s="91" t="n"/>
      <c r="K147" s="89" t="n"/>
      <c r="L147" s="89">
        <f>IF(COUNT(E147,G147,H147,I147,J147,K147)=0,"",ROUND((IF(E147="",0,E147*10)+IF(G147="",0,G147)+IF(H147="",0,H147)+IF(I147="",0,I147*20)+IF(J147="",0,J147)+IF(K147="",0,K147*10))/COUNT(E147,G147,H147,I147,J147,K147),1))</f>
        <v/>
      </c>
      <c r="M147" s="83">
        <f>IF(L147="","",IF(L147&gt;=85,"Excellent",IF(L147&gt;=70,"Good",IF(L147&gt;=55,"Mixed","Poor"))))</f>
        <v/>
      </c>
      <c r="N147" s="96" t="n"/>
      <c r="O147" s="83" t="inlineStr">
        <is>
          <t>https://www.imdb.com/find/?q=Harry+Potter+and+the+Deathly+Hallows%3A+Part+1+2010</t>
        </is>
      </c>
      <c r="P147" s="83" t="inlineStr">
        <is>
          <t>https://www.rottentomatoes.com/search?search=Harry+Potter+and+the+Deathly+Hallows%3A+Part+1</t>
        </is>
      </c>
      <c r="Q147" s="83" t="inlineStr">
        <is>
          <t>https://letterboxd.com/search/Harry%20Potter%20and%20the%20Deathly%20Hallows%3A%20Part%201/</t>
        </is>
      </c>
      <c r="R147" s="83" t="inlineStr">
        <is>
          <t>https://www.metacritic.com/search/Harry+Potter+and+the+Deathly+Hallows%3A+Part+1/</t>
        </is>
      </c>
    </row>
    <row r="148" ht="15.75" customHeight="1" s="108">
      <c r="A148" s="83" t="inlineStr">
        <is>
          <t>F0144</t>
        </is>
      </c>
      <c r="B148" s="83" t="inlineStr">
        <is>
          <t>Harry Potter and the Deathly Hallows: Part 2</t>
        </is>
      </c>
      <c r="C148" s="88" t="inlineStr">
        <is>
          <t>2011</t>
        </is>
      </c>
      <c r="D148" s="84" t="n"/>
      <c r="E148" s="89" t="n"/>
      <c r="F148" s="90" t="n"/>
      <c r="G148" s="91" t="n"/>
      <c r="H148" s="91" t="n"/>
      <c r="I148" s="92" t="n"/>
      <c r="J148" s="91" t="n"/>
      <c r="K148" s="89" t="n"/>
      <c r="L148" s="89">
        <f>IF(COUNT(E148,G148,H148,I148,J148,K148)=0,"",ROUND((IF(E148="",0,E148*10)+IF(G148="",0,G148)+IF(H148="",0,H148)+IF(I148="",0,I148*20)+IF(J148="",0,J148)+IF(K148="",0,K148*10))/COUNT(E148,G148,H148,I148,J148,K148),1))</f>
        <v/>
      </c>
      <c r="M148" s="83">
        <f>IF(L148="","",IF(L148&gt;=85,"Excellent",IF(L148&gt;=70,"Good",IF(L148&gt;=55,"Mixed","Poor"))))</f>
        <v/>
      </c>
      <c r="N148" s="96" t="n"/>
      <c r="O148" s="83" t="inlineStr">
        <is>
          <t>https://www.imdb.com/find/?q=Harry+Potter+and+the+Deathly+Hallows%3A+Part+2+2011</t>
        </is>
      </c>
      <c r="P148" s="83" t="inlineStr">
        <is>
          <t>https://www.rottentomatoes.com/search?search=Harry+Potter+and+the+Deathly+Hallows%3A+Part+2</t>
        </is>
      </c>
      <c r="Q148" s="83" t="inlineStr">
        <is>
          <t>https://letterboxd.com/search/Harry%20Potter%20and%20the%20Deathly%20Hallows%3A%20Part%202/</t>
        </is>
      </c>
      <c r="R148" s="83" t="inlineStr">
        <is>
          <t>https://www.metacritic.com/search/Harry+Potter+and+the+Deathly+Hallows%3A+Part+2/</t>
        </is>
      </c>
    </row>
    <row r="149" ht="15.75" customHeight="1" s="108">
      <c r="A149" s="83" t="inlineStr">
        <is>
          <t>F0145</t>
        </is>
      </c>
      <c r="B149" s="83" t="inlineStr">
        <is>
          <t>Happy Feet Two</t>
        </is>
      </c>
      <c r="C149" s="88" t="inlineStr">
        <is>
          <t>2011</t>
        </is>
      </c>
      <c r="D149" s="84" t="n"/>
      <c r="E149" s="89" t="n"/>
      <c r="F149" s="90" t="n"/>
      <c r="G149" s="91" t="n"/>
      <c r="H149" s="91" t="n"/>
      <c r="I149" s="92" t="n"/>
      <c r="J149" s="91" t="n"/>
      <c r="K149" s="89" t="n"/>
      <c r="L149" s="89">
        <f>IF(COUNT(E149,G149,H149,I149,J149,K149)=0,"",ROUND((IF(E149="",0,E149*10)+IF(G149="",0,G149)+IF(H149="",0,H149)+IF(I149="",0,I149*20)+IF(J149="",0,J149)+IF(K149="",0,K149*10))/COUNT(E149,G149,H149,I149,J149,K149),1))</f>
        <v/>
      </c>
      <c r="M149" s="83">
        <f>IF(L149="","",IF(L149&gt;=85,"Excellent",IF(L149&gt;=70,"Good",IF(L149&gt;=55,"Mixed","Poor"))))</f>
        <v/>
      </c>
      <c r="N149" s="96" t="n"/>
      <c r="O149" s="83" t="inlineStr">
        <is>
          <t>https://www.imdb.com/find/?q=Happy+Feet+Two+2011</t>
        </is>
      </c>
      <c r="P149" s="83" t="inlineStr">
        <is>
          <t>https://www.rottentomatoes.com/search?search=Happy+Feet+Two</t>
        </is>
      </c>
      <c r="Q149" s="83" t="inlineStr">
        <is>
          <t>https://letterboxd.com/search/Happy%20Feet%20Two/</t>
        </is>
      </c>
      <c r="R149" s="83" t="inlineStr">
        <is>
          <t>https://www.metacritic.com/search/Happy+Feet+Two/</t>
        </is>
      </c>
    </row>
    <row r="150" ht="15.75" customHeight="1" s="108">
      <c r="A150" s="83" t="inlineStr">
        <is>
          <t>F0146</t>
        </is>
      </c>
      <c r="B150" s="83" t="inlineStr">
        <is>
          <t>The Heat</t>
        </is>
      </c>
      <c r="C150" s="88" t="inlineStr">
        <is>
          <t>2013</t>
        </is>
      </c>
      <c r="D150" s="84" t="n"/>
      <c r="E150" s="89" t="n"/>
      <c r="F150" s="90" t="n"/>
      <c r="G150" s="91" t="n"/>
      <c r="H150" s="91" t="n"/>
      <c r="I150" s="92" t="n"/>
      <c r="J150" s="91" t="n"/>
      <c r="K150" s="89" t="n"/>
      <c r="L150" s="89">
        <f>IF(COUNT(E150,G150,H150,I150,J150,K150)=0,"",ROUND((IF(E150="",0,E150*10)+IF(G150="",0,G150)+IF(H150="",0,H150)+IF(I150="",0,I150*20)+IF(J150="",0,J150)+IF(K150="",0,K150*10))/COUNT(E150,G150,H150,I150,J150,K150),1))</f>
        <v/>
      </c>
      <c r="M150" s="83">
        <f>IF(L150="","",IF(L150&gt;=85,"Excellent",IF(L150&gt;=70,"Good",IF(L150&gt;=55,"Mixed","Poor"))))</f>
        <v/>
      </c>
      <c r="N150" s="96" t="n"/>
      <c r="O150" s="83" t="inlineStr">
        <is>
          <t>https://www.imdb.com/find/?q=The+Heat+2013</t>
        </is>
      </c>
      <c r="P150" s="83" t="inlineStr">
        <is>
          <t>https://www.rottentomatoes.com/search?search=The+Heat</t>
        </is>
      </c>
      <c r="Q150" s="83" t="inlineStr">
        <is>
          <t>https://letterboxd.com/search/The%20Heat/</t>
        </is>
      </c>
      <c r="R150" s="83" t="inlineStr">
        <is>
          <t>https://www.metacritic.com/search/The+Heat/</t>
        </is>
      </c>
    </row>
    <row r="151" ht="15.75" customHeight="1" s="108">
      <c r="A151" s="83" t="inlineStr">
        <is>
          <t>F0147</t>
        </is>
      </c>
      <c r="B151" s="83" t="inlineStr">
        <is>
          <t>Hercules</t>
        </is>
      </c>
      <c r="C151" s="88" t="inlineStr">
        <is>
          <t>2014</t>
        </is>
      </c>
      <c r="D151" s="84" t="n"/>
      <c r="E151" s="89" t="n"/>
      <c r="F151" s="90" t="n"/>
      <c r="G151" s="91" t="n"/>
      <c r="H151" s="91" t="n"/>
      <c r="I151" s="92" t="n"/>
      <c r="J151" s="91" t="n"/>
      <c r="K151" s="89" t="n"/>
      <c r="L151" s="89">
        <f>IF(COUNT(E151,G151,H151,I151,J151,K151)=0,"",ROUND((IF(E151="",0,E151*10)+IF(G151="",0,G151)+IF(H151="",0,H151)+IF(I151="",0,I151*20)+IF(J151="",0,J151)+IF(K151="",0,K151*10))/COUNT(E151,G151,H151,I151,J151,K151),1))</f>
        <v/>
      </c>
      <c r="M151" s="83">
        <f>IF(L151="","",IF(L151&gt;=85,"Excellent",IF(L151&gt;=70,"Good",IF(L151&gt;=55,"Mixed","Poor"))))</f>
        <v/>
      </c>
      <c r="N151" s="96" t="n"/>
      <c r="O151" s="83" t="inlineStr">
        <is>
          <t>https://www.imdb.com/find/?q=Hercules+2014</t>
        </is>
      </c>
      <c r="P151" s="83" t="inlineStr">
        <is>
          <t>https://www.rottentomatoes.com/search?search=Hercules</t>
        </is>
      </c>
      <c r="Q151" s="83" t="inlineStr">
        <is>
          <t>https://letterboxd.com/search/Hercules/</t>
        </is>
      </c>
      <c r="R151" s="83" t="inlineStr">
        <is>
          <t>https://www.metacritic.com/search/Hercules/</t>
        </is>
      </c>
    </row>
    <row r="152" ht="15.75" customHeight="1" s="108">
      <c r="A152" s="83" t="inlineStr">
        <is>
          <t>F0148</t>
        </is>
      </c>
      <c r="B152" s="83" t="inlineStr">
        <is>
          <t>The Legend of Hercules</t>
        </is>
      </c>
      <c r="C152" s="88" t="inlineStr">
        <is>
          <t>2014</t>
        </is>
      </c>
      <c r="D152" s="84" t="n"/>
      <c r="E152" s="89" t="n"/>
      <c r="F152" s="90" t="n"/>
      <c r="G152" s="91" t="n"/>
      <c r="H152" s="91" t="n"/>
      <c r="I152" s="92" t="n"/>
      <c r="J152" s="91" t="n"/>
      <c r="K152" s="89" t="n"/>
      <c r="L152" s="89">
        <f>IF(COUNT(E152,G152,H152,I152,J152,K152)=0,"",ROUND((IF(E152="",0,E152*10)+IF(G152="",0,G152)+IF(H152="",0,H152)+IF(I152="",0,I152*20)+IF(J152="",0,J152)+IF(K152="",0,K152*10))/COUNT(E152,G152,H152,I152,J152,K152),1))</f>
        <v/>
      </c>
      <c r="M152" s="83">
        <f>IF(L152="","",IF(L152&gt;=85,"Excellent",IF(L152&gt;=70,"Good",IF(L152&gt;=55,"Mixed","Poor"))))</f>
        <v/>
      </c>
      <c r="N152" s="96" t="n"/>
      <c r="O152" s="83" t="inlineStr">
        <is>
          <t>https://www.imdb.com/find/?q=The+Legend+of+Hercules+2014</t>
        </is>
      </c>
      <c r="P152" s="83" t="inlineStr">
        <is>
          <t>https://www.rottentomatoes.com/search?search=The+Legend+of+Hercules</t>
        </is>
      </c>
      <c r="Q152" s="83" t="inlineStr">
        <is>
          <t>https://letterboxd.com/search/The%20Legend%20of%20Hercules/</t>
        </is>
      </c>
      <c r="R152" s="83" t="inlineStr">
        <is>
          <t>https://www.metacritic.com/search/The+Legend+of+Hercules/</t>
        </is>
      </c>
    </row>
    <row r="153" ht="15.75" customHeight="1" s="108">
      <c r="A153" s="83" t="inlineStr">
        <is>
          <t>F0149</t>
        </is>
      </c>
      <c r="B153" s="83" t="inlineStr">
        <is>
          <t>The Hitman's Bodyguard</t>
        </is>
      </c>
      <c r="C153" s="88" t="inlineStr">
        <is>
          <t>2017</t>
        </is>
      </c>
      <c r="D153" s="84" t="n"/>
      <c r="E153" s="89" t="n"/>
      <c r="F153" s="90" t="n"/>
      <c r="G153" s="91" t="n"/>
      <c r="H153" s="91" t="n"/>
      <c r="I153" s="92" t="n"/>
      <c r="J153" s="91" t="n"/>
      <c r="K153" s="89" t="n"/>
      <c r="L153" s="89">
        <f>IF(COUNT(E153,G153,H153,I153,J153,K153)=0,"",ROUND((IF(E153="",0,E153*10)+IF(G153="",0,G153)+IF(H153="",0,H153)+IF(I153="",0,I153*20)+IF(J153="",0,J153)+IF(K153="",0,K153*10))/COUNT(E153,G153,H153,I153,J153,K153),1))</f>
        <v/>
      </c>
      <c r="M153" s="83">
        <f>IF(L153="","",IF(L153&gt;=85,"Excellent",IF(L153&gt;=70,"Good",IF(L153&gt;=55,"Mixed","Poor"))))</f>
        <v/>
      </c>
      <c r="N153" s="96" t="n"/>
      <c r="O153" s="83" t="inlineStr">
        <is>
          <t>https://www.imdb.com/find/?q=The+Hitman%27s+Bodyguard+2017</t>
        </is>
      </c>
      <c r="P153" s="83" t="inlineStr">
        <is>
          <t>https://www.rottentomatoes.com/search?search=The+Hitman%27s+Bodyguard</t>
        </is>
      </c>
      <c r="Q153" s="83" t="inlineStr">
        <is>
          <t>https://letterboxd.com/search/The%20Hitman%27s%20Bodyguard/</t>
        </is>
      </c>
      <c r="R153" s="83" t="inlineStr">
        <is>
          <t>https://www.metacritic.com/search/The+Hitman%27s+Bodyguard/</t>
        </is>
      </c>
    </row>
    <row r="154" ht="15.75" customHeight="1" s="108">
      <c r="A154" s="83" t="inlineStr">
        <is>
          <t>F0150</t>
        </is>
      </c>
      <c r="B154" s="83" t="inlineStr">
        <is>
          <t>The Hobbit: An Unexpected Journey</t>
        </is>
      </c>
      <c r="C154" s="88" t="inlineStr">
        <is>
          <t>2012</t>
        </is>
      </c>
      <c r="D154" s="84" t="n"/>
      <c r="E154" s="89" t="n"/>
      <c r="F154" s="90" t="n"/>
      <c r="G154" s="91" t="n"/>
      <c r="H154" s="91" t="n"/>
      <c r="I154" s="92" t="n"/>
      <c r="J154" s="91" t="n"/>
      <c r="K154" s="89" t="n"/>
      <c r="L154" s="89">
        <f>IF(COUNT(E154,G154,H154,I154,J154,K154)=0,"",ROUND((IF(E154="",0,E154*10)+IF(G154="",0,G154)+IF(H154="",0,H154)+IF(I154="",0,I154*20)+IF(J154="",0,J154)+IF(K154="",0,K154*10))/COUNT(E154,G154,H154,I154,J154,K154),1))</f>
        <v/>
      </c>
      <c r="M154" s="83">
        <f>IF(L154="","",IF(L154&gt;=85,"Excellent",IF(L154&gt;=70,"Good",IF(L154&gt;=55,"Mixed","Poor"))))</f>
        <v/>
      </c>
      <c r="N154" s="96" t="n"/>
      <c r="O154" s="83" t="inlineStr">
        <is>
          <t>https://www.imdb.com/find/?q=The+Hobbit%3A+An+Unexpected+Journey+2012</t>
        </is>
      </c>
      <c r="P154" s="83" t="inlineStr">
        <is>
          <t>https://www.rottentomatoes.com/search?search=The+Hobbit%3A+An+Unexpected+Journey</t>
        </is>
      </c>
      <c r="Q154" s="83" t="inlineStr">
        <is>
          <t>https://letterboxd.com/search/The%20Hobbit%3A%20An%20Unexpected%20Journey/</t>
        </is>
      </c>
      <c r="R154" s="83" t="inlineStr">
        <is>
          <t>https://www.metacritic.com/search/The+Hobbit%3A+An+Unexpected+Journey/</t>
        </is>
      </c>
    </row>
    <row r="155" ht="15.75" customHeight="1" s="108">
      <c r="A155" s="83" t="inlineStr">
        <is>
          <t>F0151</t>
        </is>
      </c>
      <c r="B155" s="83" t="inlineStr">
        <is>
          <t>The Hobbit: The Desolation of Smaug</t>
        </is>
      </c>
      <c r="C155" s="88" t="inlineStr">
        <is>
          <t>2013</t>
        </is>
      </c>
      <c r="D155" s="84" t="n"/>
      <c r="E155" s="89" t="n"/>
      <c r="F155" s="90" t="n"/>
      <c r="G155" s="91" t="n"/>
      <c r="H155" s="91" t="n"/>
      <c r="I155" s="92" t="n"/>
      <c r="J155" s="91" t="n"/>
      <c r="K155" s="89" t="n"/>
      <c r="L155" s="89">
        <f>IF(COUNT(E155,G155,H155,I155,J155,K155)=0,"",ROUND((IF(E155="",0,E155*10)+IF(G155="",0,G155)+IF(H155="",0,H155)+IF(I155="",0,I155*20)+IF(J155="",0,J155)+IF(K155="",0,K155*10))/COUNT(E155,G155,H155,I155,J155,K155),1))</f>
        <v/>
      </c>
      <c r="M155" s="83">
        <f>IF(L155="","",IF(L155&gt;=85,"Excellent",IF(L155&gt;=70,"Good",IF(L155&gt;=55,"Mixed","Poor"))))</f>
        <v/>
      </c>
      <c r="N155" s="96" t="n"/>
      <c r="O155" s="83" t="inlineStr">
        <is>
          <t>https://www.imdb.com/find/?q=The+Hobbit%3A+The+Desolation+of+Smaug+2013</t>
        </is>
      </c>
      <c r="P155" s="83" t="inlineStr">
        <is>
          <t>https://www.rottentomatoes.com/search?search=The+Hobbit%3A+The+Desolation+of+Smaug</t>
        </is>
      </c>
      <c r="Q155" s="83" t="inlineStr">
        <is>
          <t>https://letterboxd.com/search/The%20Hobbit%3A%20The%20Desolation%20of%20Smaug/</t>
        </is>
      </c>
      <c r="R155" s="83" t="inlineStr">
        <is>
          <t>https://www.metacritic.com/search/The+Hobbit%3A+The+Desolation+of+Smaug/</t>
        </is>
      </c>
    </row>
    <row r="156" ht="15.75" customHeight="1" s="108">
      <c r="A156" s="83" t="inlineStr">
        <is>
          <t>F0152</t>
        </is>
      </c>
      <c r="B156" s="83" t="inlineStr">
        <is>
          <t>The Hobbit: The Battle of the Five Armies</t>
        </is>
      </c>
      <c r="C156" s="88" t="inlineStr">
        <is>
          <t>2014</t>
        </is>
      </c>
      <c r="D156" s="84" t="n"/>
      <c r="E156" s="89" t="n"/>
      <c r="F156" s="90" t="n"/>
      <c r="G156" s="91" t="n"/>
      <c r="H156" s="91" t="n"/>
      <c r="I156" s="92" t="n"/>
      <c r="J156" s="91" t="n"/>
      <c r="K156" s="89" t="n"/>
      <c r="L156" s="89">
        <f>IF(COUNT(E156,G156,H156,I156,J156,K156)=0,"",ROUND((IF(E156="",0,E156*10)+IF(G156="",0,G156)+IF(H156="",0,H156)+IF(I156="",0,I156*20)+IF(J156="",0,J156)+IF(K156="",0,K156*10))/COUNT(E156,G156,H156,I156,J156,K156),1))</f>
        <v/>
      </c>
      <c r="M156" s="83">
        <f>IF(L156="","",IF(L156&gt;=85,"Excellent",IF(L156&gt;=70,"Good",IF(L156&gt;=55,"Mixed","Poor"))))</f>
        <v/>
      </c>
      <c r="N156" s="96" t="n"/>
      <c r="O156" s="83" t="inlineStr">
        <is>
          <t>https://www.imdb.com/find/?q=The+Hobbit%3A+The+Battle+of+the+Five+Armies+2014</t>
        </is>
      </c>
      <c r="P156" s="83" t="inlineStr">
        <is>
          <t>https://www.rottentomatoes.com/search?search=The+Hobbit%3A+The+Battle+of+the+Five+Armies</t>
        </is>
      </c>
      <c r="Q156" s="83" t="inlineStr">
        <is>
          <t>https://letterboxd.com/search/The%20Hobbit%3A%20The%20Battle%20of%20the%20Five%20Armies/</t>
        </is>
      </c>
      <c r="R156" s="83" t="inlineStr">
        <is>
          <t>https://www.metacritic.com/search/The+Hobbit%3A+The+Battle+of+the+Five+Armies/</t>
        </is>
      </c>
    </row>
    <row r="157" ht="15.75" customHeight="1" s="108">
      <c r="A157" s="83" t="inlineStr">
        <is>
          <t>F0153</t>
        </is>
      </c>
      <c r="B157" s="83" t="inlineStr">
        <is>
          <t>Home</t>
        </is>
      </c>
      <c r="C157" s="88" t="inlineStr">
        <is>
          <t>2015</t>
        </is>
      </c>
      <c r="D157" s="84" t="n"/>
      <c r="E157" s="89" t="n"/>
      <c r="F157" s="90" t="n"/>
      <c r="G157" s="91" t="n"/>
      <c r="H157" s="91" t="n"/>
      <c r="I157" s="92" t="n"/>
      <c r="J157" s="91" t="n"/>
      <c r="K157" s="89" t="n"/>
      <c r="L157" s="89">
        <f>IF(COUNT(E157,G157,H157,I157,J157,K157)=0,"",ROUND((IF(E157="",0,E157*10)+IF(G157="",0,G157)+IF(H157="",0,H157)+IF(I157="",0,I157*20)+IF(J157="",0,J157)+IF(K157="",0,K157*10))/COUNT(E157,G157,H157,I157,J157,K157),1))</f>
        <v/>
      </c>
      <c r="M157" s="83">
        <f>IF(L157="","",IF(L157&gt;=85,"Excellent",IF(L157&gt;=70,"Good",IF(L157&gt;=55,"Mixed","Poor"))))</f>
        <v/>
      </c>
      <c r="N157" s="96" t="n"/>
      <c r="O157" s="83" t="inlineStr">
        <is>
          <t>https://www.imdb.com/find/?q=Home+2015</t>
        </is>
      </c>
      <c r="P157" s="83" t="inlineStr">
        <is>
          <t>https://www.rottentomatoes.com/search?search=Home</t>
        </is>
      </c>
      <c r="Q157" s="83" t="inlineStr">
        <is>
          <t>https://letterboxd.com/search/Home/</t>
        </is>
      </c>
      <c r="R157" s="83" t="inlineStr">
        <is>
          <t>https://www.metacritic.com/search/Home/</t>
        </is>
      </c>
    </row>
    <row r="158" ht="15.75" customHeight="1" s="108">
      <c r="A158" s="83" t="inlineStr">
        <is>
          <t>F0154</t>
        </is>
      </c>
      <c r="B158" s="83" t="inlineStr">
        <is>
          <t>How to Train Your Dragon</t>
        </is>
      </c>
      <c r="C158" s="88" t="inlineStr">
        <is>
          <t>2010</t>
        </is>
      </c>
      <c r="D158" s="84" t="n"/>
      <c r="E158" s="89" t="n"/>
      <c r="F158" s="90" t="n"/>
      <c r="G158" s="91" t="n"/>
      <c r="H158" s="91" t="n"/>
      <c r="I158" s="92" t="n"/>
      <c r="J158" s="91" t="n"/>
      <c r="K158" s="89" t="n"/>
      <c r="L158" s="89">
        <f>IF(COUNT(E158,G158,H158,I158,J158,K158)=0,"",ROUND((IF(E158="",0,E158*10)+IF(G158="",0,G158)+IF(H158="",0,H158)+IF(I158="",0,I158*20)+IF(J158="",0,J158)+IF(K158="",0,K158*10))/COUNT(E158,G158,H158,I158,J158,K158),1))</f>
        <v/>
      </c>
      <c r="M158" s="83">
        <f>IF(L158="","",IF(L158&gt;=85,"Excellent",IF(L158&gt;=70,"Good",IF(L158&gt;=55,"Mixed","Poor"))))</f>
        <v/>
      </c>
      <c r="N158" s="96" t="n"/>
      <c r="O158" s="83" t="inlineStr">
        <is>
          <t>https://www.imdb.com/find/?q=How+to+Train+Your+Dragon+2010</t>
        </is>
      </c>
      <c r="P158" s="83" t="inlineStr">
        <is>
          <t>https://www.rottentomatoes.com/search?search=How+to+Train+Your+Dragon</t>
        </is>
      </c>
      <c r="Q158" s="83" t="inlineStr">
        <is>
          <t>https://letterboxd.com/search/How%20to%20Train%20Your%20Dragon/</t>
        </is>
      </c>
      <c r="R158" s="83" t="inlineStr">
        <is>
          <t>https://www.metacritic.com/search/How+to+Train+Your+Dragon/</t>
        </is>
      </c>
    </row>
    <row r="159" ht="15.75" customHeight="1" s="108">
      <c r="A159" s="83" t="inlineStr">
        <is>
          <t>F0155</t>
        </is>
      </c>
      <c r="B159" s="83" t="inlineStr">
        <is>
          <t>How to Train Your Dragon 2</t>
        </is>
      </c>
      <c r="C159" s="88" t="inlineStr">
        <is>
          <t>2014</t>
        </is>
      </c>
      <c r="D159" s="84" t="n"/>
      <c r="E159" s="89" t="n"/>
      <c r="F159" s="90" t="n"/>
      <c r="G159" s="91" t="n"/>
      <c r="H159" s="91" t="n"/>
      <c r="I159" s="92" t="n"/>
      <c r="J159" s="91" t="n"/>
      <c r="K159" s="89" t="n"/>
      <c r="L159" s="89">
        <f>IF(COUNT(E159,G159,H159,I159,J159,K159)=0,"",ROUND((IF(E159="",0,E159*10)+IF(G159="",0,G159)+IF(H159="",0,H159)+IF(I159="",0,I159*20)+IF(J159="",0,J159)+IF(K159="",0,K159*10))/COUNT(E159,G159,H159,I159,J159,K159),1))</f>
        <v/>
      </c>
      <c r="M159" s="83">
        <f>IF(L159="","",IF(L159&gt;=85,"Excellent",IF(L159&gt;=70,"Good",IF(L159&gt;=55,"Mixed","Poor"))))</f>
        <v/>
      </c>
      <c r="N159" s="96" t="n"/>
      <c r="O159" s="83" t="inlineStr">
        <is>
          <t>https://www.imdb.com/find/?q=How+to+Train+Your+Dragon+2+2014</t>
        </is>
      </c>
      <c r="P159" s="83" t="inlineStr">
        <is>
          <t>https://www.rottentomatoes.com/search?search=How+to+Train+Your+Dragon+2</t>
        </is>
      </c>
      <c r="Q159" s="83" t="inlineStr">
        <is>
          <t>https://letterboxd.com/search/How%20to%20Train%20Your%20Dragon%202/</t>
        </is>
      </c>
      <c r="R159" s="83" t="inlineStr">
        <is>
          <t>https://www.metacritic.com/search/How+to+Train+Your+Dragon+2/</t>
        </is>
      </c>
    </row>
    <row r="160" ht="15.75" customHeight="1" s="108">
      <c r="A160" s="83" t="inlineStr">
        <is>
          <t>F0156</t>
        </is>
      </c>
      <c r="B160" s="83" t="inlineStr">
        <is>
          <t>Hummingbird</t>
        </is>
      </c>
      <c r="C160" s="88" t="inlineStr">
        <is>
          <t>2013</t>
        </is>
      </c>
      <c r="D160" s="84" t="n"/>
      <c r="E160" s="89" t="n"/>
      <c r="F160" s="90" t="n"/>
      <c r="G160" s="91" t="n"/>
      <c r="H160" s="91" t="n"/>
      <c r="I160" s="92" t="n"/>
      <c r="J160" s="91" t="n"/>
      <c r="K160" s="89" t="n"/>
      <c r="L160" s="89">
        <f>IF(COUNT(E160,G160,H160,I160,J160,K160)=0,"",ROUND((IF(E160="",0,E160*10)+IF(G160="",0,G160)+IF(H160="",0,H160)+IF(I160="",0,I160*20)+IF(J160="",0,J160)+IF(K160="",0,K160*10))/COUNT(E160,G160,H160,I160,J160,K160),1))</f>
        <v/>
      </c>
      <c r="M160" s="83">
        <f>IF(L160="","",IF(L160&gt;=85,"Excellent",IF(L160&gt;=70,"Good",IF(L160&gt;=55,"Mixed","Poor"))))</f>
        <v/>
      </c>
      <c r="N160" s="96" t="n"/>
      <c r="O160" s="83" t="inlineStr">
        <is>
          <t>https://www.imdb.com/find/?q=Hummingbird+2013</t>
        </is>
      </c>
      <c r="P160" s="83" t="inlineStr">
        <is>
          <t>https://www.rottentomatoes.com/search?search=Hummingbird</t>
        </is>
      </c>
      <c r="Q160" s="83" t="inlineStr">
        <is>
          <t>https://letterboxd.com/search/Hummingbird/</t>
        </is>
      </c>
      <c r="R160" s="83" t="inlineStr">
        <is>
          <t>https://www.metacritic.com/search/Hummingbird/</t>
        </is>
      </c>
    </row>
    <row r="161" ht="15.75" customHeight="1" s="108">
      <c r="A161" s="83" t="inlineStr">
        <is>
          <t>F0157</t>
        </is>
      </c>
      <c r="B161" s="83" t="inlineStr">
        <is>
          <t>The Hunger Games</t>
        </is>
      </c>
      <c r="C161" s="88" t="inlineStr">
        <is>
          <t>2012</t>
        </is>
      </c>
      <c r="D161" s="84" t="n"/>
      <c r="E161" s="89" t="n"/>
      <c r="F161" s="90" t="n"/>
      <c r="G161" s="91" t="n"/>
      <c r="H161" s="91" t="n"/>
      <c r="I161" s="92" t="n"/>
      <c r="J161" s="91" t="n"/>
      <c r="K161" s="89" t="n"/>
      <c r="L161" s="89">
        <f>IF(COUNT(E161,G161,H161,I161,J161,K161)=0,"",ROUND((IF(E161="",0,E161*10)+IF(G161="",0,G161)+IF(H161="",0,H161)+IF(I161="",0,I161*20)+IF(J161="",0,J161)+IF(K161="",0,K161*10))/COUNT(E161,G161,H161,I161,J161,K161),1))</f>
        <v/>
      </c>
      <c r="M161" s="83">
        <f>IF(L161="","",IF(L161&gt;=85,"Excellent",IF(L161&gt;=70,"Good",IF(L161&gt;=55,"Mixed","Poor"))))</f>
        <v/>
      </c>
      <c r="N161" s="96" t="n"/>
      <c r="O161" s="83" t="inlineStr">
        <is>
          <t>https://www.imdb.com/find/?q=The+Hunger+Games+2012</t>
        </is>
      </c>
      <c r="P161" s="83" t="inlineStr">
        <is>
          <t>https://www.rottentomatoes.com/search?search=The+Hunger+Games</t>
        </is>
      </c>
      <c r="Q161" s="83" t="inlineStr">
        <is>
          <t>https://letterboxd.com/search/The%20Hunger%20Games/</t>
        </is>
      </c>
      <c r="R161" s="83" t="inlineStr">
        <is>
          <t>https://www.metacritic.com/search/The+Hunger+Games/</t>
        </is>
      </c>
    </row>
    <row r="162" ht="15.75" customHeight="1" s="108">
      <c r="A162" s="83" t="inlineStr">
        <is>
          <t>F0158</t>
        </is>
      </c>
      <c r="B162" s="83" t="inlineStr">
        <is>
          <t>The Hunger Games: Mockingjay - Part 1</t>
        </is>
      </c>
      <c r="C162" s="88" t="inlineStr">
        <is>
          <t>2014</t>
        </is>
      </c>
      <c r="D162" s="84" t="n"/>
      <c r="E162" s="89" t="n"/>
      <c r="F162" s="90" t="n"/>
      <c r="G162" s="91" t="n"/>
      <c r="H162" s="91" t="n"/>
      <c r="I162" s="92" t="n"/>
      <c r="J162" s="91" t="n"/>
      <c r="K162" s="89" t="n"/>
      <c r="L162" s="89">
        <f>IF(COUNT(E162,G162,H162,I162,J162,K162)=0,"",ROUND((IF(E162="",0,E162*10)+IF(G162="",0,G162)+IF(H162="",0,H162)+IF(I162="",0,I162*20)+IF(J162="",0,J162)+IF(K162="",0,K162*10))/COUNT(E162,G162,H162,I162,J162,K162),1))</f>
        <v/>
      </c>
      <c r="M162" s="83">
        <f>IF(L162="","",IF(L162&gt;=85,"Excellent",IF(L162&gt;=70,"Good",IF(L162&gt;=55,"Mixed","Poor"))))</f>
        <v/>
      </c>
      <c r="N162" s="96" t="n"/>
      <c r="O162" s="83" t="inlineStr">
        <is>
          <t>https://www.imdb.com/find/?q=The+Hunger+Games%3A+Mockingjay+-+Part+1+2014</t>
        </is>
      </c>
      <c r="P162" s="83" t="inlineStr">
        <is>
          <t>https://www.rottentomatoes.com/search?search=The+Hunger+Games%3A+Mockingjay+-+Part+1</t>
        </is>
      </c>
      <c r="Q162" s="83" t="inlineStr">
        <is>
          <t>https://letterboxd.com/search/The%20Hunger%20Games%3A%20Mockingjay%20-%20Part%201/</t>
        </is>
      </c>
      <c r="R162" s="83" t="inlineStr">
        <is>
          <t>https://www.metacritic.com/search/The+Hunger+Games%3A+Mockingjay+-+Part+1/</t>
        </is>
      </c>
    </row>
    <row r="163" ht="15.75" customHeight="1" s="108">
      <c r="A163" s="83" t="inlineStr">
        <is>
          <t>F0159</t>
        </is>
      </c>
      <c r="B163" s="83" t="inlineStr">
        <is>
          <t>I, Frankenstein</t>
        </is>
      </c>
      <c r="C163" s="88" t="inlineStr">
        <is>
          <t>2014</t>
        </is>
      </c>
      <c r="D163" s="84" t="n"/>
      <c r="E163" s="89" t="n"/>
      <c r="F163" s="90" t="n"/>
      <c r="G163" s="91" t="n"/>
      <c r="H163" s="91" t="n"/>
      <c r="I163" s="92" t="n"/>
      <c r="J163" s="91" t="n"/>
      <c r="K163" s="89" t="n"/>
      <c r="L163" s="89">
        <f>IF(COUNT(E163,G163,H163,I163,J163,K163)=0,"",ROUND((IF(E163="",0,E163*10)+IF(G163="",0,G163)+IF(H163="",0,H163)+IF(I163="",0,I163*20)+IF(J163="",0,J163)+IF(K163="",0,K163*10))/COUNT(E163,G163,H163,I163,J163,K163),1))</f>
        <v/>
      </c>
      <c r="M163" s="83">
        <f>IF(L163="","",IF(L163&gt;=85,"Excellent",IF(L163&gt;=70,"Good",IF(L163&gt;=55,"Mixed","Poor"))))</f>
        <v/>
      </c>
      <c r="N163" s="96" t="n"/>
      <c r="O163" s="83" t="inlineStr">
        <is>
          <t>https://www.imdb.com/find/?q=I%2C+Frankenstein+2014</t>
        </is>
      </c>
      <c r="P163" s="83" t="inlineStr">
        <is>
          <t>https://www.rottentomatoes.com/search?search=I%2C+Frankenstein</t>
        </is>
      </c>
      <c r="Q163" s="83" t="inlineStr">
        <is>
          <t>https://letterboxd.com/search/I%2C%20Frankenstein/</t>
        </is>
      </c>
      <c r="R163" s="83" t="inlineStr">
        <is>
          <t>https://www.metacritic.com/search/I%2C+Frankenstein/</t>
        </is>
      </c>
    </row>
    <row r="164" ht="15.75" customHeight="1" s="108">
      <c r="A164" s="83" t="inlineStr">
        <is>
          <t>F0160</t>
        </is>
      </c>
      <c r="B164" s="83" t="inlineStr">
        <is>
          <t>Ice Age: The Meltdown</t>
        </is>
      </c>
      <c r="C164" s="88" t="inlineStr">
        <is>
          <t>2006</t>
        </is>
      </c>
      <c r="D164" s="84" t="n"/>
      <c r="E164" s="89" t="n"/>
      <c r="F164" s="90" t="n"/>
      <c r="G164" s="91" t="n"/>
      <c r="H164" s="91" t="n"/>
      <c r="I164" s="92" t="n"/>
      <c r="J164" s="91" t="n"/>
      <c r="K164" s="89" t="n"/>
      <c r="L164" s="89">
        <f>IF(COUNT(E164,G164,H164,I164,J164,K164)=0,"",ROUND((IF(E164="",0,E164*10)+IF(G164="",0,G164)+IF(H164="",0,H164)+IF(I164="",0,I164*20)+IF(J164="",0,J164)+IF(K164="",0,K164*10))/COUNT(E164,G164,H164,I164,J164,K164),1))</f>
        <v/>
      </c>
      <c r="M164" s="83">
        <f>IF(L164="","",IF(L164&gt;=85,"Excellent",IF(L164&gt;=70,"Good",IF(L164&gt;=55,"Mixed","Poor"))))</f>
        <v/>
      </c>
      <c r="N164" s="96" t="n"/>
      <c r="O164" s="83" t="inlineStr">
        <is>
          <t>https://www.imdb.com/find/?q=Ice+Age%3A+The+Meltdown+2006</t>
        </is>
      </c>
      <c r="P164" s="83" t="inlineStr">
        <is>
          <t>https://www.rottentomatoes.com/search?search=Ice+Age%3A+The+Meltdown</t>
        </is>
      </c>
      <c r="Q164" s="83" t="inlineStr">
        <is>
          <t>https://letterboxd.com/search/Ice%20Age%3A%20The%20Meltdown/</t>
        </is>
      </c>
      <c r="R164" s="83" t="inlineStr">
        <is>
          <t>https://www.metacritic.com/search/Ice+Age%3A+The+Meltdown/</t>
        </is>
      </c>
    </row>
    <row r="165" ht="15.75" customHeight="1" s="108">
      <c r="A165" s="83" t="inlineStr">
        <is>
          <t>F0161</t>
        </is>
      </c>
      <c r="B165" s="83" t="inlineStr">
        <is>
          <t>Ice Age: Dawn of the Dinosaurs</t>
        </is>
      </c>
      <c r="C165" s="88" t="inlineStr">
        <is>
          <t>2009</t>
        </is>
      </c>
      <c r="D165" s="84" t="n"/>
      <c r="E165" s="89" t="n"/>
      <c r="F165" s="90" t="n"/>
      <c r="G165" s="91" t="n"/>
      <c r="H165" s="91" t="n"/>
      <c r="I165" s="92" t="n"/>
      <c r="J165" s="91" t="n"/>
      <c r="K165" s="89" t="n"/>
      <c r="L165" s="89">
        <f>IF(COUNT(E165,G165,H165,I165,J165,K165)=0,"",ROUND((IF(E165="",0,E165*10)+IF(G165="",0,G165)+IF(H165="",0,H165)+IF(I165="",0,I165*20)+IF(J165="",0,J165)+IF(K165="",0,K165*10))/COUNT(E165,G165,H165,I165,J165,K165),1))</f>
        <v/>
      </c>
      <c r="M165" s="83">
        <f>IF(L165="","",IF(L165&gt;=85,"Excellent",IF(L165&gt;=70,"Good",IF(L165&gt;=55,"Mixed","Poor"))))</f>
        <v/>
      </c>
      <c r="N165" s="96" t="n"/>
      <c r="O165" s="83" t="inlineStr">
        <is>
          <t>https://www.imdb.com/find/?q=Ice+Age%3A+Dawn+of+the+Dinosaurs+2009</t>
        </is>
      </c>
      <c r="P165" s="83" t="inlineStr">
        <is>
          <t>https://www.rottentomatoes.com/search?search=Ice+Age%3A+Dawn+of+the+Dinosaurs</t>
        </is>
      </c>
      <c r="Q165" s="83" t="inlineStr">
        <is>
          <t>https://letterboxd.com/search/Ice%20Age%3A%20Dawn%20of%20the%20Dinosaurs/</t>
        </is>
      </c>
      <c r="R165" s="83" t="inlineStr">
        <is>
          <t>https://www.metacritic.com/search/Ice+Age%3A+Dawn+of+the+Dinosaurs/</t>
        </is>
      </c>
    </row>
    <row r="166" ht="15.75" customHeight="1" s="108">
      <c r="A166" s="83" t="inlineStr">
        <is>
          <t>F0162</t>
        </is>
      </c>
      <c r="B166" s="83" t="inlineStr">
        <is>
          <t>The Imitation Game</t>
        </is>
      </c>
      <c r="C166" s="88" t="inlineStr">
        <is>
          <t>2014</t>
        </is>
      </c>
      <c r="D166" s="84" t="n"/>
      <c r="E166" s="89" t="n"/>
      <c r="F166" s="90" t="n"/>
      <c r="G166" s="91" t="n"/>
      <c r="H166" s="91" t="n"/>
      <c r="I166" s="92" t="n"/>
      <c r="J166" s="91" t="n"/>
      <c r="K166" s="89" t="n"/>
      <c r="L166" s="89">
        <f>IF(COUNT(E166,G166,H166,I166,J166,K166)=0,"",ROUND((IF(E166="",0,E166*10)+IF(G166="",0,G166)+IF(H166="",0,H166)+IF(I166="",0,I166*20)+IF(J166="",0,J166)+IF(K166="",0,K166*10))/COUNT(E166,G166,H166,I166,J166,K166),1))</f>
        <v/>
      </c>
      <c r="M166" s="83">
        <f>IF(L166="","",IF(L166&gt;=85,"Excellent",IF(L166&gt;=70,"Good",IF(L166&gt;=55,"Mixed","Poor"))))</f>
        <v/>
      </c>
      <c r="N166" s="96" t="n"/>
      <c r="O166" s="83" t="inlineStr">
        <is>
          <t>https://www.imdb.com/find/?q=The+Imitation+Game+2014</t>
        </is>
      </c>
      <c r="P166" s="83" t="inlineStr">
        <is>
          <t>https://www.rottentomatoes.com/search?search=The+Imitation+Game</t>
        </is>
      </c>
      <c r="Q166" s="83" t="inlineStr">
        <is>
          <t>https://letterboxd.com/search/The%20Imitation%20Game/</t>
        </is>
      </c>
      <c r="R166" s="83" t="inlineStr">
        <is>
          <t>https://www.metacritic.com/search/The+Imitation+Game/</t>
        </is>
      </c>
    </row>
    <row r="167" ht="15.75" customHeight="1" s="108">
      <c r="A167" s="83" t="inlineStr">
        <is>
          <t>F0163</t>
        </is>
      </c>
      <c r="B167" s="83" t="inlineStr">
        <is>
          <t>The Inbetweeners Movie</t>
        </is>
      </c>
      <c r="C167" s="88" t="inlineStr">
        <is>
          <t>2011</t>
        </is>
      </c>
      <c r="D167" s="84" t="n"/>
      <c r="E167" s="89" t="n"/>
      <c r="F167" s="90" t="n"/>
      <c r="G167" s="91" t="n"/>
      <c r="H167" s="91" t="n"/>
      <c r="I167" s="92" t="n"/>
      <c r="J167" s="91" t="n"/>
      <c r="K167" s="89" t="n"/>
      <c r="L167" s="89">
        <f>IF(COUNT(E167,G167,H167,I167,J167,K167)=0,"",ROUND((IF(E167="",0,E167*10)+IF(G167="",0,G167)+IF(H167="",0,H167)+IF(I167="",0,I167*20)+IF(J167="",0,J167)+IF(K167="",0,K167*10))/COUNT(E167,G167,H167,I167,J167,K167),1))</f>
        <v/>
      </c>
      <c r="M167" s="83">
        <f>IF(L167="","",IF(L167&gt;=85,"Excellent",IF(L167&gt;=70,"Good",IF(L167&gt;=55,"Mixed","Poor"))))</f>
        <v/>
      </c>
      <c r="N167" s="96" t="n"/>
      <c r="O167" s="83" t="inlineStr">
        <is>
          <t>https://www.imdb.com/find/?q=The+Inbetweeners+Movie+2011</t>
        </is>
      </c>
      <c r="P167" s="83" t="inlineStr">
        <is>
          <t>https://www.rottentomatoes.com/search?search=The+Inbetweeners+Movie</t>
        </is>
      </c>
      <c r="Q167" s="83" t="inlineStr">
        <is>
          <t>https://letterboxd.com/search/The%20Inbetweeners%20Movie/</t>
        </is>
      </c>
      <c r="R167" s="83" t="inlineStr">
        <is>
          <t>https://www.metacritic.com/search/The+Inbetweeners+Movie/</t>
        </is>
      </c>
    </row>
    <row r="168" ht="15.75" customHeight="1" s="108">
      <c r="A168" s="83" t="inlineStr">
        <is>
          <t>F0164</t>
        </is>
      </c>
      <c r="B168" s="83" t="inlineStr">
        <is>
          <t>The Inbetweeners 2</t>
        </is>
      </c>
      <c r="C168" s="88" t="inlineStr">
        <is>
          <t>2014</t>
        </is>
      </c>
      <c r="D168" s="84" t="n"/>
      <c r="E168" s="89" t="n"/>
      <c r="F168" s="90" t="n"/>
      <c r="G168" s="91" t="n"/>
      <c r="H168" s="91" t="n"/>
      <c r="I168" s="92" t="n"/>
      <c r="J168" s="91" t="n"/>
      <c r="K168" s="89" t="n"/>
      <c r="L168" s="89">
        <f>IF(COUNT(E168,G168,H168,I168,J168,K168)=0,"",ROUND((IF(E168="",0,E168*10)+IF(G168="",0,G168)+IF(H168="",0,H168)+IF(I168="",0,I168*20)+IF(J168="",0,J168)+IF(K168="",0,K168*10))/COUNT(E168,G168,H168,I168,J168,K168),1))</f>
        <v/>
      </c>
      <c r="M168" s="83">
        <f>IF(L168="","",IF(L168&gt;=85,"Excellent",IF(L168&gt;=70,"Good",IF(L168&gt;=55,"Mixed","Poor"))))</f>
        <v/>
      </c>
      <c r="N168" s="96" t="n"/>
      <c r="O168" s="83" t="inlineStr">
        <is>
          <t>https://www.imdb.com/find/?q=The+Inbetweeners+2+2014</t>
        </is>
      </c>
      <c r="P168" s="83" t="inlineStr">
        <is>
          <t>https://www.rottentomatoes.com/search?search=The+Inbetweeners+2</t>
        </is>
      </c>
      <c r="Q168" s="83" t="inlineStr">
        <is>
          <t>https://letterboxd.com/search/The%20Inbetweeners%202/</t>
        </is>
      </c>
      <c r="R168" s="83" t="inlineStr">
        <is>
          <t>https://www.metacritic.com/search/The+Inbetweeners+2/</t>
        </is>
      </c>
    </row>
    <row r="169" ht="15.75" customHeight="1" s="108">
      <c r="A169" s="83" t="inlineStr">
        <is>
          <t>F0165</t>
        </is>
      </c>
      <c r="B169" s="83" t="inlineStr">
        <is>
          <t>Inception</t>
        </is>
      </c>
      <c r="C169" s="88" t="inlineStr">
        <is>
          <t>2010</t>
        </is>
      </c>
      <c r="D169" s="84" t="n"/>
      <c r="E169" s="89" t="n"/>
      <c r="F169" s="90" t="n"/>
      <c r="G169" s="91" t="n"/>
      <c r="H169" s="91" t="n"/>
      <c r="I169" s="92" t="n"/>
      <c r="J169" s="91" t="n"/>
      <c r="K169" s="89" t="n"/>
      <c r="L169" s="89">
        <f>IF(COUNT(E169,G169,H169,I169,J169,K169)=0,"",ROUND((IF(E169="",0,E169*10)+IF(G169="",0,G169)+IF(H169="",0,H169)+IF(I169="",0,I169*20)+IF(J169="",0,J169)+IF(K169="",0,K169*10))/COUNT(E169,G169,H169,I169,J169,K169),1))</f>
        <v/>
      </c>
      <c r="M169" s="83">
        <f>IF(L169="","",IF(L169&gt;=85,"Excellent",IF(L169&gt;=70,"Good",IF(L169&gt;=55,"Mixed","Poor"))))</f>
        <v/>
      </c>
      <c r="N169" s="96" t="n"/>
      <c r="O169" s="83" t="inlineStr">
        <is>
          <t>https://www.imdb.com/find/?q=Inception+2010</t>
        </is>
      </c>
      <c r="P169" s="83" t="inlineStr">
        <is>
          <t>https://www.rottentomatoes.com/search?search=Inception</t>
        </is>
      </c>
      <c r="Q169" s="83" t="inlineStr">
        <is>
          <t>https://letterboxd.com/search/Inception/</t>
        </is>
      </c>
      <c r="R169" s="83" t="inlineStr">
        <is>
          <t>https://www.metacritic.com/search/Inception/</t>
        </is>
      </c>
    </row>
    <row r="170" ht="15.75" customHeight="1" s="108">
      <c r="A170" s="83" t="inlineStr">
        <is>
          <t>F0166</t>
        </is>
      </c>
      <c r="B170" s="83" t="inlineStr">
        <is>
          <t>Inglourious Basterds</t>
        </is>
      </c>
      <c r="C170" s="88" t="inlineStr">
        <is>
          <t>2009</t>
        </is>
      </c>
      <c r="D170" s="84" t="n"/>
      <c r="E170" s="89" t="n"/>
      <c r="F170" s="90" t="n"/>
      <c r="G170" s="91" t="n"/>
      <c r="H170" s="91" t="n"/>
      <c r="I170" s="92" t="n"/>
      <c r="J170" s="91" t="n"/>
      <c r="K170" s="89" t="n"/>
      <c r="L170" s="89">
        <f>IF(COUNT(E170,G170,H170,I170,J170,K170)=0,"",ROUND((IF(E170="",0,E170*10)+IF(G170="",0,G170)+IF(H170="",0,H170)+IF(I170="",0,I170*20)+IF(J170="",0,J170)+IF(K170="",0,K170*10))/COUNT(E170,G170,H170,I170,J170,K170),1))</f>
        <v/>
      </c>
      <c r="M170" s="83">
        <f>IF(L170="","",IF(L170&gt;=85,"Excellent",IF(L170&gt;=70,"Good",IF(L170&gt;=55,"Mixed","Poor"))))</f>
        <v/>
      </c>
      <c r="N170" s="96" t="n"/>
      <c r="O170" s="83" t="inlineStr">
        <is>
          <t>https://www.imdb.com/find/?q=Inglourious+Basterds+2009</t>
        </is>
      </c>
      <c r="P170" s="83" t="inlineStr">
        <is>
          <t>https://www.rottentomatoes.com/search?search=Inglourious+Basterds</t>
        </is>
      </c>
      <c r="Q170" s="83" t="inlineStr">
        <is>
          <t>https://letterboxd.com/search/Inglourious%20Basterds/</t>
        </is>
      </c>
      <c r="R170" s="83" t="inlineStr">
        <is>
          <t>https://www.metacritic.com/search/Inglourious+Basterds/</t>
        </is>
      </c>
    </row>
    <row r="171" ht="15.75" customHeight="1" s="108">
      <c r="A171" s="83" t="inlineStr">
        <is>
          <t>F0167</t>
        </is>
      </c>
      <c r="B171" s="83" t="inlineStr">
        <is>
          <t>Inside Out</t>
        </is>
      </c>
      <c r="C171" s="88" t="inlineStr">
        <is>
          <t>2015</t>
        </is>
      </c>
      <c r="D171" s="84" t="n"/>
      <c r="E171" s="89" t="n"/>
      <c r="F171" s="90" t="n"/>
      <c r="G171" s="91" t="n"/>
      <c r="H171" s="91" t="n"/>
      <c r="I171" s="92" t="n"/>
      <c r="J171" s="91" t="n"/>
      <c r="K171" s="89" t="n"/>
      <c r="L171" s="89">
        <f>IF(COUNT(E171,G171,H171,I171,J171,K171)=0,"",ROUND((IF(E171="",0,E171*10)+IF(G171="",0,G171)+IF(H171="",0,H171)+IF(I171="",0,I171*20)+IF(J171="",0,J171)+IF(K171="",0,K171*10))/COUNT(E171,G171,H171,I171,J171,K171),1))</f>
        <v/>
      </c>
      <c r="M171" s="83">
        <f>IF(L171="","",IF(L171&gt;=85,"Excellent",IF(L171&gt;=70,"Good",IF(L171&gt;=55,"Mixed","Poor"))))</f>
        <v/>
      </c>
      <c r="N171" s="96" t="n"/>
      <c r="O171" s="83" t="inlineStr">
        <is>
          <t>https://www.imdb.com/find/?q=Inside+Out+2015</t>
        </is>
      </c>
      <c r="P171" s="83" t="inlineStr">
        <is>
          <t>https://www.rottentomatoes.com/search?search=Inside+Out</t>
        </is>
      </c>
      <c r="Q171" s="83" t="inlineStr">
        <is>
          <t>https://letterboxd.com/search/Inside%20Out/</t>
        </is>
      </c>
      <c r="R171" s="83" t="inlineStr">
        <is>
          <t>https://www.metacritic.com/search/Inside+Out/</t>
        </is>
      </c>
    </row>
    <row r="172" ht="15.75" customHeight="1" s="108">
      <c r="A172" s="83" t="inlineStr">
        <is>
          <t>F0168</t>
        </is>
      </c>
      <c r="B172" s="83" t="inlineStr">
        <is>
          <t>Interstellar</t>
        </is>
      </c>
      <c r="C172" s="88" t="inlineStr">
        <is>
          <t>2014</t>
        </is>
      </c>
      <c r="D172" s="84" t="n"/>
      <c r="E172" s="89" t="n"/>
      <c r="F172" s="90" t="n"/>
      <c r="G172" s="91" t="n"/>
      <c r="H172" s="91" t="n"/>
      <c r="I172" s="92" t="n"/>
      <c r="J172" s="91" t="n"/>
      <c r="K172" s="89" t="n"/>
      <c r="L172" s="89">
        <f>IF(COUNT(E172,G172,H172,I172,J172,K172)=0,"",ROUND((IF(E172="",0,E172*10)+IF(G172="",0,G172)+IF(H172="",0,H172)+IF(I172="",0,I172*20)+IF(J172="",0,J172)+IF(K172="",0,K172*10))/COUNT(E172,G172,H172,I172,J172,K172),1))</f>
        <v/>
      </c>
      <c r="M172" s="83">
        <f>IF(L172="","",IF(L172&gt;=85,"Excellent",IF(L172&gt;=70,"Good",IF(L172&gt;=55,"Mixed","Poor"))))</f>
        <v/>
      </c>
      <c r="N172" s="96" t="n"/>
      <c r="O172" s="83" t="inlineStr">
        <is>
          <t>https://www.imdb.com/find/?q=Interstellar+2014</t>
        </is>
      </c>
      <c r="P172" s="83" t="inlineStr">
        <is>
          <t>https://www.rottentomatoes.com/search?search=Interstellar</t>
        </is>
      </c>
      <c r="Q172" s="83" t="inlineStr">
        <is>
          <t>https://letterboxd.com/search/Interstellar/</t>
        </is>
      </c>
      <c r="R172" s="83" t="inlineStr">
        <is>
          <t>https://www.metacritic.com/search/Interstellar/</t>
        </is>
      </c>
    </row>
    <row r="173" ht="15.75" customHeight="1" s="108">
      <c r="A173" s="83" t="inlineStr">
        <is>
          <t>F0169</t>
        </is>
      </c>
      <c r="B173" s="83" t="inlineStr">
        <is>
          <t>Iron Man 3</t>
        </is>
      </c>
      <c r="C173" s="88" t="inlineStr">
        <is>
          <t>2013</t>
        </is>
      </c>
      <c r="D173" s="84" t="n"/>
      <c r="E173" s="89" t="n"/>
      <c r="F173" s="90" t="n"/>
      <c r="G173" s="91" t="n"/>
      <c r="H173" s="91" t="n"/>
      <c r="I173" s="92" t="n"/>
      <c r="J173" s="91" t="n"/>
      <c r="K173" s="89" t="n"/>
      <c r="L173" s="89">
        <f>IF(COUNT(E173,G173,H173,I173,J173,K173)=0,"",ROUND((IF(E173="",0,E173*10)+IF(G173="",0,G173)+IF(H173="",0,H173)+IF(I173="",0,I173*20)+IF(J173="",0,J173)+IF(K173="",0,K173*10))/COUNT(E173,G173,H173,I173,J173,K173),1))</f>
        <v/>
      </c>
      <c r="M173" s="83">
        <f>IF(L173="","",IF(L173&gt;=85,"Excellent",IF(L173&gt;=70,"Good",IF(L173&gt;=55,"Mixed","Poor"))))</f>
        <v/>
      </c>
      <c r="N173" s="96" t="n"/>
      <c r="O173" s="83" t="inlineStr">
        <is>
          <t>https://www.imdb.com/find/?q=Iron+Man+3+2013</t>
        </is>
      </c>
      <c r="P173" s="83" t="inlineStr">
        <is>
          <t>https://www.rottentomatoes.com/search?search=Iron+Man+3</t>
        </is>
      </c>
      <c r="Q173" s="83" t="inlineStr">
        <is>
          <t>https://letterboxd.com/search/Iron%20Man%203/</t>
        </is>
      </c>
      <c r="R173" s="83" t="inlineStr">
        <is>
          <t>https://www.metacritic.com/search/Iron+Man+3/</t>
        </is>
      </c>
    </row>
    <row r="174" ht="15.75" customHeight="1" s="108">
      <c r="A174" s="83" t="inlineStr">
        <is>
          <t>F0170</t>
        </is>
      </c>
      <c r="B174" s="83" t="inlineStr">
        <is>
          <t>Jojo Rabbit</t>
        </is>
      </c>
      <c r="C174" s="88" t="inlineStr">
        <is>
          <t>2019</t>
        </is>
      </c>
      <c r="D174" s="84" t="n"/>
      <c r="E174" s="89" t="n"/>
      <c r="F174" s="90" t="n"/>
      <c r="G174" s="91" t="n"/>
      <c r="H174" s="91" t="n"/>
      <c r="I174" s="92" t="n"/>
      <c r="J174" s="91" t="n"/>
      <c r="K174" s="89" t="n"/>
      <c r="L174" s="89">
        <f>IF(COUNT(E174,G174,H174,I174,J174,K174)=0,"",ROUND((IF(E174="",0,E174*10)+IF(G174="",0,G174)+IF(H174="",0,H174)+IF(I174="",0,I174*20)+IF(J174="",0,J174)+IF(K174="",0,K174*10))/COUNT(E174,G174,H174,I174,J174,K174),1))</f>
        <v/>
      </c>
      <c r="M174" s="83">
        <f>IF(L174="","",IF(L174&gt;=85,"Excellent",IF(L174&gt;=70,"Good",IF(L174&gt;=55,"Mixed","Poor"))))</f>
        <v/>
      </c>
      <c r="N174" s="96" t="n"/>
      <c r="O174" s="83" t="inlineStr">
        <is>
          <t>https://www.imdb.com/find/?q=Jojo+Rabbit+2019</t>
        </is>
      </c>
      <c r="P174" s="83" t="inlineStr">
        <is>
          <t>https://www.rottentomatoes.com/search?search=Jojo+Rabbit</t>
        </is>
      </c>
      <c r="Q174" s="83" t="inlineStr">
        <is>
          <t>https://letterboxd.com/search/Jojo%20Rabbit/</t>
        </is>
      </c>
      <c r="R174" s="83" t="inlineStr">
        <is>
          <t>https://www.metacritic.com/search/Jojo+Rabbit/</t>
        </is>
      </c>
    </row>
    <row r="175" ht="15.75" customHeight="1" s="108">
      <c r="A175" s="83" t="inlineStr">
        <is>
          <t>F0171</t>
        </is>
      </c>
      <c r="B175" s="83" t="inlineStr">
        <is>
          <t>Jack Reacher</t>
        </is>
      </c>
      <c r="C175" s="88" t="inlineStr">
        <is>
          <t>2012</t>
        </is>
      </c>
      <c r="D175" s="84" t="n"/>
      <c r="E175" s="89" t="n"/>
      <c r="F175" s="90" t="n"/>
      <c r="G175" s="91" t="n"/>
      <c r="H175" s="91" t="n"/>
      <c r="I175" s="92" t="n"/>
      <c r="J175" s="91" t="n"/>
      <c r="K175" s="89" t="n"/>
      <c r="L175" s="89">
        <f>IF(COUNT(E175,G175,H175,I175,J175,K175)=0,"",ROUND((IF(E175="",0,E175*10)+IF(G175="",0,G175)+IF(H175="",0,H175)+IF(I175="",0,I175*20)+IF(J175="",0,J175)+IF(K175="",0,K175*10))/COUNT(E175,G175,H175,I175,J175,K175),1))</f>
        <v/>
      </c>
      <c r="M175" s="83">
        <f>IF(L175="","",IF(L175&gt;=85,"Excellent",IF(L175&gt;=70,"Good",IF(L175&gt;=55,"Mixed","Poor"))))</f>
        <v/>
      </c>
      <c r="N175" s="96" t="n"/>
      <c r="O175" s="83" t="inlineStr">
        <is>
          <t>https://www.imdb.com/find/?q=Jack+Reacher+2012</t>
        </is>
      </c>
      <c r="P175" s="83" t="inlineStr">
        <is>
          <t>https://www.rottentomatoes.com/search?search=Jack+Reacher</t>
        </is>
      </c>
      <c r="Q175" s="83" t="inlineStr">
        <is>
          <t>https://letterboxd.com/search/Jack%20Reacher/</t>
        </is>
      </c>
      <c r="R175" s="83" t="inlineStr">
        <is>
          <t>https://www.metacritic.com/search/Jack+Reacher/</t>
        </is>
      </c>
    </row>
    <row r="176" ht="15.75" customHeight="1" s="108">
      <c r="A176" s="83" t="inlineStr">
        <is>
          <t>F0172</t>
        </is>
      </c>
      <c r="B176" s="83" t="inlineStr">
        <is>
          <t>Jackass 3D</t>
        </is>
      </c>
      <c r="C176" s="88" t="inlineStr">
        <is>
          <t>2010</t>
        </is>
      </c>
      <c r="D176" s="84" t="n"/>
      <c r="E176" s="89" t="n"/>
      <c r="F176" s="90" t="n"/>
      <c r="G176" s="91" t="n"/>
      <c r="H176" s="91" t="n"/>
      <c r="I176" s="92" t="n"/>
      <c r="J176" s="91" t="n"/>
      <c r="K176" s="89" t="n"/>
      <c r="L176" s="89">
        <f>IF(COUNT(E176,G176,H176,I176,J176,K176)=0,"",ROUND((IF(E176="",0,E176*10)+IF(G176="",0,G176)+IF(H176="",0,H176)+IF(I176="",0,I176*20)+IF(J176="",0,J176)+IF(K176="",0,K176*10))/COUNT(E176,G176,H176,I176,J176,K176),1))</f>
        <v/>
      </c>
      <c r="M176" s="83">
        <f>IF(L176="","",IF(L176&gt;=85,"Excellent",IF(L176&gt;=70,"Good",IF(L176&gt;=55,"Mixed","Poor"))))</f>
        <v/>
      </c>
      <c r="N176" s="96" t="n"/>
      <c r="O176" s="83" t="inlineStr">
        <is>
          <t>https://www.imdb.com/find/?q=Jackass+3D+2010</t>
        </is>
      </c>
      <c r="P176" s="83" t="inlineStr">
        <is>
          <t>https://www.rottentomatoes.com/search?search=Jackass+3D</t>
        </is>
      </c>
      <c r="Q176" s="83" t="inlineStr">
        <is>
          <t>https://letterboxd.com/search/Jackass%203D/</t>
        </is>
      </c>
      <c r="R176" s="83" t="inlineStr">
        <is>
          <t>https://www.metacritic.com/search/Jackass+3D/</t>
        </is>
      </c>
    </row>
    <row r="177" ht="15.75" customHeight="1" s="108">
      <c r="A177" s="83" t="inlineStr">
        <is>
          <t>F0173</t>
        </is>
      </c>
      <c r="B177" s="83" t="inlineStr">
        <is>
          <t>Jonah Hex</t>
        </is>
      </c>
      <c r="C177" s="88" t="inlineStr">
        <is>
          <t>2010</t>
        </is>
      </c>
      <c r="D177" s="84" t="n"/>
      <c r="E177" s="89" t="n"/>
      <c r="F177" s="90" t="n"/>
      <c r="G177" s="91" t="n"/>
      <c r="H177" s="91" t="n"/>
      <c r="I177" s="92" t="n"/>
      <c r="J177" s="91" t="n"/>
      <c r="K177" s="89" t="n"/>
      <c r="L177" s="89">
        <f>IF(COUNT(E177,G177,H177,I177,J177,K177)=0,"",ROUND((IF(E177="",0,E177*10)+IF(G177="",0,G177)+IF(H177="",0,H177)+IF(I177="",0,I177*20)+IF(J177="",0,J177)+IF(K177="",0,K177*10))/COUNT(E177,G177,H177,I177,J177,K177),1))</f>
        <v/>
      </c>
      <c r="M177" s="83">
        <f>IF(L177="","",IF(L177&gt;=85,"Excellent",IF(L177&gt;=70,"Good",IF(L177&gt;=55,"Mixed","Poor"))))</f>
        <v/>
      </c>
      <c r="N177" s="96" t="n"/>
      <c r="O177" s="83" t="inlineStr">
        <is>
          <t>https://www.imdb.com/find/?q=Jonah+Hex+2010</t>
        </is>
      </c>
      <c r="P177" s="83" t="inlineStr">
        <is>
          <t>https://www.rottentomatoes.com/search?search=Jonah+Hex</t>
        </is>
      </c>
      <c r="Q177" s="83" t="inlineStr">
        <is>
          <t>https://letterboxd.com/search/Jonah%20Hex/</t>
        </is>
      </c>
      <c r="R177" s="83" t="inlineStr">
        <is>
          <t>https://www.metacritic.com/search/Jonah+Hex/</t>
        </is>
      </c>
    </row>
    <row r="178" ht="15.75" customHeight="1" s="108">
      <c r="A178" s="83" t="inlineStr">
        <is>
          <t>F0174</t>
        </is>
      </c>
      <c r="B178" s="83" t="inlineStr">
        <is>
          <t>Journey to the Center of the Earth</t>
        </is>
      </c>
      <c r="C178" s="88" t="inlineStr">
        <is>
          <t>2008</t>
        </is>
      </c>
      <c r="D178" s="84" t="n"/>
      <c r="E178" s="89" t="n"/>
      <c r="F178" s="90" t="n"/>
      <c r="G178" s="91" t="n"/>
      <c r="H178" s="91" t="n"/>
      <c r="I178" s="92" t="n"/>
      <c r="J178" s="91" t="n"/>
      <c r="K178" s="89" t="n"/>
      <c r="L178" s="89">
        <f>IF(COUNT(E178,G178,H178,I178,J178,K178)=0,"",ROUND((IF(E178="",0,E178*10)+IF(G178="",0,G178)+IF(H178="",0,H178)+IF(I178="",0,I178*20)+IF(J178="",0,J178)+IF(K178="",0,K178*10))/COUNT(E178,G178,H178,I178,J178,K178),1))</f>
        <v/>
      </c>
      <c r="M178" s="83">
        <f>IF(L178="","",IF(L178&gt;=85,"Excellent",IF(L178&gt;=70,"Good",IF(L178&gt;=55,"Mixed","Poor"))))</f>
        <v/>
      </c>
      <c r="N178" s="96" t="n"/>
      <c r="O178" s="83" t="inlineStr">
        <is>
          <t>https://www.imdb.com/find/?q=Journey+to+the+Center+of+the+Earth+2008</t>
        </is>
      </c>
      <c r="P178" s="83" t="inlineStr">
        <is>
          <t>https://www.rottentomatoes.com/search?search=Journey+to+the+Center+of+the+Earth</t>
        </is>
      </c>
      <c r="Q178" s="83" t="inlineStr">
        <is>
          <t>https://letterboxd.com/search/Journey%20to%20the%20Center%20of%20the%20Earth/</t>
        </is>
      </c>
      <c r="R178" s="83" t="inlineStr">
        <is>
          <t>https://www.metacritic.com/search/Journey+to+the+Center+of+the+Earth/</t>
        </is>
      </c>
    </row>
    <row r="179" ht="15.75" customHeight="1" s="108">
      <c r="A179" s="83" t="inlineStr">
        <is>
          <t>F0175</t>
        </is>
      </c>
      <c r="B179" s="83" t="inlineStr">
        <is>
          <t>Jumper</t>
        </is>
      </c>
      <c r="C179" s="88" t="inlineStr">
        <is>
          <t>2008</t>
        </is>
      </c>
      <c r="D179" s="84" t="n"/>
      <c r="E179" s="89" t="n"/>
      <c r="F179" s="90" t="n"/>
      <c r="G179" s="91" t="n"/>
      <c r="H179" s="91" t="n"/>
      <c r="I179" s="92" t="n"/>
      <c r="J179" s="91" t="n"/>
      <c r="K179" s="89" t="n"/>
      <c r="L179" s="89">
        <f>IF(COUNT(E179,G179,H179,I179,J179,K179)=0,"",ROUND((IF(E179="",0,E179*10)+IF(G179="",0,G179)+IF(H179="",0,H179)+IF(I179="",0,I179*20)+IF(J179="",0,J179)+IF(K179="",0,K179*10))/COUNT(E179,G179,H179,I179,J179,K179),1))</f>
        <v/>
      </c>
      <c r="M179" s="83">
        <f>IF(L179="","",IF(L179&gt;=85,"Excellent",IF(L179&gt;=70,"Good",IF(L179&gt;=55,"Mixed","Poor"))))</f>
        <v/>
      </c>
      <c r="N179" s="96" t="n"/>
      <c r="O179" s="83" t="inlineStr">
        <is>
          <t>https://www.imdb.com/find/?q=Jumper+2008</t>
        </is>
      </c>
      <c r="P179" s="83" t="inlineStr">
        <is>
          <t>https://www.rottentomatoes.com/search?search=Jumper</t>
        </is>
      </c>
      <c r="Q179" s="83" t="inlineStr">
        <is>
          <t>https://letterboxd.com/search/Jumper/</t>
        </is>
      </c>
      <c r="R179" s="83" t="inlineStr">
        <is>
          <t>https://www.metacritic.com/search/Jumper/</t>
        </is>
      </c>
    </row>
    <row r="180" ht="15.75" customHeight="1" s="108">
      <c r="A180" s="83" t="inlineStr">
        <is>
          <t>F0176</t>
        </is>
      </c>
      <c r="B180" s="83" t="inlineStr">
        <is>
          <t>Jurassic Park</t>
        </is>
      </c>
      <c r="C180" s="88" t="inlineStr">
        <is>
          <t>1993</t>
        </is>
      </c>
      <c r="D180" s="84" t="n"/>
      <c r="E180" s="89" t="n"/>
      <c r="F180" s="90" t="n"/>
      <c r="G180" s="91" t="n"/>
      <c r="H180" s="91" t="n"/>
      <c r="I180" s="92" t="n"/>
      <c r="J180" s="91" t="n"/>
      <c r="K180" s="89" t="n"/>
      <c r="L180" s="89">
        <f>IF(COUNT(E180,G180,H180,I180,J180,K180)=0,"",ROUND((IF(E180="",0,E180*10)+IF(G180="",0,G180)+IF(H180="",0,H180)+IF(I180="",0,I180*20)+IF(J180="",0,J180)+IF(K180="",0,K180*10))/COUNT(E180,G180,H180,I180,J180,K180),1))</f>
        <v/>
      </c>
      <c r="M180" s="83">
        <f>IF(L180="","",IF(L180&gt;=85,"Excellent",IF(L180&gt;=70,"Good",IF(L180&gt;=55,"Mixed","Poor"))))</f>
        <v/>
      </c>
      <c r="N180" s="96" t="n"/>
      <c r="O180" s="83" t="inlineStr">
        <is>
          <t>https://www.imdb.com/find/?q=Jurassic+Park+1993</t>
        </is>
      </c>
      <c r="P180" s="83" t="inlineStr">
        <is>
          <t>https://www.rottentomatoes.com/search?search=Jurassic+Park</t>
        </is>
      </c>
      <c r="Q180" s="83" t="inlineStr">
        <is>
          <t>https://letterboxd.com/search/Jurassic%20Park/</t>
        </is>
      </c>
      <c r="R180" s="83" t="inlineStr">
        <is>
          <t>https://www.metacritic.com/search/Jurassic+Park/</t>
        </is>
      </c>
    </row>
    <row r="181" ht="15.75" customHeight="1" s="108">
      <c r="A181" s="83" t="inlineStr">
        <is>
          <t>F0177</t>
        </is>
      </c>
      <c r="B181" s="83" t="inlineStr">
        <is>
          <t>The Lost World: Jurassic Park</t>
        </is>
      </c>
      <c r="C181" s="88" t="inlineStr">
        <is>
          <t>1997</t>
        </is>
      </c>
      <c r="D181" s="84" t="n"/>
      <c r="E181" s="89" t="n"/>
      <c r="F181" s="90" t="n"/>
      <c r="G181" s="91" t="n"/>
      <c r="H181" s="91" t="n"/>
      <c r="I181" s="92" t="n"/>
      <c r="J181" s="91" t="n"/>
      <c r="K181" s="89" t="n"/>
      <c r="L181" s="89">
        <f>IF(COUNT(E181,G181,H181,I181,J181,K181)=0,"",ROUND((IF(E181="",0,E181*10)+IF(G181="",0,G181)+IF(H181="",0,H181)+IF(I181="",0,I181*20)+IF(J181="",0,J181)+IF(K181="",0,K181*10))/COUNT(E181,G181,H181,I181,J181,K181),1))</f>
        <v/>
      </c>
      <c r="M181" s="83">
        <f>IF(L181="","",IF(L181&gt;=85,"Excellent",IF(L181&gt;=70,"Good",IF(L181&gt;=55,"Mixed","Poor"))))</f>
        <v/>
      </c>
      <c r="N181" s="96" t="n"/>
      <c r="O181" s="83" t="inlineStr">
        <is>
          <t>https://www.imdb.com/find/?q=The+Lost+World%3A+Jurassic+Park+1997</t>
        </is>
      </c>
      <c r="P181" s="83" t="inlineStr">
        <is>
          <t>https://www.rottentomatoes.com/search?search=The+Lost+World%3A+Jurassic+Park</t>
        </is>
      </c>
      <c r="Q181" s="83" t="inlineStr">
        <is>
          <t>https://letterboxd.com/search/The%20Lost%20World%3A%20Jurassic%20Park/</t>
        </is>
      </c>
      <c r="R181" s="83" t="inlineStr">
        <is>
          <t>https://www.metacritic.com/search/The+Lost+World%3A+Jurassic+Park/</t>
        </is>
      </c>
    </row>
    <row r="182" ht="15.75" customHeight="1" s="108">
      <c r="A182" s="83" t="inlineStr">
        <is>
          <t>F0178</t>
        </is>
      </c>
      <c r="B182" s="83" t="inlineStr">
        <is>
          <t>Jurassic Park III</t>
        </is>
      </c>
      <c r="C182" s="88" t="inlineStr">
        <is>
          <t>2001</t>
        </is>
      </c>
      <c r="D182" s="84" t="n"/>
      <c r="E182" s="89" t="n"/>
      <c r="F182" s="90" t="n"/>
      <c r="G182" s="91" t="n"/>
      <c r="H182" s="91" t="n"/>
      <c r="I182" s="92" t="n"/>
      <c r="J182" s="91" t="n"/>
      <c r="K182" s="89" t="n"/>
      <c r="L182" s="89">
        <f>IF(COUNT(E182,G182,H182,I182,J182,K182)=0,"",ROUND((IF(E182="",0,E182*10)+IF(G182="",0,G182)+IF(H182="",0,H182)+IF(I182="",0,I182*20)+IF(J182="",0,J182)+IF(K182="",0,K182*10))/COUNT(E182,G182,H182,I182,J182,K182),1))</f>
        <v/>
      </c>
      <c r="M182" s="83">
        <f>IF(L182="","",IF(L182&gt;=85,"Excellent",IF(L182&gt;=70,"Good",IF(L182&gt;=55,"Mixed","Poor"))))</f>
        <v/>
      </c>
      <c r="N182" s="96" t="n"/>
      <c r="O182" s="83" t="inlineStr">
        <is>
          <t>https://www.imdb.com/find/?q=Jurassic+Park+III+2001</t>
        </is>
      </c>
      <c r="P182" s="83" t="inlineStr">
        <is>
          <t>https://www.rottentomatoes.com/search?search=Jurassic+Park+III</t>
        </is>
      </c>
      <c r="Q182" s="83" t="inlineStr">
        <is>
          <t>https://letterboxd.com/search/Jurassic%20Park%20III/</t>
        </is>
      </c>
      <c r="R182" s="83" t="inlineStr">
        <is>
          <t>https://www.metacritic.com/search/Jurassic+Park+III/</t>
        </is>
      </c>
    </row>
    <row r="183" ht="15.75" customHeight="1" s="108">
      <c r="A183" s="83" t="inlineStr">
        <is>
          <t>F0179</t>
        </is>
      </c>
      <c r="B183" s="83" t="inlineStr">
        <is>
          <t>Jurassic World</t>
        </is>
      </c>
      <c r="C183" s="88" t="inlineStr">
        <is>
          <t>2015</t>
        </is>
      </c>
      <c r="D183" s="84" t="n"/>
      <c r="E183" s="89" t="n"/>
      <c r="F183" s="90" t="n"/>
      <c r="G183" s="91" t="n"/>
      <c r="H183" s="91" t="n"/>
      <c r="I183" s="92" t="n"/>
      <c r="J183" s="91" t="n"/>
      <c r="K183" s="89" t="n"/>
      <c r="L183" s="89">
        <f>IF(COUNT(E183,G183,H183,I183,J183,K183)=0,"",ROUND((IF(E183="",0,E183*10)+IF(G183="",0,G183)+IF(H183="",0,H183)+IF(I183="",0,I183*20)+IF(J183="",0,J183)+IF(K183="",0,K183*10))/COUNT(E183,G183,H183,I183,J183,K183),1))</f>
        <v/>
      </c>
      <c r="M183" s="83">
        <f>IF(L183="","",IF(L183&gt;=85,"Excellent",IF(L183&gt;=70,"Good",IF(L183&gt;=55,"Mixed","Poor"))))</f>
        <v/>
      </c>
      <c r="N183" s="96" t="n"/>
      <c r="O183" s="83" t="inlineStr">
        <is>
          <t>https://www.imdb.com/find/?q=Jurassic+World+2015</t>
        </is>
      </c>
      <c r="P183" s="83" t="inlineStr">
        <is>
          <t>https://www.rottentomatoes.com/search?search=Jurassic+World</t>
        </is>
      </c>
      <c r="Q183" s="83" t="inlineStr">
        <is>
          <t>https://letterboxd.com/search/Jurassic%20World/</t>
        </is>
      </c>
      <c r="R183" s="83" t="inlineStr">
        <is>
          <t>https://www.metacritic.com/search/Jurassic+World/</t>
        </is>
      </c>
    </row>
    <row r="184" ht="15.75" customHeight="1" s="108">
      <c r="A184" s="83" t="inlineStr">
        <is>
          <t>F0180</t>
        </is>
      </c>
      <c r="B184" s="83" t="inlineStr">
        <is>
          <t>Jurassic World: Fallen Kingdom</t>
        </is>
      </c>
      <c r="C184" s="88" t="inlineStr">
        <is>
          <t>2018</t>
        </is>
      </c>
      <c r="D184" s="84" t="n"/>
      <c r="E184" s="89" t="n"/>
      <c r="F184" s="90" t="n"/>
      <c r="G184" s="91" t="n"/>
      <c r="H184" s="91" t="n"/>
      <c r="I184" s="92" t="n"/>
      <c r="J184" s="91" t="n"/>
      <c r="K184" s="89" t="n"/>
      <c r="L184" s="89">
        <f>IF(COUNT(E184,G184,H184,I184,J184,K184)=0,"",ROUND((IF(E184="",0,E184*10)+IF(G184="",0,G184)+IF(H184="",0,H184)+IF(I184="",0,I184*20)+IF(J184="",0,J184)+IF(K184="",0,K184*10))/COUNT(E184,G184,H184,I184,J184,K184),1))</f>
        <v/>
      </c>
      <c r="M184" s="83">
        <f>IF(L184="","",IF(L184&gt;=85,"Excellent",IF(L184&gt;=70,"Good",IF(L184&gt;=55,"Mixed","Poor"))))</f>
        <v/>
      </c>
      <c r="N184" s="96" t="n"/>
      <c r="O184" s="83" t="inlineStr">
        <is>
          <t>https://www.imdb.com/find/?q=Jurassic+World%3A+Fallen+Kingdom+2018</t>
        </is>
      </c>
      <c r="P184" s="83" t="inlineStr">
        <is>
          <t>https://www.rottentomatoes.com/search?search=Jurassic+World%3A+Fallen+Kingdom</t>
        </is>
      </c>
      <c r="Q184" s="83" t="inlineStr">
        <is>
          <t>https://letterboxd.com/search/Jurassic%20World%3A%20Fallen%20Kingdom/</t>
        </is>
      </c>
      <c r="R184" s="83" t="inlineStr">
        <is>
          <t>https://www.metacritic.com/search/Jurassic+World%3A+Fallen+Kingdom/</t>
        </is>
      </c>
    </row>
    <row r="185" ht="15.75" customHeight="1" s="108">
      <c r="A185" s="83" t="inlineStr">
        <is>
          <t>F0181</t>
        </is>
      </c>
      <c r="B185" s="83" t="inlineStr">
        <is>
          <t>Jurassic World Dominion</t>
        </is>
      </c>
      <c r="C185" s="88" t="inlineStr">
        <is>
          <t>2022</t>
        </is>
      </c>
      <c r="D185" s="84" t="n"/>
      <c r="E185" s="89" t="n"/>
      <c r="F185" s="90" t="n"/>
      <c r="G185" s="91" t="n"/>
      <c r="H185" s="91" t="n"/>
      <c r="I185" s="92" t="n"/>
      <c r="J185" s="91" t="n"/>
      <c r="K185" s="89" t="n"/>
      <c r="L185" s="89">
        <f>IF(COUNT(E185,G185,H185,I185,J185,K185)=0,"",ROUND((IF(E185="",0,E185*10)+IF(G185="",0,G185)+IF(H185="",0,H185)+IF(I185="",0,I185*20)+IF(J185="",0,J185)+IF(K185="",0,K185*10))/COUNT(E185,G185,H185,I185,J185,K185),1))</f>
        <v/>
      </c>
      <c r="M185" s="83">
        <f>IF(L185="","",IF(L185&gt;=85,"Excellent",IF(L185&gt;=70,"Good",IF(L185&gt;=55,"Mixed","Poor"))))</f>
        <v/>
      </c>
      <c r="N185" s="96" t="n"/>
      <c r="O185" s="83" t="inlineStr">
        <is>
          <t>https://www.imdb.com/find/?q=Jurassic+World+Dominion+2022</t>
        </is>
      </c>
      <c r="P185" s="83" t="inlineStr">
        <is>
          <t>https://www.rottentomatoes.com/search?search=Jurassic+World+Dominion</t>
        </is>
      </c>
      <c r="Q185" s="83" t="inlineStr">
        <is>
          <t>https://letterboxd.com/search/Jurassic%20World%20Dominion/</t>
        </is>
      </c>
      <c r="R185" s="83" t="inlineStr">
        <is>
          <t>https://www.metacritic.com/search/Jurassic+World+Dominion/</t>
        </is>
      </c>
    </row>
    <row r="186" ht="15.75" customHeight="1" s="108">
      <c r="A186" s="83" t="inlineStr">
        <is>
          <t>F0182</t>
        </is>
      </c>
      <c r="B186" s="83" t="inlineStr">
        <is>
          <t>Jurassic World Rebirth</t>
        </is>
      </c>
      <c r="C186" s="88" t="inlineStr">
        <is>
          <t>2025</t>
        </is>
      </c>
      <c r="D186" s="84" t="n"/>
      <c r="E186" s="89" t="n"/>
      <c r="F186" s="90" t="n"/>
      <c r="G186" s="91" t="n"/>
      <c r="H186" s="91" t="n"/>
      <c r="I186" s="92" t="n"/>
      <c r="J186" s="91" t="n"/>
      <c r="K186" s="89" t="n"/>
      <c r="L186" s="89">
        <f>IF(COUNT(E186,G186,H186,I186,J186,K186)=0,"",ROUND((IF(E186="",0,E186*10)+IF(G186="",0,G186)+IF(H186="",0,H186)+IF(I186="",0,I186*20)+IF(J186="",0,J186)+IF(K186="",0,K186*10))/COUNT(E186,G186,H186,I186,J186,K186),1))</f>
        <v/>
      </c>
      <c r="M186" s="83">
        <f>IF(L186="","",IF(L186&gt;=85,"Excellent",IF(L186&gt;=70,"Good",IF(L186&gt;=55,"Mixed","Poor"))))</f>
        <v/>
      </c>
      <c r="N186" s="96" t="n"/>
      <c r="O186" s="83" t="inlineStr">
        <is>
          <t>https://www.imdb.com/find/?q=Jurassic+World+Rebirth+2025</t>
        </is>
      </c>
      <c r="P186" s="83" t="inlineStr">
        <is>
          <t>https://www.rottentomatoes.com/search?search=Jurassic+World+Rebirth</t>
        </is>
      </c>
      <c r="Q186" s="83" t="inlineStr">
        <is>
          <t>https://letterboxd.com/search/Jurassic%20World%20Rebirth/</t>
        </is>
      </c>
      <c r="R186" s="83" t="inlineStr">
        <is>
          <t>https://www.metacritic.com/search/Jurassic+World+Rebirth/</t>
        </is>
      </c>
    </row>
    <row r="187" ht="15.75" customHeight="1" s="108">
      <c r="A187" s="83" t="inlineStr">
        <is>
          <t>F0183</t>
        </is>
      </c>
      <c r="B187" s="83" t="inlineStr">
        <is>
          <t>Just Go with It</t>
        </is>
      </c>
      <c r="C187" s="88" t="inlineStr">
        <is>
          <t>2011</t>
        </is>
      </c>
      <c r="D187" s="84" t="n"/>
      <c r="E187" s="89" t="n"/>
      <c r="F187" s="90" t="n"/>
      <c r="G187" s="91" t="n"/>
      <c r="H187" s="91" t="n"/>
      <c r="I187" s="92" t="n"/>
      <c r="J187" s="91" t="n"/>
      <c r="K187" s="89" t="n"/>
      <c r="L187" s="89">
        <f>IF(COUNT(E187,G187,H187,I187,J187,K187)=0,"",ROUND((IF(E187="",0,E187*10)+IF(G187="",0,G187)+IF(H187="",0,H187)+IF(I187="",0,I187*20)+IF(J187="",0,J187)+IF(K187="",0,K187*10))/COUNT(E187,G187,H187,I187,J187,K187),1))</f>
        <v/>
      </c>
      <c r="M187" s="83">
        <f>IF(L187="","",IF(L187&gt;=85,"Excellent",IF(L187&gt;=70,"Good",IF(L187&gt;=55,"Mixed","Poor"))))</f>
        <v/>
      </c>
      <c r="N187" s="96" t="n"/>
      <c r="O187" s="83" t="inlineStr">
        <is>
          <t>https://www.imdb.com/find/?q=Just+Go+with+It+2011</t>
        </is>
      </c>
      <c r="P187" s="83" t="inlineStr">
        <is>
          <t>https://www.rottentomatoes.com/search?search=Just+Go+with+It</t>
        </is>
      </c>
      <c r="Q187" s="83" t="inlineStr">
        <is>
          <t>https://letterboxd.com/search/Just%20Go%20with%20It/</t>
        </is>
      </c>
      <c r="R187" s="83" t="inlineStr">
        <is>
          <t>https://www.metacritic.com/search/Just+Go+with+It/</t>
        </is>
      </c>
    </row>
    <row r="188" ht="15.75" customHeight="1" s="108">
      <c r="A188" s="83" t="inlineStr">
        <is>
          <t>F0184</t>
        </is>
      </c>
      <c r="B188" s="83" t="inlineStr">
        <is>
          <t>The Karate Kid</t>
        </is>
      </c>
      <c r="C188" s="88" t="inlineStr">
        <is>
          <t>2010</t>
        </is>
      </c>
      <c r="D188" s="84" t="n"/>
      <c r="E188" s="89" t="n"/>
      <c r="F188" s="90" t="n"/>
      <c r="G188" s="91" t="n"/>
      <c r="H188" s="91" t="n"/>
      <c r="I188" s="92" t="n"/>
      <c r="J188" s="91" t="n"/>
      <c r="K188" s="89" t="n"/>
      <c r="L188" s="89">
        <f>IF(COUNT(E188,G188,H188,I188,J188,K188)=0,"",ROUND((IF(E188="",0,E188*10)+IF(G188="",0,G188)+IF(H188="",0,H188)+IF(I188="",0,I188*20)+IF(J188="",0,J188)+IF(K188="",0,K188*10))/COUNT(E188,G188,H188,I188,J188,K188),1))</f>
        <v/>
      </c>
      <c r="M188" s="83">
        <f>IF(L188="","",IF(L188&gt;=85,"Excellent",IF(L188&gt;=70,"Good",IF(L188&gt;=55,"Mixed","Poor"))))</f>
        <v/>
      </c>
      <c r="N188" s="96" t="n"/>
      <c r="O188" s="83" t="inlineStr">
        <is>
          <t>https://www.imdb.com/find/?q=The+Karate+Kid+2010</t>
        </is>
      </c>
      <c r="P188" s="83" t="inlineStr">
        <is>
          <t>https://www.rottentomatoes.com/search?search=The+Karate+Kid</t>
        </is>
      </c>
      <c r="Q188" s="83" t="inlineStr">
        <is>
          <t>https://letterboxd.com/search/The%20Karate%20Kid/</t>
        </is>
      </c>
      <c r="R188" s="83" t="inlineStr">
        <is>
          <t>https://www.metacritic.com/search/The+Karate+Kid/</t>
        </is>
      </c>
    </row>
    <row r="189" ht="15.75" customHeight="1" s="108">
      <c r="A189" s="83" t="inlineStr">
        <is>
          <t>F0185</t>
        </is>
      </c>
      <c r="B189" s="83" t="inlineStr">
        <is>
          <t>Kick-Ass</t>
        </is>
      </c>
      <c r="C189" s="88" t="inlineStr">
        <is>
          <t>2010</t>
        </is>
      </c>
      <c r="D189" s="84" t="n"/>
      <c r="E189" s="89" t="n"/>
      <c r="F189" s="90" t="n"/>
      <c r="G189" s="91" t="n"/>
      <c r="H189" s="91" t="n"/>
      <c r="I189" s="92" t="n"/>
      <c r="J189" s="91" t="n"/>
      <c r="K189" s="89" t="n"/>
      <c r="L189" s="89">
        <f>IF(COUNT(E189,G189,H189,I189,J189,K189)=0,"",ROUND((IF(E189="",0,E189*10)+IF(G189="",0,G189)+IF(H189="",0,H189)+IF(I189="",0,I189*20)+IF(J189="",0,J189)+IF(K189="",0,K189*10))/COUNT(E189,G189,H189,I189,J189,K189),1))</f>
        <v/>
      </c>
      <c r="M189" s="83">
        <f>IF(L189="","",IF(L189&gt;=85,"Excellent",IF(L189&gt;=70,"Good",IF(L189&gt;=55,"Mixed","Poor"))))</f>
        <v/>
      </c>
      <c r="N189" s="96" t="n"/>
      <c r="O189" s="83" t="inlineStr">
        <is>
          <t>https://www.imdb.com/find/?q=Kick-Ass+2010</t>
        </is>
      </c>
      <c r="P189" s="83" t="inlineStr">
        <is>
          <t>https://www.rottentomatoes.com/search?search=Kick-Ass</t>
        </is>
      </c>
      <c r="Q189" s="83" t="inlineStr">
        <is>
          <t>https://letterboxd.com/search/Kick-Ass/</t>
        </is>
      </c>
      <c r="R189" s="83" t="inlineStr">
        <is>
          <t>https://www.metacritic.com/search/Kick-Ass/</t>
        </is>
      </c>
    </row>
    <row r="190" ht="15.75" customHeight="1" s="108">
      <c r="A190" s="83" t="inlineStr">
        <is>
          <t>F0186</t>
        </is>
      </c>
      <c r="B190" s="83" t="inlineStr">
        <is>
          <t>Kick-Ass 2</t>
        </is>
      </c>
      <c r="C190" s="88" t="inlineStr">
        <is>
          <t>2013</t>
        </is>
      </c>
      <c r="D190" s="84" t="n"/>
      <c r="E190" s="89" t="n"/>
      <c r="F190" s="90" t="n"/>
      <c r="G190" s="91" t="n"/>
      <c r="H190" s="91" t="n"/>
      <c r="I190" s="92" t="n"/>
      <c r="J190" s="91" t="n"/>
      <c r="K190" s="89" t="n"/>
      <c r="L190" s="89">
        <f>IF(COUNT(E190,G190,H190,I190,J190,K190)=0,"",ROUND((IF(E190="",0,E190*10)+IF(G190="",0,G190)+IF(H190="",0,H190)+IF(I190="",0,I190*20)+IF(J190="",0,J190)+IF(K190="",0,K190*10))/COUNT(E190,G190,H190,I190,J190,K190),1))</f>
        <v/>
      </c>
      <c r="M190" s="83">
        <f>IF(L190="","",IF(L190&gt;=85,"Excellent",IF(L190&gt;=70,"Good",IF(L190&gt;=55,"Mixed","Poor"))))</f>
        <v/>
      </c>
      <c r="N190" s="96" t="n"/>
      <c r="O190" s="83" t="inlineStr">
        <is>
          <t>https://www.imdb.com/find/?q=Kick-Ass+2+2013</t>
        </is>
      </c>
      <c r="P190" s="83" t="inlineStr">
        <is>
          <t>https://www.rottentomatoes.com/search?search=Kick-Ass+2</t>
        </is>
      </c>
      <c r="Q190" s="83" t="inlineStr">
        <is>
          <t>https://letterboxd.com/search/Kick-Ass%202/</t>
        </is>
      </c>
      <c r="R190" s="83" t="inlineStr">
        <is>
          <t>https://www.metacritic.com/search/Kick-Ass+2/</t>
        </is>
      </c>
    </row>
    <row r="191" ht="15.75" customHeight="1" s="108">
      <c r="A191" s="83" t="inlineStr">
        <is>
          <t>F0187</t>
        </is>
      </c>
      <c r="B191" s="83" t="inlineStr">
        <is>
          <t>Killing Them Softly</t>
        </is>
      </c>
      <c r="C191" s="88" t="inlineStr">
        <is>
          <t>2012</t>
        </is>
      </c>
      <c r="D191" s="84" t="n"/>
      <c r="E191" s="89" t="n"/>
      <c r="F191" s="90" t="n"/>
      <c r="G191" s="91" t="n"/>
      <c r="H191" s="91" t="n"/>
      <c r="I191" s="92" t="n"/>
      <c r="J191" s="91" t="n"/>
      <c r="K191" s="89" t="n"/>
      <c r="L191" s="89">
        <f>IF(COUNT(E191,G191,H191,I191,J191,K191)=0,"",ROUND((IF(E191="",0,E191*10)+IF(G191="",0,G191)+IF(H191="",0,H191)+IF(I191="",0,I191*20)+IF(J191="",0,J191)+IF(K191="",0,K191*10))/COUNT(E191,G191,H191,I191,J191,K191),1))</f>
        <v/>
      </c>
      <c r="M191" s="83">
        <f>IF(L191="","",IF(L191&gt;=85,"Excellent",IF(L191&gt;=70,"Good",IF(L191&gt;=55,"Mixed","Poor"))))</f>
        <v/>
      </c>
      <c r="N191" s="96" t="n"/>
      <c r="O191" s="83" t="inlineStr">
        <is>
          <t>https://www.imdb.com/find/?q=Killing+Them+Softly+2012</t>
        </is>
      </c>
      <c r="P191" s="83" t="inlineStr">
        <is>
          <t>https://www.rottentomatoes.com/search?search=Killing+Them+Softly</t>
        </is>
      </c>
      <c r="Q191" s="83" t="inlineStr">
        <is>
          <t>https://letterboxd.com/search/Killing%20Them%20Softly/</t>
        </is>
      </c>
      <c r="R191" s="83" t="inlineStr">
        <is>
          <t>https://www.metacritic.com/search/Killing+Them+Softly/</t>
        </is>
      </c>
    </row>
    <row r="192" ht="15.75" customHeight="1" s="108">
      <c r="A192" s="83" t="inlineStr">
        <is>
          <t>F0188</t>
        </is>
      </c>
      <c r="B192" s="83" t="inlineStr">
        <is>
          <t>King Kong</t>
        </is>
      </c>
      <c r="C192" s="88" t="inlineStr">
        <is>
          <t>2005</t>
        </is>
      </c>
      <c r="D192" s="84" t="n"/>
      <c r="E192" s="89" t="n"/>
      <c r="F192" s="90" t="n"/>
      <c r="G192" s="91" t="n"/>
      <c r="H192" s="91" t="n"/>
      <c r="I192" s="92" t="n"/>
      <c r="J192" s="91" t="n"/>
      <c r="K192" s="89" t="n"/>
      <c r="L192" s="89">
        <f>IF(COUNT(E192,G192,H192,I192,J192,K192)=0,"",ROUND((IF(E192="",0,E192*10)+IF(G192="",0,G192)+IF(H192="",0,H192)+IF(I192="",0,I192*20)+IF(J192="",0,J192)+IF(K192="",0,K192*10))/COUNT(E192,G192,H192,I192,J192,K192),1))</f>
        <v/>
      </c>
      <c r="M192" s="83">
        <f>IF(L192="","",IF(L192&gt;=85,"Excellent",IF(L192&gt;=70,"Good",IF(L192&gt;=55,"Mixed","Poor"))))</f>
        <v/>
      </c>
      <c r="N192" s="96" t="n"/>
      <c r="O192" s="83" t="inlineStr">
        <is>
          <t>https://www.imdb.com/find/?q=King+Kong+2005</t>
        </is>
      </c>
      <c r="P192" s="83" t="inlineStr">
        <is>
          <t>https://www.rottentomatoes.com/search?search=King+Kong</t>
        </is>
      </c>
      <c r="Q192" s="83" t="inlineStr">
        <is>
          <t>https://letterboxd.com/search/King%20Kong/</t>
        </is>
      </c>
      <c r="R192" s="83" t="inlineStr">
        <is>
          <t>https://www.metacritic.com/search/King+Kong/</t>
        </is>
      </c>
    </row>
    <row r="193" ht="15.75" customHeight="1" s="108">
      <c r="A193" s="83" t="inlineStr">
        <is>
          <t>F0189</t>
        </is>
      </c>
      <c r="B193" s="83" t="inlineStr">
        <is>
          <t>The King's Speech</t>
        </is>
      </c>
      <c r="C193" s="88" t="inlineStr">
        <is>
          <t>2010</t>
        </is>
      </c>
      <c r="D193" s="84" t="n"/>
      <c r="E193" s="89" t="n"/>
      <c r="F193" s="90" t="n"/>
      <c r="G193" s="91" t="n"/>
      <c r="H193" s="91" t="n"/>
      <c r="I193" s="92" t="n"/>
      <c r="J193" s="91" t="n"/>
      <c r="K193" s="89" t="n"/>
      <c r="L193" s="89">
        <f>IF(COUNT(E193,G193,H193,I193,J193,K193)=0,"",ROUND((IF(E193="",0,E193*10)+IF(G193="",0,G193)+IF(H193="",0,H193)+IF(I193="",0,I193*20)+IF(J193="",0,J193)+IF(K193="",0,K193*10))/COUNT(E193,G193,H193,I193,J193,K193),1))</f>
        <v/>
      </c>
      <c r="M193" s="83">
        <f>IF(L193="","",IF(L193&gt;=85,"Excellent",IF(L193&gt;=70,"Good",IF(L193&gt;=55,"Mixed","Poor"))))</f>
        <v/>
      </c>
      <c r="N193" s="96" t="n"/>
      <c r="O193" s="83" t="inlineStr">
        <is>
          <t>https://www.imdb.com/find/?q=The+King%27s+Speech+2010</t>
        </is>
      </c>
      <c r="P193" s="83" t="inlineStr">
        <is>
          <t>https://www.rottentomatoes.com/search?search=The+King%27s+Speech</t>
        </is>
      </c>
      <c r="Q193" s="83" t="inlineStr">
        <is>
          <t>https://letterboxd.com/search/The%20King%27s%20Speech/</t>
        </is>
      </c>
      <c r="R193" s="83" t="inlineStr">
        <is>
          <t>https://www.metacritic.com/search/The+King%27s+Speech/</t>
        </is>
      </c>
    </row>
    <row r="194" ht="15.75" customHeight="1" s="108">
      <c r="A194" s="83" t="inlineStr">
        <is>
          <t>F0190</t>
        </is>
      </c>
      <c r="B194" s="83" t="inlineStr">
        <is>
          <t>Kong: Skull Island</t>
        </is>
      </c>
      <c r="C194" s="88" t="inlineStr">
        <is>
          <t>2017</t>
        </is>
      </c>
      <c r="D194" s="84" t="n"/>
      <c r="E194" s="89" t="n"/>
      <c r="F194" s="90" t="n"/>
      <c r="G194" s="91" t="n"/>
      <c r="H194" s="91" t="n"/>
      <c r="I194" s="92" t="n"/>
      <c r="J194" s="91" t="n"/>
      <c r="K194" s="89" t="n"/>
      <c r="L194" s="89">
        <f>IF(COUNT(E194,G194,H194,I194,J194,K194)=0,"",ROUND((IF(E194="",0,E194*10)+IF(G194="",0,G194)+IF(H194="",0,H194)+IF(I194="",0,I194*20)+IF(J194="",0,J194)+IF(K194="",0,K194*10))/COUNT(E194,G194,H194,I194,J194,K194),1))</f>
        <v/>
      </c>
      <c r="M194" s="83">
        <f>IF(L194="","",IF(L194&gt;=85,"Excellent",IF(L194&gt;=70,"Good",IF(L194&gt;=55,"Mixed","Poor"))))</f>
        <v/>
      </c>
      <c r="N194" s="96" t="n"/>
      <c r="O194" s="83" t="inlineStr">
        <is>
          <t>https://www.imdb.com/find/?q=Kong%3A+Skull+Island+2017</t>
        </is>
      </c>
      <c r="P194" s="83" t="inlineStr">
        <is>
          <t>https://www.rottentomatoes.com/search?search=Kong%3A+Skull+Island</t>
        </is>
      </c>
      <c r="Q194" s="83" t="inlineStr">
        <is>
          <t>https://letterboxd.com/search/Kong%3A%20Skull%20Island/</t>
        </is>
      </c>
      <c r="R194" s="83" t="inlineStr">
        <is>
          <t>https://www.metacritic.com/search/Kong%3A+Skull+Island/</t>
        </is>
      </c>
    </row>
    <row r="195" ht="15.75" customHeight="1" s="108">
      <c r="A195" s="83" t="inlineStr">
        <is>
          <t>F0191</t>
        </is>
      </c>
      <c r="B195" s="83" t="inlineStr">
        <is>
          <t>Law Abiding Citizen</t>
        </is>
      </c>
      <c r="C195" s="88" t="inlineStr">
        <is>
          <t>2009</t>
        </is>
      </c>
      <c r="D195" s="84" t="n"/>
      <c r="E195" s="89" t="n"/>
      <c r="F195" s="90" t="n"/>
      <c r="G195" s="91" t="n"/>
      <c r="H195" s="91" t="n"/>
      <c r="I195" s="92" t="n"/>
      <c r="J195" s="91" t="n"/>
      <c r="K195" s="89" t="n"/>
      <c r="L195" s="89">
        <f>IF(COUNT(E195,G195,H195,I195,J195,K195)=0,"",ROUND((IF(E195="",0,E195*10)+IF(G195="",0,G195)+IF(H195="",0,H195)+IF(I195="",0,I195*20)+IF(J195="",0,J195)+IF(K195="",0,K195*10))/COUNT(E195,G195,H195,I195,J195,K195),1))</f>
        <v/>
      </c>
      <c r="M195" s="83">
        <f>IF(L195="","",IF(L195&gt;=85,"Excellent",IF(L195&gt;=70,"Good",IF(L195&gt;=55,"Mixed","Poor"))))</f>
        <v/>
      </c>
      <c r="N195" s="96" t="n"/>
      <c r="O195" s="83" t="inlineStr">
        <is>
          <t>https://www.imdb.com/find/?q=Law+Abiding+Citizen+2009</t>
        </is>
      </c>
      <c r="P195" s="83" t="inlineStr">
        <is>
          <t>https://www.rottentomatoes.com/search?search=Law+Abiding+Citizen</t>
        </is>
      </c>
      <c r="Q195" s="83" t="inlineStr">
        <is>
          <t>https://letterboxd.com/search/Law%20Abiding%20Citizen/</t>
        </is>
      </c>
      <c r="R195" s="83" t="inlineStr">
        <is>
          <t>https://www.metacritic.com/search/Law+Abiding+Citizen/</t>
        </is>
      </c>
    </row>
    <row r="196" ht="15.75" customHeight="1" s="108">
      <c r="A196" s="83" t="inlineStr">
        <is>
          <t>F0192</t>
        </is>
      </c>
      <c r="B196" s="83" t="inlineStr">
        <is>
          <t>Lawless</t>
        </is>
      </c>
      <c r="C196" s="88" t="inlineStr">
        <is>
          <t>2012</t>
        </is>
      </c>
      <c r="D196" s="84" t="n"/>
      <c r="E196" s="89" t="n"/>
      <c r="F196" s="90" t="n"/>
      <c r="G196" s="91" t="n"/>
      <c r="H196" s="91" t="n"/>
      <c r="I196" s="92" t="n"/>
      <c r="J196" s="91" t="n"/>
      <c r="K196" s="89" t="n"/>
      <c r="L196" s="89">
        <f>IF(COUNT(E196,G196,H196,I196,J196,K196)=0,"",ROUND((IF(E196="",0,E196*10)+IF(G196="",0,G196)+IF(H196="",0,H196)+IF(I196="",0,I196*20)+IF(J196="",0,J196)+IF(K196="",0,K196*10))/COUNT(E196,G196,H196,I196,J196,K196),1))</f>
        <v/>
      </c>
      <c r="M196" s="83">
        <f>IF(L196="","",IF(L196&gt;=85,"Excellent",IF(L196&gt;=70,"Good",IF(L196&gt;=55,"Mixed","Poor"))))</f>
        <v/>
      </c>
      <c r="N196" s="96" t="n"/>
      <c r="O196" s="83" t="inlineStr">
        <is>
          <t>https://www.imdb.com/find/?q=Lawless+2012</t>
        </is>
      </c>
      <c r="P196" s="83" t="inlineStr">
        <is>
          <t>https://www.rottentomatoes.com/search?search=Lawless</t>
        </is>
      </c>
      <c r="Q196" s="83" t="inlineStr">
        <is>
          <t>https://letterboxd.com/search/Lawless/</t>
        </is>
      </c>
      <c r="R196" s="83" t="inlineStr">
        <is>
          <t>https://www.metacritic.com/search/Lawless/</t>
        </is>
      </c>
    </row>
    <row r="197" ht="15.75" customHeight="1" s="108">
      <c r="A197" s="83" t="inlineStr">
        <is>
          <t>F0193</t>
        </is>
      </c>
      <c r="B197" s="83" t="inlineStr">
        <is>
          <t>The Lego Batman Movie</t>
        </is>
      </c>
      <c r="C197" s="88" t="inlineStr">
        <is>
          <t>2017</t>
        </is>
      </c>
      <c r="D197" s="84" t="n"/>
      <c r="E197" s="89" t="n"/>
      <c r="F197" s="90" t="n"/>
      <c r="G197" s="91" t="n"/>
      <c r="H197" s="91" t="n"/>
      <c r="I197" s="92" t="n"/>
      <c r="J197" s="91" t="n"/>
      <c r="K197" s="89" t="n"/>
      <c r="L197" s="89">
        <f>IF(COUNT(E197,G197,H197,I197,J197,K197)=0,"",ROUND((IF(E197="",0,E197*10)+IF(G197="",0,G197)+IF(H197="",0,H197)+IF(I197="",0,I197*20)+IF(J197="",0,J197)+IF(K197="",0,K197*10))/COUNT(E197,G197,H197,I197,J197,K197),1))</f>
        <v/>
      </c>
      <c r="M197" s="83">
        <f>IF(L197="","",IF(L197&gt;=85,"Excellent",IF(L197&gt;=70,"Good",IF(L197&gt;=55,"Mixed","Poor"))))</f>
        <v/>
      </c>
      <c r="N197" s="96" t="n"/>
      <c r="O197" s="83" t="inlineStr">
        <is>
          <t>https://www.imdb.com/find/?q=The+Lego+Batman+Movie+2017</t>
        </is>
      </c>
      <c r="P197" s="83" t="inlineStr">
        <is>
          <t>https://www.rottentomatoes.com/search?search=The+Lego+Batman+Movie</t>
        </is>
      </c>
      <c r="Q197" s="83" t="inlineStr">
        <is>
          <t>https://letterboxd.com/search/The%20Lego%20Batman%20Movie/</t>
        </is>
      </c>
      <c r="R197" s="83" t="inlineStr">
        <is>
          <t>https://www.metacritic.com/search/The+Lego+Batman+Movie/</t>
        </is>
      </c>
    </row>
    <row r="198" ht="15.75" customHeight="1" s="108">
      <c r="A198" s="83" t="inlineStr">
        <is>
          <t>F0194</t>
        </is>
      </c>
      <c r="B198" s="83" t="inlineStr">
        <is>
          <t>Lego Batman: The Movie - DC Super Heroes Unite</t>
        </is>
      </c>
      <c r="C198" s="88" t="inlineStr">
        <is>
          <t>2013</t>
        </is>
      </c>
      <c r="D198" s="84" t="n"/>
      <c r="E198" s="89" t="n"/>
      <c r="F198" s="90" t="n"/>
      <c r="G198" s="91" t="n"/>
      <c r="H198" s="91" t="n"/>
      <c r="I198" s="92" t="n"/>
      <c r="J198" s="91" t="n"/>
      <c r="K198" s="89" t="n"/>
      <c r="L198" s="89">
        <f>IF(COUNT(E198,G198,H198,I198,J198,K198)=0,"",ROUND((IF(E198="",0,E198*10)+IF(G198="",0,G198)+IF(H198="",0,H198)+IF(I198="",0,I198*20)+IF(J198="",0,J198)+IF(K198="",0,K198*10))/COUNT(E198,G198,H198,I198,J198,K198),1))</f>
        <v/>
      </c>
      <c r="M198" s="83">
        <f>IF(L198="","",IF(L198&gt;=85,"Excellent",IF(L198&gt;=70,"Good",IF(L198&gt;=55,"Mixed","Poor"))))</f>
        <v/>
      </c>
      <c r="N198" s="96" t="n"/>
      <c r="O198" s="83" t="inlineStr">
        <is>
          <t>https://www.imdb.com/find/?q=Lego+Batman%3A+The+Movie+-+DC+Super+Heroes+Unite+2013</t>
        </is>
      </c>
      <c r="P198" s="83" t="inlineStr">
        <is>
          <t>https://www.rottentomatoes.com/search?search=Lego+Batman%3A+The+Movie+-+DC+Super+Heroes+Unite</t>
        </is>
      </c>
      <c r="Q198" s="83" t="inlineStr">
        <is>
          <t>https://letterboxd.com/search/Lego%20Batman%3A%20The%20Movie%20-%20DC%20Super%20Heroes%20Unite/</t>
        </is>
      </c>
      <c r="R198" s="83" t="inlineStr">
        <is>
          <t>https://www.metacritic.com/search/Lego+Batman%3A+The+Movie+-+DC+Super+Heroes+Unite/</t>
        </is>
      </c>
    </row>
    <row r="199" ht="15.75" customHeight="1" s="108">
      <c r="A199" s="83" t="inlineStr">
        <is>
          <t>F0195</t>
        </is>
      </c>
      <c r="B199" s="83" t="inlineStr">
        <is>
          <t>The Lego Movie</t>
        </is>
      </c>
      <c r="C199" s="88" t="inlineStr">
        <is>
          <t>2014</t>
        </is>
      </c>
      <c r="D199" s="84" t="n"/>
      <c r="E199" s="89" t="n"/>
      <c r="F199" s="90" t="n"/>
      <c r="G199" s="91" t="n"/>
      <c r="H199" s="91" t="n"/>
      <c r="I199" s="92" t="n"/>
      <c r="J199" s="91" t="n"/>
      <c r="K199" s="89" t="n"/>
      <c r="L199" s="89">
        <f>IF(COUNT(E199,G199,H199,I199,J199,K199)=0,"",ROUND((IF(E199="",0,E199*10)+IF(G199="",0,G199)+IF(H199="",0,H199)+IF(I199="",0,I199*20)+IF(J199="",0,J199)+IF(K199="",0,K199*10))/COUNT(E199,G199,H199,I199,J199,K199),1))</f>
        <v/>
      </c>
      <c r="M199" s="83">
        <f>IF(L199="","",IF(L199&gt;=85,"Excellent",IF(L199&gt;=70,"Good",IF(L199&gt;=55,"Mixed","Poor"))))</f>
        <v/>
      </c>
      <c r="N199" s="96" t="n"/>
      <c r="O199" s="83" t="inlineStr">
        <is>
          <t>https://www.imdb.com/find/?q=The+Lego+Movie+2014</t>
        </is>
      </c>
      <c r="P199" s="83" t="inlineStr">
        <is>
          <t>https://www.rottentomatoes.com/search?search=The+Lego+Movie</t>
        </is>
      </c>
      <c r="Q199" s="83" t="inlineStr">
        <is>
          <t>https://letterboxd.com/search/The%20Lego%20Movie/</t>
        </is>
      </c>
      <c r="R199" s="83" t="inlineStr">
        <is>
          <t>https://www.metacritic.com/search/The+Lego+Movie/</t>
        </is>
      </c>
    </row>
    <row r="200" ht="15.75" customHeight="1" s="108">
      <c r="A200" s="83" t="inlineStr">
        <is>
          <t>F0196</t>
        </is>
      </c>
      <c r="B200" s="83" t="inlineStr">
        <is>
          <t>The Lego Movie 2: The Second Part</t>
        </is>
      </c>
      <c r="C200" s="88" t="inlineStr">
        <is>
          <t>2019</t>
        </is>
      </c>
      <c r="D200" s="84" t="n"/>
      <c r="E200" s="89" t="n"/>
      <c r="F200" s="90" t="n"/>
      <c r="G200" s="91" t="n"/>
      <c r="H200" s="91" t="n"/>
      <c r="I200" s="92" t="n"/>
      <c r="J200" s="91" t="n"/>
      <c r="K200" s="89" t="n"/>
      <c r="L200" s="89">
        <f>IF(COUNT(E200,G200,H200,I200,J200,K200)=0,"",ROUND((IF(E200="",0,E200*10)+IF(G200="",0,G200)+IF(H200="",0,H200)+IF(I200="",0,I200*20)+IF(J200="",0,J200)+IF(K200="",0,K200*10))/COUNT(E200,G200,H200,I200,J200,K200),1))</f>
        <v/>
      </c>
      <c r="M200" s="83">
        <f>IF(L200="","",IF(L200&gt;=85,"Excellent",IF(L200&gt;=70,"Good",IF(L200&gt;=55,"Mixed","Poor"))))</f>
        <v/>
      </c>
      <c r="N200" s="96" t="n"/>
      <c r="O200" s="83" t="inlineStr">
        <is>
          <t>https://www.imdb.com/find/?q=The+Lego+Movie+2%3A+The+Second+Part+2019</t>
        </is>
      </c>
      <c r="P200" s="83" t="inlineStr">
        <is>
          <t>https://www.rottentomatoes.com/search?search=The+Lego+Movie+2%3A+The+Second+Part</t>
        </is>
      </c>
      <c r="Q200" s="83" t="inlineStr">
        <is>
          <t>https://letterboxd.com/search/The%20Lego%20Movie%202%3A%20The%20Second%20Part/</t>
        </is>
      </c>
      <c r="R200" s="83" t="inlineStr">
        <is>
          <t>https://www.metacritic.com/search/The+Lego+Movie+2%3A+The+Second+Part/</t>
        </is>
      </c>
    </row>
    <row r="201" ht="15.75" customHeight="1" s="108">
      <c r="A201" s="83" t="inlineStr">
        <is>
          <t>F0197</t>
        </is>
      </c>
      <c r="B201" s="83" t="inlineStr">
        <is>
          <t>Lego DC Comics Super Heroes: Justice League vs. Bizarro League</t>
        </is>
      </c>
      <c r="C201" s="88" t="inlineStr">
        <is>
          <t>2015</t>
        </is>
      </c>
      <c r="D201" s="84" t="n"/>
      <c r="E201" s="89" t="n"/>
      <c r="F201" s="90" t="n"/>
      <c r="G201" s="91" t="n"/>
      <c r="H201" s="91" t="n"/>
      <c r="I201" s="92" t="n"/>
      <c r="J201" s="91" t="n"/>
      <c r="K201" s="89" t="n"/>
      <c r="L201" s="89">
        <f>IF(COUNT(E201,G201,H201,I201,J201,K201)=0,"",ROUND((IF(E201="",0,E201*10)+IF(G201="",0,G201)+IF(H201="",0,H201)+IF(I201="",0,I201*20)+IF(J201="",0,J201)+IF(K201="",0,K201*10))/COUNT(E201,G201,H201,I201,J201,K201),1))</f>
        <v/>
      </c>
      <c r="M201" s="83">
        <f>IF(L201="","",IF(L201&gt;=85,"Excellent",IF(L201&gt;=70,"Good",IF(L201&gt;=55,"Mixed","Poor"))))</f>
        <v/>
      </c>
      <c r="N201" s="96" t="n"/>
      <c r="O201" s="83" t="inlineStr">
        <is>
          <t>https://www.imdb.com/find/?q=Lego+DC+Comics+Super+Heroes%3A+Justice+League+vs.+Bizarro+League+2015</t>
        </is>
      </c>
      <c r="P201" s="83" t="inlineStr">
        <is>
          <t>https://www.rottentomatoes.com/search?search=Lego+DC+Comics+Super+Heroes%3A+Justice+League+vs.+Bizarro+League</t>
        </is>
      </c>
      <c r="Q201" s="83" t="inlineStr">
        <is>
          <t>https://letterboxd.com/search/Lego%20DC%20Comics%20Super%20Heroes%3A%20Justice%20League%20vs.%20Bizarro%20League/</t>
        </is>
      </c>
      <c r="R201" s="83" t="inlineStr">
        <is>
          <t>https://www.metacritic.com/search/Lego+DC+Comics+Super+Heroes%3A+Justice+League+vs.+Bizarro+League/</t>
        </is>
      </c>
    </row>
    <row r="202" ht="15.75" customHeight="1" s="108">
      <c r="A202" s="83" t="inlineStr">
        <is>
          <t>F0198</t>
        </is>
      </c>
      <c r="B202" s="83" t="inlineStr">
        <is>
          <t>Lego DC Comics Super Heroes: Justice League - Gotham City Breakout</t>
        </is>
      </c>
      <c r="C202" s="88" t="inlineStr">
        <is>
          <t>2016</t>
        </is>
      </c>
      <c r="D202" s="84" t="n"/>
      <c r="E202" s="89" t="n"/>
      <c r="F202" s="90" t="n"/>
      <c r="G202" s="91" t="n"/>
      <c r="H202" s="91" t="n"/>
      <c r="I202" s="92" t="n"/>
      <c r="J202" s="91" t="n"/>
      <c r="K202" s="89" t="n"/>
      <c r="L202" s="89">
        <f>IF(COUNT(E202,G202,H202,I202,J202,K202)=0,"",ROUND((IF(E202="",0,E202*10)+IF(G202="",0,G202)+IF(H202="",0,H202)+IF(I202="",0,I202*20)+IF(J202="",0,J202)+IF(K202="",0,K202*10))/COUNT(E202,G202,H202,I202,J202,K202),1))</f>
        <v/>
      </c>
      <c r="M202" s="83">
        <f>IF(L202="","",IF(L202&gt;=85,"Excellent",IF(L202&gt;=70,"Good",IF(L202&gt;=55,"Mixed","Poor"))))</f>
        <v/>
      </c>
      <c r="N202" s="96" t="n"/>
      <c r="O202" s="83" t="inlineStr">
        <is>
          <t>https://www.imdb.com/find/?q=Lego+DC+Comics+Super+Heroes%3A+Justice+League+-+Gotham+City+Breakout+2016</t>
        </is>
      </c>
      <c r="P202" s="83" t="inlineStr">
        <is>
          <t>https://www.rottentomatoes.com/search?search=Lego+DC+Comics+Super+Heroes%3A+Justice+League+-+Gotham+City+Breakout</t>
        </is>
      </c>
      <c r="Q202" s="83" t="inlineStr">
        <is>
          <t>https://letterboxd.com/search/Lego%20DC%20Comics%20Super%20Heroes%3A%20Justice%20League%20-%20Gotham%20City%20Breakout/</t>
        </is>
      </c>
      <c r="R202" s="83" t="inlineStr">
        <is>
          <t>https://www.metacritic.com/search/Lego+DC+Comics+Super+Heroes%3A+Justice+League+-+Gotham+City+Breakout/</t>
        </is>
      </c>
    </row>
    <row r="203" ht="15.75" customHeight="1" s="108">
      <c r="A203" s="83" t="inlineStr">
        <is>
          <t>F0199</t>
        </is>
      </c>
      <c r="B203" s="83" t="inlineStr">
        <is>
          <t>Les Misérables</t>
        </is>
      </c>
      <c r="C203" s="88" t="inlineStr">
        <is>
          <t>2012</t>
        </is>
      </c>
      <c r="D203" s="84" t="n"/>
      <c r="E203" s="89" t="n"/>
      <c r="F203" s="90" t="n"/>
      <c r="G203" s="91" t="n"/>
      <c r="H203" s="91" t="n"/>
      <c r="I203" s="92" t="n"/>
      <c r="J203" s="91" t="n"/>
      <c r="K203" s="89" t="n"/>
      <c r="L203" s="89">
        <f>IF(COUNT(E203,G203,H203,I203,J203,K203)=0,"",ROUND((IF(E203="",0,E203*10)+IF(G203="",0,G203)+IF(H203="",0,H203)+IF(I203="",0,I203*20)+IF(J203="",0,J203)+IF(K203="",0,K203*10))/COUNT(E203,G203,H203,I203,J203,K203),1))</f>
        <v/>
      </c>
      <c r="M203" s="83">
        <f>IF(L203="","",IF(L203&gt;=85,"Excellent",IF(L203&gt;=70,"Good",IF(L203&gt;=55,"Mixed","Poor"))))</f>
        <v/>
      </c>
      <c r="N203" s="96" t="n"/>
      <c r="O203" s="83" t="inlineStr">
        <is>
          <t>https://www.imdb.com/find/?q=Les+Mis%C3%A9rables+2012</t>
        </is>
      </c>
      <c r="P203" s="83" t="inlineStr">
        <is>
          <t>https://www.rottentomatoes.com/search?search=Les+Mis%C3%A9rables</t>
        </is>
      </c>
      <c r="Q203" s="83" t="inlineStr">
        <is>
          <t>https://letterboxd.com/search/Les%20Mis%C3%A9rables/</t>
        </is>
      </c>
      <c r="R203" s="83" t="inlineStr">
        <is>
          <t>https://www.metacritic.com/search/Les+Mis%C3%A9rables/</t>
        </is>
      </c>
    </row>
    <row r="204" ht="15.75" customHeight="1" s="108">
      <c r="A204" s="83" t="inlineStr">
        <is>
          <t>F0200</t>
        </is>
      </c>
      <c r="B204" s="83" t="inlineStr">
        <is>
          <t>The Lion King</t>
        </is>
      </c>
      <c r="C204" s="88" t="inlineStr">
        <is>
          <t>1994</t>
        </is>
      </c>
      <c r="D204" s="84" t="n"/>
      <c r="E204" s="89" t="n"/>
      <c r="F204" s="90" t="n"/>
      <c r="G204" s="91" t="n"/>
      <c r="H204" s="91" t="n"/>
      <c r="I204" s="92" t="n"/>
      <c r="J204" s="91" t="n"/>
      <c r="K204" s="89" t="n"/>
      <c r="L204" s="89">
        <f>IF(COUNT(E204,G204,H204,I204,J204,K204)=0,"",ROUND((IF(E204="",0,E204*10)+IF(G204="",0,G204)+IF(H204="",0,H204)+IF(I204="",0,I204*20)+IF(J204="",0,J204)+IF(K204="",0,K204*10))/COUNT(E204,G204,H204,I204,J204,K204),1))</f>
        <v/>
      </c>
      <c r="M204" s="83">
        <f>IF(L204="","",IF(L204&gt;=85,"Excellent",IF(L204&gt;=70,"Good",IF(L204&gt;=55,"Mixed","Poor"))))</f>
        <v/>
      </c>
      <c r="N204" s="96" t="n"/>
      <c r="O204" s="83" t="inlineStr">
        <is>
          <t>https://www.imdb.com/find/?q=The+Lion+King+1994</t>
        </is>
      </c>
      <c r="P204" s="83" t="inlineStr">
        <is>
          <t>https://www.rottentomatoes.com/search?search=The+Lion+King</t>
        </is>
      </c>
      <c r="Q204" s="83" t="inlineStr">
        <is>
          <t>https://letterboxd.com/search/The%20Lion%20King/</t>
        </is>
      </c>
      <c r="R204" s="83" t="inlineStr">
        <is>
          <t>https://www.metacritic.com/search/The+Lion+King/</t>
        </is>
      </c>
    </row>
    <row r="205" ht="15.75" customHeight="1" s="108">
      <c r="A205" s="83" t="inlineStr">
        <is>
          <t>F0201</t>
        </is>
      </c>
      <c r="B205" s="83" t="inlineStr">
        <is>
          <t>Logan</t>
        </is>
      </c>
      <c r="C205" s="88" t="inlineStr">
        <is>
          <t>2017</t>
        </is>
      </c>
      <c r="D205" s="84" t="n"/>
      <c r="E205" s="89" t="n"/>
      <c r="F205" s="90" t="n"/>
      <c r="G205" s="91" t="n"/>
      <c r="H205" s="91" t="n"/>
      <c r="I205" s="92" t="n"/>
      <c r="J205" s="91" t="n"/>
      <c r="K205" s="89" t="n"/>
      <c r="L205" s="89">
        <f>IF(COUNT(E205,G205,H205,I205,J205,K205)=0,"",ROUND((IF(E205="",0,E205*10)+IF(G205="",0,G205)+IF(H205="",0,H205)+IF(I205="",0,I205*20)+IF(J205="",0,J205)+IF(K205="",0,K205*10))/COUNT(E205,G205,H205,I205,J205,K205),1))</f>
        <v/>
      </c>
      <c r="M205" s="83">
        <f>IF(L205="","",IF(L205&gt;=85,"Excellent",IF(L205&gt;=70,"Good",IF(L205&gt;=55,"Mixed","Poor"))))</f>
        <v/>
      </c>
      <c r="N205" s="96" t="n"/>
      <c r="O205" s="83" t="inlineStr">
        <is>
          <t>https://www.imdb.com/find/?q=Logan+2017</t>
        </is>
      </c>
      <c r="P205" s="83" t="inlineStr">
        <is>
          <t>https://www.rottentomatoes.com/search?search=Logan</t>
        </is>
      </c>
      <c r="Q205" s="83" t="inlineStr">
        <is>
          <t>https://letterboxd.com/search/Logan/</t>
        </is>
      </c>
      <c r="R205" s="83" t="inlineStr">
        <is>
          <t>https://www.metacritic.com/search/Logan/</t>
        </is>
      </c>
    </row>
    <row r="206" ht="15.75" customHeight="1" s="108">
      <c r="A206" s="83" t="inlineStr">
        <is>
          <t>F0202</t>
        </is>
      </c>
      <c r="B206" s="83" t="inlineStr">
        <is>
          <t>Lone Survivor</t>
        </is>
      </c>
      <c r="C206" s="88" t="inlineStr">
        <is>
          <t>2013</t>
        </is>
      </c>
      <c r="D206" s="84" t="n"/>
      <c r="E206" s="89" t="n"/>
      <c r="F206" s="90" t="n"/>
      <c r="G206" s="91" t="n"/>
      <c r="H206" s="91" t="n"/>
      <c r="I206" s="92" t="n"/>
      <c r="J206" s="91" t="n"/>
      <c r="K206" s="89" t="n"/>
      <c r="L206" s="89">
        <f>IF(COUNT(E206,G206,H206,I206,J206,K206)=0,"",ROUND((IF(E206="",0,E206*10)+IF(G206="",0,G206)+IF(H206="",0,H206)+IF(I206="",0,I206*20)+IF(J206="",0,J206)+IF(K206="",0,K206*10))/COUNT(E206,G206,H206,I206,J206,K206),1))</f>
        <v/>
      </c>
      <c r="M206" s="83">
        <f>IF(L206="","",IF(L206&gt;=85,"Excellent",IF(L206&gt;=70,"Good",IF(L206&gt;=55,"Mixed","Poor"))))</f>
        <v/>
      </c>
      <c r="N206" s="96" t="n"/>
      <c r="O206" s="83" t="inlineStr">
        <is>
          <t>https://www.imdb.com/find/?q=Lone+Survivor+2013</t>
        </is>
      </c>
      <c r="P206" s="83" t="inlineStr">
        <is>
          <t>https://www.rottentomatoes.com/search?search=Lone+Survivor</t>
        </is>
      </c>
      <c r="Q206" s="83" t="inlineStr">
        <is>
          <t>https://letterboxd.com/search/Lone%20Survivor/</t>
        </is>
      </c>
      <c r="R206" s="83" t="inlineStr">
        <is>
          <t>https://www.metacritic.com/search/Lone+Survivor/</t>
        </is>
      </c>
    </row>
    <row r="207" ht="15.75" customHeight="1" s="108">
      <c r="A207" s="83" t="inlineStr">
        <is>
          <t>F0203</t>
        </is>
      </c>
      <c r="B207" s="83" t="inlineStr">
        <is>
          <t>The Lord of the Rings: The Fellowship of the Ring</t>
        </is>
      </c>
      <c r="C207" s="88" t="inlineStr">
        <is>
          <t>2001</t>
        </is>
      </c>
      <c r="D207" s="84" t="n"/>
      <c r="E207" s="89" t="n"/>
      <c r="F207" s="90" t="n"/>
      <c r="G207" s="91" t="n"/>
      <c r="H207" s="91" t="n"/>
      <c r="I207" s="92" t="n"/>
      <c r="J207" s="91" t="n"/>
      <c r="K207" s="89" t="n"/>
      <c r="L207" s="89">
        <f>IF(COUNT(E207,G207,H207,I207,J207,K207)=0,"",ROUND((IF(E207="",0,E207*10)+IF(G207="",0,G207)+IF(H207="",0,H207)+IF(I207="",0,I207*20)+IF(J207="",0,J207)+IF(K207="",0,K207*10))/COUNT(E207,G207,H207,I207,J207,K207),1))</f>
        <v/>
      </c>
      <c r="M207" s="83">
        <f>IF(L207="","",IF(L207&gt;=85,"Excellent",IF(L207&gt;=70,"Good",IF(L207&gt;=55,"Mixed","Poor"))))</f>
        <v/>
      </c>
      <c r="N207" s="96" t="n"/>
      <c r="O207" s="83" t="inlineStr">
        <is>
          <t>https://www.imdb.com/find/?q=The+Lord+of+the+Rings%3A+The+Fellowship+of+the+Ring+2001</t>
        </is>
      </c>
      <c r="P207" s="83" t="inlineStr">
        <is>
          <t>https://www.rottentomatoes.com/search?search=The+Lord+of+the+Rings%3A+The+Fellowship+of+the+Ring</t>
        </is>
      </c>
      <c r="Q207" s="83" t="inlineStr">
        <is>
          <t>https://letterboxd.com/search/The%20Lord%20of%20the%20Rings%3A%20The%20Fellowship%20of%20the%20Ring/</t>
        </is>
      </c>
      <c r="R207" s="83" t="inlineStr">
        <is>
          <t>https://www.metacritic.com/search/The+Lord+of+the+Rings%3A+The+Fellowship+of+the+Ring/</t>
        </is>
      </c>
    </row>
    <row r="208" ht="15.75" customHeight="1" s="108">
      <c r="A208" s="83" t="inlineStr">
        <is>
          <t>F0204</t>
        </is>
      </c>
      <c r="B208" s="83" t="inlineStr">
        <is>
          <t>The Lord of the Rings: The Two Towers</t>
        </is>
      </c>
      <c r="C208" s="88" t="inlineStr">
        <is>
          <t>2002</t>
        </is>
      </c>
      <c r="D208" s="84" t="n"/>
      <c r="E208" s="89" t="n"/>
      <c r="F208" s="90" t="n"/>
      <c r="G208" s="91" t="n"/>
      <c r="H208" s="91" t="n"/>
      <c r="I208" s="92" t="n"/>
      <c r="J208" s="91" t="n"/>
      <c r="K208" s="89" t="n"/>
      <c r="L208" s="89">
        <f>IF(COUNT(E208,G208,H208,I208,J208,K208)=0,"",ROUND((IF(E208="",0,E208*10)+IF(G208="",0,G208)+IF(H208="",0,H208)+IF(I208="",0,I208*20)+IF(J208="",0,J208)+IF(K208="",0,K208*10))/COUNT(E208,G208,H208,I208,J208,K208),1))</f>
        <v/>
      </c>
      <c r="M208" s="83">
        <f>IF(L208="","",IF(L208&gt;=85,"Excellent",IF(L208&gt;=70,"Good",IF(L208&gt;=55,"Mixed","Poor"))))</f>
        <v/>
      </c>
      <c r="N208" s="96" t="n"/>
      <c r="O208" s="83" t="inlineStr">
        <is>
          <t>https://www.imdb.com/find/?q=The+Lord+of+the+Rings%3A+The+Two+Towers+2002</t>
        </is>
      </c>
      <c r="P208" s="83" t="inlineStr">
        <is>
          <t>https://www.rottentomatoes.com/search?search=The+Lord+of+the+Rings%3A+The+Two+Towers</t>
        </is>
      </c>
      <c r="Q208" s="83" t="inlineStr">
        <is>
          <t>https://letterboxd.com/search/The%20Lord%20of%20the%20Rings%3A%20The%20Two%20Towers/</t>
        </is>
      </c>
      <c r="R208" s="83" t="inlineStr">
        <is>
          <t>https://www.metacritic.com/search/The+Lord+of+the+Rings%3A+The+Two+Towers/</t>
        </is>
      </c>
    </row>
    <row r="209" ht="15.75" customHeight="1" s="108">
      <c r="A209" s="83" t="inlineStr">
        <is>
          <t>F0205</t>
        </is>
      </c>
      <c r="B209" s="83" t="inlineStr">
        <is>
          <t>The Lord of the Rings: The Return of the King</t>
        </is>
      </c>
      <c r="C209" s="88" t="inlineStr">
        <is>
          <t>2003</t>
        </is>
      </c>
      <c r="D209" s="84" t="n"/>
      <c r="E209" s="89" t="n"/>
      <c r="F209" s="90" t="n"/>
      <c r="G209" s="91" t="n"/>
      <c r="H209" s="91" t="n"/>
      <c r="I209" s="92" t="n"/>
      <c r="J209" s="91" t="n"/>
      <c r="K209" s="89" t="n"/>
      <c r="L209" s="89">
        <f>IF(COUNT(E209,G209,H209,I209,J209,K209)=0,"",ROUND((IF(E209="",0,E209*10)+IF(G209="",0,G209)+IF(H209="",0,H209)+IF(I209="",0,I209*20)+IF(J209="",0,J209)+IF(K209="",0,K209*10))/COUNT(E209,G209,H209,I209,J209,K209),1))</f>
        <v/>
      </c>
      <c r="M209" s="83">
        <f>IF(L209="","",IF(L209&gt;=85,"Excellent",IF(L209&gt;=70,"Good",IF(L209&gt;=55,"Mixed","Poor"))))</f>
        <v/>
      </c>
      <c r="N209" s="96" t="n"/>
      <c r="O209" s="83" t="inlineStr">
        <is>
          <t>https://www.imdb.com/find/?q=The+Lord+of+the+Rings%3A+The+Return+of+the+King+2003</t>
        </is>
      </c>
      <c r="P209" s="83" t="inlineStr">
        <is>
          <t>https://www.rottentomatoes.com/search?search=The+Lord+of+the+Rings%3A+The+Return+of+the+King</t>
        </is>
      </c>
      <c r="Q209" s="83" t="inlineStr">
        <is>
          <t>https://letterboxd.com/search/The%20Lord%20of%20the%20Rings%3A%20The%20Return%20of%20the%20King/</t>
        </is>
      </c>
      <c r="R209" s="83" t="inlineStr">
        <is>
          <t>https://www.metacritic.com/search/The+Lord+of+the+Rings%3A+The+Return+of+the+King/</t>
        </is>
      </c>
    </row>
    <row r="210" ht="15.75" customHeight="1" s="108">
      <c r="A210" s="83" t="inlineStr">
        <is>
          <t>F0206</t>
        </is>
      </c>
      <c r="B210" s="83" t="inlineStr">
        <is>
          <t>Magic Mike</t>
        </is>
      </c>
      <c r="C210" s="88" t="inlineStr">
        <is>
          <t>2012</t>
        </is>
      </c>
      <c r="D210" s="84" t="n"/>
      <c r="E210" s="89" t="n"/>
      <c r="F210" s="90" t="n"/>
      <c r="G210" s="91" t="n"/>
      <c r="H210" s="91" t="n"/>
      <c r="I210" s="92" t="n"/>
      <c r="J210" s="91" t="n"/>
      <c r="K210" s="89" t="n"/>
      <c r="L210" s="89">
        <f>IF(COUNT(E210,G210,H210,I210,J210,K210)=0,"",ROUND((IF(E210="",0,E210*10)+IF(G210="",0,G210)+IF(H210="",0,H210)+IF(I210="",0,I210*20)+IF(J210="",0,J210)+IF(K210="",0,K210*10))/COUNT(E210,G210,H210,I210,J210,K210),1))</f>
        <v/>
      </c>
      <c r="M210" s="83">
        <f>IF(L210="","",IF(L210&gt;=85,"Excellent",IF(L210&gt;=70,"Good",IF(L210&gt;=55,"Mixed","Poor"))))</f>
        <v/>
      </c>
      <c r="N210" s="96" t="n"/>
      <c r="O210" s="83" t="inlineStr">
        <is>
          <t>https://www.imdb.com/find/?q=Magic+Mike+2012</t>
        </is>
      </c>
      <c r="P210" s="83" t="inlineStr">
        <is>
          <t>https://www.rottentomatoes.com/search?search=Magic+Mike</t>
        </is>
      </c>
      <c r="Q210" s="83" t="inlineStr">
        <is>
          <t>https://letterboxd.com/search/Magic%20Mike/</t>
        </is>
      </c>
      <c r="R210" s="83" t="inlineStr">
        <is>
          <t>https://www.metacritic.com/search/Magic+Mike/</t>
        </is>
      </c>
    </row>
    <row r="211" ht="15.75" customHeight="1" s="108">
      <c r="A211" s="83" t="inlineStr">
        <is>
          <t>F0207</t>
        </is>
      </c>
      <c r="B211" s="83" t="inlineStr">
        <is>
          <t>The Magnificent Seven</t>
        </is>
      </c>
      <c r="C211" s="88" t="inlineStr">
        <is>
          <t>2016</t>
        </is>
      </c>
      <c r="D211" s="84" t="n"/>
      <c r="E211" s="89" t="n"/>
      <c r="F211" s="90" t="n"/>
      <c r="G211" s="91" t="n"/>
      <c r="H211" s="91" t="n"/>
      <c r="I211" s="92" t="n"/>
      <c r="J211" s="91" t="n"/>
      <c r="K211" s="89" t="n"/>
      <c r="L211" s="89">
        <f>IF(COUNT(E211,G211,H211,I211,J211,K211)=0,"",ROUND((IF(E211="",0,E211*10)+IF(G211="",0,G211)+IF(H211="",0,H211)+IF(I211="",0,I211*20)+IF(J211="",0,J211)+IF(K211="",0,K211*10))/COUNT(E211,G211,H211,I211,J211,K211),1))</f>
        <v/>
      </c>
      <c r="M211" s="83">
        <f>IF(L211="","",IF(L211&gt;=85,"Excellent",IF(L211&gt;=70,"Good",IF(L211&gt;=55,"Mixed","Poor"))))</f>
        <v/>
      </c>
      <c r="N211" s="96" t="n"/>
      <c r="O211" s="83" t="inlineStr">
        <is>
          <t>https://www.imdb.com/find/?q=The+Magnificent+Seven+2016</t>
        </is>
      </c>
      <c r="P211" s="83" t="inlineStr">
        <is>
          <t>https://www.rottentomatoes.com/search?search=The+Magnificent+Seven</t>
        </is>
      </c>
      <c r="Q211" s="83" t="inlineStr">
        <is>
          <t>https://letterboxd.com/search/The%20Magnificent%20Seven/</t>
        </is>
      </c>
      <c r="R211" s="83" t="inlineStr">
        <is>
          <t>https://www.metacritic.com/search/The+Magnificent+Seven/</t>
        </is>
      </c>
    </row>
    <row r="212" ht="15.75" customHeight="1" s="108">
      <c r="A212" s="83" t="inlineStr">
        <is>
          <t>F0208</t>
        </is>
      </c>
      <c r="B212" s="83" t="inlineStr">
        <is>
          <t>Maleficent</t>
        </is>
      </c>
      <c r="C212" s="88" t="inlineStr">
        <is>
          <t>2014</t>
        </is>
      </c>
      <c r="D212" s="84" t="n"/>
      <c r="E212" s="89" t="n"/>
      <c r="F212" s="90" t="n"/>
      <c r="G212" s="91" t="n"/>
      <c r="H212" s="91" t="n"/>
      <c r="I212" s="92" t="n"/>
      <c r="J212" s="91" t="n"/>
      <c r="K212" s="89" t="n"/>
      <c r="L212" s="89">
        <f>IF(COUNT(E212,G212,H212,I212,J212,K212)=0,"",ROUND((IF(E212="",0,E212*10)+IF(G212="",0,G212)+IF(H212="",0,H212)+IF(I212="",0,I212*20)+IF(J212="",0,J212)+IF(K212="",0,K212*10))/COUNT(E212,G212,H212,I212,J212,K212),1))</f>
        <v/>
      </c>
      <c r="M212" s="83">
        <f>IF(L212="","",IF(L212&gt;=85,"Excellent",IF(L212&gt;=70,"Good",IF(L212&gt;=55,"Mixed","Poor"))))</f>
        <v/>
      </c>
      <c r="N212" s="96" t="n"/>
      <c r="O212" s="83" t="inlineStr">
        <is>
          <t>https://www.imdb.com/find/?q=Maleficent+2014</t>
        </is>
      </c>
      <c r="P212" s="83" t="inlineStr">
        <is>
          <t>https://www.rottentomatoes.com/search?search=Maleficent</t>
        </is>
      </c>
      <c r="Q212" s="83" t="inlineStr">
        <is>
          <t>https://letterboxd.com/search/Maleficent/</t>
        </is>
      </c>
      <c r="R212" s="83" t="inlineStr">
        <is>
          <t>https://www.metacritic.com/search/Maleficent/</t>
        </is>
      </c>
    </row>
    <row r="213" ht="15.75" customHeight="1" s="108">
      <c r="A213" s="83" t="inlineStr">
        <is>
          <t>F0209</t>
        </is>
      </c>
      <c r="B213" s="83" t="inlineStr">
        <is>
          <t>Mamma Mia!</t>
        </is>
      </c>
      <c r="C213" s="88" t="inlineStr">
        <is>
          <t>2008</t>
        </is>
      </c>
      <c r="D213" s="84" t="n"/>
      <c r="E213" s="89" t="n"/>
      <c r="F213" s="90" t="n"/>
      <c r="G213" s="91" t="n"/>
      <c r="H213" s="91" t="n"/>
      <c r="I213" s="92" t="n"/>
      <c r="J213" s="91" t="n"/>
      <c r="K213" s="89" t="n"/>
      <c r="L213" s="89">
        <f>IF(COUNT(E213,G213,H213,I213,J213,K213)=0,"",ROUND((IF(E213="",0,E213*10)+IF(G213="",0,G213)+IF(H213="",0,H213)+IF(I213="",0,I213*20)+IF(J213="",0,J213)+IF(K213="",0,K213*10))/COUNT(E213,G213,H213,I213,J213,K213),1))</f>
        <v/>
      </c>
      <c r="M213" s="83">
        <f>IF(L213="","",IF(L213&gt;=85,"Excellent",IF(L213&gt;=70,"Good",IF(L213&gt;=55,"Mixed","Poor"))))</f>
        <v/>
      </c>
      <c r="N213" s="96" t="n"/>
      <c r="O213" s="83" t="inlineStr">
        <is>
          <t>https://www.imdb.com/find/?q=Mamma+Mia%21+2008</t>
        </is>
      </c>
      <c r="P213" s="83" t="inlineStr">
        <is>
          <t>https://www.rottentomatoes.com/search?search=Mamma+Mia%21</t>
        </is>
      </c>
      <c r="Q213" s="83" t="inlineStr">
        <is>
          <t>https://letterboxd.com/search/Mamma%20Mia%21/</t>
        </is>
      </c>
      <c r="R213" s="83" t="inlineStr">
        <is>
          <t>https://www.metacritic.com/search/Mamma+Mia%21/</t>
        </is>
      </c>
    </row>
    <row r="214" ht="15.75" customHeight="1" s="108">
      <c r="A214" s="83" t="inlineStr">
        <is>
          <t>F0210</t>
        </is>
      </c>
      <c r="B214" s="83" t="inlineStr">
        <is>
          <t>Man on a Ledge</t>
        </is>
      </c>
      <c r="C214" s="88" t="inlineStr">
        <is>
          <t>2012</t>
        </is>
      </c>
      <c r="D214" s="84" t="n"/>
      <c r="E214" s="89" t="n"/>
      <c r="F214" s="90" t="n"/>
      <c r="G214" s="91" t="n"/>
      <c r="H214" s="91" t="n"/>
      <c r="I214" s="92" t="n"/>
      <c r="J214" s="91" t="n"/>
      <c r="K214" s="89" t="n"/>
      <c r="L214" s="89">
        <f>IF(COUNT(E214,G214,H214,I214,J214,K214)=0,"",ROUND((IF(E214="",0,E214*10)+IF(G214="",0,G214)+IF(H214="",0,H214)+IF(I214="",0,I214*20)+IF(J214="",0,J214)+IF(K214="",0,K214*10))/COUNT(E214,G214,H214,I214,J214,K214),1))</f>
        <v/>
      </c>
      <c r="M214" s="83">
        <f>IF(L214="","",IF(L214&gt;=85,"Excellent",IF(L214&gt;=70,"Good",IF(L214&gt;=55,"Mixed","Poor"))))</f>
        <v/>
      </c>
      <c r="N214" s="96" t="n"/>
      <c r="O214" s="83" t="inlineStr">
        <is>
          <t>https://www.imdb.com/find/?q=Man+on+a+Ledge+2012</t>
        </is>
      </c>
      <c r="P214" s="83" t="inlineStr">
        <is>
          <t>https://www.rottentomatoes.com/search?search=Man+on+a+Ledge</t>
        </is>
      </c>
      <c r="Q214" s="83" t="inlineStr">
        <is>
          <t>https://letterboxd.com/search/Man%20on%20a%20Ledge/</t>
        </is>
      </c>
      <c r="R214" s="83" t="inlineStr">
        <is>
          <t>https://www.metacritic.com/search/Man+on+a+Ledge/</t>
        </is>
      </c>
    </row>
    <row r="215" ht="15.75" customHeight="1" s="108">
      <c r="A215" s="83" t="inlineStr">
        <is>
          <t>F0211</t>
        </is>
      </c>
      <c r="B215" s="83" t="inlineStr">
        <is>
          <t>Man of Steel</t>
        </is>
      </c>
      <c r="C215" s="88" t="inlineStr">
        <is>
          <t>2013</t>
        </is>
      </c>
      <c r="D215" s="84" t="n"/>
      <c r="E215" s="89" t="n"/>
      <c r="F215" s="90" t="n"/>
      <c r="G215" s="91" t="n"/>
      <c r="H215" s="91" t="n"/>
      <c r="I215" s="92" t="n"/>
      <c r="J215" s="91" t="n"/>
      <c r="K215" s="89" t="n"/>
      <c r="L215" s="89">
        <f>IF(COUNT(E215,G215,H215,I215,J215,K215)=0,"",ROUND((IF(E215="",0,E215*10)+IF(G215="",0,G215)+IF(H215="",0,H215)+IF(I215="",0,I215*20)+IF(J215="",0,J215)+IF(K215="",0,K215*10))/COUNT(E215,G215,H215,I215,J215,K215),1))</f>
        <v/>
      </c>
      <c r="M215" s="83">
        <f>IF(L215="","",IF(L215&gt;=85,"Excellent",IF(L215&gt;=70,"Good",IF(L215&gt;=55,"Mixed","Poor"))))</f>
        <v/>
      </c>
      <c r="N215" s="96" t="n"/>
      <c r="O215" s="83" t="inlineStr">
        <is>
          <t>https://www.imdb.com/find/?q=Man+of+Steel+2013</t>
        </is>
      </c>
      <c r="P215" s="83" t="inlineStr">
        <is>
          <t>https://www.rottentomatoes.com/search?search=Man+of+Steel</t>
        </is>
      </c>
      <c r="Q215" s="83" t="inlineStr">
        <is>
          <t>https://letterboxd.com/search/Man%20of%20Steel/</t>
        </is>
      </c>
      <c r="R215" s="83" t="inlineStr">
        <is>
          <t>https://www.metacritic.com/search/Man+of+Steel/</t>
        </is>
      </c>
    </row>
    <row r="216" ht="15.75" customHeight="1" s="108">
      <c r="A216" s="83" t="inlineStr">
        <is>
          <t>F0212</t>
        </is>
      </c>
      <c r="B216" s="83" t="inlineStr">
        <is>
          <t>The Super Mario Bros. Movie</t>
        </is>
      </c>
      <c r="C216" s="88" t="inlineStr">
        <is>
          <t>2023</t>
        </is>
      </c>
      <c r="D216" s="84" t="n"/>
      <c r="E216" s="89" t="n"/>
      <c r="F216" s="90" t="n"/>
      <c r="G216" s="91" t="n"/>
      <c r="H216" s="91" t="n"/>
      <c r="I216" s="92" t="n"/>
      <c r="J216" s="91" t="n"/>
      <c r="K216" s="89" t="n"/>
      <c r="L216" s="89">
        <f>IF(COUNT(E216,G216,H216,I216,J216,K216)=0,"",ROUND((IF(E216="",0,E216*10)+IF(G216="",0,G216)+IF(H216="",0,H216)+IF(I216="",0,I216*20)+IF(J216="",0,J216)+IF(K216="",0,K216*10))/COUNT(E216,G216,H216,I216,J216,K216),1))</f>
        <v/>
      </c>
      <c r="M216" s="83">
        <f>IF(L216="","",IF(L216&gt;=85,"Excellent",IF(L216&gt;=70,"Good",IF(L216&gt;=55,"Mixed","Poor"))))</f>
        <v/>
      </c>
      <c r="N216" s="96" t="n"/>
      <c r="O216" s="83" t="inlineStr">
        <is>
          <t>https://www.imdb.com/find/?q=The+Super+Mario+Bros.+Movie+2023</t>
        </is>
      </c>
      <c r="P216" s="83" t="inlineStr">
        <is>
          <t>https://www.rottentomatoes.com/search?search=The+Super+Mario+Bros.+Movie</t>
        </is>
      </c>
      <c r="Q216" s="83" t="inlineStr">
        <is>
          <t>https://letterboxd.com/search/The%20Super%20Mario%20Bros.%20Movie/</t>
        </is>
      </c>
      <c r="R216" s="83" t="inlineStr">
        <is>
          <t>https://www.metacritic.com/search/The+Super+Mario+Bros.+Movie/</t>
        </is>
      </c>
    </row>
    <row r="217" ht="15.75" customHeight="1" s="108">
      <c r="A217" s="83" t="inlineStr">
        <is>
          <t>F0213</t>
        </is>
      </c>
      <c r="B217" s="83" t="inlineStr">
        <is>
          <t>The Martian</t>
        </is>
      </c>
      <c r="C217" s="88" t="inlineStr">
        <is>
          <t>2015</t>
        </is>
      </c>
      <c r="D217" s="84" t="n"/>
      <c r="E217" s="89" t="n"/>
      <c r="F217" s="90" t="n"/>
      <c r="G217" s="91" t="n"/>
      <c r="H217" s="91" t="n"/>
      <c r="I217" s="92" t="n"/>
      <c r="J217" s="91" t="n"/>
      <c r="K217" s="89" t="n"/>
      <c r="L217" s="89">
        <f>IF(COUNT(E217,G217,H217,I217,J217,K217)=0,"",ROUND((IF(E217="",0,E217*10)+IF(G217="",0,G217)+IF(H217="",0,H217)+IF(I217="",0,I217*20)+IF(J217="",0,J217)+IF(K217="",0,K217*10))/COUNT(E217,G217,H217,I217,J217,K217),1))</f>
        <v/>
      </c>
      <c r="M217" s="83">
        <f>IF(L217="","",IF(L217&gt;=85,"Excellent",IF(L217&gt;=70,"Good",IF(L217&gt;=55,"Mixed","Poor"))))</f>
        <v/>
      </c>
      <c r="N217" s="96" t="n"/>
      <c r="O217" s="83" t="inlineStr">
        <is>
          <t>https://www.imdb.com/find/?q=The+Martian+2015</t>
        </is>
      </c>
      <c r="P217" s="83" t="inlineStr">
        <is>
          <t>https://www.rottentomatoes.com/search?search=The+Martian</t>
        </is>
      </c>
      <c r="Q217" s="83" t="inlineStr">
        <is>
          <t>https://letterboxd.com/search/The%20Martian/</t>
        </is>
      </c>
      <c r="R217" s="83" t="inlineStr">
        <is>
          <t>https://www.metacritic.com/search/The+Martian/</t>
        </is>
      </c>
    </row>
    <row r="218" ht="15.75" customHeight="1" s="108">
      <c r="A218" s="83" t="inlineStr">
        <is>
          <t>F0214</t>
        </is>
      </c>
      <c r="B218" s="83" t="inlineStr">
        <is>
          <t>The Matrix</t>
        </is>
      </c>
      <c r="C218" s="88" t="inlineStr">
        <is>
          <t>1999</t>
        </is>
      </c>
      <c r="D218" s="84" t="n">
        <v>5</v>
      </c>
      <c r="E218" s="89" t="n"/>
      <c r="F218" s="90" t="n"/>
      <c r="G218" s="91" t="n"/>
      <c r="H218" s="91" t="n"/>
      <c r="I218" s="92" t="n"/>
      <c r="J218" s="91" t="n"/>
      <c r="K218" s="89" t="n"/>
      <c r="L218" s="89">
        <f>IF(COUNT(E218,G218,H218,I218,J218,K218)=0,"",ROUND((IF(E218="",0,E218*10)+IF(G218="",0,G218)+IF(H218="",0,H218)+IF(I218="",0,I218*20)+IF(J218="",0,J218)+IF(K218="",0,K218*10))/COUNT(E218,G218,H218,I218,J218,K218),1))</f>
        <v/>
      </c>
      <c r="M218" s="83">
        <f>IF(L218="","",IF(L218&gt;=85,"Excellent",IF(L218&gt;=70,"Good",IF(L218&gt;=55,"Mixed","Poor"))))</f>
        <v/>
      </c>
      <c r="N218" s="96" t="n"/>
      <c r="O218" s="83" t="inlineStr">
        <is>
          <t>https://www.imdb.com/find/?q=The+Matrix+1999</t>
        </is>
      </c>
      <c r="P218" s="83" t="inlineStr">
        <is>
          <t>https://www.rottentomatoes.com/search?search=The+Matrix</t>
        </is>
      </c>
      <c r="Q218" s="83" t="inlineStr">
        <is>
          <t>https://letterboxd.com/search/The%20Matrix/</t>
        </is>
      </c>
      <c r="R218" s="83" t="inlineStr">
        <is>
          <t>https://www.metacritic.com/search/The+Matrix/</t>
        </is>
      </c>
    </row>
    <row r="219" ht="15.75" customHeight="1" s="108">
      <c r="A219" s="83" t="inlineStr">
        <is>
          <t>F0215</t>
        </is>
      </c>
      <c r="B219" s="83" t="inlineStr">
        <is>
          <t>The Matrix Reloaded</t>
        </is>
      </c>
      <c r="C219" s="88" t="inlineStr">
        <is>
          <t>2003</t>
        </is>
      </c>
      <c r="D219" s="84" t="n"/>
      <c r="E219" s="89" t="n"/>
      <c r="F219" s="90" t="n"/>
      <c r="G219" s="91" t="n"/>
      <c r="H219" s="91" t="n"/>
      <c r="I219" s="92" t="n"/>
      <c r="J219" s="91" t="n"/>
      <c r="K219" s="89" t="n"/>
      <c r="L219" s="89">
        <f>IF(COUNT(E219,G219,H219,I219,J219,K219)=0,"",ROUND((IF(E219="",0,E219*10)+IF(G219="",0,G219)+IF(H219="",0,H219)+IF(I219="",0,I219*20)+IF(J219="",0,J219)+IF(K219="",0,K219*10))/COUNT(E219,G219,H219,I219,J219,K219),1))</f>
        <v/>
      </c>
      <c r="M219" s="83">
        <f>IF(L219="","",IF(L219&gt;=85,"Excellent",IF(L219&gt;=70,"Good",IF(L219&gt;=55,"Mixed","Poor"))))</f>
        <v/>
      </c>
      <c r="N219" s="96" t="n"/>
      <c r="O219" s="83" t="inlineStr">
        <is>
          <t>https://www.imdb.com/find/?q=The+Matrix+Reloaded+2003</t>
        </is>
      </c>
      <c r="P219" s="83" t="inlineStr">
        <is>
          <t>https://www.rottentomatoes.com/search?search=The+Matrix+Reloaded</t>
        </is>
      </c>
      <c r="Q219" s="83" t="inlineStr">
        <is>
          <t>https://letterboxd.com/search/The%20Matrix%20Reloaded/</t>
        </is>
      </c>
      <c r="R219" s="83" t="inlineStr">
        <is>
          <t>https://www.metacritic.com/search/The+Matrix+Reloaded/</t>
        </is>
      </c>
    </row>
    <row r="220" ht="15.75" customHeight="1" s="108">
      <c r="A220" s="83" t="inlineStr">
        <is>
          <t>F0216</t>
        </is>
      </c>
      <c r="B220" s="83" t="inlineStr">
        <is>
          <t>The Matrix Revolutions</t>
        </is>
      </c>
      <c r="C220" s="88" t="inlineStr">
        <is>
          <t>2003</t>
        </is>
      </c>
      <c r="D220" s="84" t="n"/>
      <c r="E220" s="89" t="n"/>
      <c r="F220" s="90" t="n"/>
      <c r="G220" s="91" t="n"/>
      <c r="H220" s="91" t="n"/>
      <c r="I220" s="92" t="n"/>
      <c r="J220" s="91" t="n"/>
      <c r="K220" s="89" t="n"/>
      <c r="L220" s="89">
        <f>IF(COUNT(E220,G220,H220,I220,J220,K220)=0,"",ROUND((IF(E220="",0,E220*10)+IF(G220="",0,G220)+IF(H220="",0,H220)+IF(I220="",0,I220*20)+IF(J220="",0,J220)+IF(K220="",0,K220*10))/COUNT(E220,G220,H220,I220,J220,K220),1))</f>
        <v/>
      </c>
      <c r="M220" s="83">
        <f>IF(L220="","",IF(L220&gt;=85,"Excellent",IF(L220&gt;=70,"Good",IF(L220&gt;=55,"Mixed","Poor"))))</f>
        <v/>
      </c>
      <c r="N220" s="96" t="n"/>
      <c r="O220" s="83" t="inlineStr">
        <is>
          <t>https://www.imdb.com/find/?q=The+Matrix+Revolutions+2003</t>
        </is>
      </c>
      <c r="P220" s="83" t="inlineStr">
        <is>
          <t>https://www.rottentomatoes.com/search?search=The+Matrix+Revolutions</t>
        </is>
      </c>
      <c r="Q220" s="83" t="inlineStr">
        <is>
          <t>https://letterboxd.com/search/The%20Matrix%20Revolutions/</t>
        </is>
      </c>
      <c r="R220" s="83" t="inlineStr">
        <is>
          <t>https://www.metacritic.com/search/The+Matrix+Revolutions/</t>
        </is>
      </c>
    </row>
    <row r="221" ht="15.75" customHeight="1" s="108">
      <c r="A221" s="83" t="inlineStr">
        <is>
          <t>F0217</t>
        </is>
      </c>
      <c r="B221" s="83" t="inlineStr">
        <is>
          <t>The Maze Runner</t>
        </is>
      </c>
      <c r="C221" s="88" t="inlineStr">
        <is>
          <t>2014</t>
        </is>
      </c>
      <c r="D221" s="84" t="n"/>
      <c r="E221" s="89" t="n"/>
      <c r="F221" s="90" t="n"/>
      <c r="G221" s="91" t="n"/>
      <c r="H221" s="91" t="n"/>
      <c r="I221" s="92" t="n"/>
      <c r="J221" s="91" t="n"/>
      <c r="K221" s="89" t="n"/>
      <c r="L221" s="89">
        <f>IF(COUNT(E221,G221,H221,I221,J221,K221)=0,"",ROUND((IF(E221="",0,E221*10)+IF(G221="",0,G221)+IF(H221="",0,H221)+IF(I221="",0,I221*20)+IF(J221="",0,J221)+IF(K221="",0,K221*10))/COUNT(E221,G221,H221,I221,J221,K221),1))</f>
        <v/>
      </c>
      <c r="M221" s="83">
        <f>IF(L221="","",IF(L221&gt;=85,"Excellent",IF(L221&gt;=70,"Good",IF(L221&gt;=55,"Mixed","Poor"))))</f>
        <v/>
      </c>
      <c r="N221" s="96" t="n"/>
      <c r="O221" s="83" t="inlineStr">
        <is>
          <t>https://www.imdb.com/find/?q=The+Maze+Runner+2014</t>
        </is>
      </c>
      <c r="P221" s="83" t="inlineStr">
        <is>
          <t>https://www.rottentomatoes.com/search?search=The+Maze+Runner</t>
        </is>
      </c>
      <c r="Q221" s="83" t="inlineStr">
        <is>
          <t>https://letterboxd.com/search/The%20Maze%20Runner/</t>
        </is>
      </c>
      <c r="R221" s="83" t="inlineStr">
        <is>
          <t>https://www.metacritic.com/search/The+Maze+Runner/</t>
        </is>
      </c>
    </row>
    <row r="222" ht="15.75" customHeight="1" s="108">
      <c r="A222" s="83" t="inlineStr">
        <is>
          <t>F0218</t>
        </is>
      </c>
      <c r="B222" s="83" t="inlineStr">
        <is>
          <t>Men in Black</t>
        </is>
      </c>
      <c r="C222" s="88" t="inlineStr">
        <is>
          <t>1997</t>
        </is>
      </c>
      <c r="D222" s="84" t="n"/>
      <c r="E222" s="89" t="n"/>
      <c r="F222" s="90" t="n"/>
      <c r="G222" s="91" t="n"/>
      <c r="H222" s="91" t="n"/>
      <c r="I222" s="92" t="n"/>
      <c r="J222" s="91" t="n"/>
      <c r="K222" s="89" t="n"/>
      <c r="L222" s="89">
        <f>IF(COUNT(E222,G222,H222,I222,J222,K222)=0,"",ROUND((IF(E222="",0,E222*10)+IF(G222="",0,G222)+IF(H222="",0,H222)+IF(I222="",0,I222*20)+IF(J222="",0,J222)+IF(K222="",0,K222*10))/COUNT(E222,G222,H222,I222,J222,K222),1))</f>
        <v/>
      </c>
      <c r="M222" s="83">
        <f>IF(L222="","",IF(L222&gt;=85,"Excellent",IF(L222&gt;=70,"Good",IF(L222&gt;=55,"Mixed","Poor"))))</f>
        <v/>
      </c>
      <c r="N222" s="96" t="n"/>
      <c r="O222" s="83" t="inlineStr">
        <is>
          <t>https://www.imdb.com/find/?q=Men+in+Black+1997</t>
        </is>
      </c>
      <c r="P222" s="83" t="inlineStr">
        <is>
          <t>https://www.rottentomatoes.com/search?search=Men+in+Black</t>
        </is>
      </c>
      <c r="Q222" s="83" t="inlineStr">
        <is>
          <t>https://letterboxd.com/search/Men%20in%20Black/</t>
        </is>
      </c>
      <c r="R222" s="83" t="inlineStr">
        <is>
          <t>https://www.metacritic.com/search/Men+in+Black/</t>
        </is>
      </c>
    </row>
    <row r="223" ht="15.75" customHeight="1" s="108">
      <c r="A223" s="83" t="inlineStr">
        <is>
          <t>F0219</t>
        </is>
      </c>
      <c r="B223" s="83" t="inlineStr">
        <is>
          <t>Men in Black 3</t>
        </is>
      </c>
      <c r="C223" s="88" t="inlineStr">
        <is>
          <t>2012</t>
        </is>
      </c>
      <c r="D223" s="84" t="n"/>
      <c r="E223" s="89" t="n"/>
      <c r="F223" s="90" t="n"/>
      <c r="G223" s="91" t="n"/>
      <c r="H223" s="91" t="n"/>
      <c r="I223" s="92" t="n"/>
      <c r="J223" s="91" t="n"/>
      <c r="K223" s="89" t="n"/>
      <c r="L223" s="89">
        <f>IF(COUNT(E223,G223,H223,I223,J223,K223)=0,"",ROUND((IF(E223="",0,E223*10)+IF(G223="",0,G223)+IF(H223="",0,H223)+IF(I223="",0,I223*20)+IF(J223="",0,J223)+IF(K223="",0,K223*10))/COUNT(E223,G223,H223,I223,J223,K223),1))</f>
        <v/>
      </c>
      <c r="M223" s="83">
        <f>IF(L223="","",IF(L223&gt;=85,"Excellent",IF(L223&gt;=70,"Good",IF(L223&gt;=55,"Mixed","Poor"))))</f>
        <v/>
      </c>
      <c r="N223" s="96" t="n"/>
      <c r="O223" s="83" t="inlineStr">
        <is>
          <t>https://www.imdb.com/find/?q=Men+in+Black+3+2012</t>
        </is>
      </c>
      <c r="P223" s="83" t="inlineStr">
        <is>
          <t>https://www.rottentomatoes.com/search?search=Men+in+Black+3</t>
        </is>
      </c>
      <c r="Q223" s="83" t="inlineStr">
        <is>
          <t>https://letterboxd.com/search/Men%20in%20Black%203/</t>
        </is>
      </c>
      <c r="R223" s="83" t="inlineStr">
        <is>
          <t>https://www.metacritic.com/search/Men+in+Black+3/</t>
        </is>
      </c>
    </row>
    <row r="224" ht="15.75" customHeight="1" s="108">
      <c r="A224" s="83" t="inlineStr">
        <is>
          <t>F0220</t>
        </is>
      </c>
      <c r="B224" s="83" t="inlineStr">
        <is>
          <t>Minions</t>
        </is>
      </c>
      <c r="C224" s="88" t="inlineStr">
        <is>
          <t>2015</t>
        </is>
      </c>
      <c r="D224" s="84" t="n"/>
      <c r="E224" s="89" t="n"/>
      <c r="F224" s="90" t="n"/>
      <c r="G224" s="91" t="n"/>
      <c r="H224" s="91" t="n"/>
      <c r="I224" s="92" t="n"/>
      <c r="J224" s="91" t="n"/>
      <c r="K224" s="89" t="n"/>
      <c r="L224" s="89">
        <f>IF(COUNT(E224,G224,H224,I224,J224,K224)=0,"",ROUND((IF(E224="",0,E224*10)+IF(G224="",0,G224)+IF(H224="",0,H224)+IF(I224="",0,I224*20)+IF(J224="",0,J224)+IF(K224="",0,K224*10))/COUNT(E224,G224,H224,I224,J224,K224),1))</f>
        <v/>
      </c>
      <c r="M224" s="83">
        <f>IF(L224="","",IF(L224&gt;=85,"Excellent",IF(L224&gt;=70,"Good",IF(L224&gt;=55,"Mixed","Poor"))))</f>
        <v/>
      </c>
      <c r="N224" s="96" t="n"/>
      <c r="O224" s="83" t="inlineStr">
        <is>
          <t>https://www.imdb.com/find/?q=Minions+2015</t>
        </is>
      </c>
      <c r="P224" s="83" t="inlineStr">
        <is>
          <t>https://www.rottentomatoes.com/search?search=Minions</t>
        </is>
      </c>
      <c r="Q224" s="83" t="inlineStr">
        <is>
          <t>https://letterboxd.com/search/Minions/</t>
        </is>
      </c>
      <c r="R224" s="83" t="inlineStr">
        <is>
          <t>https://www.metacritic.com/search/Minions/</t>
        </is>
      </c>
    </row>
    <row r="225" ht="15.75" customHeight="1" s="108">
      <c r="A225" s="83" t="inlineStr">
        <is>
          <t>F0221</t>
        </is>
      </c>
      <c r="B225" s="83" t="inlineStr">
        <is>
          <t>Mission: Impossible</t>
        </is>
      </c>
      <c r="C225" s="88" t="inlineStr">
        <is>
          <t>1996</t>
        </is>
      </c>
      <c r="D225" s="84" t="n"/>
      <c r="E225" s="89" t="n"/>
      <c r="F225" s="90" t="n"/>
      <c r="G225" s="91" t="n"/>
      <c r="H225" s="91" t="n"/>
      <c r="I225" s="92" t="n"/>
      <c r="J225" s="91" t="n"/>
      <c r="K225" s="89" t="n"/>
      <c r="L225" s="89">
        <f>IF(COUNT(E225,G225,H225,I225,J225,K225)=0,"",ROUND((IF(E225="",0,E225*10)+IF(G225="",0,G225)+IF(H225="",0,H225)+IF(I225="",0,I225*20)+IF(J225="",0,J225)+IF(K225="",0,K225*10))/COUNT(E225,G225,H225,I225,J225,K225),1))</f>
        <v/>
      </c>
      <c r="M225" s="83">
        <f>IF(L225="","",IF(L225&gt;=85,"Excellent",IF(L225&gt;=70,"Good",IF(L225&gt;=55,"Mixed","Poor"))))</f>
        <v/>
      </c>
      <c r="N225" s="96" t="n"/>
      <c r="O225" s="83" t="inlineStr">
        <is>
          <t>https://www.imdb.com/find/?q=Mission%3A+Impossible+1996</t>
        </is>
      </c>
      <c r="P225" s="83" t="inlineStr">
        <is>
          <t>https://www.rottentomatoes.com/search?search=Mission%3A+Impossible</t>
        </is>
      </c>
      <c r="Q225" s="83" t="inlineStr">
        <is>
          <t>https://letterboxd.com/search/Mission%3A%20Impossible/</t>
        </is>
      </c>
      <c r="R225" s="83" t="inlineStr">
        <is>
          <t>https://www.metacritic.com/search/Mission%3A+Impossible/</t>
        </is>
      </c>
    </row>
    <row r="226" ht="15.75" customHeight="1" s="108">
      <c r="A226" s="83" t="inlineStr">
        <is>
          <t>F0222</t>
        </is>
      </c>
      <c r="B226" s="83" t="inlineStr">
        <is>
          <t>Mission: Impossible II</t>
        </is>
      </c>
      <c r="C226" s="88" t="inlineStr">
        <is>
          <t>2000</t>
        </is>
      </c>
      <c r="D226" s="84" t="n"/>
      <c r="E226" s="89" t="n"/>
      <c r="F226" s="90" t="n"/>
      <c r="G226" s="91" t="n"/>
      <c r="H226" s="91" t="n"/>
      <c r="I226" s="92" t="n"/>
      <c r="J226" s="91" t="n"/>
      <c r="K226" s="89" t="n"/>
      <c r="L226" s="89">
        <f>IF(COUNT(E226,G226,H226,I226,J226,K226)=0,"",ROUND((IF(E226="",0,E226*10)+IF(G226="",0,G226)+IF(H226="",0,H226)+IF(I226="",0,I226*20)+IF(J226="",0,J226)+IF(K226="",0,K226*10))/COUNT(E226,G226,H226,I226,J226,K226),1))</f>
        <v/>
      </c>
      <c r="M226" s="83">
        <f>IF(L226="","",IF(L226&gt;=85,"Excellent",IF(L226&gt;=70,"Good",IF(L226&gt;=55,"Mixed","Poor"))))</f>
        <v/>
      </c>
      <c r="N226" s="96" t="n"/>
      <c r="O226" s="83" t="inlineStr">
        <is>
          <t>https://www.imdb.com/find/?q=Mission%3A+Impossible+II+2000</t>
        </is>
      </c>
      <c r="P226" s="83" t="inlineStr">
        <is>
          <t>https://www.rottentomatoes.com/search?search=Mission%3A+Impossible+II</t>
        </is>
      </c>
      <c r="Q226" s="83" t="inlineStr">
        <is>
          <t>https://letterboxd.com/search/Mission%3A%20Impossible%20II/</t>
        </is>
      </c>
      <c r="R226" s="83" t="inlineStr">
        <is>
          <t>https://www.metacritic.com/search/Mission%3A+Impossible+II/</t>
        </is>
      </c>
    </row>
    <row r="227" ht="15.75" customHeight="1" s="108">
      <c r="A227" s="83" t="inlineStr">
        <is>
          <t>F0223</t>
        </is>
      </c>
      <c r="B227" s="83" t="inlineStr">
        <is>
          <t>Mission: Impossible III</t>
        </is>
      </c>
      <c r="C227" s="88" t="inlineStr">
        <is>
          <t>2006</t>
        </is>
      </c>
      <c r="D227" s="84" t="n"/>
      <c r="E227" s="89" t="n"/>
      <c r="F227" s="90" t="n"/>
      <c r="G227" s="91" t="n"/>
      <c r="H227" s="91" t="n"/>
      <c r="I227" s="92" t="n"/>
      <c r="J227" s="91" t="n"/>
      <c r="K227" s="89" t="n"/>
      <c r="L227" s="89">
        <f>IF(COUNT(E227,G227,H227,I227,J227,K227)=0,"",ROUND((IF(E227="",0,E227*10)+IF(G227="",0,G227)+IF(H227="",0,H227)+IF(I227="",0,I227*20)+IF(J227="",0,J227)+IF(K227="",0,K227*10))/COUNT(E227,G227,H227,I227,J227,K227),1))</f>
        <v/>
      </c>
      <c r="M227" s="83">
        <f>IF(L227="","",IF(L227&gt;=85,"Excellent",IF(L227&gt;=70,"Good",IF(L227&gt;=55,"Mixed","Poor"))))</f>
        <v/>
      </c>
      <c r="N227" s="96" t="n"/>
      <c r="O227" s="83" t="inlineStr">
        <is>
          <t>https://www.imdb.com/find/?q=Mission%3A+Impossible+III+2006</t>
        </is>
      </c>
      <c r="P227" s="83" t="inlineStr">
        <is>
          <t>https://www.rottentomatoes.com/search?search=Mission%3A+Impossible+III</t>
        </is>
      </c>
      <c r="Q227" s="83" t="inlineStr">
        <is>
          <t>https://letterboxd.com/search/Mission%3A%20Impossible%20III/</t>
        </is>
      </c>
      <c r="R227" s="83" t="inlineStr">
        <is>
          <t>https://www.metacritic.com/search/Mission%3A+Impossible+III/</t>
        </is>
      </c>
    </row>
    <row r="228" ht="15.75" customHeight="1" s="108">
      <c r="A228" s="83" t="inlineStr">
        <is>
          <t>F0224</t>
        </is>
      </c>
      <c r="B228" s="83" t="inlineStr">
        <is>
          <t>Mission: Impossible - Ghost Protocol</t>
        </is>
      </c>
      <c r="C228" s="88" t="inlineStr">
        <is>
          <t>2011</t>
        </is>
      </c>
      <c r="D228" s="84" t="n"/>
      <c r="E228" s="89" t="n"/>
      <c r="F228" s="90" t="n"/>
      <c r="G228" s="91" t="n"/>
      <c r="H228" s="91" t="n"/>
      <c r="I228" s="92" t="n"/>
      <c r="J228" s="91" t="n"/>
      <c r="K228" s="89" t="n"/>
      <c r="L228" s="89">
        <f>IF(COUNT(E228,G228,H228,I228,J228,K228)=0,"",ROUND((IF(E228="",0,E228*10)+IF(G228="",0,G228)+IF(H228="",0,H228)+IF(I228="",0,I228*20)+IF(J228="",0,J228)+IF(K228="",0,K228*10))/COUNT(E228,G228,H228,I228,J228,K228),1))</f>
        <v/>
      </c>
      <c r="M228" s="83">
        <f>IF(L228="","",IF(L228&gt;=85,"Excellent",IF(L228&gt;=70,"Good",IF(L228&gt;=55,"Mixed","Poor"))))</f>
        <v/>
      </c>
      <c r="N228" s="96" t="n"/>
      <c r="O228" s="83" t="inlineStr">
        <is>
          <t>https://www.imdb.com/find/?q=Mission%3A+Impossible+-+Ghost+Protocol+2011</t>
        </is>
      </c>
      <c r="P228" s="83" t="inlineStr">
        <is>
          <t>https://www.rottentomatoes.com/search?search=Mission%3A+Impossible+-+Ghost+Protocol</t>
        </is>
      </c>
      <c r="Q228" s="83" t="inlineStr">
        <is>
          <t>https://letterboxd.com/search/Mission%3A%20Impossible%20-%20Ghost%20Protocol/</t>
        </is>
      </c>
      <c r="R228" s="83" t="inlineStr">
        <is>
          <t>https://www.metacritic.com/search/Mission%3A+Impossible+-+Ghost+Protocol/</t>
        </is>
      </c>
    </row>
    <row r="229" ht="15.75" customHeight="1" s="108">
      <c r="A229" s="83" t="inlineStr">
        <is>
          <t>F0225</t>
        </is>
      </c>
      <c r="B229" s="83" t="inlineStr">
        <is>
          <t>Mission: Impossible - Rogue Nation</t>
        </is>
      </c>
      <c r="C229" s="88" t="inlineStr">
        <is>
          <t>2015</t>
        </is>
      </c>
      <c r="D229" s="84" t="n"/>
      <c r="E229" s="89" t="n"/>
      <c r="F229" s="90" t="n"/>
      <c r="G229" s="91" t="n"/>
      <c r="H229" s="91" t="n"/>
      <c r="I229" s="92" t="n"/>
      <c r="J229" s="91" t="n"/>
      <c r="K229" s="89" t="n"/>
      <c r="L229" s="89">
        <f>IF(COUNT(E229,G229,H229,I229,J229,K229)=0,"",ROUND((IF(E229="",0,E229*10)+IF(G229="",0,G229)+IF(H229="",0,H229)+IF(I229="",0,I229*20)+IF(J229="",0,J229)+IF(K229="",0,K229*10))/COUNT(E229,G229,H229,I229,J229,K229),1))</f>
        <v/>
      </c>
      <c r="M229" s="83">
        <f>IF(L229="","",IF(L229&gt;=85,"Excellent",IF(L229&gt;=70,"Good",IF(L229&gt;=55,"Mixed","Poor"))))</f>
        <v/>
      </c>
      <c r="N229" s="96" t="n"/>
      <c r="O229" s="83" t="inlineStr">
        <is>
          <t>https://www.imdb.com/find/?q=Mission%3A+Impossible+-+Rogue+Nation+2015</t>
        </is>
      </c>
      <c r="P229" s="83" t="inlineStr">
        <is>
          <t>https://www.rottentomatoes.com/search?search=Mission%3A+Impossible+-+Rogue+Nation</t>
        </is>
      </c>
      <c r="Q229" s="83" t="inlineStr">
        <is>
          <t>https://letterboxd.com/search/Mission%3A%20Impossible%20-%20Rogue%20Nation/</t>
        </is>
      </c>
      <c r="R229" s="83" t="inlineStr">
        <is>
          <t>https://www.metacritic.com/search/Mission%3A+Impossible+-+Rogue+Nation/</t>
        </is>
      </c>
    </row>
    <row r="230" ht="15.75" customHeight="1" s="108">
      <c r="A230" s="83" t="inlineStr">
        <is>
          <t>F0226</t>
        </is>
      </c>
      <c r="B230" s="83" t="inlineStr">
        <is>
          <t>Mission: Impossible - Fallout</t>
        </is>
      </c>
      <c r="C230" s="88" t="inlineStr">
        <is>
          <t>2018</t>
        </is>
      </c>
      <c r="D230" s="84" t="n"/>
      <c r="E230" s="89" t="n"/>
      <c r="F230" s="90" t="n"/>
      <c r="G230" s="91" t="n"/>
      <c r="H230" s="91" t="n"/>
      <c r="I230" s="92" t="n"/>
      <c r="J230" s="91" t="n"/>
      <c r="K230" s="89" t="n"/>
      <c r="L230" s="89">
        <f>IF(COUNT(E230,G230,H230,I230,J230,K230)=0,"",ROUND((IF(E230="",0,E230*10)+IF(G230="",0,G230)+IF(H230="",0,H230)+IF(I230="",0,I230*20)+IF(J230="",0,J230)+IF(K230="",0,K230*10))/COUNT(E230,G230,H230,I230,J230,K230),1))</f>
        <v/>
      </c>
      <c r="M230" s="83">
        <f>IF(L230="","",IF(L230&gt;=85,"Excellent",IF(L230&gt;=70,"Good",IF(L230&gt;=55,"Mixed","Poor"))))</f>
        <v/>
      </c>
      <c r="N230" s="96" t="n"/>
      <c r="O230" s="83" t="inlineStr">
        <is>
          <t>https://www.imdb.com/find/?q=Mission%3A+Impossible+-+Fallout+2018</t>
        </is>
      </c>
      <c r="P230" s="83" t="inlineStr">
        <is>
          <t>https://www.rottentomatoes.com/search?search=Mission%3A+Impossible+-+Fallout</t>
        </is>
      </c>
      <c r="Q230" s="83" t="inlineStr">
        <is>
          <t>https://letterboxd.com/search/Mission%3A%20Impossible%20-%20Fallout/</t>
        </is>
      </c>
      <c r="R230" s="83" t="inlineStr">
        <is>
          <t>https://www.metacritic.com/search/Mission%3A+Impossible+-+Fallout/</t>
        </is>
      </c>
    </row>
    <row r="231" ht="15.75" customHeight="1" s="108">
      <c r="A231" s="83" t="inlineStr">
        <is>
          <t>F0227</t>
        </is>
      </c>
      <c r="B231" s="83" t="inlineStr">
        <is>
          <t>Mission: Impossible - Dead Reckoning Part One</t>
        </is>
      </c>
      <c r="C231" s="88" t="inlineStr">
        <is>
          <t>2023</t>
        </is>
      </c>
      <c r="D231" s="84" t="n"/>
      <c r="E231" s="89" t="n"/>
      <c r="F231" s="90" t="n"/>
      <c r="G231" s="91" t="n"/>
      <c r="H231" s="91" t="n"/>
      <c r="I231" s="92" t="n"/>
      <c r="J231" s="91" t="n"/>
      <c r="K231" s="89" t="n"/>
      <c r="L231" s="89">
        <f>IF(COUNT(E231,G231,H231,I231,J231,K231)=0,"",ROUND((IF(E231="",0,E231*10)+IF(G231="",0,G231)+IF(H231="",0,H231)+IF(I231="",0,I231*20)+IF(J231="",0,J231)+IF(K231="",0,K231*10))/COUNT(E231,G231,H231,I231,J231,K231),1))</f>
        <v/>
      </c>
      <c r="M231" s="83">
        <f>IF(L231="","",IF(L231&gt;=85,"Excellent",IF(L231&gt;=70,"Good",IF(L231&gt;=55,"Mixed","Poor"))))</f>
        <v/>
      </c>
      <c r="N231" s="96" t="n"/>
      <c r="O231" s="83" t="inlineStr">
        <is>
          <t>https://www.imdb.com/find/?q=Mission%3A+Impossible+-+Dead+Reckoning+Part+One+2023</t>
        </is>
      </c>
      <c r="P231" s="83" t="inlineStr">
        <is>
          <t>https://www.rottentomatoes.com/search?search=Mission%3A+Impossible+-+Dead+Reckoning+Part+One</t>
        </is>
      </c>
      <c r="Q231" s="83" t="inlineStr">
        <is>
          <t>https://letterboxd.com/search/Mission%3A%20Impossible%20-%20Dead%20Reckoning%20Part%20One/</t>
        </is>
      </c>
      <c r="R231" s="83" t="inlineStr">
        <is>
          <t>https://www.metacritic.com/search/Mission%3A+Impossible+-+Dead+Reckoning+Part+One/</t>
        </is>
      </c>
    </row>
    <row r="232" ht="15.75" customHeight="1" s="108">
      <c r="A232" s="83" t="inlineStr">
        <is>
          <t>F0228</t>
        </is>
      </c>
      <c r="B232" s="83" t="inlineStr">
        <is>
          <t>Mission: Impossible - The Final Reckoning</t>
        </is>
      </c>
      <c r="C232" s="88" t="inlineStr">
        <is>
          <t>2025</t>
        </is>
      </c>
      <c r="D232" s="84" t="n"/>
      <c r="E232" s="89" t="n"/>
      <c r="F232" s="90" t="n"/>
      <c r="G232" s="91" t="n"/>
      <c r="H232" s="91" t="n"/>
      <c r="I232" s="92" t="n"/>
      <c r="J232" s="91" t="n"/>
      <c r="K232" s="89" t="n"/>
      <c r="L232" s="89">
        <f>IF(COUNT(E232,G232,H232,I232,J232,K232)=0,"",ROUND((IF(E232="",0,E232*10)+IF(G232="",0,G232)+IF(H232="",0,H232)+IF(I232="",0,I232*20)+IF(J232="",0,J232)+IF(K232="",0,K232*10))/COUNT(E232,G232,H232,I232,J232,K232),1))</f>
        <v/>
      </c>
      <c r="M232" s="83">
        <f>IF(L232="","",IF(L232&gt;=85,"Excellent",IF(L232&gt;=70,"Good",IF(L232&gt;=55,"Mixed","Poor"))))</f>
        <v/>
      </c>
      <c r="N232" s="96" t="n"/>
      <c r="O232" s="83" t="inlineStr">
        <is>
          <t>https://www.imdb.com/find/?q=Mission%3A+Impossible+-+The+Final+Reckoning+2025</t>
        </is>
      </c>
      <c r="P232" s="83" t="inlineStr">
        <is>
          <t>https://www.rottentomatoes.com/search?search=Mission%3A+Impossible+-+The+Final+Reckoning</t>
        </is>
      </c>
      <c r="Q232" s="83" t="inlineStr">
        <is>
          <t>https://letterboxd.com/search/Mission%3A%20Impossible%20-%20The%20Final%20Reckoning/</t>
        </is>
      </c>
      <c r="R232" s="83" t="inlineStr">
        <is>
          <t>https://www.metacritic.com/search/Mission%3A+Impossible+-+The+Final+Reckoning/</t>
        </is>
      </c>
    </row>
    <row r="233" ht="15.75" customHeight="1" s="108">
      <c r="A233" s="83" t="inlineStr">
        <is>
          <t>F0229</t>
        </is>
      </c>
      <c r="B233" s="83" t="inlineStr">
        <is>
          <t>Monsters, Inc.</t>
        </is>
      </c>
      <c r="C233" s="88" t="inlineStr">
        <is>
          <t>2001</t>
        </is>
      </c>
      <c r="D233" s="84" t="n"/>
      <c r="E233" s="89" t="n"/>
      <c r="F233" s="90" t="n"/>
      <c r="G233" s="91" t="n"/>
      <c r="H233" s="91" t="n"/>
      <c r="I233" s="92" t="n"/>
      <c r="J233" s="91" t="n"/>
      <c r="K233" s="89" t="n"/>
      <c r="L233" s="89">
        <f>IF(COUNT(E233,G233,H233,I233,J233,K233)=0,"",ROUND((IF(E233="",0,E233*10)+IF(G233="",0,G233)+IF(H233="",0,H233)+IF(I233="",0,I233*20)+IF(J233="",0,J233)+IF(K233="",0,K233*10))/COUNT(E233,G233,H233,I233,J233,K233),1))</f>
        <v/>
      </c>
      <c r="M233" s="83">
        <f>IF(L233="","",IF(L233&gt;=85,"Excellent",IF(L233&gt;=70,"Good",IF(L233&gt;=55,"Mixed","Poor"))))</f>
        <v/>
      </c>
      <c r="N233" s="96" t="n"/>
      <c r="O233" s="83" t="inlineStr">
        <is>
          <t>https://www.imdb.com/find/?q=Monsters%2C+Inc.+2001</t>
        </is>
      </c>
      <c r="P233" s="83" t="inlineStr">
        <is>
          <t>https://www.rottentomatoes.com/search?search=Monsters%2C+Inc.</t>
        </is>
      </c>
      <c r="Q233" s="83" t="inlineStr">
        <is>
          <t>https://letterboxd.com/search/Monsters%2C%20Inc./</t>
        </is>
      </c>
      <c r="R233" s="83" t="inlineStr">
        <is>
          <t>https://www.metacritic.com/search/Monsters%2C+Inc./</t>
        </is>
      </c>
    </row>
    <row r="234" ht="15.75" customHeight="1" s="108">
      <c r="A234" s="83" t="inlineStr">
        <is>
          <t>F0230</t>
        </is>
      </c>
      <c r="B234" s="83" t="inlineStr">
        <is>
          <t>Monsters University</t>
        </is>
      </c>
      <c r="C234" s="88" t="inlineStr">
        <is>
          <t>2013</t>
        </is>
      </c>
      <c r="D234" s="84" t="n"/>
      <c r="E234" s="89" t="n"/>
      <c r="F234" s="90" t="n"/>
      <c r="G234" s="91" t="n"/>
      <c r="H234" s="91" t="n"/>
      <c r="I234" s="92" t="n"/>
      <c r="J234" s="91" t="n"/>
      <c r="K234" s="89" t="n"/>
      <c r="L234" s="89">
        <f>IF(COUNT(E234,G234,H234,I234,J234,K234)=0,"",ROUND((IF(E234="",0,E234*10)+IF(G234="",0,G234)+IF(H234="",0,H234)+IF(I234="",0,I234*20)+IF(J234="",0,J234)+IF(K234="",0,K234*10))/COUNT(E234,G234,H234,I234,J234,K234),1))</f>
        <v/>
      </c>
      <c r="M234" s="83">
        <f>IF(L234="","",IF(L234&gt;=85,"Excellent",IF(L234&gt;=70,"Good",IF(L234&gt;=55,"Mixed","Poor"))))</f>
        <v/>
      </c>
      <c r="N234" s="96" t="n"/>
      <c r="O234" s="83" t="inlineStr">
        <is>
          <t>https://www.imdb.com/find/?q=Monsters+University+2013</t>
        </is>
      </c>
      <c r="P234" s="83" t="inlineStr">
        <is>
          <t>https://www.rottentomatoes.com/search?search=Monsters+University</t>
        </is>
      </c>
      <c r="Q234" s="83" t="inlineStr">
        <is>
          <t>https://letterboxd.com/search/Monsters%20University/</t>
        </is>
      </c>
      <c r="R234" s="83" t="inlineStr">
        <is>
          <t>https://www.metacritic.com/search/Monsters+University/</t>
        </is>
      </c>
    </row>
    <row r="235" ht="15.75" customHeight="1" s="108">
      <c r="A235" s="83" t="inlineStr">
        <is>
          <t>F0231</t>
        </is>
      </c>
      <c r="B235" s="83" t="inlineStr">
        <is>
          <t>Mr. &amp; Mrs. Smith</t>
        </is>
      </c>
      <c r="C235" s="88" t="inlineStr">
        <is>
          <t>2005</t>
        </is>
      </c>
      <c r="D235" s="84" t="n"/>
      <c r="E235" s="89" t="n"/>
      <c r="F235" s="90" t="n"/>
      <c r="G235" s="91" t="n"/>
      <c r="H235" s="91" t="n"/>
      <c r="I235" s="92" t="n"/>
      <c r="J235" s="91" t="n"/>
      <c r="K235" s="89" t="n"/>
      <c r="L235" s="89">
        <f>IF(COUNT(E235,G235,H235,I235,J235,K235)=0,"",ROUND((IF(E235="",0,E235*10)+IF(G235="",0,G235)+IF(H235="",0,H235)+IF(I235="",0,I235*20)+IF(J235="",0,J235)+IF(K235="",0,K235*10))/COUNT(E235,G235,H235,I235,J235,K235),1))</f>
        <v/>
      </c>
      <c r="M235" s="83">
        <f>IF(L235="","",IF(L235&gt;=85,"Excellent",IF(L235&gt;=70,"Good",IF(L235&gt;=55,"Mixed","Poor"))))</f>
        <v/>
      </c>
      <c r="N235" s="96" t="n"/>
      <c r="O235" s="83" t="inlineStr">
        <is>
          <t>https://www.imdb.com/find/?q=Mr.+%26+Mrs.+Smith+2005</t>
        </is>
      </c>
      <c r="P235" s="83" t="inlineStr">
        <is>
          <t>https://www.rottentomatoes.com/search?search=Mr.+%26+Mrs.+Smith</t>
        </is>
      </c>
      <c r="Q235" s="83" t="inlineStr">
        <is>
          <t>https://letterboxd.com/search/Mr.%20%26%20Mrs.%20Smith/</t>
        </is>
      </c>
      <c r="R235" s="83" t="inlineStr">
        <is>
          <t>https://www.metacritic.com/search/Mr.+%26+Mrs.+Smith/</t>
        </is>
      </c>
    </row>
    <row r="236" ht="15.75" customHeight="1" s="108">
      <c r="A236" s="83" t="inlineStr">
        <is>
          <t>F0232</t>
        </is>
      </c>
      <c r="B236" s="83" t="inlineStr">
        <is>
          <t>Muppets Most Wanted</t>
        </is>
      </c>
      <c r="C236" s="88" t="inlineStr">
        <is>
          <t>2014</t>
        </is>
      </c>
      <c r="D236" s="84" t="n"/>
      <c r="E236" s="89" t="n"/>
      <c r="F236" s="90" t="n"/>
      <c r="G236" s="91" t="n"/>
      <c r="H236" s="91" t="n"/>
      <c r="I236" s="92" t="n"/>
      <c r="J236" s="91" t="n"/>
      <c r="K236" s="89" t="n"/>
      <c r="L236" s="89">
        <f>IF(COUNT(E236,G236,H236,I236,J236,K236)=0,"",ROUND((IF(E236="",0,E236*10)+IF(G236="",0,G236)+IF(H236="",0,H236)+IF(I236="",0,I236*20)+IF(J236="",0,J236)+IF(K236="",0,K236*10))/COUNT(E236,G236,H236,I236,J236,K236),1))</f>
        <v/>
      </c>
      <c r="M236" s="83">
        <f>IF(L236="","",IF(L236&gt;=85,"Excellent",IF(L236&gt;=70,"Good",IF(L236&gt;=55,"Mixed","Poor"))))</f>
        <v/>
      </c>
      <c r="N236" s="96" t="n"/>
      <c r="O236" s="83" t="inlineStr">
        <is>
          <t>https://www.imdb.com/find/?q=Muppets+Most+Wanted+2014</t>
        </is>
      </c>
      <c r="P236" s="83" t="inlineStr">
        <is>
          <t>https://www.rottentomatoes.com/search?search=Muppets+Most+Wanted</t>
        </is>
      </c>
      <c r="Q236" s="83" t="inlineStr">
        <is>
          <t>https://letterboxd.com/search/Muppets%20Most%20Wanted/</t>
        </is>
      </c>
      <c r="R236" s="83" t="inlineStr">
        <is>
          <t>https://www.metacritic.com/search/Muppets+Most+Wanted/</t>
        </is>
      </c>
    </row>
    <row r="237" ht="15.75" customHeight="1" s="108">
      <c r="A237" s="83" t="inlineStr">
        <is>
          <t>F0233</t>
        </is>
      </c>
      <c r="B237" s="83" t="inlineStr">
        <is>
          <t>National Treasure: Book of Secrets</t>
        </is>
      </c>
      <c r="C237" s="88" t="inlineStr">
        <is>
          <t>2007</t>
        </is>
      </c>
      <c r="D237" s="84" t="n"/>
      <c r="E237" s="89" t="n"/>
      <c r="F237" s="90" t="n"/>
      <c r="G237" s="91" t="n"/>
      <c r="H237" s="91" t="n"/>
      <c r="I237" s="92" t="n"/>
      <c r="J237" s="91" t="n"/>
      <c r="K237" s="89" t="n"/>
      <c r="L237" s="89">
        <f>IF(COUNT(E237,G237,H237,I237,J237,K237)=0,"",ROUND((IF(E237="",0,E237*10)+IF(G237="",0,G237)+IF(H237="",0,H237)+IF(I237="",0,I237*20)+IF(J237="",0,J237)+IF(K237="",0,K237*10))/COUNT(E237,G237,H237,I237,J237,K237),1))</f>
        <v/>
      </c>
      <c r="M237" s="83">
        <f>IF(L237="","",IF(L237&gt;=85,"Excellent",IF(L237&gt;=70,"Good",IF(L237&gt;=55,"Mixed","Poor"))))</f>
        <v/>
      </c>
      <c r="N237" s="96" t="n"/>
      <c r="O237" s="83" t="inlineStr">
        <is>
          <t>https://www.imdb.com/find/?q=National+Treasure%3A+Book+of+Secrets+2007</t>
        </is>
      </c>
      <c r="P237" s="83" t="inlineStr">
        <is>
          <t>https://www.rottentomatoes.com/search?search=National+Treasure%3A+Book+of+Secrets</t>
        </is>
      </c>
      <c r="Q237" s="83" t="inlineStr">
        <is>
          <t>https://letterboxd.com/search/National%20Treasure%3A%20Book%20of%20Secrets/</t>
        </is>
      </c>
      <c r="R237" s="83" t="inlineStr">
        <is>
          <t>https://www.metacritic.com/search/National+Treasure%3A+Book+of+Secrets/</t>
        </is>
      </c>
    </row>
    <row r="238" ht="15.75" customHeight="1" s="108">
      <c r="A238" s="83" t="inlineStr">
        <is>
          <t>F0234</t>
        </is>
      </c>
      <c r="B238" s="83" t="inlineStr">
        <is>
          <t>Need for Speed</t>
        </is>
      </c>
      <c r="C238" s="88" t="inlineStr">
        <is>
          <t>2014</t>
        </is>
      </c>
      <c r="D238" s="84" t="n"/>
      <c r="E238" s="89" t="n"/>
      <c r="F238" s="90" t="n"/>
      <c r="G238" s="91" t="n"/>
      <c r="H238" s="91" t="n"/>
      <c r="I238" s="92" t="n"/>
      <c r="J238" s="91" t="n"/>
      <c r="K238" s="89" t="n"/>
      <c r="L238" s="89">
        <f>IF(COUNT(E238,G238,H238,I238,J238,K238)=0,"",ROUND((IF(E238="",0,E238*10)+IF(G238="",0,G238)+IF(H238="",0,H238)+IF(I238="",0,I238*20)+IF(J238="",0,J238)+IF(K238="",0,K238*10))/COUNT(E238,G238,H238,I238,J238,K238),1))</f>
        <v/>
      </c>
      <c r="M238" s="83">
        <f>IF(L238="","",IF(L238&gt;=85,"Excellent",IF(L238&gt;=70,"Good",IF(L238&gt;=55,"Mixed","Poor"))))</f>
        <v/>
      </c>
      <c r="N238" s="96" t="n"/>
      <c r="O238" s="83" t="inlineStr">
        <is>
          <t>https://www.imdb.com/find/?q=Need+for+Speed+2014</t>
        </is>
      </c>
      <c r="P238" s="83" t="inlineStr">
        <is>
          <t>https://www.rottentomatoes.com/search?search=Need+for+Speed</t>
        </is>
      </c>
      <c r="Q238" s="83" t="inlineStr">
        <is>
          <t>https://letterboxd.com/search/Need%20for%20Speed/</t>
        </is>
      </c>
      <c r="R238" s="83" t="inlineStr">
        <is>
          <t>https://www.metacritic.com/search/Need+for+Speed/</t>
        </is>
      </c>
    </row>
    <row r="239" ht="15.75" customHeight="1" s="108">
      <c r="A239" s="83" t="inlineStr">
        <is>
          <t>F0235</t>
        </is>
      </c>
      <c r="B239" s="83" t="inlineStr">
        <is>
          <t>The Nice Guys</t>
        </is>
      </c>
      <c r="C239" s="88" t="inlineStr">
        <is>
          <t>2016</t>
        </is>
      </c>
      <c r="D239" s="84" t="n">
        <v>4</v>
      </c>
      <c r="E239" s="89" t="n"/>
      <c r="F239" s="90" t="n"/>
      <c r="G239" s="91" t="n"/>
      <c r="H239" s="91" t="n"/>
      <c r="I239" s="92" t="n"/>
      <c r="J239" s="91" t="n"/>
      <c r="K239" s="89" t="n"/>
      <c r="L239" s="89">
        <f>IF(COUNT(E239,G239,H239,I239,J239,K239)=0,"",ROUND((IF(E239="",0,E239*10)+IF(G239="",0,G239)+IF(H239="",0,H239)+IF(I239="",0,I239*20)+IF(J239="",0,J239)+IF(K239="",0,K239*10))/COUNT(E239,G239,H239,I239,J239,K239),1))</f>
        <v/>
      </c>
      <c r="M239" s="83">
        <f>IF(L239="","",IF(L239&gt;=85,"Excellent",IF(L239&gt;=70,"Good",IF(L239&gt;=55,"Mixed","Poor"))))</f>
        <v/>
      </c>
      <c r="N239" s="96" t="n"/>
      <c r="O239" s="83" t="inlineStr">
        <is>
          <t>https://www.imdb.com/find/?q=The+Nice+Guys+2016</t>
        </is>
      </c>
      <c r="P239" s="83" t="inlineStr">
        <is>
          <t>https://www.rottentomatoes.com/search?search=The+Nice+Guys</t>
        </is>
      </c>
      <c r="Q239" s="83" t="inlineStr">
        <is>
          <t>https://letterboxd.com/search/The%20Nice%20Guys/</t>
        </is>
      </c>
      <c r="R239" s="83" t="inlineStr">
        <is>
          <t>https://www.metacritic.com/search/The+Nice+Guys/</t>
        </is>
      </c>
    </row>
    <row r="240" ht="15.75" customHeight="1" s="108">
      <c r="A240" s="83" t="inlineStr">
        <is>
          <t>F0236</t>
        </is>
      </c>
      <c r="B240" s="83" t="inlineStr">
        <is>
          <t>Night at the Museum: Battle of the Smithsonian</t>
        </is>
      </c>
      <c r="C240" s="88" t="inlineStr">
        <is>
          <t>2009</t>
        </is>
      </c>
      <c r="D240" s="84" t="n"/>
      <c r="E240" s="89" t="n"/>
      <c r="F240" s="90" t="n"/>
      <c r="G240" s="91" t="n"/>
      <c r="H240" s="91" t="n"/>
      <c r="I240" s="92" t="n"/>
      <c r="J240" s="91" t="n"/>
      <c r="K240" s="89" t="n"/>
      <c r="L240" s="89">
        <f>IF(COUNT(E240,G240,H240,I240,J240,K240)=0,"",ROUND((IF(E240="",0,E240*10)+IF(G240="",0,G240)+IF(H240="",0,H240)+IF(I240="",0,I240*20)+IF(J240="",0,J240)+IF(K240="",0,K240*10))/COUNT(E240,G240,H240,I240,J240,K240),1))</f>
        <v/>
      </c>
      <c r="M240" s="83">
        <f>IF(L240="","",IF(L240&gt;=85,"Excellent",IF(L240&gt;=70,"Good",IF(L240&gt;=55,"Mixed","Poor"))))</f>
        <v/>
      </c>
      <c r="N240" s="96" t="n"/>
      <c r="O240" s="83" t="inlineStr">
        <is>
          <t>https://www.imdb.com/find/?q=Night+at+the+Museum%3A+Battle+of+the+Smithsonian+2009</t>
        </is>
      </c>
      <c r="P240" s="83" t="inlineStr">
        <is>
          <t>https://www.rottentomatoes.com/search?search=Night+at+the+Museum%3A+Battle+of+the+Smithsonian</t>
        </is>
      </c>
      <c r="Q240" s="83" t="inlineStr">
        <is>
          <t>https://letterboxd.com/search/Night%20at%20the%20Museum%3A%20Battle%20of%20the%20Smithsonian/</t>
        </is>
      </c>
      <c r="R240" s="83" t="inlineStr">
        <is>
          <t>https://www.metacritic.com/search/Night+at+the+Museum%3A+Battle+of+the+Smithsonian/</t>
        </is>
      </c>
    </row>
    <row r="241" ht="15.75" customHeight="1" s="108">
      <c r="A241" s="83" t="inlineStr">
        <is>
          <t>F0237</t>
        </is>
      </c>
      <c r="B241" s="83" t="inlineStr">
        <is>
          <t>The Notebook</t>
        </is>
      </c>
      <c r="C241" s="88" t="inlineStr">
        <is>
          <t>2004</t>
        </is>
      </c>
      <c r="D241" s="84" t="n"/>
      <c r="E241" s="89" t="n"/>
      <c r="F241" s="90" t="n"/>
      <c r="G241" s="91" t="n"/>
      <c r="H241" s="91" t="n"/>
      <c r="I241" s="92" t="n"/>
      <c r="J241" s="91" t="n"/>
      <c r="K241" s="89" t="n"/>
      <c r="L241" s="89">
        <f>IF(COUNT(E241,G241,H241,I241,J241,K241)=0,"",ROUND((IF(E241="",0,E241*10)+IF(G241="",0,G241)+IF(H241="",0,H241)+IF(I241="",0,I241*20)+IF(J241="",0,J241)+IF(K241="",0,K241*10))/COUNT(E241,G241,H241,I241,J241,K241),1))</f>
        <v/>
      </c>
      <c r="M241" s="83">
        <f>IF(L241="","",IF(L241&gt;=85,"Excellent",IF(L241&gt;=70,"Good",IF(L241&gt;=55,"Mixed","Poor"))))</f>
        <v/>
      </c>
      <c r="N241" s="96" t="n"/>
      <c r="O241" s="83" t="inlineStr">
        <is>
          <t>https://www.imdb.com/find/?q=The+Notebook+2004</t>
        </is>
      </c>
      <c r="P241" s="83" t="inlineStr">
        <is>
          <t>https://www.rottentomatoes.com/search?search=The+Notebook</t>
        </is>
      </c>
      <c r="Q241" s="83" t="inlineStr">
        <is>
          <t>https://letterboxd.com/search/The%20Notebook/</t>
        </is>
      </c>
      <c r="R241" s="83" t="inlineStr">
        <is>
          <t>https://www.metacritic.com/search/The+Notebook/</t>
        </is>
      </c>
    </row>
    <row r="242" ht="15.75" customHeight="1" s="108">
      <c r="A242" s="83" t="inlineStr">
        <is>
          <t>F0238</t>
        </is>
      </c>
      <c r="B242" s="83" t="inlineStr">
        <is>
          <t>Noah</t>
        </is>
      </c>
      <c r="C242" s="88" t="inlineStr">
        <is>
          <t>2014</t>
        </is>
      </c>
      <c r="D242" s="84" t="n"/>
      <c r="E242" s="89" t="n"/>
      <c r="F242" s="90" t="n"/>
      <c r="G242" s="91" t="n"/>
      <c r="H242" s="91" t="n"/>
      <c r="I242" s="92" t="n"/>
      <c r="J242" s="91" t="n"/>
      <c r="K242" s="89" t="n"/>
      <c r="L242" s="89">
        <f>IF(COUNT(E242,G242,H242,I242,J242,K242)=0,"",ROUND((IF(E242="",0,E242*10)+IF(G242="",0,G242)+IF(H242="",0,H242)+IF(I242="",0,I242*20)+IF(J242="",0,J242)+IF(K242="",0,K242*10))/COUNT(E242,G242,H242,I242,J242,K242),1))</f>
        <v/>
      </c>
      <c r="M242" s="83">
        <f>IF(L242="","",IF(L242&gt;=85,"Excellent",IF(L242&gt;=70,"Good",IF(L242&gt;=55,"Mixed","Poor"))))</f>
        <v/>
      </c>
      <c r="N242" s="96" t="n"/>
      <c r="O242" s="83" t="inlineStr">
        <is>
          <t>https://www.imdb.com/find/?q=Noah+2014</t>
        </is>
      </c>
      <c r="P242" s="83" t="inlineStr">
        <is>
          <t>https://www.rottentomatoes.com/search?search=Noah</t>
        </is>
      </c>
      <c r="Q242" s="83" t="inlineStr">
        <is>
          <t>https://letterboxd.com/search/Noah/</t>
        </is>
      </c>
      <c r="R242" s="83" t="inlineStr">
        <is>
          <t>https://www.metacritic.com/search/Noah/</t>
        </is>
      </c>
    </row>
    <row r="243" ht="15.75" customHeight="1" s="108">
      <c r="A243" s="83" t="inlineStr">
        <is>
          <t>F0239</t>
        </is>
      </c>
      <c r="B243" s="83" t="inlineStr">
        <is>
          <t>Oblivion</t>
        </is>
      </c>
      <c r="C243" s="88" t="inlineStr">
        <is>
          <t>2013</t>
        </is>
      </c>
      <c r="D243" s="84" t="n"/>
      <c r="E243" s="89" t="n"/>
      <c r="F243" s="90" t="n"/>
      <c r="G243" s="91" t="n"/>
      <c r="H243" s="91" t="n"/>
      <c r="I243" s="92" t="n"/>
      <c r="J243" s="91" t="n"/>
      <c r="K243" s="89" t="n"/>
      <c r="L243" s="89">
        <f>IF(COUNT(E243,G243,H243,I243,J243,K243)=0,"",ROUND((IF(E243="",0,E243*10)+IF(G243="",0,G243)+IF(H243="",0,H243)+IF(I243="",0,I243*20)+IF(J243="",0,J243)+IF(K243="",0,K243*10))/COUNT(E243,G243,H243,I243,J243,K243),1))</f>
        <v/>
      </c>
      <c r="M243" s="83">
        <f>IF(L243="","",IF(L243&gt;=85,"Excellent",IF(L243&gt;=70,"Good",IF(L243&gt;=55,"Mixed","Poor"))))</f>
        <v/>
      </c>
      <c r="N243" s="96" t="n"/>
      <c r="O243" s="83" t="inlineStr">
        <is>
          <t>https://www.imdb.com/find/?q=Oblivion+2013</t>
        </is>
      </c>
      <c r="P243" s="83" t="inlineStr">
        <is>
          <t>https://www.rottentomatoes.com/search?search=Oblivion</t>
        </is>
      </c>
      <c r="Q243" s="83" t="inlineStr">
        <is>
          <t>https://letterboxd.com/search/Oblivion/</t>
        </is>
      </c>
      <c r="R243" s="83" t="inlineStr">
        <is>
          <t>https://www.metacritic.com/search/Oblivion/</t>
        </is>
      </c>
    </row>
    <row r="244" ht="15.75" customHeight="1" s="108">
      <c r="A244" s="83" t="inlineStr">
        <is>
          <t>F0240</t>
        </is>
      </c>
      <c r="B244" s="83" t="inlineStr">
        <is>
          <t>Olympus Has Fallen</t>
        </is>
      </c>
      <c r="C244" s="88" t="inlineStr">
        <is>
          <t>2013</t>
        </is>
      </c>
      <c r="D244" s="84" t="n"/>
      <c r="E244" s="89" t="n"/>
      <c r="F244" s="90" t="n"/>
      <c r="G244" s="91" t="n"/>
      <c r="H244" s="91" t="n"/>
      <c r="I244" s="92" t="n"/>
      <c r="J244" s="91" t="n"/>
      <c r="K244" s="89" t="n"/>
      <c r="L244" s="89">
        <f>IF(COUNT(E244,G244,H244,I244,J244,K244)=0,"",ROUND((IF(E244="",0,E244*10)+IF(G244="",0,G244)+IF(H244="",0,H244)+IF(I244="",0,I244*20)+IF(J244="",0,J244)+IF(K244="",0,K244*10))/COUNT(E244,G244,H244,I244,J244,K244),1))</f>
        <v/>
      </c>
      <c r="M244" s="83">
        <f>IF(L244="","",IF(L244&gt;=85,"Excellent",IF(L244&gt;=70,"Good",IF(L244&gt;=55,"Mixed","Poor"))))</f>
        <v/>
      </c>
      <c r="N244" s="96" t="n"/>
      <c r="O244" s="83" t="inlineStr">
        <is>
          <t>https://www.imdb.com/find/?q=Olympus+Has+Fallen+2013</t>
        </is>
      </c>
      <c r="P244" s="83" t="inlineStr">
        <is>
          <t>https://www.rottentomatoes.com/search?search=Olympus+Has+Fallen</t>
        </is>
      </c>
      <c r="Q244" s="83" t="inlineStr">
        <is>
          <t>https://letterboxd.com/search/Olympus%20Has%20Fallen/</t>
        </is>
      </c>
      <c r="R244" s="83" t="inlineStr">
        <is>
          <t>https://www.metacritic.com/search/Olympus+Has+Fallen/</t>
        </is>
      </c>
    </row>
    <row r="245" ht="15.75" customHeight="1" s="108">
      <c r="A245" s="83" t="inlineStr">
        <is>
          <t>F0241</t>
        </is>
      </c>
      <c r="B245" s="83" t="inlineStr">
        <is>
          <t>Once Upon a Time… in Hollywood</t>
        </is>
      </c>
      <c r="C245" s="88" t="inlineStr">
        <is>
          <t>2019</t>
        </is>
      </c>
      <c r="D245" s="84" t="n"/>
      <c r="E245" s="89" t="n"/>
      <c r="F245" s="90" t="n"/>
      <c r="G245" s="91" t="n"/>
      <c r="H245" s="91" t="n"/>
      <c r="I245" s="92" t="n"/>
      <c r="J245" s="91" t="n"/>
      <c r="K245" s="89" t="n"/>
      <c r="L245" s="89">
        <f>IF(COUNT(E245,G245,H245,I245,J245,K245)=0,"",ROUND((IF(E245="",0,E245*10)+IF(G245="",0,G245)+IF(H245="",0,H245)+IF(I245="",0,I245*20)+IF(J245="",0,J245)+IF(K245="",0,K245*10))/COUNT(E245,G245,H245,I245,J245,K245),1))</f>
        <v/>
      </c>
      <c r="M245" s="83">
        <f>IF(L245="","",IF(L245&gt;=85,"Excellent",IF(L245&gt;=70,"Good",IF(L245&gt;=55,"Mixed","Poor"))))</f>
        <v/>
      </c>
      <c r="N245" s="96" t="n"/>
      <c r="O245" s="83" t="inlineStr">
        <is>
          <t>https://www.imdb.com/find/?q=Once+Upon+a+Time%E2%80%A6+in+Hollywood+2019</t>
        </is>
      </c>
      <c r="P245" s="83" t="inlineStr">
        <is>
          <t>https://www.rottentomatoes.com/search?search=Once+Upon+a+Time%E2%80%A6+in+Hollywood</t>
        </is>
      </c>
      <c r="Q245" s="83" t="inlineStr">
        <is>
          <t>https://letterboxd.com/search/Once%20Upon%20a%20Time%E2%80%A6%20in%20Hollywood/</t>
        </is>
      </c>
      <c r="R245" s="83" t="inlineStr">
        <is>
          <t>https://www.metacritic.com/search/Once+Upon+a+Time%E2%80%A6+in+Hollywood/</t>
        </is>
      </c>
    </row>
    <row r="246" ht="15.75" customHeight="1" s="108">
      <c r="A246" s="83" t="inlineStr">
        <is>
          <t>F0242</t>
        </is>
      </c>
      <c r="B246" s="83" t="inlineStr">
        <is>
          <t>Oppenheimer</t>
        </is>
      </c>
      <c r="C246" s="88" t="inlineStr">
        <is>
          <t>2023</t>
        </is>
      </c>
      <c r="D246" s="84" t="n"/>
      <c r="E246" s="89" t="n"/>
      <c r="F246" s="90" t="n"/>
      <c r="G246" s="91" t="n"/>
      <c r="H246" s="91" t="n"/>
      <c r="I246" s="92" t="n"/>
      <c r="J246" s="91" t="n"/>
      <c r="K246" s="89" t="n"/>
      <c r="L246" s="89">
        <f>IF(COUNT(E246,G246,H246,I246,J246,K246)=0,"",ROUND((IF(E246="",0,E246*10)+IF(G246="",0,G246)+IF(H246="",0,H246)+IF(I246="",0,I246*20)+IF(J246="",0,J246)+IF(K246="",0,K246*10))/COUNT(E246,G246,H246,I246,J246,K246),1))</f>
        <v/>
      </c>
      <c r="M246" s="83">
        <f>IF(L246="","",IF(L246&gt;=85,"Excellent",IF(L246&gt;=70,"Good",IF(L246&gt;=55,"Mixed","Poor"))))</f>
        <v/>
      </c>
      <c r="N246" s="96" t="n"/>
      <c r="O246" s="83" t="inlineStr">
        <is>
          <t>https://www.imdb.com/find/?q=Oppenheimer+2023</t>
        </is>
      </c>
      <c r="P246" s="83" t="inlineStr">
        <is>
          <t>https://www.rottentomatoes.com/search?search=Oppenheimer</t>
        </is>
      </c>
      <c r="Q246" s="83" t="inlineStr">
        <is>
          <t>https://letterboxd.com/search/Oppenheimer/</t>
        </is>
      </c>
      <c r="R246" s="83" t="inlineStr">
        <is>
          <t>https://www.metacritic.com/search/Oppenheimer/</t>
        </is>
      </c>
    </row>
    <row r="247" ht="15.75" customHeight="1" s="108">
      <c r="A247" s="83" t="inlineStr">
        <is>
          <t>F0243</t>
        </is>
      </c>
      <c r="B247" s="83" t="inlineStr">
        <is>
          <t>Pacific Rim</t>
        </is>
      </c>
      <c r="C247" s="88" t="inlineStr">
        <is>
          <t>2013</t>
        </is>
      </c>
      <c r="D247" s="84" t="n"/>
      <c r="E247" s="89" t="n"/>
      <c r="F247" s="90" t="n"/>
      <c r="G247" s="91" t="n"/>
      <c r="H247" s="91" t="n"/>
      <c r="I247" s="92" t="n"/>
      <c r="J247" s="91" t="n"/>
      <c r="K247" s="89" t="n"/>
      <c r="L247" s="89">
        <f>IF(COUNT(E247,G247,H247,I247,J247,K247)=0,"",ROUND((IF(E247="",0,E247*10)+IF(G247="",0,G247)+IF(H247="",0,H247)+IF(I247="",0,I247*20)+IF(J247="",0,J247)+IF(K247="",0,K247*10))/COUNT(E247,G247,H247,I247,J247,K247),1))</f>
        <v/>
      </c>
      <c r="M247" s="83">
        <f>IF(L247="","",IF(L247&gt;=85,"Excellent",IF(L247&gt;=70,"Good",IF(L247&gt;=55,"Mixed","Poor"))))</f>
        <v/>
      </c>
      <c r="N247" s="96" t="n"/>
      <c r="O247" s="83" t="inlineStr">
        <is>
          <t>https://www.imdb.com/find/?q=Pacific+Rim+2013</t>
        </is>
      </c>
      <c r="P247" s="83" t="inlineStr">
        <is>
          <t>https://www.rottentomatoes.com/search?search=Pacific+Rim</t>
        </is>
      </c>
      <c r="Q247" s="83" t="inlineStr">
        <is>
          <t>https://letterboxd.com/search/Pacific%20Rim/</t>
        </is>
      </c>
      <c r="R247" s="83" t="inlineStr">
        <is>
          <t>https://www.metacritic.com/search/Pacific+Rim/</t>
        </is>
      </c>
    </row>
    <row r="248" ht="15.75" customHeight="1" s="108">
      <c r="A248" s="83" t="inlineStr">
        <is>
          <t>F0244</t>
        </is>
      </c>
      <c r="B248" s="83" t="inlineStr">
        <is>
          <t>Paddington</t>
        </is>
      </c>
      <c r="C248" s="88" t="inlineStr">
        <is>
          <t>2014</t>
        </is>
      </c>
      <c r="D248" s="84" t="n"/>
      <c r="E248" s="89" t="n"/>
      <c r="F248" s="90" t="n"/>
      <c r="G248" s="91" t="n"/>
      <c r="H248" s="91" t="n"/>
      <c r="I248" s="92" t="n"/>
      <c r="J248" s="91" t="n"/>
      <c r="K248" s="89" t="n"/>
      <c r="L248" s="89">
        <f>IF(COUNT(E248,G248,H248,I248,J248,K248)=0,"",ROUND((IF(E248="",0,E248*10)+IF(G248="",0,G248)+IF(H248="",0,H248)+IF(I248="",0,I248*20)+IF(J248="",0,J248)+IF(K248="",0,K248*10))/COUNT(E248,G248,H248,I248,J248,K248),1))</f>
        <v/>
      </c>
      <c r="M248" s="83">
        <f>IF(L248="","",IF(L248&gt;=85,"Excellent",IF(L248&gt;=70,"Good",IF(L248&gt;=55,"Mixed","Poor"))))</f>
        <v/>
      </c>
      <c r="N248" s="96" t="n"/>
      <c r="O248" s="83" t="inlineStr">
        <is>
          <t>https://www.imdb.com/find/?q=Paddington+2014</t>
        </is>
      </c>
      <c r="P248" s="83" t="inlineStr">
        <is>
          <t>https://www.rottentomatoes.com/search?search=Paddington</t>
        </is>
      </c>
      <c r="Q248" s="83" t="inlineStr">
        <is>
          <t>https://letterboxd.com/search/Paddington/</t>
        </is>
      </c>
      <c r="R248" s="83" t="inlineStr">
        <is>
          <t>https://www.metacritic.com/search/Paddington/</t>
        </is>
      </c>
    </row>
    <row r="249" ht="15.75" customHeight="1" s="108">
      <c r="A249" s="83" t="inlineStr">
        <is>
          <t>F0245</t>
        </is>
      </c>
      <c r="B249" s="83" t="inlineStr">
        <is>
          <t>Paul</t>
        </is>
      </c>
      <c r="C249" s="88" t="inlineStr">
        <is>
          <t>2011</t>
        </is>
      </c>
      <c r="D249" s="84" t="n"/>
      <c r="E249" s="89" t="n"/>
      <c r="F249" s="90" t="n"/>
      <c r="G249" s="91" t="n"/>
      <c r="H249" s="91" t="n"/>
      <c r="I249" s="92" t="n"/>
      <c r="J249" s="91" t="n"/>
      <c r="K249" s="89" t="n"/>
      <c r="L249" s="89">
        <f>IF(COUNT(E249,G249,H249,I249,J249,K249)=0,"",ROUND((IF(E249="",0,E249*10)+IF(G249="",0,G249)+IF(H249="",0,H249)+IF(I249="",0,I249*20)+IF(J249="",0,J249)+IF(K249="",0,K249*10))/COUNT(E249,G249,H249,I249,J249,K249),1))</f>
        <v/>
      </c>
      <c r="M249" s="83">
        <f>IF(L249="","",IF(L249&gt;=85,"Excellent",IF(L249&gt;=70,"Good",IF(L249&gt;=55,"Mixed","Poor"))))</f>
        <v/>
      </c>
      <c r="N249" s="96" t="n"/>
      <c r="O249" s="83" t="inlineStr">
        <is>
          <t>https://www.imdb.com/find/?q=Paul+2011</t>
        </is>
      </c>
      <c r="P249" s="83" t="inlineStr">
        <is>
          <t>https://www.rottentomatoes.com/search?search=Paul</t>
        </is>
      </c>
      <c r="Q249" s="83" t="inlineStr">
        <is>
          <t>https://letterboxd.com/search/Paul/</t>
        </is>
      </c>
      <c r="R249" s="83" t="inlineStr">
        <is>
          <t>https://www.metacritic.com/search/Paul/</t>
        </is>
      </c>
    </row>
    <row r="250" ht="15.75" customHeight="1" s="108">
      <c r="A250" s="83" t="inlineStr">
        <is>
          <t>F0246</t>
        </is>
      </c>
      <c r="B250" s="83" t="inlineStr">
        <is>
          <t>Pearl Harbor</t>
        </is>
      </c>
      <c r="C250" s="88" t="inlineStr">
        <is>
          <t>2001</t>
        </is>
      </c>
      <c r="D250" s="84" t="n"/>
      <c r="E250" s="89" t="n"/>
      <c r="F250" s="90" t="n"/>
      <c r="G250" s="91" t="n"/>
      <c r="H250" s="91" t="n"/>
      <c r="I250" s="92" t="n"/>
      <c r="J250" s="91" t="n"/>
      <c r="K250" s="89" t="n"/>
      <c r="L250" s="89">
        <f>IF(COUNT(E250,G250,H250,I250,J250,K250)=0,"",ROUND((IF(E250="",0,E250*10)+IF(G250="",0,G250)+IF(H250="",0,H250)+IF(I250="",0,I250*20)+IF(J250="",0,J250)+IF(K250="",0,K250*10))/COUNT(E250,G250,H250,I250,J250,K250),1))</f>
        <v/>
      </c>
      <c r="M250" s="83">
        <f>IF(L250="","",IF(L250&gt;=85,"Excellent",IF(L250&gt;=70,"Good",IF(L250&gt;=55,"Mixed","Poor"))))</f>
        <v/>
      </c>
      <c r="N250" s="96" t="n"/>
      <c r="O250" s="83" t="inlineStr">
        <is>
          <t>https://www.imdb.com/find/?q=Pearl+Harbor+2001</t>
        </is>
      </c>
      <c r="P250" s="83" t="inlineStr">
        <is>
          <t>https://www.rottentomatoes.com/search?search=Pearl+Harbor</t>
        </is>
      </c>
      <c r="Q250" s="83" t="inlineStr">
        <is>
          <t>https://letterboxd.com/search/Pearl%20Harbor/</t>
        </is>
      </c>
      <c r="R250" s="83" t="inlineStr">
        <is>
          <t>https://www.metacritic.com/search/Pearl+Harbor/</t>
        </is>
      </c>
    </row>
    <row r="251" ht="15.75" customHeight="1" s="108">
      <c r="A251" s="83" t="inlineStr">
        <is>
          <t>F0247</t>
        </is>
      </c>
      <c r="B251" s="83" t="inlineStr">
        <is>
          <t>Pineapple Express</t>
        </is>
      </c>
      <c r="C251" s="88" t="inlineStr">
        <is>
          <t>2008</t>
        </is>
      </c>
      <c r="D251" s="84" t="n"/>
      <c r="E251" s="89" t="n"/>
      <c r="F251" s="90" t="n"/>
      <c r="G251" s="91" t="n"/>
      <c r="H251" s="91" t="n"/>
      <c r="I251" s="92" t="n"/>
      <c r="J251" s="91" t="n"/>
      <c r="K251" s="89" t="n"/>
      <c r="L251" s="89">
        <f>IF(COUNT(E251,G251,H251,I251,J251,K251)=0,"",ROUND((IF(E251="",0,E251*10)+IF(G251="",0,G251)+IF(H251="",0,H251)+IF(I251="",0,I251*20)+IF(J251="",0,J251)+IF(K251="",0,K251*10))/COUNT(E251,G251,H251,I251,J251,K251),1))</f>
        <v/>
      </c>
      <c r="M251" s="83">
        <f>IF(L251="","",IF(L251&gt;=85,"Excellent",IF(L251&gt;=70,"Good",IF(L251&gt;=55,"Mixed","Poor"))))</f>
        <v/>
      </c>
      <c r="N251" s="96" t="n"/>
      <c r="O251" s="83" t="inlineStr">
        <is>
          <t>https://www.imdb.com/find/?q=Pineapple+Express+2008</t>
        </is>
      </c>
      <c r="P251" s="83" t="inlineStr">
        <is>
          <t>https://www.rottentomatoes.com/search?search=Pineapple+Express</t>
        </is>
      </c>
      <c r="Q251" s="83" t="inlineStr">
        <is>
          <t>https://letterboxd.com/search/Pineapple%20Express/</t>
        </is>
      </c>
      <c r="R251" s="83" t="inlineStr">
        <is>
          <t>https://www.metacritic.com/search/Pineapple+Express/</t>
        </is>
      </c>
    </row>
    <row r="252" ht="15.75" customHeight="1" s="108">
      <c r="A252" s="83" t="inlineStr">
        <is>
          <t>F0248</t>
        </is>
      </c>
      <c r="B252" s="83" t="inlineStr">
        <is>
          <t>Pinocchio</t>
        </is>
      </c>
      <c r="C252" s="88" t="inlineStr">
        <is>
          <t>1940</t>
        </is>
      </c>
      <c r="D252" s="84" t="n"/>
      <c r="E252" s="89" t="n"/>
      <c r="F252" s="90" t="n"/>
      <c r="G252" s="91" t="n"/>
      <c r="H252" s="91" t="n"/>
      <c r="I252" s="92" t="n"/>
      <c r="J252" s="91" t="n"/>
      <c r="K252" s="89" t="n"/>
      <c r="L252" s="89">
        <f>IF(COUNT(E252,G252,H252,I252,J252,K252)=0,"",ROUND((IF(E252="",0,E252*10)+IF(G252="",0,G252)+IF(H252="",0,H252)+IF(I252="",0,I252*20)+IF(J252="",0,J252)+IF(K252="",0,K252*10))/COUNT(E252,G252,H252,I252,J252,K252),1))</f>
        <v/>
      </c>
      <c r="M252" s="83">
        <f>IF(L252="","",IF(L252&gt;=85,"Excellent",IF(L252&gt;=70,"Good",IF(L252&gt;=55,"Mixed","Poor"))))</f>
        <v/>
      </c>
      <c r="N252" s="96" t="n"/>
      <c r="O252" s="83" t="inlineStr">
        <is>
          <t>https://www.imdb.com/find/?q=Pinocchio+1940</t>
        </is>
      </c>
      <c r="P252" s="83" t="inlineStr">
        <is>
          <t>https://www.rottentomatoes.com/search?search=Pinocchio</t>
        </is>
      </c>
      <c r="Q252" s="83" t="inlineStr">
        <is>
          <t>https://letterboxd.com/search/Pinocchio/</t>
        </is>
      </c>
      <c r="R252" s="83" t="inlineStr">
        <is>
          <t>https://www.metacritic.com/search/Pinocchio/</t>
        </is>
      </c>
    </row>
    <row r="253" ht="15.75" customHeight="1" s="108">
      <c r="A253" s="83" t="inlineStr">
        <is>
          <t>F0249</t>
        </is>
      </c>
      <c r="B253" s="83" t="inlineStr">
        <is>
          <t>Pirates of the Caribbean: On Stranger Tides</t>
        </is>
      </c>
      <c r="C253" s="88" t="inlineStr">
        <is>
          <t>2011</t>
        </is>
      </c>
      <c r="D253" s="84" t="n"/>
      <c r="E253" s="89" t="n"/>
      <c r="F253" s="90" t="n"/>
      <c r="G253" s="91" t="n"/>
      <c r="H253" s="91" t="n"/>
      <c r="I253" s="92" t="n"/>
      <c r="J253" s="91" t="n"/>
      <c r="K253" s="89" t="n"/>
      <c r="L253" s="89">
        <f>IF(COUNT(E253,G253,H253,I253,J253,K253)=0,"",ROUND((IF(E253="",0,E253*10)+IF(G253="",0,G253)+IF(H253="",0,H253)+IF(I253="",0,I253*20)+IF(J253="",0,J253)+IF(K253="",0,K253*10))/COUNT(E253,G253,H253,I253,J253,K253),1))</f>
        <v/>
      </c>
      <c r="M253" s="83">
        <f>IF(L253="","",IF(L253&gt;=85,"Excellent",IF(L253&gt;=70,"Good",IF(L253&gt;=55,"Mixed","Poor"))))</f>
        <v/>
      </c>
      <c r="N253" s="96" t="n"/>
      <c r="O253" s="83" t="inlineStr">
        <is>
          <t>https://www.imdb.com/find/?q=Pirates+of+the+Caribbean%3A+On+Stranger+Tides+2011</t>
        </is>
      </c>
      <c r="P253" s="83" t="inlineStr">
        <is>
          <t>https://www.rottentomatoes.com/search?search=Pirates+of+the+Caribbean%3A+On+Stranger+Tides</t>
        </is>
      </c>
      <c r="Q253" s="83" t="inlineStr">
        <is>
          <t>https://letterboxd.com/search/Pirates%20of%20the%20Caribbean%3A%20On%20Stranger%20Tides/</t>
        </is>
      </c>
      <c r="R253" s="83" t="inlineStr">
        <is>
          <t>https://www.metacritic.com/search/Pirates+of+the+Caribbean%3A+On+Stranger+Tides/</t>
        </is>
      </c>
    </row>
    <row r="254" ht="15.75" customHeight="1" s="108">
      <c r="A254" s="83" t="inlineStr">
        <is>
          <t>F0250</t>
        </is>
      </c>
      <c r="B254" s="83" t="inlineStr">
        <is>
          <t>Pitch Perfect</t>
        </is>
      </c>
      <c r="C254" s="88" t="inlineStr">
        <is>
          <t>2012</t>
        </is>
      </c>
      <c r="D254" s="84" t="n"/>
      <c r="E254" s="89" t="n"/>
      <c r="F254" s="90" t="n"/>
      <c r="G254" s="91" t="n"/>
      <c r="H254" s="91" t="n"/>
      <c r="I254" s="92" t="n"/>
      <c r="J254" s="91" t="n"/>
      <c r="K254" s="89" t="n"/>
      <c r="L254" s="89">
        <f>IF(COUNT(E254,G254,H254,I254,J254,K254)=0,"",ROUND((IF(E254="",0,E254*10)+IF(G254="",0,G254)+IF(H254="",0,H254)+IF(I254="",0,I254*20)+IF(J254="",0,J254)+IF(K254="",0,K254*10))/COUNT(E254,G254,H254,I254,J254,K254),1))</f>
        <v/>
      </c>
      <c r="M254" s="83">
        <f>IF(L254="","",IF(L254&gt;=85,"Excellent",IF(L254&gt;=70,"Good",IF(L254&gt;=55,"Mixed","Poor"))))</f>
        <v/>
      </c>
      <c r="N254" s="96" t="n"/>
      <c r="O254" s="83" t="inlineStr">
        <is>
          <t>https://www.imdb.com/find/?q=Pitch+Perfect+2012</t>
        </is>
      </c>
      <c r="P254" s="83" t="inlineStr">
        <is>
          <t>https://www.rottentomatoes.com/search?search=Pitch+Perfect</t>
        </is>
      </c>
      <c r="Q254" s="83" t="inlineStr">
        <is>
          <t>https://letterboxd.com/search/Pitch%20Perfect/</t>
        </is>
      </c>
      <c r="R254" s="83" t="inlineStr">
        <is>
          <t>https://www.metacritic.com/search/Pitch+Perfect/</t>
        </is>
      </c>
    </row>
    <row r="255" ht="15.75" customHeight="1" s="108">
      <c r="A255" s="83" t="inlineStr">
        <is>
          <t>F0251</t>
        </is>
      </c>
      <c r="B255" s="83" t="inlineStr">
        <is>
          <t>Pitch Perfect 2</t>
        </is>
      </c>
      <c r="C255" s="88" t="inlineStr">
        <is>
          <t>2015</t>
        </is>
      </c>
      <c r="D255" s="84" t="n"/>
      <c r="E255" s="89" t="n"/>
      <c r="F255" s="90" t="n"/>
      <c r="G255" s="91" t="n"/>
      <c r="H255" s="91" t="n"/>
      <c r="I255" s="92" t="n"/>
      <c r="J255" s="91" t="n"/>
      <c r="K255" s="89" t="n"/>
      <c r="L255" s="89">
        <f>IF(COUNT(E255,G255,H255,I255,J255,K255)=0,"",ROUND((IF(E255="",0,E255*10)+IF(G255="",0,G255)+IF(H255="",0,H255)+IF(I255="",0,I255*20)+IF(J255="",0,J255)+IF(K255="",0,K255*10))/COUNT(E255,G255,H255,I255,J255,K255),1))</f>
        <v/>
      </c>
      <c r="M255" s="83">
        <f>IF(L255="","",IF(L255&gt;=85,"Excellent",IF(L255&gt;=70,"Good",IF(L255&gt;=55,"Mixed","Poor"))))</f>
        <v/>
      </c>
      <c r="N255" s="96" t="n"/>
      <c r="O255" s="83" t="inlineStr">
        <is>
          <t>https://www.imdb.com/find/?q=Pitch+Perfect+2+2015</t>
        </is>
      </c>
      <c r="P255" s="83" t="inlineStr">
        <is>
          <t>https://www.rottentomatoes.com/search?search=Pitch+Perfect+2</t>
        </is>
      </c>
      <c r="Q255" s="83" t="inlineStr">
        <is>
          <t>https://letterboxd.com/search/Pitch%20Perfect%202/</t>
        </is>
      </c>
      <c r="R255" s="83" t="inlineStr">
        <is>
          <t>https://www.metacritic.com/search/Pitch+Perfect+2/</t>
        </is>
      </c>
    </row>
    <row r="256" ht="15.75" customHeight="1" s="108">
      <c r="A256" s="83" t="inlineStr">
        <is>
          <t>F0252</t>
        </is>
      </c>
      <c r="B256" s="83" t="inlineStr">
        <is>
          <t>Pitch Perfect 3</t>
        </is>
      </c>
      <c r="C256" s="88" t="inlineStr">
        <is>
          <t>2017</t>
        </is>
      </c>
      <c r="D256" s="84" t="n"/>
      <c r="E256" s="89" t="n"/>
      <c r="F256" s="90" t="n"/>
      <c r="G256" s="91" t="n"/>
      <c r="H256" s="91" t="n"/>
      <c r="I256" s="92" t="n"/>
      <c r="J256" s="91" t="n"/>
      <c r="K256" s="89" t="n"/>
      <c r="L256" s="89">
        <f>IF(COUNT(E256,G256,H256,I256,J256,K256)=0,"",ROUND((IF(E256="",0,E256*10)+IF(G256="",0,G256)+IF(H256="",0,H256)+IF(I256="",0,I256*20)+IF(J256="",0,J256)+IF(K256="",0,K256*10))/COUNT(E256,G256,H256,I256,J256,K256),1))</f>
        <v/>
      </c>
      <c r="M256" s="83">
        <f>IF(L256="","",IF(L256&gt;=85,"Excellent",IF(L256&gt;=70,"Good",IF(L256&gt;=55,"Mixed","Poor"))))</f>
        <v/>
      </c>
      <c r="N256" s="96" t="n"/>
      <c r="O256" s="83" t="inlineStr">
        <is>
          <t>https://www.imdb.com/find/?q=Pitch+Perfect+3+2017</t>
        </is>
      </c>
      <c r="P256" s="83" t="inlineStr">
        <is>
          <t>https://www.rottentomatoes.com/search?search=Pitch+Perfect+3</t>
        </is>
      </c>
      <c r="Q256" s="83" t="inlineStr">
        <is>
          <t>https://letterboxd.com/search/Pitch%20Perfect%203/</t>
        </is>
      </c>
      <c r="R256" s="83" t="inlineStr">
        <is>
          <t>https://www.metacritic.com/search/Pitch+Perfect+3/</t>
        </is>
      </c>
    </row>
    <row r="257" ht="15.75" customHeight="1" s="108">
      <c r="A257" s="83" t="inlineStr">
        <is>
          <t>F0253</t>
        </is>
      </c>
      <c r="B257" s="83" t="inlineStr">
        <is>
          <t>Rise of the Planet of the Apes</t>
        </is>
      </c>
      <c r="C257" s="88" t="inlineStr">
        <is>
          <t>2011</t>
        </is>
      </c>
      <c r="D257" s="84" t="n"/>
      <c r="E257" s="89" t="n"/>
      <c r="F257" s="90" t="n"/>
      <c r="G257" s="91" t="n"/>
      <c r="H257" s="91" t="n"/>
      <c r="I257" s="92" t="n"/>
      <c r="J257" s="91" t="n"/>
      <c r="K257" s="89" t="n"/>
      <c r="L257" s="89">
        <f>IF(COUNT(E257,G257,H257,I257,J257,K257)=0,"",ROUND((IF(E257="",0,E257*10)+IF(G257="",0,G257)+IF(H257="",0,H257)+IF(I257="",0,I257*20)+IF(J257="",0,J257)+IF(K257="",0,K257*10))/COUNT(E257,G257,H257,I257,J257,K257),1))</f>
        <v/>
      </c>
      <c r="M257" s="83">
        <f>IF(L257="","",IF(L257&gt;=85,"Excellent",IF(L257&gt;=70,"Good",IF(L257&gt;=55,"Mixed","Poor"))))</f>
        <v/>
      </c>
      <c r="N257" s="96" t="n"/>
      <c r="O257" s="83" t="inlineStr">
        <is>
          <t>https://www.imdb.com/find/?q=Rise+of+the+Planet+of+the+Apes+2011</t>
        </is>
      </c>
      <c r="P257" s="83" t="inlineStr">
        <is>
          <t>https://www.rottentomatoes.com/search?search=Rise+of+the+Planet+of+the+Apes</t>
        </is>
      </c>
      <c r="Q257" s="83" t="inlineStr">
        <is>
          <t>https://letterboxd.com/search/Rise%20of%20the%20Planet%20of%20the%20Apes/</t>
        </is>
      </c>
      <c r="R257" s="83" t="inlineStr">
        <is>
          <t>https://www.metacritic.com/search/Rise+of+the+Planet+of+the+Apes/</t>
        </is>
      </c>
    </row>
    <row r="258" ht="15.75" customHeight="1" s="108">
      <c r="A258" s="83" t="inlineStr">
        <is>
          <t>F0254</t>
        </is>
      </c>
      <c r="B258" s="83" t="inlineStr">
        <is>
          <t>Dawn of the Planet of the Apes</t>
        </is>
      </c>
      <c r="C258" s="88" t="inlineStr">
        <is>
          <t>2014</t>
        </is>
      </c>
      <c r="D258" s="84" t="n"/>
      <c r="E258" s="89" t="n"/>
      <c r="F258" s="90" t="n"/>
      <c r="G258" s="91" t="n"/>
      <c r="H258" s="91" t="n"/>
      <c r="I258" s="92" t="n"/>
      <c r="J258" s="91" t="n"/>
      <c r="K258" s="89" t="n"/>
      <c r="L258" s="89">
        <f>IF(COUNT(E258,G258,H258,I258,J258,K258)=0,"",ROUND((IF(E258="",0,E258*10)+IF(G258="",0,G258)+IF(H258="",0,H258)+IF(I258="",0,I258*20)+IF(J258="",0,J258)+IF(K258="",0,K258*10))/COUNT(E258,G258,H258,I258,J258,K258),1))</f>
        <v/>
      </c>
      <c r="M258" s="83">
        <f>IF(L258="","",IF(L258&gt;=85,"Excellent",IF(L258&gt;=70,"Good",IF(L258&gt;=55,"Mixed","Poor"))))</f>
        <v/>
      </c>
      <c r="N258" s="96" t="n"/>
      <c r="O258" s="83" t="inlineStr">
        <is>
          <t>https://www.imdb.com/find/?q=Dawn+of+the+Planet+of+the+Apes+2014</t>
        </is>
      </c>
      <c r="P258" s="83" t="inlineStr">
        <is>
          <t>https://www.rottentomatoes.com/search?search=Dawn+of+the+Planet+of+the+Apes</t>
        </is>
      </c>
      <c r="Q258" s="83" t="inlineStr">
        <is>
          <t>https://letterboxd.com/search/Dawn%20of%20the%20Planet%20of%20the%20Apes/</t>
        </is>
      </c>
      <c r="R258" s="83" t="inlineStr">
        <is>
          <t>https://www.metacritic.com/search/Dawn+of+the+Planet+of+the+Apes/</t>
        </is>
      </c>
    </row>
    <row r="259" ht="15.75" customHeight="1" s="108">
      <c r="A259" s="83" t="inlineStr">
        <is>
          <t>F0255</t>
        </is>
      </c>
      <c r="B259" s="83" t="inlineStr">
        <is>
          <t>War for the Planet of the Apes</t>
        </is>
      </c>
      <c r="C259" s="88" t="inlineStr">
        <is>
          <t>2017</t>
        </is>
      </c>
      <c r="D259" s="84" t="n"/>
      <c r="E259" s="89" t="n"/>
      <c r="F259" s="90" t="n"/>
      <c r="G259" s="91" t="n"/>
      <c r="H259" s="91" t="n"/>
      <c r="I259" s="92" t="n"/>
      <c r="J259" s="91" t="n"/>
      <c r="K259" s="89" t="n"/>
      <c r="L259" s="89">
        <f>IF(COUNT(E259,G259,H259,I259,J259,K259)=0,"",ROUND((IF(E259="",0,E259*10)+IF(G259="",0,G259)+IF(H259="",0,H259)+IF(I259="",0,I259*20)+IF(J259="",0,J259)+IF(K259="",0,K259*10))/COUNT(E259,G259,H259,I259,J259,K259),1))</f>
        <v/>
      </c>
      <c r="M259" s="83">
        <f>IF(L259="","",IF(L259&gt;=85,"Excellent",IF(L259&gt;=70,"Good",IF(L259&gt;=55,"Mixed","Poor"))))</f>
        <v/>
      </c>
      <c r="N259" s="96" t="n"/>
      <c r="O259" s="83" t="inlineStr">
        <is>
          <t>https://www.imdb.com/find/?q=War+for+the+Planet+of+the+Apes+2017</t>
        </is>
      </c>
      <c r="P259" s="83" t="inlineStr">
        <is>
          <t>https://www.rottentomatoes.com/search?search=War+for+the+Planet+of+the+Apes</t>
        </is>
      </c>
      <c r="Q259" s="83" t="inlineStr">
        <is>
          <t>https://letterboxd.com/search/War%20for%20the%20Planet%20of%20the%20Apes/</t>
        </is>
      </c>
      <c r="R259" s="83" t="inlineStr">
        <is>
          <t>https://www.metacritic.com/search/War+for+the+Planet+of+the+Apes/</t>
        </is>
      </c>
    </row>
    <row r="260" ht="15.75" customHeight="1" s="108">
      <c r="A260" s="83" t="inlineStr">
        <is>
          <t>F0256</t>
        </is>
      </c>
      <c r="B260" s="83" t="inlineStr">
        <is>
          <t>Kingdom of the Planet of the Apes</t>
        </is>
      </c>
      <c r="C260" s="88" t="inlineStr">
        <is>
          <t>2024</t>
        </is>
      </c>
      <c r="D260" s="84" t="n"/>
      <c r="E260" s="89" t="n"/>
      <c r="F260" s="90" t="n"/>
      <c r="G260" s="91" t="n"/>
      <c r="H260" s="91" t="n"/>
      <c r="I260" s="92" t="n"/>
      <c r="J260" s="91" t="n"/>
      <c r="K260" s="89" t="n"/>
      <c r="L260" s="89">
        <f>IF(COUNT(E260,G260,H260,I260,J260,K260)=0,"",ROUND((IF(E260="",0,E260*10)+IF(G260="",0,G260)+IF(H260="",0,H260)+IF(I260="",0,I260*20)+IF(J260="",0,J260)+IF(K260="",0,K260*10))/COUNT(E260,G260,H260,I260,J260,K260),1))</f>
        <v/>
      </c>
      <c r="M260" s="83">
        <f>IF(L260="","",IF(L260&gt;=85,"Excellent",IF(L260&gt;=70,"Good",IF(L260&gt;=55,"Mixed","Poor"))))</f>
        <v/>
      </c>
      <c r="N260" s="96" t="n"/>
      <c r="O260" s="83" t="inlineStr">
        <is>
          <t>https://www.imdb.com/find/?q=Kingdom+of+the+Planet+of+the+Apes+2024</t>
        </is>
      </c>
      <c r="P260" s="83" t="inlineStr">
        <is>
          <t>https://www.rottentomatoes.com/search?search=Kingdom+of+the+Planet+of+the+Apes</t>
        </is>
      </c>
      <c r="Q260" s="83" t="inlineStr">
        <is>
          <t>https://letterboxd.com/search/Kingdom%20of%20the%20Planet%20of%20the%20Apes/</t>
        </is>
      </c>
      <c r="R260" s="83" t="inlineStr">
        <is>
          <t>https://www.metacritic.com/search/Kingdom+of+the+Planet+of+the+Apes/</t>
        </is>
      </c>
    </row>
    <row r="261" ht="15.75" customHeight="1" s="108">
      <c r="A261" s="83" t="inlineStr">
        <is>
          <t>F0257</t>
        </is>
      </c>
      <c r="B261" s="83" t="inlineStr">
        <is>
          <t>The Prestige</t>
        </is>
      </c>
      <c r="C261" s="88" t="inlineStr">
        <is>
          <t>2006</t>
        </is>
      </c>
      <c r="D261" s="84" t="n">
        <v>5</v>
      </c>
      <c r="E261" s="89" t="n"/>
      <c r="F261" s="90" t="n"/>
      <c r="G261" s="91" t="n"/>
      <c r="H261" s="91" t="n"/>
      <c r="I261" s="92" t="n"/>
      <c r="J261" s="91" t="n"/>
      <c r="K261" s="89" t="n"/>
      <c r="L261" s="89">
        <f>IF(COUNT(E261,G261,H261,I261,J261,K261)=0,"",ROUND((IF(E261="",0,E261*10)+IF(G261="",0,G261)+IF(H261="",0,H261)+IF(I261="",0,I261*20)+IF(J261="",0,J261)+IF(K261="",0,K261*10))/COUNT(E261,G261,H261,I261,J261,K261),1))</f>
        <v/>
      </c>
      <c r="M261" s="83">
        <f>IF(L261="","",IF(L261&gt;=85,"Excellent",IF(L261&gt;=70,"Good",IF(L261&gt;=55,"Mixed","Poor"))))</f>
        <v/>
      </c>
      <c r="N261" s="96" t="n"/>
      <c r="O261" s="83" t="inlineStr">
        <is>
          <t>https://www.imdb.com/find/?q=The+Prestige+2006</t>
        </is>
      </c>
      <c r="P261" s="83" t="inlineStr">
        <is>
          <t>https://www.rottentomatoes.com/search?search=The+Prestige</t>
        </is>
      </c>
      <c r="Q261" s="83" t="inlineStr">
        <is>
          <t>https://letterboxd.com/search/The%20Prestige/</t>
        </is>
      </c>
      <c r="R261" s="83" t="inlineStr">
        <is>
          <t>https://www.metacritic.com/search/The+Prestige/</t>
        </is>
      </c>
    </row>
    <row r="262" ht="15.75" customHeight="1" s="108">
      <c r="A262" s="83" t="inlineStr">
        <is>
          <t>F0258</t>
        </is>
      </c>
      <c r="B262" s="83" t="inlineStr">
        <is>
          <t>Prisoners</t>
        </is>
      </c>
      <c r="C262" s="88" t="inlineStr">
        <is>
          <t>2013</t>
        </is>
      </c>
      <c r="D262" s="84" t="n"/>
      <c r="E262" s="89" t="n"/>
      <c r="F262" s="90" t="n"/>
      <c r="G262" s="91" t="n"/>
      <c r="H262" s="91" t="n"/>
      <c r="I262" s="92" t="n"/>
      <c r="J262" s="91" t="n"/>
      <c r="K262" s="89" t="n"/>
      <c r="L262" s="89">
        <f>IF(COUNT(E262,G262,H262,I262,J262,K262)=0,"",ROUND((IF(E262="",0,E262*10)+IF(G262="",0,G262)+IF(H262="",0,H262)+IF(I262="",0,I262*20)+IF(J262="",0,J262)+IF(K262="",0,K262*10))/COUNT(E262,G262,H262,I262,J262,K262),1))</f>
        <v/>
      </c>
      <c r="M262" s="83">
        <f>IF(L262="","",IF(L262&gt;=85,"Excellent",IF(L262&gt;=70,"Good",IF(L262&gt;=55,"Mixed","Poor"))))</f>
        <v/>
      </c>
      <c r="N262" s="96" t="n"/>
      <c r="O262" s="83" t="inlineStr">
        <is>
          <t>https://www.imdb.com/find/?q=Prisoners+2013</t>
        </is>
      </c>
      <c r="P262" s="83" t="inlineStr">
        <is>
          <t>https://www.rottentomatoes.com/search?search=Prisoners</t>
        </is>
      </c>
      <c r="Q262" s="83" t="inlineStr">
        <is>
          <t>https://letterboxd.com/search/Prisoners/</t>
        </is>
      </c>
      <c r="R262" s="83" t="inlineStr">
        <is>
          <t>https://www.metacritic.com/search/Prisoners/</t>
        </is>
      </c>
    </row>
    <row r="263" ht="15.75" customHeight="1" s="108">
      <c r="A263" s="83" t="inlineStr">
        <is>
          <t>F0259</t>
        </is>
      </c>
      <c r="B263" s="83" t="inlineStr">
        <is>
          <t>Prometheus</t>
        </is>
      </c>
      <c r="C263" s="88" t="inlineStr">
        <is>
          <t>2012</t>
        </is>
      </c>
      <c r="D263" s="84" t="n"/>
      <c r="E263" s="89" t="n"/>
      <c r="F263" s="90" t="n"/>
      <c r="G263" s="91" t="n"/>
      <c r="H263" s="91" t="n"/>
      <c r="I263" s="92" t="n"/>
      <c r="J263" s="91" t="n"/>
      <c r="K263" s="89" t="n"/>
      <c r="L263" s="89">
        <f>IF(COUNT(E263,G263,H263,I263,J263,K263)=0,"",ROUND((IF(E263="",0,E263*10)+IF(G263="",0,G263)+IF(H263="",0,H263)+IF(I263="",0,I263*20)+IF(J263="",0,J263)+IF(K263="",0,K263*10))/COUNT(E263,G263,H263,I263,J263,K263),1))</f>
        <v/>
      </c>
      <c r="M263" s="83">
        <f>IF(L263="","",IF(L263&gt;=85,"Excellent",IF(L263&gt;=70,"Good",IF(L263&gt;=55,"Mixed","Poor"))))</f>
        <v/>
      </c>
      <c r="N263" s="96" t="n"/>
      <c r="O263" s="83" t="inlineStr">
        <is>
          <t>https://www.imdb.com/find/?q=Prometheus+2012</t>
        </is>
      </c>
      <c r="P263" s="83" t="inlineStr">
        <is>
          <t>https://www.rottentomatoes.com/search?search=Prometheus</t>
        </is>
      </c>
      <c r="Q263" s="83" t="inlineStr">
        <is>
          <t>https://letterboxd.com/search/Prometheus/</t>
        </is>
      </c>
      <c r="R263" s="83" t="inlineStr">
        <is>
          <t>https://www.metacritic.com/search/Prometheus/</t>
        </is>
      </c>
    </row>
    <row r="264" ht="15.75" customHeight="1" s="108">
      <c r="A264" s="83" t="inlineStr">
        <is>
          <t>F0260</t>
        </is>
      </c>
      <c r="B264" s="83" t="inlineStr">
        <is>
          <t>The Pursuit of Happyness</t>
        </is>
      </c>
      <c r="C264" s="88" t="inlineStr">
        <is>
          <t>2006</t>
        </is>
      </c>
      <c r="D264" s="84" t="n"/>
      <c r="E264" s="89" t="n"/>
      <c r="F264" s="90" t="n"/>
      <c r="G264" s="91" t="n"/>
      <c r="H264" s="91" t="n"/>
      <c r="I264" s="92" t="n"/>
      <c r="J264" s="91" t="n"/>
      <c r="K264" s="89" t="n"/>
      <c r="L264" s="89">
        <f>IF(COUNT(E264,G264,H264,I264,J264,K264)=0,"",ROUND((IF(E264="",0,E264*10)+IF(G264="",0,G264)+IF(H264="",0,H264)+IF(I264="",0,I264*20)+IF(J264="",0,J264)+IF(K264="",0,K264*10))/COUNT(E264,G264,H264,I264,J264,K264),1))</f>
        <v/>
      </c>
      <c r="M264" s="83">
        <f>IF(L264="","",IF(L264&gt;=85,"Excellent",IF(L264&gt;=70,"Good",IF(L264&gt;=55,"Mixed","Poor"))))</f>
        <v/>
      </c>
      <c r="N264" s="96" t="n"/>
      <c r="O264" s="83" t="inlineStr">
        <is>
          <t>https://www.imdb.com/find/?q=The+Pursuit+of+Happyness+2006</t>
        </is>
      </c>
      <c r="P264" s="83" t="inlineStr">
        <is>
          <t>https://www.rottentomatoes.com/search?search=The+Pursuit+of+Happyness</t>
        </is>
      </c>
      <c r="Q264" s="83" t="inlineStr">
        <is>
          <t>https://letterboxd.com/search/The%20Pursuit%20of%20Happyness/</t>
        </is>
      </c>
      <c r="R264" s="83" t="inlineStr">
        <is>
          <t>https://www.metacritic.com/search/The+Pursuit+of+Happyness/</t>
        </is>
      </c>
    </row>
    <row r="265" ht="15.75" customHeight="1" s="108">
      <c r="A265" s="83" t="inlineStr">
        <is>
          <t>F0261</t>
        </is>
      </c>
      <c r="B265" s="83" t="inlineStr">
        <is>
          <t>Rambo</t>
        </is>
      </c>
      <c r="C265" s="88" t="inlineStr">
        <is>
          <t>2008</t>
        </is>
      </c>
      <c r="D265" s="84" t="n"/>
      <c r="E265" s="89" t="n"/>
      <c r="F265" s="90" t="n"/>
      <c r="G265" s="91" t="n"/>
      <c r="H265" s="91" t="n"/>
      <c r="I265" s="92" t="n"/>
      <c r="J265" s="91" t="n"/>
      <c r="K265" s="89" t="n"/>
      <c r="L265" s="89">
        <f>IF(COUNT(E265,G265,H265,I265,J265,K265)=0,"",ROUND((IF(E265="",0,E265*10)+IF(G265="",0,G265)+IF(H265="",0,H265)+IF(I265="",0,I265*20)+IF(J265="",0,J265)+IF(K265="",0,K265*10))/COUNT(E265,G265,H265,I265,J265,K265),1))</f>
        <v/>
      </c>
      <c r="M265" s="83">
        <f>IF(L265="","",IF(L265&gt;=85,"Excellent",IF(L265&gt;=70,"Good",IF(L265&gt;=55,"Mixed","Poor"))))</f>
        <v/>
      </c>
      <c r="N265" s="96" t="n"/>
      <c r="O265" s="83" t="inlineStr">
        <is>
          <t>https://www.imdb.com/find/?q=Rambo+2008</t>
        </is>
      </c>
      <c r="P265" s="83" t="inlineStr">
        <is>
          <t>https://www.rottentomatoes.com/search?search=Rambo</t>
        </is>
      </c>
      <c r="Q265" s="83" t="inlineStr">
        <is>
          <t>https://letterboxd.com/search/Rambo/</t>
        </is>
      </c>
      <c r="R265" s="83" t="inlineStr">
        <is>
          <t>https://www.metacritic.com/search/Rambo/</t>
        </is>
      </c>
    </row>
    <row r="266" ht="15.75" customHeight="1" s="108">
      <c r="A266" s="83" t="inlineStr">
        <is>
          <t>F0262</t>
        </is>
      </c>
      <c r="B266" s="83" t="inlineStr">
        <is>
          <t>RED</t>
        </is>
      </c>
      <c r="C266" s="88" t="inlineStr">
        <is>
          <t>2010</t>
        </is>
      </c>
      <c r="D266" s="84" t="n"/>
      <c r="E266" s="89" t="n"/>
      <c r="F266" s="90" t="n"/>
      <c r="G266" s="91" t="n"/>
      <c r="H266" s="91" t="n"/>
      <c r="I266" s="92" t="n"/>
      <c r="J266" s="91" t="n"/>
      <c r="K266" s="89" t="n"/>
      <c r="L266" s="89">
        <f>IF(COUNT(E266,G266,H266,I266,J266,K266)=0,"",ROUND((IF(E266="",0,E266*10)+IF(G266="",0,G266)+IF(H266="",0,H266)+IF(I266="",0,I266*20)+IF(J266="",0,J266)+IF(K266="",0,K266*10))/COUNT(E266,G266,H266,I266,J266,K266),1))</f>
        <v/>
      </c>
      <c r="M266" s="83">
        <f>IF(L266="","",IF(L266&gt;=85,"Excellent",IF(L266&gt;=70,"Good",IF(L266&gt;=55,"Mixed","Poor"))))</f>
        <v/>
      </c>
      <c r="N266" s="96" t="n"/>
      <c r="O266" s="83" t="inlineStr">
        <is>
          <t>https://www.imdb.com/find/?q=RED+2010</t>
        </is>
      </c>
      <c r="P266" s="83" t="inlineStr">
        <is>
          <t>https://www.rottentomatoes.com/search?search=RED</t>
        </is>
      </c>
      <c r="Q266" s="83" t="inlineStr">
        <is>
          <t>https://letterboxd.com/search/RED/</t>
        </is>
      </c>
      <c r="R266" s="83" t="inlineStr">
        <is>
          <t>https://www.metacritic.com/search/RED/</t>
        </is>
      </c>
    </row>
    <row r="267" ht="15.75" customHeight="1" s="108">
      <c r="A267" s="83" t="inlineStr">
        <is>
          <t>F0263</t>
        </is>
      </c>
      <c r="B267" s="83" t="inlineStr">
        <is>
          <t>Reign of Fire</t>
        </is>
      </c>
      <c r="C267" s="88" t="inlineStr">
        <is>
          <t>2002</t>
        </is>
      </c>
      <c r="D267" s="84" t="n"/>
      <c r="E267" s="89" t="n"/>
      <c r="F267" s="90" t="n"/>
      <c r="G267" s="91" t="n"/>
      <c r="H267" s="91" t="n"/>
      <c r="I267" s="92" t="n"/>
      <c r="J267" s="91" t="n"/>
      <c r="K267" s="89" t="n"/>
      <c r="L267" s="89">
        <f>IF(COUNT(E267,G267,H267,I267,J267,K267)=0,"",ROUND((IF(E267="",0,E267*10)+IF(G267="",0,G267)+IF(H267="",0,H267)+IF(I267="",0,I267*20)+IF(J267="",0,J267)+IF(K267="",0,K267*10))/COUNT(E267,G267,H267,I267,J267,K267),1))</f>
        <v/>
      </c>
      <c r="M267" s="83">
        <f>IF(L267="","",IF(L267&gt;=85,"Excellent",IF(L267&gt;=70,"Good",IF(L267&gt;=55,"Mixed","Poor"))))</f>
        <v/>
      </c>
      <c r="N267" s="96" t="n"/>
      <c r="O267" s="83" t="inlineStr">
        <is>
          <t>https://www.imdb.com/find/?q=Reign+of+Fire+2002</t>
        </is>
      </c>
      <c r="P267" s="83" t="inlineStr">
        <is>
          <t>https://www.rottentomatoes.com/search?search=Reign+of+Fire</t>
        </is>
      </c>
      <c r="Q267" s="83" t="inlineStr">
        <is>
          <t>https://letterboxd.com/search/Reign%20of%20Fire/</t>
        </is>
      </c>
      <c r="R267" s="83" t="inlineStr">
        <is>
          <t>https://www.metacritic.com/search/Reign+of+Fire/</t>
        </is>
      </c>
    </row>
    <row r="268" ht="15.75" customHeight="1" s="108">
      <c r="A268" s="83" t="inlineStr">
        <is>
          <t>F0264</t>
        </is>
      </c>
      <c r="B268" s="83" t="inlineStr">
        <is>
          <t>Riddick</t>
        </is>
      </c>
      <c r="C268" s="88" t="inlineStr">
        <is>
          <t>2013</t>
        </is>
      </c>
      <c r="D268" s="84" t="n"/>
      <c r="E268" s="89" t="n"/>
      <c r="F268" s="90" t="n"/>
      <c r="G268" s="91" t="n"/>
      <c r="H268" s="91" t="n"/>
      <c r="I268" s="92" t="n"/>
      <c r="J268" s="91" t="n"/>
      <c r="K268" s="89" t="n"/>
      <c r="L268" s="89">
        <f>IF(COUNT(E268,G268,H268,I268,J268,K268)=0,"",ROUND((IF(E268="",0,E268*10)+IF(G268="",0,G268)+IF(H268="",0,H268)+IF(I268="",0,I268*20)+IF(J268="",0,J268)+IF(K268="",0,K268*10))/COUNT(E268,G268,H268,I268,J268,K268),1))</f>
        <v/>
      </c>
      <c r="M268" s="83">
        <f>IF(L268="","",IF(L268&gt;=85,"Excellent",IF(L268&gt;=70,"Good",IF(L268&gt;=55,"Mixed","Poor"))))</f>
        <v/>
      </c>
      <c r="N268" s="96" t="n"/>
      <c r="O268" s="83" t="inlineStr">
        <is>
          <t>https://www.imdb.com/find/?q=Riddick+2013</t>
        </is>
      </c>
      <c r="P268" s="83" t="inlineStr">
        <is>
          <t>https://www.rottentomatoes.com/search?search=Riddick</t>
        </is>
      </c>
      <c r="Q268" s="83" t="inlineStr">
        <is>
          <t>https://letterboxd.com/search/Riddick/</t>
        </is>
      </c>
      <c r="R268" s="83" t="inlineStr">
        <is>
          <t>https://www.metacritic.com/search/Riddick/</t>
        </is>
      </c>
    </row>
    <row r="269" ht="15.75" customHeight="1" s="108">
      <c r="A269" s="83" t="inlineStr">
        <is>
          <t>F0265</t>
        </is>
      </c>
      <c r="B269" s="83" t="inlineStr">
        <is>
          <t>Rio</t>
        </is>
      </c>
      <c r="C269" s="88" t="inlineStr">
        <is>
          <t>2011</t>
        </is>
      </c>
      <c r="D269" s="84" t="n"/>
      <c r="E269" s="89" t="n"/>
      <c r="F269" s="90" t="n"/>
      <c r="G269" s="91" t="n"/>
      <c r="H269" s="91" t="n"/>
      <c r="I269" s="92" t="n"/>
      <c r="J269" s="91" t="n"/>
      <c r="K269" s="89" t="n"/>
      <c r="L269" s="89">
        <f>IF(COUNT(E269,G269,H269,I269,J269,K269)=0,"",ROUND((IF(E269="",0,E269*10)+IF(G269="",0,G269)+IF(H269="",0,H269)+IF(I269="",0,I269*20)+IF(J269="",0,J269)+IF(K269="",0,K269*10))/COUNT(E269,G269,H269,I269,J269,K269),1))</f>
        <v/>
      </c>
      <c r="M269" s="83">
        <f>IF(L269="","",IF(L269&gt;=85,"Excellent",IF(L269&gt;=70,"Good",IF(L269&gt;=55,"Mixed","Poor"))))</f>
        <v/>
      </c>
      <c r="N269" s="96" t="n"/>
      <c r="O269" s="83" t="inlineStr">
        <is>
          <t>https://www.imdb.com/find/?q=Rio+2011</t>
        </is>
      </c>
      <c r="P269" s="83" t="inlineStr">
        <is>
          <t>https://www.rottentomatoes.com/search?search=Rio</t>
        </is>
      </c>
      <c r="Q269" s="83" t="inlineStr">
        <is>
          <t>https://letterboxd.com/search/Rio/</t>
        </is>
      </c>
      <c r="R269" s="83" t="inlineStr">
        <is>
          <t>https://www.metacritic.com/search/Rio/</t>
        </is>
      </c>
    </row>
    <row r="270" ht="15.75" customHeight="1" s="108">
      <c r="A270" s="83" t="inlineStr">
        <is>
          <t>F0266</t>
        </is>
      </c>
      <c r="B270" s="83" t="inlineStr">
        <is>
          <t>Rio 2</t>
        </is>
      </c>
      <c r="C270" s="88" t="inlineStr">
        <is>
          <t>2014</t>
        </is>
      </c>
      <c r="D270" s="84" t="n"/>
      <c r="E270" s="89" t="n"/>
      <c r="F270" s="90" t="n"/>
      <c r="G270" s="91" t="n"/>
      <c r="H270" s="91" t="n"/>
      <c r="I270" s="92" t="n"/>
      <c r="J270" s="91" t="n"/>
      <c r="K270" s="89" t="n"/>
      <c r="L270" s="89">
        <f>IF(COUNT(E270,G270,H270,I270,J270,K270)=0,"",ROUND((IF(E270="",0,E270*10)+IF(G270="",0,G270)+IF(H270="",0,H270)+IF(I270="",0,I270*20)+IF(J270="",0,J270)+IF(K270="",0,K270*10))/COUNT(E270,G270,H270,I270,J270,K270),1))</f>
        <v/>
      </c>
      <c r="M270" s="83">
        <f>IF(L270="","",IF(L270&gt;=85,"Excellent",IF(L270&gt;=70,"Good",IF(L270&gt;=55,"Mixed","Poor"))))</f>
        <v/>
      </c>
      <c r="N270" s="96" t="n"/>
      <c r="O270" s="83" t="inlineStr">
        <is>
          <t>https://www.imdb.com/find/?q=Rio+2+2014</t>
        </is>
      </c>
      <c r="P270" s="83" t="inlineStr">
        <is>
          <t>https://www.rottentomatoes.com/search?search=Rio+2</t>
        </is>
      </c>
      <c r="Q270" s="83" t="inlineStr">
        <is>
          <t>https://letterboxd.com/search/Rio%202/</t>
        </is>
      </c>
      <c r="R270" s="83" t="inlineStr">
        <is>
          <t>https://www.metacritic.com/search/Rio+2/</t>
        </is>
      </c>
    </row>
    <row r="271" ht="15.75" customHeight="1" s="108">
      <c r="A271" s="83" t="inlineStr">
        <is>
          <t>F0267</t>
        </is>
      </c>
      <c r="B271" s="83" t="inlineStr">
        <is>
          <t>Robin Hood</t>
        </is>
      </c>
      <c r="C271" s="88" t="inlineStr">
        <is>
          <t>2010</t>
        </is>
      </c>
      <c r="D271" s="84" t="n"/>
      <c r="E271" s="89" t="n"/>
      <c r="F271" s="90" t="n"/>
      <c r="G271" s="91" t="n"/>
      <c r="H271" s="91" t="n"/>
      <c r="I271" s="92" t="n"/>
      <c r="J271" s="91" t="n"/>
      <c r="K271" s="89" t="n"/>
      <c r="L271" s="89">
        <f>IF(COUNT(E271,G271,H271,I271,J271,K271)=0,"",ROUND((IF(E271="",0,E271*10)+IF(G271="",0,G271)+IF(H271="",0,H271)+IF(I271="",0,I271*20)+IF(J271="",0,J271)+IF(K271="",0,K271*10))/COUNT(E271,G271,H271,I271,J271,K271),1))</f>
        <v/>
      </c>
      <c r="M271" s="83">
        <f>IF(L271="","",IF(L271&gt;=85,"Excellent",IF(L271&gt;=70,"Good",IF(L271&gt;=55,"Mixed","Poor"))))</f>
        <v/>
      </c>
      <c r="N271" s="96" t="n"/>
      <c r="O271" s="83" t="inlineStr">
        <is>
          <t>https://www.imdb.com/find/?q=Robin+Hood+2010</t>
        </is>
      </c>
      <c r="P271" s="83" t="inlineStr">
        <is>
          <t>https://www.rottentomatoes.com/search?search=Robin+Hood</t>
        </is>
      </c>
      <c r="Q271" s="83" t="inlineStr">
        <is>
          <t>https://letterboxd.com/search/Robin%20Hood/</t>
        </is>
      </c>
      <c r="R271" s="83" t="inlineStr">
        <is>
          <t>https://www.metacritic.com/search/Robin+Hood/</t>
        </is>
      </c>
    </row>
    <row r="272" ht="15.75" customHeight="1" s="108">
      <c r="A272" s="83" t="inlineStr">
        <is>
          <t>F0268</t>
        </is>
      </c>
      <c r="B272" s="83" t="inlineStr">
        <is>
          <t>RoboCop</t>
        </is>
      </c>
      <c r="C272" s="88" t="n"/>
      <c r="D272" s="84" t="n"/>
      <c r="E272" s="89" t="n"/>
      <c r="F272" s="90" t="n"/>
      <c r="G272" s="91" t="n"/>
      <c r="H272" s="91" t="n"/>
      <c r="I272" s="92" t="n"/>
      <c r="J272" s="91" t="n"/>
      <c r="K272" s="89" t="n"/>
      <c r="L272" s="89">
        <f>IF(COUNT(E272,G272,H272,I272,J272,K272)=0,"",ROUND((IF(E272="",0,E272*10)+IF(G272="",0,G272)+IF(H272="",0,H272)+IF(I272="",0,I272*20)+IF(J272="",0,J272)+IF(K272="",0,K272*10))/COUNT(E272,G272,H272,I272,J272,K272),1))</f>
        <v/>
      </c>
      <c r="M272" s="83">
        <f>IF(L272="","",IF(L272&gt;=85,"Excellent",IF(L272&gt;=70,"Good",IF(L272&gt;=55,"Mixed","Poor"))))</f>
        <v/>
      </c>
      <c r="N272" s="96" t="n"/>
      <c r="O272" s="83" t="inlineStr">
        <is>
          <t>https://www.imdb.com/find/?q=RoboCop</t>
        </is>
      </c>
      <c r="P272" s="83" t="inlineStr">
        <is>
          <t>https://www.rottentomatoes.com/search?search=RoboCop</t>
        </is>
      </c>
      <c r="Q272" s="83" t="inlineStr">
        <is>
          <t>https://letterboxd.com/search/RoboCop/</t>
        </is>
      </c>
      <c r="R272" s="83" t="inlineStr">
        <is>
          <t>https://www.metacritic.com/search/RoboCop/</t>
        </is>
      </c>
    </row>
    <row r="273" ht="15.75" customHeight="1" s="108">
      <c r="A273" s="83" t="inlineStr">
        <is>
          <t>F0269</t>
        </is>
      </c>
      <c r="B273" s="83" t="inlineStr">
        <is>
          <t>Rocketman</t>
        </is>
      </c>
      <c r="C273" s="88" t="inlineStr">
        <is>
          <t>2019</t>
        </is>
      </c>
      <c r="D273" s="84" t="n"/>
      <c r="E273" s="89" t="n"/>
      <c r="F273" s="90" t="n"/>
      <c r="G273" s="91" t="n"/>
      <c r="H273" s="91" t="n"/>
      <c r="I273" s="92" t="n"/>
      <c r="J273" s="91" t="n"/>
      <c r="K273" s="89" t="n"/>
      <c r="L273" s="89">
        <f>IF(COUNT(E273,G273,H273,I273,J273,K273)=0,"",ROUND((IF(E273="",0,E273*10)+IF(G273="",0,G273)+IF(H273="",0,H273)+IF(I273="",0,I273*20)+IF(J273="",0,J273)+IF(K273="",0,K273*10))/COUNT(E273,G273,H273,I273,J273,K273),1))</f>
        <v/>
      </c>
      <c r="M273" s="83">
        <f>IF(L273="","",IF(L273&gt;=85,"Excellent",IF(L273&gt;=70,"Good",IF(L273&gt;=55,"Mixed","Poor"))))</f>
        <v/>
      </c>
      <c r="N273" s="96" t="n"/>
      <c r="O273" s="83" t="inlineStr">
        <is>
          <t>https://www.imdb.com/find/?q=Rocketman+2019</t>
        </is>
      </c>
      <c r="P273" s="83" t="inlineStr">
        <is>
          <t>https://www.rottentomatoes.com/search?search=Rocketman</t>
        </is>
      </c>
      <c r="Q273" s="83" t="inlineStr">
        <is>
          <t>https://letterboxd.com/search/Rocketman/</t>
        </is>
      </c>
      <c r="R273" s="83" t="inlineStr">
        <is>
          <t>https://www.metacritic.com/search/Rocketman/</t>
        </is>
      </c>
    </row>
    <row r="274" ht="15.75" customHeight="1" s="108">
      <c r="A274" s="83" t="inlineStr">
        <is>
          <t>F0270</t>
        </is>
      </c>
      <c r="B274" s="83" t="inlineStr">
        <is>
          <t>Rush</t>
        </is>
      </c>
      <c r="C274" s="88" t="inlineStr">
        <is>
          <t>2013</t>
        </is>
      </c>
      <c r="D274" s="84" t="n"/>
      <c r="E274" s="89" t="n"/>
      <c r="F274" s="90" t="n"/>
      <c r="G274" s="91" t="n"/>
      <c r="H274" s="91" t="n"/>
      <c r="I274" s="92" t="n"/>
      <c r="J274" s="91" t="n"/>
      <c r="K274" s="89" t="n"/>
      <c r="L274" s="89">
        <f>IF(COUNT(E274,G274,H274,I274,J274,K274)=0,"",ROUND((IF(E274="",0,E274*10)+IF(G274="",0,G274)+IF(H274="",0,H274)+IF(I274="",0,I274*20)+IF(J274="",0,J274)+IF(K274="",0,K274*10))/COUNT(E274,G274,H274,I274,J274,K274),1))</f>
        <v/>
      </c>
      <c r="M274" s="83">
        <f>IF(L274="","",IF(L274&gt;=85,"Excellent",IF(L274&gt;=70,"Good",IF(L274&gt;=55,"Mixed","Poor"))))</f>
        <v/>
      </c>
      <c r="N274" s="96" t="n"/>
      <c r="O274" s="83" t="inlineStr">
        <is>
          <t>https://www.imdb.com/find/?q=Rush+2013</t>
        </is>
      </c>
      <c r="P274" s="83" t="inlineStr">
        <is>
          <t>https://www.rottentomatoes.com/search?search=Rush</t>
        </is>
      </c>
      <c r="Q274" s="83" t="inlineStr">
        <is>
          <t>https://letterboxd.com/search/Rush/</t>
        </is>
      </c>
      <c r="R274" s="83" t="inlineStr">
        <is>
          <t>https://www.metacritic.com/search/Rush/</t>
        </is>
      </c>
    </row>
    <row r="275" ht="15.75" customHeight="1" s="108">
      <c r="A275" s="83" t="inlineStr">
        <is>
          <t>F0271</t>
        </is>
      </c>
      <c r="B275" s="83" t="inlineStr">
        <is>
          <t>Rush Hour 3</t>
        </is>
      </c>
      <c r="C275" s="88" t="inlineStr">
        <is>
          <t>2007</t>
        </is>
      </c>
      <c r="D275" s="84" t="n"/>
      <c r="E275" s="89" t="n"/>
      <c r="F275" s="90" t="n"/>
      <c r="G275" s="91" t="n"/>
      <c r="H275" s="91" t="n"/>
      <c r="I275" s="92" t="n"/>
      <c r="J275" s="91" t="n"/>
      <c r="K275" s="89" t="n"/>
      <c r="L275" s="89">
        <f>IF(COUNT(E275,G275,H275,I275,J275,K275)=0,"",ROUND((IF(E275="",0,E275*10)+IF(G275="",0,G275)+IF(H275="",0,H275)+IF(I275="",0,I275*20)+IF(J275="",0,J275)+IF(K275="",0,K275*10))/COUNT(E275,G275,H275,I275,J275,K275),1))</f>
        <v/>
      </c>
      <c r="M275" s="83">
        <f>IF(L275="","",IF(L275&gt;=85,"Excellent",IF(L275&gt;=70,"Good",IF(L275&gt;=55,"Mixed","Poor"))))</f>
        <v/>
      </c>
      <c r="N275" s="96" t="n"/>
      <c r="O275" s="83" t="inlineStr">
        <is>
          <t>https://www.imdb.com/find/?q=Rush+Hour+3+2007</t>
        </is>
      </c>
      <c r="P275" s="83" t="inlineStr">
        <is>
          <t>https://www.rottentomatoes.com/search?search=Rush+Hour+3</t>
        </is>
      </c>
      <c r="Q275" s="83" t="inlineStr">
        <is>
          <t>https://letterboxd.com/search/Rush%20Hour%203/</t>
        </is>
      </c>
      <c r="R275" s="83" t="inlineStr">
        <is>
          <t>https://www.metacritic.com/search/Rush+Hour+3/</t>
        </is>
      </c>
    </row>
    <row r="276" ht="15.75" customHeight="1" s="108">
      <c r="A276" s="83" t="inlineStr">
        <is>
          <t>F0272</t>
        </is>
      </c>
      <c r="B276" s="83" t="inlineStr">
        <is>
          <t>Safe House</t>
        </is>
      </c>
      <c r="C276" s="88" t="inlineStr">
        <is>
          <t>2012</t>
        </is>
      </c>
      <c r="D276" s="84" t="n"/>
      <c r="E276" s="89" t="n"/>
      <c r="F276" s="90" t="n"/>
      <c r="G276" s="91" t="n"/>
      <c r="H276" s="91" t="n"/>
      <c r="I276" s="92" t="n"/>
      <c r="J276" s="91" t="n"/>
      <c r="K276" s="89" t="n"/>
      <c r="L276" s="89">
        <f>IF(COUNT(E276,G276,H276,I276,J276,K276)=0,"",ROUND((IF(E276="",0,E276*10)+IF(G276="",0,G276)+IF(H276="",0,H276)+IF(I276="",0,I276*20)+IF(J276="",0,J276)+IF(K276="",0,K276*10))/COUNT(E276,G276,H276,I276,J276,K276),1))</f>
        <v/>
      </c>
      <c r="M276" s="83">
        <f>IF(L276="","",IF(L276&gt;=85,"Excellent",IF(L276&gt;=70,"Good",IF(L276&gt;=55,"Mixed","Poor"))))</f>
        <v/>
      </c>
      <c r="N276" s="96" t="n"/>
      <c r="O276" s="83" t="inlineStr">
        <is>
          <t>https://www.imdb.com/find/?q=Safe+House+2012</t>
        </is>
      </c>
      <c r="P276" s="83" t="inlineStr">
        <is>
          <t>https://www.rottentomatoes.com/search?search=Safe+House</t>
        </is>
      </c>
      <c r="Q276" s="83" t="inlineStr">
        <is>
          <t>https://letterboxd.com/search/Safe%20House/</t>
        </is>
      </c>
      <c r="R276" s="83" t="inlineStr">
        <is>
          <t>https://www.metacritic.com/search/Safe+House/</t>
        </is>
      </c>
    </row>
    <row r="277" ht="15.75" customHeight="1" s="108">
      <c r="A277" s="83" t="inlineStr">
        <is>
          <t>F0273</t>
        </is>
      </c>
      <c r="B277" s="83" t="inlineStr">
        <is>
          <t>Salt</t>
        </is>
      </c>
      <c r="C277" s="88" t="inlineStr">
        <is>
          <t>2010</t>
        </is>
      </c>
      <c r="D277" s="84" t="n"/>
      <c r="E277" s="89" t="n"/>
      <c r="F277" s="90" t="n"/>
      <c r="G277" s="91" t="n"/>
      <c r="H277" s="91" t="n"/>
      <c r="I277" s="92" t="n"/>
      <c r="J277" s="91" t="n"/>
      <c r="K277" s="89" t="n"/>
      <c r="L277" s="89">
        <f>IF(COUNT(E277,G277,H277,I277,J277,K277)=0,"",ROUND((IF(E277="",0,E277*10)+IF(G277="",0,G277)+IF(H277="",0,H277)+IF(I277="",0,I277*20)+IF(J277="",0,J277)+IF(K277="",0,K277*10))/COUNT(E277,G277,H277,I277,J277,K277),1))</f>
        <v/>
      </c>
      <c r="M277" s="83">
        <f>IF(L277="","",IF(L277&gt;=85,"Excellent",IF(L277&gt;=70,"Good",IF(L277&gt;=55,"Mixed","Poor"))))</f>
        <v/>
      </c>
      <c r="N277" s="96" t="n"/>
      <c r="O277" s="83" t="inlineStr">
        <is>
          <t>https://www.imdb.com/find/?q=Salt+2010</t>
        </is>
      </c>
      <c r="P277" s="83" t="inlineStr">
        <is>
          <t>https://www.rottentomatoes.com/search?search=Salt</t>
        </is>
      </c>
      <c r="Q277" s="83" t="inlineStr">
        <is>
          <t>https://letterboxd.com/search/Salt/</t>
        </is>
      </c>
      <c r="R277" s="83" t="inlineStr">
        <is>
          <t>https://www.metacritic.com/search/Salt/</t>
        </is>
      </c>
    </row>
    <row r="278" ht="15.75" customHeight="1" s="108">
      <c r="A278" s="83" t="inlineStr">
        <is>
          <t>F0274</t>
        </is>
      </c>
      <c r="B278" s="83" t="inlineStr">
        <is>
          <t>The Secret Life of Pets</t>
        </is>
      </c>
      <c r="C278" s="88" t="inlineStr">
        <is>
          <t>2016</t>
        </is>
      </c>
      <c r="D278" s="84" t="n"/>
      <c r="E278" s="89" t="n"/>
      <c r="F278" s="90" t="n"/>
      <c r="G278" s="91" t="n"/>
      <c r="H278" s="91" t="n"/>
      <c r="I278" s="92" t="n"/>
      <c r="J278" s="91" t="n"/>
      <c r="K278" s="89" t="n"/>
      <c r="L278" s="89">
        <f>IF(COUNT(E278,G278,H278,I278,J278,K278)=0,"",ROUND((IF(E278="",0,E278*10)+IF(G278="",0,G278)+IF(H278="",0,H278)+IF(I278="",0,I278*20)+IF(J278="",0,J278)+IF(K278="",0,K278*10))/COUNT(E278,G278,H278,I278,J278,K278),1))</f>
        <v/>
      </c>
      <c r="M278" s="83">
        <f>IF(L278="","",IF(L278&gt;=85,"Excellent",IF(L278&gt;=70,"Good",IF(L278&gt;=55,"Mixed","Poor"))))</f>
        <v/>
      </c>
      <c r="N278" s="96" t="n"/>
      <c r="O278" s="83" t="inlineStr">
        <is>
          <t>https://www.imdb.com/find/?q=The+Secret+Life+of+Pets+2016</t>
        </is>
      </c>
      <c r="P278" s="83" t="inlineStr">
        <is>
          <t>https://www.rottentomatoes.com/search?search=The+Secret+Life+of+Pets</t>
        </is>
      </c>
      <c r="Q278" s="83" t="inlineStr">
        <is>
          <t>https://letterboxd.com/search/The%20Secret%20Life%20of%20Pets/</t>
        </is>
      </c>
      <c r="R278" s="83" t="inlineStr">
        <is>
          <t>https://www.metacritic.com/search/The+Secret+Life+of+Pets/</t>
        </is>
      </c>
    </row>
    <row r="279" ht="15.75" customHeight="1" s="108">
      <c r="A279" s="83" t="inlineStr">
        <is>
          <t>F0275</t>
        </is>
      </c>
      <c r="B279" s="83" t="inlineStr">
        <is>
          <t>Senna</t>
        </is>
      </c>
      <c r="C279" s="88" t="inlineStr">
        <is>
          <t>2010</t>
        </is>
      </c>
      <c r="D279" s="84" t="n"/>
      <c r="E279" s="89" t="n"/>
      <c r="F279" s="90" t="n"/>
      <c r="G279" s="91" t="n"/>
      <c r="H279" s="91" t="n"/>
      <c r="I279" s="92" t="n"/>
      <c r="J279" s="91" t="n"/>
      <c r="K279" s="89" t="n"/>
      <c r="L279" s="89">
        <f>IF(COUNT(E279,G279,H279,I279,J279,K279)=0,"",ROUND((IF(E279="",0,E279*10)+IF(G279="",0,G279)+IF(H279="",0,H279)+IF(I279="",0,I279*20)+IF(J279="",0,J279)+IF(K279="",0,K279*10))/COUNT(E279,G279,H279,I279,J279,K279),1))</f>
        <v/>
      </c>
      <c r="M279" s="83">
        <f>IF(L279="","",IF(L279&gt;=85,"Excellent",IF(L279&gt;=70,"Good",IF(L279&gt;=55,"Mixed","Poor"))))</f>
        <v/>
      </c>
      <c r="N279" s="96" t="n"/>
      <c r="O279" s="83" t="inlineStr">
        <is>
          <t>https://www.imdb.com/find/?q=Senna+2010</t>
        </is>
      </c>
      <c r="P279" s="83" t="inlineStr">
        <is>
          <t>https://www.rottentomatoes.com/search?search=Senna</t>
        </is>
      </c>
      <c r="Q279" s="83" t="inlineStr">
        <is>
          <t>https://letterboxd.com/search/Senna/</t>
        </is>
      </c>
      <c r="R279" s="83" t="inlineStr">
        <is>
          <t>https://www.metacritic.com/search/Senna/</t>
        </is>
      </c>
    </row>
    <row r="280" ht="15.75" customHeight="1" s="108">
      <c r="A280" s="83" t="inlineStr">
        <is>
          <t>F0276</t>
        </is>
      </c>
      <c r="B280" s="83" t="inlineStr">
        <is>
          <t>Se7en</t>
        </is>
      </c>
      <c r="C280" s="88" t="inlineStr">
        <is>
          <t>1995</t>
        </is>
      </c>
      <c r="D280" s="84" t="n"/>
      <c r="E280" s="89" t="n"/>
      <c r="F280" s="90" t="n"/>
      <c r="G280" s="91" t="n"/>
      <c r="H280" s="91" t="n"/>
      <c r="I280" s="92" t="n"/>
      <c r="J280" s="91" t="n"/>
      <c r="K280" s="89" t="n"/>
      <c r="L280" s="89">
        <f>IF(COUNT(E280,G280,H280,I280,J280,K280)=0,"",ROUND((IF(E280="",0,E280*10)+IF(G280="",0,G280)+IF(H280="",0,H280)+IF(I280="",0,I280*20)+IF(J280="",0,J280)+IF(K280="",0,K280*10))/COUNT(E280,G280,H280,I280,J280,K280),1))</f>
        <v/>
      </c>
      <c r="M280" s="83">
        <f>IF(L280="","",IF(L280&gt;=85,"Excellent",IF(L280&gt;=70,"Good",IF(L280&gt;=55,"Mixed","Poor"))))</f>
        <v/>
      </c>
      <c r="N280" s="96" t="n"/>
      <c r="O280" s="83" t="inlineStr">
        <is>
          <t>https://www.imdb.com/find/?q=Se7en+1995</t>
        </is>
      </c>
      <c r="P280" s="83" t="inlineStr">
        <is>
          <t>https://www.rottentomatoes.com/search?search=Se7en</t>
        </is>
      </c>
      <c r="Q280" s="83" t="inlineStr">
        <is>
          <t>https://letterboxd.com/search/Se7en/</t>
        </is>
      </c>
      <c r="R280" s="83" t="inlineStr">
        <is>
          <t>https://www.metacritic.com/search/Se7en/</t>
        </is>
      </c>
    </row>
    <row r="281" ht="15.75" customHeight="1" s="108">
      <c r="A281" s="83" t="inlineStr">
        <is>
          <t>F0277</t>
        </is>
      </c>
      <c r="B281" s="83" t="inlineStr">
        <is>
          <t>Sex &amp; Drugs &amp; Rock &amp; Roll</t>
        </is>
      </c>
      <c r="C281" s="88" t="inlineStr">
        <is>
          <t>2010</t>
        </is>
      </c>
      <c r="D281" s="84" t="n"/>
      <c r="E281" s="89" t="n"/>
      <c r="F281" s="90" t="n"/>
      <c r="G281" s="91" t="n"/>
      <c r="H281" s="91" t="n"/>
      <c r="I281" s="92" t="n"/>
      <c r="J281" s="91" t="n"/>
      <c r="K281" s="89" t="n"/>
      <c r="L281" s="89">
        <f>IF(COUNT(E281,G281,H281,I281,J281,K281)=0,"",ROUND((IF(E281="",0,E281*10)+IF(G281="",0,G281)+IF(H281="",0,H281)+IF(I281="",0,I281*20)+IF(J281="",0,J281)+IF(K281="",0,K281*10))/COUNT(E281,G281,H281,I281,J281,K281),1))</f>
        <v/>
      </c>
      <c r="M281" s="83">
        <f>IF(L281="","",IF(L281&gt;=85,"Excellent",IF(L281&gt;=70,"Good",IF(L281&gt;=55,"Mixed","Poor"))))</f>
        <v/>
      </c>
      <c r="N281" s="96" t="n"/>
      <c r="O281" s="83" t="inlineStr">
        <is>
          <t>https://www.imdb.com/find/?q=Sex+%26+Drugs+%26+Rock+%26+Roll+2010</t>
        </is>
      </c>
      <c r="P281" s="83" t="inlineStr">
        <is>
          <t>https://www.rottentomatoes.com/search?search=Sex+%26+Drugs+%26+Rock+%26+Roll</t>
        </is>
      </c>
      <c r="Q281" s="83" t="inlineStr">
        <is>
          <t>https://letterboxd.com/search/Sex%20%26%20Drugs%20%26%20Rock%20%26%20Roll/</t>
        </is>
      </c>
      <c r="R281" s="83" t="inlineStr">
        <is>
          <t>https://www.metacritic.com/search/Sex+%26+Drugs+%26+Rock+%26+Roll/</t>
        </is>
      </c>
    </row>
    <row r="282" ht="15.75" customHeight="1" s="108">
      <c r="A282" s="83" t="inlineStr">
        <is>
          <t>F0278</t>
        </is>
      </c>
      <c r="B282" s="83" t="inlineStr">
        <is>
          <t>Sherlock Holmes</t>
        </is>
      </c>
      <c r="C282" s="88" t="inlineStr">
        <is>
          <t>2009</t>
        </is>
      </c>
      <c r="D282" s="84" t="n"/>
      <c r="E282" s="89" t="n"/>
      <c r="F282" s="90" t="n"/>
      <c r="G282" s="91" t="n"/>
      <c r="H282" s="91" t="n"/>
      <c r="I282" s="92" t="n"/>
      <c r="J282" s="91" t="n"/>
      <c r="K282" s="89" t="n"/>
      <c r="L282" s="89">
        <f>IF(COUNT(E282,G282,H282,I282,J282,K282)=0,"",ROUND((IF(E282="",0,E282*10)+IF(G282="",0,G282)+IF(H282="",0,H282)+IF(I282="",0,I282*20)+IF(J282="",0,J282)+IF(K282="",0,K282*10))/COUNT(E282,G282,H282,I282,J282,K282),1))</f>
        <v/>
      </c>
      <c r="M282" s="83">
        <f>IF(L282="","",IF(L282&gt;=85,"Excellent",IF(L282&gt;=70,"Good",IF(L282&gt;=55,"Mixed","Poor"))))</f>
        <v/>
      </c>
      <c r="N282" s="96" t="n"/>
      <c r="O282" s="83" t="inlineStr">
        <is>
          <t>https://www.imdb.com/find/?q=Sherlock+Holmes+2009</t>
        </is>
      </c>
      <c r="P282" s="83" t="inlineStr">
        <is>
          <t>https://www.rottentomatoes.com/search?search=Sherlock+Holmes</t>
        </is>
      </c>
      <c r="Q282" s="83" t="inlineStr">
        <is>
          <t>https://letterboxd.com/search/Sherlock%20Holmes/</t>
        </is>
      </c>
      <c r="R282" s="83" t="inlineStr">
        <is>
          <t>https://www.metacritic.com/search/Sherlock+Holmes/</t>
        </is>
      </c>
    </row>
    <row r="283" ht="15.75" customHeight="1" s="108">
      <c r="A283" s="83" t="inlineStr">
        <is>
          <t>F0279</t>
        </is>
      </c>
      <c r="B283" s="83" t="inlineStr">
        <is>
          <t>Sherlock Holmes: A Game of Shadows</t>
        </is>
      </c>
      <c r="C283" s="88" t="inlineStr">
        <is>
          <t>2011</t>
        </is>
      </c>
      <c r="D283" s="84" t="n"/>
      <c r="E283" s="89" t="n"/>
      <c r="F283" s="90" t="n"/>
      <c r="G283" s="91" t="n"/>
      <c r="H283" s="91" t="n"/>
      <c r="I283" s="92" t="n"/>
      <c r="J283" s="91" t="n"/>
      <c r="K283" s="89" t="n"/>
      <c r="L283" s="89">
        <f>IF(COUNT(E283,G283,H283,I283,J283,K283)=0,"",ROUND((IF(E283="",0,E283*10)+IF(G283="",0,G283)+IF(H283="",0,H283)+IF(I283="",0,I283*20)+IF(J283="",0,J283)+IF(K283="",0,K283*10))/COUNT(E283,G283,H283,I283,J283,K283),1))</f>
        <v/>
      </c>
      <c r="M283" s="83">
        <f>IF(L283="","",IF(L283&gt;=85,"Excellent",IF(L283&gt;=70,"Good",IF(L283&gt;=55,"Mixed","Poor"))))</f>
        <v/>
      </c>
      <c r="N283" s="96" t="n"/>
      <c r="O283" s="83" t="inlineStr">
        <is>
          <t>https://www.imdb.com/find/?q=Sherlock+Holmes%3A+A+Game+of+Shadows+2011</t>
        </is>
      </c>
      <c r="P283" s="83" t="inlineStr">
        <is>
          <t>https://www.rottentomatoes.com/search?search=Sherlock+Holmes%3A+A+Game+of+Shadows</t>
        </is>
      </c>
      <c r="Q283" s="83" t="inlineStr">
        <is>
          <t>https://letterboxd.com/search/Sherlock%20Holmes%3A%20A%20Game%20of%20Shadows/</t>
        </is>
      </c>
      <c r="R283" s="83" t="inlineStr">
        <is>
          <t>https://www.metacritic.com/search/Sherlock+Holmes%3A+A+Game+of+Shadows/</t>
        </is>
      </c>
    </row>
    <row r="284" ht="15.75" customHeight="1" s="108">
      <c r="A284" s="83" t="inlineStr">
        <is>
          <t>F0280</t>
        </is>
      </c>
      <c r="B284" s="83" t="inlineStr">
        <is>
          <t>Sing</t>
        </is>
      </c>
      <c r="C284" s="88" t="inlineStr">
        <is>
          <t>2016</t>
        </is>
      </c>
      <c r="D284" s="84" t="n"/>
      <c r="E284" s="89" t="n"/>
      <c r="F284" s="90" t="n"/>
      <c r="G284" s="91" t="n"/>
      <c r="H284" s="91" t="n"/>
      <c r="I284" s="92" t="n"/>
      <c r="J284" s="91" t="n"/>
      <c r="K284" s="89" t="n"/>
      <c r="L284" s="89">
        <f>IF(COUNT(E284,G284,H284,I284,J284,K284)=0,"",ROUND((IF(E284="",0,E284*10)+IF(G284="",0,G284)+IF(H284="",0,H284)+IF(I284="",0,I284*20)+IF(J284="",0,J284)+IF(K284="",0,K284*10))/COUNT(E284,G284,H284,I284,J284,K284),1))</f>
        <v/>
      </c>
      <c r="M284" s="83">
        <f>IF(L284="","",IF(L284&gt;=85,"Excellent",IF(L284&gt;=70,"Good",IF(L284&gt;=55,"Mixed","Poor"))))</f>
        <v/>
      </c>
      <c r="N284" s="96" t="n"/>
      <c r="O284" s="83" t="inlineStr">
        <is>
          <t>https://www.imdb.com/find/?q=Sing+2016</t>
        </is>
      </c>
      <c r="P284" s="83" t="inlineStr">
        <is>
          <t>https://www.rottentomatoes.com/search?search=Sing</t>
        </is>
      </c>
      <c r="Q284" s="83" t="inlineStr">
        <is>
          <t>https://letterboxd.com/search/Sing/</t>
        </is>
      </c>
      <c r="R284" s="83" t="inlineStr">
        <is>
          <t>https://www.metacritic.com/search/Sing/</t>
        </is>
      </c>
    </row>
    <row r="285" ht="15.75" customHeight="1" s="108">
      <c r="A285" s="83" t="inlineStr">
        <is>
          <t>F0281</t>
        </is>
      </c>
      <c r="B285" s="83" t="inlineStr">
        <is>
          <t>Slumdog Millionaire</t>
        </is>
      </c>
      <c r="C285" s="88" t="inlineStr">
        <is>
          <t>2008</t>
        </is>
      </c>
      <c r="D285" s="84" t="n"/>
      <c r="E285" s="89" t="n"/>
      <c r="F285" s="90" t="n"/>
      <c r="G285" s="91" t="n"/>
      <c r="H285" s="91" t="n"/>
      <c r="I285" s="92" t="n"/>
      <c r="J285" s="91" t="n"/>
      <c r="K285" s="89" t="n"/>
      <c r="L285" s="89">
        <f>IF(COUNT(E285,G285,H285,I285,J285,K285)=0,"",ROUND((IF(E285="",0,E285*10)+IF(G285="",0,G285)+IF(H285="",0,H285)+IF(I285="",0,I285*20)+IF(J285="",0,J285)+IF(K285="",0,K285*10))/COUNT(E285,G285,H285,I285,J285,K285),1))</f>
        <v/>
      </c>
      <c r="M285" s="83">
        <f>IF(L285="","",IF(L285&gt;=85,"Excellent",IF(L285&gt;=70,"Good",IF(L285&gt;=55,"Mixed","Poor"))))</f>
        <v/>
      </c>
      <c r="N285" s="96" t="n"/>
      <c r="O285" s="83" t="inlineStr">
        <is>
          <t>https://www.imdb.com/find/?q=Slumdog+Millionaire+2008</t>
        </is>
      </c>
      <c r="P285" s="83" t="inlineStr">
        <is>
          <t>https://www.rottentomatoes.com/search?search=Slumdog+Millionaire</t>
        </is>
      </c>
      <c r="Q285" s="83" t="inlineStr">
        <is>
          <t>https://letterboxd.com/search/Slumdog%20Millionaire/</t>
        </is>
      </c>
      <c r="R285" s="83" t="inlineStr">
        <is>
          <t>https://www.metacritic.com/search/Slumdog+Millionaire/</t>
        </is>
      </c>
    </row>
    <row r="286" ht="15.75" customHeight="1" s="108">
      <c r="A286" s="83" t="inlineStr">
        <is>
          <t>F0282</t>
        </is>
      </c>
      <c r="B286" s="83" t="inlineStr">
        <is>
          <t>The Smurfs 2</t>
        </is>
      </c>
      <c r="C286" s="88" t="inlineStr">
        <is>
          <t>2013</t>
        </is>
      </c>
      <c r="D286" s="84" t="n"/>
      <c r="E286" s="89" t="n"/>
      <c r="F286" s="90" t="n"/>
      <c r="G286" s="91" t="n"/>
      <c r="H286" s="91" t="n"/>
      <c r="I286" s="92" t="n"/>
      <c r="J286" s="91" t="n"/>
      <c r="K286" s="89" t="n"/>
      <c r="L286" s="89">
        <f>IF(COUNT(E286,G286,H286,I286,J286,K286)=0,"",ROUND((IF(E286="",0,E286*10)+IF(G286="",0,G286)+IF(H286="",0,H286)+IF(I286="",0,I286*20)+IF(J286="",0,J286)+IF(K286="",0,K286*10))/COUNT(E286,G286,H286,I286,J286,K286),1))</f>
        <v/>
      </c>
      <c r="M286" s="83">
        <f>IF(L286="","",IF(L286&gt;=85,"Excellent",IF(L286&gt;=70,"Good",IF(L286&gt;=55,"Mixed","Poor"))))</f>
        <v/>
      </c>
      <c r="N286" s="96" t="n"/>
      <c r="O286" s="83" t="inlineStr">
        <is>
          <t>https://www.imdb.com/find/?q=The+Smurfs+2+2013</t>
        </is>
      </c>
      <c r="P286" s="83" t="inlineStr">
        <is>
          <t>https://www.rottentomatoes.com/search?search=The+Smurfs+2</t>
        </is>
      </c>
      <c r="Q286" s="83" t="inlineStr">
        <is>
          <t>https://letterboxd.com/search/The%20Smurfs%202/</t>
        </is>
      </c>
      <c r="R286" s="83" t="inlineStr">
        <is>
          <t>https://www.metacritic.com/search/The+Smurfs+2/</t>
        </is>
      </c>
    </row>
    <row r="287" ht="15.75" customHeight="1" s="108">
      <c r="A287" s="83" t="inlineStr">
        <is>
          <t>F0283</t>
        </is>
      </c>
      <c r="B287" s="83" t="inlineStr">
        <is>
          <t>Snowpiercer</t>
        </is>
      </c>
      <c r="C287" s="88" t="inlineStr">
        <is>
          <t>2013</t>
        </is>
      </c>
      <c r="D287" s="84" t="n"/>
      <c r="E287" s="89" t="n"/>
      <c r="F287" s="90" t="n"/>
      <c r="G287" s="91" t="n"/>
      <c r="H287" s="91" t="n"/>
      <c r="I287" s="92" t="n"/>
      <c r="J287" s="91" t="n"/>
      <c r="K287" s="89" t="n"/>
      <c r="L287" s="89">
        <f>IF(COUNT(E287,G287,H287,I287,J287,K287)=0,"",ROUND((IF(E287="",0,E287*10)+IF(G287="",0,G287)+IF(H287="",0,H287)+IF(I287="",0,I287*20)+IF(J287="",0,J287)+IF(K287="",0,K287*10))/COUNT(E287,G287,H287,I287,J287,K287),1))</f>
        <v/>
      </c>
      <c r="M287" s="83">
        <f>IF(L287="","",IF(L287&gt;=85,"Excellent",IF(L287&gt;=70,"Good",IF(L287&gt;=55,"Mixed","Poor"))))</f>
        <v/>
      </c>
      <c r="N287" s="96" t="n"/>
      <c r="O287" s="83" t="inlineStr">
        <is>
          <t>https://www.imdb.com/find/?q=Snowpiercer+2013</t>
        </is>
      </c>
      <c r="P287" s="83" t="inlineStr">
        <is>
          <t>https://www.rottentomatoes.com/search?search=Snowpiercer</t>
        </is>
      </c>
      <c r="Q287" s="83" t="inlineStr">
        <is>
          <t>https://letterboxd.com/search/Snowpiercer/</t>
        </is>
      </c>
      <c r="R287" s="83" t="inlineStr">
        <is>
          <t>https://www.metacritic.com/search/Snowpiercer/</t>
        </is>
      </c>
    </row>
    <row r="288" ht="15.75" customHeight="1" s="108">
      <c r="A288" s="83" t="inlineStr">
        <is>
          <t>F0284</t>
        </is>
      </c>
      <c r="B288" s="83" t="inlineStr">
        <is>
          <t>Snow White and the Huntsman</t>
        </is>
      </c>
      <c r="C288" s="88" t="inlineStr">
        <is>
          <t>2012</t>
        </is>
      </c>
      <c r="D288" s="84" t="n"/>
      <c r="E288" s="89" t="n"/>
      <c r="F288" s="90" t="n"/>
      <c r="G288" s="91" t="n"/>
      <c r="H288" s="91" t="n"/>
      <c r="I288" s="92" t="n"/>
      <c r="J288" s="91" t="n"/>
      <c r="K288" s="89" t="n"/>
      <c r="L288" s="89">
        <f>IF(COUNT(E288,G288,H288,I288,J288,K288)=0,"",ROUND((IF(E288="",0,E288*10)+IF(G288="",0,G288)+IF(H288="",0,H288)+IF(I288="",0,I288*20)+IF(J288="",0,J288)+IF(K288="",0,K288*10))/COUNT(E288,G288,H288,I288,J288,K288),1))</f>
        <v/>
      </c>
      <c r="M288" s="83">
        <f>IF(L288="","",IF(L288&gt;=85,"Excellent",IF(L288&gt;=70,"Good",IF(L288&gt;=55,"Mixed","Poor"))))</f>
        <v/>
      </c>
      <c r="N288" s="96" t="n"/>
      <c r="O288" s="83" t="inlineStr">
        <is>
          <t>https://www.imdb.com/find/?q=Snow+White+and+the+Huntsman+2012</t>
        </is>
      </c>
      <c r="P288" s="83" t="inlineStr">
        <is>
          <t>https://www.rottentomatoes.com/search?search=Snow+White+and+the+Huntsman</t>
        </is>
      </c>
      <c r="Q288" s="83" t="inlineStr">
        <is>
          <t>https://letterboxd.com/search/Snow%20White%20and%20the%20Huntsman/</t>
        </is>
      </c>
      <c r="R288" s="83" t="inlineStr">
        <is>
          <t>https://www.metacritic.com/search/Snow+White+and+the+Huntsman/</t>
        </is>
      </c>
    </row>
    <row r="289" ht="15.75" customHeight="1" s="108">
      <c r="A289" s="83" t="inlineStr">
        <is>
          <t>F0285</t>
        </is>
      </c>
      <c r="B289" s="83" t="inlineStr">
        <is>
          <t>Source Code</t>
        </is>
      </c>
      <c r="C289" s="88" t="inlineStr">
        <is>
          <t>2011</t>
        </is>
      </c>
      <c r="D289" s="84" t="n"/>
      <c r="E289" s="89" t="n"/>
      <c r="F289" s="90" t="n"/>
      <c r="G289" s="91" t="n"/>
      <c r="H289" s="91" t="n"/>
      <c r="I289" s="92" t="n"/>
      <c r="J289" s="91" t="n"/>
      <c r="K289" s="89" t="n"/>
      <c r="L289" s="89">
        <f>IF(COUNT(E289,G289,H289,I289,J289,K289)=0,"",ROUND((IF(E289="",0,E289*10)+IF(G289="",0,G289)+IF(H289="",0,H289)+IF(I289="",0,I289*20)+IF(J289="",0,J289)+IF(K289="",0,K289*10))/COUNT(E289,G289,H289,I289,J289,K289),1))</f>
        <v/>
      </c>
      <c r="M289" s="83">
        <f>IF(L289="","",IF(L289&gt;=85,"Excellent",IF(L289&gt;=70,"Good",IF(L289&gt;=55,"Mixed","Poor"))))</f>
        <v/>
      </c>
      <c r="N289" s="96" t="n"/>
      <c r="O289" s="83" t="inlineStr">
        <is>
          <t>https://www.imdb.com/find/?q=Source+Code+2011</t>
        </is>
      </c>
      <c r="P289" s="83" t="inlineStr">
        <is>
          <t>https://www.rottentomatoes.com/search?search=Source+Code</t>
        </is>
      </c>
      <c r="Q289" s="83" t="inlineStr">
        <is>
          <t>https://letterboxd.com/search/Source%20Code/</t>
        </is>
      </c>
      <c r="R289" s="83" t="inlineStr">
        <is>
          <t>https://www.metacritic.com/search/Source+Code/</t>
        </is>
      </c>
    </row>
    <row r="290" ht="15.75" customHeight="1" s="108">
      <c r="A290" s="83" t="inlineStr">
        <is>
          <t>F0286</t>
        </is>
      </c>
      <c r="B290" s="83" t="inlineStr">
        <is>
          <t>Southpaw</t>
        </is>
      </c>
      <c r="C290" s="88" t="inlineStr">
        <is>
          <t>2015</t>
        </is>
      </c>
      <c r="D290" s="84" t="n"/>
      <c r="E290" s="89" t="n"/>
      <c r="F290" s="90" t="n"/>
      <c r="G290" s="91" t="n"/>
      <c r="H290" s="91" t="n"/>
      <c r="I290" s="92" t="n"/>
      <c r="J290" s="91" t="n"/>
      <c r="K290" s="89" t="n"/>
      <c r="L290" s="89">
        <f>IF(COUNT(E290,G290,H290,I290,J290,K290)=0,"",ROUND((IF(E290="",0,E290*10)+IF(G290="",0,G290)+IF(H290="",0,H290)+IF(I290="",0,I290*20)+IF(J290="",0,J290)+IF(K290="",0,K290*10))/COUNT(E290,G290,H290,I290,J290,K290),1))</f>
        <v/>
      </c>
      <c r="M290" s="83">
        <f>IF(L290="","",IF(L290&gt;=85,"Excellent",IF(L290&gt;=70,"Good",IF(L290&gt;=55,"Mixed","Poor"))))</f>
        <v/>
      </c>
      <c r="N290" s="96" t="n"/>
      <c r="O290" s="83" t="inlineStr">
        <is>
          <t>https://www.imdb.com/find/?q=Southpaw+2015</t>
        </is>
      </c>
      <c r="P290" s="83" t="inlineStr">
        <is>
          <t>https://www.rottentomatoes.com/search?search=Southpaw</t>
        </is>
      </c>
      <c r="Q290" s="83" t="inlineStr">
        <is>
          <t>https://letterboxd.com/search/Southpaw/</t>
        </is>
      </c>
      <c r="R290" s="83" t="inlineStr">
        <is>
          <t>https://www.metacritic.com/search/Southpaw/</t>
        </is>
      </c>
    </row>
    <row r="291" ht="15.75" customHeight="1" s="108">
      <c r="A291" s="83" t="inlineStr">
        <is>
          <t>F0287</t>
        </is>
      </c>
      <c r="B291" s="83" t="inlineStr">
        <is>
          <t>Spider-Man</t>
        </is>
      </c>
      <c r="C291" s="88" t="inlineStr">
        <is>
          <t>2002</t>
        </is>
      </c>
      <c r="D291" s="84" t="n"/>
      <c r="E291" s="89" t="n"/>
      <c r="F291" s="90" t="n"/>
      <c r="G291" s="91" t="n"/>
      <c r="H291" s="91" t="n"/>
      <c r="I291" s="92" t="n"/>
      <c r="J291" s="91" t="n"/>
      <c r="K291" s="89" t="n"/>
      <c r="L291" s="89">
        <f>IF(COUNT(E291,G291,H291,I291,J291,K291)=0,"",ROUND((IF(E291="",0,E291*10)+IF(G291="",0,G291)+IF(H291="",0,H291)+IF(I291="",0,I291*20)+IF(J291="",0,J291)+IF(K291="",0,K291*10))/COUNT(E291,G291,H291,I291,J291,K291),1))</f>
        <v/>
      </c>
      <c r="M291" s="83">
        <f>IF(L291="","",IF(L291&gt;=85,"Excellent",IF(L291&gt;=70,"Good",IF(L291&gt;=55,"Mixed","Poor"))))</f>
        <v/>
      </c>
      <c r="N291" s="96" t="n"/>
      <c r="O291" s="83" t="inlineStr">
        <is>
          <t>https://www.imdb.com/find/?q=Spider-Man+2002</t>
        </is>
      </c>
      <c r="P291" s="83" t="inlineStr">
        <is>
          <t>https://www.rottentomatoes.com/search?search=Spider-Man</t>
        </is>
      </c>
      <c r="Q291" s="83" t="inlineStr">
        <is>
          <t>https://letterboxd.com/search/Spider-Man/</t>
        </is>
      </c>
      <c r="R291" s="83" t="inlineStr">
        <is>
          <t>https://www.metacritic.com/search/Spider-Man/</t>
        </is>
      </c>
    </row>
    <row r="292" ht="15.75" customHeight="1" s="108">
      <c r="A292" s="83" t="inlineStr">
        <is>
          <t>F0288</t>
        </is>
      </c>
      <c r="B292" s="83" t="inlineStr">
        <is>
          <t>Spider-Man 2</t>
        </is>
      </c>
      <c r="C292" s="88" t="inlineStr">
        <is>
          <t>2004</t>
        </is>
      </c>
      <c r="D292" s="84" t="n"/>
      <c r="E292" s="89" t="n"/>
      <c r="F292" s="90" t="n"/>
      <c r="G292" s="91" t="n"/>
      <c r="H292" s="91" t="n"/>
      <c r="I292" s="92" t="n"/>
      <c r="J292" s="91" t="n"/>
      <c r="K292" s="89" t="n"/>
      <c r="L292" s="89">
        <f>IF(COUNT(E292,G292,H292,I292,J292,K292)=0,"",ROUND((IF(E292="",0,E292*10)+IF(G292="",0,G292)+IF(H292="",0,H292)+IF(I292="",0,I292*20)+IF(J292="",0,J292)+IF(K292="",0,K292*10))/COUNT(E292,G292,H292,I292,J292,K292),1))</f>
        <v/>
      </c>
      <c r="M292" s="83">
        <f>IF(L292="","",IF(L292&gt;=85,"Excellent",IF(L292&gt;=70,"Good",IF(L292&gt;=55,"Mixed","Poor"))))</f>
        <v/>
      </c>
      <c r="N292" s="96" t="n"/>
      <c r="O292" s="83" t="inlineStr">
        <is>
          <t>https://www.imdb.com/find/?q=Spider-Man+2+2004</t>
        </is>
      </c>
      <c r="P292" s="83" t="inlineStr">
        <is>
          <t>https://www.rottentomatoes.com/search?search=Spider-Man+2</t>
        </is>
      </c>
      <c r="Q292" s="83" t="inlineStr">
        <is>
          <t>https://letterboxd.com/search/Spider-Man%202/</t>
        </is>
      </c>
      <c r="R292" s="83" t="inlineStr">
        <is>
          <t>https://www.metacritic.com/search/Spider-Man+2/</t>
        </is>
      </c>
    </row>
    <row r="293" ht="15.75" customHeight="1" s="108">
      <c r="A293" s="83" t="inlineStr">
        <is>
          <t>F0289</t>
        </is>
      </c>
      <c r="B293" s="83" t="inlineStr">
        <is>
          <t>Spider-Man 3</t>
        </is>
      </c>
      <c r="C293" s="88" t="inlineStr">
        <is>
          <t>2007</t>
        </is>
      </c>
      <c r="D293" s="84" t="n"/>
      <c r="E293" s="89" t="n"/>
      <c r="F293" s="90" t="n"/>
      <c r="G293" s="91" t="n"/>
      <c r="H293" s="91" t="n"/>
      <c r="I293" s="92" t="n"/>
      <c r="J293" s="91" t="n"/>
      <c r="K293" s="89" t="n"/>
      <c r="L293" s="89">
        <f>IF(COUNT(E293,G293,H293,I293,J293,K293)=0,"",ROUND((IF(E293="",0,E293*10)+IF(G293="",0,G293)+IF(H293="",0,H293)+IF(I293="",0,I293*20)+IF(J293="",0,J293)+IF(K293="",0,K293*10))/COUNT(E293,G293,H293,I293,J293,K293),1))</f>
        <v/>
      </c>
      <c r="M293" s="83">
        <f>IF(L293="","",IF(L293&gt;=85,"Excellent",IF(L293&gt;=70,"Good",IF(L293&gt;=55,"Mixed","Poor"))))</f>
        <v/>
      </c>
      <c r="N293" s="96" t="n"/>
      <c r="O293" s="83" t="inlineStr">
        <is>
          <t>https://www.imdb.com/find/?q=Spider-Man+3+2007</t>
        </is>
      </c>
      <c r="P293" s="83" t="inlineStr">
        <is>
          <t>https://www.rottentomatoes.com/search?search=Spider-Man+3</t>
        </is>
      </c>
      <c r="Q293" s="83" t="inlineStr">
        <is>
          <t>https://letterboxd.com/search/Spider-Man%203/</t>
        </is>
      </c>
      <c r="R293" s="83" t="inlineStr">
        <is>
          <t>https://www.metacritic.com/search/Spider-Man+3/</t>
        </is>
      </c>
    </row>
    <row r="294" ht="15.75" customHeight="1" s="108">
      <c r="A294" s="83" t="inlineStr">
        <is>
          <t>F0290</t>
        </is>
      </c>
      <c r="B294" s="83" t="inlineStr">
        <is>
          <t>Spy</t>
        </is>
      </c>
      <c r="C294" s="88" t="inlineStr">
        <is>
          <t>2015</t>
        </is>
      </c>
      <c r="D294" s="84" t="n"/>
      <c r="E294" s="89" t="n"/>
      <c r="F294" s="90" t="n"/>
      <c r="G294" s="91" t="n"/>
      <c r="H294" s="91" t="n"/>
      <c r="I294" s="92" t="n"/>
      <c r="J294" s="91" t="n"/>
      <c r="K294" s="89" t="n"/>
      <c r="L294" s="89">
        <f>IF(COUNT(E294,G294,H294,I294,J294,K294)=0,"",ROUND((IF(E294="",0,E294*10)+IF(G294="",0,G294)+IF(H294="",0,H294)+IF(I294="",0,I294*20)+IF(J294="",0,J294)+IF(K294="",0,K294*10))/COUNT(E294,G294,H294,I294,J294,K294),1))</f>
        <v/>
      </c>
      <c r="M294" s="83">
        <f>IF(L294="","",IF(L294&gt;=85,"Excellent",IF(L294&gt;=70,"Good",IF(L294&gt;=55,"Mixed","Poor"))))</f>
        <v/>
      </c>
      <c r="N294" s="96" t="n"/>
      <c r="O294" s="83" t="inlineStr">
        <is>
          <t>https://www.imdb.com/find/?q=Spy+2015</t>
        </is>
      </c>
      <c r="P294" s="83" t="inlineStr">
        <is>
          <t>https://www.rottentomatoes.com/search?search=Spy</t>
        </is>
      </c>
      <c r="Q294" s="83" t="inlineStr">
        <is>
          <t>https://letterboxd.com/search/Spy/</t>
        </is>
      </c>
      <c r="R294" s="83" t="inlineStr">
        <is>
          <t>https://www.metacritic.com/search/Spy/</t>
        </is>
      </c>
    </row>
    <row r="295" ht="15.75" customHeight="1" s="108">
      <c r="A295" s="83" t="inlineStr">
        <is>
          <t>F0291</t>
        </is>
      </c>
      <c r="B295" s="83" t="inlineStr">
        <is>
          <t>Star Trek</t>
        </is>
      </c>
      <c r="C295" s="88" t="inlineStr">
        <is>
          <t>2009</t>
        </is>
      </c>
      <c r="D295" s="84" t="n"/>
      <c r="E295" s="89" t="n"/>
      <c r="F295" s="90" t="n"/>
      <c r="G295" s="91" t="n"/>
      <c r="H295" s="91" t="n"/>
      <c r="I295" s="92" t="n"/>
      <c r="J295" s="91" t="n"/>
      <c r="K295" s="89" t="n"/>
      <c r="L295" s="89">
        <f>IF(COUNT(E295,G295,H295,I295,J295,K295)=0,"",ROUND((IF(E295="",0,E295*10)+IF(G295="",0,G295)+IF(H295="",0,H295)+IF(I295="",0,I295*20)+IF(J295="",0,J295)+IF(K295="",0,K295*10))/COUNT(E295,G295,H295,I295,J295,K295),1))</f>
        <v/>
      </c>
      <c r="M295" s="83">
        <f>IF(L295="","",IF(L295&gt;=85,"Excellent",IF(L295&gt;=70,"Good",IF(L295&gt;=55,"Mixed","Poor"))))</f>
        <v/>
      </c>
      <c r="N295" s="96" t="n"/>
      <c r="O295" s="83" t="inlineStr">
        <is>
          <t>https://www.imdb.com/find/?q=Star+Trek+2009</t>
        </is>
      </c>
      <c r="P295" s="83" t="inlineStr">
        <is>
          <t>https://www.rottentomatoes.com/search?search=Star+Trek</t>
        </is>
      </c>
      <c r="Q295" s="83" t="inlineStr">
        <is>
          <t>https://letterboxd.com/search/Star%20Trek/</t>
        </is>
      </c>
      <c r="R295" s="83" t="inlineStr">
        <is>
          <t>https://www.metacritic.com/search/Star+Trek/</t>
        </is>
      </c>
    </row>
    <row r="296" ht="15.75" customHeight="1" s="108">
      <c r="A296" s="83" t="inlineStr">
        <is>
          <t>F0292</t>
        </is>
      </c>
      <c r="B296" s="83" t="inlineStr">
        <is>
          <t>Star Wars: Episode I – The Phantom Menace</t>
        </is>
      </c>
      <c r="C296" s="88" t="inlineStr">
        <is>
          <t>1999</t>
        </is>
      </c>
      <c r="D296" s="84" t="n"/>
      <c r="E296" s="89" t="n"/>
      <c r="F296" s="90" t="n"/>
      <c r="G296" s="91" t="n"/>
      <c r="H296" s="91" t="n"/>
      <c r="I296" s="92" t="n"/>
      <c r="J296" s="91" t="n"/>
      <c r="K296" s="89" t="n"/>
      <c r="L296" s="89">
        <f>IF(COUNT(E296,G296,H296,I296,J296,K296)=0,"",ROUND((IF(E296="",0,E296*10)+IF(G296="",0,G296)+IF(H296="",0,H296)+IF(I296="",0,I296*20)+IF(J296="",0,J296)+IF(K296="",0,K296*10))/COUNT(E296,G296,H296,I296,J296,K296),1))</f>
        <v/>
      </c>
      <c r="M296" s="83">
        <f>IF(L296="","",IF(L296&gt;=85,"Excellent",IF(L296&gt;=70,"Good",IF(L296&gt;=55,"Mixed","Poor"))))</f>
        <v/>
      </c>
      <c r="N296" s="96" t="n"/>
      <c r="O296" s="83" t="inlineStr">
        <is>
          <t>https://www.imdb.com/find/?q=Star+Wars%3A+Episode+I+%E2%80%93+The+Phantom+Menace+1999</t>
        </is>
      </c>
      <c r="P296" s="83" t="inlineStr">
        <is>
          <t>https://www.rottentomatoes.com/search?search=Star+Wars%3A+Episode+I+%E2%80%93+The+Phantom+Menace</t>
        </is>
      </c>
      <c r="Q296" s="83" t="inlineStr">
        <is>
          <t>https://letterboxd.com/search/Star%20Wars%3A%20Episode%20I%20%E2%80%93%20The%20Phantom%20Menace/</t>
        </is>
      </c>
      <c r="R296" s="83" t="inlineStr">
        <is>
          <t>https://www.metacritic.com/search/Star+Wars%3A+Episode+I+%E2%80%93+The+Phantom+Menace/</t>
        </is>
      </c>
    </row>
    <row r="297" ht="15.75" customHeight="1" s="108">
      <c r="A297" s="83" t="inlineStr">
        <is>
          <t>F0293</t>
        </is>
      </c>
      <c r="B297" s="83" t="inlineStr">
        <is>
          <t>Star Wars: Episode II – Attack of the Clones</t>
        </is>
      </c>
      <c r="C297" s="88" t="inlineStr">
        <is>
          <t>2002</t>
        </is>
      </c>
      <c r="D297" s="84" t="n"/>
      <c r="E297" s="89" t="n"/>
      <c r="F297" s="90" t="n"/>
      <c r="G297" s="91" t="n"/>
      <c r="H297" s="91" t="n"/>
      <c r="I297" s="92" t="n"/>
      <c r="J297" s="91" t="n"/>
      <c r="K297" s="89" t="n"/>
      <c r="L297" s="89">
        <f>IF(COUNT(E297,G297,H297,I297,J297,K297)=0,"",ROUND((IF(E297="",0,E297*10)+IF(G297="",0,G297)+IF(H297="",0,H297)+IF(I297="",0,I297*20)+IF(J297="",0,J297)+IF(K297="",0,K297*10))/COUNT(E297,G297,H297,I297,J297,K297),1))</f>
        <v/>
      </c>
      <c r="M297" s="83">
        <f>IF(L297="","",IF(L297&gt;=85,"Excellent",IF(L297&gt;=70,"Good",IF(L297&gt;=55,"Mixed","Poor"))))</f>
        <v/>
      </c>
      <c r="N297" s="96" t="n"/>
      <c r="O297" s="83" t="inlineStr">
        <is>
          <t>https://www.imdb.com/find/?q=Star+Wars%3A+Episode+II+%E2%80%93+Attack+of+the+Clones+2002</t>
        </is>
      </c>
      <c r="P297" s="83" t="inlineStr">
        <is>
          <t>https://www.rottentomatoes.com/search?search=Star+Wars%3A+Episode+II+%E2%80%93+Attack+of+the+Clones</t>
        </is>
      </c>
      <c r="Q297" s="83" t="inlineStr">
        <is>
          <t>https://letterboxd.com/search/Star%20Wars%3A%20Episode%20II%20%E2%80%93%20Attack%20of%20the%20Clones/</t>
        </is>
      </c>
      <c r="R297" s="83" t="inlineStr">
        <is>
          <t>https://www.metacritic.com/search/Star+Wars%3A+Episode+II+%E2%80%93+Attack+of+the+Clones/</t>
        </is>
      </c>
    </row>
    <row r="298" ht="15.75" customHeight="1" s="108">
      <c r="A298" s="83" t="inlineStr">
        <is>
          <t>F0294</t>
        </is>
      </c>
      <c r="B298" s="83" t="inlineStr">
        <is>
          <t>Star Wars: Episode III – Revenge of the Sith</t>
        </is>
      </c>
      <c r="C298" s="88" t="inlineStr">
        <is>
          <t>2005</t>
        </is>
      </c>
      <c r="D298" s="84" t="n"/>
      <c r="E298" s="89" t="n"/>
      <c r="F298" s="90" t="n"/>
      <c r="G298" s="91" t="n"/>
      <c r="H298" s="91" t="n"/>
      <c r="I298" s="92" t="n"/>
      <c r="J298" s="91" t="n"/>
      <c r="K298" s="89" t="n"/>
      <c r="L298" s="89">
        <f>IF(COUNT(E298,G298,H298,I298,J298,K298)=0,"",ROUND((IF(E298="",0,E298*10)+IF(G298="",0,G298)+IF(H298="",0,H298)+IF(I298="",0,I298*20)+IF(J298="",0,J298)+IF(K298="",0,K298*10))/COUNT(E298,G298,H298,I298,J298,K298),1))</f>
        <v/>
      </c>
      <c r="M298" s="83">
        <f>IF(L298="","",IF(L298&gt;=85,"Excellent",IF(L298&gt;=70,"Good",IF(L298&gt;=55,"Mixed","Poor"))))</f>
        <v/>
      </c>
      <c r="N298" s="96" t="n"/>
      <c r="O298" s="83" t="inlineStr">
        <is>
          <t>https://www.imdb.com/find/?q=Star+Wars%3A+Episode+III+%E2%80%93+Revenge+of+the+Sith+2005</t>
        </is>
      </c>
      <c r="P298" s="83" t="inlineStr">
        <is>
          <t>https://www.rottentomatoes.com/search?search=Star+Wars%3A+Episode+III+%E2%80%93+Revenge+of+the+Sith</t>
        </is>
      </c>
      <c r="Q298" s="83" t="inlineStr">
        <is>
          <t>https://letterboxd.com/search/Star%20Wars%3A%20Episode%20III%20%E2%80%93%20Revenge%20of%20the%20Sith/</t>
        </is>
      </c>
      <c r="R298" s="83" t="inlineStr">
        <is>
          <t>https://www.metacritic.com/search/Star+Wars%3A+Episode+III+%E2%80%93+Revenge+of+the+Sith/</t>
        </is>
      </c>
    </row>
    <row r="299" ht="15.75" customHeight="1" s="108">
      <c r="A299" s="83" t="inlineStr">
        <is>
          <t>F0295</t>
        </is>
      </c>
      <c r="B299" s="83" t="inlineStr">
        <is>
          <t>Star Wars: Episode IV – A New Hope</t>
        </is>
      </c>
      <c r="C299" s="88" t="inlineStr">
        <is>
          <t>1977</t>
        </is>
      </c>
      <c r="D299" s="84" t="n"/>
      <c r="E299" s="89" t="n"/>
      <c r="F299" s="90" t="n"/>
      <c r="G299" s="91" t="n"/>
      <c r="H299" s="91" t="n"/>
      <c r="I299" s="92" t="n"/>
      <c r="J299" s="91" t="n"/>
      <c r="K299" s="89" t="n"/>
      <c r="L299" s="89">
        <f>IF(COUNT(E299,G299,H299,I299,J299,K299)=0,"",ROUND((IF(E299="",0,E299*10)+IF(G299="",0,G299)+IF(H299="",0,H299)+IF(I299="",0,I299*20)+IF(J299="",0,J299)+IF(K299="",0,K299*10))/COUNT(E299,G299,H299,I299,J299,K299),1))</f>
        <v/>
      </c>
      <c r="M299" s="83">
        <f>IF(L299="","",IF(L299&gt;=85,"Excellent",IF(L299&gt;=70,"Good",IF(L299&gt;=55,"Mixed","Poor"))))</f>
        <v/>
      </c>
      <c r="N299" s="96" t="n"/>
      <c r="O299" s="83" t="inlineStr">
        <is>
          <t>https://www.imdb.com/find/?q=Star+Wars%3A+Episode+IV+%E2%80%93+A+New+Hope+1977</t>
        </is>
      </c>
      <c r="P299" s="83" t="inlineStr">
        <is>
          <t>https://www.rottentomatoes.com/search?search=Star+Wars%3A+Episode+IV+%E2%80%93+A+New+Hope</t>
        </is>
      </c>
      <c r="Q299" s="83" t="inlineStr">
        <is>
          <t>https://letterboxd.com/search/Star%20Wars%3A%20Episode%20IV%20%E2%80%93%20A%20New%20Hope/</t>
        </is>
      </c>
      <c r="R299" s="83" t="inlineStr">
        <is>
          <t>https://www.metacritic.com/search/Star+Wars%3A+Episode+IV+%E2%80%93+A+New+Hope/</t>
        </is>
      </c>
    </row>
    <row r="300" ht="15.75" customHeight="1" s="108">
      <c r="A300" s="83" t="inlineStr">
        <is>
          <t>F0296</t>
        </is>
      </c>
      <c r="B300" s="83" t="inlineStr">
        <is>
          <t>Star Wars: Episode V – The Empire Strikes Back</t>
        </is>
      </c>
      <c r="C300" s="88" t="inlineStr">
        <is>
          <t>1980</t>
        </is>
      </c>
      <c r="D300" s="84" t="n"/>
      <c r="E300" s="89" t="n"/>
      <c r="F300" s="90" t="n"/>
      <c r="G300" s="91" t="n"/>
      <c r="H300" s="91" t="n"/>
      <c r="I300" s="92" t="n"/>
      <c r="J300" s="91" t="n"/>
      <c r="K300" s="89" t="n"/>
      <c r="L300" s="89">
        <f>IF(COUNT(E300,G300,H300,I300,J300,K300)=0,"",ROUND((IF(E300="",0,E300*10)+IF(G300="",0,G300)+IF(H300="",0,H300)+IF(I300="",0,I300*20)+IF(J300="",0,J300)+IF(K300="",0,K300*10))/COUNT(E300,G300,H300,I300,J300,K300),1))</f>
        <v/>
      </c>
      <c r="M300" s="83">
        <f>IF(L300="","",IF(L300&gt;=85,"Excellent",IF(L300&gt;=70,"Good",IF(L300&gt;=55,"Mixed","Poor"))))</f>
        <v/>
      </c>
      <c r="N300" s="96" t="n"/>
      <c r="O300" s="83" t="inlineStr">
        <is>
          <t>https://www.imdb.com/find/?q=Star+Wars%3A+Episode+V+%E2%80%93+The+Empire+Strikes+Back+1980</t>
        </is>
      </c>
      <c r="P300" s="83" t="inlineStr">
        <is>
          <t>https://www.rottentomatoes.com/search?search=Star+Wars%3A+Episode+V+%E2%80%93+The+Empire+Strikes+Back</t>
        </is>
      </c>
      <c r="Q300" s="83" t="inlineStr">
        <is>
          <t>https://letterboxd.com/search/Star%20Wars%3A%20Episode%20V%20%E2%80%93%20The%20Empire%20Strikes%20Back/</t>
        </is>
      </c>
      <c r="R300" s="83" t="inlineStr">
        <is>
          <t>https://www.metacritic.com/search/Star+Wars%3A+Episode+V+%E2%80%93+The+Empire+Strikes+Back/</t>
        </is>
      </c>
    </row>
    <row r="301" ht="15.75" customHeight="1" s="108">
      <c r="A301" s="83" t="inlineStr">
        <is>
          <t>F0297</t>
        </is>
      </c>
      <c r="B301" s="83" t="inlineStr">
        <is>
          <t>Star Wars: Episode VI – Return of the Jedi</t>
        </is>
      </c>
      <c r="C301" s="88" t="inlineStr">
        <is>
          <t>1983</t>
        </is>
      </c>
      <c r="D301" s="84" t="n"/>
      <c r="E301" s="89" t="n"/>
      <c r="F301" s="90" t="n"/>
      <c r="G301" s="91" t="n"/>
      <c r="H301" s="91" t="n"/>
      <c r="I301" s="92" t="n"/>
      <c r="J301" s="91" t="n"/>
      <c r="K301" s="89" t="n"/>
      <c r="L301" s="89">
        <f>IF(COUNT(E301,G301,H301,I301,J301,K301)=0,"",ROUND((IF(E301="",0,E301*10)+IF(G301="",0,G301)+IF(H301="",0,H301)+IF(I301="",0,I301*20)+IF(J301="",0,J301)+IF(K301="",0,K301*10))/COUNT(E301,G301,H301,I301,J301,K301),1))</f>
        <v/>
      </c>
      <c r="M301" s="83">
        <f>IF(L301="","",IF(L301&gt;=85,"Excellent",IF(L301&gt;=70,"Good",IF(L301&gt;=55,"Mixed","Poor"))))</f>
        <v/>
      </c>
      <c r="N301" s="96" t="n"/>
      <c r="O301" s="83" t="inlineStr">
        <is>
          <t>https://www.imdb.com/find/?q=Star+Wars%3A+Episode+VI+%E2%80%93+Return+of+the+Jedi+1983</t>
        </is>
      </c>
      <c r="P301" s="83" t="inlineStr">
        <is>
          <t>https://www.rottentomatoes.com/search?search=Star+Wars%3A+Episode+VI+%E2%80%93+Return+of+the+Jedi</t>
        </is>
      </c>
      <c r="Q301" s="83" t="inlineStr">
        <is>
          <t>https://letterboxd.com/search/Star%20Wars%3A%20Episode%20VI%20%E2%80%93%20Return%20of%20the%20Jedi/</t>
        </is>
      </c>
      <c r="R301" s="83" t="inlineStr">
        <is>
          <t>https://www.metacritic.com/search/Star+Wars%3A+Episode+VI+%E2%80%93+Return+of+the+Jedi/</t>
        </is>
      </c>
    </row>
    <row r="302" ht="15.75" customHeight="1" s="108">
      <c r="A302" s="83" t="inlineStr">
        <is>
          <t>F0298</t>
        </is>
      </c>
      <c r="B302" s="83" t="inlineStr">
        <is>
          <t>Star Wars: The Force Awakens</t>
        </is>
      </c>
      <c r="C302" s="88" t="inlineStr">
        <is>
          <t>2015</t>
        </is>
      </c>
      <c r="D302" s="84" t="n"/>
      <c r="E302" s="89" t="n"/>
      <c r="F302" s="90" t="n"/>
      <c r="G302" s="91" t="n"/>
      <c r="H302" s="91" t="n"/>
      <c r="I302" s="92" t="n"/>
      <c r="J302" s="91" t="n"/>
      <c r="K302" s="89" t="n"/>
      <c r="L302" s="89">
        <f>IF(COUNT(E302,G302,H302,I302,J302,K302)=0,"",ROUND((IF(E302="",0,E302*10)+IF(G302="",0,G302)+IF(H302="",0,H302)+IF(I302="",0,I302*20)+IF(J302="",0,J302)+IF(K302="",0,K302*10))/COUNT(E302,G302,H302,I302,J302,K302),1))</f>
        <v/>
      </c>
      <c r="M302" s="83">
        <f>IF(L302="","",IF(L302&gt;=85,"Excellent",IF(L302&gt;=70,"Good",IF(L302&gt;=55,"Mixed","Poor"))))</f>
        <v/>
      </c>
      <c r="N302" s="96" t="n"/>
      <c r="O302" s="83" t="inlineStr">
        <is>
          <t>https://www.imdb.com/find/?q=Star+Wars%3A+The+Force+Awakens+2015</t>
        </is>
      </c>
      <c r="P302" s="83" t="inlineStr">
        <is>
          <t>https://www.rottentomatoes.com/search?search=Star+Wars%3A+The+Force+Awakens</t>
        </is>
      </c>
      <c r="Q302" s="83" t="inlineStr">
        <is>
          <t>https://letterboxd.com/search/Star%20Wars%3A%20The%20Force%20Awakens/</t>
        </is>
      </c>
      <c r="R302" s="83" t="inlineStr">
        <is>
          <t>https://www.metacritic.com/search/Star+Wars%3A+The+Force+Awakens/</t>
        </is>
      </c>
    </row>
    <row r="303" ht="15.75" customHeight="1" s="108">
      <c r="A303" s="83" t="inlineStr">
        <is>
          <t>F0299</t>
        </is>
      </c>
      <c r="B303" s="83" t="inlineStr">
        <is>
          <t>Star Wars: The Last Jedi</t>
        </is>
      </c>
      <c r="C303" s="88" t="inlineStr">
        <is>
          <t>2017</t>
        </is>
      </c>
      <c r="D303" s="84" t="n"/>
      <c r="E303" s="89" t="n"/>
      <c r="F303" s="90" t="n"/>
      <c r="G303" s="91" t="n"/>
      <c r="H303" s="91" t="n"/>
      <c r="I303" s="92" t="n"/>
      <c r="J303" s="91" t="n"/>
      <c r="K303" s="89" t="n"/>
      <c r="L303" s="89">
        <f>IF(COUNT(E303,G303,H303,I303,J303,K303)=0,"",ROUND((IF(E303="",0,E303*10)+IF(G303="",0,G303)+IF(H303="",0,H303)+IF(I303="",0,I303*20)+IF(J303="",0,J303)+IF(K303="",0,K303*10))/COUNT(E303,G303,H303,I303,J303,K303),1))</f>
        <v/>
      </c>
      <c r="M303" s="83">
        <f>IF(L303="","",IF(L303&gt;=85,"Excellent",IF(L303&gt;=70,"Good",IF(L303&gt;=55,"Mixed","Poor"))))</f>
        <v/>
      </c>
      <c r="N303" s="96" t="n"/>
      <c r="O303" s="83" t="inlineStr">
        <is>
          <t>https://www.imdb.com/find/?q=Star+Wars%3A+The+Last+Jedi+2017</t>
        </is>
      </c>
      <c r="P303" s="83" t="inlineStr">
        <is>
          <t>https://www.rottentomatoes.com/search?search=Star+Wars%3A+The+Last+Jedi</t>
        </is>
      </c>
      <c r="Q303" s="83" t="inlineStr">
        <is>
          <t>https://letterboxd.com/search/Star%20Wars%3A%20The%20Last%20Jedi/</t>
        </is>
      </c>
      <c r="R303" s="83" t="inlineStr">
        <is>
          <t>https://www.metacritic.com/search/Star+Wars%3A+The+Last+Jedi/</t>
        </is>
      </c>
    </row>
    <row r="304" ht="15.75" customHeight="1" s="108">
      <c r="A304" s="83" t="inlineStr">
        <is>
          <t>F0300</t>
        </is>
      </c>
      <c r="B304" s="83" t="inlineStr">
        <is>
          <t>Star Wars: The Rise of Skywalker</t>
        </is>
      </c>
      <c r="C304" s="88" t="inlineStr">
        <is>
          <t>2019</t>
        </is>
      </c>
      <c r="D304" s="84" t="n"/>
      <c r="E304" s="89" t="n"/>
      <c r="F304" s="90" t="n"/>
      <c r="G304" s="91" t="n"/>
      <c r="H304" s="91" t="n"/>
      <c r="I304" s="92" t="n"/>
      <c r="J304" s="91" t="n"/>
      <c r="K304" s="89" t="n"/>
      <c r="L304" s="89">
        <f>IF(COUNT(E304,G304,H304,I304,J304,K304)=0,"",ROUND((IF(E304="",0,E304*10)+IF(G304="",0,G304)+IF(H304="",0,H304)+IF(I304="",0,I304*20)+IF(J304="",0,J304)+IF(K304="",0,K304*10))/COUNT(E304,G304,H304,I304,J304,K304),1))</f>
        <v/>
      </c>
      <c r="M304" s="83">
        <f>IF(L304="","",IF(L304&gt;=85,"Excellent",IF(L304&gt;=70,"Good",IF(L304&gt;=55,"Mixed","Poor"))))</f>
        <v/>
      </c>
      <c r="N304" s="96" t="n"/>
      <c r="O304" s="83" t="inlineStr">
        <is>
          <t>https://www.imdb.com/find/?q=Star+Wars%3A+The+Rise+of+Skywalker+2019</t>
        </is>
      </c>
      <c r="P304" s="83" t="inlineStr">
        <is>
          <t>https://www.rottentomatoes.com/search?search=Star+Wars%3A+The+Rise+of+Skywalker</t>
        </is>
      </c>
      <c r="Q304" s="83" t="inlineStr">
        <is>
          <t>https://letterboxd.com/search/Star%20Wars%3A%20The%20Rise%20of%20Skywalker/</t>
        </is>
      </c>
      <c r="R304" s="83" t="inlineStr">
        <is>
          <t>https://www.metacritic.com/search/Star+Wars%3A+The+Rise+of+Skywalker/</t>
        </is>
      </c>
    </row>
    <row r="305" ht="15.75" customHeight="1" s="108">
      <c r="A305" s="83" t="inlineStr">
        <is>
          <t>F0301</t>
        </is>
      </c>
      <c r="B305" s="83" t="inlineStr">
        <is>
          <t>Straight Outta Compton</t>
        </is>
      </c>
      <c r="C305" s="88" t="inlineStr">
        <is>
          <t>2015</t>
        </is>
      </c>
      <c r="D305" s="84" t="n"/>
      <c r="E305" s="89" t="n"/>
      <c r="F305" s="90" t="n"/>
      <c r="G305" s="91" t="n"/>
      <c r="H305" s="91" t="n"/>
      <c r="I305" s="92" t="n"/>
      <c r="J305" s="91" t="n"/>
      <c r="K305" s="89" t="n"/>
      <c r="L305" s="89">
        <f>IF(COUNT(E305,G305,H305,I305,J305,K305)=0,"",ROUND((IF(E305="",0,E305*10)+IF(G305="",0,G305)+IF(H305="",0,H305)+IF(I305="",0,I305*20)+IF(J305="",0,J305)+IF(K305="",0,K305*10))/COUNT(E305,G305,H305,I305,J305,K305),1))</f>
        <v/>
      </c>
      <c r="M305" s="83">
        <f>IF(L305="","",IF(L305&gt;=85,"Excellent",IF(L305&gt;=70,"Good",IF(L305&gt;=55,"Mixed","Poor"))))</f>
        <v/>
      </c>
      <c r="N305" s="96" t="n"/>
      <c r="O305" s="83" t="inlineStr">
        <is>
          <t>https://www.imdb.com/find/?q=Straight+Outta+Compton+2015</t>
        </is>
      </c>
      <c r="P305" s="83" t="inlineStr">
        <is>
          <t>https://www.rottentomatoes.com/search?search=Straight+Outta+Compton</t>
        </is>
      </c>
      <c r="Q305" s="83" t="inlineStr">
        <is>
          <t>https://letterboxd.com/search/Straight%20Outta%20Compton/</t>
        </is>
      </c>
      <c r="R305" s="83" t="inlineStr">
        <is>
          <t>https://www.metacritic.com/search/Straight+Outta+Compton/</t>
        </is>
      </c>
    </row>
    <row r="306" ht="15.75" customHeight="1" s="108">
      <c r="A306" s="83" t="inlineStr">
        <is>
          <t>F0302</t>
        </is>
      </c>
      <c r="B306" s="83" t="inlineStr">
        <is>
          <t>Super 8</t>
        </is>
      </c>
      <c r="C306" s="88" t="inlineStr">
        <is>
          <t>2011</t>
        </is>
      </c>
      <c r="D306" s="84" t="n"/>
      <c r="E306" s="89" t="n"/>
      <c r="F306" s="90" t="n"/>
      <c r="G306" s="91" t="n"/>
      <c r="H306" s="91" t="n"/>
      <c r="I306" s="92" t="n"/>
      <c r="J306" s="91" t="n"/>
      <c r="K306" s="89" t="n"/>
      <c r="L306" s="89">
        <f>IF(COUNT(E306,G306,H306,I306,J306,K306)=0,"",ROUND((IF(E306="",0,E306*10)+IF(G306="",0,G306)+IF(H306="",0,H306)+IF(I306="",0,I306*20)+IF(J306="",0,J306)+IF(K306="",0,K306*10))/COUNT(E306,G306,H306,I306,J306,K306),1))</f>
        <v/>
      </c>
      <c r="M306" s="83">
        <f>IF(L306="","",IF(L306&gt;=85,"Excellent",IF(L306&gt;=70,"Good",IF(L306&gt;=55,"Mixed","Poor"))))</f>
        <v/>
      </c>
      <c r="N306" s="96" t="n"/>
      <c r="O306" s="83" t="inlineStr">
        <is>
          <t>https://www.imdb.com/find/?q=Super+8+2011</t>
        </is>
      </c>
      <c r="P306" s="83" t="inlineStr">
        <is>
          <t>https://www.rottentomatoes.com/search?search=Super+8</t>
        </is>
      </c>
      <c r="Q306" s="83" t="inlineStr">
        <is>
          <t>https://letterboxd.com/search/Super%208/</t>
        </is>
      </c>
      <c r="R306" s="83" t="inlineStr">
        <is>
          <t>https://www.metacritic.com/search/Super+8/</t>
        </is>
      </c>
    </row>
    <row r="307" ht="15.75" customHeight="1" s="108">
      <c r="A307" s="83" t="inlineStr">
        <is>
          <t>F0303</t>
        </is>
      </c>
      <c r="B307" s="83" t="inlineStr">
        <is>
          <t>Superbad</t>
        </is>
      </c>
      <c r="C307" s="88" t="inlineStr">
        <is>
          <t>2007</t>
        </is>
      </c>
      <c r="D307" s="84" t="n">
        <v>3</v>
      </c>
      <c r="E307" s="89" t="n"/>
      <c r="F307" s="90" t="n"/>
      <c r="G307" s="91" t="n"/>
      <c r="H307" s="91" t="n"/>
      <c r="I307" s="92" t="n"/>
      <c r="J307" s="91" t="n"/>
      <c r="K307" s="89" t="n"/>
      <c r="L307" s="89">
        <f>IF(COUNT(E307,G307,H307,I307,J307,K307)=0,"",ROUND((IF(E307="",0,E307*10)+IF(G307="",0,G307)+IF(H307="",0,H307)+IF(I307="",0,I307*20)+IF(J307="",0,J307)+IF(K307="",0,K307*10))/COUNT(E307,G307,H307,I307,J307,K307),1))</f>
        <v/>
      </c>
      <c r="M307" s="83">
        <f>IF(L307="","",IF(L307&gt;=85,"Excellent",IF(L307&gt;=70,"Good",IF(L307&gt;=55,"Mixed","Poor"))))</f>
        <v/>
      </c>
      <c r="N307" s="96" t="n"/>
      <c r="O307" s="83" t="inlineStr">
        <is>
          <t>https://www.imdb.com/find/?q=Superbad+2007</t>
        </is>
      </c>
      <c r="P307" s="83" t="inlineStr">
        <is>
          <t>https://www.rottentomatoes.com/search?search=Superbad</t>
        </is>
      </c>
      <c r="Q307" s="83" t="inlineStr">
        <is>
          <t>https://letterboxd.com/search/Superbad/</t>
        </is>
      </c>
      <c r="R307" s="83" t="inlineStr">
        <is>
          <t>https://www.metacritic.com/search/Superbad/</t>
        </is>
      </c>
    </row>
    <row r="308" ht="15.75" customHeight="1" s="108">
      <c r="A308" s="83" t="inlineStr">
        <is>
          <t>F0304</t>
        </is>
      </c>
      <c r="B308" s="83" t="inlineStr">
        <is>
          <t>Superman</t>
        </is>
      </c>
      <c r="C308" s="88" t="inlineStr">
        <is>
          <t>2025</t>
        </is>
      </c>
      <c r="D308" s="84" t="n"/>
      <c r="E308" s="89" t="n"/>
      <c r="F308" s="90" t="n"/>
      <c r="G308" s="91" t="n"/>
      <c r="H308" s="91" t="n"/>
      <c r="I308" s="92" t="n"/>
      <c r="J308" s="91" t="n"/>
      <c r="K308" s="89" t="n"/>
      <c r="L308" s="89">
        <f>IF(COUNT(E308,G308,H308,I308,J308,K308)=0,"",ROUND((IF(E308="",0,E308*10)+IF(G308="",0,G308)+IF(H308="",0,H308)+IF(I308="",0,I308*20)+IF(J308="",0,J308)+IF(K308="",0,K308*10))/COUNT(E308,G308,H308,I308,J308,K308),1))</f>
        <v/>
      </c>
      <c r="M308" s="83">
        <f>IF(L308="","",IF(L308&gt;=85,"Excellent",IF(L308&gt;=70,"Good",IF(L308&gt;=55,"Mixed","Poor"))))</f>
        <v/>
      </c>
      <c r="N308" s="96" t="n"/>
      <c r="O308" s="83" t="inlineStr">
        <is>
          <t>https://www.imdb.com/find/?q=Superman+2025</t>
        </is>
      </c>
      <c r="P308" s="83" t="inlineStr">
        <is>
          <t>https://www.rottentomatoes.com/search?search=Superman</t>
        </is>
      </c>
      <c r="Q308" s="83" t="inlineStr">
        <is>
          <t>https://letterboxd.com/search/Superman/</t>
        </is>
      </c>
      <c r="R308" s="83" t="inlineStr">
        <is>
          <t>https://www.metacritic.com/search/Superman/</t>
        </is>
      </c>
    </row>
    <row r="309" ht="15.75" customHeight="1" s="108">
      <c r="A309" s="83" t="inlineStr">
        <is>
          <t>F0305</t>
        </is>
      </c>
      <c r="B309" s="83" t="inlineStr">
        <is>
          <t>The Sweeney</t>
        </is>
      </c>
      <c r="C309" s="88" t="inlineStr">
        <is>
          <t>2012</t>
        </is>
      </c>
      <c r="D309" s="84" t="n"/>
      <c r="E309" s="89" t="n"/>
      <c r="F309" s="90" t="n"/>
      <c r="G309" s="91" t="n"/>
      <c r="H309" s="91" t="n"/>
      <c r="I309" s="92" t="n"/>
      <c r="J309" s="91" t="n"/>
      <c r="K309" s="89" t="n"/>
      <c r="L309" s="89">
        <f>IF(COUNT(E309,G309,H309,I309,J309,K309)=0,"",ROUND((IF(E309="",0,E309*10)+IF(G309="",0,G309)+IF(H309="",0,H309)+IF(I309="",0,I309*20)+IF(J309="",0,J309)+IF(K309="",0,K309*10))/COUNT(E309,G309,H309,I309,J309,K309),1))</f>
        <v/>
      </c>
      <c r="M309" s="83">
        <f>IF(L309="","",IF(L309&gt;=85,"Excellent",IF(L309&gt;=70,"Good",IF(L309&gt;=55,"Mixed","Poor"))))</f>
        <v/>
      </c>
      <c r="N309" s="96" t="n"/>
      <c r="O309" s="83" t="inlineStr">
        <is>
          <t>https://www.imdb.com/find/?q=The+Sweeney+2012</t>
        </is>
      </c>
      <c r="P309" s="83" t="inlineStr">
        <is>
          <t>https://www.rottentomatoes.com/search?search=The+Sweeney</t>
        </is>
      </c>
      <c r="Q309" s="83" t="inlineStr">
        <is>
          <t>https://letterboxd.com/search/The%20Sweeney/</t>
        </is>
      </c>
      <c r="R309" s="83" t="inlineStr">
        <is>
          <t>https://www.metacritic.com/search/The+Sweeney/</t>
        </is>
      </c>
    </row>
    <row r="310" ht="15.75" customHeight="1" s="108">
      <c r="A310" s="83" t="inlineStr">
        <is>
          <t>F0306</t>
        </is>
      </c>
      <c r="B310" s="83" t="inlineStr">
        <is>
          <t>Taken</t>
        </is>
      </c>
      <c r="C310" s="88" t="inlineStr">
        <is>
          <t>2008</t>
        </is>
      </c>
      <c r="D310" s="84" t="n"/>
      <c r="E310" s="89" t="n"/>
      <c r="F310" s="90" t="n"/>
      <c r="G310" s="91" t="n"/>
      <c r="H310" s="91" t="n"/>
      <c r="I310" s="92" t="n"/>
      <c r="J310" s="91" t="n"/>
      <c r="K310" s="89" t="n"/>
      <c r="L310" s="89">
        <f>IF(COUNT(E310,G310,H310,I310,J310,K310)=0,"",ROUND((IF(E310="",0,E310*10)+IF(G310="",0,G310)+IF(H310="",0,H310)+IF(I310="",0,I310*20)+IF(J310="",0,J310)+IF(K310="",0,K310*10))/COUNT(E310,G310,H310,I310,J310,K310),1))</f>
        <v/>
      </c>
      <c r="M310" s="83">
        <f>IF(L310="","",IF(L310&gt;=85,"Excellent",IF(L310&gt;=70,"Good",IF(L310&gt;=55,"Mixed","Poor"))))</f>
        <v/>
      </c>
      <c r="N310" s="96" t="n"/>
      <c r="O310" s="83" t="inlineStr">
        <is>
          <t>https://www.imdb.com/find/?q=Taken+2008</t>
        </is>
      </c>
      <c r="P310" s="83" t="inlineStr">
        <is>
          <t>https://www.rottentomatoes.com/search?search=Taken</t>
        </is>
      </c>
      <c r="Q310" s="83" t="inlineStr">
        <is>
          <t>https://letterboxd.com/search/Taken/</t>
        </is>
      </c>
      <c r="R310" s="83" t="inlineStr">
        <is>
          <t>https://www.metacritic.com/search/Taken/</t>
        </is>
      </c>
    </row>
    <row r="311" ht="15.75" customHeight="1" s="108">
      <c r="A311" s="83" t="inlineStr">
        <is>
          <t>F0307</t>
        </is>
      </c>
      <c r="B311" s="83" t="inlineStr">
        <is>
          <t>Taken 2</t>
        </is>
      </c>
      <c r="C311" s="88" t="inlineStr">
        <is>
          <t>2012</t>
        </is>
      </c>
      <c r="D311" s="84" t="n"/>
      <c r="E311" s="89" t="n"/>
      <c r="F311" s="90" t="n"/>
      <c r="G311" s="91" t="n"/>
      <c r="H311" s="91" t="n"/>
      <c r="I311" s="92" t="n"/>
      <c r="J311" s="91" t="n"/>
      <c r="K311" s="89" t="n"/>
      <c r="L311" s="89">
        <f>IF(COUNT(E311,G311,H311,I311,J311,K311)=0,"",ROUND((IF(E311="",0,E311*10)+IF(G311="",0,G311)+IF(H311="",0,H311)+IF(I311="",0,I311*20)+IF(J311="",0,J311)+IF(K311="",0,K311*10))/COUNT(E311,G311,H311,I311,J311,K311),1))</f>
        <v/>
      </c>
      <c r="M311" s="83">
        <f>IF(L311="","",IF(L311&gt;=85,"Excellent",IF(L311&gt;=70,"Good",IF(L311&gt;=55,"Mixed","Poor"))))</f>
        <v/>
      </c>
      <c r="N311" s="96" t="n"/>
      <c r="O311" s="83" t="inlineStr">
        <is>
          <t>https://www.imdb.com/find/?q=Taken+2+2012</t>
        </is>
      </c>
      <c r="P311" s="83" t="inlineStr">
        <is>
          <t>https://www.rottentomatoes.com/search?search=Taken+2</t>
        </is>
      </c>
      <c r="Q311" s="83" t="inlineStr">
        <is>
          <t>https://letterboxd.com/search/Taken%202/</t>
        </is>
      </c>
      <c r="R311" s="83" t="inlineStr">
        <is>
          <t>https://www.metacritic.com/search/Taken+2/</t>
        </is>
      </c>
    </row>
    <row r="312" ht="15.75" customHeight="1" s="108">
      <c r="A312" s="83" t="inlineStr">
        <is>
          <t>F0308</t>
        </is>
      </c>
      <c r="B312" s="83" t="inlineStr">
        <is>
          <t>Ted</t>
        </is>
      </c>
      <c r="C312" s="88" t="inlineStr">
        <is>
          <t>2012</t>
        </is>
      </c>
      <c r="D312" s="84" t="n"/>
      <c r="E312" s="89" t="n"/>
      <c r="F312" s="90" t="n"/>
      <c r="G312" s="91" t="n"/>
      <c r="H312" s="91" t="n"/>
      <c r="I312" s="92" t="n"/>
      <c r="J312" s="91" t="n"/>
      <c r="K312" s="89" t="n"/>
      <c r="L312" s="89">
        <f>IF(COUNT(E312,G312,H312,I312,J312,K312)=0,"",ROUND((IF(E312="",0,E312*10)+IF(G312="",0,G312)+IF(H312="",0,H312)+IF(I312="",0,I312*20)+IF(J312="",0,J312)+IF(K312="",0,K312*10))/COUNT(E312,G312,H312,I312,J312,K312),1))</f>
        <v/>
      </c>
      <c r="M312" s="83">
        <f>IF(L312="","",IF(L312&gt;=85,"Excellent",IF(L312&gt;=70,"Good",IF(L312&gt;=55,"Mixed","Poor"))))</f>
        <v/>
      </c>
      <c r="N312" s="96" t="n"/>
      <c r="O312" s="83" t="inlineStr">
        <is>
          <t>https://www.imdb.com/find/?q=Ted+2012</t>
        </is>
      </c>
      <c r="P312" s="83" t="inlineStr">
        <is>
          <t>https://www.rottentomatoes.com/search?search=Ted</t>
        </is>
      </c>
      <c r="Q312" s="83" t="inlineStr">
        <is>
          <t>https://letterboxd.com/search/Ted/</t>
        </is>
      </c>
      <c r="R312" s="83" t="inlineStr">
        <is>
          <t>https://www.metacritic.com/search/Ted/</t>
        </is>
      </c>
    </row>
    <row r="313" ht="15.75" customHeight="1" s="108">
      <c r="A313" s="83" t="inlineStr">
        <is>
          <t>F0309</t>
        </is>
      </c>
      <c r="B313" s="83" t="inlineStr">
        <is>
          <t>Teenage Mutant Ninja Turtles</t>
        </is>
      </c>
      <c r="C313" s="88" t="inlineStr">
        <is>
          <t>2014</t>
        </is>
      </c>
      <c r="D313" s="84" t="n"/>
      <c r="E313" s="89" t="n"/>
      <c r="F313" s="90" t="n"/>
      <c r="G313" s="91" t="n"/>
      <c r="H313" s="91" t="n"/>
      <c r="I313" s="92" t="n"/>
      <c r="J313" s="91" t="n"/>
      <c r="K313" s="89" t="n"/>
      <c r="L313" s="89">
        <f>IF(COUNT(E313,G313,H313,I313,J313,K313)=0,"",ROUND((IF(E313="",0,E313*10)+IF(G313="",0,G313)+IF(H313="",0,H313)+IF(I313="",0,I313*20)+IF(J313="",0,J313)+IF(K313="",0,K313*10))/COUNT(E313,G313,H313,I313,J313,K313),1))</f>
        <v/>
      </c>
      <c r="M313" s="83">
        <f>IF(L313="","",IF(L313&gt;=85,"Excellent",IF(L313&gt;=70,"Good",IF(L313&gt;=55,"Mixed","Poor"))))</f>
        <v/>
      </c>
      <c r="N313" s="96" t="n"/>
      <c r="O313" s="83" t="inlineStr">
        <is>
          <t>https://www.imdb.com/find/?q=Teenage+Mutant+Ninja+Turtles+2014</t>
        </is>
      </c>
      <c r="P313" s="83" t="inlineStr">
        <is>
          <t>https://www.rottentomatoes.com/search?search=Teenage+Mutant+Ninja+Turtles</t>
        </is>
      </c>
      <c r="Q313" s="83" t="inlineStr">
        <is>
          <t>https://letterboxd.com/search/Teenage%20Mutant%20Ninja%20Turtles/</t>
        </is>
      </c>
      <c r="R313" s="83" t="inlineStr">
        <is>
          <t>https://www.metacritic.com/search/Teenage+Mutant+Ninja+Turtles/</t>
        </is>
      </c>
    </row>
    <row r="314" ht="15.75" customHeight="1" s="108">
      <c r="A314" s="83" t="inlineStr">
        <is>
          <t>F0310</t>
        </is>
      </c>
      <c r="B314" s="83" t="inlineStr">
        <is>
          <t>Terminator Salvation</t>
        </is>
      </c>
      <c r="C314" s="88" t="inlineStr">
        <is>
          <t>2009</t>
        </is>
      </c>
      <c r="D314" s="84" t="n"/>
      <c r="E314" s="89" t="n"/>
      <c r="F314" s="90" t="n"/>
      <c r="G314" s="91" t="n"/>
      <c r="H314" s="91" t="n"/>
      <c r="I314" s="92" t="n"/>
      <c r="J314" s="91" t="n"/>
      <c r="K314" s="89" t="n"/>
      <c r="L314" s="89">
        <f>IF(COUNT(E314,G314,H314,I314,J314,K314)=0,"",ROUND((IF(E314="",0,E314*10)+IF(G314="",0,G314)+IF(H314="",0,H314)+IF(I314="",0,I314*20)+IF(J314="",0,J314)+IF(K314="",0,K314*10))/COUNT(E314,G314,H314,I314,J314,K314),1))</f>
        <v/>
      </c>
      <c r="M314" s="83">
        <f>IF(L314="","",IF(L314&gt;=85,"Excellent",IF(L314&gt;=70,"Good",IF(L314&gt;=55,"Mixed","Poor"))))</f>
        <v/>
      </c>
      <c r="N314" s="96" t="n"/>
      <c r="O314" s="83" t="inlineStr">
        <is>
          <t>https://www.imdb.com/find/?q=Terminator+Salvation+2009</t>
        </is>
      </c>
      <c r="P314" s="83" t="inlineStr">
        <is>
          <t>https://www.rottentomatoes.com/search?search=Terminator+Salvation</t>
        </is>
      </c>
      <c r="Q314" s="83" t="inlineStr">
        <is>
          <t>https://letterboxd.com/search/Terminator%20Salvation/</t>
        </is>
      </c>
      <c r="R314" s="83" t="inlineStr">
        <is>
          <t>https://www.metacritic.com/search/Terminator+Salvation/</t>
        </is>
      </c>
    </row>
    <row r="315" ht="15.75" customHeight="1" s="108">
      <c r="A315" s="83" t="inlineStr">
        <is>
          <t>F0311</t>
        </is>
      </c>
      <c r="B315" s="83" t="inlineStr">
        <is>
          <t>The Theory of Everything</t>
        </is>
      </c>
      <c r="C315" s="88" t="inlineStr">
        <is>
          <t>2014</t>
        </is>
      </c>
      <c r="D315" s="84" t="n"/>
      <c r="E315" s="89" t="n"/>
      <c r="F315" s="90" t="n"/>
      <c r="G315" s="91" t="n"/>
      <c r="H315" s="91" t="n"/>
      <c r="I315" s="92" t="n"/>
      <c r="J315" s="91" t="n"/>
      <c r="K315" s="89" t="n"/>
      <c r="L315" s="89">
        <f>IF(COUNT(E315,G315,H315,I315,J315,K315)=0,"",ROUND((IF(E315="",0,E315*10)+IF(G315="",0,G315)+IF(H315="",0,H315)+IF(I315="",0,I315*20)+IF(J315="",0,J315)+IF(K315="",0,K315*10))/COUNT(E315,G315,H315,I315,J315,K315),1))</f>
        <v/>
      </c>
      <c r="M315" s="83">
        <f>IF(L315="","",IF(L315&gt;=85,"Excellent",IF(L315&gt;=70,"Good",IF(L315&gt;=55,"Mixed","Poor"))))</f>
        <v/>
      </c>
      <c r="N315" s="96" t="n"/>
      <c r="O315" s="83" t="inlineStr">
        <is>
          <t>https://www.imdb.com/find/?q=The+Theory+of+Everything+2014</t>
        </is>
      </c>
      <c r="P315" s="83" t="inlineStr">
        <is>
          <t>https://www.rottentomatoes.com/search?search=The+Theory+of+Everything</t>
        </is>
      </c>
      <c r="Q315" s="83" t="inlineStr">
        <is>
          <t>https://letterboxd.com/search/The%20Theory%20of%20Everything/</t>
        </is>
      </c>
      <c r="R315" s="83" t="inlineStr">
        <is>
          <t>https://www.metacritic.com/search/The+Theory+of+Everything/</t>
        </is>
      </c>
    </row>
    <row r="316" ht="15.75" customHeight="1" s="108">
      <c r="A316" s="83" t="inlineStr">
        <is>
          <t>F0312</t>
        </is>
      </c>
      <c r="B316" s="83" t="inlineStr">
        <is>
          <t>Toy Story</t>
        </is>
      </c>
      <c r="C316" s="88" t="inlineStr">
        <is>
          <t>1995</t>
        </is>
      </c>
      <c r="D316" s="84" t="n"/>
      <c r="E316" s="89" t="n"/>
      <c r="F316" s="90" t="n"/>
      <c r="G316" s="91" t="n"/>
      <c r="H316" s="91" t="n"/>
      <c r="I316" s="92" t="n"/>
      <c r="J316" s="91" t="n"/>
      <c r="K316" s="89" t="n"/>
      <c r="L316" s="89">
        <f>IF(COUNT(E316,G316,H316,I316,J316,K316)=0,"",ROUND((IF(E316="",0,E316*10)+IF(G316="",0,G316)+IF(H316="",0,H316)+IF(I316="",0,I316*20)+IF(J316="",0,J316)+IF(K316="",0,K316*10))/COUNT(E316,G316,H316,I316,J316,K316),1))</f>
        <v/>
      </c>
      <c r="M316" s="83">
        <f>IF(L316="","",IF(L316&gt;=85,"Excellent",IF(L316&gt;=70,"Good",IF(L316&gt;=55,"Mixed","Poor"))))</f>
        <v/>
      </c>
      <c r="N316" s="96" t="n"/>
      <c r="O316" s="83" t="inlineStr">
        <is>
          <t>https://www.imdb.com/find/?q=Toy+Story+1995</t>
        </is>
      </c>
      <c r="P316" s="83" t="inlineStr">
        <is>
          <t>https://www.rottentomatoes.com/search?search=Toy+Story</t>
        </is>
      </c>
      <c r="Q316" s="83" t="inlineStr">
        <is>
          <t>https://letterboxd.com/search/Toy%20Story/</t>
        </is>
      </c>
      <c r="R316" s="83" t="inlineStr">
        <is>
          <t>https://www.metacritic.com/search/Toy+Story/</t>
        </is>
      </c>
    </row>
    <row r="317" ht="15.75" customHeight="1" s="108">
      <c r="A317" s="83" t="inlineStr">
        <is>
          <t>F0313</t>
        </is>
      </c>
      <c r="B317" s="83" t="inlineStr">
        <is>
          <t>Toy Story 2</t>
        </is>
      </c>
      <c r="C317" s="88" t="inlineStr">
        <is>
          <t>1999</t>
        </is>
      </c>
      <c r="D317" s="84" t="n"/>
      <c r="E317" s="89" t="n"/>
      <c r="F317" s="90" t="n"/>
      <c r="G317" s="91" t="n"/>
      <c r="H317" s="91" t="n"/>
      <c r="I317" s="92" t="n"/>
      <c r="J317" s="91" t="n"/>
      <c r="K317" s="89" t="n"/>
      <c r="L317" s="89">
        <f>IF(COUNT(E317,G317,H317,I317,J317,K317)=0,"",ROUND((IF(E317="",0,E317*10)+IF(G317="",0,G317)+IF(H317="",0,H317)+IF(I317="",0,I317*20)+IF(J317="",0,J317)+IF(K317="",0,K317*10))/COUNT(E317,G317,H317,I317,J317,K317),1))</f>
        <v/>
      </c>
      <c r="M317" s="83">
        <f>IF(L317="","",IF(L317&gt;=85,"Excellent",IF(L317&gt;=70,"Good",IF(L317&gt;=55,"Mixed","Poor"))))</f>
        <v/>
      </c>
      <c r="N317" s="96" t="n"/>
      <c r="O317" s="83" t="inlineStr">
        <is>
          <t>https://www.imdb.com/find/?q=Toy+Story+2+1999</t>
        </is>
      </c>
      <c r="P317" s="83" t="inlineStr">
        <is>
          <t>https://www.rottentomatoes.com/search?search=Toy+Story+2</t>
        </is>
      </c>
      <c r="Q317" s="83" t="inlineStr">
        <is>
          <t>https://letterboxd.com/search/Toy%20Story%202/</t>
        </is>
      </c>
      <c r="R317" s="83" t="inlineStr">
        <is>
          <t>https://www.metacritic.com/search/Toy+Story+2/</t>
        </is>
      </c>
    </row>
    <row r="318" ht="15.75" customHeight="1" s="108">
      <c r="A318" s="83" t="inlineStr">
        <is>
          <t>F0314</t>
        </is>
      </c>
      <c r="B318" s="83" t="inlineStr">
        <is>
          <t>Toy Story 3</t>
        </is>
      </c>
      <c r="C318" s="88" t="inlineStr">
        <is>
          <t>2010</t>
        </is>
      </c>
      <c r="D318" s="84" t="n"/>
      <c r="E318" s="89" t="n"/>
      <c r="F318" s="90" t="n"/>
      <c r="G318" s="91" t="n"/>
      <c r="H318" s="91" t="n"/>
      <c r="I318" s="92" t="n"/>
      <c r="J318" s="91" t="n"/>
      <c r="K318" s="89" t="n"/>
      <c r="L318" s="89">
        <f>IF(COUNT(E318,G318,H318,I318,J318,K318)=0,"",ROUND((IF(E318="",0,E318*10)+IF(G318="",0,G318)+IF(H318="",0,H318)+IF(I318="",0,I318*20)+IF(J318="",0,J318)+IF(K318="",0,K318*10))/COUNT(E318,G318,H318,I318,J318,K318),1))</f>
        <v/>
      </c>
      <c r="M318" s="83">
        <f>IF(L318="","",IF(L318&gt;=85,"Excellent",IF(L318&gt;=70,"Good",IF(L318&gt;=55,"Mixed","Poor"))))</f>
        <v/>
      </c>
      <c r="N318" s="96" t="n"/>
      <c r="O318" s="83" t="inlineStr">
        <is>
          <t>https://www.imdb.com/find/?q=Toy+Story+3+2010</t>
        </is>
      </c>
      <c r="P318" s="83" t="inlineStr">
        <is>
          <t>https://www.rottentomatoes.com/search?search=Toy+Story+3</t>
        </is>
      </c>
      <c r="Q318" s="83" t="inlineStr">
        <is>
          <t>https://letterboxd.com/search/Toy%20Story%203/</t>
        </is>
      </c>
      <c r="R318" s="83" t="inlineStr">
        <is>
          <t>https://www.metacritic.com/search/Toy+Story+3/</t>
        </is>
      </c>
    </row>
    <row r="319" ht="15.75" customHeight="1" s="108">
      <c r="A319" s="83" t="inlineStr">
        <is>
          <t>F0315</t>
        </is>
      </c>
      <c r="B319" s="83" t="inlineStr">
        <is>
          <t>Toy Story 4</t>
        </is>
      </c>
      <c r="C319" s="88" t="inlineStr">
        <is>
          <t>2019</t>
        </is>
      </c>
      <c r="D319" s="84" t="n"/>
      <c r="E319" s="89" t="n"/>
      <c r="F319" s="90" t="n"/>
      <c r="G319" s="91" t="n"/>
      <c r="H319" s="91" t="n"/>
      <c r="I319" s="92" t="n"/>
      <c r="J319" s="91" t="n"/>
      <c r="K319" s="89" t="n"/>
      <c r="L319" s="89">
        <f>IF(COUNT(E319,G319,H319,I319,J319,K319)=0,"",ROUND((IF(E319="",0,E319*10)+IF(G319="",0,G319)+IF(H319="",0,H319)+IF(I319="",0,I319*20)+IF(J319="",0,J319)+IF(K319="",0,K319*10))/COUNT(E319,G319,H319,I319,J319,K319),1))</f>
        <v/>
      </c>
      <c r="M319" s="83">
        <f>IF(L319="","",IF(L319&gt;=85,"Excellent",IF(L319&gt;=70,"Good",IF(L319&gt;=55,"Mixed","Poor"))))</f>
        <v/>
      </c>
      <c r="N319" s="96" t="n"/>
      <c r="O319" s="83" t="inlineStr">
        <is>
          <t>https://www.imdb.com/find/?q=Toy+Story+4+2019</t>
        </is>
      </c>
      <c r="P319" s="83" t="inlineStr">
        <is>
          <t>https://www.rottentomatoes.com/search?search=Toy+Story+4</t>
        </is>
      </c>
      <c r="Q319" s="83" t="inlineStr">
        <is>
          <t>https://letterboxd.com/search/Toy%20Story%204/</t>
        </is>
      </c>
      <c r="R319" s="83" t="inlineStr">
        <is>
          <t>https://www.metacritic.com/search/Toy+Story+4/</t>
        </is>
      </c>
    </row>
    <row r="320" ht="15.75" customHeight="1" s="108">
      <c r="A320" s="83" t="inlineStr">
        <is>
          <t>F0316</t>
        </is>
      </c>
      <c r="B320" s="83" t="inlineStr">
        <is>
          <t>Transformers</t>
        </is>
      </c>
      <c r="C320" s="88" t="inlineStr">
        <is>
          <t>2007</t>
        </is>
      </c>
      <c r="D320" s="84" t="n"/>
      <c r="E320" s="89" t="n"/>
      <c r="F320" s="90" t="n"/>
      <c r="G320" s="91" t="n"/>
      <c r="H320" s="91" t="n"/>
      <c r="I320" s="92" t="n"/>
      <c r="J320" s="91" t="n"/>
      <c r="K320" s="89" t="n"/>
      <c r="L320" s="89">
        <f>IF(COUNT(E320,G320,H320,I320,J320,K320)=0,"",ROUND((IF(E320="",0,E320*10)+IF(G320="",0,G320)+IF(H320="",0,H320)+IF(I320="",0,I320*20)+IF(J320="",0,J320)+IF(K320="",0,K320*10))/COUNT(E320,G320,H320,I320,J320,K320),1))</f>
        <v/>
      </c>
      <c r="M320" s="83">
        <f>IF(L320="","",IF(L320&gt;=85,"Excellent",IF(L320&gt;=70,"Good",IF(L320&gt;=55,"Mixed","Poor"))))</f>
        <v/>
      </c>
      <c r="N320" s="96" t="n"/>
      <c r="O320" s="83" t="inlineStr">
        <is>
          <t>https://www.imdb.com/find/?q=Transformers+2007</t>
        </is>
      </c>
      <c r="P320" s="83" t="inlineStr">
        <is>
          <t>https://www.rottentomatoes.com/search?search=Transformers</t>
        </is>
      </c>
      <c r="Q320" s="83" t="inlineStr">
        <is>
          <t>https://letterboxd.com/search/Transformers/</t>
        </is>
      </c>
      <c r="R320" s="83" t="inlineStr">
        <is>
          <t>https://www.metacritic.com/search/Transformers/</t>
        </is>
      </c>
    </row>
    <row r="321" ht="15.75" customHeight="1" s="108">
      <c r="A321" s="83" t="inlineStr">
        <is>
          <t>F0317</t>
        </is>
      </c>
      <c r="B321" s="83" t="inlineStr">
        <is>
          <t>Transformers: Revenge of the Fallen</t>
        </is>
      </c>
      <c r="C321" s="88" t="inlineStr">
        <is>
          <t>2009</t>
        </is>
      </c>
      <c r="D321" s="84" t="n"/>
      <c r="E321" s="89" t="n"/>
      <c r="F321" s="90" t="n"/>
      <c r="G321" s="91" t="n"/>
      <c r="H321" s="91" t="n"/>
      <c r="I321" s="92" t="n"/>
      <c r="J321" s="91" t="n"/>
      <c r="K321" s="89" t="n"/>
      <c r="L321" s="89">
        <f>IF(COUNT(E321,G321,H321,I321,J321,K321)=0,"",ROUND((IF(E321="",0,E321*10)+IF(G321="",0,G321)+IF(H321="",0,H321)+IF(I321="",0,I321*20)+IF(J321="",0,J321)+IF(K321="",0,K321*10))/COUNT(E321,G321,H321,I321,J321,K321),1))</f>
        <v/>
      </c>
      <c r="M321" s="83">
        <f>IF(L321="","",IF(L321&gt;=85,"Excellent",IF(L321&gt;=70,"Good",IF(L321&gt;=55,"Mixed","Poor"))))</f>
        <v/>
      </c>
      <c r="N321" s="96" t="n"/>
      <c r="O321" s="83" t="inlineStr">
        <is>
          <t>https://www.imdb.com/find/?q=Transformers%3A+Revenge+of+the+Fallen+2009</t>
        </is>
      </c>
      <c r="P321" s="83" t="inlineStr">
        <is>
          <t>https://www.rottentomatoes.com/search?search=Transformers%3A+Revenge+of+the+Fallen</t>
        </is>
      </c>
      <c r="Q321" s="83" t="inlineStr">
        <is>
          <t>https://letterboxd.com/search/Transformers%3A%20Revenge%20of%20the%20Fallen/</t>
        </is>
      </c>
      <c r="R321" s="83" t="inlineStr">
        <is>
          <t>https://www.metacritic.com/search/Transformers%3A+Revenge+of+the+Fallen/</t>
        </is>
      </c>
    </row>
    <row r="322" ht="15.75" customHeight="1" s="108">
      <c r="A322" s="83" t="inlineStr">
        <is>
          <t>F0318</t>
        </is>
      </c>
      <c r="B322" s="83" t="inlineStr">
        <is>
          <t>Transformers: Dark of the Moon</t>
        </is>
      </c>
      <c r="C322" s="88" t="inlineStr">
        <is>
          <t>2011</t>
        </is>
      </c>
      <c r="D322" s="84" t="n"/>
      <c r="E322" s="89" t="n"/>
      <c r="F322" s="90" t="n"/>
      <c r="G322" s="91" t="n"/>
      <c r="H322" s="91" t="n"/>
      <c r="I322" s="92" t="n"/>
      <c r="J322" s="91" t="n"/>
      <c r="K322" s="89" t="n"/>
      <c r="L322" s="89">
        <f>IF(COUNT(E322,G322,H322,I322,J322,K322)=0,"",ROUND((IF(E322="",0,E322*10)+IF(G322="",0,G322)+IF(H322="",0,H322)+IF(I322="",0,I322*20)+IF(J322="",0,J322)+IF(K322="",0,K322*10))/COUNT(E322,G322,H322,I322,J322,K322),1))</f>
        <v/>
      </c>
      <c r="M322" s="83">
        <f>IF(L322="","",IF(L322&gt;=85,"Excellent",IF(L322&gt;=70,"Good",IF(L322&gt;=55,"Mixed","Poor"))))</f>
        <v/>
      </c>
      <c r="N322" s="96" t="n"/>
      <c r="O322" s="83" t="inlineStr">
        <is>
          <t>https://www.imdb.com/find/?q=Transformers%3A+Dark+of+the+Moon+2011</t>
        </is>
      </c>
      <c r="P322" s="83" t="inlineStr">
        <is>
          <t>https://www.rottentomatoes.com/search?search=Transformers%3A+Dark+of+the+Moon</t>
        </is>
      </c>
      <c r="Q322" s="83" t="inlineStr">
        <is>
          <t>https://letterboxd.com/search/Transformers%3A%20Dark%20of%20the%20Moon/</t>
        </is>
      </c>
      <c r="R322" s="83" t="inlineStr">
        <is>
          <t>https://www.metacritic.com/search/Transformers%3A+Dark+of+the+Moon/</t>
        </is>
      </c>
    </row>
    <row r="323" ht="15.75" customHeight="1" s="108">
      <c r="A323" s="83" t="inlineStr">
        <is>
          <t>F0319</t>
        </is>
      </c>
      <c r="B323" s="83" t="inlineStr">
        <is>
          <t>Transformers: Age of Extinction</t>
        </is>
      </c>
      <c r="C323" s="88" t="inlineStr">
        <is>
          <t>2014</t>
        </is>
      </c>
      <c r="D323" s="84" t="n"/>
      <c r="E323" s="89" t="n"/>
      <c r="F323" s="90" t="n"/>
      <c r="G323" s="91" t="n"/>
      <c r="H323" s="91" t="n"/>
      <c r="I323" s="92" t="n"/>
      <c r="J323" s="91" t="n"/>
      <c r="K323" s="89" t="n"/>
      <c r="L323" s="89">
        <f>IF(COUNT(E323,G323,H323,I323,J323,K323)=0,"",ROUND((IF(E323="",0,E323*10)+IF(G323="",0,G323)+IF(H323="",0,H323)+IF(I323="",0,I323*20)+IF(J323="",0,J323)+IF(K323="",0,K323*10))/COUNT(E323,G323,H323,I323,J323,K323),1))</f>
        <v/>
      </c>
      <c r="M323" s="83">
        <f>IF(L323="","",IF(L323&gt;=85,"Excellent",IF(L323&gt;=70,"Good",IF(L323&gt;=55,"Mixed","Poor"))))</f>
        <v/>
      </c>
      <c r="N323" s="96" t="n"/>
      <c r="O323" s="83" t="inlineStr">
        <is>
          <t>https://www.imdb.com/find/?q=Transformers%3A+Age+of+Extinction+2014</t>
        </is>
      </c>
      <c r="P323" s="83" t="inlineStr">
        <is>
          <t>https://www.rottentomatoes.com/search?search=Transformers%3A+Age+of+Extinction</t>
        </is>
      </c>
      <c r="Q323" s="83" t="inlineStr">
        <is>
          <t>https://letterboxd.com/search/Transformers%3A%20Age%20of%20Extinction/</t>
        </is>
      </c>
      <c r="R323" s="83" t="inlineStr">
        <is>
          <t>https://www.metacritic.com/search/Transformers%3A+Age+of+Extinction/</t>
        </is>
      </c>
    </row>
    <row r="324" ht="15.75" customHeight="1" s="108">
      <c r="A324" s="83" t="inlineStr">
        <is>
          <t>F0320</t>
        </is>
      </c>
      <c r="B324" s="83" t="inlineStr">
        <is>
          <t>Transformers: The Last Knight</t>
        </is>
      </c>
      <c r="C324" s="88" t="inlineStr">
        <is>
          <t>2017</t>
        </is>
      </c>
      <c r="D324" s="84" t="n"/>
      <c r="E324" s="89" t="n"/>
      <c r="F324" s="90" t="n"/>
      <c r="G324" s="91" t="n"/>
      <c r="H324" s="91" t="n"/>
      <c r="I324" s="92" t="n"/>
      <c r="J324" s="91" t="n"/>
      <c r="K324" s="89" t="n"/>
      <c r="L324" s="89">
        <f>IF(COUNT(E324,G324,H324,I324,J324,K324)=0,"",ROUND((IF(E324="",0,E324*10)+IF(G324="",0,G324)+IF(H324="",0,H324)+IF(I324="",0,I324*20)+IF(J324="",0,J324)+IF(K324="",0,K324*10))/COUNT(E324,G324,H324,I324,J324,K324),1))</f>
        <v/>
      </c>
      <c r="M324" s="83">
        <f>IF(L324="","",IF(L324&gt;=85,"Excellent",IF(L324&gt;=70,"Good",IF(L324&gt;=55,"Mixed","Poor"))))</f>
        <v/>
      </c>
      <c r="N324" s="96" t="n"/>
      <c r="O324" s="83" t="inlineStr">
        <is>
          <t>https://www.imdb.com/find/?q=Transformers%3A+The+Last+Knight+2017</t>
        </is>
      </c>
      <c r="P324" s="83" t="inlineStr">
        <is>
          <t>https://www.rottentomatoes.com/search?search=Transformers%3A+The+Last+Knight</t>
        </is>
      </c>
      <c r="Q324" s="83" t="inlineStr">
        <is>
          <t>https://letterboxd.com/search/Transformers%3A%20The%20Last%20Knight/</t>
        </is>
      </c>
      <c r="R324" s="83" t="inlineStr">
        <is>
          <t>https://www.metacritic.com/search/Transformers%3A+The+Last+Knight/</t>
        </is>
      </c>
    </row>
    <row r="325" ht="15.75" customHeight="1" s="108">
      <c r="A325" s="83" t="inlineStr">
        <is>
          <t>F0321</t>
        </is>
      </c>
      <c r="B325" s="83" t="inlineStr">
        <is>
          <t>Transformers: Rise of the Beasts</t>
        </is>
      </c>
      <c r="C325" s="88" t="inlineStr">
        <is>
          <t>2023</t>
        </is>
      </c>
      <c r="D325" s="84" t="n">
        <v>3</v>
      </c>
      <c r="E325" s="89" t="n"/>
      <c r="F325" s="90" t="n"/>
      <c r="G325" s="91" t="n"/>
      <c r="H325" s="91" t="n"/>
      <c r="I325" s="92" t="n"/>
      <c r="J325" s="91" t="n"/>
      <c r="K325" s="89" t="n"/>
      <c r="L325" s="89">
        <f>IF(COUNT(E325,G325,H325,I325,J325,K325)=0,"",ROUND((IF(E325="",0,E325*10)+IF(G325="",0,G325)+IF(H325="",0,H325)+IF(I325="",0,I325*20)+IF(J325="",0,J325)+IF(K325="",0,K325*10))/COUNT(E325,G325,H325,I325,J325,K325),1))</f>
        <v/>
      </c>
      <c r="M325" s="83">
        <f>IF(L325="","",IF(L325&gt;=85,"Excellent",IF(L325&gt;=70,"Good",IF(L325&gt;=55,"Mixed","Poor"))))</f>
        <v/>
      </c>
      <c r="N325" s="96" t="n"/>
      <c r="O325" s="83" t="inlineStr">
        <is>
          <t>https://www.imdb.com/find/?q=Transformers%3A+Rise+of+the+Beasts+2023</t>
        </is>
      </c>
      <c r="P325" s="83" t="inlineStr">
        <is>
          <t>https://www.rottentomatoes.com/search?search=Transformers%3A+Rise+of+the+Beasts</t>
        </is>
      </c>
      <c r="Q325" s="83" t="inlineStr">
        <is>
          <t>https://letterboxd.com/search/Transformers%3A%20Rise%20of%20the%20Beasts/</t>
        </is>
      </c>
      <c r="R325" s="83" t="inlineStr">
        <is>
          <t>https://www.metacritic.com/search/Transformers%3A+Rise+of+the+Beasts/</t>
        </is>
      </c>
    </row>
    <row r="326" ht="15.75" customHeight="1" s="108">
      <c r="A326" s="83" t="inlineStr">
        <is>
          <t>F0322</t>
        </is>
      </c>
      <c r="B326" s="83" t="inlineStr">
        <is>
          <t>The Transformers: The Movie</t>
        </is>
      </c>
      <c r="C326" s="88" t="inlineStr">
        <is>
          <t>1986</t>
        </is>
      </c>
      <c r="D326" s="84" t="n"/>
      <c r="E326" s="89" t="n"/>
      <c r="F326" s="90" t="n"/>
      <c r="G326" s="91" t="n"/>
      <c r="H326" s="91" t="n"/>
      <c r="I326" s="92" t="n"/>
      <c r="J326" s="91" t="n"/>
      <c r="K326" s="89" t="n"/>
      <c r="L326" s="89">
        <f>IF(COUNT(E326,G326,H326,I326,J326,K326)=0,"",ROUND((IF(E326="",0,E326*10)+IF(G326="",0,G326)+IF(H326="",0,H326)+IF(I326="",0,I326*20)+IF(J326="",0,J326)+IF(K326="",0,K326*10))/COUNT(E326,G326,H326,I326,J326,K326),1))</f>
        <v/>
      </c>
      <c r="M326" s="83">
        <f>IF(L326="","",IF(L326&gt;=85,"Excellent",IF(L326&gt;=70,"Good",IF(L326&gt;=55,"Mixed","Poor"))))</f>
        <v/>
      </c>
      <c r="N326" s="96" t="n"/>
      <c r="O326" s="83" t="inlineStr">
        <is>
          <t>https://www.imdb.com/find/?q=The+Transformers%3A+The+Movie+1986</t>
        </is>
      </c>
      <c r="P326" s="83" t="inlineStr">
        <is>
          <t>https://www.rottentomatoes.com/search?search=The+Transformers%3A+The+Movie</t>
        </is>
      </c>
      <c r="Q326" s="83" t="inlineStr">
        <is>
          <t>https://letterboxd.com/search/The%20Transformers%3A%20The%20Movie/</t>
        </is>
      </c>
      <c r="R326" s="83" t="inlineStr">
        <is>
          <t>https://www.metacritic.com/search/The+Transformers%3A+The+Movie/</t>
        </is>
      </c>
    </row>
    <row r="327" ht="15.75" customHeight="1" s="108">
      <c r="A327" s="83" t="inlineStr">
        <is>
          <t>F0323</t>
        </is>
      </c>
      <c r="B327" s="83" t="inlineStr">
        <is>
          <t>The Transporter Refueled</t>
        </is>
      </c>
      <c r="C327" s="88" t="inlineStr">
        <is>
          <t>2015</t>
        </is>
      </c>
      <c r="D327" s="84" t="n"/>
      <c r="E327" s="89" t="n"/>
      <c r="F327" s="90" t="n"/>
      <c r="G327" s="91" t="n"/>
      <c r="H327" s="91" t="n"/>
      <c r="I327" s="92" t="n"/>
      <c r="J327" s="91" t="n"/>
      <c r="K327" s="89" t="n"/>
      <c r="L327" s="89">
        <f>IF(COUNT(E327,G327,H327,I327,J327,K327)=0,"",ROUND((IF(E327="",0,E327*10)+IF(G327="",0,G327)+IF(H327="",0,H327)+IF(I327="",0,I327*20)+IF(J327="",0,J327)+IF(K327="",0,K327*10))/COUNT(E327,G327,H327,I327,J327,K327),1))</f>
        <v/>
      </c>
      <c r="M327" s="83">
        <f>IF(L327="","",IF(L327&gt;=85,"Excellent",IF(L327&gt;=70,"Good",IF(L327&gt;=55,"Mixed","Poor"))))</f>
        <v/>
      </c>
      <c r="N327" s="96" t="n"/>
      <c r="O327" s="83" t="inlineStr">
        <is>
          <t>https://www.imdb.com/find/?q=The+Transporter+Refueled+2015</t>
        </is>
      </c>
      <c r="P327" s="83" t="inlineStr">
        <is>
          <t>https://www.rottentomatoes.com/search?search=The+Transporter+Refueled</t>
        </is>
      </c>
      <c r="Q327" s="83" t="inlineStr">
        <is>
          <t>https://letterboxd.com/search/The%20Transporter%20Refueled/</t>
        </is>
      </c>
      <c r="R327" s="83" t="inlineStr">
        <is>
          <t>https://www.metacritic.com/search/The+Transporter+Refueled/</t>
        </is>
      </c>
    </row>
    <row r="328" ht="15.75" customHeight="1" s="108">
      <c r="A328" s="83" t="inlineStr">
        <is>
          <t>F0324</t>
        </is>
      </c>
      <c r="B328" s="83" t="inlineStr">
        <is>
          <t>Tropic Thunder</t>
        </is>
      </c>
      <c r="C328" s="88" t="inlineStr">
        <is>
          <t>2008</t>
        </is>
      </c>
      <c r="D328" s="84" t="n">
        <v>5</v>
      </c>
      <c r="E328" s="89" t="n"/>
      <c r="F328" s="90" t="n"/>
      <c r="G328" s="91" t="n"/>
      <c r="H328" s="91" t="n"/>
      <c r="I328" s="92" t="n"/>
      <c r="J328" s="91" t="n"/>
      <c r="K328" s="89" t="n"/>
      <c r="L328" s="89">
        <f>IF(COUNT(E328,G328,H328,I328,J328,K328)=0,"",ROUND((IF(E328="",0,E328*10)+IF(G328="",0,G328)+IF(H328="",0,H328)+IF(I328="",0,I328*20)+IF(J328="",0,J328)+IF(K328="",0,K328*10))/COUNT(E328,G328,H328,I328,J328,K328),1))</f>
        <v/>
      </c>
      <c r="M328" s="83">
        <f>IF(L328="","",IF(L328&gt;=85,"Excellent",IF(L328&gt;=70,"Good",IF(L328&gt;=55,"Mixed","Poor"))))</f>
        <v/>
      </c>
      <c r="N328" s="96" t="n"/>
      <c r="O328" s="83" t="inlineStr">
        <is>
          <t>https://www.imdb.com/find/?q=Tropic+Thunder+2008</t>
        </is>
      </c>
      <c r="P328" s="83" t="inlineStr">
        <is>
          <t>https://www.rottentomatoes.com/search?search=Tropic+Thunder</t>
        </is>
      </c>
      <c r="Q328" s="83" t="inlineStr">
        <is>
          <t>https://letterboxd.com/search/Tropic%20Thunder/</t>
        </is>
      </c>
      <c r="R328" s="83" t="inlineStr">
        <is>
          <t>https://www.metacritic.com/search/Tropic+Thunder/</t>
        </is>
      </c>
    </row>
    <row r="329" ht="15.75" customHeight="1" s="108">
      <c r="A329" s="83" t="inlineStr">
        <is>
          <t>F0325</t>
        </is>
      </c>
      <c r="B329" s="83" t="inlineStr">
        <is>
          <t>True Grit</t>
        </is>
      </c>
      <c r="C329" s="88" t="inlineStr">
        <is>
          <t>2010</t>
        </is>
      </c>
      <c r="D329" s="84" t="n"/>
      <c r="E329" s="89" t="n"/>
      <c r="F329" s="90" t="n"/>
      <c r="G329" s="91" t="n"/>
      <c r="H329" s="91" t="n"/>
      <c r="I329" s="92" t="n"/>
      <c r="J329" s="91" t="n"/>
      <c r="K329" s="89" t="n"/>
      <c r="L329" s="89">
        <f>IF(COUNT(E329,G329,H329,I329,J329,K329)=0,"",ROUND((IF(E329="",0,E329*10)+IF(G329="",0,G329)+IF(H329="",0,H329)+IF(I329="",0,I329*20)+IF(J329="",0,J329)+IF(K329="",0,K329*10))/COUNT(E329,G329,H329,I329,J329,K329),1))</f>
        <v/>
      </c>
      <c r="M329" s="83">
        <f>IF(L329="","",IF(L329&gt;=85,"Excellent",IF(L329&gt;=70,"Good",IF(L329&gt;=55,"Mixed","Poor"))))</f>
        <v/>
      </c>
      <c r="N329" s="96" t="n"/>
      <c r="O329" s="83" t="inlineStr">
        <is>
          <t>https://www.imdb.com/find/?q=True+Grit+2010</t>
        </is>
      </c>
      <c r="P329" s="83" t="inlineStr">
        <is>
          <t>https://www.rottentomatoes.com/search?search=True+Grit</t>
        </is>
      </c>
      <c r="Q329" s="83" t="inlineStr">
        <is>
          <t>https://letterboxd.com/search/True%20Grit/</t>
        </is>
      </c>
      <c r="R329" s="83" t="inlineStr">
        <is>
          <t>https://www.metacritic.com/search/True+Grit/</t>
        </is>
      </c>
    </row>
    <row r="330" ht="15.75" customHeight="1" s="108">
      <c r="A330" s="83" t="inlineStr">
        <is>
          <t>F0326</t>
        </is>
      </c>
      <c r="B330" s="83" t="inlineStr">
        <is>
          <t>Underworld: Evolution</t>
        </is>
      </c>
      <c r="C330" s="88" t="inlineStr">
        <is>
          <t>2006</t>
        </is>
      </c>
      <c r="D330" s="84" t="n"/>
      <c r="E330" s="89" t="n"/>
      <c r="F330" s="90" t="n"/>
      <c r="G330" s="91" t="n"/>
      <c r="H330" s="91" t="n"/>
      <c r="I330" s="92" t="n"/>
      <c r="J330" s="91" t="n"/>
      <c r="K330" s="89" t="n"/>
      <c r="L330" s="89">
        <f>IF(COUNT(E330,G330,H330,I330,J330,K330)=0,"",ROUND((IF(E330="",0,E330*10)+IF(G330="",0,G330)+IF(H330="",0,H330)+IF(I330="",0,I330*20)+IF(J330="",0,J330)+IF(K330="",0,K330*10))/COUNT(E330,G330,H330,I330,J330,K330),1))</f>
        <v/>
      </c>
      <c r="M330" s="83">
        <f>IF(L330="","",IF(L330&gt;=85,"Excellent",IF(L330&gt;=70,"Good",IF(L330&gt;=55,"Mixed","Poor"))))</f>
        <v/>
      </c>
      <c r="N330" s="96" t="n"/>
      <c r="O330" s="83" t="inlineStr">
        <is>
          <t>https://www.imdb.com/find/?q=Underworld%3A+Evolution+2006</t>
        </is>
      </c>
      <c r="P330" s="83" t="inlineStr">
        <is>
          <t>https://www.rottentomatoes.com/search?search=Underworld%3A+Evolution</t>
        </is>
      </c>
      <c r="Q330" s="83" t="inlineStr">
        <is>
          <t>https://letterboxd.com/search/Underworld%3A%20Evolution/</t>
        </is>
      </c>
      <c r="R330" s="83" t="inlineStr">
        <is>
          <t>https://www.metacritic.com/search/Underworld%3A+Evolution/</t>
        </is>
      </c>
    </row>
    <row r="331" ht="15.75" customHeight="1" s="108">
      <c r="A331" s="83" t="inlineStr">
        <is>
          <t>F0327</t>
        </is>
      </c>
      <c r="B331" s="83" t="inlineStr">
        <is>
          <t>Underworld: Rise of the Lycans</t>
        </is>
      </c>
      <c r="C331" s="88" t="inlineStr">
        <is>
          <t>2009</t>
        </is>
      </c>
      <c r="D331" s="84" t="n"/>
      <c r="E331" s="89" t="n"/>
      <c r="F331" s="90" t="n"/>
      <c r="G331" s="91" t="n"/>
      <c r="H331" s="91" t="n"/>
      <c r="I331" s="92" t="n"/>
      <c r="J331" s="91" t="n"/>
      <c r="K331" s="89" t="n"/>
      <c r="L331" s="89">
        <f>IF(COUNT(E331,G331,H331,I331,J331,K331)=0,"",ROUND((IF(E331="",0,E331*10)+IF(G331="",0,G331)+IF(H331="",0,H331)+IF(I331="",0,I331*20)+IF(J331="",0,J331)+IF(K331="",0,K331*10))/COUNT(E331,G331,H331,I331,J331,K331),1))</f>
        <v/>
      </c>
      <c r="M331" s="83">
        <f>IF(L331="","",IF(L331&gt;=85,"Excellent",IF(L331&gt;=70,"Good",IF(L331&gt;=55,"Mixed","Poor"))))</f>
        <v/>
      </c>
      <c r="N331" s="96" t="n"/>
      <c r="O331" s="83" t="inlineStr">
        <is>
          <t>https://www.imdb.com/find/?q=Underworld%3A+Rise+of+the+Lycans+2009</t>
        </is>
      </c>
      <c r="P331" s="83" t="inlineStr">
        <is>
          <t>https://www.rottentomatoes.com/search?search=Underworld%3A+Rise+of+the+Lycans</t>
        </is>
      </c>
      <c r="Q331" s="83" t="inlineStr">
        <is>
          <t>https://letterboxd.com/search/Underworld%3A%20Rise%20of%20the%20Lycans/</t>
        </is>
      </c>
      <c r="R331" s="83" t="inlineStr">
        <is>
          <t>https://www.metacritic.com/search/Underworld%3A+Rise+of+the+Lycans/</t>
        </is>
      </c>
    </row>
    <row r="332" ht="15.75" customHeight="1" s="108">
      <c r="A332" s="83" t="inlineStr">
        <is>
          <t>F0328</t>
        </is>
      </c>
      <c r="B332" s="83" t="inlineStr">
        <is>
          <t>Underworld: Awakening</t>
        </is>
      </c>
      <c r="C332" s="88" t="inlineStr">
        <is>
          <t>2012</t>
        </is>
      </c>
      <c r="D332" s="84" t="n"/>
      <c r="E332" s="89" t="n"/>
      <c r="F332" s="90" t="n"/>
      <c r="G332" s="91" t="n"/>
      <c r="H332" s="91" t="n"/>
      <c r="I332" s="92" t="n"/>
      <c r="J332" s="91" t="n"/>
      <c r="K332" s="89" t="n"/>
      <c r="L332" s="89">
        <f>IF(COUNT(E332,G332,H332,I332,J332,K332)=0,"",ROUND((IF(E332="",0,E332*10)+IF(G332="",0,G332)+IF(H332="",0,H332)+IF(I332="",0,I332*20)+IF(J332="",0,J332)+IF(K332="",0,K332*10))/COUNT(E332,G332,H332,I332,J332,K332),1))</f>
        <v/>
      </c>
      <c r="M332" s="83">
        <f>IF(L332="","",IF(L332&gt;=85,"Excellent",IF(L332&gt;=70,"Good",IF(L332&gt;=55,"Mixed","Poor"))))</f>
        <v/>
      </c>
      <c r="N332" s="96" t="n"/>
      <c r="O332" s="83" t="inlineStr">
        <is>
          <t>https://www.imdb.com/find/?q=Underworld%3A+Awakening+2012</t>
        </is>
      </c>
      <c r="P332" s="83" t="inlineStr">
        <is>
          <t>https://www.rottentomatoes.com/search?search=Underworld%3A+Awakening</t>
        </is>
      </c>
      <c r="Q332" s="83" t="inlineStr">
        <is>
          <t>https://letterboxd.com/search/Underworld%3A%20Awakening/</t>
        </is>
      </c>
      <c r="R332" s="83" t="inlineStr">
        <is>
          <t>https://www.metacritic.com/search/Underworld%3A+Awakening/</t>
        </is>
      </c>
    </row>
    <row r="333" ht="15.75" customHeight="1" s="108">
      <c r="A333" s="83" t="inlineStr">
        <is>
          <t>F0329</t>
        </is>
      </c>
      <c r="B333" s="83" t="inlineStr">
        <is>
          <t>Unknown</t>
        </is>
      </c>
      <c r="C333" s="88" t="inlineStr">
        <is>
          <t>2011</t>
        </is>
      </c>
      <c r="D333" s="84" t="n"/>
      <c r="E333" s="89" t="n"/>
      <c r="F333" s="90" t="n"/>
      <c r="G333" s="91" t="n"/>
      <c r="H333" s="91" t="n"/>
      <c r="I333" s="92" t="n"/>
      <c r="J333" s="91" t="n"/>
      <c r="K333" s="89" t="n"/>
      <c r="L333" s="89">
        <f>IF(COUNT(E333,G333,H333,I333,J333,K333)=0,"",ROUND((IF(E333="",0,E333*10)+IF(G333="",0,G333)+IF(H333="",0,H333)+IF(I333="",0,I333*20)+IF(J333="",0,J333)+IF(K333="",0,K333*10))/COUNT(E333,G333,H333,I333,J333,K333),1))</f>
        <v/>
      </c>
      <c r="M333" s="83">
        <f>IF(L333="","",IF(L333&gt;=85,"Excellent",IF(L333&gt;=70,"Good",IF(L333&gt;=55,"Mixed","Poor"))))</f>
        <v/>
      </c>
      <c r="N333" s="96" t="n"/>
      <c r="O333" s="83" t="inlineStr">
        <is>
          <t>https://www.imdb.com/find/?q=Unknown+2011</t>
        </is>
      </c>
      <c r="P333" s="83" t="inlineStr">
        <is>
          <t>https://www.rottentomatoes.com/search?search=Unknown</t>
        </is>
      </c>
      <c r="Q333" s="83" t="inlineStr">
        <is>
          <t>https://letterboxd.com/search/Unknown/</t>
        </is>
      </c>
      <c r="R333" s="83" t="inlineStr">
        <is>
          <t>https://www.metacritic.com/search/Unknown/</t>
        </is>
      </c>
    </row>
    <row r="334" ht="15.75" customHeight="1" s="108">
      <c r="A334" s="83" t="inlineStr">
        <is>
          <t>F0330</t>
        </is>
      </c>
      <c r="B334" s="83" t="inlineStr">
        <is>
          <t>Up</t>
        </is>
      </c>
      <c r="C334" s="88" t="inlineStr">
        <is>
          <t>2009</t>
        </is>
      </c>
      <c r="D334" s="84" t="n"/>
      <c r="E334" s="89" t="n"/>
      <c r="F334" s="90" t="n"/>
      <c r="G334" s="91" t="n"/>
      <c r="H334" s="91" t="n"/>
      <c r="I334" s="92" t="n"/>
      <c r="J334" s="91" t="n"/>
      <c r="K334" s="89" t="n"/>
      <c r="L334" s="89">
        <f>IF(COUNT(E334,G334,H334,I334,J334,K334)=0,"",ROUND((IF(E334="",0,E334*10)+IF(G334="",0,G334)+IF(H334="",0,H334)+IF(I334="",0,I334*20)+IF(J334="",0,J334)+IF(K334="",0,K334*10))/COUNT(E334,G334,H334,I334,J334,K334),1))</f>
        <v/>
      </c>
      <c r="M334" s="83">
        <f>IF(L334="","",IF(L334&gt;=85,"Excellent",IF(L334&gt;=70,"Good",IF(L334&gt;=55,"Mixed","Poor"))))</f>
        <v/>
      </c>
      <c r="N334" s="96" t="n"/>
      <c r="O334" s="83" t="inlineStr">
        <is>
          <t>https://www.imdb.com/find/?q=Up+2009</t>
        </is>
      </c>
      <c r="P334" s="83" t="inlineStr">
        <is>
          <t>https://www.rottentomatoes.com/search?search=Up</t>
        </is>
      </c>
      <c r="Q334" s="83" t="inlineStr">
        <is>
          <t>https://letterboxd.com/search/Up/</t>
        </is>
      </c>
      <c r="R334" s="83" t="inlineStr">
        <is>
          <t>https://www.metacritic.com/search/Up/</t>
        </is>
      </c>
    </row>
    <row r="335" ht="15.75" customHeight="1" s="108">
      <c r="A335" s="83" t="inlineStr">
        <is>
          <t>F0331</t>
        </is>
      </c>
      <c r="B335" s="83" t="inlineStr">
        <is>
          <t>WALL·E</t>
        </is>
      </c>
      <c r="C335" s="88" t="inlineStr">
        <is>
          <t>2008</t>
        </is>
      </c>
      <c r="D335" s="84" t="n"/>
      <c r="E335" s="89" t="n"/>
      <c r="F335" s="90" t="n"/>
      <c r="G335" s="91" t="n"/>
      <c r="H335" s="91" t="n"/>
      <c r="I335" s="92" t="n"/>
      <c r="J335" s="91" t="n"/>
      <c r="K335" s="89" t="n"/>
      <c r="L335" s="89">
        <f>IF(COUNT(E335,G335,H335,I335,J335,K335)=0,"",ROUND((IF(E335="",0,E335*10)+IF(G335="",0,G335)+IF(H335="",0,H335)+IF(I335="",0,I335*20)+IF(J335="",0,J335)+IF(K335="",0,K335*10))/COUNT(E335,G335,H335,I335,J335,K335),1))</f>
        <v/>
      </c>
      <c r="M335" s="83">
        <f>IF(L335="","",IF(L335&gt;=85,"Excellent",IF(L335&gt;=70,"Good",IF(L335&gt;=55,"Mixed","Poor"))))</f>
        <v/>
      </c>
      <c r="N335" s="96" t="n"/>
      <c r="O335" s="83" t="inlineStr">
        <is>
          <t>https://www.imdb.com/find/?q=WALL%C2%B7E+2008</t>
        </is>
      </c>
      <c r="P335" s="83" t="inlineStr">
        <is>
          <t>https://www.rottentomatoes.com/search?search=WALL%C2%B7E</t>
        </is>
      </c>
      <c r="Q335" s="83" t="inlineStr">
        <is>
          <t>https://letterboxd.com/search/WALL%C2%B7E/</t>
        </is>
      </c>
      <c r="R335" s="83" t="inlineStr">
        <is>
          <t>https://www.metacritic.com/search/WALL%C2%B7E/</t>
        </is>
      </c>
    </row>
    <row r="336" ht="15.75" customHeight="1" s="108">
      <c r="A336" s="83" t="inlineStr">
        <is>
          <t>F0332</t>
        </is>
      </c>
      <c r="B336" s="83" t="inlineStr">
        <is>
          <t>War of the Worlds</t>
        </is>
      </c>
      <c r="C336" s="88" t="inlineStr">
        <is>
          <t>2005</t>
        </is>
      </c>
      <c r="D336" s="84" t="n"/>
      <c r="E336" s="89" t="n"/>
      <c r="F336" s="90" t="n"/>
      <c r="G336" s="91" t="n"/>
      <c r="H336" s="91" t="n"/>
      <c r="I336" s="92" t="n"/>
      <c r="J336" s="91" t="n"/>
      <c r="K336" s="89" t="n"/>
      <c r="L336" s="89">
        <f>IF(COUNT(E336,G336,H336,I336,J336,K336)=0,"",ROUND((IF(E336="",0,E336*10)+IF(G336="",0,G336)+IF(H336="",0,H336)+IF(I336="",0,I336*20)+IF(J336="",0,J336)+IF(K336="",0,K336*10))/COUNT(E336,G336,H336,I336,J336,K336),1))</f>
        <v/>
      </c>
      <c r="M336" s="83">
        <f>IF(L336="","",IF(L336&gt;=85,"Excellent",IF(L336&gt;=70,"Good",IF(L336&gt;=55,"Mixed","Poor"))))</f>
        <v/>
      </c>
      <c r="N336" s="96" t="n"/>
      <c r="O336" s="83" t="inlineStr">
        <is>
          <t>https://www.imdb.com/find/?q=War+of+the+Worlds+2005</t>
        </is>
      </c>
      <c r="P336" s="83" t="inlineStr">
        <is>
          <t>https://www.rottentomatoes.com/search?search=War+of+the+Worlds</t>
        </is>
      </c>
      <c r="Q336" s="83" t="inlineStr">
        <is>
          <t>https://letterboxd.com/search/War%20of%20the%20Worlds/</t>
        </is>
      </c>
      <c r="R336" s="83" t="inlineStr">
        <is>
          <t>https://www.metacritic.com/search/War+of+the+Worlds/</t>
        </is>
      </c>
    </row>
    <row r="337" ht="15.75" customHeight="1" s="108">
      <c r="A337" s="83" t="inlineStr">
        <is>
          <t>F0333</t>
        </is>
      </c>
      <c r="B337" s="83" t="inlineStr">
        <is>
          <t>Warrior</t>
        </is>
      </c>
      <c r="C337" s="88" t="inlineStr">
        <is>
          <t>2011</t>
        </is>
      </c>
      <c r="D337" s="84" t="n"/>
      <c r="E337" s="89" t="n"/>
      <c r="F337" s="90" t="n"/>
      <c r="G337" s="91" t="n"/>
      <c r="H337" s="91" t="n"/>
      <c r="I337" s="92" t="n"/>
      <c r="J337" s="91" t="n"/>
      <c r="K337" s="89" t="n"/>
      <c r="L337" s="89">
        <f>IF(COUNT(E337,G337,H337,I337,J337,K337)=0,"",ROUND((IF(E337="",0,E337*10)+IF(G337="",0,G337)+IF(H337="",0,H337)+IF(I337="",0,I337*20)+IF(J337="",0,J337)+IF(K337="",0,K337*10))/COUNT(E337,G337,H337,I337,J337,K337),1))</f>
        <v/>
      </c>
      <c r="M337" s="83">
        <f>IF(L337="","",IF(L337&gt;=85,"Excellent",IF(L337&gt;=70,"Good",IF(L337&gt;=55,"Mixed","Poor"))))</f>
        <v/>
      </c>
      <c r="N337" s="96" t="n"/>
      <c r="O337" s="83" t="inlineStr">
        <is>
          <t>https://www.imdb.com/find/?q=Warrior+2011</t>
        </is>
      </c>
      <c r="P337" s="83" t="inlineStr">
        <is>
          <t>https://www.rottentomatoes.com/search?search=Warrior</t>
        </is>
      </c>
      <c r="Q337" s="83" t="inlineStr">
        <is>
          <t>https://letterboxd.com/search/Warrior/</t>
        </is>
      </c>
      <c r="R337" s="83" t="inlineStr">
        <is>
          <t>https://www.metacritic.com/search/Warrior/</t>
        </is>
      </c>
    </row>
    <row r="338" ht="15.75" customHeight="1" s="108">
      <c r="A338" s="83" t="inlineStr">
        <is>
          <t>F0334</t>
        </is>
      </c>
      <c r="B338" s="83" t="inlineStr">
        <is>
          <t>The Warriors</t>
        </is>
      </c>
      <c r="C338" s="88" t="inlineStr">
        <is>
          <t>1979</t>
        </is>
      </c>
      <c r="D338" s="84" t="n"/>
      <c r="E338" s="89" t="n"/>
      <c r="F338" s="90" t="n"/>
      <c r="G338" s="91" t="n"/>
      <c r="H338" s="91" t="n"/>
      <c r="I338" s="92" t="n"/>
      <c r="J338" s="91" t="n"/>
      <c r="K338" s="89" t="n"/>
      <c r="L338" s="89">
        <f>IF(COUNT(E338,G338,H338,I338,J338,K338)=0,"",ROUND((IF(E338="",0,E338*10)+IF(G338="",0,G338)+IF(H338="",0,H338)+IF(I338="",0,I338*20)+IF(J338="",0,J338)+IF(K338="",0,K338*10))/COUNT(E338,G338,H338,I338,J338,K338),1))</f>
        <v/>
      </c>
      <c r="M338" s="83">
        <f>IF(L338="","",IF(L338&gt;=85,"Excellent",IF(L338&gt;=70,"Good",IF(L338&gt;=55,"Mixed","Poor"))))</f>
        <v/>
      </c>
      <c r="N338" s="96" t="n"/>
      <c r="O338" s="83" t="inlineStr">
        <is>
          <t>https://www.imdb.com/find/?q=The+Warriors+1979</t>
        </is>
      </c>
      <c r="P338" s="83" t="inlineStr">
        <is>
          <t>https://www.rottentomatoes.com/search?search=The+Warriors</t>
        </is>
      </c>
      <c r="Q338" s="83" t="inlineStr">
        <is>
          <t>https://letterboxd.com/search/The%20Warriors/</t>
        </is>
      </c>
      <c r="R338" s="83" t="inlineStr">
        <is>
          <t>https://www.metacritic.com/search/The+Warriors/</t>
        </is>
      </c>
    </row>
    <row r="339" ht="15.75" customHeight="1" s="108">
      <c r="A339" s="83" t="inlineStr">
        <is>
          <t>F0335</t>
        </is>
      </c>
      <c r="B339" s="83" t="inlineStr">
        <is>
          <t>White House Down</t>
        </is>
      </c>
      <c r="C339" s="88" t="inlineStr">
        <is>
          <t>2013</t>
        </is>
      </c>
      <c r="D339" s="84" t="n"/>
      <c r="E339" s="89" t="n"/>
      <c r="F339" s="90" t="n"/>
      <c r="G339" s="91" t="n"/>
      <c r="H339" s="91" t="n"/>
      <c r="I339" s="92" t="n"/>
      <c r="J339" s="91" t="n"/>
      <c r="K339" s="89" t="n"/>
      <c r="L339" s="89">
        <f>IF(COUNT(E339,G339,H339,I339,J339,K339)=0,"",ROUND((IF(E339="",0,E339*10)+IF(G339="",0,G339)+IF(H339="",0,H339)+IF(I339="",0,I339*20)+IF(J339="",0,J339)+IF(K339="",0,K339*10))/COUNT(E339,G339,H339,I339,J339,K339),1))</f>
        <v/>
      </c>
      <c r="M339" s="83">
        <f>IF(L339="","",IF(L339&gt;=85,"Excellent",IF(L339&gt;=70,"Good",IF(L339&gt;=55,"Mixed","Poor"))))</f>
        <v/>
      </c>
      <c r="N339" s="96" t="n"/>
      <c r="O339" s="83" t="inlineStr">
        <is>
          <t>https://www.imdb.com/find/?q=White+House+Down+2013</t>
        </is>
      </c>
      <c r="P339" s="83" t="inlineStr">
        <is>
          <t>https://www.rottentomatoes.com/search?search=White+House+Down</t>
        </is>
      </c>
      <c r="Q339" s="83" t="inlineStr">
        <is>
          <t>https://letterboxd.com/search/White%20House%20Down/</t>
        </is>
      </c>
      <c r="R339" s="83" t="inlineStr">
        <is>
          <t>https://www.metacritic.com/search/White+House+Down/</t>
        </is>
      </c>
    </row>
    <row r="340" ht="15.75" customHeight="1" s="108">
      <c r="A340" s="83" t="inlineStr">
        <is>
          <t>F0336</t>
        </is>
      </c>
      <c r="B340" s="83" t="inlineStr">
        <is>
          <t>Wreck-It Ralph</t>
        </is>
      </c>
      <c r="C340" s="88" t="inlineStr">
        <is>
          <t>2012</t>
        </is>
      </c>
      <c r="D340" s="84" t="n"/>
      <c r="E340" s="89" t="n"/>
      <c r="F340" s="90" t="n"/>
      <c r="G340" s="91" t="n"/>
      <c r="H340" s="91" t="n"/>
      <c r="I340" s="92" t="n"/>
      <c r="J340" s="91" t="n"/>
      <c r="K340" s="89" t="n"/>
      <c r="L340" s="89">
        <f>IF(COUNT(E340,G340,H340,I340,J340,K340)=0,"",ROUND((IF(E340="",0,E340*10)+IF(G340="",0,G340)+IF(H340="",0,H340)+IF(I340="",0,I340*20)+IF(J340="",0,J340)+IF(K340="",0,K340*10))/COUNT(E340,G340,H340,I340,J340,K340),1))</f>
        <v/>
      </c>
      <c r="M340" s="83">
        <f>IF(L340="","",IF(L340&gt;=85,"Excellent",IF(L340&gt;=70,"Good",IF(L340&gt;=55,"Mixed","Poor"))))</f>
        <v/>
      </c>
      <c r="N340" s="96" t="n"/>
      <c r="O340" s="83" t="inlineStr">
        <is>
          <t>https://www.imdb.com/find/?q=Wreck-It+Ralph+2012</t>
        </is>
      </c>
      <c r="P340" s="83" t="inlineStr">
        <is>
          <t>https://www.rottentomatoes.com/search?search=Wreck-It+Ralph</t>
        </is>
      </c>
      <c r="Q340" s="83" t="inlineStr">
        <is>
          <t>https://letterboxd.com/search/Wreck-It%20Ralph/</t>
        </is>
      </c>
      <c r="R340" s="83" t="inlineStr">
        <is>
          <t>https://www.metacritic.com/search/Wreck-It+Ralph/</t>
        </is>
      </c>
    </row>
    <row r="341" ht="15.75" customHeight="1" s="108">
      <c r="A341" s="83" t="inlineStr">
        <is>
          <t>F0337</t>
        </is>
      </c>
      <c r="B341" s="83" t="inlineStr">
        <is>
          <t>Ralph Breaks the Internet</t>
        </is>
      </c>
      <c r="C341" s="88" t="inlineStr">
        <is>
          <t>2018</t>
        </is>
      </c>
      <c r="D341" s="84" t="n"/>
      <c r="E341" s="89" t="n"/>
      <c r="F341" s="90" t="n"/>
      <c r="G341" s="91" t="n"/>
      <c r="H341" s="91" t="n"/>
      <c r="I341" s="92" t="n"/>
      <c r="J341" s="91" t="n"/>
      <c r="K341" s="89" t="n"/>
      <c r="L341" s="89">
        <f>IF(COUNT(E341,G341,H341,I341,J341,K341)=0,"",ROUND((IF(E341="",0,E341*10)+IF(G341="",0,G341)+IF(H341="",0,H341)+IF(I341="",0,I341*20)+IF(J341="",0,J341)+IF(K341="",0,K341*10))/COUNT(E341,G341,H341,I341,J341,K341),1))</f>
        <v/>
      </c>
      <c r="M341" s="83">
        <f>IF(L341="","",IF(L341&gt;=85,"Excellent",IF(L341&gt;=70,"Good",IF(L341&gt;=55,"Mixed","Poor"))))</f>
        <v/>
      </c>
      <c r="N341" s="96" t="n"/>
      <c r="O341" s="83" t="inlineStr">
        <is>
          <t>https://www.imdb.com/find/?q=Ralph+Breaks+the+Internet+2018</t>
        </is>
      </c>
      <c r="P341" s="83" t="inlineStr">
        <is>
          <t>https://www.rottentomatoes.com/search?search=Ralph+Breaks+the+Internet</t>
        </is>
      </c>
      <c r="Q341" s="83" t="inlineStr">
        <is>
          <t>https://letterboxd.com/search/Ralph%20Breaks%20the%20Internet/</t>
        </is>
      </c>
      <c r="R341" s="83" t="inlineStr">
        <is>
          <t>https://www.metacritic.com/search/Ralph+Breaks+the+Internet/</t>
        </is>
      </c>
    </row>
    <row r="342" ht="15.75" customHeight="1" s="108">
      <c r="A342" s="83" t="inlineStr">
        <is>
          <t>F0338</t>
        </is>
      </c>
      <c r="B342" s="83" t="inlineStr">
        <is>
          <t>Wonka</t>
        </is>
      </c>
      <c r="C342" s="88" t="inlineStr">
        <is>
          <t>2023</t>
        </is>
      </c>
      <c r="D342" s="83" t="n">
        <v>5</v>
      </c>
      <c r="E342" s="89" t="n"/>
      <c r="F342" s="90" t="n"/>
      <c r="G342" s="91" t="n"/>
      <c r="H342" s="91" t="n"/>
      <c r="I342" s="92" t="n"/>
      <c r="J342" s="91" t="n"/>
      <c r="K342" s="89" t="n"/>
      <c r="L342" s="89">
        <f>IF(COUNT(E342,G342,H342,I342,J342,K342)=0,"",ROUND((IF(E342="",0,E342*10)+IF(G342="",0,G342)+IF(H342="",0,H342)+IF(I342="",0,I342*20)+IF(J342="",0,J342)+IF(K342="",0,K342*10))/COUNT(E342,G342,H342,I342,J342,K342),1))</f>
        <v/>
      </c>
      <c r="M342" s="83">
        <f>IF(L342="","",IF(L342&gt;=85,"Excellent",IF(L342&gt;=70,"Good",IF(L342&gt;=55,"Mixed","Poor"))))</f>
        <v/>
      </c>
      <c r="N342" s="96" t="n"/>
      <c r="O342" s="83" t="inlineStr">
        <is>
          <t>https://www.imdb.com/find/?q=Wonka+2023</t>
        </is>
      </c>
      <c r="P342" s="83" t="inlineStr">
        <is>
          <t>https://www.rottentomatoes.com/search?search=Wonka</t>
        </is>
      </c>
      <c r="Q342" s="83" t="inlineStr">
        <is>
          <t>https://letterboxd.com/search/Wonka/</t>
        </is>
      </c>
      <c r="R342" s="83" t="inlineStr">
        <is>
          <t>https://www.metacritic.com/search/Wonka/</t>
        </is>
      </c>
    </row>
    <row r="343" ht="15.75" customHeight="1" s="108">
      <c r="A343" s="83" t="inlineStr">
        <is>
          <t>F0339</t>
        </is>
      </c>
      <c r="B343" s="83" t="inlineStr">
        <is>
          <t>Willy Wonka &amp; the Chocolate Factory</t>
        </is>
      </c>
      <c r="C343" s="88" t="inlineStr">
        <is>
          <t>1971</t>
        </is>
      </c>
      <c r="D343" s="84" t="n"/>
      <c r="E343" s="89" t="n"/>
      <c r="F343" s="90" t="n"/>
      <c r="G343" s="91" t="n"/>
      <c r="H343" s="91" t="n"/>
      <c r="I343" s="92" t="n"/>
      <c r="J343" s="91" t="n"/>
      <c r="K343" s="89" t="n"/>
      <c r="L343" s="89">
        <f>IF(COUNT(E343,G343,H343,I343,J343,K343)=0,"",ROUND((IF(E343="",0,E343*10)+IF(G343="",0,G343)+IF(H343="",0,H343)+IF(I343="",0,I343*20)+IF(J343="",0,J343)+IF(K343="",0,K343*10))/COUNT(E343,G343,H343,I343,J343,K343),1))</f>
        <v/>
      </c>
      <c r="M343" s="83">
        <f>IF(L343="","",IF(L343&gt;=85,"Excellent",IF(L343&gt;=70,"Good",IF(L343&gt;=55,"Mixed","Poor"))))</f>
        <v/>
      </c>
      <c r="N343" s="96" t="n"/>
      <c r="O343" s="83" t="inlineStr">
        <is>
          <t>https://www.imdb.com/find/?q=Willy+Wonka+%26+the+Chocolate+Factory+1971</t>
        </is>
      </c>
      <c r="P343" s="83" t="inlineStr">
        <is>
          <t>https://www.rottentomatoes.com/search?search=Willy+Wonka+%26+the+Chocolate+Factory</t>
        </is>
      </c>
      <c r="Q343" s="83" t="inlineStr">
        <is>
          <t>https://letterboxd.com/search/Willy%20Wonka%20%26%20the%20Chocolate%20Factory/</t>
        </is>
      </c>
      <c r="R343" s="83" t="inlineStr">
        <is>
          <t>https://www.metacritic.com/search/Willy+Wonka+%26+the+Chocolate+Factory/</t>
        </is>
      </c>
    </row>
    <row r="344" ht="15.75" customHeight="1" s="108">
      <c r="A344" s="83" t="inlineStr">
        <is>
          <t>F0340</t>
        </is>
      </c>
      <c r="B344" s="83" t="inlineStr">
        <is>
          <t>X-Men: First Class</t>
        </is>
      </c>
      <c r="C344" s="88" t="inlineStr">
        <is>
          <t>2011</t>
        </is>
      </c>
      <c r="D344" s="84" t="n">
        <v>5</v>
      </c>
      <c r="E344" s="89" t="n"/>
      <c r="F344" s="90" t="n"/>
      <c r="G344" s="91" t="n"/>
      <c r="H344" s="91" t="n"/>
      <c r="I344" s="92" t="n"/>
      <c r="J344" s="91" t="n"/>
      <c r="K344" s="89" t="n"/>
      <c r="L344" s="89">
        <f>IF(COUNT(E344,G344,H344,I344,J344,K344)=0,"",ROUND((IF(E344="",0,E344*10)+IF(G344="",0,G344)+IF(H344="",0,H344)+IF(I344="",0,I344*20)+IF(J344="",0,J344)+IF(K344="",0,K344*10))/COUNT(E344,G344,H344,I344,J344,K344),1))</f>
        <v/>
      </c>
      <c r="M344" s="83">
        <f>IF(L344="","",IF(L344&gt;=85,"Excellent",IF(L344&gt;=70,"Good",IF(L344&gt;=55,"Mixed","Poor"))))</f>
        <v/>
      </c>
      <c r="N344" s="96" t="n"/>
      <c r="O344" s="83" t="inlineStr">
        <is>
          <t>https://www.imdb.com/find/?q=X-Men%3A+First+Class+2011</t>
        </is>
      </c>
      <c r="P344" s="83" t="inlineStr">
        <is>
          <t>https://www.rottentomatoes.com/search?search=X-Men%3A+First+Class</t>
        </is>
      </c>
      <c r="Q344" s="83" t="inlineStr">
        <is>
          <t>https://letterboxd.com/search/X-Men%3A%20First%20Class/</t>
        </is>
      </c>
      <c r="R344" s="83" t="inlineStr">
        <is>
          <t>https://www.metacritic.com/search/X-Men%3A+First+Class/</t>
        </is>
      </c>
    </row>
    <row r="345" ht="15.75" customHeight="1" s="108">
      <c r="A345" s="83" t="inlineStr">
        <is>
          <t>F0341</t>
        </is>
      </c>
      <c r="B345" s="83" t="inlineStr">
        <is>
          <t>X-Men: Days of Future Past</t>
        </is>
      </c>
      <c r="C345" s="88" t="inlineStr">
        <is>
          <t>2014</t>
        </is>
      </c>
      <c r="D345" s="84" t="n">
        <v>4</v>
      </c>
      <c r="E345" s="89" t="n"/>
      <c r="F345" s="90" t="n"/>
      <c r="G345" s="91" t="n"/>
      <c r="H345" s="91" t="n"/>
      <c r="I345" s="92" t="n"/>
      <c r="J345" s="91" t="n"/>
      <c r="K345" s="89" t="n"/>
      <c r="L345" s="89">
        <f>IF(COUNT(E345,G345,H345,I345,J345,K345)=0,"",ROUND((IF(E345="",0,E345*10)+IF(G345="",0,G345)+IF(H345="",0,H345)+IF(I345="",0,I345*20)+IF(J345="",0,J345)+IF(K345="",0,K345*10))/COUNT(E345,G345,H345,I345,J345,K345),1))</f>
        <v/>
      </c>
      <c r="M345" s="83">
        <f>IF(L345="","",IF(L345&gt;=85,"Excellent",IF(L345&gt;=70,"Good",IF(L345&gt;=55,"Mixed","Poor"))))</f>
        <v/>
      </c>
      <c r="N345" s="96" t="n"/>
      <c r="O345" s="83" t="inlineStr">
        <is>
          <t>https://www.imdb.com/find/?q=X-Men%3A+Days+of+Future+Past+2014</t>
        </is>
      </c>
      <c r="P345" s="83" t="inlineStr">
        <is>
          <t>https://www.rottentomatoes.com/search?search=X-Men%3A+Days+of+Future+Past</t>
        </is>
      </c>
      <c r="Q345" s="83" t="inlineStr">
        <is>
          <t>https://letterboxd.com/search/X-Men%3A%20Days%20of%20Future%20Past/</t>
        </is>
      </c>
      <c r="R345" s="83" t="inlineStr">
        <is>
          <t>https://www.metacritic.com/search/X-Men%3A+Days+of+Future+Past/</t>
        </is>
      </c>
    </row>
    <row r="346" ht="15.75" customHeight="1" s="108">
      <c r="A346" s="83" t="inlineStr">
        <is>
          <t>F0342</t>
        </is>
      </c>
      <c r="B346" s="83" t="inlineStr">
        <is>
          <t>X-Men: Apocalypse</t>
        </is>
      </c>
      <c r="C346" s="88" t="inlineStr">
        <is>
          <t>2016</t>
        </is>
      </c>
      <c r="D346" s="84" t="n">
        <v>3</v>
      </c>
      <c r="E346" s="89" t="n"/>
      <c r="F346" s="90" t="n"/>
      <c r="G346" s="91" t="n"/>
      <c r="H346" s="91" t="n"/>
      <c r="I346" s="92" t="n"/>
      <c r="J346" s="91" t="n"/>
      <c r="K346" s="89" t="n"/>
      <c r="L346" s="89">
        <f>IF(COUNT(E346,G346,H346,I346,J346,K346)=0,"",ROUND((IF(E346="",0,E346*10)+IF(G346="",0,G346)+IF(H346="",0,H346)+IF(I346="",0,I346*20)+IF(J346="",0,J346)+IF(K346="",0,K346*10))/COUNT(E346,G346,H346,I346,J346,K346),1))</f>
        <v/>
      </c>
      <c r="M346" s="83">
        <f>IF(L346="","",IF(L346&gt;=85,"Excellent",IF(L346&gt;=70,"Good",IF(L346&gt;=55,"Mixed","Poor"))))</f>
        <v/>
      </c>
      <c r="N346" s="96" t="n"/>
      <c r="O346" s="83" t="inlineStr">
        <is>
          <t>https://www.imdb.com/find/?q=X-Men%3A+Apocalypse+2016</t>
        </is>
      </c>
      <c r="P346" s="83" t="inlineStr">
        <is>
          <t>https://www.rottentomatoes.com/search?search=X-Men%3A+Apocalypse</t>
        </is>
      </c>
      <c r="Q346" s="83" t="inlineStr">
        <is>
          <t>https://letterboxd.com/search/X-Men%3A%20Apocalypse/</t>
        </is>
      </c>
      <c r="R346" s="83" t="inlineStr">
        <is>
          <t>https://www.metacritic.com/search/X-Men%3A+Apocalypse/</t>
        </is>
      </c>
    </row>
    <row r="347" ht="15.75" customHeight="1" s="108">
      <c r="A347" s="83" t="inlineStr">
        <is>
          <t>F0343</t>
        </is>
      </c>
      <c r="B347" s="83" t="inlineStr">
        <is>
          <t>X-Men Origins: Wolverine</t>
        </is>
      </c>
      <c r="C347" s="88" t="inlineStr">
        <is>
          <t>2009</t>
        </is>
      </c>
      <c r="D347" s="84" t="n"/>
      <c r="E347" s="89" t="n"/>
      <c r="F347" s="90" t="n"/>
      <c r="G347" s="91" t="n"/>
      <c r="H347" s="91" t="n"/>
      <c r="I347" s="92" t="n"/>
      <c r="J347" s="91" t="n"/>
      <c r="K347" s="89" t="n"/>
      <c r="L347" s="89">
        <f>IF(COUNT(E347,G347,H347,I347,J347,K347)=0,"",ROUND((IF(E347="",0,E347*10)+IF(G347="",0,G347)+IF(H347="",0,H347)+IF(I347="",0,I347*20)+IF(J347="",0,J347)+IF(K347="",0,K347*10))/COUNT(E347,G347,H347,I347,J347,K347),1))</f>
        <v/>
      </c>
      <c r="M347" s="83">
        <f>IF(L347="","",IF(L347&gt;=85,"Excellent",IF(L347&gt;=70,"Good",IF(L347&gt;=55,"Mixed","Poor"))))</f>
        <v/>
      </c>
      <c r="N347" s="96" t="n"/>
      <c r="O347" s="83" t="inlineStr">
        <is>
          <t>https://www.imdb.com/find/?q=X-Men+Origins%3A+Wolverine+2009</t>
        </is>
      </c>
      <c r="P347" s="83" t="inlineStr">
        <is>
          <t>https://www.rottentomatoes.com/search?search=X-Men+Origins%3A+Wolverine</t>
        </is>
      </c>
      <c r="Q347" s="83" t="inlineStr">
        <is>
          <t>https://letterboxd.com/search/X-Men%20Origins%3A%20Wolverine/</t>
        </is>
      </c>
      <c r="R347" s="83" t="inlineStr">
        <is>
          <t>https://www.metacritic.com/search/X-Men+Origins%3A+Wolverine/</t>
        </is>
      </c>
    </row>
    <row r="348" ht="15.75" customHeight="1" s="108">
      <c r="A348" s="83" t="inlineStr">
        <is>
          <t>F0344</t>
        </is>
      </c>
      <c r="B348" s="83" t="inlineStr">
        <is>
          <t>X-Men</t>
        </is>
      </c>
      <c r="C348" s="88" t="inlineStr">
        <is>
          <t>2000</t>
        </is>
      </c>
      <c r="D348" s="84" t="n">
        <v>4</v>
      </c>
      <c r="E348" s="89" t="n"/>
      <c r="F348" s="90" t="n"/>
      <c r="G348" s="91" t="n"/>
      <c r="H348" s="91" t="n"/>
      <c r="I348" s="92" t="n"/>
      <c r="J348" s="91" t="n"/>
      <c r="K348" s="89" t="n"/>
      <c r="L348" s="89">
        <f>IF(COUNT(E348,G348,H348,I348,J348,K348)=0,"",ROUND((IF(E348="",0,E348*10)+IF(G348="",0,G348)+IF(H348="",0,H348)+IF(I348="",0,I348*20)+IF(J348="",0,J348)+IF(K348="",0,K348*10))/COUNT(E348,G348,H348,I348,J348,K348),1))</f>
        <v/>
      </c>
      <c r="M348" s="83">
        <f>IF(L348="","",IF(L348&gt;=85,"Excellent",IF(L348&gt;=70,"Good",IF(L348&gt;=55,"Mixed","Poor"))))</f>
        <v/>
      </c>
      <c r="N348" s="96" t="n"/>
      <c r="O348" s="83" t="inlineStr">
        <is>
          <t>https://www.imdb.com/find/?q=X-Men+2000</t>
        </is>
      </c>
      <c r="P348" s="83" t="inlineStr">
        <is>
          <t>https://www.rottentomatoes.com/search?search=X-Men</t>
        </is>
      </c>
      <c r="Q348" s="83" t="inlineStr">
        <is>
          <t>https://letterboxd.com/search/X-Men/</t>
        </is>
      </c>
      <c r="R348" s="83" t="inlineStr">
        <is>
          <t>https://www.metacritic.com/search/X-Men/</t>
        </is>
      </c>
    </row>
    <row r="349" ht="15.75" customHeight="1" s="108">
      <c r="A349" s="83" t="inlineStr">
        <is>
          <t>F0345</t>
        </is>
      </c>
      <c r="B349" s="83" t="inlineStr">
        <is>
          <t>X2: X-Men United</t>
        </is>
      </c>
      <c r="C349" s="88" t="inlineStr">
        <is>
          <t>2003</t>
        </is>
      </c>
      <c r="D349" s="84" t="n">
        <v>4</v>
      </c>
      <c r="E349" s="89" t="n"/>
      <c r="F349" s="90" t="n"/>
      <c r="G349" s="91" t="n"/>
      <c r="H349" s="91" t="n"/>
      <c r="I349" s="92" t="n"/>
      <c r="J349" s="91" t="n"/>
      <c r="K349" s="89" t="n"/>
      <c r="L349" s="89">
        <f>IF(COUNT(E349,G349,H349,I349,J349,K349)=0,"",ROUND((IF(E349="",0,E349*10)+IF(G349="",0,G349)+IF(H349="",0,H349)+IF(I349="",0,I349*20)+IF(J349="",0,J349)+IF(K349="",0,K349*10))/COUNT(E349,G349,H349,I349,J349,K349),1))</f>
        <v/>
      </c>
      <c r="M349" s="83">
        <f>IF(L349="","",IF(L349&gt;=85,"Excellent",IF(L349&gt;=70,"Good",IF(L349&gt;=55,"Mixed","Poor"))))</f>
        <v/>
      </c>
      <c r="N349" s="96" t="n"/>
      <c r="O349" s="83" t="inlineStr">
        <is>
          <t>https://www.imdb.com/find/?q=X2%3A+X-Men+United+2003</t>
        </is>
      </c>
      <c r="P349" s="83" t="inlineStr">
        <is>
          <t>https://www.rottentomatoes.com/search?search=X2%3A+X-Men+United</t>
        </is>
      </c>
      <c r="Q349" s="83" t="inlineStr">
        <is>
          <t>https://letterboxd.com/search/X2%3A%20X-Men%20United/</t>
        </is>
      </c>
      <c r="R349" s="83" t="inlineStr">
        <is>
          <t>https://www.metacritic.com/search/X2%3A+X-Men+United/</t>
        </is>
      </c>
    </row>
    <row r="350" ht="15.75" customHeight="1" s="108">
      <c r="A350" s="83" t="inlineStr">
        <is>
          <t>F0346</t>
        </is>
      </c>
      <c r="B350" s="83" t="inlineStr">
        <is>
          <t>X-Men: The Last Stand</t>
        </is>
      </c>
      <c r="C350" s="88" t="inlineStr">
        <is>
          <t>2006</t>
        </is>
      </c>
      <c r="D350" s="84" t="n">
        <v>1</v>
      </c>
      <c r="E350" s="89" t="n"/>
      <c r="F350" s="90" t="n"/>
      <c r="G350" s="91" t="n"/>
      <c r="H350" s="91" t="n"/>
      <c r="I350" s="92" t="n"/>
      <c r="J350" s="91" t="n"/>
      <c r="K350" s="89" t="n"/>
      <c r="L350" s="89">
        <f>IF(COUNT(E350,G350,H350,I350,J350,K350)=0,"",ROUND((IF(E350="",0,E350*10)+IF(G350="",0,G350)+IF(H350="",0,H350)+IF(I350="",0,I350*20)+IF(J350="",0,J350)+IF(K350="",0,K350*10))/COUNT(E350,G350,H350,I350,J350,K350),1))</f>
        <v/>
      </c>
      <c r="M350" s="83">
        <f>IF(L350="","",IF(L350&gt;=85,"Excellent",IF(L350&gt;=70,"Good",IF(L350&gt;=55,"Mixed","Poor"))))</f>
        <v/>
      </c>
      <c r="N350" s="96" t="n"/>
      <c r="O350" s="83" t="inlineStr">
        <is>
          <t>https://www.imdb.com/find/?q=X-Men%3A+The+Last+Stand+2006</t>
        </is>
      </c>
      <c r="P350" s="83" t="inlineStr">
        <is>
          <t>https://www.rottentomatoes.com/search?search=X-Men%3A+The+Last+Stand</t>
        </is>
      </c>
      <c r="Q350" s="83" t="inlineStr">
        <is>
          <t>https://letterboxd.com/search/X-Men%3A%20The%20Last%20Stand/</t>
        </is>
      </c>
      <c r="R350" s="83" t="inlineStr">
        <is>
          <t>https://www.metacritic.com/search/X-Men%3A+The+Last+Stand/</t>
        </is>
      </c>
    </row>
    <row r="351" ht="15.75" customHeight="1" s="108">
      <c r="A351" s="83" t="inlineStr">
        <is>
          <t>F0347</t>
        </is>
      </c>
      <c r="B351" s="83" t="inlineStr">
        <is>
          <t>The Wolverine</t>
        </is>
      </c>
      <c r="C351" s="88" t="inlineStr">
        <is>
          <t>2013</t>
        </is>
      </c>
      <c r="D351" s="84" t="n"/>
      <c r="E351" s="89" t="n"/>
      <c r="F351" s="90" t="n"/>
      <c r="G351" s="91" t="n"/>
      <c r="H351" s="91" t="n"/>
      <c r="I351" s="92" t="n"/>
      <c r="J351" s="91" t="n"/>
      <c r="K351" s="89" t="n"/>
      <c r="L351" s="89">
        <f>IF(COUNT(E351,G351,H351,I351,J351,K351)=0,"",ROUND((IF(E351="",0,E351*10)+IF(G351="",0,G351)+IF(H351="",0,H351)+IF(I351="",0,I351*20)+IF(J351="",0,J351)+IF(K351="",0,K351*10))/COUNT(E351,G351,H351,I351,J351,K351),1))</f>
        <v/>
      </c>
      <c r="M351" s="83">
        <f>IF(L351="","",IF(L351&gt;=85,"Excellent",IF(L351&gt;=70,"Good",IF(L351&gt;=55,"Mixed","Poor"))))</f>
        <v/>
      </c>
      <c r="N351" s="96" t="n"/>
      <c r="O351" s="83" t="inlineStr">
        <is>
          <t>https://www.imdb.com/find/?q=The+Wolverine+2013</t>
        </is>
      </c>
      <c r="P351" s="83" t="inlineStr">
        <is>
          <t>https://www.rottentomatoes.com/search?search=The+Wolverine</t>
        </is>
      </c>
      <c r="Q351" s="83" t="inlineStr">
        <is>
          <t>https://letterboxd.com/search/The%20Wolverine/</t>
        </is>
      </c>
      <c r="R351" s="83" t="inlineStr">
        <is>
          <t>https://www.metacritic.com/search/The+Wolverine/</t>
        </is>
      </c>
    </row>
    <row r="352" ht="15.75" customHeight="1" s="108">
      <c r="A352" s="83" t="inlineStr">
        <is>
          <t>F0348</t>
        </is>
      </c>
      <c r="B352" s="83" t="inlineStr">
        <is>
          <t>Yogi Bear</t>
        </is>
      </c>
      <c r="C352" s="88" t="inlineStr">
        <is>
          <t>2010</t>
        </is>
      </c>
      <c r="D352" s="84" t="n"/>
      <c r="E352" s="89" t="n"/>
      <c r="F352" s="90" t="n"/>
      <c r="G352" s="91" t="n"/>
      <c r="H352" s="91" t="n"/>
      <c r="I352" s="92" t="n"/>
      <c r="J352" s="91" t="n"/>
      <c r="K352" s="89" t="n"/>
      <c r="L352" s="89">
        <f>IF(COUNT(E352,G352,H352,I352,J352,K352)=0,"",ROUND((IF(E352="",0,E352*10)+IF(G352="",0,G352)+IF(H352="",0,H352)+IF(I352="",0,I352*20)+IF(J352="",0,J352)+IF(K352="",0,K352*10))/COUNT(E352,G352,H352,I352,J352,K352),1))</f>
        <v/>
      </c>
      <c r="M352" s="83">
        <f>IF(L352="","",IF(L352&gt;=85,"Excellent",IF(L352&gt;=70,"Good",IF(L352&gt;=55,"Mixed","Poor"))))</f>
        <v/>
      </c>
      <c r="N352" s="96" t="n"/>
      <c r="O352" s="83" t="inlineStr">
        <is>
          <t>https://www.imdb.com/find/?q=Yogi+Bear+2010</t>
        </is>
      </c>
      <c r="P352" s="83" t="inlineStr">
        <is>
          <t>https://www.rottentomatoes.com/search?search=Yogi+Bear</t>
        </is>
      </c>
      <c r="Q352" s="83" t="inlineStr">
        <is>
          <t>https://letterboxd.com/search/Yogi%20Bear/</t>
        </is>
      </c>
      <c r="R352" s="83" t="inlineStr">
        <is>
          <t>https://www.metacritic.com/search/Yogi+Bear/</t>
        </is>
      </c>
    </row>
    <row r="353" ht="15.75" customHeight="1" s="108">
      <c r="A353" s="83" t="inlineStr">
        <is>
          <t>F0349</t>
        </is>
      </c>
      <c r="B353" s="83" t="inlineStr">
        <is>
          <t>Zero Dark Thirty</t>
        </is>
      </c>
      <c r="C353" s="88" t="inlineStr">
        <is>
          <t>2012</t>
        </is>
      </c>
      <c r="D353" s="84" t="n"/>
      <c r="E353" s="89" t="n"/>
      <c r="F353" s="90" t="n"/>
      <c r="G353" s="91" t="n"/>
      <c r="H353" s="91" t="n"/>
      <c r="I353" s="92" t="n"/>
      <c r="J353" s="91" t="n"/>
      <c r="K353" s="89" t="n"/>
      <c r="L353" s="89">
        <f>IF(COUNT(E353,G353,H353,I353,J353,K353)=0,"",ROUND((IF(E353="",0,E353*10)+IF(G353="",0,G353)+IF(H353="",0,H353)+IF(I353="",0,I353*20)+IF(J353="",0,J353)+IF(K353="",0,K353*10))/COUNT(E353,G353,H353,I353,J353,K353),1))</f>
        <v/>
      </c>
      <c r="M353" s="83">
        <f>IF(L353="","",IF(L353&gt;=85,"Excellent",IF(L353&gt;=70,"Good",IF(L353&gt;=55,"Mixed","Poor"))))</f>
        <v/>
      </c>
      <c r="N353" s="96" t="n"/>
      <c r="O353" s="83" t="inlineStr">
        <is>
          <t>https://www.imdb.com/find/?q=Zero+Dark+Thirty+2012</t>
        </is>
      </c>
      <c r="P353" s="83" t="inlineStr">
        <is>
          <t>https://www.rottentomatoes.com/search?search=Zero+Dark+Thirty</t>
        </is>
      </c>
      <c r="Q353" s="83" t="inlineStr">
        <is>
          <t>https://letterboxd.com/search/Zero%20Dark%20Thirty/</t>
        </is>
      </c>
      <c r="R353" s="83" t="inlineStr">
        <is>
          <t>https://www.metacritic.com/search/Zero+Dark+Thirty/</t>
        </is>
      </c>
    </row>
    <row r="354" ht="15.75" customHeight="1" s="108">
      <c r="A354" s="100" t="inlineStr">
        <is>
          <t>F0350</t>
        </is>
      </c>
      <c r="B354" s="100" t="inlineStr">
        <is>
          <t>Zodiac</t>
        </is>
      </c>
      <c r="C354" s="102" t="inlineStr">
        <is>
          <t>2007</t>
        </is>
      </c>
      <c r="D354" s="100" t="n"/>
      <c r="E354" s="103" t="n"/>
      <c r="F354" s="104" t="n"/>
      <c r="G354" s="105" t="n"/>
      <c r="H354" s="105" t="n"/>
      <c r="I354" s="106" t="n"/>
      <c r="J354" s="105" t="n"/>
      <c r="K354" s="103" t="n"/>
      <c r="L354" s="103">
        <f>IF(COUNT(E354,G354,H354,I354,J354,K354)=0,"",ROUND((IF(E354="",0,E354*10)+IF(G354="",0,G354)+IF(H354="",0,H354)+IF(I354="",0,I354*20)+IF(J354="",0,J354)+IF(K354="",0,K354*10))/COUNT(E354,G354,H354,I354,J354,K354),1))</f>
        <v/>
      </c>
      <c r="M354" s="100">
        <f>IF(L354="","",IF(L354&gt;=85,"Excellent",IF(L354&gt;=70,"Good",IF(L354&gt;=55,"Mixed","Poor"))))</f>
        <v/>
      </c>
      <c r="N354" s="107" t="n"/>
      <c r="O354" s="100" t="inlineStr">
        <is>
          <t>https://www.imdb.com/find/?q=Zodiac+2007</t>
        </is>
      </c>
      <c r="P354" s="100" t="inlineStr">
        <is>
          <t>https://www.rottentomatoes.com/search?search=Zodiac</t>
        </is>
      </c>
      <c r="Q354" s="100" t="inlineStr">
        <is>
          <t>https://letterboxd.com/search/Zodiac/</t>
        </is>
      </c>
      <c r="R354" s="100" t="inlineStr">
        <is>
          <t>https://www.metacritic.com/search/Zodiac/</t>
        </is>
      </c>
    </row>
    <row r="355" ht="15.75" customHeight="1" s="108">
      <c r="A355" s="4" t="n"/>
      <c r="B355" s="4" t="n"/>
      <c r="C355" s="20" t="n"/>
      <c r="D355" s="4" t="n"/>
      <c r="E355" s="4" t="n"/>
      <c r="F355" s="4" t="n"/>
      <c r="G355" s="4" t="n"/>
      <c r="H355" s="4" t="n"/>
      <c r="I355" s="4" t="n"/>
      <c r="J355" s="4" t="n"/>
      <c r="K355" s="4" t="n"/>
      <c r="L355" s="4" t="n"/>
      <c r="M355" s="4" t="n"/>
      <c r="N355" s="4" t="n"/>
      <c r="O355" s="4" t="n"/>
      <c r="P355" s="4" t="n"/>
      <c r="Q355" s="4" t="n"/>
      <c r="R355" s="4" t="n"/>
    </row>
    <row r="356" ht="15.75" customHeight="1" s="108">
      <c r="A356" s="4" t="n"/>
      <c r="B356" s="4" t="n"/>
      <c r="C356" s="20" t="n"/>
      <c r="D356" s="4" t="n"/>
      <c r="E356" s="4" t="n"/>
      <c r="F356" s="4" t="n"/>
      <c r="G356" s="4" t="n"/>
      <c r="H356" s="4" t="n"/>
      <c r="I356" s="4" t="n"/>
      <c r="J356" s="4" t="n"/>
      <c r="K356" s="4" t="n"/>
      <c r="L356" s="4" t="n"/>
      <c r="M356" s="4" t="n"/>
      <c r="N356" s="4" t="n"/>
      <c r="O356" s="4" t="n"/>
      <c r="P356" s="4" t="n"/>
      <c r="Q356" s="4" t="n"/>
      <c r="R356" s="4" t="n"/>
    </row>
    <row r="357" ht="15.75" customHeight="1" s="108">
      <c r="A357" s="4" t="n"/>
      <c r="B357" s="4" t="n"/>
      <c r="C357" s="20" t="n"/>
      <c r="D357" s="4" t="n"/>
      <c r="E357" s="4" t="n"/>
      <c r="F357" s="4" t="n"/>
      <c r="G357" s="4" t="n"/>
      <c r="H357" s="4" t="n"/>
      <c r="I357" s="4" t="n"/>
      <c r="J357" s="4" t="n"/>
      <c r="K357" s="4" t="n"/>
      <c r="L357" s="4" t="n"/>
      <c r="M357" s="4" t="n"/>
      <c r="N357" s="4" t="n"/>
      <c r="O357" s="4" t="n"/>
      <c r="P357" s="4" t="n"/>
      <c r="Q357" s="4" t="n"/>
      <c r="R357" s="4" t="n"/>
    </row>
    <row r="358" ht="15.75" customHeight="1" s="108">
      <c r="A358" s="4" t="n"/>
      <c r="B358" s="4" t="n"/>
      <c r="C358" s="20" t="n"/>
      <c r="D358" s="4" t="n"/>
      <c r="E358" s="4" t="n"/>
      <c r="F358" s="4" t="n"/>
      <c r="G358" s="4" t="n"/>
      <c r="H358" s="4" t="n"/>
      <c r="I358" s="4" t="n"/>
      <c r="J358" s="4" t="n"/>
      <c r="K358" s="4" t="n"/>
      <c r="L358" s="4" t="n"/>
      <c r="M358" s="4" t="n"/>
      <c r="N358" s="4" t="n"/>
      <c r="O358" s="4" t="n"/>
      <c r="P358" s="4" t="n"/>
      <c r="Q358" s="4" t="n"/>
      <c r="R358" s="4" t="n"/>
    </row>
    <row r="359" ht="15.75" customHeight="1" s="108">
      <c r="A359" s="4" t="n"/>
      <c r="B359" s="4" t="n"/>
      <c r="C359" s="20" t="n"/>
      <c r="D359" s="4" t="n"/>
      <c r="E359" s="4" t="n"/>
      <c r="F359" s="4" t="n"/>
      <c r="G359" s="4" t="n"/>
      <c r="H359" s="4" t="n"/>
      <c r="I359" s="4" t="n"/>
      <c r="J359" s="4" t="n"/>
      <c r="K359" s="4" t="n"/>
      <c r="L359" s="4" t="n"/>
      <c r="M359" s="4" t="n"/>
      <c r="N359" s="4" t="n"/>
      <c r="O359" s="4" t="n"/>
      <c r="P359" s="4" t="n"/>
      <c r="Q359" s="4" t="n"/>
      <c r="R359" s="4" t="n"/>
    </row>
    <row r="360" ht="15.75" customHeight="1" s="108">
      <c r="A360" s="4" t="n"/>
      <c r="B360" s="4" t="n"/>
      <c r="C360" s="20" t="n"/>
      <c r="D360" s="4" t="n"/>
      <c r="E360" s="4" t="n"/>
      <c r="F360" s="4" t="n"/>
      <c r="G360" s="4" t="n"/>
      <c r="H360" s="4" t="n"/>
      <c r="I360" s="4" t="n"/>
      <c r="J360" s="4" t="n"/>
      <c r="K360" s="4" t="n"/>
      <c r="L360" s="4" t="n"/>
      <c r="M360" s="4" t="n"/>
      <c r="N360" s="4" t="n"/>
      <c r="O360" s="4" t="n"/>
      <c r="P360" s="4" t="n"/>
      <c r="Q360" s="4" t="n"/>
      <c r="R360" s="4" t="n"/>
    </row>
    <row r="361" ht="15.75" customHeight="1" s="108">
      <c r="A361" s="4" t="n"/>
      <c r="B361" s="4" t="n"/>
      <c r="C361" s="20" t="n"/>
      <c r="D361" s="4" t="n"/>
      <c r="E361" s="4" t="n"/>
      <c r="F361" s="4" t="n"/>
      <c r="G361" s="4" t="n"/>
      <c r="H361" s="4" t="n"/>
      <c r="I361" s="4" t="n"/>
      <c r="J361" s="4" t="n"/>
      <c r="K361" s="4" t="n"/>
      <c r="L361" s="4" t="n"/>
      <c r="M361" s="4" t="n"/>
      <c r="N361" s="4" t="n"/>
      <c r="O361" s="4" t="n"/>
      <c r="P361" s="4" t="n"/>
      <c r="Q361" s="4" t="n"/>
      <c r="R361" s="4" t="n"/>
    </row>
    <row r="362" ht="15.75" customHeight="1" s="108">
      <c r="A362" s="4" t="n"/>
      <c r="B362" s="4" t="n"/>
      <c r="C362" s="20" t="n"/>
      <c r="D362" s="4" t="n"/>
      <c r="E362" s="4" t="n"/>
      <c r="F362" s="4" t="n"/>
      <c r="G362" s="4" t="n"/>
      <c r="H362" s="4" t="n"/>
      <c r="I362" s="4" t="n"/>
      <c r="J362" s="4" t="n"/>
      <c r="K362" s="4" t="n"/>
      <c r="L362" s="4" t="n"/>
      <c r="M362" s="4" t="n"/>
      <c r="N362" s="4" t="n"/>
      <c r="O362" s="4" t="n"/>
      <c r="P362" s="4" t="n"/>
      <c r="Q362" s="4" t="n"/>
      <c r="R362" s="4" t="n"/>
    </row>
    <row r="363" ht="15.75" customHeight="1" s="108">
      <c r="A363" s="4" t="n"/>
      <c r="B363" s="4" t="n"/>
      <c r="C363" s="20" t="n"/>
      <c r="D363" s="4" t="n"/>
      <c r="E363" s="4" t="n"/>
      <c r="F363" s="4" t="n"/>
      <c r="G363" s="4" t="n"/>
      <c r="H363" s="4" t="n"/>
      <c r="I363" s="4" t="n"/>
      <c r="J363" s="4" t="n"/>
      <c r="K363" s="4" t="n"/>
      <c r="L363" s="4" t="n"/>
      <c r="M363" s="4" t="n"/>
      <c r="N363" s="4" t="n"/>
      <c r="O363" s="4" t="n"/>
      <c r="P363" s="4" t="n"/>
      <c r="Q363" s="4" t="n"/>
      <c r="R363" s="4" t="n"/>
    </row>
    <row r="364" ht="15.75" customHeight="1" s="108">
      <c r="A364" s="4" t="n"/>
      <c r="B364" s="4" t="n"/>
      <c r="C364" s="20" t="n"/>
      <c r="D364" s="4" t="n"/>
      <c r="E364" s="4" t="n"/>
      <c r="F364" s="4" t="n"/>
      <c r="G364" s="4" t="n"/>
      <c r="H364" s="4" t="n"/>
      <c r="I364" s="4" t="n"/>
      <c r="J364" s="4" t="n"/>
      <c r="K364" s="4" t="n"/>
      <c r="L364" s="4" t="n"/>
      <c r="M364" s="4" t="n"/>
      <c r="N364" s="4" t="n"/>
      <c r="O364" s="4" t="n"/>
      <c r="P364" s="4" t="n"/>
      <c r="Q364" s="4" t="n"/>
      <c r="R364" s="4" t="n"/>
    </row>
    <row r="365" ht="15.75" customHeight="1" s="108">
      <c r="A365" s="4" t="n"/>
      <c r="B365" s="4" t="n"/>
      <c r="C365" s="20" t="n"/>
      <c r="D365" s="4" t="n"/>
      <c r="E365" s="4" t="n"/>
      <c r="F365" s="4" t="n"/>
      <c r="G365" s="4" t="n"/>
      <c r="H365" s="4" t="n"/>
      <c r="I365" s="4" t="n"/>
      <c r="J365" s="4" t="n"/>
      <c r="K365" s="4" t="n"/>
      <c r="L365" s="4" t="n"/>
      <c r="M365" s="4" t="n"/>
      <c r="N365" s="4" t="n"/>
      <c r="O365" s="4" t="n"/>
      <c r="P365" s="4" t="n"/>
      <c r="Q365" s="4" t="n"/>
      <c r="R365" s="4" t="n"/>
    </row>
    <row r="366" ht="15.75" customHeight="1" s="108">
      <c r="A366" s="4" t="n"/>
      <c r="B366" s="4" t="n"/>
      <c r="C366" s="20" t="n"/>
      <c r="D366" s="4" t="n"/>
      <c r="E366" s="4" t="n"/>
      <c r="F366" s="4" t="n"/>
      <c r="G366" s="4" t="n"/>
      <c r="H366" s="4" t="n"/>
      <c r="I366" s="4" t="n"/>
      <c r="J366" s="4" t="n"/>
      <c r="K366" s="4" t="n"/>
      <c r="L366" s="4" t="n"/>
      <c r="M366" s="4" t="n"/>
      <c r="N366" s="4" t="n"/>
      <c r="O366" s="4" t="n"/>
      <c r="P366" s="4" t="n"/>
      <c r="Q366" s="4" t="n"/>
      <c r="R366" s="4" t="n"/>
    </row>
    <row r="367" ht="15.75" customHeight="1" s="108">
      <c r="A367" s="4" t="n"/>
      <c r="B367" s="4" t="n"/>
      <c r="C367" s="20" t="n"/>
      <c r="D367" s="4" t="n"/>
      <c r="E367" s="4" t="n"/>
      <c r="F367" s="4" t="n"/>
      <c r="G367" s="4" t="n"/>
      <c r="H367" s="4" t="n"/>
      <c r="I367" s="4" t="n"/>
      <c r="J367" s="4" t="n"/>
      <c r="K367" s="4" t="n"/>
      <c r="L367" s="4" t="n"/>
      <c r="M367" s="4" t="n"/>
      <c r="N367" s="4" t="n"/>
      <c r="O367" s="4" t="n"/>
      <c r="P367" s="4" t="n"/>
      <c r="Q367" s="4" t="n"/>
      <c r="R367" s="4" t="n"/>
    </row>
    <row r="368" ht="15.75" customHeight="1" s="108">
      <c r="A368" s="4" t="n"/>
      <c r="B368" s="4" t="n"/>
      <c r="C368" s="20" t="n"/>
      <c r="D368" s="4" t="n"/>
      <c r="E368" s="4" t="n"/>
      <c r="F368" s="4" t="n"/>
      <c r="G368" s="4" t="n"/>
      <c r="H368" s="4" t="n"/>
      <c r="I368" s="4" t="n"/>
      <c r="J368" s="4" t="n"/>
      <c r="K368" s="4" t="n"/>
      <c r="L368" s="4" t="n"/>
      <c r="M368" s="4" t="n"/>
      <c r="N368" s="4" t="n"/>
      <c r="O368" s="4" t="n"/>
      <c r="P368" s="4" t="n"/>
      <c r="Q368" s="4" t="n"/>
      <c r="R368" s="4" t="n"/>
    </row>
    <row r="369" ht="15.75" customHeight="1" s="108">
      <c r="A369" s="4" t="n"/>
      <c r="B369" s="4" t="n"/>
      <c r="C369" s="20" t="n"/>
      <c r="D369" s="4" t="n"/>
      <c r="E369" s="4" t="n"/>
      <c r="F369" s="4" t="n"/>
      <c r="G369" s="4" t="n"/>
      <c r="H369" s="4" t="n"/>
      <c r="I369" s="4" t="n"/>
      <c r="J369" s="4" t="n"/>
      <c r="K369" s="4" t="n"/>
      <c r="L369" s="4" t="n"/>
      <c r="M369" s="4" t="n"/>
      <c r="N369" s="4" t="n"/>
      <c r="O369" s="4" t="n"/>
      <c r="P369" s="4" t="n"/>
      <c r="Q369" s="4" t="n"/>
      <c r="R369" s="4" t="n"/>
    </row>
    <row r="370" ht="15.75" customHeight="1" s="108">
      <c r="A370" s="4" t="n"/>
      <c r="B370" s="4" t="n"/>
      <c r="C370" s="20" t="n"/>
      <c r="D370" s="4" t="n"/>
      <c r="E370" s="4" t="n"/>
      <c r="F370" s="4" t="n"/>
      <c r="G370" s="4" t="n"/>
      <c r="H370" s="4" t="n"/>
      <c r="I370" s="4" t="n"/>
      <c r="J370" s="4" t="n"/>
      <c r="K370" s="4" t="n"/>
      <c r="L370" s="4" t="n"/>
      <c r="M370" s="4" t="n"/>
      <c r="N370" s="4" t="n"/>
      <c r="O370" s="4" t="n"/>
      <c r="P370" s="4" t="n"/>
      <c r="Q370" s="4" t="n"/>
      <c r="R370" s="4" t="n"/>
    </row>
    <row r="371" ht="15.75" customHeight="1" s="108">
      <c r="A371" s="4" t="n"/>
      <c r="B371" s="4" t="n"/>
      <c r="C371" s="20" t="n"/>
      <c r="D371" s="4" t="n"/>
      <c r="E371" s="4" t="n"/>
      <c r="F371" s="4" t="n"/>
      <c r="G371" s="4" t="n"/>
      <c r="H371" s="4" t="n"/>
      <c r="I371" s="4" t="n"/>
      <c r="J371" s="4" t="n"/>
      <c r="K371" s="4" t="n"/>
      <c r="L371" s="4" t="n"/>
      <c r="M371" s="4" t="n"/>
      <c r="N371" s="4" t="n"/>
      <c r="O371" s="4" t="n"/>
      <c r="P371" s="4" t="n"/>
      <c r="Q371" s="4" t="n"/>
      <c r="R371" s="4" t="n"/>
    </row>
    <row r="372" ht="15.75" customHeight="1" s="108">
      <c r="A372" s="4" t="n"/>
      <c r="B372" s="4" t="n"/>
      <c r="C372" s="20" t="n"/>
      <c r="D372" s="4" t="n"/>
      <c r="E372" s="4" t="n"/>
      <c r="F372" s="4" t="n"/>
      <c r="G372" s="4" t="n"/>
      <c r="H372" s="4" t="n"/>
      <c r="I372" s="4" t="n"/>
      <c r="J372" s="4" t="n"/>
      <c r="K372" s="4" t="n"/>
      <c r="L372" s="4" t="n"/>
      <c r="M372" s="4" t="n"/>
      <c r="N372" s="4" t="n"/>
      <c r="O372" s="4" t="n"/>
      <c r="P372" s="4" t="n"/>
      <c r="Q372" s="4" t="n"/>
      <c r="R372" s="4" t="n"/>
    </row>
    <row r="373" ht="15.75" customHeight="1" s="108">
      <c r="A373" s="4" t="n"/>
      <c r="B373" s="4" t="n"/>
      <c r="C373" s="20" t="n"/>
      <c r="D373" s="4" t="n"/>
      <c r="E373" s="4" t="n"/>
      <c r="F373" s="4" t="n"/>
      <c r="G373" s="4" t="n"/>
      <c r="H373" s="4" t="n"/>
      <c r="I373" s="4" t="n"/>
      <c r="J373" s="4" t="n"/>
      <c r="K373" s="4" t="n"/>
      <c r="L373" s="4" t="n"/>
      <c r="M373" s="4" t="n"/>
      <c r="N373" s="4" t="n"/>
      <c r="O373" s="4" t="n"/>
      <c r="P373" s="4" t="n"/>
      <c r="Q373" s="4" t="n"/>
      <c r="R373" s="4" t="n"/>
    </row>
    <row r="374" ht="15.75" customHeight="1" s="108">
      <c r="A374" s="4" t="n"/>
      <c r="B374" s="4" t="n"/>
      <c r="C374" s="20" t="n"/>
      <c r="D374" s="4" t="n"/>
      <c r="E374" s="4" t="n"/>
      <c r="F374" s="4" t="n"/>
      <c r="G374" s="4" t="n"/>
      <c r="H374" s="4" t="n"/>
      <c r="I374" s="4" t="n"/>
      <c r="J374" s="4" t="n"/>
      <c r="K374" s="4" t="n"/>
      <c r="L374" s="4" t="n"/>
      <c r="M374" s="4" t="n"/>
      <c r="N374" s="4" t="n"/>
      <c r="O374" s="4" t="n"/>
      <c r="P374" s="4" t="n"/>
      <c r="Q374" s="4" t="n"/>
      <c r="R374" s="4" t="n"/>
    </row>
    <row r="375" ht="15.75" customHeight="1" s="108">
      <c r="A375" s="4" t="n"/>
      <c r="B375" s="4" t="n"/>
      <c r="C375" s="20" t="n"/>
      <c r="D375" s="4" t="n"/>
      <c r="E375" s="4" t="n"/>
      <c r="F375" s="4" t="n"/>
      <c r="G375" s="4" t="n"/>
      <c r="H375" s="4" t="n"/>
      <c r="I375" s="4" t="n"/>
      <c r="J375" s="4" t="n"/>
      <c r="K375" s="4" t="n"/>
      <c r="L375" s="4" t="n"/>
      <c r="M375" s="4" t="n"/>
      <c r="N375" s="4" t="n"/>
      <c r="O375" s="4" t="n"/>
      <c r="P375" s="4" t="n"/>
      <c r="Q375" s="4" t="n"/>
      <c r="R375" s="4" t="n"/>
    </row>
    <row r="376" ht="15.75" customHeight="1" s="108">
      <c r="A376" s="4" t="n"/>
      <c r="B376" s="4" t="n"/>
      <c r="C376" s="20" t="n"/>
      <c r="D376" s="4" t="n"/>
      <c r="E376" s="4" t="n"/>
      <c r="F376" s="4" t="n"/>
      <c r="G376" s="4" t="n"/>
      <c r="H376" s="4" t="n"/>
      <c r="I376" s="4" t="n"/>
      <c r="J376" s="4" t="n"/>
      <c r="K376" s="4" t="n"/>
      <c r="L376" s="4" t="n"/>
      <c r="M376" s="4" t="n"/>
      <c r="N376" s="4" t="n"/>
      <c r="O376" s="4" t="n"/>
      <c r="P376" s="4" t="n"/>
      <c r="Q376" s="4" t="n"/>
      <c r="R376" s="4" t="n"/>
    </row>
    <row r="377" ht="15.75" customHeight="1" s="108">
      <c r="A377" s="4" t="n"/>
      <c r="B377" s="4" t="n"/>
      <c r="C377" s="20" t="n"/>
      <c r="D377" s="4" t="n"/>
      <c r="E377" s="4" t="n"/>
      <c r="F377" s="4" t="n"/>
      <c r="G377" s="4" t="n"/>
      <c r="H377" s="4" t="n"/>
      <c r="I377" s="4" t="n"/>
      <c r="J377" s="4" t="n"/>
      <c r="K377" s="4" t="n"/>
      <c r="L377" s="4" t="n"/>
      <c r="M377" s="4" t="n"/>
      <c r="N377" s="4" t="n"/>
      <c r="O377" s="4" t="n"/>
      <c r="P377" s="4" t="n"/>
      <c r="Q377" s="4" t="n"/>
      <c r="R377" s="4" t="n"/>
    </row>
    <row r="378" ht="15.75" customHeight="1" s="108">
      <c r="A378" s="4" t="n"/>
      <c r="B378" s="4" t="n"/>
      <c r="C378" s="20" t="n"/>
      <c r="D378" s="4" t="n"/>
      <c r="E378" s="4" t="n"/>
      <c r="F378" s="4" t="n"/>
      <c r="G378" s="4" t="n"/>
      <c r="H378" s="4" t="n"/>
      <c r="I378" s="4" t="n"/>
      <c r="J378" s="4" t="n"/>
      <c r="K378" s="4" t="n"/>
      <c r="L378" s="4" t="n"/>
      <c r="M378" s="4" t="n"/>
      <c r="N378" s="4" t="n"/>
      <c r="O378" s="4" t="n"/>
      <c r="P378" s="4" t="n"/>
      <c r="Q378" s="4" t="n"/>
      <c r="R378" s="4" t="n"/>
    </row>
    <row r="379" ht="15.75" customHeight="1" s="108">
      <c r="A379" s="4" t="n"/>
      <c r="B379" s="4" t="n"/>
      <c r="C379" s="20" t="n"/>
      <c r="D379" s="4" t="n"/>
      <c r="E379" s="4" t="n"/>
      <c r="F379" s="4" t="n"/>
      <c r="G379" s="4" t="n"/>
      <c r="H379" s="4" t="n"/>
      <c r="I379" s="4" t="n"/>
      <c r="J379" s="4" t="n"/>
      <c r="K379" s="4" t="n"/>
      <c r="L379" s="4" t="n"/>
      <c r="M379" s="4" t="n"/>
      <c r="N379" s="4" t="n"/>
      <c r="O379" s="4" t="n"/>
      <c r="P379" s="4" t="n"/>
      <c r="Q379" s="4" t="n"/>
      <c r="R379" s="4" t="n"/>
    </row>
    <row r="380" ht="15.75" customHeight="1" s="108">
      <c r="A380" s="4" t="n"/>
      <c r="B380" s="4" t="n"/>
      <c r="C380" s="20" t="n"/>
      <c r="D380" s="4" t="n"/>
      <c r="E380" s="4" t="n"/>
      <c r="F380" s="4" t="n"/>
      <c r="G380" s="4" t="n"/>
      <c r="H380" s="4" t="n"/>
      <c r="I380" s="4" t="n"/>
      <c r="J380" s="4" t="n"/>
      <c r="K380" s="4" t="n"/>
      <c r="L380" s="4" t="n"/>
      <c r="M380" s="4" t="n"/>
      <c r="N380" s="4" t="n"/>
      <c r="O380" s="4" t="n"/>
      <c r="P380" s="4" t="n"/>
      <c r="Q380" s="4" t="n"/>
      <c r="R380" s="4" t="n"/>
    </row>
    <row r="381" ht="15.75" customHeight="1" s="108">
      <c r="A381" s="4" t="n"/>
      <c r="B381" s="4" t="n"/>
      <c r="C381" s="20" t="n"/>
      <c r="D381" s="4" t="n"/>
      <c r="E381" s="4" t="n"/>
      <c r="F381" s="4" t="n"/>
      <c r="G381" s="4" t="n"/>
      <c r="H381" s="4" t="n"/>
      <c r="I381" s="4" t="n"/>
      <c r="J381" s="4" t="n"/>
      <c r="K381" s="4" t="n"/>
      <c r="L381" s="4" t="n"/>
      <c r="M381" s="4" t="n"/>
      <c r="N381" s="4" t="n"/>
      <c r="O381" s="4" t="n"/>
      <c r="P381" s="4" t="n"/>
      <c r="Q381" s="4" t="n"/>
      <c r="R381" s="4" t="n"/>
    </row>
    <row r="382" ht="15.75" customHeight="1" s="108">
      <c r="A382" s="4" t="n"/>
      <c r="B382" s="4" t="n"/>
      <c r="C382" s="20" t="n"/>
      <c r="D382" s="4" t="n"/>
      <c r="E382" s="4" t="n"/>
      <c r="F382" s="4" t="n"/>
      <c r="G382" s="4" t="n"/>
      <c r="H382" s="4" t="n"/>
      <c r="I382" s="4" t="n"/>
      <c r="J382" s="4" t="n"/>
      <c r="K382" s="4" t="n"/>
      <c r="L382" s="4" t="n"/>
      <c r="M382" s="4" t="n"/>
      <c r="N382" s="4" t="n"/>
      <c r="O382" s="4" t="n"/>
      <c r="P382" s="4" t="n"/>
      <c r="Q382" s="4" t="n"/>
      <c r="R382" s="4" t="n"/>
    </row>
    <row r="383" ht="15.75" customHeight="1" s="108">
      <c r="A383" s="4" t="n"/>
      <c r="B383" s="4" t="n"/>
      <c r="C383" s="20" t="n"/>
      <c r="D383" s="4" t="n"/>
      <c r="E383" s="4" t="n"/>
      <c r="F383" s="4" t="n"/>
      <c r="G383" s="4" t="n"/>
      <c r="H383" s="4" t="n"/>
      <c r="I383" s="4" t="n"/>
      <c r="J383" s="4" t="n"/>
      <c r="K383" s="4" t="n"/>
      <c r="L383" s="4" t="n"/>
      <c r="M383" s="4" t="n"/>
      <c r="N383" s="4" t="n"/>
      <c r="O383" s="4" t="n"/>
      <c r="P383" s="4" t="n"/>
      <c r="Q383" s="4" t="n"/>
      <c r="R383" s="4" t="n"/>
    </row>
    <row r="384" ht="15.75" customHeight="1" s="108">
      <c r="A384" s="4" t="n"/>
      <c r="B384" s="4" t="n"/>
      <c r="C384" s="20" t="n"/>
      <c r="D384" s="4" t="n"/>
      <c r="E384" s="4" t="n"/>
      <c r="F384" s="4" t="n"/>
      <c r="G384" s="4" t="n"/>
      <c r="H384" s="4" t="n"/>
      <c r="I384" s="4" t="n"/>
      <c r="J384" s="4" t="n"/>
      <c r="K384" s="4" t="n"/>
      <c r="L384" s="4" t="n"/>
      <c r="M384" s="4" t="n"/>
      <c r="N384" s="4" t="n"/>
      <c r="O384" s="4" t="n"/>
      <c r="P384" s="4" t="n"/>
      <c r="Q384" s="4" t="n"/>
      <c r="R384" s="4" t="n"/>
    </row>
    <row r="385" ht="15.75" customHeight="1" s="108">
      <c r="A385" s="4" t="n"/>
      <c r="B385" s="4" t="n"/>
      <c r="C385" s="20" t="n"/>
      <c r="D385" s="4" t="n"/>
      <c r="E385" s="4" t="n"/>
      <c r="F385" s="4" t="n"/>
      <c r="G385" s="4" t="n"/>
      <c r="H385" s="4" t="n"/>
      <c r="I385" s="4" t="n"/>
      <c r="J385" s="4" t="n"/>
      <c r="K385" s="4" t="n"/>
      <c r="L385" s="4" t="n"/>
      <c r="M385" s="4" t="n"/>
      <c r="N385" s="4" t="n"/>
      <c r="O385" s="4" t="n"/>
      <c r="P385" s="4" t="n"/>
      <c r="Q385" s="4" t="n"/>
      <c r="R385" s="4" t="n"/>
    </row>
    <row r="386" ht="15.75" customHeight="1" s="108">
      <c r="A386" s="4" t="n"/>
      <c r="B386" s="4" t="n"/>
      <c r="C386" s="20" t="n"/>
      <c r="D386" s="4" t="n"/>
      <c r="E386" s="4" t="n"/>
      <c r="F386" s="4" t="n"/>
      <c r="G386" s="4" t="n"/>
      <c r="H386" s="4" t="n"/>
      <c r="I386" s="4" t="n"/>
      <c r="J386" s="4" t="n"/>
      <c r="K386" s="4" t="n"/>
      <c r="L386" s="4" t="n"/>
      <c r="M386" s="4" t="n"/>
      <c r="N386" s="4" t="n"/>
      <c r="O386" s="4" t="n"/>
      <c r="P386" s="4" t="n"/>
      <c r="Q386" s="4" t="n"/>
      <c r="R386" s="4" t="n"/>
    </row>
    <row r="387" ht="15.75" customHeight="1" s="108">
      <c r="A387" s="4" t="n"/>
      <c r="B387" s="4" t="n"/>
      <c r="C387" s="20" t="n"/>
      <c r="D387" s="4" t="n"/>
      <c r="E387" s="4" t="n"/>
      <c r="F387" s="4" t="n"/>
      <c r="G387" s="4" t="n"/>
      <c r="H387" s="4" t="n"/>
      <c r="I387" s="4" t="n"/>
      <c r="J387" s="4" t="n"/>
      <c r="K387" s="4" t="n"/>
      <c r="L387" s="4" t="n"/>
      <c r="M387" s="4" t="n"/>
      <c r="N387" s="4" t="n"/>
      <c r="O387" s="4" t="n"/>
      <c r="P387" s="4" t="n"/>
      <c r="Q387" s="4" t="n"/>
      <c r="R387" s="4" t="n"/>
    </row>
    <row r="388" ht="15.75" customHeight="1" s="108">
      <c r="A388" s="4" t="n"/>
      <c r="B388" s="4" t="n"/>
      <c r="C388" s="20" t="n"/>
      <c r="D388" s="4" t="n"/>
      <c r="E388" s="4" t="n"/>
      <c r="F388" s="4" t="n"/>
      <c r="G388" s="4" t="n"/>
      <c r="H388" s="4" t="n"/>
      <c r="I388" s="4" t="n"/>
      <c r="J388" s="4" t="n"/>
      <c r="K388" s="4" t="n"/>
      <c r="L388" s="4" t="n"/>
      <c r="M388" s="4" t="n"/>
      <c r="N388" s="4" t="n"/>
      <c r="O388" s="4" t="n"/>
      <c r="P388" s="4" t="n"/>
      <c r="Q388" s="4" t="n"/>
      <c r="R388" s="4" t="n"/>
    </row>
    <row r="389" ht="15.75" customHeight="1" s="108">
      <c r="A389" s="4" t="n"/>
      <c r="B389" s="4" t="n"/>
      <c r="C389" s="20" t="n"/>
      <c r="D389" s="4" t="n"/>
      <c r="E389" s="4" t="n"/>
      <c r="F389" s="4" t="n"/>
      <c r="G389" s="4" t="n"/>
      <c r="H389" s="4" t="n"/>
      <c r="I389" s="4" t="n"/>
      <c r="J389" s="4" t="n"/>
      <c r="K389" s="4" t="n"/>
      <c r="L389" s="4" t="n"/>
      <c r="M389" s="4" t="n"/>
      <c r="N389" s="4" t="n"/>
      <c r="O389" s="4" t="n"/>
      <c r="P389" s="4" t="n"/>
      <c r="Q389" s="4" t="n"/>
      <c r="R389" s="4" t="n"/>
    </row>
    <row r="390" ht="15.75" customHeight="1" s="108">
      <c r="A390" s="4" t="n"/>
      <c r="B390" s="4" t="n"/>
      <c r="C390" s="20" t="n"/>
      <c r="D390" s="4" t="n"/>
      <c r="E390" s="4" t="n"/>
      <c r="F390" s="4" t="n"/>
      <c r="G390" s="4" t="n"/>
      <c r="H390" s="4" t="n"/>
      <c r="I390" s="4" t="n"/>
      <c r="J390" s="4" t="n"/>
      <c r="K390" s="4" t="n"/>
      <c r="L390" s="4" t="n"/>
      <c r="M390" s="4" t="n"/>
      <c r="N390" s="4" t="n"/>
      <c r="O390" s="4" t="n"/>
      <c r="P390" s="4" t="n"/>
      <c r="Q390" s="4" t="n"/>
      <c r="R390" s="4" t="n"/>
    </row>
    <row r="391" ht="15.75" customHeight="1" s="108">
      <c r="A391" s="4" t="n"/>
      <c r="B391" s="4" t="n"/>
      <c r="C391" s="20" t="n"/>
      <c r="D391" s="4" t="n"/>
      <c r="E391" s="4" t="n"/>
      <c r="F391" s="4" t="n"/>
      <c r="G391" s="4" t="n"/>
      <c r="H391" s="4" t="n"/>
      <c r="I391" s="4" t="n"/>
      <c r="J391" s="4" t="n"/>
      <c r="K391" s="4" t="n"/>
      <c r="L391" s="4" t="n"/>
      <c r="M391" s="4" t="n"/>
      <c r="N391" s="4" t="n"/>
      <c r="O391" s="4" t="n"/>
      <c r="P391" s="4" t="n"/>
      <c r="Q391" s="4" t="n"/>
      <c r="R391" s="4" t="n"/>
    </row>
    <row r="392" ht="15.75" customHeight="1" s="108">
      <c r="A392" s="4" t="n"/>
      <c r="B392" s="4" t="n"/>
      <c r="C392" s="20" t="n"/>
      <c r="D392" s="4" t="n"/>
      <c r="E392" s="4" t="n"/>
      <c r="F392" s="4" t="n"/>
      <c r="G392" s="4" t="n"/>
      <c r="H392" s="4" t="n"/>
      <c r="I392" s="4" t="n"/>
      <c r="J392" s="4" t="n"/>
      <c r="K392" s="4" t="n"/>
      <c r="L392" s="4" t="n"/>
      <c r="M392" s="4" t="n"/>
      <c r="N392" s="4" t="n"/>
      <c r="O392" s="4" t="n"/>
      <c r="P392" s="4" t="n"/>
      <c r="Q392" s="4" t="n"/>
      <c r="R392" s="4" t="n"/>
    </row>
    <row r="393" ht="15.75" customHeight="1" s="108">
      <c r="A393" s="4" t="n"/>
      <c r="B393" s="4" t="n"/>
      <c r="C393" s="20" t="n"/>
      <c r="D393" s="4" t="n"/>
      <c r="E393" s="4" t="n"/>
      <c r="F393" s="4" t="n"/>
      <c r="G393" s="4" t="n"/>
      <c r="H393" s="4" t="n"/>
      <c r="I393" s="4" t="n"/>
      <c r="J393" s="4" t="n"/>
      <c r="K393" s="4" t="n"/>
      <c r="L393" s="4" t="n"/>
      <c r="M393" s="4" t="n"/>
      <c r="N393" s="4" t="n"/>
      <c r="O393" s="4" t="n"/>
      <c r="P393" s="4" t="n"/>
      <c r="Q393" s="4" t="n"/>
      <c r="R393" s="4" t="n"/>
    </row>
    <row r="394" ht="15.75" customHeight="1" s="108">
      <c r="A394" s="4" t="n"/>
      <c r="B394" s="4" t="n"/>
      <c r="C394" s="20" t="n"/>
      <c r="D394" s="4" t="n"/>
      <c r="E394" s="4" t="n"/>
      <c r="F394" s="4" t="n"/>
      <c r="G394" s="4" t="n"/>
      <c r="H394" s="4" t="n"/>
      <c r="I394" s="4" t="n"/>
      <c r="J394" s="4" t="n"/>
      <c r="K394" s="4" t="n"/>
      <c r="L394" s="4" t="n"/>
      <c r="M394" s="4" t="n"/>
      <c r="N394" s="4" t="n"/>
      <c r="O394" s="4" t="n"/>
      <c r="P394" s="4" t="n"/>
      <c r="Q394" s="4" t="n"/>
      <c r="R394" s="4" t="n"/>
    </row>
    <row r="395" ht="15.75" customHeight="1" s="108">
      <c r="A395" s="4" t="n"/>
      <c r="B395" s="4" t="n"/>
      <c r="C395" s="20" t="n"/>
      <c r="D395" s="4" t="n"/>
      <c r="E395" s="4" t="n"/>
      <c r="F395" s="4" t="n"/>
      <c r="G395" s="4" t="n"/>
      <c r="H395" s="4" t="n"/>
      <c r="I395" s="4" t="n"/>
      <c r="J395" s="4" t="n"/>
      <c r="K395" s="4" t="n"/>
      <c r="L395" s="4" t="n"/>
      <c r="M395" s="4" t="n"/>
      <c r="N395" s="4" t="n"/>
      <c r="O395" s="4" t="n"/>
      <c r="P395" s="4" t="n"/>
      <c r="Q395" s="4" t="n"/>
      <c r="R395" s="4" t="n"/>
    </row>
    <row r="396" ht="15.75" customHeight="1" s="108">
      <c r="A396" s="4" t="n"/>
      <c r="B396" s="4" t="n"/>
      <c r="C396" s="20" t="n"/>
      <c r="D396" s="4" t="n"/>
      <c r="E396" s="4" t="n"/>
      <c r="F396" s="4" t="n"/>
      <c r="G396" s="4" t="n"/>
      <c r="H396" s="4" t="n"/>
      <c r="I396" s="4" t="n"/>
      <c r="J396" s="4" t="n"/>
      <c r="K396" s="4" t="n"/>
      <c r="L396" s="4" t="n"/>
      <c r="M396" s="4" t="n"/>
      <c r="N396" s="4" t="n"/>
      <c r="O396" s="4" t="n"/>
      <c r="P396" s="4" t="n"/>
      <c r="Q396" s="4" t="n"/>
      <c r="R396" s="4" t="n"/>
    </row>
    <row r="397" ht="15.75" customHeight="1" s="108">
      <c r="A397" s="4" t="n"/>
      <c r="B397" s="4" t="n"/>
      <c r="C397" s="20" t="n"/>
      <c r="D397" s="4" t="n"/>
      <c r="E397" s="4" t="n"/>
      <c r="F397" s="4" t="n"/>
      <c r="G397" s="4" t="n"/>
      <c r="H397" s="4" t="n"/>
      <c r="I397" s="4" t="n"/>
      <c r="J397" s="4" t="n"/>
      <c r="K397" s="4" t="n"/>
      <c r="L397" s="4" t="n"/>
      <c r="M397" s="4" t="n"/>
      <c r="N397" s="4" t="n"/>
      <c r="O397" s="4" t="n"/>
      <c r="P397" s="4" t="n"/>
      <c r="Q397" s="4" t="n"/>
      <c r="R397" s="4" t="n"/>
    </row>
    <row r="398" ht="15.75" customHeight="1" s="108">
      <c r="A398" s="4" t="n"/>
      <c r="B398" s="4" t="n"/>
      <c r="C398" s="20" t="n"/>
      <c r="D398" s="4" t="n"/>
      <c r="E398" s="4" t="n"/>
      <c r="F398" s="4" t="n"/>
      <c r="G398" s="4" t="n"/>
      <c r="H398" s="4" t="n"/>
      <c r="I398" s="4" t="n"/>
      <c r="J398" s="4" t="n"/>
      <c r="K398" s="4" t="n"/>
      <c r="L398" s="4" t="n"/>
      <c r="M398" s="4" t="n"/>
      <c r="N398" s="4" t="n"/>
      <c r="O398" s="4" t="n"/>
      <c r="P398" s="4" t="n"/>
      <c r="Q398" s="4" t="n"/>
      <c r="R398" s="4" t="n"/>
    </row>
    <row r="399" ht="15.75" customHeight="1" s="108">
      <c r="A399" s="4" t="n"/>
      <c r="B399" s="4" t="n"/>
      <c r="C399" s="20" t="n"/>
      <c r="D399" s="4" t="n"/>
      <c r="E399" s="4" t="n"/>
      <c r="F399" s="4" t="n"/>
      <c r="G399" s="4" t="n"/>
      <c r="H399" s="4" t="n"/>
      <c r="I399" s="4" t="n"/>
      <c r="J399" s="4" t="n"/>
      <c r="K399" s="4" t="n"/>
      <c r="L399" s="4" t="n"/>
      <c r="M399" s="4" t="n"/>
      <c r="N399" s="4" t="n"/>
      <c r="O399" s="4" t="n"/>
      <c r="P399" s="4" t="n"/>
      <c r="Q399" s="4" t="n"/>
      <c r="R399" s="4" t="n"/>
    </row>
    <row r="400" ht="15.75" customHeight="1" s="108">
      <c r="A400" s="4" t="n"/>
      <c r="B400" s="4" t="n"/>
      <c r="C400" s="20" t="n"/>
      <c r="D400" s="4" t="n"/>
      <c r="E400" s="4" t="n"/>
      <c r="F400" s="4" t="n"/>
      <c r="G400" s="4" t="n"/>
      <c r="H400" s="4" t="n"/>
      <c r="I400" s="4" t="n"/>
      <c r="J400" s="4" t="n"/>
      <c r="K400" s="4" t="n"/>
      <c r="L400" s="4" t="n"/>
      <c r="M400" s="4" t="n"/>
      <c r="N400" s="4" t="n"/>
      <c r="O400" s="4" t="n"/>
      <c r="P400" s="4" t="n"/>
      <c r="Q400" s="4" t="n"/>
      <c r="R400" s="4" t="n"/>
    </row>
    <row r="401" ht="15.75" customHeight="1" s="108">
      <c r="A401" s="4" t="n"/>
      <c r="B401" s="4" t="n"/>
      <c r="C401" s="20" t="n"/>
      <c r="D401" s="4" t="n"/>
      <c r="E401" s="4" t="n"/>
      <c r="F401" s="4" t="n"/>
      <c r="G401" s="4" t="n"/>
      <c r="H401" s="4" t="n"/>
      <c r="I401" s="4" t="n"/>
      <c r="J401" s="4" t="n"/>
      <c r="K401" s="4" t="n"/>
      <c r="L401" s="4" t="n"/>
      <c r="M401" s="4" t="n"/>
      <c r="N401" s="4" t="n"/>
      <c r="O401" s="4" t="n"/>
      <c r="P401" s="4" t="n"/>
      <c r="Q401" s="4" t="n"/>
      <c r="R401" s="4" t="n"/>
    </row>
    <row r="402" ht="15.75" customHeight="1" s="108">
      <c r="A402" s="4" t="n"/>
      <c r="B402" s="4" t="n"/>
      <c r="C402" s="20" t="n"/>
      <c r="D402" s="4" t="n"/>
      <c r="E402" s="4" t="n"/>
      <c r="F402" s="4" t="n"/>
      <c r="G402" s="4" t="n"/>
      <c r="H402" s="4" t="n"/>
      <c r="I402" s="4" t="n"/>
      <c r="J402" s="4" t="n"/>
      <c r="K402" s="4" t="n"/>
      <c r="L402" s="4" t="n"/>
      <c r="M402" s="4" t="n"/>
      <c r="N402" s="4" t="n"/>
      <c r="O402" s="4" t="n"/>
      <c r="P402" s="4" t="n"/>
      <c r="Q402" s="4" t="n"/>
      <c r="R402" s="4" t="n"/>
    </row>
    <row r="403" ht="15.75" customHeight="1" s="108">
      <c r="A403" s="4" t="n"/>
      <c r="B403" s="4" t="n"/>
      <c r="C403" s="20" t="n"/>
      <c r="D403" s="4" t="n"/>
      <c r="E403" s="4" t="n"/>
      <c r="F403" s="4" t="n"/>
      <c r="G403" s="4" t="n"/>
      <c r="H403" s="4" t="n"/>
      <c r="I403" s="4" t="n"/>
      <c r="J403" s="4" t="n"/>
      <c r="K403" s="4" t="n"/>
      <c r="L403" s="4" t="n"/>
      <c r="M403" s="4" t="n"/>
      <c r="N403" s="4" t="n"/>
      <c r="O403" s="4" t="n"/>
      <c r="P403" s="4" t="n"/>
      <c r="Q403" s="4" t="n"/>
      <c r="R403" s="4" t="n"/>
    </row>
    <row r="404" ht="15.75" customHeight="1" s="108">
      <c r="A404" s="4" t="n"/>
      <c r="B404" s="4" t="n"/>
      <c r="C404" s="20" t="n"/>
      <c r="D404" s="4" t="n"/>
      <c r="E404" s="4" t="n"/>
      <c r="F404" s="4" t="n"/>
      <c r="G404" s="4" t="n"/>
      <c r="H404" s="4" t="n"/>
      <c r="I404" s="4" t="n"/>
      <c r="J404" s="4" t="n"/>
      <c r="K404" s="4" t="n"/>
      <c r="L404" s="4" t="n"/>
      <c r="M404" s="4" t="n"/>
      <c r="N404" s="4" t="n"/>
      <c r="O404" s="4" t="n"/>
      <c r="P404" s="4" t="n"/>
      <c r="Q404" s="4" t="n"/>
      <c r="R404" s="4" t="n"/>
    </row>
    <row r="405" ht="15.75" customHeight="1" s="108">
      <c r="A405" s="4" t="n"/>
      <c r="B405" s="4" t="n"/>
      <c r="C405" s="20" t="n"/>
      <c r="D405" s="4" t="n"/>
      <c r="E405" s="4" t="n"/>
      <c r="F405" s="4" t="n"/>
      <c r="G405" s="4" t="n"/>
      <c r="H405" s="4" t="n"/>
      <c r="I405" s="4" t="n"/>
      <c r="J405" s="4" t="n"/>
      <c r="K405" s="4" t="n"/>
      <c r="L405" s="4" t="n"/>
      <c r="M405" s="4" t="n"/>
      <c r="N405" s="4" t="n"/>
      <c r="O405" s="4" t="n"/>
      <c r="P405" s="4" t="n"/>
      <c r="Q405" s="4" t="n"/>
      <c r="R405" s="4" t="n"/>
    </row>
    <row r="406" ht="15.75" customHeight="1" s="108">
      <c r="A406" s="4" t="n"/>
      <c r="B406" s="4" t="n"/>
      <c r="C406" s="20" t="n"/>
      <c r="D406" s="4" t="n"/>
      <c r="E406" s="4" t="n"/>
      <c r="F406" s="4" t="n"/>
      <c r="G406" s="4" t="n"/>
      <c r="H406" s="4" t="n"/>
      <c r="I406" s="4" t="n"/>
      <c r="J406" s="4" t="n"/>
      <c r="K406" s="4" t="n"/>
      <c r="L406" s="4" t="n"/>
      <c r="M406" s="4" t="n"/>
      <c r="N406" s="4" t="n"/>
      <c r="O406" s="4" t="n"/>
      <c r="P406" s="4" t="n"/>
      <c r="Q406" s="4" t="n"/>
      <c r="R406" s="4" t="n"/>
    </row>
    <row r="407" ht="15.75" customHeight="1" s="108">
      <c r="A407" s="4" t="n"/>
      <c r="B407" s="4" t="n"/>
      <c r="C407" s="20" t="n"/>
      <c r="D407" s="4" t="n"/>
      <c r="E407" s="4" t="n"/>
      <c r="F407" s="4" t="n"/>
      <c r="G407" s="4" t="n"/>
      <c r="H407" s="4" t="n"/>
      <c r="I407" s="4" t="n"/>
      <c r="J407" s="4" t="n"/>
      <c r="K407" s="4" t="n"/>
      <c r="L407" s="4" t="n"/>
      <c r="M407" s="4" t="n"/>
      <c r="N407" s="4" t="n"/>
      <c r="O407" s="4" t="n"/>
      <c r="P407" s="4" t="n"/>
      <c r="Q407" s="4" t="n"/>
      <c r="R407" s="4" t="n"/>
    </row>
    <row r="408" ht="15.75" customHeight="1" s="108">
      <c r="A408" s="4" t="n"/>
      <c r="B408" s="4" t="n"/>
      <c r="C408" s="20" t="n"/>
      <c r="D408" s="4" t="n"/>
      <c r="E408" s="4" t="n"/>
      <c r="F408" s="4" t="n"/>
      <c r="G408" s="4" t="n"/>
      <c r="H408" s="4" t="n"/>
      <c r="I408" s="4" t="n"/>
      <c r="J408" s="4" t="n"/>
      <c r="K408" s="4" t="n"/>
      <c r="L408" s="4" t="n"/>
      <c r="M408" s="4" t="n"/>
      <c r="N408" s="4" t="n"/>
      <c r="O408" s="4" t="n"/>
      <c r="P408" s="4" t="n"/>
      <c r="Q408" s="4" t="n"/>
      <c r="R408" s="4" t="n"/>
    </row>
    <row r="409" ht="15.75" customHeight="1" s="108">
      <c r="A409" s="4" t="n"/>
      <c r="B409" s="4" t="n"/>
      <c r="C409" s="20" t="n"/>
      <c r="D409" s="4" t="n"/>
      <c r="E409" s="4" t="n"/>
      <c r="F409" s="4" t="n"/>
      <c r="G409" s="4" t="n"/>
      <c r="H409" s="4" t="n"/>
      <c r="I409" s="4" t="n"/>
      <c r="J409" s="4" t="n"/>
      <c r="K409" s="4" t="n"/>
      <c r="L409" s="4" t="n"/>
      <c r="M409" s="4" t="n"/>
      <c r="N409" s="4" t="n"/>
      <c r="O409" s="4" t="n"/>
      <c r="P409" s="4" t="n"/>
      <c r="Q409" s="4" t="n"/>
      <c r="R409" s="4" t="n"/>
    </row>
    <row r="410" ht="15.75" customHeight="1" s="108">
      <c r="A410" s="4" t="n"/>
      <c r="B410" s="4" t="n"/>
      <c r="C410" s="20" t="n"/>
      <c r="D410" s="4" t="n"/>
      <c r="E410" s="4" t="n"/>
      <c r="F410" s="4" t="n"/>
      <c r="G410" s="4" t="n"/>
      <c r="H410" s="4" t="n"/>
      <c r="I410" s="4" t="n"/>
      <c r="J410" s="4" t="n"/>
      <c r="K410" s="4" t="n"/>
      <c r="L410" s="4" t="n"/>
      <c r="M410" s="4" t="n"/>
      <c r="N410" s="4" t="n"/>
      <c r="O410" s="4" t="n"/>
      <c r="P410" s="4" t="n"/>
      <c r="Q410" s="4" t="n"/>
      <c r="R410" s="4" t="n"/>
    </row>
    <row r="411" ht="15.75" customHeight="1" s="108">
      <c r="A411" s="4" t="n"/>
      <c r="B411" s="4" t="n"/>
      <c r="C411" s="20" t="n"/>
      <c r="D411" s="4" t="n"/>
      <c r="E411" s="4" t="n"/>
      <c r="F411" s="4" t="n"/>
      <c r="G411" s="4" t="n"/>
      <c r="H411" s="4" t="n"/>
      <c r="I411" s="4" t="n"/>
      <c r="J411" s="4" t="n"/>
      <c r="K411" s="4" t="n"/>
      <c r="L411" s="4" t="n"/>
      <c r="M411" s="4" t="n"/>
      <c r="N411" s="4" t="n"/>
      <c r="O411" s="4" t="n"/>
      <c r="P411" s="4" t="n"/>
      <c r="Q411" s="4" t="n"/>
      <c r="R411" s="4" t="n"/>
    </row>
    <row r="412" ht="15.75" customHeight="1" s="108">
      <c r="A412" s="4" t="n"/>
      <c r="B412" s="4" t="n"/>
      <c r="C412" s="20" t="n"/>
      <c r="D412" s="4" t="n"/>
      <c r="E412" s="4" t="n"/>
      <c r="F412" s="4" t="n"/>
      <c r="G412" s="4" t="n"/>
      <c r="H412" s="4" t="n"/>
      <c r="I412" s="4" t="n"/>
      <c r="J412" s="4" t="n"/>
      <c r="K412" s="4" t="n"/>
      <c r="L412" s="4" t="n"/>
      <c r="M412" s="4" t="n"/>
      <c r="N412" s="4" t="n"/>
      <c r="O412" s="4" t="n"/>
      <c r="P412" s="4" t="n"/>
      <c r="Q412" s="4" t="n"/>
      <c r="R412" s="4" t="n"/>
    </row>
    <row r="413" ht="15.75" customHeight="1" s="108">
      <c r="A413" s="4" t="n"/>
      <c r="B413" s="4" t="n"/>
      <c r="C413" s="20" t="n"/>
      <c r="D413" s="4" t="n"/>
      <c r="E413" s="4" t="n"/>
      <c r="F413" s="4" t="n"/>
      <c r="G413" s="4" t="n"/>
      <c r="H413" s="4" t="n"/>
      <c r="I413" s="4" t="n"/>
      <c r="J413" s="4" t="n"/>
      <c r="K413" s="4" t="n"/>
      <c r="L413" s="4" t="n"/>
      <c r="M413" s="4" t="n"/>
      <c r="N413" s="4" t="n"/>
      <c r="O413" s="4" t="n"/>
      <c r="P413" s="4" t="n"/>
      <c r="Q413" s="4" t="n"/>
      <c r="R413" s="4" t="n"/>
    </row>
    <row r="414" ht="15.75" customHeight="1" s="108">
      <c r="A414" s="4" t="n"/>
      <c r="B414" s="4" t="n"/>
      <c r="C414" s="20" t="n"/>
      <c r="D414" s="4" t="n"/>
      <c r="E414" s="4" t="n"/>
      <c r="F414" s="4" t="n"/>
      <c r="G414" s="4" t="n"/>
      <c r="H414" s="4" t="n"/>
      <c r="I414" s="4" t="n"/>
      <c r="J414" s="4" t="n"/>
      <c r="K414" s="4" t="n"/>
      <c r="L414" s="4" t="n"/>
      <c r="M414" s="4" t="n"/>
      <c r="N414" s="4" t="n"/>
      <c r="O414" s="4" t="n"/>
      <c r="P414" s="4" t="n"/>
      <c r="Q414" s="4" t="n"/>
      <c r="R414" s="4" t="n"/>
    </row>
    <row r="415" ht="15.75" customHeight="1" s="108">
      <c r="A415" s="4" t="n"/>
      <c r="B415" s="4" t="n"/>
      <c r="C415" s="20" t="n"/>
      <c r="D415" s="4" t="n"/>
      <c r="E415" s="4" t="n"/>
      <c r="F415" s="4" t="n"/>
      <c r="G415" s="4" t="n"/>
      <c r="H415" s="4" t="n"/>
      <c r="I415" s="4" t="n"/>
      <c r="J415" s="4" t="n"/>
      <c r="K415" s="4" t="n"/>
      <c r="L415" s="4" t="n"/>
      <c r="M415" s="4" t="n"/>
      <c r="N415" s="4" t="n"/>
      <c r="O415" s="4" t="n"/>
      <c r="P415" s="4" t="n"/>
      <c r="Q415" s="4" t="n"/>
      <c r="R415" s="4" t="n"/>
    </row>
    <row r="416" ht="15.75" customHeight="1" s="108">
      <c r="A416" s="4" t="n"/>
      <c r="B416" s="4" t="n"/>
      <c r="C416" s="20" t="n"/>
      <c r="D416" s="4" t="n"/>
      <c r="E416" s="4" t="n"/>
      <c r="F416" s="4" t="n"/>
      <c r="G416" s="4" t="n"/>
      <c r="H416" s="4" t="n"/>
      <c r="I416" s="4" t="n"/>
      <c r="J416" s="4" t="n"/>
      <c r="K416" s="4" t="n"/>
      <c r="L416" s="4" t="n"/>
      <c r="M416" s="4" t="n"/>
      <c r="N416" s="4" t="n"/>
      <c r="O416" s="4" t="n"/>
      <c r="P416" s="4" t="n"/>
      <c r="Q416" s="4" t="n"/>
      <c r="R416" s="4" t="n"/>
    </row>
    <row r="417" ht="15.75" customHeight="1" s="108">
      <c r="A417" s="4" t="n"/>
      <c r="B417" s="4" t="n"/>
      <c r="C417" s="20" t="n"/>
      <c r="D417" s="4" t="n"/>
      <c r="E417" s="4" t="n"/>
      <c r="F417" s="4" t="n"/>
      <c r="G417" s="4" t="n"/>
      <c r="H417" s="4" t="n"/>
      <c r="I417" s="4" t="n"/>
      <c r="J417" s="4" t="n"/>
      <c r="K417" s="4" t="n"/>
      <c r="L417" s="4" t="n"/>
      <c r="M417" s="4" t="n"/>
      <c r="N417" s="4" t="n"/>
      <c r="O417" s="4" t="n"/>
      <c r="P417" s="4" t="n"/>
      <c r="Q417" s="4" t="n"/>
      <c r="R417" s="4" t="n"/>
    </row>
    <row r="418" ht="15.75" customHeight="1" s="108">
      <c r="A418" s="4" t="n"/>
      <c r="B418" s="4" t="n"/>
      <c r="C418" s="20" t="n"/>
      <c r="D418" s="4" t="n"/>
      <c r="E418" s="4" t="n"/>
      <c r="F418" s="4" t="n"/>
      <c r="G418" s="4" t="n"/>
      <c r="H418" s="4" t="n"/>
      <c r="I418" s="4" t="n"/>
      <c r="J418" s="4" t="n"/>
      <c r="K418" s="4" t="n"/>
      <c r="L418" s="4" t="n"/>
      <c r="M418" s="4" t="n"/>
      <c r="N418" s="4" t="n"/>
      <c r="O418" s="4" t="n"/>
      <c r="P418" s="4" t="n"/>
      <c r="Q418" s="4" t="n"/>
      <c r="R418" s="4" t="n"/>
    </row>
    <row r="419" ht="15.75" customHeight="1" s="108">
      <c r="A419" s="4" t="n"/>
      <c r="B419" s="4" t="n"/>
      <c r="C419" s="20" t="n"/>
      <c r="D419" s="4" t="n"/>
      <c r="E419" s="4" t="n"/>
      <c r="F419" s="4" t="n"/>
      <c r="G419" s="4" t="n"/>
      <c r="H419" s="4" t="n"/>
      <c r="I419" s="4" t="n"/>
      <c r="J419" s="4" t="n"/>
      <c r="K419" s="4" t="n"/>
      <c r="L419" s="4" t="n"/>
      <c r="M419" s="4" t="n"/>
      <c r="N419" s="4" t="n"/>
      <c r="O419" s="4" t="n"/>
      <c r="P419" s="4" t="n"/>
      <c r="Q419" s="4" t="n"/>
      <c r="R419" s="4" t="n"/>
    </row>
    <row r="420" ht="15.75" customHeight="1" s="108">
      <c r="A420" s="4" t="n"/>
      <c r="B420" s="4" t="n"/>
      <c r="C420" s="20" t="n"/>
      <c r="D420" s="4" t="n"/>
      <c r="E420" s="4" t="n"/>
      <c r="F420" s="4" t="n"/>
      <c r="G420" s="4" t="n"/>
      <c r="H420" s="4" t="n"/>
      <c r="I420" s="4" t="n"/>
      <c r="J420" s="4" t="n"/>
      <c r="K420" s="4" t="n"/>
      <c r="L420" s="4" t="n"/>
      <c r="M420" s="4" t="n"/>
      <c r="N420" s="4" t="n"/>
      <c r="O420" s="4" t="n"/>
      <c r="P420" s="4" t="n"/>
      <c r="Q420" s="4" t="n"/>
      <c r="R420" s="4" t="n"/>
    </row>
    <row r="421" ht="15.75" customHeight="1" s="108">
      <c r="A421" s="4" t="n"/>
      <c r="B421" s="4" t="n"/>
      <c r="C421" s="20" t="n"/>
      <c r="D421" s="4" t="n"/>
      <c r="E421" s="4" t="n"/>
      <c r="F421" s="4" t="n"/>
      <c r="G421" s="4" t="n"/>
      <c r="H421" s="4" t="n"/>
      <c r="I421" s="4" t="n"/>
      <c r="J421" s="4" t="n"/>
      <c r="K421" s="4" t="n"/>
      <c r="L421" s="4" t="n"/>
      <c r="M421" s="4" t="n"/>
      <c r="N421" s="4" t="n"/>
      <c r="O421" s="4" t="n"/>
      <c r="P421" s="4" t="n"/>
      <c r="Q421" s="4" t="n"/>
      <c r="R421" s="4" t="n"/>
    </row>
    <row r="422" ht="15.75" customHeight="1" s="108">
      <c r="A422" s="4" t="n"/>
      <c r="B422" s="4" t="n"/>
      <c r="C422" s="20" t="n"/>
      <c r="D422" s="4" t="n"/>
      <c r="E422" s="4" t="n"/>
      <c r="F422" s="4" t="n"/>
      <c r="G422" s="4" t="n"/>
      <c r="H422" s="4" t="n"/>
      <c r="I422" s="4" t="n"/>
      <c r="J422" s="4" t="n"/>
      <c r="K422" s="4" t="n"/>
      <c r="L422" s="4" t="n"/>
      <c r="M422" s="4" t="n"/>
      <c r="N422" s="4" t="n"/>
      <c r="O422" s="4" t="n"/>
      <c r="P422" s="4" t="n"/>
      <c r="Q422" s="4" t="n"/>
      <c r="R422" s="4" t="n"/>
    </row>
    <row r="423" ht="15.75" customHeight="1" s="108">
      <c r="A423" s="4" t="n"/>
      <c r="B423" s="4" t="n"/>
      <c r="C423" s="20" t="n"/>
      <c r="D423" s="4" t="n"/>
      <c r="E423" s="4" t="n"/>
      <c r="F423" s="4" t="n"/>
      <c r="G423" s="4" t="n"/>
      <c r="H423" s="4" t="n"/>
      <c r="I423" s="4" t="n"/>
      <c r="J423" s="4" t="n"/>
      <c r="K423" s="4" t="n"/>
      <c r="L423" s="4" t="n"/>
      <c r="M423" s="4" t="n"/>
      <c r="N423" s="4" t="n"/>
      <c r="O423" s="4" t="n"/>
      <c r="P423" s="4" t="n"/>
      <c r="Q423" s="4" t="n"/>
      <c r="R423" s="4" t="n"/>
    </row>
    <row r="424" ht="15.75" customHeight="1" s="108">
      <c r="A424" s="4" t="n"/>
      <c r="B424" s="4" t="n"/>
      <c r="C424" s="20" t="n"/>
      <c r="D424" s="4" t="n"/>
      <c r="E424" s="4" t="n"/>
      <c r="F424" s="4" t="n"/>
      <c r="G424" s="4" t="n"/>
      <c r="H424" s="4" t="n"/>
      <c r="I424" s="4" t="n"/>
      <c r="J424" s="4" t="n"/>
      <c r="K424" s="4" t="n"/>
      <c r="L424" s="4" t="n"/>
      <c r="M424" s="4" t="n"/>
      <c r="N424" s="4" t="n"/>
      <c r="O424" s="4" t="n"/>
      <c r="P424" s="4" t="n"/>
      <c r="Q424" s="4" t="n"/>
      <c r="R424" s="4" t="n"/>
    </row>
    <row r="425" ht="15.75" customHeight="1" s="108">
      <c r="A425" s="4" t="n"/>
      <c r="B425" s="4" t="n"/>
      <c r="C425" s="20" t="n"/>
      <c r="D425" s="4" t="n"/>
      <c r="E425" s="4" t="n"/>
      <c r="F425" s="4" t="n"/>
      <c r="G425" s="4" t="n"/>
      <c r="H425" s="4" t="n"/>
      <c r="I425" s="4" t="n"/>
      <c r="J425" s="4" t="n"/>
      <c r="K425" s="4" t="n"/>
      <c r="L425" s="4" t="n"/>
      <c r="M425" s="4" t="n"/>
      <c r="N425" s="4" t="n"/>
      <c r="O425" s="4" t="n"/>
      <c r="P425" s="4" t="n"/>
      <c r="Q425" s="4" t="n"/>
      <c r="R425" s="4" t="n"/>
    </row>
    <row r="426" ht="15.75" customHeight="1" s="108">
      <c r="A426" s="4" t="n"/>
      <c r="B426" s="4" t="n"/>
      <c r="C426" s="20" t="n"/>
      <c r="D426" s="4" t="n"/>
      <c r="E426" s="4" t="n"/>
      <c r="F426" s="4" t="n"/>
      <c r="G426" s="4" t="n"/>
      <c r="H426" s="4" t="n"/>
      <c r="I426" s="4" t="n"/>
      <c r="J426" s="4" t="n"/>
      <c r="K426" s="4" t="n"/>
      <c r="L426" s="4" t="n"/>
      <c r="M426" s="4" t="n"/>
      <c r="N426" s="4" t="n"/>
      <c r="O426" s="4" t="n"/>
      <c r="P426" s="4" t="n"/>
      <c r="Q426" s="4" t="n"/>
      <c r="R426" s="4" t="n"/>
    </row>
    <row r="427" ht="15.75" customHeight="1" s="108">
      <c r="A427" s="4" t="n"/>
      <c r="B427" s="4" t="n"/>
      <c r="C427" s="20" t="n"/>
      <c r="D427" s="4" t="n"/>
      <c r="E427" s="4" t="n"/>
      <c r="F427" s="4" t="n"/>
      <c r="G427" s="4" t="n"/>
      <c r="H427" s="4" t="n"/>
      <c r="I427" s="4" t="n"/>
      <c r="J427" s="4" t="n"/>
      <c r="K427" s="4" t="n"/>
      <c r="L427" s="4" t="n"/>
      <c r="M427" s="4" t="n"/>
      <c r="N427" s="4" t="n"/>
      <c r="O427" s="4" t="n"/>
      <c r="P427" s="4" t="n"/>
      <c r="Q427" s="4" t="n"/>
      <c r="R427" s="4" t="n"/>
    </row>
    <row r="428" ht="15.75" customHeight="1" s="108">
      <c r="A428" s="4" t="n"/>
      <c r="B428" s="4" t="n"/>
      <c r="C428" s="20" t="n"/>
      <c r="D428" s="4" t="n"/>
      <c r="E428" s="4" t="n"/>
      <c r="F428" s="4" t="n"/>
      <c r="G428" s="4" t="n"/>
      <c r="H428" s="4" t="n"/>
      <c r="I428" s="4" t="n"/>
      <c r="J428" s="4" t="n"/>
      <c r="K428" s="4" t="n"/>
      <c r="L428" s="4" t="n"/>
      <c r="M428" s="4" t="n"/>
      <c r="N428" s="4" t="n"/>
      <c r="O428" s="4" t="n"/>
      <c r="P428" s="4" t="n"/>
      <c r="Q428" s="4" t="n"/>
      <c r="R428" s="4" t="n"/>
    </row>
    <row r="429" ht="15.75" customHeight="1" s="108">
      <c r="A429" s="4" t="n"/>
      <c r="B429" s="4" t="n"/>
      <c r="C429" s="20" t="n"/>
      <c r="D429" s="4" t="n"/>
      <c r="E429" s="4" t="n"/>
      <c r="F429" s="4" t="n"/>
      <c r="G429" s="4" t="n"/>
      <c r="H429" s="4" t="n"/>
      <c r="I429" s="4" t="n"/>
      <c r="J429" s="4" t="n"/>
      <c r="K429" s="4" t="n"/>
      <c r="L429" s="4" t="n"/>
      <c r="M429" s="4" t="n"/>
      <c r="N429" s="4" t="n"/>
      <c r="O429" s="4" t="n"/>
      <c r="P429" s="4" t="n"/>
      <c r="Q429" s="4" t="n"/>
      <c r="R429" s="4" t="n"/>
    </row>
    <row r="430" ht="15.75" customHeight="1" s="108">
      <c r="A430" s="4" t="n"/>
      <c r="B430" s="4" t="n"/>
      <c r="C430" s="20" t="n"/>
      <c r="D430" s="4" t="n"/>
      <c r="E430" s="4" t="n"/>
      <c r="F430" s="4" t="n"/>
      <c r="G430" s="4" t="n"/>
      <c r="H430" s="4" t="n"/>
      <c r="I430" s="4" t="n"/>
      <c r="J430" s="4" t="n"/>
      <c r="K430" s="4" t="n"/>
      <c r="L430" s="4" t="n"/>
      <c r="M430" s="4" t="n"/>
      <c r="N430" s="4" t="n"/>
      <c r="O430" s="4" t="n"/>
      <c r="P430" s="4" t="n"/>
      <c r="Q430" s="4" t="n"/>
      <c r="R430" s="4" t="n"/>
    </row>
    <row r="431" ht="15.75" customHeight="1" s="108">
      <c r="A431" s="4" t="n"/>
      <c r="B431" s="4" t="n"/>
      <c r="C431" s="20" t="n"/>
      <c r="D431" s="4" t="n"/>
      <c r="E431" s="4" t="n"/>
      <c r="F431" s="4" t="n"/>
      <c r="G431" s="4" t="n"/>
      <c r="H431" s="4" t="n"/>
      <c r="I431" s="4" t="n"/>
      <c r="J431" s="4" t="n"/>
      <c r="K431" s="4" t="n"/>
      <c r="L431" s="4" t="n"/>
      <c r="M431" s="4" t="n"/>
      <c r="N431" s="4" t="n"/>
      <c r="O431" s="4" t="n"/>
      <c r="P431" s="4" t="n"/>
      <c r="Q431" s="4" t="n"/>
      <c r="R431" s="4" t="n"/>
    </row>
    <row r="432" ht="15.75" customHeight="1" s="108">
      <c r="A432" s="4" t="n"/>
      <c r="B432" s="4" t="n"/>
      <c r="C432" s="20" t="n"/>
      <c r="D432" s="4" t="n"/>
      <c r="E432" s="4" t="n"/>
      <c r="F432" s="4" t="n"/>
      <c r="G432" s="4" t="n"/>
      <c r="H432" s="4" t="n"/>
      <c r="I432" s="4" t="n"/>
      <c r="J432" s="4" t="n"/>
      <c r="K432" s="4" t="n"/>
      <c r="L432" s="4" t="n"/>
      <c r="M432" s="4" t="n"/>
      <c r="N432" s="4" t="n"/>
      <c r="O432" s="4" t="n"/>
      <c r="P432" s="4" t="n"/>
      <c r="Q432" s="4" t="n"/>
      <c r="R432" s="4" t="n"/>
    </row>
    <row r="433" ht="15.75" customHeight="1" s="108">
      <c r="A433" s="4" t="n"/>
      <c r="B433" s="4" t="n"/>
      <c r="C433" s="20" t="n"/>
      <c r="D433" s="4" t="n"/>
      <c r="E433" s="4" t="n"/>
      <c r="F433" s="4" t="n"/>
      <c r="G433" s="4" t="n"/>
      <c r="H433" s="4" t="n"/>
      <c r="I433" s="4" t="n"/>
      <c r="J433" s="4" t="n"/>
      <c r="K433" s="4" t="n"/>
      <c r="L433" s="4" t="n"/>
      <c r="M433" s="4" t="n"/>
      <c r="N433" s="4" t="n"/>
      <c r="O433" s="4" t="n"/>
      <c r="P433" s="4" t="n"/>
      <c r="Q433" s="4" t="n"/>
      <c r="R433" s="4" t="n"/>
    </row>
    <row r="434" ht="15.75" customHeight="1" s="108">
      <c r="A434" s="4" t="n"/>
      <c r="B434" s="4" t="n"/>
      <c r="C434" s="20" t="n"/>
      <c r="D434" s="4" t="n"/>
      <c r="E434" s="4" t="n"/>
      <c r="F434" s="4" t="n"/>
      <c r="G434" s="4" t="n"/>
      <c r="H434" s="4" t="n"/>
      <c r="I434" s="4" t="n"/>
      <c r="J434" s="4" t="n"/>
      <c r="K434" s="4" t="n"/>
      <c r="L434" s="4" t="n"/>
      <c r="M434" s="4" t="n"/>
      <c r="N434" s="4" t="n"/>
      <c r="O434" s="4" t="n"/>
      <c r="P434" s="4" t="n"/>
      <c r="Q434" s="4" t="n"/>
      <c r="R434" s="4" t="n"/>
    </row>
    <row r="435" ht="15.75" customHeight="1" s="108">
      <c r="A435" s="4" t="n"/>
      <c r="B435" s="4" t="n"/>
      <c r="C435" s="20" t="n"/>
      <c r="D435" s="4" t="n"/>
      <c r="E435" s="4" t="n"/>
      <c r="F435" s="4" t="n"/>
      <c r="G435" s="4" t="n"/>
      <c r="H435" s="4" t="n"/>
      <c r="I435" s="4" t="n"/>
      <c r="J435" s="4" t="n"/>
      <c r="K435" s="4" t="n"/>
      <c r="L435" s="4" t="n"/>
      <c r="M435" s="4" t="n"/>
      <c r="N435" s="4" t="n"/>
      <c r="O435" s="4" t="n"/>
      <c r="P435" s="4" t="n"/>
      <c r="Q435" s="4" t="n"/>
      <c r="R435" s="4" t="n"/>
    </row>
    <row r="436" ht="15.75" customHeight="1" s="108">
      <c r="A436" s="4" t="n"/>
      <c r="B436" s="4" t="n"/>
      <c r="C436" s="20" t="n"/>
      <c r="D436" s="4" t="n"/>
      <c r="E436" s="4" t="n"/>
      <c r="F436" s="4" t="n"/>
      <c r="G436" s="4" t="n"/>
      <c r="H436" s="4" t="n"/>
      <c r="I436" s="4" t="n"/>
      <c r="J436" s="4" t="n"/>
      <c r="K436" s="4" t="n"/>
      <c r="L436" s="4" t="n"/>
      <c r="M436" s="4" t="n"/>
      <c r="N436" s="4" t="n"/>
      <c r="O436" s="4" t="n"/>
      <c r="P436" s="4" t="n"/>
      <c r="Q436" s="4" t="n"/>
      <c r="R436" s="4" t="n"/>
    </row>
    <row r="437" ht="15.75" customHeight="1" s="108">
      <c r="A437" s="4" t="n"/>
      <c r="B437" s="4" t="n"/>
      <c r="C437" s="20" t="n"/>
      <c r="D437" s="4" t="n"/>
      <c r="E437" s="4" t="n"/>
      <c r="F437" s="4" t="n"/>
      <c r="G437" s="4" t="n"/>
      <c r="H437" s="4" t="n"/>
      <c r="I437" s="4" t="n"/>
      <c r="J437" s="4" t="n"/>
      <c r="K437" s="4" t="n"/>
      <c r="L437" s="4" t="n"/>
      <c r="M437" s="4" t="n"/>
      <c r="N437" s="4" t="n"/>
      <c r="O437" s="4" t="n"/>
      <c r="P437" s="4" t="n"/>
      <c r="Q437" s="4" t="n"/>
      <c r="R437" s="4" t="n"/>
    </row>
    <row r="438" ht="15.75" customHeight="1" s="108">
      <c r="A438" s="4" t="n"/>
      <c r="B438" s="4" t="n"/>
      <c r="C438" s="20" t="n"/>
      <c r="D438" s="4" t="n"/>
      <c r="E438" s="4" t="n"/>
      <c r="F438" s="4" t="n"/>
      <c r="G438" s="4" t="n"/>
      <c r="H438" s="4" t="n"/>
      <c r="I438" s="4" t="n"/>
      <c r="J438" s="4" t="n"/>
      <c r="K438" s="4" t="n"/>
      <c r="L438" s="4" t="n"/>
      <c r="M438" s="4" t="n"/>
      <c r="N438" s="4" t="n"/>
      <c r="O438" s="4" t="n"/>
      <c r="P438" s="4" t="n"/>
      <c r="Q438" s="4" t="n"/>
      <c r="R438" s="4" t="n"/>
    </row>
    <row r="439" ht="15.75" customHeight="1" s="108">
      <c r="A439" s="4" t="n"/>
      <c r="B439" s="4" t="n"/>
      <c r="C439" s="20" t="n"/>
      <c r="D439" s="4" t="n"/>
      <c r="E439" s="4" t="n"/>
      <c r="F439" s="4" t="n"/>
      <c r="G439" s="4" t="n"/>
      <c r="H439" s="4" t="n"/>
      <c r="I439" s="4" t="n"/>
      <c r="J439" s="4" t="n"/>
      <c r="K439" s="4" t="n"/>
      <c r="L439" s="4" t="n"/>
      <c r="M439" s="4" t="n"/>
      <c r="N439" s="4" t="n"/>
      <c r="O439" s="4" t="n"/>
      <c r="P439" s="4" t="n"/>
      <c r="Q439" s="4" t="n"/>
      <c r="R439" s="4" t="n"/>
    </row>
    <row r="440" ht="15.75" customHeight="1" s="108">
      <c r="A440" s="4" t="n"/>
      <c r="B440" s="4" t="n"/>
      <c r="C440" s="20" t="n"/>
      <c r="D440" s="4" t="n"/>
      <c r="E440" s="4" t="n"/>
      <c r="F440" s="4" t="n"/>
      <c r="G440" s="4" t="n"/>
      <c r="H440" s="4" t="n"/>
      <c r="I440" s="4" t="n"/>
      <c r="J440" s="4" t="n"/>
      <c r="K440" s="4" t="n"/>
      <c r="L440" s="4" t="n"/>
      <c r="M440" s="4" t="n"/>
      <c r="N440" s="4" t="n"/>
      <c r="O440" s="4" t="n"/>
      <c r="P440" s="4" t="n"/>
      <c r="Q440" s="4" t="n"/>
      <c r="R440" s="4" t="n"/>
    </row>
    <row r="441" ht="15.75" customHeight="1" s="108">
      <c r="A441" s="4" t="n"/>
      <c r="B441" s="4" t="n"/>
      <c r="C441" s="20" t="n"/>
      <c r="D441" s="4" t="n"/>
      <c r="E441" s="4" t="n"/>
      <c r="F441" s="4" t="n"/>
      <c r="G441" s="4" t="n"/>
      <c r="H441" s="4" t="n"/>
      <c r="I441" s="4" t="n"/>
      <c r="J441" s="4" t="n"/>
      <c r="K441" s="4" t="n"/>
      <c r="L441" s="4" t="n"/>
      <c r="M441" s="4" t="n"/>
      <c r="N441" s="4" t="n"/>
      <c r="O441" s="4" t="n"/>
      <c r="P441" s="4" t="n"/>
      <c r="Q441" s="4" t="n"/>
      <c r="R441" s="4" t="n"/>
    </row>
    <row r="442" ht="15.75" customHeight="1" s="108">
      <c r="A442" s="4" t="n"/>
      <c r="B442" s="4" t="n"/>
      <c r="C442" s="20" t="n"/>
      <c r="D442" s="4" t="n"/>
      <c r="E442" s="4" t="n"/>
      <c r="F442" s="4" t="n"/>
      <c r="G442" s="4" t="n"/>
      <c r="H442" s="4" t="n"/>
      <c r="I442" s="4" t="n"/>
      <c r="J442" s="4" t="n"/>
      <c r="K442" s="4" t="n"/>
      <c r="L442" s="4" t="n"/>
      <c r="M442" s="4" t="n"/>
      <c r="N442" s="4" t="n"/>
      <c r="O442" s="4" t="n"/>
      <c r="P442" s="4" t="n"/>
      <c r="Q442" s="4" t="n"/>
      <c r="R442" s="4" t="n"/>
    </row>
    <row r="443" ht="15.75" customHeight="1" s="108">
      <c r="A443" s="4" t="n"/>
      <c r="B443" s="4" t="n"/>
      <c r="C443" s="20" t="n"/>
      <c r="D443" s="4" t="n"/>
      <c r="E443" s="4" t="n"/>
      <c r="F443" s="4" t="n"/>
      <c r="G443" s="4" t="n"/>
      <c r="H443" s="4" t="n"/>
      <c r="I443" s="4" t="n"/>
      <c r="J443" s="4" t="n"/>
      <c r="K443" s="4" t="n"/>
      <c r="L443" s="4" t="n"/>
      <c r="M443" s="4" t="n"/>
      <c r="N443" s="4" t="n"/>
      <c r="O443" s="4" t="n"/>
      <c r="P443" s="4" t="n"/>
      <c r="Q443" s="4" t="n"/>
      <c r="R443" s="4" t="n"/>
    </row>
    <row r="444" ht="15.75" customHeight="1" s="108">
      <c r="A444" s="4" t="n"/>
      <c r="B444" s="4" t="n"/>
      <c r="C444" s="20" t="n"/>
      <c r="D444" s="4" t="n"/>
      <c r="E444" s="4" t="n"/>
      <c r="F444" s="4" t="n"/>
      <c r="G444" s="4" t="n"/>
      <c r="H444" s="4" t="n"/>
      <c r="I444" s="4" t="n"/>
      <c r="J444" s="4" t="n"/>
      <c r="K444" s="4" t="n"/>
      <c r="L444" s="4" t="n"/>
      <c r="M444" s="4" t="n"/>
      <c r="N444" s="4" t="n"/>
      <c r="O444" s="4" t="n"/>
      <c r="P444" s="4" t="n"/>
      <c r="Q444" s="4" t="n"/>
      <c r="R444" s="4" t="n"/>
    </row>
    <row r="445" ht="15.75" customHeight="1" s="108">
      <c r="A445" s="4" t="n"/>
      <c r="B445" s="4" t="n"/>
      <c r="C445" s="20" t="n"/>
      <c r="D445" s="4" t="n"/>
      <c r="E445" s="4" t="n"/>
      <c r="F445" s="4" t="n"/>
      <c r="G445" s="4" t="n"/>
      <c r="H445" s="4" t="n"/>
      <c r="I445" s="4" t="n"/>
      <c r="J445" s="4" t="n"/>
      <c r="K445" s="4" t="n"/>
      <c r="L445" s="4" t="n"/>
      <c r="M445" s="4" t="n"/>
      <c r="N445" s="4" t="n"/>
      <c r="O445" s="4" t="n"/>
      <c r="P445" s="4" t="n"/>
      <c r="Q445" s="4" t="n"/>
      <c r="R445" s="4" t="n"/>
    </row>
    <row r="446" ht="15.75" customHeight="1" s="108">
      <c r="A446" s="4" t="n"/>
      <c r="B446" s="4" t="n"/>
      <c r="C446" s="20" t="n"/>
      <c r="D446" s="4" t="n"/>
      <c r="E446" s="4" t="n"/>
      <c r="F446" s="4" t="n"/>
      <c r="G446" s="4" t="n"/>
      <c r="H446" s="4" t="n"/>
      <c r="I446" s="4" t="n"/>
      <c r="J446" s="4" t="n"/>
      <c r="K446" s="4" t="n"/>
      <c r="L446" s="4" t="n"/>
      <c r="M446" s="4" t="n"/>
      <c r="N446" s="4" t="n"/>
      <c r="O446" s="4" t="n"/>
      <c r="P446" s="4" t="n"/>
      <c r="Q446" s="4" t="n"/>
      <c r="R446" s="4" t="n"/>
    </row>
    <row r="447" ht="15.75" customHeight="1" s="108">
      <c r="A447" s="4" t="n"/>
      <c r="B447" s="4" t="n"/>
      <c r="C447" s="20" t="n"/>
      <c r="D447" s="4" t="n"/>
      <c r="E447" s="4" t="n"/>
      <c r="F447" s="4" t="n"/>
      <c r="G447" s="4" t="n"/>
      <c r="H447" s="4" t="n"/>
      <c r="I447" s="4" t="n"/>
      <c r="J447" s="4" t="n"/>
      <c r="K447" s="4" t="n"/>
      <c r="L447" s="4" t="n"/>
      <c r="M447" s="4" t="n"/>
      <c r="N447" s="4" t="n"/>
      <c r="O447" s="4" t="n"/>
      <c r="P447" s="4" t="n"/>
      <c r="Q447" s="4" t="n"/>
      <c r="R447" s="4" t="n"/>
    </row>
    <row r="448" ht="15.75" customHeight="1" s="108">
      <c r="A448" s="4" t="n"/>
      <c r="B448" s="4" t="n"/>
      <c r="C448" s="20" t="n"/>
      <c r="D448" s="4" t="n"/>
      <c r="E448" s="4" t="n"/>
      <c r="F448" s="4" t="n"/>
      <c r="G448" s="4" t="n"/>
      <c r="H448" s="4" t="n"/>
      <c r="I448" s="4" t="n"/>
      <c r="J448" s="4" t="n"/>
      <c r="K448" s="4" t="n"/>
      <c r="L448" s="4" t="n"/>
      <c r="M448" s="4" t="n"/>
      <c r="N448" s="4" t="n"/>
      <c r="O448" s="4" t="n"/>
      <c r="P448" s="4" t="n"/>
      <c r="Q448" s="4" t="n"/>
      <c r="R448" s="4" t="n"/>
    </row>
    <row r="449" ht="15.75" customHeight="1" s="108">
      <c r="A449" s="4" t="n"/>
      <c r="B449" s="4" t="n"/>
      <c r="C449" s="20" t="n"/>
      <c r="D449" s="4" t="n"/>
      <c r="E449" s="4" t="n"/>
      <c r="F449" s="4" t="n"/>
      <c r="G449" s="4" t="n"/>
      <c r="H449" s="4" t="n"/>
      <c r="I449" s="4" t="n"/>
      <c r="J449" s="4" t="n"/>
      <c r="K449" s="4" t="n"/>
      <c r="L449" s="4" t="n"/>
      <c r="M449" s="4" t="n"/>
      <c r="N449" s="4" t="n"/>
      <c r="O449" s="4" t="n"/>
      <c r="P449" s="4" t="n"/>
      <c r="Q449" s="4" t="n"/>
      <c r="R449" s="4" t="n"/>
    </row>
    <row r="450" ht="15.75" customHeight="1" s="108">
      <c r="A450" s="4" t="n"/>
      <c r="B450" s="4" t="n"/>
      <c r="C450" s="20" t="n"/>
      <c r="D450" s="4" t="n"/>
      <c r="E450" s="4" t="n"/>
      <c r="F450" s="4" t="n"/>
      <c r="G450" s="4" t="n"/>
      <c r="H450" s="4" t="n"/>
      <c r="I450" s="4" t="n"/>
      <c r="J450" s="4" t="n"/>
      <c r="K450" s="4" t="n"/>
      <c r="L450" s="4" t="n"/>
      <c r="M450" s="4" t="n"/>
      <c r="N450" s="4" t="n"/>
      <c r="O450" s="4" t="n"/>
      <c r="P450" s="4" t="n"/>
      <c r="Q450" s="4" t="n"/>
      <c r="R450" s="4" t="n"/>
    </row>
    <row r="451" ht="15.75" customHeight="1" s="108">
      <c r="A451" s="4" t="n"/>
      <c r="B451" s="4" t="n"/>
      <c r="C451" s="20" t="n"/>
      <c r="D451" s="4" t="n"/>
      <c r="E451" s="4" t="n"/>
      <c r="F451" s="4" t="n"/>
      <c r="G451" s="4" t="n"/>
      <c r="H451" s="4" t="n"/>
      <c r="I451" s="4" t="n"/>
      <c r="J451" s="4" t="n"/>
      <c r="K451" s="4" t="n"/>
      <c r="L451" s="4" t="n"/>
      <c r="M451" s="4" t="n"/>
      <c r="N451" s="4" t="n"/>
      <c r="O451" s="4" t="n"/>
      <c r="P451" s="4" t="n"/>
      <c r="Q451" s="4" t="n"/>
      <c r="R451" s="4" t="n"/>
    </row>
    <row r="452" ht="15.75" customHeight="1" s="108">
      <c r="A452" s="4" t="n"/>
      <c r="B452" s="4" t="n"/>
      <c r="C452" s="20" t="n"/>
      <c r="D452" s="4" t="n"/>
      <c r="E452" s="4" t="n"/>
      <c r="F452" s="4" t="n"/>
      <c r="G452" s="4" t="n"/>
      <c r="H452" s="4" t="n"/>
      <c r="I452" s="4" t="n"/>
      <c r="J452" s="4" t="n"/>
      <c r="K452" s="4" t="n"/>
      <c r="L452" s="4" t="n"/>
      <c r="M452" s="4" t="n"/>
      <c r="N452" s="4" t="n"/>
      <c r="O452" s="4" t="n"/>
      <c r="P452" s="4" t="n"/>
      <c r="Q452" s="4" t="n"/>
      <c r="R452" s="4" t="n"/>
    </row>
    <row r="453" ht="15.75" customHeight="1" s="108">
      <c r="A453" s="4" t="n"/>
      <c r="B453" s="4" t="n"/>
      <c r="C453" s="20" t="n"/>
      <c r="D453" s="4" t="n"/>
      <c r="E453" s="4" t="n"/>
      <c r="F453" s="4" t="n"/>
      <c r="G453" s="4" t="n"/>
      <c r="H453" s="4" t="n"/>
      <c r="I453" s="4" t="n"/>
      <c r="J453" s="4" t="n"/>
      <c r="K453" s="4" t="n"/>
      <c r="L453" s="4" t="n"/>
      <c r="M453" s="4" t="n"/>
      <c r="N453" s="4" t="n"/>
      <c r="O453" s="4" t="n"/>
      <c r="P453" s="4" t="n"/>
      <c r="Q453" s="4" t="n"/>
      <c r="R453" s="4" t="n"/>
    </row>
    <row r="454" ht="15.75" customHeight="1" s="108">
      <c r="A454" s="4" t="n"/>
      <c r="B454" s="4" t="n"/>
      <c r="C454" s="20" t="n"/>
      <c r="D454" s="4" t="n"/>
      <c r="E454" s="4" t="n"/>
      <c r="F454" s="4" t="n"/>
      <c r="G454" s="4" t="n"/>
      <c r="H454" s="4" t="n"/>
      <c r="I454" s="4" t="n"/>
      <c r="J454" s="4" t="n"/>
      <c r="K454" s="4" t="n"/>
      <c r="L454" s="4" t="n"/>
      <c r="M454" s="4" t="n"/>
      <c r="N454" s="4" t="n"/>
      <c r="O454" s="4" t="n"/>
      <c r="P454" s="4" t="n"/>
      <c r="Q454" s="4" t="n"/>
      <c r="R454" s="4" t="n"/>
    </row>
    <row r="455" ht="15.75" customHeight="1" s="108">
      <c r="A455" s="4" t="n"/>
      <c r="B455" s="4" t="n"/>
      <c r="C455" s="20" t="n"/>
      <c r="D455" s="4" t="n"/>
      <c r="E455" s="4" t="n"/>
      <c r="F455" s="4" t="n"/>
      <c r="G455" s="4" t="n"/>
      <c r="H455" s="4" t="n"/>
      <c r="I455" s="4" t="n"/>
      <c r="J455" s="4" t="n"/>
      <c r="K455" s="4" t="n"/>
      <c r="L455" s="4" t="n"/>
      <c r="M455" s="4" t="n"/>
      <c r="N455" s="4" t="n"/>
      <c r="O455" s="4" t="n"/>
      <c r="P455" s="4" t="n"/>
      <c r="Q455" s="4" t="n"/>
      <c r="R455" s="4" t="n"/>
    </row>
    <row r="456" ht="15.75" customHeight="1" s="108">
      <c r="A456" s="4" t="n"/>
      <c r="B456" s="4" t="n"/>
      <c r="C456" s="20" t="n"/>
      <c r="D456" s="4" t="n"/>
      <c r="E456" s="4" t="n"/>
      <c r="F456" s="4" t="n"/>
      <c r="G456" s="4" t="n"/>
      <c r="H456" s="4" t="n"/>
      <c r="I456" s="4" t="n"/>
      <c r="J456" s="4" t="n"/>
      <c r="K456" s="4" t="n"/>
      <c r="L456" s="4" t="n"/>
      <c r="M456" s="4" t="n"/>
      <c r="N456" s="4" t="n"/>
      <c r="O456" s="4" t="n"/>
      <c r="P456" s="4" t="n"/>
      <c r="Q456" s="4" t="n"/>
      <c r="R456" s="4" t="n"/>
    </row>
    <row r="457" ht="15.75" customHeight="1" s="108">
      <c r="A457" s="4" t="n"/>
      <c r="B457" s="4" t="n"/>
      <c r="C457" s="20" t="n"/>
      <c r="D457" s="4" t="n"/>
      <c r="E457" s="4" t="n"/>
      <c r="F457" s="4" t="n"/>
      <c r="G457" s="4" t="n"/>
      <c r="H457" s="4" t="n"/>
      <c r="I457" s="4" t="n"/>
      <c r="J457" s="4" t="n"/>
      <c r="K457" s="4" t="n"/>
      <c r="L457" s="4" t="n"/>
      <c r="M457" s="4" t="n"/>
      <c r="N457" s="4" t="n"/>
      <c r="O457" s="4" t="n"/>
      <c r="P457" s="4" t="n"/>
      <c r="Q457" s="4" t="n"/>
      <c r="R457" s="4" t="n"/>
    </row>
    <row r="458" ht="15.75" customHeight="1" s="108">
      <c r="A458" s="4" t="n"/>
      <c r="B458" s="4" t="n"/>
      <c r="C458" s="20" t="n"/>
      <c r="D458" s="4" t="n"/>
      <c r="E458" s="4" t="n"/>
      <c r="F458" s="4" t="n"/>
      <c r="G458" s="4" t="n"/>
      <c r="H458" s="4" t="n"/>
      <c r="I458" s="4" t="n"/>
      <c r="J458" s="4" t="n"/>
      <c r="K458" s="4" t="n"/>
      <c r="L458" s="4" t="n"/>
      <c r="M458" s="4" t="n"/>
      <c r="N458" s="4" t="n"/>
      <c r="O458" s="4" t="n"/>
      <c r="P458" s="4" t="n"/>
      <c r="Q458" s="4" t="n"/>
      <c r="R458" s="4" t="n"/>
    </row>
    <row r="459" ht="15.75" customHeight="1" s="108">
      <c r="A459" s="4" t="n"/>
      <c r="B459" s="4" t="n"/>
      <c r="C459" s="20" t="n"/>
      <c r="D459" s="4" t="n"/>
      <c r="E459" s="4" t="n"/>
      <c r="F459" s="4" t="n"/>
      <c r="G459" s="4" t="n"/>
      <c r="H459" s="4" t="n"/>
      <c r="I459" s="4" t="n"/>
      <c r="J459" s="4" t="n"/>
      <c r="K459" s="4" t="n"/>
      <c r="L459" s="4" t="n"/>
      <c r="M459" s="4" t="n"/>
      <c r="N459" s="4" t="n"/>
      <c r="O459" s="4" t="n"/>
      <c r="P459" s="4" t="n"/>
      <c r="Q459" s="4" t="n"/>
      <c r="R459" s="4" t="n"/>
    </row>
    <row r="460" ht="15.75" customHeight="1" s="108">
      <c r="A460" s="4" t="n"/>
      <c r="B460" s="4" t="n"/>
      <c r="C460" s="20" t="n"/>
      <c r="D460" s="4" t="n"/>
      <c r="E460" s="4" t="n"/>
      <c r="F460" s="4" t="n"/>
      <c r="G460" s="4" t="n"/>
      <c r="H460" s="4" t="n"/>
      <c r="I460" s="4" t="n"/>
      <c r="J460" s="4" t="n"/>
      <c r="K460" s="4" t="n"/>
      <c r="L460" s="4" t="n"/>
      <c r="M460" s="4" t="n"/>
      <c r="N460" s="4" t="n"/>
      <c r="O460" s="4" t="n"/>
      <c r="P460" s="4" t="n"/>
      <c r="Q460" s="4" t="n"/>
      <c r="R460" s="4" t="n"/>
    </row>
    <row r="461" ht="15.75" customHeight="1" s="108">
      <c r="A461" s="4" t="n"/>
      <c r="B461" s="4" t="n"/>
      <c r="C461" s="20" t="n"/>
      <c r="D461" s="4" t="n"/>
      <c r="E461" s="4" t="n"/>
      <c r="F461" s="4" t="n"/>
      <c r="G461" s="4" t="n"/>
      <c r="H461" s="4" t="n"/>
      <c r="I461" s="4" t="n"/>
      <c r="J461" s="4" t="n"/>
      <c r="K461" s="4" t="n"/>
      <c r="L461" s="4" t="n"/>
      <c r="M461" s="4" t="n"/>
      <c r="N461" s="4" t="n"/>
      <c r="O461" s="4" t="n"/>
      <c r="P461" s="4" t="n"/>
      <c r="Q461" s="4" t="n"/>
      <c r="R461" s="4" t="n"/>
    </row>
    <row r="462" ht="15.75" customHeight="1" s="108">
      <c r="A462" s="4" t="n"/>
      <c r="B462" s="4" t="n"/>
      <c r="C462" s="20" t="n"/>
      <c r="D462" s="4" t="n"/>
      <c r="E462" s="4" t="n"/>
      <c r="F462" s="4" t="n"/>
      <c r="G462" s="4" t="n"/>
      <c r="H462" s="4" t="n"/>
      <c r="I462" s="4" t="n"/>
      <c r="J462" s="4" t="n"/>
      <c r="K462" s="4" t="n"/>
      <c r="L462" s="4" t="n"/>
      <c r="M462" s="4" t="n"/>
      <c r="N462" s="4" t="n"/>
      <c r="O462" s="4" t="n"/>
      <c r="P462" s="4" t="n"/>
      <c r="Q462" s="4" t="n"/>
      <c r="R462" s="4" t="n"/>
    </row>
    <row r="463" ht="15.75" customHeight="1" s="108">
      <c r="A463" s="4" t="n"/>
      <c r="B463" s="4" t="n"/>
      <c r="C463" s="20" t="n"/>
      <c r="D463" s="4" t="n"/>
      <c r="E463" s="4" t="n"/>
      <c r="F463" s="4" t="n"/>
      <c r="G463" s="4" t="n"/>
      <c r="H463" s="4" t="n"/>
      <c r="I463" s="4" t="n"/>
      <c r="J463" s="4" t="n"/>
      <c r="K463" s="4" t="n"/>
      <c r="L463" s="4" t="n"/>
      <c r="M463" s="4" t="n"/>
      <c r="N463" s="4" t="n"/>
      <c r="O463" s="4" t="n"/>
      <c r="P463" s="4" t="n"/>
      <c r="Q463" s="4" t="n"/>
      <c r="R463" s="4" t="n"/>
    </row>
    <row r="464" ht="15.75" customHeight="1" s="108">
      <c r="A464" s="4" t="n"/>
      <c r="B464" s="4" t="n"/>
      <c r="C464" s="20" t="n"/>
      <c r="D464" s="4" t="n"/>
      <c r="E464" s="4" t="n"/>
      <c r="F464" s="4" t="n"/>
      <c r="G464" s="4" t="n"/>
      <c r="H464" s="4" t="n"/>
      <c r="I464" s="4" t="n"/>
      <c r="J464" s="4" t="n"/>
      <c r="K464" s="4" t="n"/>
      <c r="L464" s="4" t="n"/>
      <c r="M464" s="4" t="n"/>
      <c r="N464" s="4" t="n"/>
      <c r="O464" s="4" t="n"/>
      <c r="P464" s="4" t="n"/>
      <c r="Q464" s="4" t="n"/>
      <c r="R464" s="4" t="n"/>
    </row>
    <row r="465" ht="15.75" customHeight="1" s="108">
      <c r="A465" s="4" t="n"/>
      <c r="B465" s="4" t="n"/>
      <c r="C465" s="20" t="n"/>
      <c r="D465" s="4" t="n"/>
      <c r="E465" s="4" t="n"/>
      <c r="F465" s="4" t="n"/>
      <c r="G465" s="4" t="n"/>
      <c r="H465" s="4" t="n"/>
      <c r="I465" s="4" t="n"/>
      <c r="J465" s="4" t="n"/>
      <c r="K465" s="4" t="n"/>
      <c r="L465" s="4" t="n"/>
      <c r="M465" s="4" t="n"/>
      <c r="N465" s="4" t="n"/>
      <c r="O465" s="4" t="n"/>
      <c r="P465" s="4" t="n"/>
      <c r="Q465" s="4" t="n"/>
      <c r="R465" s="4" t="n"/>
    </row>
    <row r="466" ht="15.75" customHeight="1" s="108">
      <c r="A466" s="4" t="n"/>
      <c r="B466" s="4" t="n"/>
      <c r="C466" s="20" t="n"/>
      <c r="D466" s="4" t="n"/>
      <c r="E466" s="4" t="n"/>
      <c r="F466" s="4" t="n"/>
      <c r="G466" s="4" t="n"/>
      <c r="H466" s="4" t="n"/>
      <c r="I466" s="4" t="n"/>
      <c r="J466" s="4" t="n"/>
      <c r="K466" s="4" t="n"/>
      <c r="L466" s="4" t="n"/>
      <c r="M466" s="4" t="n"/>
      <c r="N466" s="4" t="n"/>
      <c r="O466" s="4" t="n"/>
      <c r="P466" s="4" t="n"/>
      <c r="Q466" s="4" t="n"/>
      <c r="R466" s="4" t="n"/>
    </row>
    <row r="467" ht="15.75" customHeight="1" s="108">
      <c r="A467" s="4" t="n"/>
      <c r="B467" s="4" t="n"/>
      <c r="C467" s="20" t="n"/>
      <c r="D467" s="4" t="n"/>
      <c r="E467" s="4" t="n"/>
      <c r="F467" s="4" t="n"/>
      <c r="G467" s="4" t="n"/>
      <c r="H467" s="4" t="n"/>
      <c r="I467" s="4" t="n"/>
      <c r="J467" s="4" t="n"/>
      <c r="K467" s="4" t="n"/>
      <c r="L467" s="4" t="n"/>
      <c r="M467" s="4" t="n"/>
      <c r="N467" s="4" t="n"/>
      <c r="O467" s="4" t="n"/>
      <c r="P467" s="4" t="n"/>
      <c r="Q467" s="4" t="n"/>
      <c r="R467" s="4" t="n"/>
    </row>
    <row r="468" ht="15.75" customHeight="1" s="108">
      <c r="A468" s="4" t="n"/>
      <c r="B468" s="4" t="n"/>
      <c r="C468" s="20" t="n"/>
      <c r="D468" s="4" t="n"/>
      <c r="E468" s="4" t="n"/>
      <c r="F468" s="4" t="n"/>
      <c r="G468" s="4" t="n"/>
      <c r="H468" s="4" t="n"/>
      <c r="I468" s="4" t="n"/>
      <c r="J468" s="4" t="n"/>
      <c r="K468" s="4" t="n"/>
      <c r="L468" s="4" t="n"/>
      <c r="M468" s="4" t="n"/>
      <c r="N468" s="4" t="n"/>
      <c r="O468" s="4" t="n"/>
      <c r="P468" s="4" t="n"/>
      <c r="Q468" s="4" t="n"/>
      <c r="R468" s="4" t="n"/>
    </row>
    <row r="469" ht="15.75" customHeight="1" s="108">
      <c r="A469" s="4" t="n"/>
      <c r="B469" s="4" t="n"/>
      <c r="C469" s="20" t="n"/>
      <c r="D469" s="4" t="n"/>
      <c r="E469" s="4" t="n"/>
      <c r="F469" s="4" t="n"/>
      <c r="G469" s="4" t="n"/>
      <c r="H469" s="4" t="n"/>
      <c r="I469" s="4" t="n"/>
      <c r="J469" s="4" t="n"/>
      <c r="K469" s="4" t="n"/>
      <c r="L469" s="4" t="n"/>
      <c r="M469" s="4" t="n"/>
      <c r="N469" s="4" t="n"/>
      <c r="O469" s="4" t="n"/>
      <c r="P469" s="4" t="n"/>
      <c r="Q469" s="4" t="n"/>
      <c r="R469" s="4" t="n"/>
    </row>
    <row r="470" ht="15.75" customHeight="1" s="108">
      <c r="A470" s="4" t="n"/>
      <c r="B470" s="4" t="n"/>
      <c r="C470" s="20" t="n"/>
      <c r="D470" s="4" t="n"/>
      <c r="E470" s="4" t="n"/>
      <c r="F470" s="4" t="n"/>
      <c r="G470" s="4" t="n"/>
      <c r="H470" s="4" t="n"/>
      <c r="I470" s="4" t="n"/>
      <c r="J470" s="4" t="n"/>
      <c r="K470" s="4" t="n"/>
      <c r="L470" s="4" t="n"/>
      <c r="M470" s="4" t="n"/>
      <c r="N470" s="4" t="n"/>
      <c r="O470" s="4" t="n"/>
      <c r="P470" s="4" t="n"/>
      <c r="Q470" s="4" t="n"/>
      <c r="R470" s="4" t="n"/>
    </row>
    <row r="471" ht="15.75" customHeight="1" s="108">
      <c r="A471" s="4" t="n"/>
      <c r="B471" s="4" t="n"/>
      <c r="C471" s="20" t="n"/>
      <c r="D471" s="4" t="n"/>
      <c r="E471" s="4" t="n"/>
      <c r="F471" s="4" t="n"/>
      <c r="G471" s="4" t="n"/>
      <c r="H471" s="4" t="n"/>
      <c r="I471" s="4" t="n"/>
      <c r="J471" s="4" t="n"/>
      <c r="K471" s="4" t="n"/>
      <c r="L471" s="4" t="n"/>
      <c r="M471" s="4" t="n"/>
      <c r="N471" s="4" t="n"/>
      <c r="O471" s="4" t="n"/>
      <c r="P471" s="4" t="n"/>
      <c r="Q471" s="4" t="n"/>
      <c r="R471" s="4" t="n"/>
    </row>
    <row r="472" ht="15.75" customHeight="1" s="108">
      <c r="A472" s="4" t="n"/>
      <c r="B472" s="4" t="n"/>
      <c r="C472" s="20" t="n"/>
      <c r="D472" s="4" t="n"/>
      <c r="E472" s="4" t="n"/>
      <c r="F472" s="4" t="n"/>
      <c r="G472" s="4" t="n"/>
      <c r="H472" s="4" t="n"/>
      <c r="I472" s="4" t="n"/>
      <c r="J472" s="4" t="n"/>
      <c r="K472" s="4" t="n"/>
      <c r="L472" s="4" t="n"/>
      <c r="M472" s="4" t="n"/>
      <c r="N472" s="4" t="n"/>
      <c r="O472" s="4" t="n"/>
      <c r="P472" s="4" t="n"/>
      <c r="Q472" s="4" t="n"/>
      <c r="R472" s="4" t="n"/>
    </row>
    <row r="473" ht="15.75" customHeight="1" s="108">
      <c r="A473" s="4" t="n"/>
      <c r="B473" s="4" t="n"/>
      <c r="C473" s="20" t="n"/>
      <c r="D473" s="4" t="n"/>
      <c r="E473" s="4" t="n"/>
      <c r="F473" s="4" t="n"/>
      <c r="G473" s="4" t="n"/>
      <c r="H473" s="4" t="n"/>
      <c r="I473" s="4" t="n"/>
      <c r="J473" s="4" t="n"/>
      <c r="K473" s="4" t="n"/>
      <c r="L473" s="4" t="n"/>
      <c r="M473" s="4" t="n"/>
      <c r="N473" s="4" t="n"/>
      <c r="O473" s="4" t="n"/>
      <c r="P473" s="4" t="n"/>
      <c r="Q473" s="4" t="n"/>
      <c r="R473" s="4" t="n"/>
    </row>
    <row r="474" ht="15.75" customHeight="1" s="108">
      <c r="A474" s="4" t="n"/>
      <c r="B474" s="4" t="n"/>
      <c r="C474" s="20" t="n"/>
      <c r="D474" s="4" t="n"/>
      <c r="E474" s="4" t="n"/>
      <c r="F474" s="4" t="n"/>
      <c r="G474" s="4" t="n"/>
      <c r="H474" s="4" t="n"/>
      <c r="I474" s="4" t="n"/>
      <c r="J474" s="4" t="n"/>
      <c r="K474" s="4" t="n"/>
      <c r="L474" s="4" t="n"/>
      <c r="M474" s="4" t="n"/>
      <c r="N474" s="4" t="n"/>
      <c r="O474" s="4" t="n"/>
      <c r="P474" s="4" t="n"/>
      <c r="Q474" s="4" t="n"/>
      <c r="R474" s="4" t="n"/>
    </row>
    <row r="475" ht="15.75" customHeight="1" s="108">
      <c r="A475" s="4" t="n"/>
      <c r="B475" s="4" t="n"/>
      <c r="C475" s="20" t="n"/>
      <c r="D475" s="4" t="n"/>
      <c r="E475" s="4" t="n"/>
      <c r="F475" s="4" t="n"/>
      <c r="G475" s="4" t="n"/>
      <c r="H475" s="4" t="n"/>
      <c r="I475" s="4" t="n"/>
      <c r="J475" s="4" t="n"/>
      <c r="K475" s="4" t="n"/>
      <c r="L475" s="4" t="n"/>
      <c r="M475" s="4" t="n"/>
      <c r="N475" s="4" t="n"/>
      <c r="O475" s="4" t="n"/>
      <c r="P475" s="4" t="n"/>
      <c r="Q475" s="4" t="n"/>
      <c r="R475" s="4" t="n"/>
    </row>
    <row r="476" ht="15.75" customHeight="1" s="108">
      <c r="A476" s="4" t="n"/>
      <c r="B476" s="4" t="n"/>
      <c r="C476" s="20" t="n"/>
      <c r="D476" s="4" t="n"/>
      <c r="E476" s="4" t="n"/>
      <c r="F476" s="4" t="n"/>
      <c r="G476" s="4" t="n"/>
      <c r="H476" s="4" t="n"/>
      <c r="I476" s="4" t="n"/>
      <c r="J476" s="4" t="n"/>
      <c r="K476" s="4" t="n"/>
      <c r="L476" s="4" t="n"/>
      <c r="M476" s="4" t="n"/>
      <c r="N476" s="4" t="n"/>
      <c r="O476" s="4" t="n"/>
      <c r="P476" s="4" t="n"/>
      <c r="Q476" s="4" t="n"/>
      <c r="R476" s="4" t="n"/>
    </row>
    <row r="477" ht="15.75" customHeight="1" s="108">
      <c r="A477" s="4" t="n"/>
      <c r="B477" s="4" t="n"/>
      <c r="C477" s="20" t="n"/>
      <c r="D477" s="4" t="n"/>
      <c r="E477" s="4" t="n"/>
      <c r="F477" s="4" t="n"/>
      <c r="G477" s="4" t="n"/>
      <c r="H477" s="4" t="n"/>
      <c r="I477" s="4" t="n"/>
      <c r="J477" s="4" t="n"/>
      <c r="K477" s="4" t="n"/>
      <c r="L477" s="4" t="n"/>
      <c r="M477" s="4" t="n"/>
      <c r="N477" s="4" t="n"/>
      <c r="O477" s="4" t="n"/>
      <c r="P477" s="4" t="n"/>
      <c r="Q477" s="4" t="n"/>
      <c r="R477" s="4" t="n"/>
    </row>
    <row r="478" ht="15.75" customHeight="1" s="108">
      <c r="A478" s="4" t="n"/>
      <c r="B478" s="4" t="n"/>
      <c r="C478" s="20" t="n"/>
      <c r="D478" s="4" t="n"/>
      <c r="E478" s="4" t="n"/>
      <c r="F478" s="4" t="n"/>
      <c r="G478" s="4" t="n"/>
      <c r="H478" s="4" t="n"/>
      <c r="I478" s="4" t="n"/>
      <c r="J478" s="4" t="n"/>
      <c r="K478" s="4" t="n"/>
      <c r="L478" s="4" t="n"/>
      <c r="M478" s="4" t="n"/>
      <c r="N478" s="4" t="n"/>
      <c r="O478" s="4" t="n"/>
      <c r="P478" s="4" t="n"/>
      <c r="Q478" s="4" t="n"/>
      <c r="R478" s="4" t="n"/>
    </row>
    <row r="479" ht="15.75" customHeight="1" s="108">
      <c r="A479" s="4" t="n"/>
      <c r="B479" s="4" t="n"/>
      <c r="C479" s="20" t="n"/>
      <c r="D479" s="4" t="n"/>
      <c r="E479" s="4" t="n"/>
      <c r="F479" s="4" t="n"/>
      <c r="G479" s="4" t="n"/>
      <c r="H479" s="4" t="n"/>
      <c r="I479" s="4" t="n"/>
      <c r="J479" s="4" t="n"/>
      <c r="K479" s="4" t="n"/>
      <c r="L479" s="4" t="n"/>
      <c r="M479" s="4" t="n"/>
      <c r="N479" s="4" t="n"/>
      <c r="O479" s="4" t="n"/>
      <c r="P479" s="4" t="n"/>
      <c r="Q479" s="4" t="n"/>
      <c r="R479" s="4" t="n"/>
    </row>
    <row r="480" ht="15.75" customHeight="1" s="108">
      <c r="A480" s="4" t="n"/>
      <c r="B480" s="4" t="n"/>
      <c r="C480" s="20" t="n"/>
      <c r="D480" s="4" t="n"/>
      <c r="E480" s="4" t="n"/>
      <c r="F480" s="4" t="n"/>
      <c r="G480" s="4" t="n"/>
      <c r="H480" s="4" t="n"/>
      <c r="I480" s="4" t="n"/>
      <c r="J480" s="4" t="n"/>
      <c r="K480" s="4" t="n"/>
      <c r="L480" s="4" t="n"/>
      <c r="M480" s="4" t="n"/>
      <c r="N480" s="4" t="n"/>
      <c r="O480" s="4" t="n"/>
      <c r="P480" s="4" t="n"/>
      <c r="Q480" s="4" t="n"/>
      <c r="R480" s="4" t="n"/>
    </row>
    <row r="481" ht="15.75" customHeight="1" s="108">
      <c r="A481" s="4" t="n"/>
      <c r="B481" s="4" t="n"/>
      <c r="C481" s="20" t="n"/>
      <c r="D481" s="4" t="n"/>
      <c r="E481" s="4" t="n"/>
      <c r="F481" s="4" t="n"/>
      <c r="G481" s="4" t="n"/>
      <c r="H481" s="4" t="n"/>
      <c r="I481" s="4" t="n"/>
      <c r="J481" s="4" t="n"/>
      <c r="K481" s="4" t="n"/>
      <c r="L481" s="4" t="n"/>
      <c r="M481" s="4" t="n"/>
      <c r="N481" s="4" t="n"/>
      <c r="O481" s="4" t="n"/>
      <c r="P481" s="4" t="n"/>
      <c r="Q481" s="4" t="n"/>
      <c r="R481" s="4" t="n"/>
    </row>
    <row r="482" ht="15.75" customHeight="1" s="108">
      <c r="A482" s="4" t="n"/>
      <c r="B482" s="4" t="n"/>
      <c r="C482" s="20" t="n"/>
      <c r="D482" s="4" t="n"/>
      <c r="E482" s="4" t="n"/>
      <c r="F482" s="4" t="n"/>
      <c r="G482" s="4" t="n"/>
      <c r="H482" s="4" t="n"/>
      <c r="I482" s="4" t="n"/>
      <c r="J482" s="4" t="n"/>
      <c r="K482" s="4" t="n"/>
      <c r="L482" s="4" t="n"/>
      <c r="M482" s="4" t="n"/>
      <c r="N482" s="4" t="n"/>
      <c r="O482" s="4" t="n"/>
      <c r="P482" s="4" t="n"/>
      <c r="Q482" s="4" t="n"/>
      <c r="R482" s="4" t="n"/>
    </row>
    <row r="483" ht="15.75" customHeight="1" s="108">
      <c r="A483" s="4" t="n"/>
      <c r="B483" s="4" t="n"/>
      <c r="C483" s="20" t="n"/>
      <c r="D483" s="4" t="n"/>
      <c r="E483" s="4" t="n"/>
      <c r="F483" s="4" t="n"/>
      <c r="G483" s="4" t="n"/>
      <c r="H483" s="4" t="n"/>
      <c r="I483" s="4" t="n"/>
      <c r="J483" s="4" t="n"/>
      <c r="K483" s="4" t="n"/>
      <c r="L483" s="4" t="n"/>
      <c r="M483" s="4" t="n"/>
      <c r="N483" s="4" t="n"/>
      <c r="O483" s="4" t="n"/>
      <c r="P483" s="4" t="n"/>
      <c r="Q483" s="4" t="n"/>
      <c r="R483" s="4" t="n"/>
    </row>
    <row r="484" ht="15.75" customHeight="1" s="108">
      <c r="A484" s="4" t="n"/>
      <c r="B484" s="4" t="n"/>
      <c r="C484" s="20" t="n"/>
      <c r="D484" s="4" t="n"/>
      <c r="E484" s="4" t="n"/>
      <c r="F484" s="4" t="n"/>
      <c r="G484" s="4" t="n"/>
      <c r="H484" s="4" t="n"/>
      <c r="I484" s="4" t="n"/>
      <c r="J484" s="4" t="n"/>
      <c r="K484" s="4" t="n"/>
      <c r="L484" s="4" t="n"/>
      <c r="M484" s="4" t="n"/>
      <c r="N484" s="4" t="n"/>
      <c r="O484" s="4" t="n"/>
      <c r="P484" s="4" t="n"/>
      <c r="Q484" s="4" t="n"/>
      <c r="R484" s="4" t="n"/>
    </row>
    <row r="485" ht="15.75" customHeight="1" s="108">
      <c r="A485" s="4" t="n"/>
      <c r="B485" s="4" t="n"/>
      <c r="C485" s="20" t="n"/>
      <c r="D485" s="4" t="n"/>
      <c r="E485" s="4" t="n"/>
      <c r="F485" s="4" t="n"/>
      <c r="G485" s="4" t="n"/>
      <c r="H485" s="4" t="n"/>
      <c r="I485" s="4" t="n"/>
      <c r="J485" s="4" t="n"/>
      <c r="K485" s="4" t="n"/>
      <c r="L485" s="4" t="n"/>
      <c r="M485" s="4" t="n"/>
      <c r="N485" s="4" t="n"/>
      <c r="O485" s="4" t="n"/>
      <c r="P485" s="4" t="n"/>
      <c r="Q485" s="4" t="n"/>
      <c r="R485" s="4" t="n"/>
    </row>
    <row r="486" ht="15.75" customHeight="1" s="108">
      <c r="A486" s="4" t="n"/>
      <c r="B486" s="4" t="n"/>
      <c r="C486" s="20" t="n"/>
      <c r="D486" s="4" t="n"/>
      <c r="E486" s="4" t="n"/>
      <c r="F486" s="4" t="n"/>
      <c r="G486" s="4" t="n"/>
      <c r="H486" s="4" t="n"/>
      <c r="I486" s="4" t="n"/>
      <c r="J486" s="4" t="n"/>
      <c r="K486" s="4" t="n"/>
      <c r="L486" s="4" t="n"/>
      <c r="M486" s="4" t="n"/>
      <c r="N486" s="4" t="n"/>
      <c r="O486" s="4" t="n"/>
      <c r="P486" s="4" t="n"/>
      <c r="Q486" s="4" t="n"/>
      <c r="R486" s="4" t="n"/>
    </row>
    <row r="487" ht="15.75" customHeight="1" s="108">
      <c r="A487" s="4" t="n"/>
      <c r="B487" s="4" t="n"/>
      <c r="C487" s="20" t="n"/>
      <c r="D487" s="4" t="n"/>
      <c r="E487" s="4" t="n"/>
      <c r="F487" s="4" t="n"/>
      <c r="G487" s="4" t="n"/>
      <c r="H487" s="4" t="n"/>
      <c r="I487" s="4" t="n"/>
      <c r="J487" s="4" t="n"/>
      <c r="K487" s="4" t="n"/>
      <c r="L487" s="4" t="n"/>
      <c r="M487" s="4" t="n"/>
      <c r="N487" s="4" t="n"/>
      <c r="O487" s="4" t="n"/>
      <c r="P487" s="4" t="n"/>
      <c r="Q487" s="4" t="n"/>
      <c r="R487" s="4" t="n"/>
    </row>
    <row r="488" ht="15.75" customHeight="1" s="108">
      <c r="A488" s="4" t="n"/>
      <c r="B488" s="4" t="n"/>
      <c r="C488" s="20" t="n"/>
      <c r="D488" s="4" t="n"/>
      <c r="E488" s="4" t="n"/>
      <c r="F488" s="4" t="n"/>
      <c r="G488" s="4" t="n"/>
      <c r="H488" s="4" t="n"/>
      <c r="I488" s="4" t="n"/>
      <c r="J488" s="4" t="n"/>
      <c r="K488" s="4" t="n"/>
      <c r="L488" s="4" t="n"/>
      <c r="M488" s="4" t="n"/>
      <c r="N488" s="4" t="n"/>
      <c r="O488" s="4" t="n"/>
      <c r="P488" s="4" t="n"/>
      <c r="Q488" s="4" t="n"/>
      <c r="R488" s="4" t="n"/>
    </row>
    <row r="489" ht="15.75" customHeight="1" s="108">
      <c r="A489" s="4" t="n"/>
      <c r="B489" s="4" t="n"/>
      <c r="C489" s="20" t="n"/>
      <c r="D489" s="4" t="n"/>
      <c r="E489" s="4" t="n"/>
      <c r="F489" s="4" t="n"/>
      <c r="G489" s="4" t="n"/>
      <c r="H489" s="4" t="n"/>
      <c r="I489" s="4" t="n"/>
      <c r="J489" s="4" t="n"/>
      <c r="K489" s="4" t="n"/>
      <c r="L489" s="4" t="n"/>
      <c r="M489" s="4" t="n"/>
      <c r="N489" s="4" t="n"/>
      <c r="O489" s="4" t="n"/>
      <c r="P489" s="4" t="n"/>
      <c r="Q489" s="4" t="n"/>
      <c r="R489" s="4" t="n"/>
    </row>
    <row r="490" ht="15.75" customHeight="1" s="108">
      <c r="A490" s="4" t="n"/>
      <c r="B490" s="4" t="n"/>
      <c r="C490" s="20" t="n"/>
      <c r="D490" s="4" t="n"/>
      <c r="E490" s="4" t="n"/>
      <c r="F490" s="4" t="n"/>
      <c r="G490" s="4" t="n"/>
      <c r="H490" s="4" t="n"/>
      <c r="I490" s="4" t="n"/>
      <c r="J490" s="4" t="n"/>
      <c r="K490" s="4" t="n"/>
      <c r="L490" s="4" t="n"/>
      <c r="M490" s="4" t="n"/>
      <c r="N490" s="4" t="n"/>
      <c r="O490" s="4" t="n"/>
      <c r="P490" s="4" t="n"/>
      <c r="Q490" s="4" t="n"/>
      <c r="R490" s="4" t="n"/>
    </row>
    <row r="491" ht="15.75" customHeight="1" s="108">
      <c r="A491" s="4" t="n"/>
      <c r="B491" s="4" t="n"/>
      <c r="C491" s="20" t="n"/>
      <c r="D491" s="4" t="n"/>
      <c r="E491" s="4" t="n"/>
      <c r="F491" s="4" t="n"/>
      <c r="G491" s="4" t="n"/>
      <c r="H491" s="4" t="n"/>
      <c r="I491" s="4" t="n"/>
      <c r="J491" s="4" t="n"/>
      <c r="K491" s="4" t="n"/>
      <c r="L491" s="4" t="n"/>
      <c r="M491" s="4" t="n"/>
      <c r="N491" s="4" t="n"/>
      <c r="O491" s="4" t="n"/>
      <c r="P491" s="4" t="n"/>
      <c r="Q491" s="4" t="n"/>
      <c r="R491" s="4" t="n"/>
    </row>
    <row r="492" ht="15.75" customHeight="1" s="108">
      <c r="A492" s="4" t="n"/>
      <c r="B492" s="4" t="n"/>
      <c r="C492" s="20" t="n"/>
      <c r="D492" s="4" t="n"/>
      <c r="E492" s="4" t="n"/>
      <c r="F492" s="4" t="n"/>
      <c r="G492" s="4" t="n"/>
      <c r="H492" s="4" t="n"/>
      <c r="I492" s="4" t="n"/>
      <c r="J492" s="4" t="n"/>
      <c r="K492" s="4" t="n"/>
      <c r="L492" s="4" t="n"/>
      <c r="M492" s="4" t="n"/>
      <c r="N492" s="4" t="n"/>
      <c r="O492" s="4" t="n"/>
      <c r="P492" s="4" t="n"/>
      <c r="Q492" s="4" t="n"/>
      <c r="R492" s="4" t="n"/>
    </row>
    <row r="493" ht="15.75" customHeight="1" s="108">
      <c r="A493" s="4" t="n"/>
      <c r="B493" s="4" t="n"/>
      <c r="C493" s="20" t="n"/>
      <c r="D493" s="4" t="n"/>
      <c r="E493" s="4" t="n"/>
      <c r="F493" s="4" t="n"/>
      <c r="G493" s="4" t="n"/>
      <c r="H493" s="4" t="n"/>
      <c r="I493" s="4" t="n"/>
      <c r="J493" s="4" t="n"/>
      <c r="K493" s="4" t="n"/>
      <c r="L493" s="4" t="n"/>
      <c r="M493" s="4" t="n"/>
      <c r="N493" s="4" t="n"/>
      <c r="O493" s="4" t="n"/>
      <c r="P493" s="4" t="n"/>
      <c r="Q493" s="4" t="n"/>
      <c r="R493" s="4" t="n"/>
    </row>
    <row r="494" ht="15.75" customHeight="1" s="108">
      <c r="A494" s="4" t="n"/>
      <c r="B494" s="4" t="n"/>
      <c r="C494" s="20" t="n"/>
      <c r="D494" s="4" t="n"/>
      <c r="E494" s="4" t="n"/>
      <c r="F494" s="4" t="n"/>
      <c r="G494" s="4" t="n"/>
      <c r="H494" s="4" t="n"/>
      <c r="I494" s="4" t="n"/>
      <c r="J494" s="4" t="n"/>
      <c r="K494" s="4" t="n"/>
      <c r="L494" s="4" t="n"/>
      <c r="M494" s="4" t="n"/>
      <c r="N494" s="4" t="n"/>
      <c r="O494" s="4" t="n"/>
      <c r="P494" s="4" t="n"/>
      <c r="Q494" s="4" t="n"/>
      <c r="R494" s="4" t="n"/>
    </row>
    <row r="495" ht="15.75" customHeight="1" s="108">
      <c r="A495" s="4" t="n"/>
      <c r="B495" s="4" t="n"/>
      <c r="C495" s="20" t="n"/>
      <c r="D495" s="4" t="n"/>
      <c r="E495" s="4" t="n"/>
      <c r="F495" s="4" t="n"/>
      <c r="G495" s="4" t="n"/>
      <c r="H495" s="4" t="n"/>
      <c r="I495" s="4" t="n"/>
      <c r="J495" s="4" t="n"/>
      <c r="K495" s="4" t="n"/>
      <c r="L495" s="4" t="n"/>
      <c r="M495" s="4" t="n"/>
      <c r="N495" s="4" t="n"/>
      <c r="O495" s="4" t="n"/>
      <c r="P495" s="4" t="n"/>
      <c r="Q495" s="4" t="n"/>
      <c r="R495" s="4" t="n"/>
    </row>
    <row r="496" ht="15.75" customHeight="1" s="108">
      <c r="A496" s="4" t="n"/>
      <c r="B496" s="4" t="n"/>
      <c r="C496" s="20" t="n"/>
      <c r="D496" s="4" t="n"/>
      <c r="E496" s="4" t="n"/>
      <c r="F496" s="4" t="n"/>
      <c r="G496" s="4" t="n"/>
      <c r="H496" s="4" t="n"/>
      <c r="I496" s="4" t="n"/>
      <c r="J496" s="4" t="n"/>
      <c r="K496" s="4" t="n"/>
      <c r="L496" s="4" t="n"/>
      <c r="M496" s="4" t="n"/>
      <c r="N496" s="4" t="n"/>
      <c r="O496" s="4" t="n"/>
      <c r="P496" s="4" t="n"/>
      <c r="Q496" s="4" t="n"/>
      <c r="R496" s="4" t="n"/>
    </row>
    <row r="497" ht="15.75" customHeight="1" s="108">
      <c r="A497" s="4" t="n"/>
      <c r="B497" s="4" t="n"/>
      <c r="C497" s="20" t="n"/>
      <c r="D497" s="4" t="n"/>
      <c r="E497" s="4" t="n"/>
      <c r="F497" s="4" t="n"/>
      <c r="G497" s="4" t="n"/>
      <c r="H497" s="4" t="n"/>
      <c r="I497" s="4" t="n"/>
      <c r="J497" s="4" t="n"/>
      <c r="K497" s="4" t="n"/>
      <c r="L497" s="4" t="n"/>
      <c r="M497" s="4" t="n"/>
      <c r="N497" s="4" t="n"/>
      <c r="O497" s="4" t="n"/>
      <c r="P497" s="4" t="n"/>
      <c r="Q497" s="4" t="n"/>
      <c r="R497" s="4" t="n"/>
    </row>
    <row r="498" ht="15.75" customHeight="1" s="108">
      <c r="A498" s="4" t="n"/>
      <c r="B498" s="4" t="n"/>
      <c r="C498" s="20" t="n"/>
      <c r="D498" s="4" t="n"/>
      <c r="E498" s="4" t="n"/>
      <c r="F498" s="4" t="n"/>
      <c r="G498" s="4" t="n"/>
      <c r="H498" s="4" t="n"/>
      <c r="I498" s="4" t="n"/>
      <c r="J498" s="4" t="n"/>
      <c r="K498" s="4" t="n"/>
      <c r="L498" s="4" t="n"/>
      <c r="M498" s="4" t="n"/>
      <c r="N498" s="4" t="n"/>
      <c r="O498" s="4" t="n"/>
      <c r="P498" s="4" t="n"/>
      <c r="Q498" s="4" t="n"/>
      <c r="R498" s="4" t="n"/>
    </row>
    <row r="499" ht="15.75" customHeight="1" s="108">
      <c r="A499" s="4" t="n"/>
      <c r="B499" s="4" t="n"/>
      <c r="C499" s="20" t="n"/>
      <c r="D499" s="4" t="n"/>
      <c r="E499" s="4" t="n"/>
      <c r="F499" s="4" t="n"/>
      <c r="G499" s="4" t="n"/>
      <c r="H499" s="4" t="n"/>
      <c r="I499" s="4" t="n"/>
      <c r="J499" s="4" t="n"/>
      <c r="K499" s="4" t="n"/>
      <c r="L499" s="4" t="n"/>
      <c r="M499" s="4" t="n"/>
      <c r="N499" s="4" t="n"/>
      <c r="O499" s="4" t="n"/>
      <c r="P499" s="4" t="n"/>
      <c r="Q499" s="4" t="n"/>
      <c r="R499" s="4" t="n"/>
    </row>
    <row r="500" ht="15.75" customHeight="1" s="108">
      <c r="A500" s="4" t="n"/>
      <c r="B500" s="4" t="n"/>
      <c r="C500" s="20" t="n"/>
      <c r="D500" s="4" t="n"/>
      <c r="E500" s="4" t="n"/>
      <c r="F500" s="4" t="n"/>
      <c r="G500" s="4" t="n"/>
      <c r="H500" s="4" t="n"/>
      <c r="I500" s="4" t="n"/>
      <c r="J500" s="4" t="n"/>
      <c r="K500" s="4" t="n"/>
      <c r="L500" s="4" t="n"/>
      <c r="M500" s="4" t="n"/>
      <c r="N500" s="4" t="n"/>
      <c r="O500" s="4" t="n"/>
      <c r="P500" s="4" t="n"/>
      <c r="Q500" s="4" t="n"/>
      <c r="R500" s="4" t="n"/>
    </row>
    <row r="501" ht="15.75" customHeight="1" s="108">
      <c r="A501" s="4" t="n"/>
      <c r="B501" s="4" t="n"/>
      <c r="C501" s="4" t="n"/>
      <c r="D501" s="4" t="n"/>
      <c r="E501" s="4" t="n"/>
      <c r="F501" s="4" t="n"/>
      <c r="G501" s="4" t="n"/>
      <c r="H501" s="4" t="n"/>
      <c r="I501" s="4" t="n"/>
      <c r="J501" s="4" t="n"/>
      <c r="K501" s="4" t="n"/>
      <c r="L501" s="4" t="n"/>
      <c r="M501" s="4" t="n"/>
      <c r="N501" s="4" t="n"/>
      <c r="O501" s="4" t="n"/>
      <c r="P501" s="4" t="n"/>
      <c r="Q501" s="4" t="n"/>
      <c r="R501" s="4" t="n"/>
    </row>
    <row r="502" ht="15.75" customHeight="1" s="108">
      <c r="A502" s="4" t="n"/>
      <c r="B502" s="4" t="n"/>
      <c r="C502" s="4" t="n"/>
      <c r="D502" s="4" t="n"/>
      <c r="E502" s="4" t="n"/>
      <c r="F502" s="4" t="n"/>
      <c r="G502" s="4" t="n"/>
      <c r="H502" s="4" t="n"/>
      <c r="I502" s="4" t="n"/>
      <c r="J502" s="4" t="n"/>
      <c r="K502" s="4" t="n"/>
      <c r="L502" s="4" t="n"/>
      <c r="M502" s="4" t="n"/>
      <c r="N502" s="4" t="n"/>
      <c r="O502" s="4" t="n"/>
      <c r="P502" s="4" t="n"/>
      <c r="Q502" s="4" t="n"/>
      <c r="R502" s="4" t="n"/>
    </row>
    <row r="503" ht="15.75" customHeight="1" s="108">
      <c r="A503" s="4" t="n"/>
      <c r="B503" s="4" t="n"/>
      <c r="C503" s="4" t="n"/>
      <c r="D503" s="4" t="n"/>
      <c r="E503" s="4" t="n"/>
      <c r="F503" s="4" t="n"/>
      <c r="G503" s="4" t="n"/>
      <c r="H503" s="4" t="n"/>
      <c r="I503" s="4" t="n"/>
      <c r="J503" s="4" t="n"/>
      <c r="K503" s="4" t="n"/>
      <c r="L503" s="4" t="n"/>
      <c r="M503" s="4" t="n"/>
      <c r="N503" s="4" t="n"/>
      <c r="O503" s="4" t="n"/>
      <c r="P503" s="4" t="n"/>
      <c r="Q503" s="4" t="n"/>
      <c r="R503" s="4" t="n"/>
    </row>
    <row r="504" ht="15.75" customHeight="1" s="108">
      <c r="A504" s="4" t="n"/>
      <c r="B504" s="4" t="n"/>
      <c r="C504" s="4" t="n"/>
      <c r="D504" s="4" t="n"/>
      <c r="E504" s="4" t="n"/>
      <c r="F504" s="4" t="n"/>
      <c r="G504" s="4" t="n"/>
      <c r="H504" s="4" t="n"/>
      <c r="I504" s="4" t="n"/>
      <c r="J504" s="4" t="n"/>
      <c r="K504" s="4" t="n"/>
      <c r="L504" s="4" t="n"/>
      <c r="M504" s="4" t="n"/>
      <c r="N504" s="4" t="n"/>
      <c r="O504" s="4" t="n"/>
      <c r="P504" s="4" t="n"/>
      <c r="Q504" s="4" t="n"/>
      <c r="R504" s="4" t="n"/>
    </row>
    <row r="505" ht="15.75" customHeight="1" s="108">
      <c r="A505" s="4" t="n"/>
      <c r="B505" s="4" t="n"/>
      <c r="C505" s="4" t="n"/>
      <c r="D505" s="4" t="n"/>
      <c r="E505" s="4" t="n"/>
      <c r="F505" s="4" t="n"/>
      <c r="G505" s="4" t="n"/>
      <c r="H505" s="4" t="n"/>
      <c r="I505" s="4" t="n"/>
      <c r="J505" s="4" t="n"/>
      <c r="K505" s="4" t="n"/>
      <c r="L505" s="4" t="n"/>
      <c r="M505" s="4" t="n"/>
      <c r="N505" s="4" t="n"/>
      <c r="O505" s="4" t="n"/>
      <c r="P505" s="4" t="n"/>
      <c r="Q505" s="4" t="n"/>
      <c r="R505" s="4" t="n"/>
    </row>
    <row r="506" ht="15.75" customHeight="1" s="108">
      <c r="A506" s="4" t="n"/>
      <c r="B506" s="4" t="n"/>
      <c r="C506" s="4" t="n"/>
      <c r="D506" s="4" t="n"/>
      <c r="E506" s="4" t="n"/>
      <c r="F506" s="4" t="n"/>
      <c r="G506" s="4" t="n"/>
      <c r="H506" s="4" t="n"/>
      <c r="I506" s="4" t="n"/>
      <c r="J506" s="4" t="n"/>
      <c r="K506" s="4" t="n"/>
      <c r="L506" s="4" t="n"/>
      <c r="M506" s="4" t="n"/>
      <c r="N506" s="4" t="n"/>
      <c r="O506" s="4" t="n"/>
      <c r="P506" s="4" t="n"/>
      <c r="Q506" s="4" t="n"/>
      <c r="R506" s="4" t="n"/>
    </row>
    <row r="507" ht="15.75" customHeight="1" s="108">
      <c r="A507" s="4" t="n"/>
      <c r="B507" s="4" t="n"/>
      <c r="C507" s="4" t="n"/>
      <c r="D507" s="4" t="n"/>
      <c r="E507" s="4" t="n"/>
      <c r="F507" s="4" t="n"/>
      <c r="G507" s="4" t="n"/>
      <c r="H507" s="4" t="n"/>
      <c r="I507" s="4" t="n"/>
      <c r="J507" s="4" t="n"/>
      <c r="K507" s="4" t="n"/>
      <c r="L507" s="4" t="n"/>
      <c r="M507" s="4" t="n"/>
      <c r="N507" s="4" t="n"/>
      <c r="O507" s="4" t="n"/>
      <c r="P507" s="4" t="n"/>
      <c r="Q507" s="4" t="n"/>
      <c r="R507" s="4" t="n"/>
    </row>
    <row r="508" ht="15.75" customHeight="1" s="108">
      <c r="A508" s="4" t="n"/>
      <c r="B508" s="4" t="n"/>
      <c r="C508" s="4" t="n"/>
      <c r="D508" s="4" t="n"/>
      <c r="E508" s="4" t="n"/>
      <c r="F508" s="4" t="n"/>
      <c r="G508" s="4" t="n"/>
      <c r="H508" s="4" t="n"/>
      <c r="I508" s="4" t="n"/>
      <c r="J508" s="4" t="n"/>
      <c r="K508" s="4" t="n"/>
      <c r="L508" s="4" t="n"/>
      <c r="M508" s="4" t="n"/>
      <c r="N508" s="4" t="n"/>
      <c r="O508" s="4" t="n"/>
      <c r="P508" s="4" t="n"/>
      <c r="Q508" s="4" t="n"/>
      <c r="R508" s="4" t="n"/>
    </row>
    <row r="509" ht="15.75" customHeight="1" s="108">
      <c r="A509" s="4" t="n"/>
      <c r="B509" s="4" t="n"/>
      <c r="C509" s="4" t="n"/>
      <c r="D509" s="4" t="n"/>
      <c r="E509" s="4" t="n"/>
      <c r="F509" s="4" t="n"/>
      <c r="G509" s="4" t="n"/>
      <c r="H509" s="4" t="n"/>
      <c r="I509" s="4" t="n"/>
      <c r="J509" s="4" t="n"/>
      <c r="K509" s="4" t="n"/>
      <c r="L509" s="4" t="n"/>
      <c r="M509" s="4" t="n"/>
      <c r="N509" s="4" t="n"/>
      <c r="O509" s="4" t="n"/>
      <c r="P509" s="4" t="n"/>
      <c r="Q509" s="4" t="n"/>
      <c r="R509" s="4" t="n"/>
    </row>
    <row r="510" ht="15.75" customHeight="1" s="108">
      <c r="A510" s="4" t="n"/>
      <c r="B510" s="4" t="n"/>
      <c r="C510" s="4" t="n"/>
      <c r="D510" s="4" t="n"/>
      <c r="E510" s="4" t="n"/>
      <c r="F510" s="4" t="n"/>
      <c r="G510" s="4" t="n"/>
      <c r="H510" s="4" t="n"/>
      <c r="I510" s="4" t="n"/>
      <c r="J510" s="4" t="n"/>
      <c r="K510" s="4" t="n"/>
      <c r="L510" s="4" t="n"/>
      <c r="M510" s="4" t="n"/>
      <c r="N510" s="4" t="n"/>
      <c r="O510" s="4" t="n"/>
      <c r="P510" s="4" t="n"/>
      <c r="Q510" s="4" t="n"/>
      <c r="R510" s="4" t="n"/>
    </row>
    <row r="511" ht="15.75" customHeight="1" s="108">
      <c r="A511" s="4" t="n"/>
      <c r="B511" s="4" t="n"/>
      <c r="C511" s="4" t="n"/>
      <c r="D511" s="4" t="n"/>
      <c r="E511" s="4" t="n"/>
      <c r="F511" s="4" t="n"/>
      <c r="G511" s="4" t="n"/>
      <c r="H511" s="4" t="n"/>
      <c r="I511" s="4" t="n"/>
      <c r="J511" s="4" t="n"/>
      <c r="K511" s="4" t="n"/>
      <c r="L511" s="4" t="n"/>
      <c r="M511" s="4" t="n"/>
      <c r="N511" s="4" t="n"/>
      <c r="O511" s="4" t="n"/>
      <c r="P511" s="4" t="n"/>
      <c r="Q511" s="4" t="n"/>
      <c r="R511" s="4" t="n"/>
    </row>
    <row r="512" ht="15.75" customHeight="1" s="108">
      <c r="A512" s="4" t="n"/>
      <c r="B512" s="4" t="n"/>
      <c r="C512" s="4" t="n"/>
      <c r="D512" s="4" t="n"/>
      <c r="E512" s="4" t="n"/>
      <c r="F512" s="4" t="n"/>
      <c r="G512" s="4" t="n"/>
      <c r="H512" s="4" t="n"/>
      <c r="I512" s="4" t="n"/>
      <c r="J512" s="4" t="n"/>
      <c r="K512" s="4" t="n"/>
      <c r="L512" s="4" t="n"/>
      <c r="M512" s="4" t="n"/>
      <c r="N512" s="4" t="n"/>
      <c r="O512" s="4" t="n"/>
      <c r="P512" s="4" t="n"/>
      <c r="Q512" s="4" t="n"/>
      <c r="R512" s="4" t="n"/>
    </row>
    <row r="513" ht="15.75" customHeight="1" s="108">
      <c r="A513" s="4" t="n"/>
      <c r="B513" s="4" t="n"/>
      <c r="C513" s="4" t="n"/>
      <c r="D513" s="4" t="n"/>
      <c r="E513" s="4" t="n"/>
      <c r="F513" s="4" t="n"/>
      <c r="G513" s="4" t="n"/>
      <c r="H513" s="4" t="n"/>
      <c r="I513" s="4" t="n"/>
      <c r="J513" s="4" t="n"/>
      <c r="K513" s="4" t="n"/>
      <c r="L513" s="4" t="n"/>
      <c r="M513" s="4" t="n"/>
      <c r="N513" s="4" t="n"/>
      <c r="O513" s="4" t="n"/>
      <c r="P513" s="4" t="n"/>
      <c r="Q513" s="4" t="n"/>
      <c r="R513" s="4" t="n"/>
    </row>
    <row r="514" ht="15.75" customHeight="1" s="108">
      <c r="A514" s="4" t="n"/>
      <c r="B514" s="4" t="n"/>
      <c r="C514" s="4" t="n"/>
      <c r="D514" s="4" t="n"/>
      <c r="E514" s="4" t="n"/>
      <c r="F514" s="4" t="n"/>
      <c r="G514" s="4" t="n"/>
      <c r="H514" s="4" t="n"/>
      <c r="I514" s="4" t="n"/>
      <c r="J514" s="4" t="n"/>
      <c r="K514" s="4" t="n"/>
      <c r="L514" s="4" t="n"/>
      <c r="M514" s="4" t="n"/>
      <c r="N514" s="4" t="n"/>
      <c r="O514" s="4" t="n"/>
      <c r="P514" s="4" t="n"/>
      <c r="Q514" s="4" t="n"/>
      <c r="R514" s="4" t="n"/>
    </row>
    <row r="515" ht="15.75" customHeight="1" s="108">
      <c r="A515" s="4" t="n"/>
      <c r="B515" s="4" t="n"/>
      <c r="C515" s="4" t="n"/>
      <c r="D515" s="4" t="n"/>
      <c r="E515" s="4" t="n"/>
      <c r="F515" s="4" t="n"/>
      <c r="G515" s="4" t="n"/>
      <c r="H515" s="4" t="n"/>
      <c r="I515" s="4" t="n"/>
      <c r="J515" s="4" t="n"/>
      <c r="K515" s="4" t="n"/>
      <c r="L515" s="4" t="n"/>
      <c r="M515" s="4" t="n"/>
      <c r="N515" s="4" t="n"/>
      <c r="O515" s="4" t="n"/>
      <c r="P515" s="4" t="n"/>
      <c r="Q515" s="4" t="n"/>
      <c r="R515" s="4" t="n"/>
    </row>
    <row r="516" ht="15.75" customHeight="1" s="108">
      <c r="A516" s="4" t="n"/>
      <c r="B516" s="4" t="n"/>
      <c r="C516" s="4" t="n"/>
      <c r="D516" s="4" t="n"/>
      <c r="E516" s="4" t="n"/>
      <c r="F516" s="4" t="n"/>
      <c r="G516" s="4" t="n"/>
      <c r="H516" s="4" t="n"/>
      <c r="I516" s="4" t="n"/>
      <c r="J516" s="4" t="n"/>
      <c r="K516" s="4" t="n"/>
      <c r="L516" s="4" t="n"/>
      <c r="M516" s="4" t="n"/>
      <c r="N516" s="4" t="n"/>
      <c r="O516" s="4" t="n"/>
      <c r="P516" s="4" t="n"/>
      <c r="Q516" s="4" t="n"/>
      <c r="R516" s="4" t="n"/>
    </row>
    <row r="517" ht="15.75" customHeight="1" s="108">
      <c r="A517" s="4" t="n"/>
      <c r="B517" s="4" t="n"/>
      <c r="C517" s="4" t="n"/>
      <c r="D517" s="4" t="n"/>
      <c r="E517" s="4" t="n"/>
      <c r="F517" s="4" t="n"/>
      <c r="G517" s="4" t="n"/>
      <c r="H517" s="4" t="n"/>
      <c r="I517" s="4" t="n"/>
      <c r="J517" s="4" t="n"/>
      <c r="K517" s="4" t="n"/>
      <c r="L517" s="4" t="n"/>
      <c r="M517" s="4" t="n"/>
      <c r="N517" s="4" t="n"/>
      <c r="O517" s="4" t="n"/>
      <c r="P517" s="4" t="n"/>
      <c r="Q517" s="4" t="n"/>
      <c r="R517" s="4" t="n"/>
    </row>
    <row r="518" ht="15.75" customHeight="1" s="108">
      <c r="A518" s="4" t="n"/>
      <c r="B518" s="4" t="n"/>
      <c r="C518" s="4" t="n"/>
      <c r="D518" s="4" t="n"/>
      <c r="E518" s="4" t="n"/>
      <c r="F518" s="4" t="n"/>
      <c r="G518" s="4" t="n"/>
      <c r="H518" s="4" t="n"/>
      <c r="I518" s="4" t="n"/>
      <c r="J518" s="4" t="n"/>
      <c r="K518" s="4" t="n"/>
      <c r="L518" s="4" t="n"/>
      <c r="M518" s="4" t="n"/>
      <c r="N518" s="4" t="n"/>
      <c r="O518" s="4" t="n"/>
      <c r="P518" s="4" t="n"/>
      <c r="Q518" s="4" t="n"/>
      <c r="R518" s="4" t="n"/>
    </row>
    <row r="519" ht="15.75" customHeight="1" s="108">
      <c r="A519" s="4" t="n"/>
      <c r="B519" s="4" t="n"/>
      <c r="C519" s="4" t="n"/>
      <c r="D519" s="4" t="n"/>
      <c r="E519" s="4" t="n"/>
      <c r="F519" s="4" t="n"/>
      <c r="G519" s="4" t="n"/>
      <c r="H519" s="4" t="n"/>
      <c r="I519" s="4" t="n"/>
      <c r="J519" s="4" t="n"/>
      <c r="K519" s="4" t="n"/>
      <c r="L519" s="4" t="n"/>
      <c r="M519" s="4" t="n"/>
      <c r="N519" s="4" t="n"/>
      <c r="O519" s="4" t="n"/>
      <c r="P519" s="4" t="n"/>
      <c r="Q519" s="4" t="n"/>
      <c r="R519" s="4" t="n"/>
    </row>
    <row r="520" ht="15.75" customHeight="1" s="108">
      <c r="A520" s="4" t="n"/>
      <c r="B520" s="4" t="n"/>
      <c r="C520" s="4" t="n"/>
      <c r="D520" s="4" t="n"/>
      <c r="E520" s="4" t="n"/>
      <c r="F520" s="4" t="n"/>
      <c r="G520" s="4" t="n"/>
      <c r="H520" s="4" t="n"/>
      <c r="I520" s="4" t="n"/>
      <c r="J520" s="4" t="n"/>
      <c r="K520" s="4" t="n"/>
      <c r="L520" s="4" t="n"/>
      <c r="M520" s="4" t="n"/>
      <c r="N520" s="4" t="n"/>
      <c r="O520" s="4" t="n"/>
      <c r="P520" s="4" t="n"/>
      <c r="Q520" s="4" t="n"/>
      <c r="R520" s="4" t="n"/>
    </row>
    <row r="521" ht="15.75" customHeight="1" s="108">
      <c r="A521" s="4" t="n"/>
      <c r="B521" s="4" t="n"/>
      <c r="C521" s="4" t="n"/>
      <c r="D521" s="4" t="n"/>
      <c r="E521" s="4" t="n"/>
      <c r="F521" s="4" t="n"/>
      <c r="G521" s="4" t="n"/>
      <c r="H521" s="4" t="n"/>
      <c r="I521" s="4" t="n"/>
      <c r="J521" s="4" t="n"/>
      <c r="K521" s="4" t="n"/>
      <c r="L521" s="4" t="n"/>
      <c r="M521" s="4" t="n"/>
      <c r="N521" s="4" t="n"/>
      <c r="O521" s="4" t="n"/>
      <c r="P521" s="4" t="n"/>
      <c r="Q521" s="4" t="n"/>
      <c r="R521" s="4" t="n"/>
    </row>
    <row r="522" ht="15.75" customHeight="1" s="108">
      <c r="A522" s="4" t="n"/>
      <c r="B522" s="4" t="n"/>
      <c r="C522" s="4" t="n"/>
      <c r="D522" s="4" t="n"/>
      <c r="E522" s="4" t="n"/>
      <c r="F522" s="4" t="n"/>
      <c r="G522" s="4" t="n"/>
      <c r="H522" s="4" t="n"/>
      <c r="I522" s="4" t="n"/>
      <c r="J522" s="4" t="n"/>
      <c r="K522" s="4" t="n"/>
      <c r="L522" s="4" t="n"/>
      <c r="M522" s="4" t="n"/>
      <c r="N522" s="4" t="n"/>
      <c r="O522" s="4" t="n"/>
      <c r="P522" s="4" t="n"/>
      <c r="Q522" s="4" t="n"/>
      <c r="R522" s="4" t="n"/>
    </row>
    <row r="523" ht="15.75" customHeight="1" s="108">
      <c r="A523" s="4" t="n"/>
      <c r="B523" s="4" t="n"/>
      <c r="C523" s="4" t="n"/>
      <c r="D523" s="4" t="n"/>
      <c r="E523" s="4" t="n"/>
      <c r="F523" s="4" t="n"/>
      <c r="G523" s="4" t="n"/>
      <c r="H523" s="4" t="n"/>
      <c r="I523" s="4" t="n"/>
      <c r="J523" s="4" t="n"/>
      <c r="K523" s="4" t="n"/>
      <c r="L523" s="4" t="n"/>
      <c r="M523" s="4" t="n"/>
      <c r="N523" s="4" t="n"/>
      <c r="O523" s="4" t="n"/>
      <c r="P523" s="4" t="n"/>
      <c r="Q523" s="4" t="n"/>
      <c r="R523" s="4" t="n"/>
    </row>
    <row r="524" ht="15.75" customHeight="1" s="108">
      <c r="A524" s="4" t="n"/>
      <c r="B524" s="4" t="n"/>
      <c r="C524" s="4" t="n"/>
      <c r="D524" s="4" t="n"/>
      <c r="E524" s="4" t="n"/>
      <c r="F524" s="4" t="n"/>
      <c r="G524" s="4" t="n"/>
      <c r="H524" s="4" t="n"/>
      <c r="I524" s="4" t="n"/>
      <c r="J524" s="4" t="n"/>
      <c r="K524" s="4" t="n"/>
      <c r="L524" s="4" t="n"/>
      <c r="M524" s="4" t="n"/>
      <c r="N524" s="4" t="n"/>
      <c r="O524" s="4" t="n"/>
      <c r="P524" s="4" t="n"/>
      <c r="Q524" s="4" t="n"/>
      <c r="R524" s="4" t="n"/>
    </row>
    <row r="525" ht="15.75" customHeight="1" s="108">
      <c r="A525" s="4" t="n"/>
      <c r="B525" s="4" t="n"/>
      <c r="C525" s="4" t="n"/>
      <c r="D525" s="4" t="n"/>
      <c r="E525" s="4" t="n"/>
      <c r="F525" s="4" t="n"/>
      <c r="G525" s="4" t="n"/>
      <c r="H525" s="4" t="n"/>
      <c r="I525" s="4" t="n"/>
      <c r="J525" s="4" t="n"/>
      <c r="K525" s="4" t="n"/>
      <c r="L525" s="4" t="n"/>
      <c r="M525" s="4" t="n"/>
      <c r="N525" s="4" t="n"/>
      <c r="O525" s="4" t="n"/>
      <c r="P525" s="4" t="n"/>
      <c r="Q525" s="4" t="n"/>
      <c r="R525" s="4" t="n"/>
    </row>
    <row r="526" ht="15.75" customHeight="1" s="108">
      <c r="A526" s="4" t="n"/>
      <c r="B526" s="4" t="n"/>
      <c r="C526" s="4" t="n"/>
      <c r="D526" s="4" t="n"/>
      <c r="E526" s="4" t="n"/>
      <c r="F526" s="4" t="n"/>
      <c r="G526" s="4" t="n"/>
      <c r="H526" s="4" t="n"/>
      <c r="I526" s="4" t="n"/>
      <c r="J526" s="4" t="n"/>
      <c r="K526" s="4" t="n"/>
      <c r="L526" s="4" t="n"/>
      <c r="M526" s="4" t="n"/>
      <c r="N526" s="4" t="n"/>
      <c r="O526" s="4" t="n"/>
      <c r="P526" s="4" t="n"/>
      <c r="Q526" s="4" t="n"/>
      <c r="R526" s="4" t="n"/>
    </row>
    <row r="527" ht="15.75" customHeight="1" s="108">
      <c r="A527" s="4" t="n"/>
      <c r="B527" s="4" t="n"/>
      <c r="C527" s="4" t="n"/>
      <c r="D527" s="4" t="n"/>
      <c r="E527" s="4" t="n"/>
      <c r="F527" s="4" t="n"/>
      <c r="G527" s="4" t="n"/>
      <c r="H527" s="4" t="n"/>
      <c r="I527" s="4" t="n"/>
      <c r="J527" s="4" t="n"/>
      <c r="K527" s="4" t="n"/>
      <c r="L527" s="4" t="n"/>
      <c r="M527" s="4" t="n"/>
      <c r="N527" s="4" t="n"/>
      <c r="O527" s="4" t="n"/>
      <c r="P527" s="4" t="n"/>
      <c r="Q527" s="4" t="n"/>
      <c r="R527" s="4" t="n"/>
    </row>
    <row r="528" ht="15.75" customHeight="1" s="108">
      <c r="A528" s="4" t="n"/>
      <c r="B528" s="4" t="n"/>
      <c r="C528" s="4" t="n"/>
      <c r="D528" s="4" t="n"/>
      <c r="E528" s="4" t="n"/>
      <c r="F528" s="4" t="n"/>
      <c r="G528" s="4" t="n"/>
      <c r="H528" s="4" t="n"/>
      <c r="I528" s="4" t="n"/>
      <c r="J528" s="4" t="n"/>
      <c r="K528" s="4" t="n"/>
      <c r="L528" s="4" t="n"/>
      <c r="M528" s="4" t="n"/>
      <c r="N528" s="4" t="n"/>
      <c r="O528" s="4" t="n"/>
      <c r="P528" s="4" t="n"/>
      <c r="Q528" s="4" t="n"/>
      <c r="R528" s="4" t="n"/>
    </row>
    <row r="529" ht="15.75" customHeight="1" s="108">
      <c r="A529" s="4" t="n"/>
      <c r="B529" s="4" t="n"/>
      <c r="C529" s="4" t="n"/>
      <c r="D529" s="4" t="n"/>
      <c r="E529" s="4" t="n"/>
      <c r="F529" s="4" t="n"/>
      <c r="G529" s="4" t="n"/>
      <c r="H529" s="4" t="n"/>
      <c r="I529" s="4" t="n"/>
      <c r="J529" s="4" t="n"/>
      <c r="K529" s="4" t="n"/>
      <c r="L529" s="4" t="n"/>
      <c r="M529" s="4" t="n"/>
      <c r="N529" s="4" t="n"/>
      <c r="O529" s="4" t="n"/>
      <c r="P529" s="4" t="n"/>
      <c r="Q529" s="4" t="n"/>
      <c r="R529" s="4" t="n"/>
    </row>
    <row r="530" ht="15.75" customHeight="1" s="108">
      <c r="A530" s="4" t="n"/>
      <c r="B530" s="4" t="n"/>
      <c r="C530" s="4" t="n"/>
      <c r="D530" s="4" t="n"/>
      <c r="E530" s="4" t="n"/>
      <c r="F530" s="4" t="n"/>
      <c r="G530" s="4" t="n"/>
      <c r="H530" s="4" t="n"/>
      <c r="I530" s="4" t="n"/>
      <c r="J530" s="4" t="n"/>
      <c r="K530" s="4" t="n"/>
      <c r="L530" s="4" t="n"/>
      <c r="M530" s="4" t="n"/>
      <c r="N530" s="4" t="n"/>
      <c r="O530" s="4" t="n"/>
      <c r="P530" s="4" t="n"/>
      <c r="Q530" s="4" t="n"/>
      <c r="R530" s="4" t="n"/>
    </row>
    <row r="531" ht="15.75" customHeight="1" s="108">
      <c r="A531" s="4" t="n"/>
      <c r="B531" s="4" t="n"/>
      <c r="C531" s="4" t="n"/>
      <c r="D531" s="4" t="n"/>
      <c r="E531" s="4" t="n"/>
      <c r="F531" s="4" t="n"/>
      <c r="G531" s="4" t="n"/>
      <c r="H531" s="4" t="n"/>
      <c r="I531" s="4" t="n"/>
      <c r="J531" s="4" t="n"/>
      <c r="K531" s="4" t="n"/>
      <c r="L531" s="4" t="n"/>
      <c r="M531" s="4" t="n"/>
      <c r="N531" s="4" t="n"/>
      <c r="O531" s="4" t="n"/>
      <c r="P531" s="4" t="n"/>
      <c r="Q531" s="4" t="n"/>
      <c r="R531" s="4" t="n"/>
    </row>
    <row r="532" ht="15.75" customHeight="1" s="108">
      <c r="A532" s="4" t="n"/>
      <c r="B532" s="4" t="n"/>
      <c r="C532" s="4" t="n"/>
      <c r="D532" s="4" t="n"/>
      <c r="E532" s="4" t="n"/>
      <c r="F532" s="4" t="n"/>
      <c r="G532" s="4" t="n"/>
      <c r="H532" s="4" t="n"/>
      <c r="I532" s="4" t="n"/>
      <c r="J532" s="4" t="n"/>
      <c r="K532" s="4" t="n"/>
      <c r="L532" s="4" t="n"/>
      <c r="M532" s="4" t="n"/>
      <c r="N532" s="4" t="n"/>
      <c r="O532" s="4" t="n"/>
      <c r="P532" s="4" t="n"/>
      <c r="Q532" s="4" t="n"/>
      <c r="R532" s="4" t="n"/>
    </row>
    <row r="533" ht="15.75" customHeight="1" s="108">
      <c r="A533" s="4" t="n"/>
      <c r="B533" s="4" t="n"/>
      <c r="C533" s="4" t="n"/>
      <c r="D533" s="4" t="n"/>
      <c r="E533" s="4" t="n"/>
      <c r="F533" s="4" t="n"/>
      <c r="G533" s="4" t="n"/>
      <c r="H533" s="4" t="n"/>
      <c r="I533" s="4" t="n"/>
      <c r="J533" s="4" t="n"/>
      <c r="K533" s="4" t="n"/>
      <c r="L533" s="4" t="n"/>
      <c r="M533" s="4" t="n"/>
      <c r="N533" s="4" t="n"/>
      <c r="O533" s="4" t="n"/>
      <c r="P533" s="4" t="n"/>
      <c r="Q533" s="4" t="n"/>
      <c r="R533" s="4" t="n"/>
    </row>
    <row r="534" ht="15.75" customHeight="1" s="108">
      <c r="A534" s="4" t="n"/>
      <c r="B534" s="4" t="n"/>
      <c r="C534" s="4" t="n"/>
      <c r="D534" s="4" t="n"/>
      <c r="E534" s="4" t="n"/>
      <c r="F534" s="4" t="n"/>
      <c r="G534" s="4" t="n"/>
      <c r="H534" s="4" t="n"/>
      <c r="I534" s="4" t="n"/>
      <c r="J534" s="4" t="n"/>
      <c r="K534" s="4" t="n"/>
      <c r="L534" s="4" t="n"/>
      <c r="M534" s="4" t="n"/>
      <c r="N534" s="4" t="n"/>
      <c r="O534" s="4" t="n"/>
      <c r="P534" s="4" t="n"/>
      <c r="Q534" s="4" t="n"/>
      <c r="R534" s="4" t="n"/>
    </row>
    <row r="535" ht="15.75" customHeight="1" s="108">
      <c r="A535" s="4" t="n"/>
      <c r="B535" s="4" t="n"/>
      <c r="C535" s="4" t="n"/>
      <c r="D535" s="4" t="n"/>
      <c r="E535" s="4" t="n"/>
      <c r="F535" s="4" t="n"/>
      <c r="G535" s="4" t="n"/>
      <c r="H535" s="4" t="n"/>
      <c r="I535" s="4" t="n"/>
      <c r="J535" s="4" t="n"/>
      <c r="K535" s="4" t="n"/>
      <c r="L535" s="4" t="n"/>
      <c r="M535" s="4" t="n"/>
      <c r="N535" s="4" t="n"/>
      <c r="O535" s="4" t="n"/>
      <c r="P535" s="4" t="n"/>
      <c r="Q535" s="4" t="n"/>
      <c r="R535" s="4" t="n"/>
    </row>
    <row r="536" ht="15.75" customHeight="1" s="108">
      <c r="A536" s="4" t="n"/>
      <c r="B536" s="4" t="n"/>
      <c r="C536" s="4" t="n"/>
      <c r="D536" s="4" t="n"/>
      <c r="E536" s="4" t="n"/>
      <c r="F536" s="4" t="n"/>
      <c r="G536" s="4" t="n"/>
      <c r="H536" s="4" t="n"/>
      <c r="I536" s="4" t="n"/>
      <c r="J536" s="4" t="n"/>
      <c r="K536" s="4" t="n"/>
      <c r="L536" s="4" t="n"/>
      <c r="M536" s="4" t="n"/>
      <c r="N536" s="4" t="n"/>
      <c r="O536" s="4" t="n"/>
      <c r="P536" s="4" t="n"/>
      <c r="Q536" s="4" t="n"/>
      <c r="R536" s="4" t="n"/>
    </row>
    <row r="537" ht="15.75" customHeight="1" s="108">
      <c r="A537" s="4" t="n"/>
      <c r="B537" s="4" t="n"/>
      <c r="C537" s="4" t="n"/>
      <c r="D537" s="4" t="n"/>
      <c r="E537" s="4" t="n"/>
      <c r="F537" s="4" t="n"/>
      <c r="G537" s="4" t="n"/>
      <c r="H537" s="4" t="n"/>
      <c r="I537" s="4" t="n"/>
      <c r="J537" s="4" t="n"/>
      <c r="K537" s="4" t="n"/>
      <c r="L537" s="4" t="n"/>
      <c r="M537" s="4" t="n"/>
      <c r="N537" s="4" t="n"/>
      <c r="O537" s="4" t="n"/>
      <c r="P537" s="4" t="n"/>
      <c r="Q537" s="4" t="n"/>
      <c r="R537" s="4" t="n"/>
    </row>
    <row r="538" ht="15.75" customHeight="1" s="108">
      <c r="A538" s="4" t="n"/>
      <c r="B538" s="4" t="n"/>
      <c r="C538" s="4" t="n"/>
      <c r="D538" s="4" t="n"/>
      <c r="E538" s="4" t="n"/>
      <c r="F538" s="4" t="n"/>
      <c r="G538" s="4" t="n"/>
      <c r="H538" s="4" t="n"/>
      <c r="I538" s="4" t="n"/>
      <c r="J538" s="4" t="n"/>
      <c r="K538" s="4" t="n"/>
      <c r="L538" s="4" t="n"/>
      <c r="M538" s="4" t="n"/>
      <c r="N538" s="4" t="n"/>
      <c r="O538" s="4" t="n"/>
      <c r="P538" s="4" t="n"/>
      <c r="Q538" s="4" t="n"/>
      <c r="R538" s="4" t="n"/>
    </row>
    <row r="539" ht="15.75" customHeight="1" s="108">
      <c r="A539" s="4" t="n"/>
      <c r="B539" s="4" t="n"/>
      <c r="C539" s="4" t="n"/>
      <c r="D539" s="4" t="n"/>
      <c r="E539" s="4" t="n"/>
      <c r="F539" s="4" t="n"/>
      <c r="G539" s="4" t="n"/>
      <c r="H539" s="4" t="n"/>
      <c r="I539" s="4" t="n"/>
      <c r="J539" s="4" t="n"/>
      <c r="K539" s="4" t="n"/>
      <c r="L539" s="4" t="n"/>
      <c r="M539" s="4" t="n"/>
      <c r="N539" s="4" t="n"/>
      <c r="O539" s="4" t="n"/>
      <c r="P539" s="4" t="n"/>
      <c r="Q539" s="4" t="n"/>
      <c r="R539" s="4" t="n"/>
    </row>
    <row r="540" ht="15.75" customHeight="1" s="108">
      <c r="A540" s="4" t="n"/>
      <c r="B540" s="4" t="n"/>
      <c r="C540" s="4" t="n"/>
      <c r="D540" s="4" t="n"/>
      <c r="E540" s="4" t="n"/>
      <c r="F540" s="4" t="n"/>
      <c r="G540" s="4" t="n"/>
      <c r="H540" s="4" t="n"/>
      <c r="I540" s="4" t="n"/>
      <c r="J540" s="4" t="n"/>
      <c r="K540" s="4" t="n"/>
      <c r="L540" s="4" t="n"/>
      <c r="M540" s="4" t="n"/>
      <c r="N540" s="4" t="n"/>
      <c r="O540" s="4" t="n"/>
      <c r="P540" s="4" t="n"/>
      <c r="Q540" s="4" t="n"/>
      <c r="R540" s="4" t="n"/>
    </row>
    <row r="541" ht="15.75" customHeight="1" s="108">
      <c r="A541" s="4" t="n"/>
      <c r="B541" s="4" t="n"/>
      <c r="C541" s="4" t="n"/>
      <c r="D541" s="4" t="n"/>
      <c r="E541" s="4" t="n"/>
      <c r="F541" s="4" t="n"/>
      <c r="G541" s="4" t="n"/>
      <c r="H541" s="4" t="n"/>
      <c r="I541" s="4" t="n"/>
      <c r="J541" s="4" t="n"/>
      <c r="K541" s="4" t="n"/>
      <c r="L541" s="4" t="n"/>
      <c r="M541" s="4" t="n"/>
      <c r="N541" s="4" t="n"/>
      <c r="O541" s="4" t="n"/>
      <c r="P541" s="4" t="n"/>
      <c r="Q541" s="4" t="n"/>
      <c r="R541" s="4" t="n"/>
    </row>
    <row r="542" ht="15.75" customHeight="1" s="108">
      <c r="A542" s="4" t="n"/>
      <c r="B542" s="4" t="n"/>
      <c r="C542" s="4" t="n"/>
      <c r="D542" s="4" t="n"/>
      <c r="E542" s="4" t="n"/>
      <c r="F542" s="4" t="n"/>
      <c r="G542" s="4" t="n"/>
      <c r="H542" s="4" t="n"/>
      <c r="I542" s="4" t="n"/>
      <c r="J542" s="4" t="n"/>
      <c r="K542" s="4" t="n"/>
      <c r="L542" s="4" t="n"/>
      <c r="M542" s="4" t="n"/>
      <c r="N542" s="4" t="n"/>
      <c r="O542" s="4" t="n"/>
      <c r="P542" s="4" t="n"/>
      <c r="Q542" s="4" t="n"/>
      <c r="R542" s="4" t="n"/>
    </row>
    <row r="543" ht="15.75" customHeight="1" s="108">
      <c r="A543" s="4" t="n"/>
      <c r="B543" s="4" t="n"/>
      <c r="C543" s="4" t="n"/>
      <c r="D543" s="4" t="n"/>
      <c r="E543" s="4" t="n"/>
      <c r="F543" s="4" t="n"/>
      <c r="G543" s="4" t="n"/>
      <c r="H543" s="4" t="n"/>
      <c r="I543" s="4" t="n"/>
      <c r="J543" s="4" t="n"/>
      <c r="K543" s="4" t="n"/>
      <c r="L543" s="4" t="n"/>
      <c r="M543" s="4" t="n"/>
      <c r="N543" s="4" t="n"/>
      <c r="O543" s="4" t="n"/>
      <c r="P543" s="4" t="n"/>
      <c r="Q543" s="4" t="n"/>
      <c r="R543" s="4" t="n"/>
    </row>
    <row r="544" ht="15.75" customHeight="1" s="108">
      <c r="A544" s="4" t="n"/>
      <c r="B544" s="4" t="n"/>
      <c r="C544" s="4" t="n"/>
      <c r="D544" s="4" t="n"/>
      <c r="E544" s="4" t="n"/>
      <c r="F544" s="4" t="n"/>
      <c r="G544" s="4" t="n"/>
      <c r="H544" s="4" t="n"/>
      <c r="I544" s="4" t="n"/>
      <c r="J544" s="4" t="n"/>
      <c r="K544" s="4" t="n"/>
      <c r="L544" s="4" t="n"/>
      <c r="M544" s="4" t="n"/>
      <c r="N544" s="4" t="n"/>
      <c r="O544" s="4" t="n"/>
      <c r="P544" s="4" t="n"/>
      <c r="Q544" s="4" t="n"/>
      <c r="R544" s="4" t="n"/>
    </row>
    <row r="545" ht="15.75" customHeight="1" s="108">
      <c r="A545" s="4" t="n"/>
      <c r="B545" s="4" t="n"/>
      <c r="C545" s="4" t="n"/>
      <c r="D545" s="4" t="n"/>
      <c r="E545" s="4" t="n"/>
      <c r="F545" s="4" t="n"/>
      <c r="G545" s="4" t="n"/>
      <c r="H545" s="4" t="n"/>
      <c r="I545" s="4" t="n"/>
      <c r="J545" s="4" t="n"/>
      <c r="K545" s="4" t="n"/>
      <c r="L545" s="4" t="n"/>
      <c r="M545" s="4" t="n"/>
      <c r="N545" s="4" t="n"/>
      <c r="O545" s="4" t="n"/>
      <c r="P545" s="4" t="n"/>
      <c r="Q545" s="4" t="n"/>
      <c r="R545" s="4" t="n"/>
    </row>
    <row r="546" ht="15.75" customHeight="1" s="108">
      <c r="A546" s="4" t="n"/>
      <c r="B546" s="4" t="n"/>
      <c r="C546" s="4" t="n"/>
      <c r="D546" s="4" t="n"/>
      <c r="E546" s="4" t="n"/>
      <c r="F546" s="4" t="n"/>
      <c r="G546" s="4" t="n"/>
      <c r="H546" s="4" t="n"/>
      <c r="I546" s="4" t="n"/>
      <c r="J546" s="4" t="n"/>
      <c r="K546" s="4" t="n"/>
      <c r="L546" s="4" t="n"/>
      <c r="M546" s="4" t="n"/>
      <c r="N546" s="4" t="n"/>
      <c r="O546" s="4" t="n"/>
      <c r="P546" s="4" t="n"/>
      <c r="Q546" s="4" t="n"/>
      <c r="R546" s="4" t="n"/>
    </row>
    <row r="547" ht="15.75" customHeight="1" s="108">
      <c r="A547" s="4" t="n"/>
      <c r="B547" s="4" t="n"/>
      <c r="C547" s="4" t="n"/>
      <c r="D547" s="4" t="n"/>
      <c r="E547" s="4" t="n"/>
      <c r="F547" s="4" t="n"/>
      <c r="G547" s="4" t="n"/>
      <c r="H547" s="4" t="n"/>
      <c r="I547" s="4" t="n"/>
      <c r="J547" s="4" t="n"/>
      <c r="K547" s="4" t="n"/>
      <c r="L547" s="4" t="n"/>
      <c r="M547" s="4" t="n"/>
      <c r="N547" s="4" t="n"/>
      <c r="O547" s="4" t="n"/>
      <c r="P547" s="4" t="n"/>
      <c r="Q547" s="4" t="n"/>
      <c r="R547" s="4" t="n"/>
    </row>
    <row r="548" ht="15.75" customHeight="1" s="108">
      <c r="A548" s="4" t="n"/>
      <c r="B548" s="4" t="n"/>
      <c r="C548" s="4" t="n"/>
      <c r="D548" s="4" t="n"/>
      <c r="E548" s="4" t="n"/>
      <c r="F548" s="4" t="n"/>
      <c r="G548" s="4" t="n"/>
      <c r="H548" s="4" t="n"/>
      <c r="I548" s="4" t="n"/>
      <c r="J548" s="4" t="n"/>
      <c r="K548" s="4" t="n"/>
      <c r="L548" s="4" t="n"/>
      <c r="M548" s="4" t="n"/>
      <c r="N548" s="4" t="n"/>
      <c r="O548" s="4" t="n"/>
      <c r="P548" s="4" t="n"/>
      <c r="Q548" s="4" t="n"/>
      <c r="R548" s="4" t="n"/>
    </row>
    <row r="549" ht="15.75" customHeight="1" s="108">
      <c r="A549" s="4" t="n"/>
      <c r="B549" s="4" t="n"/>
      <c r="C549" s="4" t="n"/>
      <c r="D549" s="4" t="n"/>
      <c r="E549" s="4" t="n"/>
      <c r="F549" s="4" t="n"/>
      <c r="G549" s="4" t="n"/>
      <c r="H549" s="4" t="n"/>
      <c r="I549" s="4" t="n"/>
      <c r="J549" s="4" t="n"/>
      <c r="K549" s="4" t="n"/>
      <c r="L549" s="4" t="n"/>
      <c r="M549" s="4" t="n"/>
      <c r="N549" s="4" t="n"/>
      <c r="O549" s="4" t="n"/>
      <c r="P549" s="4" t="n"/>
      <c r="Q549" s="4" t="n"/>
      <c r="R549" s="4" t="n"/>
    </row>
    <row r="550" ht="15.75" customHeight="1" s="108">
      <c r="A550" s="4" t="n"/>
      <c r="B550" s="4" t="n"/>
      <c r="C550" s="4" t="n"/>
      <c r="D550" s="4" t="n"/>
      <c r="E550" s="4" t="n"/>
      <c r="F550" s="4" t="n"/>
      <c r="G550" s="4" t="n"/>
      <c r="H550" s="4" t="n"/>
      <c r="I550" s="4" t="n"/>
      <c r="J550" s="4" t="n"/>
      <c r="K550" s="4" t="n"/>
      <c r="L550" s="4" t="n"/>
      <c r="M550" s="4" t="n"/>
      <c r="N550" s="4" t="n"/>
      <c r="O550" s="4" t="n"/>
      <c r="P550" s="4" t="n"/>
      <c r="Q550" s="4" t="n"/>
      <c r="R550" s="4" t="n"/>
    </row>
    <row r="551" ht="15.75" customHeight="1" s="108">
      <c r="A551" s="4" t="n"/>
      <c r="B551" s="4" t="n"/>
      <c r="C551" s="4" t="n"/>
      <c r="D551" s="4" t="n"/>
      <c r="E551" s="4" t="n"/>
      <c r="F551" s="4" t="n"/>
      <c r="G551" s="4" t="n"/>
      <c r="H551" s="4" t="n"/>
      <c r="I551" s="4" t="n"/>
      <c r="J551" s="4" t="n"/>
      <c r="K551" s="4" t="n"/>
      <c r="L551" s="4" t="n"/>
      <c r="M551" s="4" t="n"/>
      <c r="N551" s="4" t="n"/>
      <c r="O551" s="4" t="n"/>
      <c r="P551" s="4" t="n"/>
      <c r="Q551" s="4" t="n"/>
      <c r="R551" s="4" t="n"/>
    </row>
    <row r="552" ht="15.75" customHeight="1" s="108">
      <c r="A552" s="4" t="n"/>
      <c r="B552" s="4" t="n"/>
      <c r="C552" s="4" t="n"/>
      <c r="D552" s="4" t="n"/>
      <c r="E552" s="4" t="n"/>
      <c r="F552" s="4" t="n"/>
      <c r="G552" s="4" t="n"/>
      <c r="H552" s="4" t="n"/>
      <c r="I552" s="4" t="n"/>
      <c r="J552" s="4" t="n"/>
      <c r="K552" s="4" t="n"/>
      <c r="L552" s="4" t="n"/>
      <c r="M552" s="4" t="n"/>
      <c r="N552" s="4" t="n"/>
      <c r="O552" s="4" t="n"/>
      <c r="P552" s="4" t="n"/>
      <c r="Q552" s="4" t="n"/>
      <c r="R552" s="4" t="n"/>
    </row>
    <row r="553" ht="15.75" customHeight="1" s="108">
      <c r="A553" s="4" t="n"/>
      <c r="B553" s="4" t="n"/>
      <c r="C553" s="4" t="n"/>
      <c r="D553" s="4" t="n"/>
      <c r="E553" s="4" t="n"/>
      <c r="F553" s="4" t="n"/>
      <c r="G553" s="4" t="n"/>
      <c r="H553" s="4" t="n"/>
      <c r="I553" s="4" t="n"/>
      <c r="J553" s="4" t="n"/>
      <c r="K553" s="4" t="n"/>
      <c r="L553" s="4" t="n"/>
      <c r="M553" s="4" t="n"/>
      <c r="N553" s="4" t="n"/>
      <c r="O553" s="4" t="n"/>
      <c r="P553" s="4" t="n"/>
      <c r="Q553" s="4" t="n"/>
      <c r="R553" s="4" t="n"/>
    </row>
    <row r="554" ht="15.75" customHeight="1" s="108">
      <c r="A554" s="4" t="n"/>
      <c r="B554" s="4" t="n"/>
      <c r="C554" s="4" t="n"/>
      <c r="D554" s="4" t="n"/>
      <c r="E554" s="4" t="n"/>
      <c r="F554" s="4" t="n"/>
      <c r="G554" s="4" t="n"/>
      <c r="H554" s="4" t="n"/>
      <c r="I554" s="4" t="n"/>
      <c r="J554" s="4" t="n"/>
      <c r="K554" s="4" t="n"/>
      <c r="L554" s="4" t="n"/>
      <c r="M554" s="4" t="n"/>
      <c r="N554" s="4" t="n"/>
      <c r="O554" s="4" t="n"/>
      <c r="P554" s="4" t="n"/>
      <c r="Q554" s="4" t="n"/>
      <c r="R554" s="4" t="n"/>
    </row>
    <row r="555" ht="15.75" customHeight="1" s="108">
      <c r="A555" s="4" t="n"/>
      <c r="B555" s="4" t="n"/>
      <c r="C555" s="4" t="n"/>
      <c r="D555" s="4" t="n"/>
      <c r="E555" s="4" t="n"/>
      <c r="F555" s="4" t="n"/>
      <c r="G555" s="4" t="n"/>
      <c r="H555" s="4" t="n"/>
      <c r="I555" s="4" t="n"/>
      <c r="J555" s="4" t="n"/>
      <c r="K555" s="4" t="n"/>
      <c r="L555" s="4" t="n"/>
      <c r="M555" s="4" t="n"/>
      <c r="N555" s="4" t="n"/>
      <c r="O555" s="4" t="n"/>
      <c r="P555" s="4" t="n"/>
      <c r="Q555" s="4" t="n"/>
      <c r="R555" s="4" t="n"/>
    </row>
    <row r="556" ht="15.75" customHeight="1" s="108">
      <c r="A556" s="4" t="n"/>
      <c r="B556" s="4" t="n"/>
      <c r="C556" s="4" t="n"/>
      <c r="D556" s="4" t="n"/>
      <c r="E556" s="4" t="n"/>
      <c r="F556" s="4" t="n"/>
      <c r="G556" s="4" t="n"/>
      <c r="H556" s="4" t="n"/>
      <c r="I556" s="4" t="n"/>
      <c r="J556" s="4" t="n"/>
      <c r="K556" s="4" t="n"/>
      <c r="L556" s="4" t="n"/>
      <c r="M556" s="4" t="n"/>
      <c r="N556" s="4" t="n"/>
      <c r="O556" s="4" t="n"/>
      <c r="P556" s="4" t="n"/>
      <c r="Q556" s="4" t="n"/>
      <c r="R556" s="4" t="n"/>
    </row>
    <row r="557" ht="15.75" customHeight="1" s="108">
      <c r="A557" s="4" t="n"/>
      <c r="B557" s="4" t="n"/>
      <c r="C557" s="4" t="n"/>
      <c r="D557" s="4" t="n"/>
      <c r="E557" s="4" t="n"/>
      <c r="F557" s="4" t="n"/>
      <c r="G557" s="4" t="n"/>
      <c r="H557" s="4" t="n"/>
      <c r="I557" s="4" t="n"/>
      <c r="J557" s="4" t="n"/>
      <c r="K557" s="4" t="n"/>
      <c r="L557" s="4" t="n"/>
      <c r="M557" s="4" t="n"/>
      <c r="N557" s="4" t="n"/>
      <c r="O557" s="4" t="n"/>
      <c r="P557" s="4" t="n"/>
      <c r="Q557" s="4" t="n"/>
      <c r="R557" s="4" t="n"/>
    </row>
    <row r="558" ht="15.75" customHeight="1" s="108">
      <c r="A558" s="4" t="n"/>
      <c r="B558" s="4" t="n"/>
      <c r="C558" s="4" t="n"/>
      <c r="D558" s="4" t="n"/>
      <c r="E558" s="4" t="n"/>
      <c r="F558" s="4" t="n"/>
      <c r="G558" s="4" t="n"/>
      <c r="H558" s="4" t="n"/>
      <c r="I558" s="4" t="n"/>
      <c r="J558" s="4" t="n"/>
      <c r="K558" s="4" t="n"/>
      <c r="L558" s="4" t="n"/>
      <c r="M558" s="4" t="n"/>
      <c r="N558" s="4" t="n"/>
      <c r="O558" s="4" t="n"/>
      <c r="P558" s="4" t="n"/>
      <c r="Q558" s="4" t="n"/>
      <c r="R558" s="4" t="n"/>
    </row>
    <row r="559" ht="15.75" customHeight="1" s="108">
      <c r="A559" s="4" t="n"/>
      <c r="B559" s="4" t="n"/>
      <c r="C559" s="4" t="n"/>
      <c r="D559" s="4" t="n"/>
      <c r="E559" s="4" t="n"/>
      <c r="F559" s="4" t="n"/>
      <c r="G559" s="4" t="n"/>
      <c r="H559" s="4" t="n"/>
      <c r="I559" s="4" t="n"/>
      <c r="J559" s="4" t="n"/>
      <c r="K559" s="4" t="n"/>
      <c r="L559" s="4" t="n"/>
      <c r="M559" s="4" t="n"/>
      <c r="N559" s="4" t="n"/>
      <c r="O559" s="4" t="n"/>
      <c r="P559" s="4" t="n"/>
      <c r="Q559" s="4" t="n"/>
      <c r="R559" s="4" t="n"/>
    </row>
    <row r="560" ht="15.75" customHeight="1" s="108">
      <c r="A560" s="4" t="n"/>
      <c r="B560" s="4" t="n"/>
      <c r="C560" s="4" t="n"/>
      <c r="D560" s="4" t="n"/>
      <c r="E560" s="4" t="n"/>
      <c r="F560" s="4" t="n"/>
      <c r="G560" s="4" t="n"/>
      <c r="H560" s="4" t="n"/>
      <c r="I560" s="4" t="n"/>
      <c r="J560" s="4" t="n"/>
      <c r="K560" s="4" t="n"/>
      <c r="L560" s="4" t="n"/>
      <c r="M560" s="4" t="n"/>
      <c r="N560" s="4" t="n"/>
      <c r="O560" s="4" t="n"/>
      <c r="P560" s="4" t="n"/>
      <c r="Q560" s="4" t="n"/>
      <c r="R560" s="4" t="n"/>
    </row>
    <row r="561" ht="15.75" customHeight="1" s="108">
      <c r="A561" s="4" t="n"/>
      <c r="B561" s="4" t="n"/>
      <c r="C561" s="4" t="n"/>
      <c r="D561" s="4" t="n"/>
      <c r="E561" s="4" t="n"/>
      <c r="F561" s="4" t="n"/>
      <c r="G561" s="4" t="n"/>
      <c r="H561" s="4" t="n"/>
      <c r="I561" s="4" t="n"/>
      <c r="J561" s="4" t="n"/>
      <c r="K561" s="4" t="n"/>
      <c r="L561" s="4" t="n"/>
      <c r="M561" s="4" t="n"/>
      <c r="N561" s="4" t="n"/>
      <c r="O561" s="4" t="n"/>
      <c r="P561" s="4" t="n"/>
      <c r="Q561" s="4" t="n"/>
      <c r="R561" s="4" t="n"/>
    </row>
    <row r="562" ht="15.75" customHeight="1" s="108">
      <c r="A562" s="4" t="n"/>
      <c r="B562" s="4" t="n"/>
      <c r="C562" s="4" t="n"/>
      <c r="D562" s="4" t="n"/>
      <c r="E562" s="4" t="n"/>
      <c r="F562" s="4" t="n"/>
      <c r="G562" s="4" t="n"/>
      <c r="H562" s="4" t="n"/>
      <c r="I562" s="4" t="n"/>
      <c r="J562" s="4" t="n"/>
      <c r="K562" s="4" t="n"/>
      <c r="L562" s="4" t="n"/>
      <c r="M562" s="4" t="n"/>
      <c r="N562" s="4" t="n"/>
      <c r="O562" s="4" t="n"/>
      <c r="P562" s="4" t="n"/>
      <c r="Q562" s="4" t="n"/>
      <c r="R562" s="4" t="n"/>
    </row>
    <row r="563" ht="15.75" customHeight="1" s="108">
      <c r="A563" s="4" t="n"/>
      <c r="B563" s="4" t="n"/>
      <c r="C563" s="4" t="n"/>
      <c r="D563" s="4" t="n"/>
      <c r="E563" s="4" t="n"/>
      <c r="F563" s="4" t="n"/>
      <c r="G563" s="4" t="n"/>
      <c r="H563" s="4" t="n"/>
      <c r="I563" s="4" t="n"/>
      <c r="J563" s="4" t="n"/>
      <c r="K563" s="4" t="n"/>
      <c r="L563" s="4" t="n"/>
      <c r="M563" s="4" t="n"/>
      <c r="N563" s="4" t="n"/>
      <c r="O563" s="4" t="n"/>
      <c r="P563" s="4" t="n"/>
      <c r="Q563" s="4" t="n"/>
      <c r="R563" s="4" t="n"/>
    </row>
    <row r="564" ht="15.75" customHeight="1" s="108">
      <c r="A564" s="4" t="n"/>
      <c r="B564" s="4" t="n"/>
      <c r="C564" s="4" t="n"/>
      <c r="D564" s="4" t="n"/>
      <c r="E564" s="4" t="n"/>
      <c r="F564" s="4" t="n"/>
      <c r="G564" s="4" t="n"/>
      <c r="H564" s="4" t="n"/>
      <c r="I564" s="4" t="n"/>
      <c r="J564" s="4" t="n"/>
      <c r="K564" s="4" t="n"/>
      <c r="L564" s="4" t="n"/>
      <c r="M564" s="4" t="n"/>
      <c r="N564" s="4" t="n"/>
      <c r="O564" s="4" t="n"/>
      <c r="P564" s="4" t="n"/>
      <c r="Q564" s="4" t="n"/>
      <c r="R564" s="4" t="n"/>
    </row>
    <row r="565" ht="15.75" customHeight="1" s="108">
      <c r="A565" s="4" t="n"/>
      <c r="B565" s="4" t="n"/>
      <c r="C565" s="4" t="n"/>
      <c r="D565" s="4" t="n"/>
      <c r="E565" s="4" t="n"/>
      <c r="F565" s="4" t="n"/>
      <c r="G565" s="4" t="n"/>
      <c r="H565" s="4" t="n"/>
      <c r="I565" s="4" t="n"/>
      <c r="J565" s="4" t="n"/>
      <c r="K565" s="4" t="n"/>
      <c r="L565" s="4" t="n"/>
      <c r="M565" s="4" t="n"/>
      <c r="N565" s="4" t="n"/>
      <c r="O565" s="4" t="n"/>
      <c r="P565" s="4" t="n"/>
      <c r="Q565" s="4" t="n"/>
      <c r="R565" s="4" t="n"/>
    </row>
    <row r="566" ht="15.75" customHeight="1" s="108">
      <c r="A566" s="4" t="n"/>
      <c r="B566" s="4" t="n"/>
      <c r="C566" s="4" t="n"/>
      <c r="D566" s="4" t="n"/>
      <c r="E566" s="4" t="n"/>
      <c r="F566" s="4" t="n"/>
      <c r="G566" s="4" t="n"/>
      <c r="H566" s="4" t="n"/>
      <c r="I566" s="4" t="n"/>
      <c r="J566" s="4" t="n"/>
      <c r="K566" s="4" t="n"/>
      <c r="L566" s="4" t="n"/>
      <c r="M566" s="4" t="n"/>
      <c r="N566" s="4" t="n"/>
      <c r="O566" s="4" t="n"/>
      <c r="P566" s="4" t="n"/>
      <c r="Q566" s="4" t="n"/>
      <c r="R566" s="4" t="n"/>
    </row>
    <row r="567" ht="15.75" customHeight="1" s="108">
      <c r="A567" s="4" t="n"/>
      <c r="B567" s="4" t="n"/>
      <c r="C567" s="4" t="n"/>
      <c r="D567" s="4" t="n"/>
      <c r="E567" s="4" t="n"/>
      <c r="F567" s="4" t="n"/>
      <c r="G567" s="4" t="n"/>
      <c r="H567" s="4" t="n"/>
      <c r="I567" s="4" t="n"/>
      <c r="J567" s="4" t="n"/>
      <c r="K567" s="4" t="n"/>
      <c r="L567" s="4" t="n"/>
      <c r="M567" s="4" t="n"/>
      <c r="N567" s="4" t="n"/>
      <c r="O567" s="4" t="n"/>
      <c r="P567" s="4" t="n"/>
      <c r="Q567" s="4" t="n"/>
      <c r="R567" s="4" t="n"/>
    </row>
    <row r="568" ht="15.75" customHeight="1" s="108">
      <c r="A568" s="4" t="n"/>
      <c r="B568" s="4" t="n"/>
      <c r="C568" s="4" t="n"/>
      <c r="D568" s="4" t="n"/>
      <c r="E568" s="4" t="n"/>
      <c r="F568" s="4" t="n"/>
      <c r="G568" s="4" t="n"/>
      <c r="H568" s="4" t="n"/>
      <c r="I568" s="4" t="n"/>
      <c r="J568" s="4" t="n"/>
      <c r="K568" s="4" t="n"/>
      <c r="L568" s="4" t="n"/>
      <c r="M568" s="4" t="n"/>
      <c r="N568" s="4" t="n"/>
      <c r="O568" s="4" t="n"/>
      <c r="P568" s="4" t="n"/>
      <c r="Q568" s="4" t="n"/>
      <c r="R568" s="4" t="n"/>
    </row>
    <row r="569" ht="15.75" customHeight="1" s="108">
      <c r="A569" s="4" t="n"/>
      <c r="B569" s="4" t="n"/>
      <c r="C569" s="4" t="n"/>
      <c r="D569" s="4" t="n"/>
      <c r="E569" s="4" t="n"/>
      <c r="F569" s="4" t="n"/>
      <c r="G569" s="4" t="n"/>
      <c r="H569" s="4" t="n"/>
      <c r="I569" s="4" t="n"/>
      <c r="J569" s="4" t="n"/>
      <c r="K569" s="4" t="n"/>
      <c r="L569" s="4" t="n"/>
      <c r="M569" s="4" t="n"/>
      <c r="N569" s="4" t="n"/>
      <c r="O569" s="4" t="n"/>
      <c r="P569" s="4" t="n"/>
      <c r="Q569" s="4" t="n"/>
      <c r="R569" s="4" t="n"/>
    </row>
    <row r="570" ht="15.75" customHeight="1" s="108">
      <c r="A570" s="4" t="n"/>
      <c r="B570" s="4" t="n"/>
      <c r="C570" s="4" t="n"/>
      <c r="D570" s="4" t="n"/>
      <c r="E570" s="4" t="n"/>
      <c r="F570" s="4" t="n"/>
      <c r="G570" s="4" t="n"/>
      <c r="H570" s="4" t="n"/>
      <c r="I570" s="4" t="n"/>
      <c r="J570" s="4" t="n"/>
      <c r="K570" s="4" t="n"/>
      <c r="L570" s="4" t="n"/>
      <c r="M570" s="4" t="n"/>
      <c r="N570" s="4" t="n"/>
      <c r="O570" s="4" t="n"/>
      <c r="P570" s="4" t="n"/>
      <c r="Q570" s="4" t="n"/>
      <c r="R570" s="4" t="n"/>
    </row>
    <row r="571" ht="15.75" customHeight="1" s="108">
      <c r="A571" s="4" t="n"/>
      <c r="B571" s="4" t="n"/>
      <c r="C571" s="4" t="n"/>
      <c r="D571" s="4" t="n"/>
      <c r="E571" s="4" t="n"/>
      <c r="F571" s="4" t="n"/>
      <c r="G571" s="4" t="n"/>
      <c r="H571" s="4" t="n"/>
      <c r="I571" s="4" t="n"/>
      <c r="J571" s="4" t="n"/>
      <c r="K571" s="4" t="n"/>
      <c r="L571" s="4" t="n"/>
      <c r="M571" s="4" t="n"/>
      <c r="N571" s="4" t="n"/>
      <c r="O571" s="4" t="n"/>
      <c r="P571" s="4" t="n"/>
      <c r="Q571" s="4" t="n"/>
      <c r="R571" s="4" t="n"/>
    </row>
    <row r="572" ht="15.75" customHeight="1" s="108">
      <c r="A572" s="4" t="n"/>
      <c r="B572" s="4" t="n"/>
      <c r="C572" s="4" t="n"/>
      <c r="D572" s="4" t="n"/>
      <c r="E572" s="4" t="n"/>
      <c r="F572" s="4" t="n"/>
      <c r="G572" s="4" t="n"/>
      <c r="H572" s="4" t="n"/>
      <c r="I572" s="4" t="n"/>
      <c r="J572" s="4" t="n"/>
      <c r="K572" s="4" t="n"/>
      <c r="L572" s="4" t="n"/>
      <c r="M572" s="4" t="n"/>
      <c r="N572" s="4" t="n"/>
      <c r="O572" s="4" t="n"/>
      <c r="P572" s="4" t="n"/>
      <c r="Q572" s="4" t="n"/>
      <c r="R572" s="4" t="n"/>
    </row>
    <row r="573" ht="15.75" customHeight="1" s="108">
      <c r="A573" s="4" t="n"/>
      <c r="B573" s="4" t="n"/>
      <c r="C573" s="4" t="n"/>
      <c r="D573" s="4" t="n"/>
      <c r="E573" s="4" t="n"/>
      <c r="F573" s="4" t="n"/>
      <c r="G573" s="4" t="n"/>
      <c r="H573" s="4" t="n"/>
      <c r="I573" s="4" t="n"/>
      <c r="J573" s="4" t="n"/>
      <c r="K573" s="4" t="n"/>
      <c r="L573" s="4" t="n"/>
      <c r="M573" s="4" t="n"/>
      <c r="N573" s="4" t="n"/>
      <c r="O573" s="4" t="n"/>
      <c r="P573" s="4" t="n"/>
      <c r="Q573" s="4" t="n"/>
      <c r="R573" s="4" t="n"/>
    </row>
    <row r="574" ht="15.75" customHeight="1" s="108">
      <c r="A574" s="4" t="n"/>
      <c r="B574" s="4" t="n"/>
      <c r="C574" s="4" t="n"/>
      <c r="D574" s="4" t="n"/>
      <c r="E574" s="4" t="n"/>
      <c r="F574" s="4" t="n"/>
      <c r="G574" s="4" t="n"/>
      <c r="H574" s="4" t="n"/>
      <c r="I574" s="4" t="n"/>
      <c r="J574" s="4" t="n"/>
      <c r="K574" s="4" t="n"/>
      <c r="L574" s="4" t="n"/>
      <c r="M574" s="4" t="n"/>
      <c r="N574" s="4" t="n"/>
      <c r="O574" s="4" t="n"/>
      <c r="P574" s="4" t="n"/>
      <c r="Q574" s="4" t="n"/>
      <c r="R574" s="4" t="n"/>
    </row>
    <row r="575" ht="15.75" customHeight="1" s="108">
      <c r="A575" s="4" t="n"/>
      <c r="B575" s="4" t="n"/>
      <c r="C575" s="4" t="n"/>
      <c r="D575" s="4" t="n"/>
      <c r="E575" s="4" t="n"/>
      <c r="F575" s="4" t="n"/>
      <c r="G575" s="4" t="n"/>
      <c r="H575" s="4" t="n"/>
      <c r="I575" s="4" t="n"/>
      <c r="J575" s="4" t="n"/>
      <c r="K575" s="4" t="n"/>
      <c r="L575" s="4" t="n"/>
      <c r="M575" s="4" t="n"/>
      <c r="N575" s="4" t="n"/>
      <c r="O575" s="4" t="n"/>
      <c r="P575" s="4" t="n"/>
      <c r="Q575" s="4" t="n"/>
      <c r="R575" s="4" t="n"/>
    </row>
    <row r="576" ht="15.75" customHeight="1" s="108">
      <c r="A576" s="4" t="n"/>
      <c r="B576" s="4" t="n"/>
      <c r="C576" s="4" t="n"/>
      <c r="D576" s="4" t="n"/>
      <c r="E576" s="4" t="n"/>
      <c r="F576" s="4" t="n"/>
      <c r="G576" s="4" t="n"/>
      <c r="H576" s="4" t="n"/>
      <c r="I576" s="4" t="n"/>
      <c r="J576" s="4" t="n"/>
      <c r="K576" s="4" t="n"/>
      <c r="L576" s="4" t="n"/>
      <c r="M576" s="4" t="n"/>
      <c r="N576" s="4" t="n"/>
      <c r="O576" s="4" t="n"/>
      <c r="P576" s="4" t="n"/>
      <c r="Q576" s="4" t="n"/>
      <c r="R576" s="4" t="n"/>
    </row>
    <row r="577" ht="15.75" customHeight="1" s="108">
      <c r="A577" s="4" t="n"/>
      <c r="B577" s="4" t="n"/>
      <c r="C577" s="4" t="n"/>
      <c r="D577" s="4" t="n"/>
      <c r="E577" s="4" t="n"/>
      <c r="F577" s="4" t="n"/>
      <c r="G577" s="4" t="n"/>
      <c r="H577" s="4" t="n"/>
      <c r="I577" s="4" t="n"/>
      <c r="J577" s="4" t="n"/>
      <c r="K577" s="4" t="n"/>
      <c r="L577" s="4" t="n"/>
      <c r="M577" s="4" t="n"/>
      <c r="N577" s="4" t="n"/>
      <c r="O577" s="4" t="n"/>
      <c r="P577" s="4" t="n"/>
      <c r="Q577" s="4" t="n"/>
      <c r="R577" s="4" t="n"/>
    </row>
    <row r="578" ht="15.75" customHeight="1" s="108">
      <c r="A578" s="4" t="n"/>
      <c r="B578" s="4" t="n"/>
      <c r="C578" s="4" t="n"/>
      <c r="D578" s="4" t="n"/>
      <c r="E578" s="4" t="n"/>
      <c r="F578" s="4" t="n"/>
      <c r="G578" s="4" t="n"/>
      <c r="H578" s="4" t="n"/>
      <c r="I578" s="4" t="n"/>
      <c r="J578" s="4" t="n"/>
      <c r="K578" s="4" t="n"/>
      <c r="L578" s="4" t="n"/>
      <c r="M578" s="4" t="n"/>
      <c r="N578" s="4" t="n"/>
      <c r="O578" s="4" t="n"/>
      <c r="P578" s="4" t="n"/>
      <c r="Q578" s="4" t="n"/>
      <c r="R578" s="4" t="n"/>
    </row>
    <row r="579" ht="15.75" customHeight="1" s="108">
      <c r="A579" s="4" t="n"/>
      <c r="B579" s="4" t="n"/>
      <c r="C579" s="4" t="n"/>
      <c r="D579" s="4" t="n"/>
      <c r="E579" s="4" t="n"/>
      <c r="F579" s="4" t="n"/>
      <c r="G579" s="4" t="n"/>
      <c r="H579" s="4" t="n"/>
      <c r="I579" s="4" t="n"/>
      <c r="J579" s="4" t="n"/>
      <c r="K579" s="4" t="n"/>
      <c r="L579" s="4" t="n"/>
      <c r="M579" s="4" t="n"/>
      <c r="N579" s="4" t="n"/>
      <c r="O579" s="4" t="n"/>
      <c r="P579" s="4" t="n"/>
      <c r="Q579" s="4" t="n"/>
      <c r="R579" s="4" t="n"/>
    </row>
    <row r="580" ht="15.75" customHeight="1" s="108">
      <c r="A580" s="4" t="n"/>
      <c r="B580" s="4" t="n"/>
      <c r="C580" s="4" t="n"/>
      <c r="D580" s="4" t="n"/>
      <c r="E580" s="4" t="n"/>
      <c r="F580" s="4" t="n"/>
      <c r="G580" s="4" t="n"/>
      <c r="H580" s="4" t="n"/>
      <c r="I580" s="4" t="n"/>
      <c r="J580" s="4" t="n"/>
      <c r="K580" s="4" t="n"/>
      <c r="L580" s="4" t="n"/>
      <c r="M580" s="4" t="n"/>
      <c r="N580" s="4" t="n"/>
      <c r="O580" s="4" t="n"/>
      <c r="P580" s="4" t="n"/>
      <c r="Q580" s="4" t="n"/>
      <c r="R580" s="4" t="n"/>
    </row>
    <row r="581" ht="15.75" customHeight="1" s="108">
      <c r="A581" s="4" t="n"/>
      <c r="B581" s="4" t="n"/>
      <c r="C581" s="4" t="n"/>
      <c r="D581" s="4" t="n"/>
      <c r="E581" s="4" t="n"/>
      <c r="F581" s="4" t="n"/>
      <c r="G581" s="4" t="n"/>
      <c r="H581" s="4" t="n"/>
      <c r="I581" s="4" t="n"/>
      <c r="J581" s="4" t="n"/>
      <c r="K581" s="4" t="n"/>
      <c r="L581" s="4" t="n"/>
      <c r="M581" s="4" t="n"/>
      <c r="N581" s="4" t="n"/>
      <c r="O581" s="4" t="n"/>
      <c r="P581" s="4" t="n"/>
      <c r="Q581" s="4" t="n"/>
      <c r="R581" s="4" t="n"/>
    </row>
    <row r="582" ht="15.75" customHeight="1" s="108">
      <c r="A582" s="4" t="n"/>
      <c r="B582" s="4" t="n"/>
      <c r="C582" s="4" t="n"/>
      <c r="D582" s="4" t="n"/>
      <c r="E582" s="4" t="n"/>
      <c r="F582" s="4" t="n"/>
      <c r="G582" s="4" t="n"/>
      <c r="H582" s="4" t="n"/>
      <c r="I582" s="4" t="n"/>
      <c r="J582" s="4" t="n"/>
      <c r="K582" s="4" t="n"/>
      <c r="L582" s="4" t="n"/>
      <c r="M582" s="4" t="n"/>
      <c r="N582" s="4" t="n"/>
      <c r="O582" s="4" t="n"/>
      <c r="P582" s="4" t="n"/>
      <c r="Q582" s="4" t="n"/>
      <c r="R582" s="4" t="n"/>
    </row>
    <row r="583" ht="15.75" customHeight="1" s="108">
      <c r="A583" s="4" t="n"/>
      <c r="B583" s="4" t="n"/>
      <c r="C583" s="4" t="n"/>
      <c r="D583" s="4" t="n"/>
      <c r="E583" s="4" t="n"/>
      <c r="F583" s="4" t="n"/>
      <c r="G583" s="4" t="n"/>
      <c r="H583" s="4" t="n"/>
      <c r="I583" s="4" t="n"/>
      <c r="J583" s="4" t="n"/>
      <c r="K583" s="4" t="n"/>
      <c r="L583" s="4" t="n"/>
      <c r="M583" s="4" t="n"/>
      <c r="N583" s="4" t="n"/>
      <c r="O583" s="4" t="n"/>
      <c r="P583" s="4" t="n"/>
      <c r="Q583" s="4" t="n"/>
      <c r="R583" s="4" t="n"/>
    </row>
    <row r="584" ht="15.75" customHeight="1" s="108">
      <c r="A584" s="4" t="n"/>
      <c r="B584" s="4" t="n"/>
      <c r="C584" s="4" t="n"/>
      <c r="D584" s="4" t="n"/>
      <c r="E584" s="4" t="n"/>
      <c r="F584" s="4" t="n"/>
      <c r="G584" s="4" t="n"/>
      <c r="H584" s="4" t="n"/>
      <c r="I584" s="4" t="n"/>
      <c r="J584" s="4" t="n"/>
      <c r="K584" s="4" t="n"/>
      <c r="L584" s="4" t="n"/>
      <c r="M584" s="4" t="n"/>
      <c r="N584" s="4" t="n"/>
      <c r="O584" s="4" t="n"/>
      <c r="P584" s="4" t="n"/>
      <c r="Q584" s="4" t="n"/>
      <c r="R584" s="4" t="n"/>
    </row>
    <row r="585" ht="15.75" customHeight="1" s="108">
      <c r="A585" s="4" t="n"/>
      <c r="B585" s="4" t="n"/>
      <c r="C585" s="4" t="n"/>
      <c r="D585" s="4" t="n"/>
      <c r="E585" s="4" t="n"/>
      <c r="F585" s="4" t="n"/>
      <c r="G585" s="4" t="n"/>
      <c r="H585" s="4" t="n"/>
      <c r="I585" s="4" t="n"/>
      <c r="J585" s="4" t="n"/>
      <c r="K585" s="4" t="n"/>
      <c r="L585" s="4" t="n"/>
      <c r="M585" s="4" t="n"/>
      <c r="N585" s="4" t="n"/>
      <c r="O585" s="4" t="n"/>
      <c r="P585" s="4" t="n"/>
      <c r="Q585" s="4" t="n"/>
      <c r="R585" s="4" t="n"/>
    </row>
    <row r="586" ht="15.75" customHeight="1" s="108">
      <c r="A586" s="4" t="n"/>
      <c r="B586" s="4" t="n"/>
      <c r="C586" s="4" t="n"/>
      <c r="D586" s="4" t="n"/>
      <c r="E586" s="4" t="n"/>
      <c r="F586" s="4" t="n"/>
      <c r="G586" s="4" t="n"/>
      <c r="H586" s="4" t="n"/>
      <c r="I586" s="4" t="n"/>
      <c r="J586" s="4" t="n"/>
      <c r="K586" s="4" t="n"/>
      <c r="L586" s="4" t="n"/>
      <c r="M586" s="4" t="n"/>
      <c r="N586" s="4" t="n"/>
      <c r="O586" s="4" t="n"/>
      <c r="P586" s="4" t="n"/>
      <c r="Q586" s="4" t="n"/>
      <c r="R586" s="4" t="n"/>
    </row>
    <row r="587" ht="15.75" customHeight="1" s="108">
      <c r="A587" s="4" t="n"/>
      <c r="B587" s="4" t="n"/>
      <c r="C587" s="4" t="n"/>
      <c r="D587" s="4" t="n"/>
      <c r="E587" s="4" t="n"/>
      <c r="F587" s="4" t="n"/>
      <c r="G587" s="4" t="n"/>
      <c r="H587" s="4" t="n"/>
      <c r="I587" s="4" t="n"/>
      <c r="J587" s="4" t="n"/>
      <c r="K587" s="4" t="n"/>
      <c r="L587" s="4" t="n"/>
      <c r="M587" s="4" t="n"/>
      <c r="N587" s="4" t="n"/>
      <c r="O587" s="4" t="n"/>
      <c r="P587" s="4" t="n"/>
      <c r="Q587" s="4" t="n"/>
      <c r="R587" s="4" t="n"/>
    </row>
    <row r="588" ht="15.75" customHeight="1" s="108">
      <c r="A588" s="4" t="n"/>
      <c r="B588" s="4" t="n"/>
      <c r="C588" s="4" t="n"/>
      <c r="D588" s="4" t="n"/>
      <c r="E588" s="4" t="n"/>
      <c r="F588" s="4" t="n"/>
      <c r="G588" s="4" t="n"/>
      <c r="H588" s="4" t="n"/>
      <c r="I588" s="4" t="n"/>
      <c r="J588" s="4" t="n"/>
      <c r="K588" s="4" t="n"/>
      <c r="L588" s="4" t="n"/>
      <c r="M588" s="4" t="n"/>
      <c r="N588" s="4" t="n"/>
      <c r="O588" s="4" t="n"/>
      <c r="P588" s="4" t="n"/>
      <c r="Q588" s="4" t="n"/>
      <c r="R588" s="4" t="n"/>
    </row>
    <row r="589" ht="15.75" customHeight="1" s="108">
      <c r="A589" s="4" t="n"/>
      <c r="B589" s="4" t="n"/>
      <c r="C589" s="4" t="n"/>
      <c r="D589" s="4" t="n"/>
      <c r="E589" s="4" t="n"/>
      <c r="F589" s="4" t="n"/>
      <c r="G589" s="4" t="n"/>
      <c r="H589" s="4" t="n"/>
      <c r="I589" s="4" t="n"/>
      <c r="J589" s="4" t="n"/>
      <c r="K589" s="4" t="n"/>
      <c r="L589" s="4" t="n"/>
      <c r="M589" s="4" t="n"/>
      <c r="N589" s="4" t="n"/>
      <c r="O589" s="4" t="n"/>
      <c r="P589" s="4" t="n"/>
      <c r="Q589" s="4" t="n"/>
      <c r="R589" s="4" t="n"/>
    </row>
    <row r="590" ht="15.75" customHeight="1" s="108">
      <c r="A590" s="4" t="n"/>
      <c r="B590" s="4" t="n"/>
      <c r="C590" s="4" t="n"/>
      <c r="D590" s="4" t="n"/>
      <c r="E590" s="4" t="n"/>
      <c r="F590" s="4" t="n"/>
      <c r="G590" s="4" t="n"/>
      <c r="H590" s="4" t="n"/>
      <c r="I590" s="4" t="n"/>
      <c r="J590" s="4" t="n"/>
      <c r="K590" s="4" t="n"/>
      <c r="L590" s="4" t="n"/>
      <c r="M590" s="4" t="n"/>
      <c r="N590" s="4" t="n"/>
      <c r="O590" s="4" t="n"/>
      <c r="P590" s="4" t="n"/>
      <c r="Q590" s="4" t="n"/>
      <c r="R590" s="4" t="n"/>
    </row>
    <row r="591" ht="15.75" customHeight="1" s="108">
      <c r="A591" s="4" t="n"/>
      <c r="B591" s="4" t="n"/>
      <c r="C591" s="4" t="n"/>
      <c r="D591" s="4" t="n"/>
      <c r="E591" s="4" t="n"/>
      <c r="F591" s="4" t="n"/>
      <c r="G591" s="4" t="n"/>
      <c r="H591" s="4" t="n"/>
      <c r="I591" s="4" t="n"/>
      <c r="J591" s="4" t="n"/>
      <c r="K591" s="4" t="n"/>
      <c r="L591" s="4" t="n"/>
      <c r="M591" s="4" t="n"/>
      <c r="N591" s="4" t="n"/>
      <c r="O591" s="4" t="n"/>
      <c r="P591" s="4" t="n"/>
      <c r="Q591" s="4" t="n"/>
      <c r="R591" s="4" t="n"/>
    </row>
    <row r="592" ht="15.75" customHeight="1" s="108">
      <c r="A592" s="4" t="n"/>
      <c r="B592" s="4" t="n"/>
      <c r="C592" s="4" t="n"/>
      <c r="D592" s="4" t="n"/>
      <c r="E592" s="4" t="n"/>
      <c r="F592" s="4" t="n"/>
      <c r="G592" s="4" t="n"/>
      <c r="H592" s="4" t="n"/>
      <c r="I592" s="4" t="n"/>
      <c r="J592" s="4" t="n"/>
      <c r="K592" s="4" t="n"/>
      <c r="L592" s="4" t="n"/>
      <c r="M592" s="4" t="n"/>
      <c r="N592" s="4" t="n"/>
      <c r="O592" s="4" t="n"/>
      <c r="P592" s="4" t="n"/>
      <c r="Q592" s="4" t="n"/>
      <c r="R592" s="4" t="n"/>
    </row>
    <row r="593" ht="15.75" customHeight="1" s="108">
      <c r="A593" s="4" t="n"/>
      <c r="B593" s="4" t="n"/>
      <c r="C593" s="4" t="n"/>
      <c r="D593" s="4" t="n"/>
      <c r="E593" s="4" t="n"/>
      <c r="F593" s="4" t="n"/>
      <c r="G593" s="4" t="n"/>
      <c r="H593" s="4" t="n"/>
      <c r="I593" s="4" t="n"/>
      <c r="J593" s="4" t="n"/>
      <c r="K593" s="4" t="n"/>
      <c r="L593" s="4" t="n"/>
      <c r="M593" s="4" t="n"/>
      <c r="N593" s="4" t="n"/>
      <c r="O593" s="4" t="n"/>
      <c r="P593" s="4" t="n"/>
      <c r="Q593" s="4" t="n"/>
      <c r="R593" s="4" t="n"/>
    </row>
    <row r="594" ht="15.75" customHeight="1" s="108">
      <c r="A594" s="4" t="n"/>
      <c r="B594" s="4" t="n"/>
      <c r="C594" s="4" t="n"/>
      <c r="D594" s="4" t="n"/>
      <c r="E594" s="4" t="n"/>
      <c r="F594" s="4" t="n"/>
      <c r="G594" s="4" t="n"/>
      <c r="H594" s="4" t="n"/>
      <c r="I594" s="4" t="n"/>
      <c r="J594" s="4" t="n"/>
      <c r="K594" s="4" t="n"/>
      <c r="L594" s="4" t="n"/>
      <c r="M594" s="4" t="n"/>
      <c r="N594" s="4" t="n"/>
      <c r="O594" s="4" t="n"/>
      <c r="P594" s="4" t="n"/>
      <c r="Q594" s="4" t="n"/>
      <c r="R594" s="4" t="n"/>
    </row>
    <row r="595" ht="15.75" customHeight="1" s="108">
      <c r="A595" s="4" t="n"/>
      <c r="B595" s="4" t="n"/>
      <c r="C595" s="4" t="n"/>
      <c r="D595" s="4" t="n"/>
      <c r="E595" s="4" t="n"/>
      <c r="F595" s="4" t="n"/>
      <c r="G595" s="4" t="n"/>
      <c r="H595" s="4" t="n"/>
      <c r="I595" s="4" t="n"/>
      <c r="J595" s="4" t="n"/>
      <c r="K595" s="4" t="n"/>
      <c r="L595" s="4" t="n"/>
      <c r="M595" s="4" t="n"/>
      <c r="N595" s="4" t="n"/>
      <c r="O595" s="4" t="n"/>
      <c r="P595" s="4" t="n"/>
      <c r="Q595" s="4" t="n"/>
      <c r="R595" s="4" t="n"/>
    </row>
    <row r="596" ht="15.75" customHeight="1" s="108">
      <c r="A596" s="4" t="n"/>
      <c r="B596" s="4" t="n"/>
      <c r="C596" s="4" t="n"/>
      <c r="D596" s="4" t="n"/>
      <c r="E596" s="4" t="n"/>
      <c r="F596" s="4" t="n"/>
      <c r="G596" s="4" t="n"/>
      <c r="H596" s="4" t="n"/>
      <c r="I596" s="4" t="n"/>
      <c r="J596" s="4" t="n"/>
      <c r="K596" s="4" t="n"/>
      <c r="L596" s="4" t="n"/>
      <c r="M596" s="4" t="n"/>
      <c r="N596" s="4" t="n"/>
      <c r="O596" s="4" t="n"/>
      <c r="P596" s="4" t="n"/>
      <c r="Q596" s="4" t="n"/>
      <c r="R596" s="4" t="n"/>
    </row>
    <row r="597" ht="15.75" customHeight="1" s="108">
      <c r="A597" s="4" t="n"/>
      <c r="B597" s="4" t="n"/>
      <c r="C597" s="4" t="n"/>
      <c r="D597" s="4" t="n"/>
      <c r="E597" s="4" t="n"/>
      <c r="F597" s="4" t="n"/>
      <c r="G597" s="4" t="n"/>
      <c r="H597" s="4" t="n"/>
      <c r="I597" s="4" t="n"/>
      <c r="J597" s="4" t="n"/>
      <c r="K597" s="4" t="n"/>
      <c r="L597" s="4" t="n"/>
      <c r="M597" s="4" t="n"/>
      <c r="N597" s="4" t="n"/>
      <c r="O597" s="4" t="n"/>
      <c r="P597" s="4" t="n"/>
      <c r="Q597" s="4" t="n"/>
      <c r="R597" s="4" t="n"/>
    </row>
    <row r="598" ht="15.75" customHeight="1" s="108">
      <c r="A598" s="4" t="n"/>
      <c r="B598" s="4" t="n"/>
      <c r="C598" s="4" t="n"/>
      <c r="D598" s="4" t="n"/>
      <c r="E598" s="4" t="n"/>
      <c r="F598" s="4" t="n"/>
      <c r="G598" s="4" t="n"/>
      <c r="H598" s="4" t="n"/>
      <c r="I598" s="4" t="n"/>
      <c r="J598" s="4" t="n"/>
      <c r="K598" s="4" t="n"/>
      <c r="L598" s="4" t="n"/>
      <c r="M598" s="4" t="n"/>
      <c r="N598" s="4" t="n"/>
      <c r="O598" s="4" t="n"/>
      <c r="P598" s="4" t="n"/>
      <c r="Q598" s="4" t="n"/>
      <c r="R598" s="4" t="n"/>
    </row>
    <row r="599" ht="15.75" customHeight="1" s="108">
      <c r="A599" s="4" t="n"/>
      <c r="B599" s="4" t="n"/>
      <c r="C599" s="4" t="n"/>
      <c r="D599" s="4" t="n"/>
      <c r="E599" s="4" t="n"/>
      <c r="F599" s="4" t="n"/>
      <c r="G599" s="4" t="n"/>
      <c r="H599" s="4" t="n"/>
      <c r="I599" s="4" t="n"/>
      <c r="J599" s="4" t="n"/>
      <c r="K599" s="4" t="n"/>
      <c r="L599" s="4" t="n"/>
      <c r="M599" s="4" t="n"/>
      <c r="N599" s="4" t="n"/>
      <c r="O599" s="4" t="n"/>
      <c r="P599" s="4" t="n"/>
      <c r="Q599" s="4" t="n"/>
      <c r="R599" s="4" t="n"/>
    </row>
    <row r="600" ht="15.75" customHeight="1" s="108">
      <c r="A600" s="4" t="n"/>
      <c r="B600" s="4" t="n"/>
      <c r="C600" s="4" t="n"/>
      <c r="D600" s="4" t="n"/>
      <c r="E600" s="4" t="n"/>
      <c r="F600" s="4" t="n"/>
      <c r="G600" s="4" t="n"/>
      <c r="H600" s="4" t="n"/>
      <c r="I600" s="4" t="n"/>
      <c r="J600" s="4" t="n"/>
      <c r="K600" s="4" t="n"/>
      <c r="L600" s="4" t="n"/>
      <c r="M600" s="4" t="n"/>
      <c r="N600" s="4" t="n"/>
      <c r="O600" s="4" t="n"/>
      <c r="P600" s="4" t="n"/>
      <c r="Q600" s="4" t="n"/>
      <c r="R600" s="4" t="n"/>
    </row>
    <row r="601" ht="15.75" customHeight="1" s="108">
      <c r="A601" s="4" t="n"/>
      <c r="B601" s="4" t="n"/>
      <c r="C601" s="4" t="n"/>
      <c r="D601" s="4" t="n"/>
      <c r="E601" s="4" t="n"/>
      <c r="F601" s="4" t="n"/>
      <c r="G601" s="4" t="n"/>
      <c r="H601" s="4" t="n"/>
      <c r="I601" s="4" t="n"/>
      <c r="J601" s="4" t="n"/>
      <c r="K601" s="4" t="n"/>
      <c r="L601" s="4" t="n"/>
      <c r="M601" s="4" t="n"/>
      <c r="N601" s="4" t="n"/>
      <c r="O601" s="4" t="n"/>
      <c r="P601" s="4" t="n"/>
      <c r="Q601" s="4" t="n"/>
      <c r="R601" s="4" t="n"/>
    </row>
    <row r="602" ht="15.75" customHeight="1" s="108">
      <c r="A602" s="4" t="n"/>
      <c r="B602" s="4" t="n"/>
      <c r="C602" s="4" t="n"/>
      <c r="D602" s="4" t="n"/>
      <c r="E602" s="4" t="n"/>
      <c r="F602" s="4" t="n"/>
      <c r="G602" s="4" t="n"/>
      <c r="H602" s="4" t="n"/>
      <c r="I602" s="4" t="n"/>
      <c r="J602" s="4" t="n"/>
      <c r="K602" s="4" t="n"/>
      <c r="L602" s="4" t="n"/>
      <c r="M602" s="4" t="n"/>
      <c r="N602" s="4" t="n"/>
      <c r="O602" s="4" t="n"/>
      <c r="P602" s="4" t="n"/>
      <c r="Q602" s="4" t="n"/>
      <c r="R602" s="4" t="n"/>
    </row>
    <row r="603" ht="15.75" customHeight="1" s="108">
      <c r="A603" s="4" t="n"/>
      <c r="B603" s="4" t="n"/>
      <c r="C603" s="4" t="n"/>
      <c r="D603" s="4" t="n"/>
      <c r="E603" s="4" t="n"/>
      <c r="F603" s="4" t="n"/>
      <c r="G603" s="4" t="n"/>
      <c r="H603" s="4" t="n"/>
      <c r="I603" s="4" t="n"/>
      <c r="J603" s="4" t="n"/>
      <c r="K603" s="4" t="n"/>
      <c r="L603" s="4" t="n"/>
      <c r="M603" s="4" t="n"/>
      <c r="N603" s="4" t="n"/>
      <c r="O603" s="4" t="n"/>
      <c r="P603" s="4" t="n"/>
      <c r="Q603" s="4" t="n"/>
      <c r="R603" s="4" t="n"/>
    </row>
    <row r="604" ht="15.75" customHeight="1" s="108">
      <c r="A604" s="4" t="n"/>
      <c r="B604" s="4" t="n"/>
      <c r="C604" s="4" t="n"/>
      <c r="D604" s="4" t="n"/>
      <c r="E604" s="4" t="n"/>
      <c r="F604" s="4" t="n"/>
      <c r="G604" s="4" t="n"/>
      <c r="H604" s="4" t="n"/>
      <c r="I604" s="4" t="n"/>
      <c r="J604" s="4" t="n"/>
      <c r="K604" s="4" t="n"/>
      <c r="L604" s="4" t="n"/>
      <c r="M604" s="4" t="n"/>
      <c r="N604" s="4" t="n"/>
      <c r="O604" s="4" t="n"/>
      <c r="P604" s="4" t="n"/>
      <c r="Q604" s="4" t="n"/>
      <c r="R604" s="4" t="n"/>
    </row>
    <row r="605" ht="15.75" customHeight="1" s="108">
      <c r="A605" s="4" t="n"/>
      <c r="B605" s="4" t="n"/>
      <c r="C605" s="4" t="n"/>
      <c r="D605" s="4" t="n"/>
      <c r="E605" s="4" t="n"/>
      <c r="F605" s="4" t="n"/>
      <c r="G605" s="4" t="n"/>
      <c r="H605" s="4" t="n"/>
      <c r="I605" s="4" t="n"/>
      <c r="J605" s="4" t="n"/>
      <c r="K605" s="4" t="n"/>
      <c r="L605" s="4" t="n"/>
      <c r="M605" s="4" t="n"/>
      <c r="N605" s="4" t="n"/>
      <c r="O605" s="4" t="n"/>
      <c r="P605" s="4" t="n"/>
      <c r="Q605" s="4" t="n"/>
      <c r="R605" s="4" t="n"/>
    </row>
    <row r="606" ht="15.75" customHeight="1" s="108">
      <c r="A606" s="4" t="n"/>
      <c r="B606" s="4" t="n"/>
      <c r="C606" s="4" t="n"/>
      <c r="D606" s="4" t="n"/>
      <c r="E606" s="4" t="n"/>
      <c r="F606" s="4" t="n"/>
      <c r="G606" s="4" t="n"/>
      <c r="H606" s="4" t="n"/>
      <c r="I606" s="4" t="n"/>
      <c r="J606" s="4" t="n"/>
      <c r="K606" s="4" t="n"/>
      <c r="L606" s="4" t="n"/>
      <c r="M606" s="4" t="n"/>
      <c r="N606" s="4" t="n"/>
      <c r="O606" s="4" t="n"/>
      <c r="P606" s="4" t="n"/>
      <c r="Q606" s="4" t="n"/>
      <c r="R606" s="4" t="n"/>
    </row>
    <row r="607" ht="15.75" customHeight="1" s="108">
      <c r="A607" s="4" t="n"/>
      <c r="B607" s="4" t="n"/>
      <c r="C607" s="4" t="n"/>
      <c r="D607" s="4" t="n"/>
      <c r="E607" s="4" t="n"/>
      <c r="F607" s="4" t="n"/>
      <c r="G607" s="4" t="n"/>
      <c r="H607" s="4" t="n"/>
      <c r="I607" s="4" t="n"/>
      <c r="J607" s="4" t="n"/>
      <c r="K607" s="4" t="n"/>
      <c r="L607" s="4" t="n"/>
      <c r="M607" s="4" t="n"/>
      <c r="N607" s="4" t="n"/>
      <c r="O607" s="4" t="n"/>
      <c r="P607" s="4" t="n"/>
      <c r="Q607" s="4" t="n"/>
      <c r="R607" s="4" t="n"/>
    </row>
    <row r="608" ht="15.75" customHeight="1" s="108">
      <c r="A608" s="4" t="n"/>
      <c r="B608" s="4" t="n"/>
      <c r="C608" s="4" t="n"/>
      <c r="D608" s="4" t="n"/>
      <c r="E608" s="4" t="n"/>
      <c r="F608" s="4" t="n"/>
      <c r="G608" s="4" t="n"/>
      <c r="H608" s="4" t="n"/>
      <c r="I608" s="4" t="n"/>
      <c r="J608" s="4" t="n"/>
      <c r="K608" s="4" t="n"/>
      <c r="L608" s="4" t="n"/>
      <c r="M608" s="4" t="n"/>
      <c r="N608" s="4" t="n"/>
      <c r="O608" s="4" t="n"/>
      <c r="P608" s="4" t="n"/>
      <c r="Q608" s="4" t="n"/>
      <c r="R608" s="4" t="n"/>
    </row>
    <row r="609" ht="15.75" customHeight="1" s="108">
      <c r="A609" s="4" t="n"/>
      <c r="B609" s="4" t="n"/>
      <c r="C609" s="4" t="n"/>
      <c r="D609" s="4" t="n"/>
      <c r="E609" s="4" t="n"/>
      <c r="F609" s="4" t="n"/>
      <c r="G609" s="4" t="n"/>
      <c r="H609" s="4" t="n"/>
      <c r="I609" s="4" t="n"/>
      <c r="J609" s="4" t="n"/>
      <c r="K609" s="4" t="n"/>
      <c r="L609" s="4" t="n"/>
      <c r="M609" s="4" t="n"/>
      <c r="N609" s="4" t="n"/>
      <c r="O609" s="4" t="n"/>
      <c r="P609" s="4" t="n"/>
      <c r="Q609" s="4" t="n"/>
      <c r="R609" s="4" t="n"/>
    </row>
    <row r="610" ht="15.75" customHeight="1" s="108">
      <c r="A610" s="4" t="n"/>
      <c r="B610" s="4" t="n"/>
      <c r="C610" s="4" t="n"/>
      <c r="D610" s="4" t="n"/>
      <c r="E610" s="4" t="n"/>
      <c r="F610" s="4" t="n"/>
      <c r="G610" s="4" t="n"/>
      <c r="H610" s="4" t="n"/>
      <c r="I610" s="4" t="n"/>
      <c r="J610" s="4" t="n"/>
      <c r="K610" s="4" t="n"/>
      <c r="L610" s="4" t="n"/>
      <c r="M610" s="4" t="n"/>
      <c r="N610" s="4" t="n"/>
      <c r="O610" s="4" t="n"/>
      <c r="P610" s="4" t="n"/>
      <c r="Q610" s="4" t="n"/>
      <c r="R610" s="4" t="n"/>
    </row>
    <row r="611" ht="15.75" customHeight="1" s="108">
      <c r="A611" s="4" t="n"/>
      <c r="B611" s="4" t="n"/>
      <c r="C611" s="4" t="n"/>
      <c r="D611" s="4" t="n"/>
      <c r="E611" s="4" t="n"/>
      <c r="F611" s="4" t="n"/>
      <c r="G611" s="4" t="n"/>
      <c r="H611" s="4" t="n"/>
      <c r="I611" s="4" t="n"/>
      <c r="J611" s="4" t="n"/>
      <c r="K611" s="4" t="n"/>
      <c r="L611" s="4" t="n"/>
      <c r="M611" s="4" t="n"/>
      <c r="N611" s="4" t="n"/>
      <c r="O611" s="4" t="n"/>
      <c r="P611" s="4" t="n"/>
      <c r="Q611" s="4" t="n"/>
      <c r="R611" s="4" t="n"/>
    </row>
    <row r="612" ht="15.75" customHeight="1" s="108">
      <c r="A612" s="4" t="n"/>
      <c r="B612" s="4" t="n"/>
      <c r="C612" s="4" t="n"/>
      <c r="D612" s="4" t="n"/>
      <c r="E612" s="4" t="n"/>
      <c r="F612" s="4" t="n"/>
      <c r="G612" s="4" t="n"/>
      <c r="H612" s="4" t="n"/>
      <c r="I612" s="4" t="n"/>
      <c r="J612" s="4" t="n"/>
      <c r="K612" s="4" t="n"/>
      <c r="L612" s="4" t="n"/>
      <c r="M612" s="4" t="n"/>
      <c r="N612" s="4" t="n"/>
      <c r="O612" s="4" t="n"/>
      <c r="P612" s="4" t="n"/>
      <c r="Q612" s="4" t="n"/>
      <c r="R612" s="4" t="n"/>
    </row>
    <row r="613" ht="15.75" customHeight="1" s="108">
      <c r="A613" s="4" t="n"/>
      <c r="B613" s="4" t="n"/>
      <c r="C613" s="4" t="n"/>
      <c r="D613" s="4" t="n"/>
      <c r="E613" s="4" t="n"/>
      <c r="F613" s="4" t="n"/>
      <c r="G613" s="4" t="n"/>
      <c r="H613" s="4" t="n"/>
      <c r="I613" s="4" t="n"/>
      <c r="J613" s="4" t="n"/>
      <c r="K613" s="4" t="n"/>
      <c r="L613" s="4" t="n"/>
      <c r="M613" s="4" t="n"/>
      <c r="N613" s="4" t="n"/>
      <c r="O613" s="4" t="n"/>
      <c r="P613" s="4" t="n"/>
      <c r="Q613" s="4" t="n"/>
      <c r="R613" s="4" t="n"/>
    </row>
    <row r="614" ht="15.75" customHeight="1" s="108">
      <c r="A614" s="4" t="n"/>
      <c r="B614" s="4" t="n"/>
      <c r="C614" s="4" t="n"/>
      <c r="D614" s="4" t="n"/>
      <c r="E614" s="4" t="n"/>
      <c r="F614" s="4" t="n"/>
      <c r="G614" s="4" t="n"/>
      <c r="H614" s="4" t="n"/>
      <c r="I614" s="4" t="n"/>
      <c r="J614" s="4" t="n"/>
      <c r="K614" s="4" t="n"/>
      <c r="L614" s="4" t="n"/>
      <c r="M614" s="4" t="n"/>
      <c r="N614" s="4" t="n"/>
      <c r="O614" s="4" t="n"/>
      <c r="P614" s="4" t="n"/>
      <c r="Q614" s="4" t="n"/>
      <c r="R614" s="4" t="n"/>
    </row>
    <row r="615" ht="15.75" customHeight="1" s="108">
      <c r="A615" s="4" t="n"/>
      <c r="B615" s="4" t="n"/>
      <c r="C615" s="4" t="n"/>
      <c r="D615" s="4" t="n"/>
      <c r="E615" s="4" t="n"/>
      <c r="F615" s="4" t="n"/>
      <c r="G615" s="4" t="n"/>
      <c r="H615" s="4" t="n"/>
      <c r="I615" s="4" t="n"/>
      <c r="J615" s="4" t="n"/>
      <c r="K615" s="4" t="n"/>
      <c r="L615" s="4" t="n"/>
      <c r="M615" s="4" t="n"/>
      <c r="N615" s="4" t="n"/>
      <c r="O615" s="4" t="n"/>
      <c r="P615" s="4" t="n"/>
      <c r="Q615" s="4" t="n"/>
      <c r="R615" s="4" t="n"/>
    </row>
    <row r="616" ht="15.75" customHeight="1" s="108">
      <c r="A616" s="4" t="n"/>
      <c r="B616" s="4" t="n"/>
      <c r="C616" s="4" t="n"/>
      <c r="D616" s="4" t="n"/>
      <c r="E616" s="4" t="n"/>
      <c r="F616" s="4" t="n"/>
      <c r="G616" s="4" t="n"/>
      <c r="H616" s="4" t="n"/>
      <c r="I616" s="4" t="n"/>
      <c r="J616" s="4" t="n"/>
      <c r="K616" s="4" t="n"/>
      <c r="L616" s="4" t="n"/>
      <c r="M616" s="4" t="n"/>
      <c r="N616" s="4" t="n"/>
      <c r="O616" s="4" t="n"/>
      <c r="P616" s="4" t="n"/>
      <c r="Q616" s="4" t="n"/>
      <c r="R616" s="4" t="n"/>
    </row>
    <row r="617" ht="15.75" customHeight="1" s="108">
      <c r="A617" s="4" t="n"/>
      <c r="B617" s="4" t="n"/>
      <c r="C617" s="4" t="n"/>
      <c r="D617" s="4" t="n"/>
      <c r="E617" s="4" t="n"/>
      <c r="F617" s="4" t="n"/>
      <c r="G617" s="4" t="n"/>
      <c r="H617" s="4" t="n"/>
      <c r="I617" s="4" t="n"/>
      <c r="J617" s="4" t="n"/>
      <c r="K617" s="4" t="n"/>
      <c r="L617" s="4" t="n"/>
      <c r="M617" s="4" t="n"/>
      <c r="N617" s="4" t="n"/>
      <c r="O617" s="4" t="n"/>
      <c r="P617" s="4" t="n"/>
      <c r="Q617" s="4" t="n"/>
      <c r="R617" s="4" t="n"/>
    </row>
    <row r="618" ht="15.75" customHeight="1" s="108">
      <c r="A618" s="4" t="n"/>
      <c r="B618" s="4" t="n"/>
      <c r="C618" s="4" t="n"/>
      <c r="D618" s="4" t="n"/>
      <c r="E618" s="4" t="n"/>
      <c r="F618" s="4" t="n"/>
      <c r="G618" s="4" t="n"/>
      <c r="H618" s="4" t="n"/>
      <c r="I618" s="4" t="n"/>
      <c r="J618" s="4" t="n"/>
      <c r="K618" s="4" t="n"/>
      <c r="L618" s="4" t="n"/>
      <c r="M618" s="4" t="n"/>
      <c r="N618" s="4" t="n"/>
      <c r="O618" s="4" t="n"/>
      <c r="P618" s="4" t="n"/>
      <c r="Q618" s="4" t="n"/>
      <c r="R618" s="4" t="n"/>
    </row>
    <row r="619" ht="15.75" customHeight="1" s="108">
      <c r="A619" s="4" t="n"/>
      <c r="B619" s="4" t="n"/>
      <c r="C619" s="4" t="n"/>
      <c r="D619" s="4" t="n"/>
      <c r="E619" s="4" t="n"/>
      <c r="F619" s="4" t="n"/>
      <c r="G619" s="4" t="n"/>
      <c r="H619" s="4" t="n"/>
      <c r="I619" s="4" t="n"/>
      <c r="J619" s="4" t="n"/>
      <c r="K619" s="4" t="n"/>
      <c r="L619" s="4" t="n"/>
      <c r="M619" s="4" t="n"/>
      <c r="N619" s="4" t="n"/>
      <c r="O619" s="4" t="n"/>
      <c r="P619" s="4" t="n"/>
      <c r="Q619" s="4" t="n"/>
      <c r="R619" s="4" t="n"/>
    </row>
    <row r="620" ht="15.75" customHeight="1" s="108">
      <c r="A620" s="4" t="n"/>
      <c r="B620" s="4" t="n"/>
      <c r="C620" s="4" t="n"/>
      <c r="D620" s="4" t="n"/>
      <c r="E620" s="4" t="n"/>
      <c r="F620" s="4" t="n"/>
      <c r="G620" s="4" t="n"/>
      <c r="H620" s="4" t="n"/>
      <c r="I620" s="4" t="n"/>
      <c r="J620" s="4" t="n"/>
      <c r="K620" s="4" t="n"/>
      <c r="L620" s="4" t="n"/>
      <c r="M620" s="4" t="n"/>
      <c r="N620" s="4" t="n"/>
      <c r="O620" s="4" t="n"/>
      <c r="P620" s="4" t="n"/>
      <c r="Q620" s="4" t="n"/>
      <c r="R620" s="4" t="n"/>
    </row>
    <row r="621" ht="15.75" customHeight="1" s="108">
      <c r="A621" s="4" t="n"/>
      <c r="B621" s="4" t="n"/>
      <c r="C621" s="4" t="n"/>
      <c r="D621" s="4" t="n"/>
      <c r="E621" s="4" t="n"/>
      <c r="F621" s="4" t="n"/>
      <c r="G621" s="4" t="n"/>
      <c r="H621" s="4" t="n"/>
      <c r="I621" s="4" t="n"/>
      <c r="J621" s="4" t="n"/>
      <c r="K621" s="4" t="n"/>
      <c r="L621" s="4" t="n"/>
      <c r="M621" s="4" t="n"/>
      <c r="N621" s="4" t="n"/>
      <c r="O621" s="4" t="n"/>
      <c r="P621" s="4" t="n"/>
      <c r="Q621" s="4" t="n"/>
      <c r="R621" s="4" t="n"/>
    </row>
    <row r="622" ht="15.75" customHeight="1" s="108">
      <c r="A622" s="4" t="n"/>
      <c r="B622" s="4" t="n"/>
      <c r="C622" s="4" t="n"/>
      <c r="D622" s="4" t="n"/>
      <c r="E622" s="4" t="n"/>
      <c r="F622" s="4" t="n"/>
      <c r="G622" s="4" t="n"/>
      <c r="H622" s="4" t="n"/>
      <c r="I622" s="4" t="n"/>
      <c r="J622" s="4" t="n"/>
      <c r="K622" s="4" t="n"/>
      <c r="L622" s="4" t="n"/>
      <c r="M622" s="4" t="n"/>
      <c r="N622" s="4" t="n"/>
      <c r="O622" s="4" t="n"/>
      <c r="P622" s="4" t="n"/>
      <c r="Q622" s="4" t="n"/>
      <c r="R622" s="4" t="n"/>
    </row>
    <row r="623" ht="15.75" customHeight="1" s="108">
      <c r="A623" s="4" t="n"/>
      <c r="B623" s="4" t="n"/>
      <c r="C623" s="4" t="n"/>
      <c r="D623" s="4" t="n"/>
      <c r="E623" s="4" t="n"/>
      <c r="F623" s="4" t="n"/>
      <c r="G623" s="4" t="n"/>
      <c r="H623" s="4" t="n"/>
      <c r="I623" s="4" t="n"/>
      <c r="J623" s="4" t="n"/>
      <c r="K623" s="4" t="n"/>
      <c r="L623" s="4" t="n"/>
      <c r="M623" s="4" t="n"/>
      <c r="N623" s="4" t="n"/>
      <c r="O623" s="4" t="n"/>
      <c r="P623" s="4" t="n"/>
      <c r="Q623" s="4" t="n"/>
      <c r="R623" s="4" t="n"/>
    </row>
    <row r="624" ht="15.75" customHeight="1" s="108">
      <c r="A624" s="4" t="n"/>
      <c r="B624" s="4" t="n"/>
      <c r="C624" s="4" t="n"/>
      <c r="D624" s="4" t="n"/>
      <c r="E624" s="4" t="n"/>
      <c r="F624" s="4" t="n"/>
      <c r="G624" s="4" t="n"/>
      <c r="H624" s="4" t="n"/>
      <c r="I624" s="4" t="n"/>
      <c r="J624" s="4" t="n"/>
      <c r="K624" s="4" t="n"/>
      <c r="L624" s="4" t="n"/>
      <c r="M624" s="4" t="n"/>
      <c r="N624" s="4" t="n"/>
      <c r="O624" s="4" t="n"/>
      <c r="P624" s="4" t="n"/>
      <c r="Q624" s="4" t="n"/>
      <c r="R624" s="4" t="n"/>
    </row>
    <row r="625" ht="15.75" customHeight="1" s="108">
      <c r="A625" s="4" t="n"/>
      <c r="B625" s="4" t="n"/>
      <c r="C625" s="4" t="n"/>
      <c r="D625" s="4" t="n"/>
      <c r="E625" s="4" t="n"/>
      <c r="F625" s="4" t="n"/>
      <c r="G625" s="4" t="n"/>
      <c r="H625" s="4" t="n"/>
      <c r="I625" s="4" t="n"/>
      <c r="J625" s="4" t="n"/>
      <c r="K625" s="4" t="n"/>
      <c r="L625" s="4" t="n"/>
      <c r="M625" s="4" t="n"/>
      <c r="N625" s="4" t="n"/>
      <c r="O625" s="4" t="n"/>
      <c r="P625" s="4" t="n"/>
      <c r="Q625" s="4" t="n"/>
      <c r="R625" s="4" t="n"/>
    </row>
    <row r="626" ht="15.75" customHeight="1" s="108">
      <c r="A626" s="4" t="n"/>
      <c r="B626" s="4" t="n"/>
      <c r="C626" s="4" t="n"/>
      <c r="D626" s="4" t="n"/>
      <c r="E626" s="4" t="n"/>
      <c r="F626" s="4" t="n"/>
      <c r="G626" s="4" t="n"/>
      <c r="H626" s="4" t="n"/>
      <c r="I626" s="4" t="n"/>
      <c r="J626" s="4" t="n"/>
      <c r="K626" s="4" t="n"/>
      <c r="L626" s="4" t="n"/>
      <c r="M626" s="4" t="n"/>
      <c r="N626" s="4" t="n"/>
      <c r="O626" s="4" t="n"/>
      <c r="P626" s="4" t="n"/>
      <c r="Q626" s="4" t="n"/>
      <c r="R626" s="4" t="n"/>
    </row>
    <row r="627" ht="15.75" customHeight="1" s="108">
      <c r="A627" s="4" t="n"/>
      <c r="B627" s="4" t="n"/>
      <c r="C627" s="4" t="n"/>
      <c r="D627" s="4" t="n"/>
      <c r="E627" s="4" t="n"/>
      <c r="F627" s="4" t="n"/>
      <c r="G627" s="4" t="n"/>
      <c r="H627" s="4" t="n"/>
      <c r="I627" s="4" t="n"/>
      <c r="J627" s="4" t="n"/>
      <c r="K627" s="4" t="n"/>
      <c r="L627" s="4" t="n"/>
      <c r="M627" s="4" t="n"/>
      <c r="N627" s="4" t="n"/>
      <c r="O627" s="4" t="n"/>
      <c r="P627" s="4" t="n"/>
      <c r="Q627" s="4" t="n"/>
      <c r="R627" s="4" t="n"/>
    </row>
    <row r="628" ht="15.75" customHeight="1" s="108">
      <c r="A628" s="4" t="n"/>
      <c r="B628" s="4" t="n"/>
      <c r="C628" s="4" t="n"/>
      <c r="D628" s="4" t="n"/>
      <c r="E628" s="4" t="n"/>
      <c r="F628" s="4" t="n"/>
      <c r="G628" s="4" t="n"/>
      <c r="H628" s="4" t="n"/>
      <c r="I628" s="4" t="n"/>
      <c r="J628" s="4" t="n"/>
      <c r="K628" s="4" t="n"/>
      <c r="L628" s="4" t="n"/>
      <c r="M628" s="4" t="n"/>
      <c r="N628" s="4" t="n"/>
      <c r="O628" s="4" t="n"/>
      <c r="P628" s="4" t="n"/>
      <c r="Q628" s="4" t="n"/>
      <c r="R628" s="4" t="n"/>
    </row>
    <row r="629" ht="15.75" customHeight="1" s="108">
      <c r="A629" s="4" t="n"/>
      <c r="B629" s="4" t="n"/>
      <c r="C629" s="4" t="n"/>
      <c r="D629" s="4" t="n"/>
      <c r="E629" s="4" t="n"/>
      <c r="F629" s="4" t="n"/>
      <c r="G629" s="4" t="n"/>
      <c r="H629" s="4" t="n"/>
      <c r="I629" s="4" t="n"/>
      <c r="J629" s="4" t="n"/>
      <c r="K629" s="4" t="n"/>
      <c r="L629" s="4" t="n"/>
      <c r="M629" s="4" t="n"/>
      <c r="N629" s="4" t="n"/>
      <c r="O629" s="4" t="n"/>
      <c r="P629" s="4" t="n"/>
      <c r="Q629" s="4" t="n"/>
      <c r="R629" s="4" t="n"/>
    </row>
    <row r="630" ht="15.75" customHeight="1" s="108">
      <c r="A630" s="4" t="n"/>
      <c r="B630" s="4" t="n"/>
      <c r="C630" s="4" t="n"/>
      <c r="D630" s="4" t="n"/>
      <c r="E630" s="4" t="n"/>
      <c r="F630" s="4" t="n"/>
      <c r="G630" s="4" t="n"/>
      <c r="H630" s="4" t="n"/>
      <c r="I630" s="4" t="n"/>
      <c r="J630" s="4" t="n"/>
      <c r="K630" s="4" t="n"/>
      <c r="L630" s="4" t="n"/>
      <c r="M630" s="4" t="n"/>
      <c r="N630" s="4" t="n"/>
      <c r="O630" s="4" t="n"/>
      <c r="P630" s="4" t="n"/>
      <c r="Q630" s="4" t="n"/>
      <c r="R630" s="4" t="n"/>
    </row>
    <row r="631" ht="15.75" customHeight="1" s="108">
      <c r="A631" s="4" t="n"/>
      <c r="B631" s="4" t="n"/>
      <c r="C631" s="4" t="n"/>
      <c r="D631" s="4" t="n"/>
      <c r="E631" s="4" t="n"/>
      <c r="F631" s="4" t="n"/>
      <c r="G631" s="4" t="n"/>
      <c r="H631" s="4" t="n"/>
      <c r="I631" s="4" t="n"/>
      <c r="J631" s="4" t="n"/>
      <c r="K631" s="4" t="n"/>
      <c r="L631" s="4" t="n"/>
      <c r="M631" s="4" t="n"/>
      <c r="N631" s="4" t="n"/>
      <c r="O631" s="4" t="n"/>
      <c r="P631" s="4" t="n"/>
      <c r="Q631" s="4" t="n"/>
      <c r="R631" s="4" t="n"/>
    </row>
    <row r="632" ht="15.75" customHeight="1" s="108">
      <c r="A632" s="4" t="n"/>
      <c r="B632" s="4" t="n"/>
      <c r="C632" s="4" t="n"/>
      <c r="D632" s="4" t="n"/>
      <c r="E632" s="4" t="n"/>
      <c r="F632" s="4" t="n"/>
      <c r="G632" s="4" t="n"/>
      <c r="H632" s="4" t="n"/>
      <c r="I632" s="4" t="n"/>
      <c r="J632" s="4" t="n"/>
      <c r="K632" s="4" t="n"/>
      <c r="L632" s="4" t="n"/>
      <c r="M632" s="4" t="n"/>
      <c r="N632" s="4" t="n"/>
      <c r="O632" s="4" t="n"/>
      <c r="P632" s="4" t="n"/>
      <c r="Q632" s="4" t="n"/>
      <c r="R632" s="4" t="n"/>
    </row>
    <row r="633" ht="15.75" customHeight="1" s="108">
      <c r="A633" s="4" t="n"/>
      <c r="B633" s="4" t="n"/>
      <c r="C633" s="4" t="n"/>
      <c r="D633" s="4" t="n"/>
      <c r="E633" s="4" t="n"/>
      <c r="F633" s="4" t="n"/>
      <c r="G633" s="4" t="n"/>
      <c r="H633" s="4" t="n"/>
      <c r="I633" s="4" t="n"/>
      <c r="J633" s="4" t="n"/>
      <c r="K633" s="4" t="n"/>
      <c r="L633" s="4" t="n"/>
      <c r="M633" s="4" t="n"/>
      <c r="N633" s="4" t="n"/>
      <c r="O633" s="4" t="n"/>
      <c r="P633" s="4" t="n"/>
      <c r="Q633" s="4" t="n"/>
      <c r="R633" s="4" t="n"/>
    </row>
    <row r="634" ht="15.75" customHeight="1" s="108">
      <c r="A634" s="4" t="n"/>
      <c r="B634" s="4" t="n"/>
      <c r="C634" s="4" t="n"/>
      <c r="D634" s="4" t="n"/>
      <c r="E634" s="4" t="n"/>
      <c r="F634" s="4" t="n"/>
      <c r="G634" s="4" t="n"/>
      <c r="H634" s="4" t="n"/>
      <c r="I634" s="4" t="n"/>
      <c r="J634" s="4" t="n"/>
      <c r="K634" s="4" t="n"/>
      <c r="L634" s="4" t="n"/>
      <c r="M634" s="4" t="n"/>
      <c r="N634" s="4" t="n"/>
      <c r="O634" s="4" t="n"/>
      <c r="P634" s="4" t="n"/>
      <c r="Q634" s="4" t="n"/>
      <c r="R634" s="4" t="n"/>
    </row>
    <row r="635" ht="15.75" customHeight="1" s="108">
      <c r="A635" s="4" t="n"/>
      <c r="B635" s="4" t="n"/>
      <c r="C635" s="4" t="n"/>
      <c r="D635" s="4" t="n"/>
      <c r="E635" s="4" t="n"/>
      <c r="F635" s="4" t="n"/>
      <c r="G635" s="4" t="n"/>
      <c r="H635" s="4" t="n"/>
      <c r="I635" s="4" t="n"/>
      <c r="J635" s="4" t="n"/>
      <c r="K635" s="4" t="n"/>
      <c r="L635" s="4" t="n"/>
      <c r="M635" s="4" t="n"/>
      <c r="N635" s="4" t="n"/>
      <c r="O635" s="4" t="n"/>
      <c r="P635" s="4" t="n"/>
      <c r="Q635" s="4" t="n"/>
      <c r="R635" s="4" t="n"/>
    </row>
    <row r="636" ht="15.75" customHeight="1" s="108">
      <c r="A636" s="4" t="n"/>
      <c r="B636" s="4" t="n"/>
      <c r="C636" s="4" t="n"/>
      <c r="D636" s="4" t="n"/>
      <c r="E636" s="4" t="n"/>
      <c r="F636" s="4" t="n"/>
      <c r="G636" s="4" t="n"/>
      <c r="H636" s="4" t="n"/>
      <c r="I636" s="4" t="n"/>
      <c r="J636" s="4" t="n"/>
      <c r="K636" s="4" t="n"/>
      <c r="L636" s="4" t="n"/>
      <c r="M636" s="4" t="n"/>
      <c r="N636" s="4" t="n"/>
      <c r="O636" s="4" t="n"/>
      <c r="P636" s="4" t="n"/>
      <c r="Q636" s="4" t="n"/>
      <c r="R636" s="4" t="n"/>
    </row>
    <row r="637" ht="15.75" customHeight="1" s="108">
      <c r="A637" s="4" t="n"/>
      <c r="B637" s="4" t="n"/>
      <c r="C637" s="4" t="n"/>
      <c r="D637" s="4" t="n"/>
      <c r="E637" s="4" t="n"/>
      <c r="F637" s="4" t="n"/>
      <c r="G637" s="4" t="n"/>
      <c r="H637" s="4" t="n"/>
      <c r="I637" s="4" t="n"/>
      <c r="J637" s="4" t="n"/>
      <c r="K637" s="4" t="n"/>
      <c r="L637" s="4" t="n"/>
      <c r="M637" s="4" t="n"/>
      <c r="N637" s="4" t="n"/>
      <c r="O637" s="4" t="n"/>
      <c r="P637" s="4" t="n"/>
      <c r="Q637" s="4" t="n"/>
      <c r="R637" s="4" t="n"/>
    </row>
    <row r="638" ht="15.75" customHeight="1" s="108">
      <c r="A638" s="4" t="n"/>
      <c r="B638" s="4" t="n"/>
      <c r="C638" s="4" t="n"/>
      <c r="D638" s="4" t="n"/>
      <c r="E638" s="4" t="n"/>
      <c r="F638" s="4" t="n"/>
      <c r="G638" s="4" t="n"/>
      <c r="H638" s="4" t="n"/>
      <c r="I638" s="4" t="n"/>
      <c r="J638" s="4" t="n"/>
      <c r="K638" s="4" t="n"/>
      <c r="L638" s="4" t="n"/>
      <c r="M638" s="4" t="n"/>
      <c r="N638" s="4" t="n"/>
      <c r="O638" s="4" t="n"/>
      <c r="P638" s="4" t="n"/>
      <c r="Q638" s="4" t="n"/>
      <c r="R638" s="4" t="n"/>
    </row>
    <row r="639" ht="15.75" customHeight="1" s="108">
      <c r="A639" s="4" t="n"/>
      <c r="B639" s="4" t="n"/>
      <c r="C639" s="4" t="n"/>
      <c r="D639" s="4" t="n"/>
      <c r="E639" s="4" t="n"/>
      <c r="F639" s="4" t="n"/>
      <c r="G639" s="4" t="n"/>
      <c r="H639" s="4" t="n"/>
      <c r="I639" s="4" t="n"/>
      <c r="J639" s="4" t="n"/>
      <c r="K639" s="4" t="n"/>
      <c r="L639" s="4" t="n"/>
      <c r="M639" s="4" t="n"/>
      <c r="N639" s="4" t="n"/>
      <c r="O639" s="4" t="n"/>
      <c r="P639" s="4" t="n"/>
      <c r="Q639" s="4" t="n"/>
      <c r="R639" s="4" t="n"/>
    </row>
    <row r="640" ht="15.75" customHeight="1" s="108">
      <c r="A640" s="4" t="n"/>
      <c r="B640" s="4" t="n"/>
      <c r="C640" s="4" t="n"/>
      <c r="D640" s="4" t="n"/>
      <c r="E640" s="4" t="n"/>
      <c r="F640" s="4" t="n"/>
      <c r="G640" s="4" t="n"/>
      <c r="H640" s="4" t="n"/>
      <c r="I640" s="4" t="n"/>
      <c r="J640" s="4" t="n"/>
      <c r="K640" s="4" t="n"/>
      <c r="L640" s="4" t="n"/>
      <c r="M640" s="4" t="n"/>
      <c r="N640" s="4" t="n"/>
      <c r="O640" s="4" t="n"/>
      <c r="P640" s="4" t="n"/>
      <c r="Q640" s="4" t="n"/>
      <c r="R640" s="4" t="n"/>
    </row>
    <row r="641" ht="15.75" customHeight="1" s="108">
      <c r="A641" s="4" t="n"/>
      <c r="B641" s="4" t="n"/>
      <c r="C641" s="4" t="n"/>
      <c r="D641" s="4" t="n"/>
      <c r="E641" s="4" t="n"/>
      <c r="F641" s="4" t="n"/>
      <c r="G641" s="4" t="n"/>
      <c r="H641" s="4" t="n"/>
      <c r="I641" s="4" t="n"/>
      <c r="J641" s="4" t="n"/>
      <c r="K641" s="4" t="n"/>
      <c r="L641" s="4" t="n"/>
      <c r="M641" s="4" t="n"/>
      <c r="N641" s="4" t="n"/>
      <c r="O641" s="4" t="n"/>
      <c r="P641" s="4" t="n"/>
      <c r="Q641" s="4" t="n"/>
      <c r="R641" s="4" t="n"/>
    </row>
    <row r="642" ht="15.75" customHeight="1" s="108">
      <c r="A642" s="4" t="n"/>
      <c r="B642" s="4" t="n"/>
      <c r="C642" s="4" t="n"/>
      <c r="D642" s="4" t="n"/>
      <c r="E642" s="4" t="n"/>
      <c r="F642" s="4" t="n"/>
      <c r="G642" s="4" t="n"/>
      <c r="H642" s="4" t="n"/>
      <c r="I642" s="4" t="n"/>
      <c r="J642" s="4" t="n"/>
      <c r="K642" s="4" t="n"/>
      <c r="L642" s="4" t="n"/>
      <c r="M642" s="4" t="n"/>
      <c r="N642" s="4" t="n"/>
      <c r="O642" s="4" t="n"/>
      <c r="P642" s="4" t="n"/>
      <c r="Q642" s="4" t="n"/>
      <c r="R642" s="4" t="n"/>
    </row>
    <row r="643" ht="15.75" customHeight="1" s="108">
      <c r="A643" s="4" t="n"/>
      <c r="B643" s="4" t="n"/>
      <c r="C643" s="4" t="n"/>
      <c r="D643" s="4" t="n"/>
      <c r="E643" s="4" t="n"/>
      <c r="F643" s="4" t="n"/>
      <c r="G643" s="4" t="n"/>
      <c r="H643" s="4" t="n"/>
      <c r="I643" s="4" t="n"/>
      <c r="J643" s="4" t="n"/>
      <c r="K643" s="4" t="n"/>
      <c r="L643" s="4" t="n"/>
      <c r="M643" s="4" t="n"/>
      <c r="N643" s="4" t="n"/>
      <c r="O643" s="4" t="n"/>
      <c r="P643" s="4" t="n"/>
      <c r="Q643" s="4" t="n"/>
      <c r="R643" s="4" t="n"/>
    </row>
    <row r="644" ht="15.75" customHeight="1" s="108">
      <c r="A644" s="4" t="n"/>
      <c r="B644" s="4" t="n"/>
      <c r="C644" s="4" t="n"/>
      <c r="D644" s="4" t="n"/>
      <c r="E644" s="4" t="n"/>
      <c r="F644" s="4" t="n"/>
      <c r="G644" s="4" t="n"/>
      <c r="H644" s="4" t="n"/>
      <c r="I644" s="4" t="n"/>
      <c r="J644" s="4" t="n"/>
      <c r="K644" s="4" t="n"/>
      <c r="L644" s="4" t="n"/>
      <c r="M644" s="4" t="n"/>
      <c r="N644" s="4" t="n"/>
      <c r="O644" s="4" t="n"/>
      <c r="P644" s="4" t="n"/>
      <c r="Q644" s="4" t="n"/>
      <c r="R644" s="4" t="n"/>
    </row>
    <row r="645" ht="15.75" customHeight="1" s="108">
      <c r="A645" s="4" t="n"/>
      <c r="B645" s="4" t="n"/>
      <c r="C645" s="4" t="n"/>
      <c r="D645" s="4" t="n"/>
      <c r="E645" s="4" t="n"/>
      <c r="F645" s="4" t="n"/>
      <c r="G645" s="4" t="n"/>
      <c r="H645" s="4" t="n"/>
      <c r="I645" s="4" t="n"/>
      <c r="J645" s="4" t="n"/>
      <c r="K645" s="4" t="n"/>
      <c r="L645" s="4" t="n"/>
      <c r="M645" s="4" t="n"/>
      <c r="N645" s="4" t="n"/>
      <c r="O645" s="4" t="n"/>
      <c r="P645" s="4" t="n"/>
      <c r="Q645" s="4" t="n"/>
      <c r="R645" s="4" t="n"/>
    </row>
    <row r="646" ht="15.75" customHeight="1" s="108">
      <c r="A646" s="4" t="n"/>
      <c r="B646" s="4" t="n"/>
      <c r="C646" s="4" t="n"/>
      <c r="D646" s="4" t="n"/>
      <c r="E646" s="4" t="n"/>
      <c r="F646" s="4" t="n"/>
      <c r="G646" s="4" t="n"/>
      <c r="H646" s="4" t="n"/>
      <c r="I646" s="4" t="n"/>
      <c r="J646" s="4" t="n"/>
      <c r="K646" s="4" t="n"/>
      <c r="L646" s="4" t="n"/>
      <c r="M646" s="4" t="n"/>
      <c r="N646" s="4" t="n"/>
      <c r="O646" s="4" t="n"/>
      <c r="P646" s="4" t="n"/>
      <c r="Q646" s="4" t="n"/>
      <c r="R646" s="4" t="n"/>
    </row>
    <row r="647" ht="15.75" customHeight="1" s="108">
      <c r="A647" s="4" t="n"/>
      <c r="B647" s="4" t="n"/>
      <c r="C647" s="4" t="n"/>
      <c r="D647" s="4" t="n"/>
      <c r="E647" s="4" t="n"/>
      <c r="F647" s="4" t="n"/>
      <c r="G647" s="4" t="n"/>
      <c r="H647" s="4" t="n"/>
      <c r="I647" s="4" t="n"/>
      <c r="J647" s="4" t="n"/>
      <c r="K647" s="4" t="n"/>
      <c r="L647" s="4" t="n"/>
      <c r="M647" s="4" t="n"/>
      <c r="N647" s="4" t="n"/>
      <c r="O647" s="4" t="n"/>
      <c r="P647" s="4" t="n"/>
      <c r="Q647" s="4" t="n"/>
      <c r="R647" s="4" t="n"/>
    </row>
    <row r="648" ht="15.75" customHeight="1" s="108">
      <c r="A648" s="4" t="n"/>
      <c r="B648" s="4" t="n"/>
      <c r="C648" s="4" t="n"/>
      <c r="D648" s="4" t="n"/>
      <c r="E648" s="4" t="n"/>
      <c r="F648" s="4" t="n"/>
      <c r="G648" s="4" t="n"/>
      <c r="H648" s="4" t="n"/>
      <c r="I648" s="4" t="n"/>
      <c r="J648" s="4" t="n"/>
      <c r="K648" s="4" t="n"/>
      <c r="L648" s="4" t="n"/>
      <c r="M648" s="4" t="n"/>
      <c r="N648" s="4" t="n"/>
      <c r="O648" s="4" t="n"/>
      <c r="P648" s="4" t="n"/>
      <c r="Q648" s="4" t="n"/>
      <c r="R648" s="4" t="n"/>
    </row>
    <row r="649" ht="15.75" customHeight="1" s="108">
      <c r="A649" s="4" t="n"/>
      <c r="B649" s="4" t="n"/>
      <c r="C649" s="4" t="n"/>
      <c r="D649" s="4" t="n"/>
      <c r="E649" s="4" t="n"/>
      <c r="F649" s="4" t="n"/>
      <c r="G649" s="4" t="n"/>
      <c r="H649" s="4" t="n"/>
      <c r="I649" s="4" t="n"/>
      <c r="J649" s="4" t="n"/>
      <c r="K649" s="4" t="n"/>
      <c r="L649" s="4" t="n"/>
      <c r="M649" s="4" t="n"/>
      <c r="N649" s="4" t="n"/>
      <c r="O649" s="4" t="n"/>
      <c r="P649" s="4" t="n"/>
      <c r="Q649" s="4" t="n"/>
      <c r="R649" s="4" t="n"/>
    </row>
    <row r="650" ht="15.75" customHeight="1" s="108">
      <c r="A650" s="4" t="n"/>
      <c r="B650" s="4" t="n"/>
      <c r="C650" s="4" t="n"/>
      <c r="D650" s="4" t="n"/>
      <c r="E650" s="4" t="n"/>
      <c r="F650" s="4" t="n"/>
      <c r="G650" s="4" t="n"/>
      <c r="H650" s="4" t="n"/>
      <c r="I650" s="4" t="n"/>
      <c r="J650" s="4" t="n"/>
      <c r="K650" s="4" t="n"/>
      <c r="L650" s="4" t="n"/>
      <c r="M650" s="4" t="n"/>
      <c r="N650" s="4" t="n"/>
      <c r="O650" s="4" t="n"/>
      <c r="P650" s="4" t="n"/>
      <c r="Q650" s="4" t="n"/>
      <c r="R650" s="4" t="n"/>
    </row>
    <row r="651" ht="15.75" customHeight="1" s="108">
      <c r="A651" s="4" t="n"/>
      <c r="B651" s="4" t="n"/>
      <c r="C651" s="4" t="n"/>
      <c r="D651" s="4" t="n"/>
      <c r="E651" s="4" t="n"/>
      <c r="F651" s="4" t="n"/>
      <c r="G651" s="4" t="n"/>
      <c r="H651" s="4" t="n"/>
      <c r="I651" s="4" t="n"/>
      <c r="J651" s="4" t="n"/>
      <c r="K651" s="4" t="n"/>
      <c r="L651" s="4" t="n"/>
      <c r="M651" s="4" t="n"/>
      <c r="N651" s="4" t="n"/>
      <c r="O651" s="4" t="n"/>
      <c r="P651" s="4" t="n"/>
      <c r="Q651" s="4" t="n"/>
      <c r="R651" s="4" t="n"/>
    </row>
    <row r="652" ht="15.75" customHeight="1" s="108">
      <c r="A652" s="4" t="n"/>
      <c r="B652" s="4" t="n"/>
      <c r="C652" s="4" t="n"/>
      <c r="D652" s="4" t="n"/>
      <c r="E652" s="4" t="n"/>
      <c r="F652" s="4" t="n"/>
      <c r="G652" s="4" t="n"/>
      <c r="H652" s="4" t="n"/>
      <c r="I652" s="4" t="n"/>
      <c r="J652" s="4" t="n"/>
      <c r="K652" s="4" t="n"/>
      <c r="L652" s="4" t="n"/>
      <c r="M652" s="4" t="n"/>
      <c r="N652" s="4" t="n"/>
      <c r="O652" s="4" t="n"/>
      <c r="P652" s="4" t="n"/>
      <c r="Q652" s="4" t="n"/>
      <c r="R652" s="4" t="n"/>
    </row>
    <row r="653" ht="15.75" customHeight="1" s="108">
      <c r="A653" s="4" t="n"/>
      <c r="B653" s="4" t="n"/>
      <c r="C653" s="4" t="n"/>
      <c r="D653" s="4" t="n"/>
      <c r="E653" s="4" t="n"/>
      <c r="F653" s="4" t="n"/>
      <c r="G653" s="4" t="n"/>
      <c r="H653" s="4" t="n"/>
      <c r="I653" s="4" t="n"/>
      <c r="J653" s="4" t="n"/>
      <c r="K653" s="4" t="n"/>
      <c r="L653" s="4" t="n"/>
      <c r="M653" s="4" t="n"/>
      <c r="N653" s="4" t="n"/>
      <c r="O653" s="4" t="n"/>
      <c r="P653" s="4" t="n"/>
      <c r="Q653" s="4" t="n"/>
      <c r="R653" s="4" t="n"/>
    </row>
    <row r="654" ht="15.75" customHeight="1" s="108">
      <c r="A654" s="4" t="n"/>
      <c r="B654" s="4" t="n"/>
      <c r="C654" s="4" t="n"/>
      <c r="D654" s="4" t="n"/>
      <c r="E654" s="4" t="n"/>
      <c r="F654" s="4" t="n"/>
      <c r="G654" s="4" t="n"/>
      <c r="H654" s="4" t="n"/>
      <c r="I654" s="4" t="n"/>
      <c r="J654" s="4" t="n"/>
      <c r="K654" s="4" t="n"/>
      <c r="L654" s="4" t="n"/>
      <c r="M654" s="4" t="n"/>
      <c r="N654" s="4" t="n"/>
      <c r="O654" s="4" t="n"/>
      <c r="P654" s="4" t="n"/>
      <c r="Q654" s="4" t="n"/>
      <c r="R654" s="4" t="n"/>
    </row>
    <row r="655" ht="15.75" customHeight="1" s="108">
      <c r="A655" s="4" t="n"/>
      <c r="B655" s="4" t="n"/>
      <c r="C655" s="4" t="n"/>
      <c r="D655" s="4" t="n"/>
      <c r="E655" s="4" t="n"/>
      <c r="F655" s="4" t="n"/>
      <c r="G655" s="4" t="n"/>
      <c r="H655" s="4" t="n"/>
      <c r="I655" s="4" t="n"/>
      <c r="J655" s="4" t="n"/>
      <c r="K655" s="4" t="n"/>
      <c r="L655" s="4" t="n"/>
      <c r="M655" s="4" t="n"/>
      <c r="N655" s="4" t="n"/>
      <c r="O655" s="4" t="n"/>
      <c r="P655" s="4" t="n"/>
      <c r="Q655" s="4" t="n"/>
      <c r="R655" s="4" t="n"/>
    </row>
    <row r="656" ht="15.75" customHeight="1" s="108">
      <c r="A656" s="4" t="n"/>
      <c r="B656" s="4" t="n"/>
      <c r="C656" s="4" t="n"/>
      <c r="D656" s="4" t="n"/>
      <c r="E656" s="4" t="n"/>
      <c r="F656" s="4" t="n"/>
      <c r="G656" s="4" t="n"/>
      <c r="H656" s="4" t="n"/>
      <c r="I656" s="4" t="n"/>
      <c r="J656" s="4" t="n"/>
      <c r="K656" s="4" t="n"/>
      <c r="L656" s="4" t="n"/>
      <c r="M656" s="4" t="n"/>
      <c r="N656" s="4" t="n"/>
      <c r="O656" s="4" t="n"/>
      <c r="P656" s="4" t="n"/>
      <c r="Q656" s="4" t="n"/>
      <c r="R656" s="4" t="n"/>
    </row>
    <row r="657" ht="15.75" customHeight="1" s="108">
      <c r="A657" s="4" t="n"/>
      <c r="B657" s="4" t="n"/>
      <c r="C657" s="4" t="n"/>
      <c r="D657" s="4" t="n"/>
      <c r="E657" s="4" t="n"/>
      <c r="F657" s="4" t="n"/>
      <c r="G657" s="4" t="n"/>
      <c r="H657" s="4" t="n"/>
      <c r="I657" s="4" t="n"/>
      <c r="J657" s="4" t="n"/>
      <c r="K657" s="4" t="n"/>
      <c r="L657" s="4" t="n"/>
      <c r="M657" s="4" t="n"/>
      <c r="N657" s="4" t="n"/>
      <c r="O657" s="4" t="n"/>
      <c r="P657" s="4" t="n"/>
      <c r="Q657" s="4" t="n"/>
      <c r="R657" s="4" t="n"/>
    </row>
    <row r="658" ht="15.75" customHeight="1" s="108">
      <c r="A658" s="4" t="n"/>
      <c r="B658" s="4" t="n"/>
      <c r="C658" s="4" t="n"/>
      <c r="D658" s="4" t="n"/>
      <c r="E658" s="4" t="n"/>
      <c r="F658" s="4" t="n"/>
      <c r="G658" s="4" t="n"/>
      <c r="H658" s="4" t="n"/>
      <c r="I658" s="4" t="n"/>
      <c r="J658" s="4" t="n"/>
      <c r="K658" s="4" t="n"/>
      <c r="L658" s="4" t="n"/>
      <c r="M658" s="4" t="n"/>
      <c r="N658" s="4" t="n"/>
      <c r="O658" s="4" t="n"/>
      <c r="P658" s="4" t="n"/>
      <c r="Q658" s="4" t="n"/>
      <c r="R658" s="4" t="n"/>
    </row>
    <row r="659" ht="15.75" customHeight="1" s="108">
      <c r="A659" s="4" t="n"/>
      <c r="B659" s="4" t="n"/>
      <c r="C659" s="4" t="n"/>
      <c r="D659" s="4" t="n"/>
      <c r="E659" s="4" t="n"/>
      <c r="F659" s="4" t="n"/>
      <c r="G659" s="4" t="n"/>
      <c r="H659" s="4" t="n"/>
      <c r="I659" s="4" t="n"/>
      <c r="J659" s="4" t="n"/>
      <c r="K659" s="4" t="n"/>
      <c r="L659" s="4" t="n"/>
      <c r="M659" s="4" t="n"/>
      <c r="N659" s="4" t="n"/>
      <c r="O659" s="4" t="n"/>
      <c r="P659" s="4" t="n"/>
      <c r="Q659" s="4" t="n"/>
      <c r="R659" s="4" t="n"/>
    </row>
    <row r="660" ht="15.75" customHeight="1" s="108">
      <c r="A660" s="4" t="n"/>
      <c r="B660" s="4" t="n"/>
      <c r="C660" s="4" t="n"/>
      <c r="D660" s="4" t="n"/>
      <c r="E660" s="4" t="n"/>
      <c r="F660" s="4" t="n"/>
      <c r="G660" s="4" t="n"/>
      <c r="H660" s="4" t="n"/>
      <c r="I660" s="4" t="n"/>
      <c r="J660" s="4" t="n"/>
      <c r="K660" s="4" t="n"/>
      <c r="L660" s="4" t="n"/>
      <c r="M660" s="4" t="n"/>
      <c r="N660" s="4" t="n"/>
      <c r="O660" s="4" t="n"/>
      <c r="P660" s="4" t="n"/>
      <c r="Q660" s="4" t="n"/>
      <c r="R660" s="4" t="n"/>
    </row>
    <row r="661" ht="15.75" customHeight="1" s="108">
      <c r="A661" s="4" t="n"/>
      <c r="B661" s="4" t="n"/>
      <c r="C661" s="4" t="n"/>
      <c r="D661" s="4" t="n"/>
      <c r="E661" s="4" t="n"/>
      <c r="F661" s="4" t="n"/>
      <c r="G661" s="4" t="n"/>
      <c r="H661" s="4" t="n"/>
      <c r="I661" s="4" t="n"/>
      <c r="J661" s="4" t="n"/>
      <c r="K661" s="4" t="n"/>
      <c r="L661" s="4" t="n"/>
      <c r="M661" s="4" t="n"/>
      <c r="N661" s="4" t="n"/>
      <c r="O661" s="4" t="n"/>
      <c r="P661" s="4" t="n"/>
      <c r="Q661" s="4" t="n"/>
      <c r="R661" s="4" t="n"/>
    </row>
    <row r="662" ht="15.75" customHeight="1" s="108">
      <c r="A662" s="4" t="n"/>
      <c r="B662" s="4" t="n"/>
      <c r="C662" s="4" t="n"/>
      <c r="D662" s="4" t="n"/>
      <c r="E662" s="4" t="n"/>
      <c r="F662" s="4" t="n"/>
      <c r="G662" s="4" t="n"/>
      <c r="H662" s="4" t="n"/>
      <c r="I662" s="4" t="n"/>
      <c r="J662" s="4" t="n"/>
      <c r="K662" s="4" t="n"/>
      <c r="L662" s="4" t="n"/>
      <c r="M662" s="4" t="n"/>
      <c r="N662" s="4" t="n"/>
      <c r="O662" s="4" t="n"/>
      <c r="P662" s="4" t="n"/>
      <c r="Q662" s="4" t="n"/>
      <c r="R662" s="4" t="n"/>
    </row>
    <row r="663" ht="15.75" customHeight="1" s="108">
      <c r="A663" s="4" t="n"/>
      <c r="B663" s="4" t="n"/>
      <c r="C663" s="4" t="n"/>
      <c r="D663" s="4" t="n"/>
      <c r="E663" s="4" t="n"/>
      <c r="F663" s="4" t="n"/>
      <c r="G663" s="4" t="n"/>
      <c r="H663" s="4" t="n"/>
      <c r="I663" s="4" t="n"/>
      <c r="J663" s="4" t="n"/>
      <c r="K663" s="4" t="n"/>
      <c r="L663" s="4" t="n"/>
      <c r="M663" s="4" t="n"/>
      <c r="N663" s="4" t="n"/>
      <c r="O663" s="4" t="n"/>
      <c r="P663" s="4" t="n"/>
      <c r="Q663" s="4" t="n"/>
      <c r="R663" s="4" t="n"/>
    </row>
    <row r="664" ht="15.75" customHeight="1" s="108">
      <c r="A664" s="4" t="n"/>
      <c r="B664" s="4" t="n"/>
      <c r="C664" s="4" t="n"/>
      <c r="D664" s="4" t="n"/>
      <c r="E664" s="4" t="n"/>
      <c r="F664" s="4" t="n"/>
      <c r="G664" s="4" t="n"/>
      <c r="H664" s="4" t="n"/>
      <c r="I664" s="4" t="n"/>
      <c r="J664" s="4" t="n"/>
      <c r="K664" s="4" t="n"/>
      <c r="L664" s="4" t="n"/>
      <c r="M664" s="4" t="n"/>
      <c r="N664" s="4" t="n"/>
      <c r="O664" s="4" t="n"/>
      <c r="P664" s="4" t="n"/>
      <c r="Q664" s="4" t="n"/>
      <c r="R664" s="4" t="n"/>
    </row>
    <row r="665" ht="15.75" customHeight="1" s="108">
      <c r="A665" s="4" t="n"/>
      <c r="B665" s="4" t="n"/>
      <c r="C665" s="4" t="n"/>
      <c r="D665" s="4" t="n"/>
      <c r="E665" s="4" t="n"/>
      <c r="F665" s="4" t="n"/>
      <c r="G665" s="4" t="n"/>
      <c r="H665" s="4" t="n"/>
      <c r="I665" s="4" t="n"/>
      <c r="J665" s="4" t="n"/>
      <c r="K665" s="4" t="n"/>
      <c r="L665" s="4" t="n"/>
      <c r="M665" s="4" t="n"/>
      <c r="N665" s="4" t="n"/>
      <c r="O665" s="4" t="n"/>
      <c r="P665" s="4" t="n"/>
      <c r="Q665" s="4" t="n"/>
      <c r="R665" s="4" t="n"/>
    </row>
    <row r="666" ht="15.75" customHeight="1" s="108">
      <c r="A666" s="4" t="n"/>
      <c r="B666" s="4" t="n"/>
      <c r="C666" s="4" t="n"/>
      <c r="D666" s="4" t="n"/>
      <c r="E666" s="4" t="n"/>
      <c r="F666" s="4" t="n"/>
      <c r="G666" s="4" t="n"/>
      <c r="H666" s="4" t="n"/>
      <c r="I666" s="4" t="n"/>
      <c r="J666" s="4" t="n"/>
      <c r="K666" s="4" t="n"/>
      <c r="L666" s="4" t="n"/>
      <c r="M666" s="4" t="n"/>
      <c r="N666" s="4" t="n"/>
      <c r="O666" s="4" t="n"/>
      <c r="P666" s="4" t="n"/>
      <c r="Q666" s="4" t="n"/>
      <c r="R666" s="4" t="n"/>
    </row>
    <row r="667" ht="15.75" customHeight="1" s="108">
      <c r="A667" s="4" t="n"/>
      <c r="B667" s="4" t="n"/>
      <c r="C667" s="4" t="n"/>
      <c r="D667" s="4" t="n"/>
      <c r="E667" s="4" t="n"/>
      <c r="F667" s="4" t="n"/>
      <c r="G667" s="4" t="n"/>
      <c r="H667" s="4" t="n"/>
      <c r="I667" s="4" t="n"/>
      <c r="J667" s="4" t="n"/>
      <c r="K667" s="4" t="n"/>
      <c r="L667" s="4" t="n"/>
      <c r="M667" s="4" t="n"/>
      <c r="N667" s="4" t="n"/>
      <c r="O667" s="4" t="n"/>
      <c r="P667" s="4" t="n"/>
      <c r="Q667" s="4" t="n"/>
      <c r="R667" s="4" t="n"/>
    </row>
    <row r="668" ht="15.75" customHeight="1" s="108">
      <c r="A668" s="4" t="n"/>
      <c r="B668" s="4" t="n"/>
      <c r="C668" s="4" t="n"/>
      <c r="D668" s="4" t="n"/>
      <c r="E668" s="4" t="n"/>
      <c r="F668" s="4" t="n"/>
      <c r="G668" s="4" t="n"/>
      <c r="H668" s="4" t="n"/>
      <c r="I668" s="4" t="n"/>
      <c r="J668" s="4" t="n"/>
      <c r="K668" s="4" t="n"/>
      <c r="L668" s="4" t="n"/>
      <c r="M668" s="4" t="n"/>
      <c r="N668" s="4" t="n"/>
      <c r="O668" s="4" t="n"/>
      <c r="P668" s="4" t="n"/>
      <c r="Q668" s="4" t="n"/>
      <c r="R668" s="4" t="n"/>
    </row>
    <row r="669" ht="15.75" customHeight="1" s="108">
      <c r="A669" s="4" t="n"/>
      <c r="B669" s="4" t="n"/>
      <c r="C669" s="4" t="n"/>
      <c r="D669" s="4" t="n"/>
      <c r="E669" s="4" t="n"/>
      <c r="F669" s="4" t="n"/>
      <c r="G669" s="4" t="n"/>
      <c r="H669" s="4" t="n"/>
      <c r="I669" s="4" t="n"/>
      <c r="J669" s="4" t="n"/>
      <c r="K669" s="4" t="n"/>
      <c r="L669" s="4" t="n"/>
      <c r="M669" s="4" t="n"/>
      <c r="N669" s="4" t="n"/>
      <c r="O669" s="4" t="n"/>
      <c r="P669" s="4" t="n"/>
      <c r="Q669" s="4" t="n"/>
      <c r="R669" s="4" t="n"/>
    </row>
    <row r="670" ht="15.75" customHeight="1" s="108">
      <c r="A670" s="4" t="n"/>
      <c r="B670" s="4" t="n"/>
      <c r="C670" s="4" t="n"/>
      <c r="D670" s="4" t="n"/>
      <c r="E670" s="4" t="n"/>
      <c r="F670" s="4" t="n"/>
      <c r="G670" s="4" t="n"/>
      <c r="H670" s="4" t="n"/>
      <c r="I670" s="4" t="n"/>
      <c r="J670" s="4" t="n"/>
      <c r="K670" s="4" t="n"/>
      <c r="L670" s="4" t="n"/>
      <c r="M670" s="4" t="n"/>
      <c r="N670" s="4" t="n"/>
      <c r="O670" s="4" t="n"/>
      <c r="P670" s="4" t="n"/>
      <c r="Q670" s="4" t="n"/>
      <c r="R670" s="4" t="n"/>
    </row>
    <row r="671" ht="15.75" customHeight="1" s="108">
      <c r="A671" s="4" t="n"/>
      <c r="B671" s="4" t="n"/>
      <c r="C671" s="4" t="n"/>
      <c r="D671" s="4" t="n"/>
      <c r="E671" s="4" t="n"/>
      <c r="F671" s="4" t="n"/>
      <c r="G671" s="4" t="n"/>
      <c r="H671" s="4" t="n"/>
      <c r="I671" s="4" t="n"/>
      <c r="J671" s="4" t="n"/>
      <c r="K671" s="4" t="n"/>
      <c r="L671" s="4" t="n"/>
      <c r="M671" s="4" t="n"/>
      <c r="N671" s="4" t="n"/>
      <c r="O671" s="4" t="n"/>
      <c r="P671" s="4" t="n"/>
      <c r="Q671" s="4" t="n"/>
      <c r="R671" s="4" t="n"/>
    </row>
    <row r="672" ht="15.75" customHeight="1" s="108">
      <c r="A672" s="4" t="n"/>
      <c r="B672" s="4" t="n"/>
      <c r="C672" s="4" t="n"/>
      <c r="D672" s="4" t="n"/>
      <c r="E672" s="4" t="n"/>
      <c r="F672" s="4" t="n"/>
      <c r="G672" s="4" t="n"/>
      <c r="H672" s="4" t="n"/>
      <c r="I672" s="4" t="n"/>
      <c r="J672" s="4" t="n"/>
      <c r="K672" s="4" t="n"/>
      <c r="L672" s="4" t="n"/>
      <c r="M672" s="4" t="n"/>
      <c r="N672" s="4" t="n"/>
      <c r="O672" s="4" t="n"/>
      <c r="P672" s="4" t="n"/>
      <c r="Q672" s="4" t="n"/>
      <c r="R672" s="4" t="n"/>
    </row>
    <row r="673" ht="15.75" customHeight="1" s="108">
      <c r="A673" s="4" t="n"/>
      <c r="B673" s="4" t="n"/>
      <c r="C673" s="4" t="n"/>
      <c r="D673" s="4" t="n"/>
      <c r="E673" s="4" t="n"/>
      <c r="F673" s="4" t="n"/>
      <c r="G673" s="4" t="n"/>
      <c r="H673" s="4" t="n"/>
      <c r="I673" s="4" t="n"/>
      <c r="J673" s="4" t="n"/>
      <c r="K673" s="4" t="n"/>
      <c r="L673" s="4" t="n"/>
      <c r="M673" s="4" t="n"/>
      <c r="N673" s="4" t="n"/>
      <c r="O673" s="4" t="n"/>
      <c r="P673" s="4" t="n"/>
      <c r="Q673" s="4" t="n"/>
      <c r="R673" s="4" t="n"/>
    </row>
    <row r="674" ht="15.75" customHeight="1" s="108">
      <c r="A674" s="4" t="n"/>
      <c r="B674" s="4" t="n"/>
      <c r="C674" s="4" t="n"/>
      <c r="D674" s="4" t="n"/>
      <c r="E674" s="4" t="n"/>
      <c r="F674" s="4" t="n"/>
      <c r="G674" s="4" t="n"/>
      <c r="H674" s="4" t="n"/>
      <c r="I674" s="4" t="n"/>
      <c r="J674" s="4" t="n"/>
      <c r="K674" s="4" t="n"/>
      <c r="L674" s="4" t="n"/>
      <c r="M674" s="4" t="n"/>
      <c r="N674" s="4" t="n"/>
      <c r="O674" s="4" t="n"/>
      <c r="P674" s="4" t="n"/>
      <c r="Q674" s="4" t="n"/>
      <c r="R674" s="4" t="n"/>
    </row>
    <row r="675" ht="15.75" customHeight="1" s="108">
      <c r="A675" s="4" t="n"/>
      <c r="B675" s="4" t="n"/>
      <c r="C675" s="4" t="n"/>
      <c r="D675" s="4" t="n"/>
      <c r="E675" s="4" t="n"/>
      <c r="F675" s="4" t="n"/>
      <c r="G675" s="4" t="n"/>
      <c r="H675" s="4" t="n"/>
      <c r="I675" s="4" t="n"/>
      <c r="J675" s="4" t="n"/>
      <c r="K675" s="4" t="n"/>
      <c r="L675" s="4" t="n"/>
      <c r="M675" s="4" t="n"/>
      <c r="N675" s="4" t="n"/>
      <c r="O675" s="4" t="n"/>
      <c r="P675" s="4" t="n"/>
      <c r="Q675" s="4" t="n"/>
      <c r="R675" s="4" t="n"/>
    </row>
    <row r="676" ht="15.75" customHeight="1" s="108">
      <c r="A676" s="4" t="n"/>
      <c r="B676" s="4" t="n"/>
      <c r="C676" s="4" t="n"/>
      <c r="D676" s="4" t="n"/>
      <c r="E676" s="4" t="n"/>
      <c r="F676" s="4" t="n"/>
      <c r="G676" s="4" t="n"/>
      <c r="H676" s="4" t="n"/>
      <c r="I676" s="4" t="n"/>
      <c r="J676" s="4" t="n"/>
      <c r="K676" s="4" t="n"/>
      <c r="L676" s="4" t="n"/>
      <c r="M676" s="4" t="n"/>
      <c r="N676" s="4" t="n"/>
      <c r="O676" s="4" t="n"/>
      <c r="P676" s="4" t="n"/>
      <c r="Q676" s="4" t="n"/>
      <c r="R676" s="4" t="n"/>
    </row>
    <row r="677" ht="15.75" customHeight="1" s="108">
      <c r="A677" s="4" t="n"/>
      <c r="B677" s="4" t="n"/>
      <c r="C677" s="4" t="n"/>
      <c r="D677" s="4" t="n"/>
      <c r="E677" s="4" t="n"/>
      <c r="F677" s="4" t="n"/>
      <c r="G677" s="4" t="n"/>
      <c r="H677" s="4" t="n"/>
      <c r="I677" s="4" t="n"/>
      <c r="J677" s="4" t="n"/>
      <c r="K677" s="4" t="n"/>
      <c r="L677" s="4" t="n"/>
      <c r="M677" s="4" t="n"/>
      <c r="N677" s="4" t="n"/>
      <c r="O677" s="4" t="n"/>
      <c r="P677" s="4" t="n"/>
      <c r="Q677" s="4" t="n"/>
      <c r="R677" s="4" t="n"/>
    </row>
    <row r="678" ht="15.75" customHeight="1" s="108">
      <c r="A678" s="4" t="n"/>
      <c r="B678" s="4" t="n"/>
      <c r="C678" s="4" t="n"/>
      <c r="D678" s="4" t="n"/>
      <c r="E678" s="4" t="n"/>
      <c r="F678" s="4" t="n"/>
      <c r="G678" s="4" t="n"/>
      <c r="H678" s="4" t="n"/>
      <c r="I678" s="4" t="n"/>
      <c r="J678" s="4" t="n"/>
      <c r="K678" s="4" t="n"/>
      <c r="L678" s="4" t="n"/>
      <c r="M678" s="4" t="n"/>
      <c r="N678" s="4" t="n"/>
      <c r="O678" s="4" t="n"/>
      <c r="P678" s="4" t="n"/>
      <c r="Q678" s="4" t="n"/>
      <c r="R678" s="4" t="n"/>
    </row>
    <row r="679" ht="15.75" customHeight="1" s="108">
      <c r="A679" s="4" t="n"/>
      <c r="B679" s="4" t="n"/>
      <c r="C679" s="4" t="n"/>
      <c r="D679" s="4" t="n"/>
      <c r="E679" s="4" t="n"/>
      <c r="F679" s="4" t="n"/>
      <c r="G679" s="4" t="n"/>
      <c r="H679" s="4" t="n"/>
      <c r="I679" s="4" t="n"/>
      <c r="J679" s="4" t="n"/>
      <c r="K679" s="4" t="n"/>
      <c r="L679" s="4" t="n"/>
      <c r="M679" s="4" t="n"/>
      <c r="N679" s="4" t="n"/>
      <c r="O679" s="4" t="n"/>
      <c r="P679" s="4" t="n"/>
      <c r="Q679" s="4" t="n"/>
      <c r="R679" s="4" t="n"/>
    </row>
    <row r="680" ht="15.75" customHeight="1" s="108">
      <c r="A680" s="4" t="n"/>
      <c r="B680" s="4" t="n"/>
      <c r="C680" s="4" t="n"/>
      <c r="D680" s="4" t="n"/>
      <c r="E680" s="4" t="n"/>
      <c r="F680" s="4" t="n"/>
      <c r="G680" s="4" t="n"/>
      <c r="H680" s="4" t="n"/>
      <c r="I680" s="4" t="n"/>
      <c r="J680" s="4" t="n"/>
      <c r="K680" s="4" t="n"/>
      <c r="L680" s="4" t="n"/>
      <c r="M680" s="4" t="n"/>
      <c r="N680" s="4" t="n"/>
      <c r="O680" s="4" t="n"/>
      <c r="P680" s="4" t="n"/>
      <c r="Q680" s="4" t="n"/>
      <c r="R680" s="4" t="n"/>
    </row>
    <row r="681" ht="15.75" customHeight="1" s="108">
      <c r="A681" s="4" t="n"/>
      <c r="B681" s="4" t="n"/>
      <c r="C681" s="4" t="n"/>
      <c r="D681" s="4" t="n"/>
      <c r="E681" s="4" t="n"/>
      <c r="F681" s="4" t="n"/>
      <c r="G681" s="4" t="n"/>
      <c r="H681" s="4" t="n"/>
      <c r="I681" s="4" t="n"/>
      <c r="J681" s="4" t="n"/>
      <c r="K681" s="4" t="n"/>
      <c r="L681" s="4" t="n"/>
      <c r="M681" s="4" t="n"/>
      <c r="N681" s="4" t="n"/>
      <c r="O681" s="4" t="n"/>
      <c r="P681" s="4" t="n"/>
      <c r="Q681" s="4" t="n"/>
      <c r="R681" s="4" t="n"/>
    </row>
    <row r="682" ht="15.75" customHeight="1" s="108">
      <c r="A682" s="4" t="n"/>
      <c r="B682" s="4" t="n"/>
      <c r="C682" s="4" t="n"/>
      <c r="D682" s="4" t="n"/>
      <c r="E682" s="4" t="n"/>
      <c r="F682" s="4" t="n"/>
      <c r="G682" s="4" t="n"/>
      <c r="H682" s="4" t="n"/>
      <c r="I682" s="4" t="n"/>
      <c r="J682" s="4" t="n"/>
      <c r="K682" s="4" t="n"/>
      <c r="L682" s="4" t="n"/>
      <c r="M682" s="4" t="n"/>
      <c r="N682" s="4" t="n"/>
      <c r="O682" s="4" t="n"/>
      <c r="P682" s="4" t="n"/>
      <c r="Q682" s="4" t="n"/>
      <c r="R682" s="4" t="n"/>
    </row>
    <row r="683" ht="15.75" customHeight="1" s="108">
      <c r="A683" s="4" t="n"/>
      <c r="B683" s="4" t="n"/>
      <c r="C683" s="4" t="n"/>
      <c r="D683" s="4" t="n"/>
      <c r="E683" s="4" t="n"/>
      <c r="F683" s="4" t="n"/>
      <c r="G683" s="4" t="n"/>
      <c r="H683" s="4" t="n"/>
      <c r="I683" s="4" t="n"/>
      <c r="J683" s="4" t="n"/>
      <c r="K683" s="4" t="n"/>
      <c r="L683" s="4" t="n"/>
      <c r="M683" s="4" t="n"/>
      <c r="N683" s="4" t="n"/>
      <c r="O683" s="4" t="n"/>
      <c r="P683" s="4" t="n"/>
      <c r="Q683" s="4" t="n"/>
      <c r="R683" s="4" t="n"/>
    </row>
    <row r="684" ht="15.75" customHeight="1" s="108">
      <c r="A684" s="4" t="n"/>
      <c r="B684" s="4" t="n"/>
      <c r="C684" s="4" t="n"/>
      <c r="D684" s="4" t="n"/>
      <c r="E684" s="4" t="n"/>
      <c r="F684" s="4" t="n"/>
      <c r="G684" s="4" t="n"/>
      <c r="H684" s="4" t="n"/>
      <c r="I684" s="4" t="n"/>
      <c r="J684" s="4" t="n"/>
      <c r="K684" s="4" t="n"/>
      <c r="L684" s="4" t="n"/>
      <c r="M684" s="4" t="n"/>
      <c r="N684" s="4" t="n"/>
      <c r="O684" s="4" t="n"/>
      <c r="P684" s="4" t="n"/>
      <c r="Q684" s="4" t="n"/>
      <c r="R684" s="4" t="n"/>
    </row>
    <row r="685" ht="15.75" customHeight="1" s="108">
      <c r="A685" s="4" t="n"/>
      <c r="B685" s="4" t="n"/>
      <c r="C685" s="4" t="n"/>
      <c r="D685" s="4" t="n"/>
      <c r="E685" s="4" t="n"/>
      <c r="F685" s="4" t="n"/>
      <c r="G685" s="4" t="n"/>
      <c r="H685" s="4" t="n"/>
      <c r="I685" s="4" t="n"/>
      <c r="J685" s="4" t="n"/>
      <c r="K685" s="4" t="n"/>
      <c r="L685" s="4" t="n"/>
      <c r="M685" s="4" t="n"/>
      <c r="N685" s="4" t="n"/>
      <c r="O685" s="4" t="n"/>
      <c r="P685" s="4" t="n"/>
      <c r="Q685" s="4" t="n"/>
      <c r="R685" s="4" t="n"/>
    </row>
    <row r="686" ht="15.75" customHeight="1" s="108">
      <c r="A686" s="4" t="n"/>
      <c r="B686" s="4" t="n"/>
      <c r="C686" s="4" t="n"/>
      <c r="D686" s="4" t="n"/>
      <c r="E686" s="4" t="n"/>
      <c r="F686" s="4" t="n"/>
      <c r="G686" s="4" t="n"/>
      <c r="H686" s="4" t="n"/>
      <c r="I686" s="4" t="n"/>
      <c r="J686" s="4" t="n"/>
      <c r="K686" s="4" t="n"/>
      <c r="L686" s="4" t="n"/>
      <c r="M686" s="4" t="n"/>
      <c r="N686" s="4" t="n"/>
      <c r="O686" s="4" t="n"/>
      <c r="P686" s="4" t="n"/>
      <c r="Q686" s="4" t="n"/>
      <c r="R686" s="4" t="n"/>
    </row>
    <row r="687" ht="15.75" customHeight="1" s="108">
      <c r="A687" s="4" t="n"/>
      <c r="B687" s="4" t="n"/>
      <c r="C687" s="4" t="n"/>
      <c r="D687" s="4" t="n"/>
      <c r="E687" s="4" t="n"/>
      <c r="F687" s="4" t="n"/>
      <c r="G687" s="4" t="n"/>
      <c r="H687" s="4" t="n"/>
      <c r="I687" s="4" t="n"/>
      <c r="J687" s="4" t="n"/>
      <c r="K687" s="4" t="n"/>
      <c r="L687" s="4" t="n"/>
      <c r="M687" s="4" t="n"/>
      <c r="N687" s="4" t="n"/>
      <c r="O687" s="4" t="n"/>
      <c r="P687" s="4" t="n"/>
      <c r="Q687" s="4" t="n"/>
      <c r="R687" s="4" t="n"/>
    </row>
    <row r="688" ht="15.75" customHeight="1" s="108">
      <c r="A688" s="4" t="n"/>
      <c r="B688" s="4" t="n"/>
      <c r="C688" s="4" t="n"/>
      <c r="D688" s="4" t="n"/>
      <c r="E688" s="4" t="n"/>
      <c r="F688" s="4" t="n"/>
      <c r="G688" s="4" t="n"/>
      <c r="H688" s="4" t="n"/>
      <c r="I688" s="4" t="n"/>
      <c r="J688" s="4" t="n"/>
      <c r="K688" s="4" t="n"/>
      <c r="L688" s="4" t="n"/>
      <c r="M688" s="4" t="n"/>
      <c r="N688" s="4" t="n"/>
      <c r="O688" s="4" t="n"/>
      <c r="P688" s="4" t="n"/>
      <c r="Q688" s="4" t="n"/>
      <c r="R688" s="4" t="n"/>
    </row>
    <row r="689" ht="15.75" customHeight="1" s="108">
      <c r="A689" s="4" t="n"/>
      <c r="B689" s="4" t="n"/>
      <c r="C689" s="4" t="n"/>
      <c r="D689" s="4" t="n"/>
      <c r="E689" s="4" t="n"/>
      <c r="F689" s="4" t="n"/>
      <c r="G689" s="4" t="n"/>
      <c r="H689" s="4" t="n"/>
      <c r="I689" s="4" t="n"/>
      <c r="J689" s="4" t="n"/>
      <c r="K689" s="4" t="n"/>
      <c r="L689" s="4" t="n"/>
      <c r="M689" s="4" t="n"/>
      <c r="N689" s="4" t="n"/>
      <c r="O689" s="4" t="n"/>
      <c r="P689" s="4" t="n"/>
      <c r="Q689" s="4" t="n"/>
      <c r="R689" s="4" t="n"/>
    </row>
    <row r="690" ht="15.75" customHeight="1" s="108">
      <c r="A690" s="4" t="n"/>
      <c r="B690" s="4" t="n"/>
      <c r="C690" s="4" t="n"/>
      <c r="D690" s="4" t="n"/>
      <c r="E690" s="4" t="n"/>
      <c r="F690" s="4" t="n"/>
      <c r="G690" s="4" t="n"/>
      <c r="H690" s="4" t="n"/>
      <c r="I690" s="4" t="n"/>
      <c r="J690" s="4" t="n"/>
      <c r="K690" s="4" t="n"/>
      <c r="L690" s="4" t="n"/>
      <c r="M690" s="4" t="n"/>
      <c r="N690" s="4" t="n"/>
      <c r="O690" s="4" t="n"/>
      <c r="P690" s="4" t="n"/>
      <c r="Q690" s="4" t="n"/>
      <c r="R690" s="4" t="n"/>
    </row>
    <row r="691" ht="15.75" customHeight="1" s="108">
      <c r="A691" s="4" t="n"/>
      <c r="B691" s="4" t="n"/>
      <c r="C691" s="4" t="n"/>
      <c r="D691" s="4" t="n"/>
      <c r="E691" s="4" t="n"/>
      <c r="F691" s="4" t="n"/>
      <c r="G691" s="4" t="n"/>
      <c r="H691" s="4" t="n"/>
      <c r="I691" s="4" t="n"/>
      <c r="J691" s="4" t="n"/>
      <c r="K691" s="4" t="n"/>
      <c r="L691" s="4" t="n"/>
      <c r="M691" s="4" t="n"/>
      <c r="N691" s="4" t="n"/>
      <c r="O691" s="4" t="n"/>
      <c r="P691" s="4" t="n"/>
      <c r="Q691" s="4" t="n"/>
      <c r="R691" s="4" t="n"/>
    </row>
    <row r="692" ht="15.75" customHeight="1" s="108">
      <c r="A692" s="4" t="n"/>
      <c r="B692" s="4" t="n"/>
      <c r="C692" s="4" t="n"/>
      <c r="D692" s="4" t="n"/>
      <c r="E692" s="4" t="n"/>
      <c r="F692" s="4" t="n"/>
      <c r="G692" s="4" t="n"/>
      <c r="H692" s="4" t="n"/>
      <c r="I692" s="4" t="n"/>
      <c r="J692" s="4" t="n"/>
      <c r="K692" s="4" t="n"/>
      <c r="L692" s="4" t="n"/>
      <c r="M692" s="4" t="n"/>
      <c r="N692" s="4" t="n"/>
      <c r="O692" s="4" t="n"/>
      <c r="P692" s="4" t="n"/>
      <c r="Q692" s="4" t="n"/>
      <c r="R692" s="4" t="n"/>
    </row>
    <row r="693" ht="15.75" customHeight="1" s="108">
      <c r="A693" s="4" t="n"/>
      <c r="B693" s="4" t="n"/>
      <c r="C693" s="4" t="n"/>
      <c r="D693" s="4" t="n"/>
      <c r="E693" s="4" t="n"/>
      <c r="F693" s="4" t="n"/>
      <c r="G693" s="4" t="n"/>
      <c r="H693" s="4" t="n"/>
      <c r="I693" s="4" t="n"/>
      <c r="J693" s="4" t="n"/>
      <c r="K693" s="4" t="n"/>
      <c r="L693" s="4" t="n"/>
      <c r="M693" s="4" t="n"/>
      <c r="N693" s="4" t="n"/>
      <c r="O693" s="4" t="n"/>
      <c r="P693" s="4" t="n"/>
      <c r="Q693" s="4" t="n"/>
      <c r="R693" s="4" t="n"/>
    </row>
    <row r="694" ht="15.75" customHeight="1" s="108">
      <c r="A694" s="4" t="n"/>
      <c r="B694" s="4" t="n"/>
      <c r="C694" s="4" t="n"/>
      <c r="D694" s="4" t="n"/>
      <c r="E694" s="4" t="n"/>
      <c r="F694" s="4" t="n"/>
      <c r="G694" s="4" t="n"/>
      <c r="H694" s="4" t="n"/>
      <c r="I694" s="4" t="n"/>
      <c r="J694" s="4" t="n"/>
      <c r="K694" s="4" t="n"/>
      <c r="L694" s="4" t="n"/>
      <c r="M694" s="4" t="n"/>
      <c r="N694" s="4" t="n"/>
      <c r="O694" s="4" t="n"/>
      <c r="P694" s="4" t="n"/>
      <c r="Q694" s="4" t="n"/>
      <c r="R694" s="4" t="n"/>
    </row>
    <row r="695" ht="15.75" customHeight="1" s="108">
      <c r="A695" s="4" t="n"/>
      <c r="B695" s="4" t="n"/>
      <c r="C695" s="4" t="n"/>
      <c r="D695" s="4" t="n"/>
      <c r="E695" s="4" t="n"/>
      <c r="F695" s="4" t="n"/>
      <c r="G695" s="4" t="n"/>
      <c r="H695" s="4" t="n"/>
      <c r="I695" s="4" t="n"/>
      <c r="J695" s="4" t="n"/>
      <c r="K695" s="4" t="n"/>
      <c r="L695" s="4" t="n"/>
      <c r="M695" s="4" t="n"/>
      <c r="N695" s="4" t="n"/>
      <c r="O695" s="4" t="n"/>
      <c r="P695" s="4" t="n"/>
      <c r="Q695" s="4" t="n"/>
      <c r="R695" s="4" t="n"/>
    </row>
    <row r="696" ht="15.75" customHeight="1" s="108">
      <c r="A696" s="4" t="n"/>
      <c r="B696" s="4" t="n"/>
      <c r="C696" s="4" t="n"/>
      <c r="D696" s="4" t="n"/>
      <c r="E696" s="4" t="n"/>
      <c r="F696" s="4" t="n"/>
      <c r="G696" s="4" t="n"/>
      <c r="H696" s="4" t="n"/>
      <c r="I696" s="4" t="n"/>
      <c r="J696" s="4" t="n"/>
      <c r="K696" s="4" t="n"/>
      <c r="L696" s="4" t="n"/>
      <c r="M696" s="4" t="n"/>
      <c r="N696" s="4" t="n"/>
      <c r="O696" s="4" t="n"/>
      <c r="P696" s="4" t="n"/>
      <c r="Q696" s="4" t="n"/>
      <c r="R696" s="4" t="n"/>
    </row>
    <row r="697" ht="15.75" customHeight="1" s="108">
      <c r="A697" s="4" t="n"/>
      <c r="B697" s="4" t="n"/>
      <c r="C697" s="4" t="n"/>
      <c r="D697" s="4" t="n"/>
      <c r="E697" s="4" t="n"/>
      <c r="F697" s="4" t="n"/>
      <c r="G697" s="4" t="n"/>
      <c r="H697" s="4" t="n"/>
      <c r="I697" s="4" t="n"/>
      <c r="J697" s="4" t="n"/>
      <c r="K697" s="4" t="n"/>
      <c r="L697" s="4" t="n"/>
      <c r="M697" s="4" t="n"/>
      <c r="N697" s="4" t="n"/>
      <c r="O697" s="4" t="n"/>
      <c r="P697" s="4" t="n"/>
      <c r="Q697" s="4" t="n"/>
      <c r="R697" s="4" t="n"/>
    </row>
    <row r="698" ht="15.75" customHeight="1" s="108">
      <c r="A698" s="4" t="n"/>
      <c r="B698" s="4" t="n"/>
      <c r="C698" s="4" t="n"/>
      <c r="D698" s="4" t="n"/>
      <c r="E698" s="4" t="n"/>
      <c r="F698" s="4" t="n"/>
      <c r="G698" s="4" t="n"/>
      <c r="H698" s="4" t="n"/>
      <c r="I698" s="4" t="n"/>
      <c r="J698" s="4" t="n"/>
      <c r="K698" s="4" t="n"/>
      <c r="L698" s="4" t="n"/>
      <c r="M698" s="4" t="n"/>
      <c r="N698" s="4" t="n"/>
      <c r="O698" s="4" t="n"/>
      <c r="P698" s="4" t="n"/>
      <c r="Q698" s="4" t="n"/>
      <c r="R698" s="4" t="n"/>
    </row>
    <row r="699" ht="15.75" customHeight="1" s="108">
      <c r="A699" s="4" t="n"/>
      <c r="B699" s="4" t="n"/>
      <c r="C699" s="4" t="n"/>
      <c r="D699" s="4" t="n"/>
      <c r="E699" s="4" t="n"/>
      <c r="F699" s="4" t="n"/>
      <c r="G699" s="4" t="n"/>
      <c r="H699" s="4" t="n"/>
      <c r="I699" s="4" t="n"/>
      <c r="J699" s="4" t="n"/>
      <c r="K699" s="4" t="n"/>
      <c r="L699" s="4" t="n"/>
      <c r="M699" s="4" t="n"/>
      <c r="N699" s="4" t="n"/>
      <c r="O699" s="4" t="n"/>
      <c r="P699" s="4" t="n"/>
      <c r="Q699" s="4" t="n"/>
      <c r="R699" s="4" t="n"/>
    </row>
    <row r="700" ht="15.75" customHeight="1" s="108">
      <c r="A700" s="4" t="n"/>
      <c r="B700" s="4" t="n"/>
      <c r="C700" s="4" t="n"/>
      <c r="D700" s="4" t="n"/>
      <c r="E700" s="4" t="n"/>
      <c r="F700" s="4" t="n"/>
      <c r="G700" s="4" t="n"/>
      <c r="H700" s="4" t="n"/>
      <c r="I700" s="4" t="n"/>
      <c r="J700" s="4" t="n"/>
      <c r="K700" s="4" t="n"/>
      <c r="L700" s="4" t="n"/>
      <c r="M700" s="4" t="n"/>
      <c r="N700" s="4" t="n"/>
      <c r="O700" s="4" t="n"/>
      <c r="P700" s="4" t="n"/>
      <c r="Q700" s="4" t="n"/>
      <c r="R700" s="4" t="n"/>
    </row>
    <row r="701" ht="15.75" customHeight="1" s="108">
      <c r="A701" s="4" t="n"/>
      <c r="B701" s="4" t="n"/>
      <c r="C701" s="4" t="n"/>
      <c r="D701" s="4" t="n"/>
      <c r="E701" s="4" t="n"/>
      <c r="F701" s="4" t="n"/>
      <c r="G701" s="4" t="n"/>
      <c r="H701" s="4" t="n"/>
      <c r="I701" s="4" t="n"/>
      <c r="J701" s="4" t="n"/>
      <c r="K701" s="4" t="n"/>
      <c r="L701" s="4" t="n"/>
      <c r="M701" s="4" t="n"/>
      <c r="N701" s="4" t="n"/>
      <c r="O701" s="4" t="n"/>
      <c r="P701" s="4" t="n"/>
      <c r="Q701" s="4" t="n"/>
      <c r="R701" s="4" t="n"/>
    </row>
    <row r="702" ht="15.75" customHeight="1" s="108">
      <c r="A702" s="4" t="n"/>
      <c r="B702" s="4" t="n"/>
      <c r="C702" s="4" t="n"/>
      <c r="D702" s="4" t="n"/>
      <c r="E702" s="4" t="n"/>
      <c r="F702" s="4" t="n"/>
      <c r="G702" s="4" t="n"/>
      <c r="H702" s="4" t="n"/>
      <c r="I702" s="4" t="n"/>
      <c r="J702" s="4" t="n"/>
      <c r="K702" s="4" t="n"/>
      <c r="L702" s="4" t="n"/>
      <c r="M702" s="4" t="n"/>
      <c r="N702" s="4" t="n"/>
      <c r="O702" s="4" t="n"/>
      <c r="P702" s="4" t="n"/>
      <c r="Q702" s="4" t="n"/>
      <c r="R702" s="4" t="n"/>
    </row>
    <row r="703" ht="15.75" customHeight="1" s="108">
      <c r="A703" s="4" t="n"/>
      <c r="B703" s="4" t="n"/>
      <c r="C703" s="4" t="n"/>
      <c r="D703" s="4" t="n"/>
      <c r="E703" s="4" t="n"/>
      <c r="F703" s="4" t="n"/>
      <c r="G703" s="4" t="n"/>
      <c r="H703" s="4" t="n"/>
      <c r="I703" s="4" t="n"/>
      <c r="J703" s="4" t="n"/>
      <c r="K703" s="4" t="n"/>
      <c r="L703" s="4" t="n"/>
      <c r="M703" s="4" t="n"/>
      <c r="N703" s="4" t="n"/>
      <c r="O703" s="4" t="n"/>
      <c r="P703" s="4" t="n"/>
      <c r="Q703" s="4" t="n"/>
      <c r="R703" s="4" t="n"/>
    </row>
    <row r="704" ht="15.75" customHeight="1" s="108">
      <c r="A704" s="4" t="n"/>
      <c r="B704" s="4" t="n"/>
      <c r="C704" s="4" t="n"/>
      <c r="D704" s="4" t="n"/>
      <c r="E704" s="4" t="n"/>
      <c r="F704" s="4" t="n"/>
      <c r="G704" s="4" t="n"/>
      <c r="H704" s="4" t="n"/>
      <c r="I704" s="4" t="n"/>
      <c r="J704" s="4" t="n"/>
      <c r="K704" s="4" t="n"/>
      <c r="L704" s="4" t="n"/>
      <c r="M704" s="4" t="n"/>
      <c r="N704" s="4" t="n"/>
      <c r="O704" s="4" t="n"/>
      <c r="P704" s="4" t="n"/>
      <c r="Q704" s="4" t="n"/>
      <c r="R704" s="4" t="n"/>
    </row>
    <row r="705" ht="15.75" customHeight="1" s="108">
      <c r="A705" s="4" t="n"/>
      <c r="B705" s="4" t="n"/>
      <c r="C705" s="4" t="n"/>
      <c r="D705" s="4" t="n"/>
      <c r="E705" s="4" t="n"/>
      <c r="F705" s="4" t="n"/>
      <c r="G705" s="4" t="n"/>
      <c r="H705" s="4" t="n"/>
      <c r="I705" s="4" t="n"/>
      <c r="J705" s="4" t="n"/>
      <c r="K705" s="4" t="n"/>
      <c r="L705" s="4" t="n"/>
      <c r="M705" s="4" t="n"/>
      <c r="N705" s="4" t="n"/>
      <c r="O705" s="4" t="n"/>
      <c r="P705" s="4" t="n"/>
      <c r="Q705" s="4" t="n"/>
      <c r="R705" s="4" t="n"/>
    </row>
    <row r="706" ht="15.75" customHeight="1" s="108">
      <c r="A706" s="4" t="n"/>
      <c r="B706" s="4" t="n"/>
      <c r="C706" s="4" t="n"/>
      <c r="D706" s="4" t="n"/>
      <c r="E706" s="4" t="n"/>
      <c r="F706" s="4" t="n"/>
      <c r="G706" s="4" t="n"/>
      <c r="H706" s="4" t="n"/>
      <c r="I706" s="4" t="n"/>
      <c r="J706" s="4" t="n"/>
      <c r="K706" s="4" t="n"/>
      <c r="L706" s="4" t="n"/>
      <c r="M706" s="4" t="n"/>
      <c r="N706" s="4" t="n"/>
      <c r="O706" s="4" t="n"/>
      <c r="P706" s="4" t="n"/>
      <c r="Q706" s="4" t="n"/>
      <c r="R706" s="4" t="n"/>
    </row>
    <row r="707" ht="15.75" customHeight="1" s="108">
      <c r="A707" s="4" t="n"/>
      <c r="B707" s="4" t="n"/>
      <c r="C707" s="4" t="n"/>
      <c r="D707" s="4" t="n"/>
      <c r="E707" s="4" t="n"/>
      <c r="F707" s="4" t="n"/>
      <c r="G707" s="4" t="n"/>
      <c r="H707" s="4" t="n"/>
      <c r="I707" s="4" t="n"/>
      <c r="J707" s="4" t="n"/>
      <c r="K707" s="4" t="n"/>
      <c r="L707" s="4" t="n"/>
      <c r="M707" s="4" t="n"/>
      <c r="N707" s="4" t="n"/>
      <c r="O707" s="4" t="n"/>
      <c r="P707" s="4" t="n"/>
      <c r="Q707" s="4" t="n"/>
      <c r="R707" s="4" t="n"/>
    </row>
    <row r="708" ht="15.75" customHeight="1" s="108">
      <c r="A708" s="4" t="n"/>
      <c r="B708" s="4" t="n"/>
      <c r="C708" s="4" t="n"/>
      <c r="D708" s="4" t="n"/>
      <c r="E708" s="4" t="n"/>
      <c r="F708" s="4" t="n"/>
      <c r="G708" s="4" t="n"/>
      <c r="H708" s="4" t="n"/>
      <c r="I708" s="4" t="n"/>
      <c r="J708" s="4" t="n"/>
      <c r="K708" s="4" t="n"/>
      <c r="L708" s="4" t="n"/>
      <c r="M708" s="4" t="n"/>
      <c r="N708" s="4" t="n"/>
      <c r="O708" s="4" t="n"/>
      <c r="P708" s="4" t="n"/>
      <c r="Q708" s="4" t="n"/>
      <c r="R708" s="4" t="n"/>
    </row>
    <row r="709" ht="15.75" customHeight="1" s="108">
      <c r="A709" s="4" t="n"/>
      <c r="B709" s="4" t="n"/>
      <c r="C709" s="4" t="n"/>
      <c r="D709" s="4" t="n"/>
      <c r="E709" s="4" t="n"/>
      <c r="F709" s="4" t="n"/>
      <c r="G709" s="4" t="n"/>
      <c r="H709" s="4" t="n"/>
      <c r="I709" s="4" t="n"/>
      <c r="J709" s="4" t="n"/>
      <c r="K709" s="4" t="n"/>
      <c r="L709" s="4" t="n"/>
      <c r="M709" s="4" t="n"/>
      <c r="N709" s="4" t="n"/>
      <c r="O709" s="4" t="n"/>
      <c r="P709" s="4" t="n"/>
      <c r="Q709" s="4" t="n"/>
      <c r="R709" s="4" t="n"/>
    </row>
    <row r="710" ht="15.75" customHeight="1" s="108">
      <c r="A710" s="4" t="n"/>
      <c r="B710" s="4" t="n"/>
      <c r="C710" s="4" t="n"/>
      <c r="D710" s="4" t="n"/>
      <c r="E710" s="4" t="n"/>
      <c r="F710" s="4" t="n"/>
      <c r="G710" s="4" t="n"/>
      <c r="H710" s="4" t="n"/>
      <c r="I710" s="4" t="n"/>
      <c r="J710" s="4" t="n"/>
      <c r="K710" s="4" t="n"/>
      <c r="L710" s="4" t="n"/>
      <c r="M710" s="4" t="n"/>
      <c r="N710" s="4" t="n"/>
      <c r="O710" s="4" t="n"/>
      <c r="P710" s="4" t="n"/>
      <c r="Q710" s="4" t="n"/>
      <c r="R710" s="4" t="n"/>
    </row>
    <row r="711" ht="15.75" customHeight="1" s="108">
      <c r="A711" s="4" t="n"/>
      <c r="B711" s="4" t="n"/>
      <c r="C711" s="4" t="n"/>
      <c r="D711" s="4" t="n"/>
      <c r="E711" s="4" t="n"/>
      <c r="F711" s="4" t="n"/>
      <c r="G711" s="4" t="n"/>
      <c r="H711" s="4" t="n"/>
      <c r="I711" s="4" t="n"/>
      <c r="J711" s="4" t="n"/>
      <c r="K711" s="4" t="n"/>
      <c r="L711" s="4" t="n"/>
      <c r="M711" s="4" t="n"/>
      <c r="N711" s="4" t="n"/>
      <c r="O711" s="4" t="n"/>
      <c r="P711" s="4" t="n"/>
      <c r="Q711" s="4" t="n"/>
      <c r="R711" s="4" t="n"/>
    </row>
    <row r="712" ht="15.75" customHeight="1" s="108">
      <c r="A712" s="4" t="n"/>
      <c r="B712" s="4" t="n"/>
      <c r="C712" s="4" t="n"/>
      <c r="D712" s="4" t="n"/>
      <c r="E712" s="4" t="n"/>
      <c r="F712" s="4" t="n"/>
      <c r="G712" s="4" t="n"/>
      <c r="H712" s="4" t="n"/>
      <c r="I712" s="4" t="n"/>
      <c r="J712" s="4" t="n"/>
      <c r="K712" s="4" t="n"/>
      <c r="L712" s="4" t="n"/>
      <c r="M712" s="4" t="n"/>
      <c r="N712" s="4" t="n"/>
      <c r="O712" s="4" t="n"/>
      <c r="P712" s="4" t="n"/>
      <c r="Q712" s="4" t="n"/>
      <c r="R712" s="4" t="n"/>
    </row>
    <row r="713" ht="15.75" customHeight="1" s="108">
      <c r="A713" s="4" t="n"/>
      <c r="B713" s="4" t="n"/>
      <c r="C713" s="4" t="n"/>
      <c r="D713" s="4" t="n"/>
      <c r="E713" s="4" t="n"/>
      <c r="F713" s="4" t="n"/>
      <c r="G713" s="4" t="n"/>
      <c r="H713" s="4" t="n"/>
      <c r="I713" s="4" t="n"/>
      <c r="J713" s="4" t="n"/>
      <c r="K713" s="4" t="n"/>
      <c r="L713" s="4" t="n"/>
      <c r="M713" s="4" t="n"/>
      <c r="N713" s="4" t="n"/>
      <c r="O713" s="4" t="n"/>
      <c r="P713" s="4" t="n"/>
      <c r="Q713" s="4" t="n"/>
      <c r="R713" s="4" t="n"/>
    </row>
    <row r="714" ht="15.75" customHeight="1" s="108">
      <c r="A714" s="4" t="n"/>
      <c r="B714" s="4" t="n"/>
      <c r="C714" s="4" t="n"/>
      <c r="D714" s="4" t="n"/>
      <c r="E714" s="4" t="n"/>
      <c r="F714" s="4" t="n"/>
      <c r="G714" s="4" t="n"/>
      <c r="H714" s="4" t="n"/>
      <c r="I714" s="4" t="n"/>
      <c r="J714" s="4" t="n"/>
      <c r="K714" s="4" t="n"/>
      <c r="L714" s="4" t="n"/>
      <c r="M714" s="4" t="n"/>
      <c r="N714" s="4" t="n"/>
      <c r="O714" s="4" t="n"/>
      <c r="P714" s="4" t="n"/>
      <c r="Q714" s="4" t="n"/>
      <c r="R714" s="4" t="n"/>
    </row>
    <row r="715" ht="15.75" customHeight="1" s="108">
      <c r="A715" s="4" t="n"/>
      <c r="B715" s="4" t="n"/>
      <c r="C715" s="4" t="n"/>
      <c r="D715" s="4" t="n"/>
      <c r="E715" s="4" t="n"/>
      <c r="F715" s="4" t="n"/>
      <c r="G715" s="4" t="n"/>
      <c r="H715" s="4" t="n"/>
      <c r="I715" s="4" t="n"/>
      <c r="J715" s="4" t="n"/>
      <c r="K715" s="4" t="n"/>
      <c r="L715" s="4" t="n"/>
      <c r="M715" s="4" t="n"/>
      <c r="N715" s="4" t="n"/>
      <c r="O715" s="4" t="n"/>
      <c r="P715" s="4" t="n"/>
      <c r="Q715" s="4" t="n"/>
      <c r="R715" s="4" t="n"/>
    </row>
    <row r="716" ht="15.75" customHeight="1" s="108">
      <c r="A716" s="4" t="n"/>
      <c r="B716" s="4" t="n"/>
      <c r="C716" s="4" t="n"/>
      <c r="D716" s="4" t="n"/>
      <c r="E716" s="4" t="n"/>
      <c r="F716" s="4" t="n"/>
      <c r="G716" s="4" t="n"/>
      <c r="H716" s="4" t="n"/>
      <c r="I716" s="4" t="n"/>
      <c r="J716" s="4" t="n"/>
      <c r="K716" s="4" t="n"/>
      <c r="L716" s="4" t="n"/>
      <c r="M716" s="4" t="n"/>
      <c r="N716" s="4" t="n"/>
      <c r="O716" s="4" t="n"/>
      <c r="P716" s="4" t="n"/>
      <c r="Q716" s="4" t="n"/>
      <c r="R716" s="4" t="n"/>
    </row>
    <row r="717" ht="15.75" customHeight="1" s="108">
      <c r="A717" s="4" t="n"/>
      <c r="B717" s="4" t="n"/>
      <c r="C717" s="4" t="n"/>
      <c r="D717" s="4" t="n"/>
      <c r="E717" s="4" t="n"/>
      <c r="F717" s="4" t="n"/>
      <c r="G717" s="4" t="n"/>
      <c r="H717" s="4" t="n"/>
      <c r="I717" s="4" t="n"/>
      <c r="J717" s="4" t="n"/>
      <c r="K717" s="4" t="n"/>
      <c r="L717" s="4" t="n"/>
      <c r="M717" s="4" t="n"/>
      <c r="N717" s="4" t="n"/>
      <c r="O717" s="4" t="n"/>
      <c r="P717" s="4" t="n"/>
      <c r="Q717" s="4" t="n"/>
      <c r="R717" s="4" t="n"/>
    </row>
    <row r="718" ht="15.75" customHeight="1" s="108">
      <c r="A718" s="4" t="n"/>
      <c r="B718" s="4" t="n"/>
      <c r="C718" s="4" t="n"/>
      <c r="D718" s="4" t="n"/>
      <c r="E718" s="4" t="n"/>
      <c r="F718" s="4" t="n"/>
      <c r="G718" s="4" t="n"/>
      <c r="H718" s="4" t="n"/>
      <c r="I718" s="4" t="n"/>
      <c r="J718" s="4" t="n"/>
      <c r="K718" s="4" t="n"/>
      <c r="L718" s="4" t="n"/>
      <c r="M718" s="4" t="n"/>
      <c r="N718" s="4" t="n"/>
      <c r="O718" s="4" t="n"/>
      <c r="P718" s="4" t="n"/>
      <c r="Q718" s="4" t="n"/>
      <c r="R718" s="4" t="n"/>
    </row>
    <row r="719" ht="15.75" customHeight="1" s="108">
      <c r="A719" s="4" t="n"/>
      <c r="B719" s="4" t="n"/>
      <c r="C719" s="4" t="n"/>
      <c r="D719" s="4" t="n"/>
      <c r="E719" s="4" t="n"/>
      <c r="F719" s="4" t="n"/>
      <c r="G719" s="4" t="n"/>
      <c r="H719" s="4" t="n"/>
      <c r="I719" s="4" t="n"/>
      <c r="J719" s="4" t="n"/>
      <c r="K719" s="4" t="n"/>
      <c r="L719" s="4" t="n"/>
      <c r="M719" s="4" t="n"/>
      <c r="N719" s="4" t="n"/>
      <c r="O719" s="4" t="n"/>
      <c r="P719" s="4" t="n"/>
      <c r="Q719" s="4" t="n"/>
      <c r="R719" s="4" t="n"/>
    </row>
    <row r="720" ht="15.75" customHeight="1" s="108">
      <c r="A720" s="4" t="n"/>
      <c r="B720" s="4" t="n"/>
      <c r="C720" s="4" t="n"/>
      <c r="D720" s="4" t="n"/>
      <c r="E720" s="4" t="n"/>
      <c r="F720" s="4" t="n"/>
      <c r="G720" s="4" t="n"/>
      <c r="H720" s="4" t="n"/>
      <c r="I720" s="4" t="n"/>
      <c r="J720" s="4" t="n"/>
      <c r="K720" s="4" t="n"/>
      <c r="L720" s="4" t="n"/>
      <c r="M720" s="4" t="n"/>
      <c r="N720" s="4" t="n"/>
      <c r="O720" s="4" t="n"/>
      <c r="P720" s="4" t="n"/>
      <c r="Q720" s="4" t="n"/>
      <c r="R720" s="4" t="n"/>
    </row>
    <row r="721" ht="15.75" customHeight="1" s="108">
      <c r="A721" s="4" t="n"/>
      <c r="B721" s="4" t="n"/>
      <c r="C721" s="4" t="n"/>
      <c r="D721" s="4" t="n"/>
      <c r="E721" s="4" t="n"/>
      <c r="F721" s="4" t="n"/>
      <c r="G721" s="4" t="n"/>
      <c r="H721" s="4" t="n"/>
      <c r="I721" s="4" t="n"/>
      <c r="J721" s="4" t="n"/>
      <c r="K721" s="4" t="n"/>
      <c r="L721" s="4" t="n"/>
      <c r="M721" s="4" t="n"/>
      <c r="N721" s="4" t="n"/>
      <c r="O721" s="4" t="n"/>
      <c r="P721" s="4" t="n"/>
      <c r="Q721" s="4" t="n"/>
      <c r="R721" s="4" t="n"/>
    </row>
    <row r="722" ht="15.75" customHeight="1" s="108">
      <c r="A722" s="4" t="n"/>
      <c r="B722" s="4" t="n"/>
      <c r="C722" s="4" t="n"/>
      <c r="D722" s="4" t="n"/>
      <c r="E722" s="4" t="n"/>
      <c r="F722" s="4" t="n"/>
      <c r="G722" s="4" t="n"/>
      <c r="H722" s="4" t="n"/>
      <c r="I722" s="4" t="n"/>
      <c r="J722" s="4" t="n"/>
      <c r="K722" s="4" t="n"/>
      <c r="L722" s="4" t="n"/>
      <c r="M722" s="4" t="n"/>
      <c r="N722" s="4" t="n"/>
      <c r="O722" s="4" t="n"/>
      <c r="P722" s="4" t="n"/>
      <c r="Q722" s="4" t="n"/>
      <c r="R722" s="4" t="n"/>
    </row>
    <row r="723" ht="15.75" customHeight="1" s="108">
      <c r="A723" s="4" t="n"/>
      <c r="B723" s="4" t="n"/>
      <c r="C723" s="4" t="n"/>
      <c r="D723" s="4" t="n"/>
      <c r="E723" s="4" t="n"/>
      <c r="F723" s="4" t="n"/>
      <c r="G723" s="4" t="n"/>
      <c r="H723" s="4" t="n"/>
      <c r="I723" s="4" t="n"/>
      <c r="J723" s="4" t="n"/>
      <c r="K723" s="4" t="n"/>
      <c r="L723" s="4" t="n"/>
      <c r="M723" s="4" t="n"/>
      <c r="N723" s="4" t="n"/>
      <c r="O723" s="4" t="n"/>
      <c r="P723" s="4" t="n"/>
      <c r="Q723" s="4" t="n"/>
      <c r="R723" s="4" t="n"/>
    </row>
    <row r="724" ht="15.75" customHeight="1" s="108">
      <c r="A724" s="4" t="n"/>
      <c r="B724" s="4" t="n"/>
      <c r="C724" s="4" t="n"/>
      <c r="D724" s="4" t="n"/>
      <c r="E724" s="4" t="n"/>
      <c r="F724" s="4" t="n"/>
      <c r="G724" s="4" t="n"/>
      <c r="H724" s="4" t="n"/>
      <c r="I724" s="4" t="n"/>
      <c r="J724" s="4" t="n"/>
      <c r="K724" s="4" t="n"/>
      <c r="L724" s="4" t="n"/>
      <c r="M724" s="4" t="n"/>
      <c r="N724" s="4" t="n"/>
      <c r="O724" s="4" t="n"/>
      <c r="P724" s="4" t="n"/>
      <c r="Q724" s="4" t="n"/>
      <c r="R724" s="4" t="n"/>
    </row>
    <row r="725" ht="15.75" customHeight="1" s="108">
      <c r="A725" s="4" t="n"/>
      <c r="B725" s="4" t="n"/>
      <c r="C725" s="4" t="n"/>
      <c r="D725" s="4" t="n"/>
      <c r="E725" s="4" t="n"/>
      <c r="F725" s="4" t="n"/>
      <c r="G725" s="4" t="n"/>
      <c r="H725" s="4" t="n"/>
      <c r="I725" s="4" t="n"/>
      <c r="J725" s="4" t="n"/>
      <c r="K725" s="4" t="n"/>
      <c r="L725" s="4" t="n"/>
      <c r="M725" s="4" t="n"/>
      <c r="N725" s="4" t="n"/>
      <c r="O725" s="4" t="n"/>
      <c r="P725" s="4" t="n"/>
      <c r="Q725" s="4" t="n"/>
      <c r="R725" s="4" t="n"/>
    </row>
    <row r="726" ht="15.75" customHeight="1" s="108">
      <c r="A726" s="4" t="n"/>
      <c r="B726" s="4" t="n"/>
      <c r="C726" s="4" t="n"/>
      <c r="D726" s="4" t="n"/>
      <c r="E726" s="4" t="n"/>
      <c r="F726" s="4" t="n"/>
      <c r="G726" s="4" t="n"/>
      <c r="H726" s="4" t="n"/>
      <c r="I726" s="4" t="n"/>
      <c r="J726" s="4" t="n"/>
      <c r="K726" s="4" t="n"/>
      <c r="L726" s="4" t="n"/>
      <c r="M726" s="4" t="n"/>
      <c r="N726" s="4" t="n"/>
      <c r="O726" s="4" t="n"/>
      <c r="P726" s="4" t="n"/>
      <c r="Q726" s="4" t="n"/>
      <c r="R726" s="4" t="n"/>
    </row>
    <row r="727" ht="15.75" customHeight="1" s="108">
      <c r="A727" s="4" t="n"/>
      <c r="B727" s="4" t="n"/>
      <c r="C727" s="4" t="n"/>
      <c r="D727" s="4" t="n"/>
      <c r="E727" s="4" t="n"/>
      <c r="F727" s="4" t="n"/>
      <c r="G727" s="4" t="n"/>
      <c r="H727" s="4" t="n"/>
      <c r="I727" s="4" t="n"/>
      <c r="J727" s="4" t="n"/>
      <c r="K727" s="4" t="n"/>
      <c r="L727" s="4" t="n"/>
      <c r="M727" s="4" t="n"/>
      <c r="N727" s="4" t="n"/>
      <c r="O727" s="4" t="n"/>
      <c r="P727" s="4" t="n"/>
      <c r="Q727" s="4" t="n"/>
      <c r="R727" s="4" t="n"/>
    </row>
    <row r="728" ht="15.75" customHeight="1" s="108">
      <c r="A728" s="4" t="n"/>
      <c r="B728" s="4" t="n"/>
      <c r="C728" s="4" t="n"/>
      <c r="D728" s="4" t="n"/>
      <c r="E728" s="4" t="n"/>
      <c r="F728" s="4" t="n"/>
      <c r="G728" s="4" t="n"/>
      <c r="H728" s="4" t="n"/>
      <c r="I728" s="4" t="n"/>
      <c r="J728" s="4" t="n"/>
      <c r="K728" s="4" t="n"/>
      <c r="L728" s="4" t="n"/>
      <c r="M728" s="4" t="n"/>
      <c r="N728" s="4" t="n"/>
      <c r="O728" s="4" t="n"/>
      <c r="P728" s="4" t="n"/>
      <c r="Q728" s="4" t="n"/>
      <c r="R728" s="4" t="n"/>
    </row>
    <row r="729" ht="15.75" customHeight="1" s="108">
      <c r="A729" s="4" t="n"/>
      <c r="B729" s="4" t="n"/>
      <c r="C729" s="4" t="n"/>
      <c r="D729" s="4" t="n"/>
      <c r="E729" s="4" t="n"/>
      <c r="F729" s="4" t="n"/>
      <c r="G729" s="4" t="n"/>
      <c r="H729" s="4" t="n"/>
      <c r="I729" s="4" t="n"/>
      <c r="J729" s="4" t="n"/>
      <c r="K729" s="4" t="n"/>
      <c r="L729" s="4" t="n"/>
      <c r="M729" s="4" t="n"/>
      <c r="N729" s="4" t="n"/>
      <c r="O729" s="4" t="n"/>
      <c r="P729" s="4" t="n"/>
      <c r="Q729" s="4" t="n"/>
      <c r="R729" s="4" t="n"/>
    </row>
    <row r="730" ht="15.75" customHeight="1" s="108">
      <c r="A730" s="4" t="n"/>
      <c r="B730" s="4" t="n"/>
      <c r="C730" s="4" t="n"/>
      <c r="D730" s="4" t="n"/>
      <c r="E730" s="4" t="n"/>
      <c r="F730" s="4" t="n"/>
      <c r="G730" s="4" t="n"/>
      <c r="H730" s="4" t="n"/>
      <c r="I730" s="4" t="n"/>
      <c r="J730" s="4" t="n"/>
      <c r="K730" s="4" t="n"/>
      <c r="L730" s="4" t="n"/>
      <c r="M730" s="4" t="n"/>
      <c r="N730" s="4" t="n"/>
      <c r="O730" s="4" t="n"/>
      <c r="P730" s="4" t="n"/>
      <c r="Q730" s="4" t="n"/>
      <c r="R730" s="4" t="n"/>
    </row>
    <row r="731" ht="15.75" customHeight="1" s="108">
      <c r="A731" s="4" t="n"/>
      <c r="B731" s="4" t="n"/>
      <c r="C731" s="4" t="n"/>
      <c r="D731" s="4" t="n"/>
      <c r="E731" s="4" t="n"/>
      <c r="F731" s="4" t="n"/>
      <c r="G731" s="4" t="n"/>
      <c r="H731" s="4" t="n"/>
      <c r="I731" s="4" t="n"/>
      <c r="J731" s="4" t="n"/>
      <c r="K731" s="4" t="n"/>
      <c r="L731" s="4" t="n"/>
      <c r="M731" s="4" t="n"/>
      <c r="N731" s="4" t="n"/>
      <c r="O731" s="4" t="n"/>
      <c r="P731" s="4" t="n"/>
      <c r="Q731" s="4" t="n"/>
      <c r="R731" s="4" t="n"/>
    </row>
    <row r="732" ht="15.75" customHeight="1" s="108">
      <c r="A732" s="4" t="n"/>
      <c r="B732" s="4" t="n"/>
      <c r="C732" s="4" t="n"/>
      <c r="D732" s="4" t="n"/>
      <c r="E732" s="4" t="n"/>
      <c r="F732" s="4" t="n"/>
      <c r="G732" s="4" t="n"/>
      <c r="H732" s="4" t="n"/>
      <c r="I732" s="4" t="n"/>
      <c r="J732" s="4" t="n"/>
      <c r="K732" s="4" t="n"/>
      <c r="L732" s="4" t="n"/>
      <c r="M732" s="4" t="n"/>
      <c r="N732" s="4" t="n"/>
      <c r="O732" s="4" t="n"/>
      <c r="P732" s="4" t="n"/>
      <c r="Q732" s="4" t="n"/>
      <c r="R732" s="4" t="n"/>
    </row>
    <row r="733" ht="15.75" customHeight="1" s="108">
      <c r="A733" s="4" t="n"/>
      <c r="B733" s="4" t="n"/>
      <c r="C733" s="4" t="n"/>
      <c r="D733" s="4" t="n"/>
      <c r="E733" s="4" t="n"/>
      <c r="F733" s="4" t="n"/>
      <c r="G733" s="4" t="n"/>
      <c r="H733" s="4" t="n"/>
      <c r="I733" s="4" t="n"/>
      <c r="J733" s="4" t="n"/>
      <c r="K733" s="4" t="n"/>
      <c r="L733" s="4" t="n"/>
      <c r="M733" s="4" t="n"/>
      <c r="N733" s="4" t="n"/>
      <c r="O733" s="4" t="n"/>
      <c r="P733" s="4" t="n"/>
      <c r="Q733" s="4" t="n"/>
      <c r="R733" s="4" t="n"/>
    </row>
    <row r="734" ht="15.75" customHeight="1" s="108">
      <c r="A734" s="4" t="n"/>
      <c r="B734" s="4" t="n"/>
      <c r="C734" s="4" t="n"/>
      <c r="D734" s="4" t="n"/>
      <c r="E734" s="4" t="n"/>
      <c r="F734" s="4" t="n"/>
      <c r="G734" s="4" t="n"/>
      <c r="H734" s="4" t="n"/>
      <c r="I734" s="4" t="n"/>
      <c r="J734" s="4" t="n"/>
      <c r="K734" s="4" t="n"/>
      <c r="L734" s="4" t="n"/>
      <c r="M734" s="4" t="n"/>
      <c r="N734" s="4" t="n"/>
      <c r="O734" s="4" t="n"/>
      <c r="P734" s="4" t="n"/>
      <c r="Q734" s="4" t="n"/>
      <c r="R734" s="4" t="n"/>
    </row>
    <row r="735" ht="15.75" customHeight="1" s="108">
      <c r="A735" s="4" t="n"/>
      <c r="B735" s="4" t="n"/>
      <c r="C735" s="4" t="n"/>
      <c r="D735" s="4" t="n"/>
      <c r="E735" s="4" t="n"/>
      <c r="F735" s="4" t="n"/>
      <c r="G735" s="4" t="n"/>
      <c r="H735" s="4" t="n"/>
      <c r="I735" s="4" t="n"/>
      <c r="J735" s="4" t="n"/>
      <c r="K735" s="4" t="n"/>
      <c r="L735" s="4" t="n"/>
      <c r="M735" s="4" t="n"/>
      <c r="N735" s="4" t="n"/>
      <c r="O735" s="4" t="n"/>
      <c r="P735" s="4" t="n"/>
      <c r="Q735" s="4" t="n"/>
      <c r="R735" s="4" t="n"/>
    </row>
    <row r="736" ht="15.75" customHeight="1" s="108">
      <c r="A736" s="4" t="n"/>
      <c r="B736" s="4" t="n"/>
      <c r="C736" s="4" t="n"/>
      <c r="D736" s="4" t="n"/>
      <c r="E736" s="4" t="n"/>
      <c r="F736" s="4" t="n"/>
      <c r="G736" s="4" t="n"/>
      <c r="H736" s="4" t="n"/>
      <c r="I736" s="4" t="n"/>
      <c r="J736" s="4" t="n"/>
      <c r="K736" s="4" t="n"/>
      <c r="L736" s="4" t="n"/>
      <c r="M736" s="4" t="n"/>
      <c r="N736" s="4" t="n"/>
      <c r="O736" s="4" t="n"/>
      <c r="P736" s="4" t="n"/>
      <c r="Q736" s="4" t="n"/>
      <c r="R736" s="4" t="n"/>
    </row>
    <row r="737" ht="15.75" customHeight="1" s="108">
      <c r="A737" s="4" t="n"/>
      <c r="B737" s="4" t="n"/>
      <c r="C737" s="4" t="n"/>
      <c r="D737" s="4" t="n"/>
      <c r="E737" s="4" t="n"/>
      <c r="F737" s="4" t="n"/>
      <c r="G737" s="4" t="n"/>
      <c r="H737" s="4" t="n"/>
      <c r="I737" s="4" t="n"/>
      <c r="J737" s="4" t="n"/>
      <c r="K737" s="4" t="n"/>
      <c r="L737" s="4" t="n"/>
      <c r="M737" s="4" t="n"/>
      <c r="N737" s="4" t="n"/>
      <c r="O737" s="4" t="n"/>
      <c r="P737" s="4" t="n"/>
      <c r="Q737" s="4" t="n"/>
      <c r="R737" s="4" t="n"/>
    </row>
    <row r="738" ht="15.75" customHeight="1" s="108">
      <c r="A738" s="4" t="n"/>
      <c r="B738" s="4" t="n"/>
      <c r="C738" s="4" t="n"/>
      <c r="D738" s="4" t="n"/>
      <c r="E738" s="4" t="n"/>
      <c r="F738" s="4" t="n"/>
      <c r="G738" s="4" t="n"/>
      <c r="H738" s="4" t="n"/>
      <c r="I738" s="4" t="n"/>
      <c r="J738" s="4" t="n"/>
      <c r="K738" s="4" t="n"/>
      <c r="L738" s="4" t="n"/>
      <c r="M738" s="4" t="n"/>
      <c r="N738" s="4" t="n"/>
      <c r="O738" s="4" t="n"/>
      <c r="P738" s="4" t="n"/>
      <c r="Q738" s="4" t="n"/>
      <c r="R738" s="4" t="n"/>
    </row>
    <row r="739" ht="15.75" customHeight="1" s="108">
      <c r="A739" s="4" t="n"/>
      <c r="B739" s="4" t="n"/>
      <c r="C739" s="4" t="n"/>
      <c r="D739" s="4" t="n"/>
      <c r="E739" s="4" t="n"/>
      <c r="F739" s="4" t="n"/>
      <c r="G739" s="4" t="n"/>
      <c r="H739" s="4" t="n"/>
      <c r="I739" s="4" t="n"/>
      <c r="J739" s="4" t="n"/>
      <c r="K739" s="4" t="n"/>
      <c r="L739" s="4" t="n"/>
      <c r="M739" s="4" t="n"/>
      <c r="N739" s="4" t="n"/>
      <c r="O739" s="4" t="n"/>
      <c r="P739" s="4" t="n"/>
      <c r="Q739" s="4" t="n"/>
      <c r="R739" s="4" t="n"/>
    </row>
    <row r="740" ht="15.75" customHeight="1" s="108">
      <c r="A740" s="4" t="n"/>
      <c r="B740" s="4" t="n"/>
      <c r="C740" s="4" t="n"/>
      <c r="D740" s="4" t="n"/>
      <c r="E740" s="4" t="n"/>
      <c r="F740" s="4" t="n"/>
      <c r="G740" s="4" t="n"/>
      <c r="H740" s="4" t="n"/>
      <c r="I740" s="4" t="n"/>
      <c r="J740" s="4" t="n"/>
      <c r="K740" s="4" t="n"/>
      <c r="L740" s="4" t="n"/>
      <c r="M740" s="4" t="n"/>
      <c r="N740" s="4" t="n"/>
      <c r="O740" s="4" t="n"/>
      <c r="P740" s="4" t="n"/>
      <c r="Q740" s="4" t="n"/>
      <c r="R740" s="4" t="n"/>
    </row>
    <row r="741" ht="15.75" customHeight="1" s="108">
      <c r="A741" s="4" t="n"/>
      <c r="B741" s="4" t="n"/>
      <c r="C741" s="4" t="n"/>
      <c r="D741" s="4" t="n"/>
      <c r="E741" s="4" t="n"/>
      <c r="F741" s="4" t="n"/>
      <c r="G741" s="4" t="n"/>
      <c r="H741" s="4" t="n"/>
      <c r="I741" s="4" t="n"/>
      <c r="J741" s="4" t="n"/>
      <c r="K741" s="4" t="n"/>
      <c r="L741" s="4" t="n"/>
      <c r="M741" s="4" t="n"/>
      <c r="N741" s="4" t="n"/>
      <c r="O741" s="4" t="n"/>
      <c r="P741" s="4" t="n"/>
      <c r="Q741" s="4" t="n"/>
      <c r="R741" s="4" t="n"/>
    </row>
    <row r="742" ht="15.75" customHeight="1" s="108">
      <c r="A742" s="4" t="n"/>
      <c r="B742" s="4" t="n"/>
      <c r="C742" s="4" t="n"/>
      <c r="D742" s="4" t="n"/>
      <c r="E742" s="4" t="n"/>
      <c r="F742" s="4" t="n"/>
      <c r="G742" s="4" t="n"/>
      <c r="H742" s="4" t="n"/>
      <c r="I742" s="4" t="n"/>
      <c r="J742" s="4" t="n"/>
      <c r="K742" s="4" t="n"/>
      <c r="L742" s="4" t="n"/>
      <c r="M742" s="4" t="n"/>
      <c r="N742" s="4" t="n"/>
      <c r="O742" s="4" t="n"/>
      <c r="P742" s="4" t="n"/>
      <c r="Q742" s="4" t="n"/>
      <c r="R742" s="4" t="n"/>
    </row>
    <row r="743" ht="15.75" customHeight="1" s="108">
      <c r="A743" s="4" t="n"/>
      <c r="B743" s="4" t="n"/>
      <c r="C743" s="4" t="n"/>
      <c r="D743" s="4" t="n"/>
      <c r="E743" s="4" t="n"/>
      <c r="F743" s="4" t="n"/>
      <c r="G743" s="4" t="n"/>
      <c r="H743" s="4" t="n"/>
      <c r="I743" s="4" t="n"/>
      <c r="J743" s="4" t="n"/>
      <c r="K743" s="4" t="n"/>
      <c r="L743" s="4" t="n"/>
      <c r="M743" s="4" t="n"/>
      <c r="N743" s="4" t="n"/>
      <c r="O743" s="4" t="n"/>
      <c r="P743" s="4" t="n"/>
      <c r="Q743" s="4" t="n"/>
      <c r="R743" s="4" t="n"/>
    </row>
    <row r="744" ht="15.75" customHeight="1" s="108">
      <c r="A744" s="4" t="n"/>
      <c r="B744" s="4" t="n"/>
      <c r="C744" s="4" t="n"/>
      <c r="D744" s="4" t="n"/>
      <c r="E744" s="4" t="n"/>
      <c r="F744" s="4" t="n"/>
      <c r="G744" s="4" t="n"/>
      <c r="H744" s="4" t="n"/>
      <c r="I744" s="4" t="n"/>
      <c r="J744" s="4" t="n"/>
      <c r="K744" s="4" t="n"/>
      <c r="L744" s="4" t="n"/>
      <c r="M744" s="4" t="n"/>
      <c r="N744" s="4" t="n"/>
      <c r="O744" s="4" t="n"/>
      <c r="P744" s="4" t="n"/>
      <c r="Q744" s="4" t="n"/>
      <c r="R744" s="4" t="n"/>
    </row>
    <row r="745" ht="15.75" customHeight="1" s="108">
      <c r="A745" s="4" t="n"/>
      <c r="B745" s="4" t="n"/>
      <c r="C745" s="4" t="n"/>
      <c r="D745" s="4" t="n"/>
      <c r="E745" s="4" t="n"/>
      <c r="F745" s="4" t="n"/>
      <c r="G745" s="4" t="n"/>
      <c r="H745" s="4" t="n"/>
      <c r="I745" s="4" t="n"/>
      <c r="J745" s="4" t="n"/>
      <c r="K745" s="4" t="n"/>
      <c r="L745" s="4" t="n"/>
      <c r="M745" s="4" t="n"/>
      <c r="N745" s="4" t="n"/>
      <c r="O745" s="4" t="n"/>
      <c r="P745" s="4" t="n"/>
      <c r="Q745" s="4" t="n"/>
      <c r="R745" s="4" t="n"/>
    </row>
    <row r="746" ht="15.75" customHeight="1" s="108">
      <c r="A746" s="4" t="n"/>
      <c r="B746" s="4" t="n"/>
      <c r="C746" s="4" t="n"/>
      <c r="D746" s="4" t="n"/>
      <c r="E746" s="4" t="n"/>
      <c r="F746" s="4" t="n"/>
      <c r="G746" s="4" t="n"/>
      <c r="H746" s="4" t="n"/>
      <c r="I746" s="4" t="n"/>
      <c r="J746" s="4" t="n"/>
      <c r="K746" s="4" t="n"/>
      <c r="L746" s="4" t="n"/>
      <c r="M746" s="4" t="n"/>
      <c r="N746" s="4" t="n"/>
      <c r="O746" s="4" t="n"/>
      <c r="P746" s="4" t="n"/>
      <c r="Q746" s="4" t="n"/>
      <c r="R746" s="4" t="n"/>
    </row>
    <row r="747" ht="15.75" customHeight="1" s="108">
      <c r="A747" s="4" t="n"/>
      <c r="B747" s="4" t="n"/>
      <c r="C747" s="4" t="n"/>
      <c r="D747" s="4" t="n"/>
      <c r="E747" s="4" t="n"/>
      <c r="F747" s="4" t="n"/>
      <c r="G747" s="4" t="n"/>
      <c r="H747" s="4" t="n"/>
      <c r="I747" s="4" t="n"/>
      <c r="J747" s="4" t="n"/>
      <c r="K747" s="4" t="n"/>
      <c r="L747" s="4" t="n"/>
      <c r="M747" s="4" t="n"/>
      <c r="N747" s="4" t="n"/>
      <c r="O747" s="4" t="n"/>
      <c r="P747" s="4" t="n"/>
      <c r="Q747" s="4" t="n"/>
      <c r="R747" s="4" t="n"/>
    </row>
    <row r="748" ht="15.75" customHeight="1" s="108">
      <c r="A748" s="4" t="n"/>
      <c r="B748" s="4" t="n"/>
      <c r="C748" s="4" t="n"/>
      <c r="D748" s="4" t="n"/>
      <c r="E748" s="4" t="n"/>
      <c r="F748" s="4" t="n"/>
      <c r="G748" s="4" t="n"/>
      <c r="H748" s="4" t="n"/>
      <c r="I748" s="4" t="n"/>
      <c r="J748" s="4" t="n"/>
      <c r="K748" s="4" t="n"/>
      <c r="L748" s="4" t="n"/>
      <c r="M748" s="4" t="n"/>
      <c r="N748" s="4" t="n"/>
      <c r="O748" s="4" t="n"/>
      <c r="P748" s="4" t="n"/>
      <c r="Q748" s="4" t="n"/>
      <c r="R748" s="4" t="n"/>
    </row>
    <row r="749" ht="15.75" customHeight="1" s="108">
      <c r="A749" s="4" t="n"/>
      <c r="B749" s="4" t="n"/>
      <c r="C749" s="4" t="n"/>
      <c r="D749" s="4" t="n"/>
      <c r="E749" s="4" t="n"/>
      <c r="F749" s="4" t="n"/>
      <c r="G749" s="4" t="n"/>
      <c r="H749" s="4" t="n"/>
      <c r="I749" s="4" t="n"/>
      <c r="J749" s="4" t="n"/>
      <c r="K749" s="4" t="n"/>
      <c r="L749" s="4" t="n"/>
      <c r="M749" s="4" t="n"/>
      <c r="N749" s="4" t="n"/>
      <c r="O749" s="4" t="n"/>
      <c r="P749" s="4" t="n"/>
      <c r="Q749" s="4" t="n"/>
      <c r="R749" s="4" t="n"/>
    </row>
    <row r="750" ht="15.75" customHeight="1" s="108">
      <c r="A750" s="4" t="n"/>
      <c r="B750" s="4" t="n"/>
      <c r="C750" s="4" t="n"/>
      <c r="D750" s="4" t="n"/>
      <c r="E750" s="4" t="n"/>
      <c r="F750" s="4" t="n"/>
      <c r="G750" s="4" t="n"/>
      <c r="H750" s="4" t="n"/>
      <c r="I750" s="4" t="n"/>
      <c r="J750" s="4" t="n"/>
      <c r="K750" s="4" t="n"/>
      <c r="L750" s="4" t="n"/>
      <c r="M750" s="4" t="n"/>
      <c r="N750" s="4" t="n"/>
      <c r="O750" s="4" t="n"/>
      <c r="P750" s="4" t="n"/>
      <c r="Q750" s="4" t="n"/>
      <c r="R750" s="4" t="n"/>
    </row>
    <row r="751" ht="15.75" customHeight="1" s="108">
      <c r="A751" s="4" t="n"/>
      <c r="B751" s="4" t="n"/>
      <c r="C751" s="4" t="n"/>
      <c r="D751" s="4" t="n"/>
      <c r="E751" s="4" t="n"/>
      <c r="F751" s="4" t="n"/>
      <c r="G751" s="4" t="n"/>
      <c r="H751" s="4" t="n"/>
      <c r="I751" s="4" t="n"/>
      <c r="J751" s="4" t="n"/>
      <c r="K751" s="4" t="n"/>
      <c r="L751" s="4" t="n"/>
      <c r="M751" s="4" t="n"/>
      <c r="N751" s="4" t="n"/>
      <c r="O751" s="4" t="n"/>
      <c r="P751" s="4" t="n"/>
      <c r="Q751" s="4" t="n"/>
      <c r="R751" s="4" t="n"/>
    </row>
    <row r="752" ht="15.75" customHeight="1" s="108">
      <c r="A752" s="4" t="n"/>
      <c r="B752" s="4" t="n"/>
      <c r="C752" s="4" t="n"/>
      <c r="D752" s="4" t="n"/>
      <c r="E752" s="4" t="n"/>
      <c r="F752" s="4" t="n"/>
      <c r="G752" s="4" t="n"/>
      <c r="H752" s="4" t="n"/>
      <c r="I752" s="4" t="n"/>
      <c r="J752" s="4" t="n"/>
      <c r="K752" s="4" t="n"/>
      <c r="L752" s="4" t="n"/>
      <c r="M752" s="4" t="n"/>
      <c r="N752" s="4" t="n"/>
      <c r="O752" s="4" t="n"/>
      <c r="P752" s="4" t="n"/>
      <c r="Q752" s="4" t="n"/>
      <c r="R752" s="4" t="n"/>
    </row>
    <row r="753" ht="15.75" customHeight="1" s="108">
      <c r="A753" s="4" t="n"/>
      <c r="B753" s="4" t="n"/>
      <c r="C753" s="4" t="n"/>
      <c r="D753" s="4" t="n"/>
      <c r="E753" s="4" t="n"/>
      <c r="F753" s="4" t="n"/>
      <c r="G753" s="4" t="n"/>
      <c r="H753" s="4" t="n"/>
      <c r="I753" s="4" t="n"/>
      <c r="J753" s="4" t="n"/>
      <c r="K753" s="4" t="n"/>
      <c r="L753" s="4" t="n"/>
      <c r="M753" s="4" t="n"/>
      <c r="N753" s="4" t="n"/>
      <c r="O753" s="4" t="n"/>
      <c r="P753" s="4" t="n"/>
      <c r="Q753" s="4" t="n"/>
      <c r="R753" s="4" t="n"/>
    </row>
    <row r="754" ht="15.75" customHeight="1" s="108">
      <c r="A754" s="4" t="n"/>
      <c r="B754" s="4" t="n"/>
      <c r="C754" s="4" t="n"/>
      <c r="D754" s="4" t="n"/>
      <c r="E754" s="4" t="n"/>
      <c r="F754" s="4" t="n"/>
      <c r="G754" s="4" t="n"/>
      <c r="H754" s="4" t="n"/>
      <c r="I754" s="4" t="n"/>
      <c r="J754" s="4" t="n"/>
      <c r="K754" s="4" t="n"/>
      <c r="L754" s="4" t="n"/>
      <c r="M754" s="4" t="n"/>
      <c r="N754" s="4" t="n"/>
      <c r="O754" s="4" t="n"/>
      <c r="P754" s="4" t="n"/>
      <c r="Q754" s="4" t="n"/>
      <c r="R754" s="4" t="n"/>
    </row>
    <row r="755" ht="15.75" customHeight="1" s="108">
      <c r="A755" s="4" t="n"/>
      <c r="B755" s="4" t="n"/>
      <c r="C755" s="4" t="n"/>
      <c r="D755" s="4" t="n"/>
      <c r="E755" s="4" t="n"/>
      <c r="F755" s="4" t="n"/>
      <c r="G755" s="4" t="n"/>
      <c r="H755" s="4" t="n"/>
      <c r="I755" s="4" t="n"/>
      <c r="J755" s="4" t="n"/>
      <c r="K755" s="4" t="n"/>
      <c r="L755" s="4" t="n"/>
      <c r="M755" s="4" t="n"/>
      <c r="N755" s="4" t="n"/>
      <c r="O755" s="4" t="n"/>
      <c r="P755" s="4" t="n"/>
      <c r="Q755" s="4" t="n"/>
      <c r="R755" s="4" t="n"/>
    </row>
    <row r="756" ht="15.75" customHeight="1" s="108">
      <c r="A756" s="4" t="n"/>
      <c r="B756" s="4" t="n"/>
      <c r="C756" s="4" t="n"/>
      <c r="D756" s="4" t="n"/>
      <c r="E756" s="4" t="n"/>
      <c r="F756" s="4" t="n"/>
      <c r="G756" s="4" t="n"/>
      <c r="H756" s="4" t="n"/>
      <c r="I756" s="4" t="n"/>
      <c r="J756" s="4" t="n"/>
      <c r="K756" s="4" t="n"/>
      <c r="L756" s="4" t="n"/>
      <c r="M756" s="4" t="n"/>
      <c r="N756" s="4" t="n"/>
      <c r="O756" s="4" t="n"/>
      <c r="P756" s="4" t="n"/>
      <c r="Q756" s="4" t="n"/>
      <c r="R756" s="4" t="n"/>
    </row>
    <row r="757" ht="15.75" customHeight="1" s="108">
      <c r="A757" s="4" t="n"/>
      <c r="B757" s="4" t="n"/>
      <c r="C757" s="4" t="n"/>
      <c r="D757" s="4" t="n"/>
      <c r="E757" s="4" t="n"/>
      <c r="F757" s="4" t="n"/>
      <c r="G757" s="4" t="n"/>
      <c r="H757" s="4" t="n"/>
      <c r="I757" s="4" t="n"/>
      <c r="J757" s="4" t="n"/>
      <c r="K757" s="4" t="n"/>
      <c r="L757" s="4" t="n"/>
      <c r="M757" s="4" t="n"/>
      <c r="N757" s="4" t="n"/>
      <c r="O757" s="4" t="n"/>
      <c r="P757" s="4" t="n"/>
      <c r="Q757" s="4" t="n"/>
      <c r="R757" s="4" t="n"/>
    </row>
    <row r="758" ht="15.75" customHeight="1" s="108">
      <c r="A758" s="4" t="n"/>
      <c r="B758" s="4" t="n"/>
      <c r="C758" s="4" t="n"/>
      <c r="D758" s="4" t="n"/>
      <c r="E758" s="4" t="n"/>
      <c r="F758" s="4" t="n"/>
      <c r="G758" s="4" t="n"/>
      <c r="H758" s="4" t="n"/>
      <c r="I758" s="4" t="n"/>
      <c r="J758" s="4" t="n"/>
      <c r="K758" s="4" t="n"/>
      <c r="L758" s="4" t="n"/>
      <c r="M758" s="4" t="n"/>
      <c r="N758" s="4" t="n"/>
      <c r="O758" s="4" t="n"/>
      <c r="P758" s="4" t="n"/>
      <c r="Q758" s="4" t="n"/>
      <c r="R758" s="4" t="n"/>
    </row>
    <row r="759" ht="15.75" customHeight="1" s="108">
      <c r="A759" s="4" t="n"/>
      <c r="B759" s="4" t="n"/>
      <c r="C759" s="4" t="n"/>
      <c r="D759" s="4" t="n"/>
      <c r="E759" s="4" t="n"/>
      <c r="F759" s="4" t="n"/>
      <c r="G759" s="4" t="n"/>
      <c r="H759" s="4" t="n"/>
      <c r="I759" s="4" t="n"/>
      <c r="J759" s="4" t="n"/>
      <c r="K759" s="4" t="n"/>
      <c r="L759" s="4" t="n"/>
      <c r="M759" s="4" t="n"/>
      <c r="N759" s="4" t="n"/>
      <c r="O759" s="4" t="n"/>
      <c r="P759" s="4" t="n"/>
      <c r="Q759" s="4" t="n"/>
      <c r="R759" s="4" t="n"/>
    </row>
    <row r="760" ht="15.75" customHeight="1" s="108">
      <c r="A760" s="4" t="n"/>
      <c r="B760" s="4" t="n"/>
      <c r="C760" s="4" t="n"/>
      <c r="D760" s="4" t="n"/>
      <c r="E760" s="4" t="n"/>
      <c r="F760" s="4" t="n"/>
      <c r="G760" s="4" t="n"/>
      <c r="H760" s="4" t="n"/>
      <c r="I760" s="4" t="n"/>
      <c r="J760" s="4" t="n"/>
      <c r="K760" s="4" t="n"/>
      <c r="L760" s="4" t="n"/>
      <c r="M760" s="4" t="n"/>
      <c r="N760" s="4" t="n"/>
      <c r="O760" s="4" t="n"/>
      <c r="P760" s="4" t="n"/>
      <c r="Q760" s="4" t="n"/>
      <c r="R760" s="4" t="n"/>
    </row>
    <row r="761" ht="15.75" customHeight="1" s="108">
      <c r="A761" s="4" t="n"/>
      <c r="B761" s="4" t="n"/>
      <c r="C761" s="4" t="n"/>
      <c r="D761" s="4" t="n"/>
      <c r="E761" s="4" t="n"/>
      <c r="F761" s="4" t="n"/>
      <c r="G761" s="4" t="n"/>
      <c r="H761" s="4" t="n"/>
      <c r="I761" s="4" t="n"/>
      <c r="J761" s="4" t="n"/>
      <c r="K761" s="4" t="n"/>
      <c r="L761" s="4" t="n"/>
      <c r="M761" s="4" t="n"/>
      <c r="N761" s="4" t="n"/>
      <c r="O761" s="4" t="n"/>
      <c r="P761" s="4" t="n"/>
      <c r="Q761" s="4" t="n"/>
      <c r="R761" s="4" t="n"/>
    </row>
    <row r="762" ht="15.75" customHeight="1" s="108">
      <c r="A762" s="4" t="n"/>
      <c r="B762" s="4" t="n"/>
      <c r="C762" s="4" t="n"/>
      <c r="D762" s="4" t="n"/>
      <c r="E762" s="4" t="n"/>
      <c r="F762" s="4" t="n"/>
      <c r="G762" s="4" t="n"/>
      <c r="H762" s="4" t="n"/>
      <c r="I762" s="4" t="n"/>
      <c r="J762" s="4" t="n"/>
      <c r="K762" s="4" t="n"/>
      <c r="L762" s="4" t="n"/>
      <c r="M762" s="4" t="n"/>
      <c r="N762" s="4" t="n"/>
      <c r="O762" s="4" t="n"/>
      <c r="P762" s="4" t="n"/>
      <c r="Q762" s="4" t="n"/>
      <c r="R762" s="4" t="n"/>
    </row>
    <row r="763" ht="15.75" customHeight="1" s="108">
      <c r="A763" s="4" t="n"/>
      <c r="B763" s="4" t="n"/>
      <c r="C763" s="4" t="n"/>
      <c r="D763" s="4" t="n"/>
      <c r="E763" s="4" t="n"/>
      <c r="F763" s="4" t="n"/>
      <c r="G763" s="4" t="n"/>
      <c r="H763" s="4" t="n"/>
      <c r="I763" s="4" t="n"/>
      <c r="J763" s="4" t="n"/>
      <c r="K763" s="4" t="n"/>
      <c r="L763" s="4" t="n"/>
      <c r="M763" s="4" t="n"/>
      <c r="N763" s="4" t="n"/>
      <c r="O763" s="4" t="n"/>
      <c r="P763" s="4" t="n"/>
      <c r="Q763" s="4" t="n"/>
      <c r="R763" s="4" t="n"/>
    </row>
    <row r="764" ht="15.75" customHeight="1" s="108">
      <c r="A764" s="4" t="n"/>
      <c r="B764" s="4" t="n"/>
      <c r="C764" s="4" t="n"/>
      <c r="D764" s="4" t="n"/>
      <c r="E764" s="4" t="n"/>
      <c r="F764" s="4" t="n"/>
      <c r="G764" s="4" t="n"/>
      <c r="H764" s="4" t="n"/>
      <c r="I764" s="4" t="n"/>
      <c r="J764" s="4" t="n"/>
      <c r="K764" s="4" t="n"/>
      <c r="L764" s="4" t="n"/>
      <c r="M764" s="4" t="n"/>
      <c r="N764" s="4" t="n"/>
      <c r="O764" s="4" t="n"/>
      <c r="P764" s="4" t="n"/>
      <c r="Q764" s="4" t="n"/>
      <c r="R764" s="4" t="n"/>
    </row>
    <row r="765" ht="15.75" customHeight="1" s="108">
      <c r="A765" s="4" t="n"/>
      <c r="B765" s="4" t="n"/>
      <c r="C765" s="4" t="n"/>
      <c r="D765" s="4" t="n"/>
      <c r="E765" s="4" t="n"/>
      <c r="F765" s="4" t="n"/>
      <c r="G765" s="4" t="n"/>
      <c r="H765" s="4" t="n"/>
      <c r="I765" s="4" t="n"/>
      <c r="J765" s="4" t="n"/>
      <c r="K765" s="4" t="n"/>
      <c r="L765" s="4" t="n"/>
      <c r="M765" s="4" t="n"/>
      <c r="N765" s="4" t="n"/>
      <c r="O765" s="4" t="n"/>
      <c r="P765" s="4" t="n"/>
      <c r="Q765" s="4" t="n"/>
      <c r="R765" s="4" t="n"/>
    </row>
    <row r="766" ht="15.75" customHeight="1" s="108">
      <c r="A766" s="4" t="n"/>
      <c r="B766" s="4" t="n"/>
      <c r="C766" s="4" t="n"/>
      <c r="D766" s="4" t="n"/>
      <c r="E766" s="4" t="n"/>
      <c r="F766" s="4" t="n"/>
      <c r="G766" s="4" t="n"/>
      <c r="H766" s="4" t="n"/>
      <c r="I766" s="4" t="n"/>
      <c r="J766" s="4" t="n"/>
      <c r="K766" s="4" t="n"/>
      <c r="L766" s="4" t="n"/>
      <c r="M766" s="4" t="n"/>
      <c r="N766" s="4" t="n"/>
      <c r="O766" s="4" t="n"/>
      <c r="P766" s="4" t="n"/>
      <c r="Q766" s="4" t="n"/>
      <c r="R766" s="4" t="n"/>
    </row>
    <row r="767" ht="15.75" customHeight="1" s="108">
      <c r="A767" s="4" t="n"/>
      <c r="B767" s="4" t="n"/>
      <c r="C767" s="4" t="n"/>
      <c r="D767" s="4" t="n"/>
      <c r="E767" s="4" t="n"/>
      <c r="F767" s="4" t="n"/>
      <c r="G767" s="4" t="n"/>
      <c r="H767" s="4" t="n"/>
      <c r="I767" s="4" t="n"/>
      <c r="J767" s="4" t="n"/>
      <c r="K767" s="4" t="n"/>
      <c r="L767" s="4" t="n"/>
      <c r="M767" s="4" t="n"/>
      <c r="N767" s="4" t="n"/>
      <c r="O767" s="4" t="n"/>
      <c r="P767" s="4" t="n"/>
      <c r="Q767" s="4" t="n"/>
      <c r="R767" s="4" t="n"/>
    </row>
    <row r="768" ht="15.75" customHeight="1" s="108">
      <c r="A768" s="4" t="n"/>
      <c r="B768" s="4" t="n"/>
      <c r="C768" s="4" t="n"/>
      <c r="D768" s="4" t="n"/>
      <c r="E768" s="4" t="n"/>
      <c r="F768" s="4" t="n"/>
      <c r="G768" s="4" t="n"/>
      <c r="H768" s="4" t="n"/>
      <c r="I768" s="4" t="n"/>
      <c r="J768" s="4" t="n"/>
      <c r="K768" s="4" t="n"/>
      <c r="L768" s="4" t="n"/>
      <c r="M768" s="4" t="n"/>
      <c r="N768" s="4" t="n"/>
      <c r="O768" s="4" t="n"/>
      <c r="P768" s="4" t="n"/>
      <c r="Q768" s="4" t="n"/>
      <c r="R768" s="4" t="n"/>
    </row>
    <row r="769" ht="15.75" customHeight="1" s="108">
      <c r="A769" s="4" t="n"/>
      <c r="B769" s="4" t="n"/>
      <c r="C769" s="4" t="n"/>
      <c r="D769" s="4" t="n"/>
      <c r="E769" s="4" t="n"/>
      <c r="F769" s="4" t="n"/>
      <c r="G769" s="4" t="n"/>
      <c r="H769" s="4" t="n"/>
      <c r="I769" s="4" t="n"/>
      <c r="J769" s="4" t="n"/>
      <c r="K769" s="4" t="n"/>
      <c r="L769" s="4" t="n"/>
      <c r="M769" s="4" t="n"/>
      <c r="N769" s="4" t="n"/>
      <c r="O769" s="4" t="n"/>
      <c r="P769" s="4" t="n"/>
      <c r="Q769" s="4" t="n"/>
      <c r="R769" s="4" t="n"/>
    </row>
    <row r="770" ht="15.75" customHeight="1" s="108">
      <c r="A770" s="4" t="n"/>
      <c r="B770" s="4" t="n"/>
      <c r="C770" s="4" t="n"/>
      <c r="D770" s="4" t="n"/>
      <c r="E770" s="4" t="n"/>
      <c r="F770" s="4" t="n"/>
      <c r="G770" s="4" t="n"/>
      <c r="H770" s="4" t="n"/>
      <c r="I770" s="4" t="n"/>
      <c r="J770" s="4" t="n"/>
      <c r="K770" s="4" t="n"/>
      <c r="L770" s="4" t="n"/>
      <c r="M770" s="4" t="n"/>
      <c r="N770" s="4" t="n"/>
      <c r="O770" s="4" t="n"/>
      <c r="P770" s="4" t="n"/>
      <c r="Q770" s="4" t="n"/>
      <c r="R770" s="4" t="n"/>
    </row>
    <row r="771" ht="15.75" customHeight="1" s="108">
      <c r="A771" s="4" t="n"/>
      <c r="B771" s="4" t="n"/>
      <c r="C771" s="4" t="n"/>
      <c r="D771" s="4" t="n"/>
      <c r="E771" s="4" t="n"/>
      <c r="F771" s="4" t="n"/>
      <c r="G771" s="4" t="n"/>
      <c r="H771" s="4" t="n"/>
      <c r="I771" s="4" t="n"/>
      <c r="J771" s="4" t="n"/>
      <c r="K771" s="4" t="n"/>
      <c r="L771" s="4" t="n"/>
      <c r="M771" s="4" t="n"/>
      <c r="N771" s="4" t="n"/>
      <c r="O771" s="4" t="n"/>
      <c r="P771" s="4" t="n"/>
      <c r="Q771" s="4" t="n"/>
      <c r="R771" s="4" t="n"/>
    </row>
    <row r="772" ht="15.75" customHeight="1" s="108">
      <c r="A772" s="4" t="n"/>
      <c r="B772" s="4" t="n"/>
      <c r="C772" s="4" t="n"/>
      <c r="D772" s="4" t="n"/>
      <c r="E772" s="4" t="n"/>
      <c r="F772" s="4" t="n"/>
      <c r="G772" s="4" t="n"/>
      <c r="H772" s="4" t="n"/>
      <c r="I772" s="4" t="n"/>
      <c r="J772" s="4" t="n"/>
      <c r="K772" s="4" t="n"/>
      <c r="L772" s="4" t="n"/>
      <c r="M772" s="4" t="n"/>
      <c r="N772" s="4" t="n"/>
      <c r="O772" s="4" t="n"/>
      <c r="P772" s="4" t="n"/>
      <c r="Q772" s="4" t="n"/>
      <c r="R772" s="4" t="n"/>
    </row>
    <row r="773" ht="15.75" customHeight="1" s="108">
      <c r="A773" s="4" t="n"/>
      <c r="B773" s="4" t="n"/>
      <c r="C773" s="4" t="n"/>
      <c r="D773" s="4" t="n"/>
      <c r="E773" s="4" t="n"/>
      <c r="F773" s="4" t="n"/>
      <c r="G773" s="4" t="n"/>
      <c r="H773" s="4" t="n"/>
      <c r="I773" s="4" t="n"/>
      <c r="J773" s="4" t="n"/>
      <c r="K773" s="4" t="n"/>
      <c r="L773" s="4" t="n"/>
      <c r="M773" s="4" t="n"/>
      <c r="N773" s="4" t="n"/>
      <c r="O773" s="4" t="n"/>
      <c r="P773" s="4" t="n"/>
      <c r="Q773" s="4" t="n"/>
      <c r="R773" s="4" t="n"/>
    </row>
    <row r="774" ht="15.75" customHeight="1" s="108">
      <c r="A774" s="4" t="n"/>
      <c r="B774" s="4" t="n"/>
      <c r="C774" s="4" t="n"/>
      <c r="D774" s="4" t="n"/>
      <c r="E774" s="4" t="n"/>
      <c r="F774" s="4" t="n"/>
      <c r="G774" s="4" t="n"/>
      <c r="H774" s="4" t="n"/>
      <c r="I774" s="4" t="n"/>
      <c r="J774" s="4" t="n"/>
      <c r="K774" s="4" t="n"/>
      <c r="L774" s="4" t="n"/>
      <c r="M774" s="4" t="n"/>
      <c r="N774" s="4" t="n"/>
      <c r="O774" s="4" t="n"/>
      <c r="P774" s="4" t="n"/>
      <c r="Q774" s="4" t="n"/>
      <c r="R774" s="4" t="n"/>
    </row>
    <row r="775" ht="15.75" customHeight="1" s="108">
      <c r="A775" s="4" t="n"/>
      <c r="B775" s="4" t="n"/>
      <c r="C775" s="4" t="n"/>
      <c r="D775" s="4" t="n"/>
      <c r="E775" s="4" t="n"/>
      <c r="F775" s="4" t="n"/>
      <c r="G775" s="4" t="n"/>
      <c r="H775" s="4" t="n"/>
      <c r="I775" s="4" t="n"/>
      <c r="J775" s="4" t="n"/>
      <c r="K775" s="4" t="n"/>
      <c r="L775" s="4" t="n"/>
      <c r="M775" s="4" t="n"/>
      <c r="N775" s="4" t="n"/>
      <c r="O775" s="4" t="n"/>
      <c r="P775" s="4" t="n"/>
      <c r="Q775" s="4" t="n"/>
      <c r="R775" s="4" t="n"/>
    </row>
    <row r="776" ht="15.75" customHeight="1" s="108">
      <c r="A776" s="4" t="n"/>
      <c r="B776" s="4" t="n"/>
      <c r="C776" s="4" t="n"/>
      <c r="D776" s="4" t="n"/>
      <c r="E776" s="4" t="n"/>
      <c r="F776" s="4" t="n"/>
      <c r="G776" s="4" t="n"/>
      <c r="H776" s="4" t="n"/>
      <c r="I776" s="4" t="n"/>
      <c r="J776" s="4" t="n"/>
      <c r="K776" s="4" t="n"/>
      <c r="L776" s="4" t="n"/>
      <c r="M776" s="4" t="n"/>
      <c r="N776" s="4" t="n"/>
      <c r="O776" s="4" t="n"/>
      <c r="P776" s="4" t="n"/>
      <c r="Q776" s="4" t="n"/>
      <c r="R776" s="4" t="n"/>
    </row>
    <row r="777" ht="15.75" customHeight="1" s="108">
      <c r="A777" s="4" t="n"/>
      <c r="B777" s="4" t="n"/>
      <c r="C777" s="4" t="n"/>
      <c r="D777" s="4" t="n"/>
      <c r="E777" s="4" t="n"/>
      <c r="F777" s="4" t="n"/>
      <c r="G777" s="4" t="n"/>
      <c r="H777" s="4" t="n"/>
      <c r="I777" s="4" t="n"/>
      <c r="J777" s="4" t="n"/>
      <c r="K777" s="4" t="n"/>
      <c r="L777" s="4" t="n"/>
      <c r="M777" s="4" t="n"/>
      <c r="N777" s="4" t="n"/>
      <c r="O777" s="4" t="n"/>
      <c r="P777" s="4" t="n"/>
      <c r="Q777" s="4" t="n"/>
      <c r="R777" s="4" t="n"/>
    </row>
    <row r="778" ht="15.75" customHeight="1" s="108">
      <c r="A778" s="4" t="n"/>
      <c r="B778" s="4" t="n"/>
      <c r="C778" s="4" t="n"/>
      <c r="D778" s="4" t="n"/>
      <c r="E778" s="4" t="n"/>
      <c r="F778" s="4" t="n"/>
      <c r="G778" s="4" t="n"/>
      <c r="H778" s="4" t="n"/>
      <c r="I778" s="4" t="n"/>
      <c r="J778" s="4" t="n"/>
      <c r="K778" s="4" t="n"/>
      <c r="L778" s="4" t="n"/>
      <c r="M778" s="4" t="n"/>
      <c r="N778" s="4" t="n"/>
      <c r="O778" s="4" t="n"/>
      <c r="P778" s="4" t="n"/>
      <c r="Q778" s="4" t="n"/>
      <c r="R778" s="4" t="n"/>
    </row>
    <row r="779" ht="15.75" customHeight="1" s="108">
      <c r="A779" s="4" t="n"/>
      <c r="B779" s="4" t="n"/>
      <c r="C779" s="4" t="n"/>
      <c r="D779" s="4" t="n"/>
      <c r="E779" s="4" t="n"/>
      <c r="F779" s="4" t="n"/>
      <c r="G779" s="4" t="n"/>
      <c r="H779" s="4" t="n"/>
      <c r="I779" s="4" t="n"/>
      <c r="J779" s="4" t="n"/>
      <c r="K779" s="4" t="n"/>
      <c r="L779" s="4" t="n"/>
      <c r="M779" s="4" t="n"/>
      <c r="N779" s="4" t="n"/>
      <c r="O779" s="4" t="n"/>
      <c r="P779" s="4" t="n"/>
      <c r="Q779" s="4" t="n"/>
      <c r="R779" s="4" t="n"/>
    </row>
    <row r="780" ht="15.75" customHeight="1" s="108">
      <c r="A780" s="4" t="n"/>
      <c r="B780" s="4" t="n"/>
      <c r="C780" s="4" t="n"/>
      <c r="D780" s="4" t="n"/>
      <c r="E780" s="4" t="n"/>
      <c r="F780" s="4" t="n"/>
      <c r="G780" s="4" t="n"/>
      <c r="H780" s="4" t="n"/>
      <c r="I780" s="4" t="n"/>
      <c r="J780" s="4" t="n"/>
      <c r="K780" s="4" t="n"/>
      <c r="L780" s="4" t="n"/>
      <c r="M780" s="4" t="n"/>
      <c r="N780" s="4" t="n"/>
      <c r="O780" s="4" t="n"/>
      <c r="P780" s="4" t="n"/>
      <c r="Q780" s="4" t="n"/>
      <c r="R780" s="4" t="n"/>
    </row>
    <row r="781" ht="15.75" customHeight="1" s="108">
      <c r="A781" s="4" t="n"/>
      <c r="B781" s="4" t="n"/>
      <c r="C781" s="4" t="n"/>
      <c r="D781" s="4" t="n"/>
      <c r="E781" s="4" t="n"/>
      <c r="F781" s="4" t="n"/>
      <c r="G781" s="4" t="n"/>
      <c r="H781" s="4" t="n"/>
      <c r="I781" s="4" t="n"/>
      <c r="J781" s="4" t="n"/>
      <c r="K781" s="4" t="n"/>
      <c r="L781" s="4" t="n"/>
      <c r="M781" s="4" t="n"/>
      <c r="N781" s="4" t="n"/>
      <c r="O781" s="4" t="n"/>
      <c r="P781" s="4" t="n"/>
      <c r="Q781" s="4" t="n"/>
      <c r="R781" s="4" t="n"/>
    </row>
    <row r="782" ht="15.75" customHeight="1" s="108">
      <c r="A782" s="4" t="n"/>
      <c r="B782" s="4" t="n"/>
      <c r="C782" s="4" t="n"/>
      <c r="D782" s="4" t="n"/>
      <c r="E782" s="4" t="n"/>
      <c r="F782" s="4" t="n"/>
      <c r="G782" s="4" t="n"/>
      <c r="H782" s="4" t="n"/>
      <c r="I782" s="4" t="n"/>
      <c r="J782" s="4" t="n"/>
      <c r="K782" s="4" t="n"/>
      <c r="L782" s="4" t="n"/>
      <c r="M782" s="4" t="n"/>
      <c r="N782" s="4" t="n"/>
      <c r="O782" s="4" t="n"/>
      <c r="P782" s="4" t="n"/>
      <c r="Q782" s="4" t="n"/>
      <c r="R782" s="4" t="n"/>
    </row>
    <row r="783" ht="15.75" customHeight="1" s="108">
      <c r="A783" s="4" t="n"/>
      <c r="B783" s="4" t="n"/>
      <c r="C783" s="4" t="n"/>
      <c r="D783" s="4" t="n"/>
      <c r="E783" s="4" t="n"/>
      <c r="F783" s="4" t="n"/>
      <c r="G783" s="4" t="n"/>
      <c r="H783" s="4" t="n"/>
      <c r="I783" s="4" t="n"/>
      <c r="J783" s="4" t="n"/>
      <c r="K783" s="4" t="n"/>
      <c r="L783" s="4" t="n"/>
      <c r="M783" s="4" t="n"/>
      <c r="N783" s="4" t="n"/>
      <c r="O783" s="4" t="n"/>
      <c r="P783" s="4" t="n"/>
      <c r="Q783" s="4" t="n"/>
      <c r="R783" s="4" t="n"/>
    </row>
    <row r="784" ht="15.75" customHeight="1" s="108">
      <c r="A784" s="4" t="n"/>
      <c r="B784" s="4" t="n"/>
      <c r="C784" s="4" t="n"/>
      <c r="D784" s="4" t="n"/>
      <c r="E784" s="4" t="n"/>
      <c r="F784" s="4" t="n"/>
      <c r="G784" s="4" t="n"/>
      <c r="H784" s="4" t="n"/>
      <c r="I784" s="4" t="n"/>
      <c r="J784" s="4" t="n"/>
      <c r="K784" s="4" t="n"/>
      <c r="L784" s="4" t="n"/>
      <c r="M784" s="4" t="n"/>
      <c r="N784" s="4" t="n"/>
      <c r="O784" s="4" t="n"/>
      <c r="P784" s="4" t="n"/>
      <c r="Q784" s="4" t="n"/>
      <c r="R784" s="4" t="n"/>
    </row>
    <row r="785" ht="15.75" customHeight="1" s="108">
      <c r="A785" s="4" t="n"/>
      <c r="B785" s="4" t="n"/>
      <c r="C785" s="4" t="n"/>
      <c r="D785" s="4" t="n"/>
      <c r="E785" s="4" t="n"/>
      <c r="F785" s="4" t="n"/>
      <c r="G785" s="4" t="n"/>
      <c r="H785" s="4" t="n"/>
      <c r="I785" s="4" t="n"/>
      <c r="J785" s="4" t="n"/>
      <c r="K785" s="4" t="n"/>
      <c r="L785" s="4" t="n"/>
      <c r="M785" s="4" t="n"/>
      <c r="N785" s="4" t="n"/>
      <c r="O785" s="4" t="n"/>
      <c r="P785" s="4" t="n"/>
      <c r="Q785" s="4" t="n"/>
      <c r="R785" s="4" t="n"/>
    </row>
    <row r="786" ht="15.75" customHeight="1" s="108">
      <c r="A786" s="4" t="n"/>
      <c r="B786" s="4" t="n"/>
      <c r="C786" s="4" t="n"/>
      <c r="D786" s="4" t="n"/>
      <c r="E786" s="4" t="n"/>
      <c r="F786" s="4" t="n"/>
      <c r="G786" s="4" t="n"/>
      <c r="H786" s="4" t="n"/>
      <c r="I786" s="4" t="n"/>
      <c r="J786" s="4" t="n"/>
      <c r="K786" s="4" t="n"/>
      <c r="L786" s="4" t="n"/>
      <c r="M786" s="4" t="n"/>
      <c r="N786" s="4" t="n"/>
      <c r="O786" s="4" t="n"/>
      <c r="P786" s="4" t="n"/>
      <c r="Q786" s="4" t="n"/>
      <c r="R786" s="4" t="n"/>
    </row>
    <row r="787" ht="15.75" customHeight="1" s="108">
      <c r="A787" s="4" t="n"/>
      <c r="B787" s="4" t="n"/>
      <c r="C787" s="4" t="n"/>
      <c r="D787" s="4" t="n"/>
      <c r="E787" s="4" t="n"/>
      <c r="F787" s="4" t="n"/>
      <c r="G787" s="4" t="n"/>
      <c r="H787" s="4" t="n"/>
      <c r="I787" s="4" t="n"/>
      <c r="J787" s="4" t="n"/>
      <c r="K787" s="4" t="n"/>
      <c r="L787" s="4" t="n"/>
      <c r="M787" s="4" t="n"/>
      <c r="N787" s="4" t="n"/>
      <c r="O787" s="4" t="n"/>
      <c r="P787" s="4" t="n"/>
      <c r="Q787" s="4" t="n"/>
      <c r="R787" s="4" t="n"/>
    </row>
    <row r="788" ht="15.75" customHeight="1" s="108">
      <c r="A788" s="4" t="n"/>
      <c r="B788" s="4" t="n"/>
      <c r="C788" s="4" t="n"/>
      <c r="D788" s="4" t="n"/>
      <c r="E788" s="4" t="n"/>
      <c r="F788" s="4" t="n"/>
      <c r="G788" s="4" t="n"/>
      <c r="H788" s="4" t="n"/>
      <c r="I788" s="4" t="n"/>
      <c r="J788" s="4" t="n"/>
      <c r="K788" s="4" t="n"/>
      <c r="L788" s="4" t="n"/>
      <c r="M788" s="4" t="n"/>
      <c r="N788" s="4" t="n"/>
      <c r="O788" s="4" t="n"/>
      <c r="P788" s="4" t="n"/>
      <c r="Q788" s="4" t="n"/>
      <c r="R788" s="4" t="n"/>
    </row>
    <row r="789" ht="15.75" customHeight="1" s="108">
      <c r="A789" s="4" t="n"/>
      <c r="B789" s="4" t="n"/>
      <c r="C789" s="4" t="n"/>
      <c r="D789" s="4" t="n"/>
      <c r="E789" s="4" t="n"/>
      <c r="F789" s="4" t="n"/>
      <c r="G789" s="4" t="n"/>
      <c r="H789" s="4" t="n"/>
      <c r="I789" s="4" t="n"/>
      <c r="J789" s="4" t="n"/>
      <c r="K789" s="4" t="n"/>
      <c r="L789" s="4" t="n"/>
      <c r="M789" s="4" t="n"/>
      <c r="N789" s="4" t="n"/>
      <c r="O789" s="4" t="n"/>
      <c r="P789" s="4" t="n"/>
      <c r="Q789" s="4" t="n"/>
      <c r="R789" s="4" t="n"/>
    </row>
    <row r="790" ht="15.75" customHeight="1" s="108">
      <c r="A790" s="4" t="n"/>
      <c r="B790" s="4" t="n"/>
      <c r="C790" s="4" t="n"/>
      <c r="D790" s="4" t="n"/>
      <c r="E790" s="4" t="n"/>
      <c r="F790" s="4" t="n"/>
      <c r="G790" s="4" t="n"/>
      <c r="H790" s="4" t="n"/>
      <c r="I790" s="4" t="n"/>
      <c r="J790" s="4" t="n"/>
      <c r="K790" s="4" t="n"/>
      <c r="L790" s="4" t="n"/>
      <c r="M790" s="4" t="n"/>
      <c r="N790" s="4" t="n"/>
      <c r="O790" s="4" t="n"/>
      <c r="P790" s="4" t="n"/>
      <c r="Q790" s="4" t="n"/>
      <c r="R790" s="4" t="n"/>
    </row>
    <row r="791" ht="15.75" customHeight="1" s="108">
      <c r="A791" s="4" t="n"/>
      <c r="B791" s="4" t="n"/>
      <c r="C791" s="4" t="n"/>
      <c r="D791" s="4" t="n"/>
      <c r="E791" s="4" t="n"/>
      <c r="F791" s="4" t="n"/>
      <c r="G791" s="4" t="n"/>
      <c r="H791" s="4" t="n"/>
      <c r="I791" s="4" t="n"/>
      <c r="J791" s="4" t="n"/>
      <c r="K791" s="4" t="n"/>
      <c r="L791" s="4" t="n"/>
      <c r="M791" s="4" t="n"/>
      <c r="N791" s="4" t="n"/>
      <c r="O791" s="4" t="n"/>
      <c r="P791" s="4" t="n"/>
      <c r="Q791" s="4" t="n"/>
      <c r="R791" s="4" t="n"/>
    </row>
    <row r="792" ht="15.75" customHeight="1" s="108">
      <c r="A792" s="4" t="n"/>
      <c r="B792" s="4" t="n"/>
      <c r="C792" s="4" t="n"/>
      <c r="D792" s="4" t="n"/>
      <c r="E792" s="4" t="n"/>
      <c r="F792" s="4" t="n"/>
      <c r="G792" s="4" t="n"/>
      <c r="H792" s="4" t="n"/>
      <c r="I792" s="4" t="n"/>
      <c r="J792" s="4" t="n"/>
      <c r="K792" s="4" t="n"/>
      <c r="L792" s="4" t="n"/>
      <c r="M792" s="4" t="n"/>
      <c r="N792" s="4" t="n"/>
      <c r="O792" s="4" t="n"/>
      <c r="P792" s="4" t="n"/>
      <c r="Q792" s="4" t="n"/>
      <c r="R792" s="4" t="n"/>
    </row>
    <row r="793" ht="15.75" customHeight="1" s="108">
      <c r="A793" s="4" t="n"/>
      <c r="B793" s="4" t="n"/>
      <c r="C793" s="4" t="n"/>
      <c r="D793" s="4" t="n"/>
      <c r="E793" s="4" t="n"/>
      <c r="F793" s="4" t="n"/>
      <c r="G793" s="4" t="n"/>
      <c r="H793" s="4" t="n"/>
      <c r="I793" s="4" t="n"/>
      <c r="J793" s="4" t="n"/>
      <c r="K793" s="4" t="n"/>
      <c r="L793" s="4" t="n"/>
      <c r="M793" s="4" t="n"/>
      <c r="N793" s="4" t="n"/>
      <c r="O793" s="4" t="n"/>
      <c r="P793" s="4" t="n"/>
      <c r="Q793" s="4" t="n"/>
      <c r="R793" s="4" t="n"/>
    </row>
    <row r="794" ht="15.75" customHeight="1" s="108">
      <c r="A794" s="4" t="n"/>
      <c r="B794" s="4" t="n"/>
      <c r="C794" s="4" t="n"/>
      <c r="D794" s="4" t="n"/>
      <c r="E794" s="4" t="n"/>
      <c r="F794" s="4" t="n"/>
      <c r="G794" s="4" t="n"/>
      <c r="H794" s="4" t="n"/>
      <c r="I794" s="4" t="n"/>
      <c r="J794" s="4" t="n"/>
      <c r="K794" s="4" t="n"/>
      <c r="L794" s="4" t="n"/>
      <c r="M794" s="4" t="n"/>
      <c r="N794" s="4" t="n"/>
      <c r="O794" s="4" t="n"/>
      <c r="P794" s="4" t="n"/>
      <c r="Q794" s="4" t="n"/>
      <c r="R794" s="4" t="n"/>
    </row>
    <row r="795" ht="15.75" customHeight="1" s="108">
      <c r="A795" s="4" t="n"/>
      <c r="B795" s="4" t="n"/>
      <c r="C795" s="4" t="n"/>
      <c r="D795" s="4" t="n"/>
      <c r="E795" s="4" t="n"/>
      <c r="F795" s="4" t="n"/>
      <c r="G795" s="4" t="n"/>
      <c r="H795" s="4" t="n"/>
      <c r="I795" s="4" t="n"/>
      <c r="J795" s="4" t="n"/>
      <c r="K795" s="4" t="n"/>
      <c r="L795" s="4" t="n"/>
      <c r="M795" s="4" t="n"/>
      <c r="N795" s="4" t="n"/>
      <c r="O795" s="4" t="n"/>
      <c r="P795" s="4" t="n"/>
      <c r="Q795" s="4" t="n"/>
      <c r="R795" s="4" t="n"/>
    </row>
    <row r="796" ht="15.75" customHeight="1" s="108">
      <c r="A796" s="4" t="n"/>
      <c r="B796" s="4" t="n"/>
      <c r="C796" s="4" t="n"/>
      <c r="D796" s="4" t="n"/>
      <c r="E796" s="4" t="n"/>
      <c r="F796" s="4" t="n"/>
      <c r="G796" s="4" t="n"/>
      <c r="H796" s="4" t="n"/>
      <c r="I796" s="4" t="n"/>
      <c r="J796" s="4" t="n"/>
      <c r="K796" s="4" t="n"/>
      <c r="L796" s="4" t="n"/>
      <c r="M796" s="4" t="n"/>
      <c r="N796" s="4" t="n"/>
      <c r="O796" s="4" t="n"/>
      <c r="P796" s="4" t="n"/>
      <c r="Q796" s="4" t="n"/>
      <c r="R796" s="4" t="n"/>
    </row>
    <row r="797" ht="15.75" customHeight="1" s="108">
      <c r="A797" s="4" t="n"/>
      <c r="B797" s="4" t="n"/>
      <c r="C797" s="4" t="n"/>
      <c r="D797" s="4" t="n"/>
      <c r="E797" s="4" t="n"/>
      <c r="F797" s="4" t="n"/>
      <c r="G797" s="4" t="n"/>
      <c r="H797" s="4" t="n"/>
      <c r="I797" s="4" t="n"/>
      <c r="J797" s="4" t="n"/>
      <c r="K797" s="4" t="n"/>
      <c r="L797" s="4" t="n"/>
      <c r="M797" s="4" t="n"/>
      <c r="N797" s="4" t="n"/>
      <c r="O797" s="4" t="n"/>
      <c r="P797" s="4" t="n"/>
      <c r="Q797" s="4" t="n"/>
      <c r="R797" s="4" t="n"/>
    </row>
    <row r="798" ht="15.75" customHeight="1" s="108">
      <c r="A798" s="4" t="n"/>
      <c r="B798" s="4" t="n"/>
      <c r="C798" s="4" t="n"/>
      <c r="D798" s="4" t="n"/>
      <c r="E798" s="4" t="n"/>
      <c r="F798" s="4" t="n"/>
      <c r="G798" s="4" t="n"/>
      <c r="H798" s="4" t="n"/>
      <c r="I798" s="4" t="n"/>
      <c r="J798" s="4" t="n"/>
      <c r="K798" s="4" t="n"/>
      <c r="L798" s="4" t="n"/>
      <c r="M798" s="4" t="n"/>
      <c r="N798" s="4" t="n"/>
      <c r="O798" s="4" t="n"/>
      <c r="P798" s="4" t="n"/>
      <c r="Q798" s="4" t="n"/>
      <c r="R798" s="4" t="n"/>
    </row>
    <row r="799" ht="15.75" customHeight="1" s="108">
      <c r="A799" s="4" t="n"/>
      <c r="B799" s="4" t="n"/>
      <c r="C799" s="4" t="n"/>
      <c r="D799" s="4" t="n"/>
      <c r="E799" s="4" t="n"/>
      <c r="F799" s="4" t="n"/>
      <c r="G799" s="4" t="n"/>
      <c r="H799" s="4" t="n"/>
      <c r="I799" s="4" t="n"/>
      <c r="J799" s="4" t="n"/>
      <c r="K799" s="4" t="n"/>
      <c r="L799" s="4" t="n"/>
      <c r="M799" s="4" t="n"/>
      <c r="N799" s="4" t="n"/>
      <c r="O799" s="4" t="n"/>
      <c r="P799" s="4" t="n"/>
      <c r="Q799" s="4" t="n"/>
      <c r="R799" s="4" t="n"/>
    </row>
    <row r="800" ht="15.75" customHeight="1" s="108">
      <c r="A800" s="4" t="n"/>
      <c r="B800" s="4" t="n"/>
      <c r="C800" s="4" t="n"/>
      <c r="D800" s="4" t="n"/>
      <c r="E800" s="4" t="n"/>
      <c r="F800" s="4" t="n"/>
      <c r="G800" s="4" t="n"/>
      <c r="H800" s="4" t="n"/>
      <c r="I800" s="4" t="n"/>
      <c r="J800" s="4" t="n"/>
      <c r="K800" s="4" t="n"/>
      <c r="L800" s="4" t="n"/>
      <c r="M800" s="4" t="n"/>
      <c r="N800" s="4" t="n"/>
      <c r="O800" s="4" t="n"/>
      <c r="P800" s="4" t="n"/>
      <c r="Q800" s="4" t="n"/>
      <c r="R800" s="4" t="n"/>
    </row>
    <row r="801" ht="15.75" customHeight="1" s="108">
      <c r="A801" s="4" t="n"/>
      <c r="B801" s="4" t="n"/>
      <c r="C801" s="4" t="n"/>
      <c r="D801" s="4" t="n"/>
      <c r="E801" s="4" t="n"/>
      <c r="F801" s="4" t="n"/>
      <c r="G801" s="4" t="n"/>
      <c r="H801" s="4" t="n"/>
      <c r="I801" s="4" t="n"/>
      <c r="J801" s="4" t="n"/>
      <c r="K801" s="4" t="n"/>
      <c r="L801" s="4" t="n"/>
      <c r="M801" s="4" t="n"/>
      <c r="N801" s="4" t="n"/>
      <c r="O801" s="4" t="n"/>
      <c r="P801" s="4" t="n"/>
      <c r="Q801" s="4" t="n"/>
      <c r="R801" s="4" t="n"/>
    </row>
    <row r="802" ht="15.75" customHeight="1" s="108">
      <c r="A802" s="4" t="n"/>
      <c r="B802" s="4" t="n"/>
      <c r="C802" s="4" t="n"/>
      <c r="D802" s="4" t="n"/>
      <c r="E802" s="4" t="n"/>
      <c r="F802" s="4" t="n"/>
      <c r="G802" s="4" t="n"/>
      <c r="H802" s="4" t="n"/>
      <c r="I802" s="4" t="n"/>
      <c r="J802" s="4" t="n"/>
      <c r="K802" s="4" t="n"/>
      <c r="L802" s="4" t="n"/>
      <c r="M802" s="4" t="n"/>
      <c r="N802" s="4" t="n"/>
      <c r="O802" s="4" t="n"/>
      <c r="P802" s="4" t="n"/>
      <c r="Q802" s="4" t="n"/>
      <c r="R802" s="4" t="n"/>
    </row>
    <row r="803" ht="15.75" customHeight="1" s="108">
      <c r="A803" s="4" t="n"/>
      <c r="B803" s="4" t="n"/>
      <c r="C803" s="4" t="n"/>
      <c r="D803" s="4" t="n"/>
      <c r="E803" s="4" t="n"/>
      <c r="F803" s="4" t="n"/>
      <c r="G803" s="4" t="n"/>
      <c r="H803" s="4" t="n"/>
      <c r="I803" s="4" t="n"/>
      <c r="J803" s="4" t="n"/>
      <c r="K803" s="4" t="n"/>
      <c r="L803" s="4" t="n"/>
      <c r="M803" s="4" t="n"/>
      <c r="N803" s="4" t="n"/>
      <c r="O803" s="4" t="n"/>
      <c r="P803" s="4" t="n"/>
      <c r="Q803" s="4" t="n"/>
      <c r="R803" s="4" t="n"/>
    </row>
    <row r="804" ht="15.75" customHeight="1" s="108">
      <c r="A804" s="4" t="n"/>
      <c r="B804" s="4" t="n"/>
      <c r="C804" s="4" t="n"/>
      <c r="D804" s="4" t="n"/>
      <c r="E804" s="4" t="n"/>
      <c r="F804" s="4" t="n"/>
      <c r="G804" s="4" t="n"/>
      <c r="H804" s="4" t="n"/>
      <c r="I804" s="4" t="n"/>
      <c r="J804" s="4" t="n"/>
      <c r="K804" s="4" t="n"/>
      <c r="L804" s="4" t="n"/>
      <c r="M804" s="4" t="n"/>
      <c r="N804" s="4" t="n"/>
      <c r="O804" s="4" t="n"/>
      <c r="P804" s="4" t="n"/>
      <c r="Q804" s="4" t="n"/>
      <c r="R804" s="4" t="n"/>
    </row>
    <row r="805" ht="15.75" customHeight="1" s="108">
      <c r="A805" s="4" t="n"/>
      <c r="B805" s="4" t="n"/>
      <c r="C805" s="4" t="n"/>
      <c r="D805" s="4" t="n"/>
      <c r="E805" s="4" t="n"/>
      <c r="F805" s="4" t="n"/>
      <c r="G805" s="4" t="n"/>
      <c r="H805" s="4" t="n"/>
      <c r="I805" s="4" t="n"/>
      <c r="J805" s="4" t="n"/>
      <c r="K805" s="4" t="n"/>
      <c r="L805" s="4" t="n"/>
      <c r="M805" s="4" t="n"/>
      <c r="N805" s="4" t="n"/>
      <c r="O805" s="4" t="n"/>
      <c r="P805" s="4" t="n"/>
      <c r="Q805" s="4" t="n"/>
      <c r="R805" s="4" t="n"/>
    </row>
    <row r="806" ht="15.75" customHeight="1" s="108">
      <c r="A806" s="4" t="n"/>
      <c r="B806" s="4" t="n"/>
      <c r="C806" s="4" t="n"/>
      <c r="D806" s="4" t="n"/>
      <c r="E806" s="4" t="n"/>
      <c r="F806" s="4" t="n"/>
      <c r="G806" s="4" t="n"/>
      <c r="H806" s="4" t="n"/>
      <c r="I806" s="4" t="n"/>
      <c r="J806" s="4" t="n"/>
      <c r="K806" s="4" t="n"/>
      <c r="L806" s="4" t="n"/>
      <c r="M806" s="4" t="n"/>
      <c r="N806" s="4" t="n"/>
      <c r="O806" s="4" t="n"/>
      <c r="P806" s="4" t="n"/>
      <c r="Q806" s="4" t="n"/>
      <c r="R806" s="4" t="n"/>
    </row>
    <row r="807" ht="15.75" customHeight="1" s="108">
      <c r="A807" s="4" t="n"/>
      <c r="B807" s="4" t="n"/>
      <c r="C807" s="4" t="n"/>
      <c r="D807" s="4" t="n"/>
      <c r="E807" s="4" t="n"/>
      <c r="F807" s="4" t="n"/>
      <c r="G807" s="4" t="n"/>
      <c r="H807" s="4" t="n"/>
      <c r="I807" s="4" t="n"/>
      <c r="J807" s="4" t="n"/>
      <c r="K807" s="4" t="n"/>
      <c r="L807" s="4" t="n"/>
      <c r="M807" s="4" t="n"/>
      <c r="N807" s="4" t="n"/>
      <c r="O807" s="4" t="n"/>
      <c r="P807" s="4" t="n"/>
      <c r="Q807" s="4" t="n"/>
      <c r="R807" s="4" t="n"/>
    </row>
    <row r="808" ht="15.75" customHeight="1" s="108">
      <c r="A808" s="4" t="n"/>
      <c r="B808" s="4" t="n"/>
      <c r="C808" s="4" t="n"/>
      <c r="D808" s="4" t="n"/>
      <c r="E808" s="4" t="n"/>
      <c r="F808" s="4" t="n"/>
      <c r="G808" s="4" t="n"/>
      <c r="H808" s="4" t="n"/>
      <c r="I808" s="4" t="n"/>
      <c r="J808" s="4" t="n"/>
      <c r="K808" s="4" t="n"/>
      <c r="L808" s="4" t="n"/>
      <c r="M808" s="4" t="n"/>
      <c r="N808" s="4" t="n"/>
      <c r="O808" s="4" t="n"/>
      <c r="P808" s="4" t="n"/>
      <c r="Q808" s="4" t="n"/>
      <c r="R808" s="4" t="n"/>
    </row>
    <row r="809" ht="15.75" customHeight="1" s="108">
      <c r="A809" s="4" t="n"/>
      <c r="B809" s="4" t="n"/>
      <c r="C809" s="4" t="n"/>
      <c r="D809" s="4" t="n"/>
      <c r="E809" s="4" t="n"/>
      <c r="F809" s="4" t="n"/>
      <c r="G809" s="4" t="n"/>
      <c r="H809" s="4" t="n"/>
      <c r="I809" s="4" t="n"/>
      <c r="J809" s="4" t="n"/>
      <c r="K809" s="4" t="n"/>
      <c r="L809" s="4" t="n"/>
      <c r="M809" s="4" t="n"/>
      <c r="N809" s="4" t="n"/>
      <c r="O809" s="4" t="n"/>
      <c r="P809" s="4" t="n"/>
      <c r="Q809" s="4" t="n"/>
      <c r="R809" s="4" t="n"/>
    </row>
    <row r="810" ht="15.75" customHeight="1" s="108">
      <c r="A810" s="4" t="n"/>
      <c r="B810" s="4" t="n"/>
      <c r="C810" s="4" t="n"/>
      <c r="D810" s="4" t="n"/>
      <c r="E810" s="4" t="n"/>
      <c r="F810" s="4" t="n"/>
      <c r="G810" s="4" t="n"/>
      <c r="H810" s="4" t="n"/>
      <c r="I810" s="4" t="n"/>
      <c r="J810" s="4" t="n"/>
      <c r="K810" s="4" t="n"/>
      <c r="L810" s="4" t="n"/>
      <c r="M810" s="4" t="n"/>
      <c r="N810" s="4" t="n"/>
      <c r="O810" s="4" t="n"/>
      <c r="P810" s="4" t="n"/>
      <c r="Q810" s="4" t="n"/>
      <c r="R810" s="4" t="n"/>
    </row>
    <row r="811" ht="15.75" customHeight="1" s="108">
      <c r="A811" s="4" t="n"/>
      <c r="B811" s="4" t="n"/>
      <c r="C811" s="4" t="n"/>
      <c r="D811" s="4" t="n"/>
      <c r="E811" s="4" t="n"/>
      <c r="F811" s="4" t="n"/>
      <c r="G811" s="4" t="n"/>
      <c r="H811" s="4" t="n"/>
      <c r="I811" s="4" t="n"/>
      <c r="J811" s="4" t="n"/>
      <c r="K811" s="4" t="n"/>
      <c r="L811" s="4" t="n"/>
      <c r="M811" s="4" t="n"/>
      <c r="N811" s="4" t="n"/>
      <c r="O811" s="4" t="n"/>
      <c r="P811" s="4" t="n"/>
      <c r="Q811" s="4" t="n"/>
      <c r="R811" s="4" t="n"/>
    </row>
    <row r="812" ht="15.75" customHeight="1" s="108">
      <c r="A812" s="4" t="n"/>
      <c r="B812" s="4" t="n"/>
      <c r="C812" s="4" t="n"/>
      <c r="D812" s="4" t="n"/>
      <c r="E812" s="4" t="n"/>
      <c r="F812" s="4" t="n"/>
      <c r="G812" s="4" t="n"/>
      <c r="H812" s="4" t="n"/>
      <c r="I812" s="4" t="n"/>
      <c r="J812" s="4" t="n"/>
      <c r="K812" s="4" t="n"/>
      <c r="L812" s="4" t="n"/>
      <c r="M812" s="4" t="n"/>
      <c r="N812" s="4" t="n"/>
      <c r="O812" s="4" t="n"/>
      <c r="P812" s="4" t="n"/>
      <c r="Q812" s="4" t="n"/>
      <c r="R812" s="4" t="n"/>
    </row>
    <row r="813" ht="15.75" customHeight="1" s="108">
      <c r="A813" s="4" t="n"/>
      <c r="B813" s="4" t="n"/>
      <c r="C813" s="4" t="n"/>
      <c r="D813" s="4" t="n"/>
      <c r="E813" s="4" t="n"/>
      <c r="F813" s="4" t="n"/>
      <c r="G813" s="4" t="n"/>
      <c r="H813" s="4" t="n"/>
      <c r="I813" s="4" t="n"/>
      <c r="J813" s="4" t="n"/>
      <c r="K813" s="4" t="n"/>
      <c r="L813" s="4" t="n"/>
      <c r="M813" s="4" t="n"/>
      <c r="N813" s="4" t="n"/>
      <c r="O813" s="4" t="n"/>
      <c r="P813" s="4" t="n"/>
      <c r="Q813" s="4" t="n"/>
      <c r="R813" s="4" t="n"/>
    </row>
    <row r="814" ht="15.75" customHeight="1" s="108">
      <c r="A814" s="4" t="n"/>
      <c r="B814" s="4" t="n"/>
      <c r="C814" s="4" t="n"/>
      <c r="D814" s="4" t="n"/>
      <c r="E814" s="4" t="n"/>
      <c r="F814" s="4" t="n"/>
      <c r="G814" s="4" t="n"/>
      <c r="H814" s="4" t="n"/>
      <c r="I814" s="4" t="n"/>
      <c r="J814" s="4" t="n"/>
      <c r="K814" s="4" t="n"/>
      <c r="L814" s="4" t="n"/>
      <c r="M814" s="4" t="n"/>
      <c r="N814" s="4" t="n"/>
      <c r="O814" s="4" t="n"/>
      <c r="P814" s="4" t="n"/>
      <c r="Q814" s="4" t="n"/>
      <c r="R814" s="4" t="n"/>
    </row>
    <row r="815" ht="15.75" customHeight="1" s="108">
      <c r="A815" s="4" t="n"/>
      <c r="B815" s="4" t="n"/>
      <c r="C815" s="4" t="n"/>
      <c r="D815" s="4" t="n"/>
      <c r="E815" s="4" t="n"/>
      <c r="F815" s="4" t="n"/>
      <c r="G815" s="4" t="n"/>
      <c r="H815" s="4" t="n"/>
      <c r="I815" s="4" t="n"/>
      <c r="J815" s="4" t="n"/>
      <c r="K815" s="4" t="n"/>
      <c r="L815" s="4" t="n"/>
      <c r="M815" s="4" t="n"/>
      <c r="N815" s="4" t="n"/>
      <c r="O815" s="4" t="n"/>
      <c r="P815" s="4" t="n"/>
      <c r="Q815" s="4" t="n"/>
      <c r="R815" s="4" t="n"/>
    </row>
    <row r="816" ht="15.75" customHeight="1" s="108">
      <c r="A816" s="4" t="n"/>
      <c r="B816" s="4" t="n"/>
      <c r="C816" s="4" t="n"/>
      <c r="D816" s="4" t="n"/>
      <c r="E816" s="4" t="n"/>
      <c r="F816" s="4" t="n"/>
      <c r="G816" s="4" t="n"/>
      <c r="H816" s="4" t="n"/>
      <c r="I816" s="4" t="n"/>
      <c r="J816" s="4" t="n"/>
      <c r="K816" s="4" t="n"/>
      <c r="L816" s="4" t="n"/>
      <c r="M816" s="4" t="n"/>
      <c r="N816" s="4" t="n"/>
      <c r="O816" s="4" t="n"/>
      <c r="P816" s="4" t="n"/>
      <c r="Q816" s="4" t="n"/>
      <c r="R816" s="4" t="n"/>
    </row>
    <row r="817" ht="15.75" customHeight="1" s="108">
      <c r="A817" s="4" t="n"/>
      <c r="B817" s="4" t="n"/>
      <c r="C817" s="4" t="n"/>
      <c r="D817" s="4" t="n"/>
      <c r="E817" s="4" t="n"/>
      <c r="F817" s="4" t="n"/>
      <c r="G817" s="4" t="n"/>
      <c r="H817" s="4" t="n"/>
      <c r="I817" s="4" t="n"/>
      <c r="J817" s="4" t="n"/>
      <c r="K817" s="4" t="n"/>
      <c r="L817" s="4" t="n"/>
      <c r="M817" s="4" t="n"/>
      <c r="N817" s="4" t="n"/>
      <c r="O817" s="4" t="n"/>
      <c r="P817" s="4" t="n"/>
      <c r="Q817" s="4" t="n"/>
      <c r="R817" s="4" t="n"/>
    </row>
    <row r="818" ht="15.75" customHeight="1" s="108">
      <c r="A818" s="4" t="n"/>
      <c r="B818" s="4" t="n"/>
      <c r="C818" s="4" t="n"/>
      <c r="D818" s="4" t="n"/>
      <c r="E818" s="4" t="n"/>
      <c r="F818" s="4" t="n"/>
      <c r="G818" s="4" t="n"/>
      <c r="H818" s="4" t="n"/>
      <c r="I818" s="4" t="n"/>
      <c r="J818" s="4" t="n"/>
      <c r="K818" s="4" t="n"/>
      <c r="L818" s="4" t="n"/>
      <c r="M818" s="4" t="n"/>
      <c r="N818" s="4" t="n"/>
      <c r="O818" s="4" t="n"/>
      <c r="P818" s="4" t="n"/>
      <c r="Q818" s="4" t="n"/>
      <c r="R818" s="4" t="n"/>
    </row>
    <row r="819" ht="15.75" customHeight="1" s="108">
      <c r="A819" s="4" t="n"/>
      <c r="B819" s="4" t="n"/>
      <c r="C819" s="4" t="n"/>
      <c r="D819" s="4" t="n"/>
      <c r="E819" s="4" t="n"/>
      <c r="F819" s="4" t="n"/>
      <c r="G819" s="4" t="n"/>
      <c r="H819" s="4" t="n"/>
      <c r="I819" s="4" t="n"/>
      <c r="J819" s="4" t="n"/>
      <c r="K819" s="4" t="n"/>
      <c r="L819" s="4" t="n"/>
      <c r="M819" s="4" t="n"/>
      <c r="N819" s="4" t="n"/>
      <c r="O819" s="4" t="n"/>
      <c r="P819" s="4" t="n"/>
      <c r="Q819" s="4" t="n"/>
      <c r="R819" s="4" t="n"/>
    </row>
    <row r="820" ht="15.75" customHeight="1" s="108">
      <c r="A820" s="4" t="n"/>
      <c r="B820" s="4" t="n"/>
      <c r="C820" s="4" t="n"/>
      <c r="D820" s="4" t="n"/>
      <c r="E820" s="4" t="n"/>
      <c r="F820" s="4" t="n"/>
      <c r="G820" s="4" t="n"/>
      <c r="H820" s="4" t="n"/>
      <c r="I820" s="4" t="n"/>
      <c r="J820" s="4" t="n"/>
      <c r="K820" s="4" t="n"/>
      <c r="L820" s="4" t="n"/>
      <c r="M820" s="4" t="n"/>
      <c r="N820" s="4" t="n"/>
      <c r="O820" s="4" t="n"/>
      <c r="P820" s="4" t="n"/>
      <c r="Q820" s="4" t="n"/>
      <c r="R820" s="4" t="n"/>
    </row>
    <row r="821" ht="15.75" customHeight="1" s="108">
      <c r="A821" s="4" t="n"/>
      <c r="B821" s="4" t="n"/>
      <c r="C821" s="4" t="n"/>
      <c r="D821" s="4" t="n"/>
      <c r="E821" s="4" t="n"/>
      <c r="F821" s="4" t="n"/>
      <c r="G821" s="4" t="n"/>
      <c r="H821" s="4" t="n"/>
      <c r="I821" s="4" t="n"/>
      <c r="J821" s="4" t="n"/>
      <c r="K821" s="4" t="n"/>
      <c r="L821" s="4" t="n"/>
      <c r="M821" s="4" t="n"/>
      <c r="N821" s="4" t="n"/>
      <c r="O821" s="4" t="n"/>
      <c r="P821" s="4" t="n"/>
      <c r="Q821" s="4" t="n"/>
      <c r="R821" s="4" t="n"/>
    </row>
    <row r="822" ht="15.75" customHeight="1" s="108">
      <c r="A822" s="4" t="n"/>
      <c r="B822" s="4" t="n"/>
      <c r="C822" s="4" t="n"/>
      <c r="D822" s="4" t="n"/>
      <c r="E822" s="4" t="n"/>
      <c r="F822" s="4" t="n"/>
      <c r="G822" s="4" t="n"/>
      <c r="H822" s="4" t="n"/>
      <c r="I822" s="4" t="n"/>
      <c r="J822" s="4" t="n"/>
      <c r="K822" s="4" t="n"/>
      <c r="L822" s="4" t="n"/>
      <c r="M822" s="4" t="n"/>
      <c r="N822" s="4" t="n"/>
      <c r="O822" s="4" t="n"/>
      <c r="P822" s="4" t="n"/>
      <c r="Q822" s="4" t="n"/>
      <c r="R822" s="4" t="n"/>
    </row>
    <row r="823" ht="15.75" customHeight="1" s="108">
      <c r="A823" s="4" t="n"/>
      <c r="B823" s="4" t="n"/>
      <c r="C823" s="4" t="n"/>
      <c r="D823" s="4" t="n"/>
      <c r="E823" s="4" t="n"/>
      <c r="F823" s="4" t="n"/>
      <c r="G823" s="4" t="n"/>
      <c r="H823" s="4" t="n"/>
      <c r="I823" s="4" t="n"/>
      <c r="J823" s="4" t="n"/>
      <c r="K823" s="4" t="n"/>
      <c r="L823" s="4" t="n"/>
      <c r="M823" s="4" t="n"/>
      <c r="N823" s="4" t="n"/>
      <c r="O823" s="4" t="n"/>
      <c r="P823" s="4" t="n"/>
      <c r="Q823" s="4" t="n"/>
      <c r="R823" s="4" t="n"/>
    </row>
    <row r="824" ht="15.75" customHeight="1" s="108">
      <c r="A824" s="4" t="n"/>
      <c r="B824" s="4" t="n"/>
      <c r="C824" s="4" t="n"/>
      <c r="D824" s="4" t="n"/>
      <c r="E824" s="4" t="n"/>
      <c r="F824" s="4" t="n"/>
      <c r="G824" s="4" t="n"/>
      <c r="H824" s="4" t="n"/>
      <c r="I824" s="4" t="n"/>
      <c r="J824" s="4" t="n"/>
      <c r="K824" s="4" t="n"/>
      <c r="L824" s="4" t="n"/>
      <c r="M824" s="4" t="n"/>
      <c r="N824" s="4" t="n"/>
      <c r="O824" s="4" t="n"/>
      <c r="P824" s="4" t="n"/>
      <c r="Q824" s="4" t="n"/>
      <c r="R824" s="4" t="n"/>
    </row>
    <row r="825" ht="15.75" customHeight="1" s="108">
      <c r="A825" s="4" t="n"/>
      <c r="B825" s="4" t="n"/>
      <c r="C825" s="4" t="n"/>
      <c r="D825" s="4" t="n"/>
      <c r="E825" s="4" t="n"/>
      <c r="F825" s="4" t="n"/>
      <c r="G825" s="4" t="n"/>
      <c r="H825" s="4" t="n"/>
      <c r="I825" s="4" t="n"/>
      <c r="J825" s="4" t="n"/>
      <c r="K825" s="4" t="n"/>
      <c r="L825" s="4" t="n"/>
      <c r="M825" s="4" t="n"/>
      <c r="N825" s="4" t="n"/>
      <c r="O825" s="4" t="n"/>
      <c r="P825" s="4" t="n"/>
      <c r="Q825" s="4" t="n"/>
      <c r="R825" s="4" t="n"/>
    </row>
    <row r="826" ht="15.75" customHeight="1" s="108">
      <c r="A826" s="4" t="n"/>
      <c r="B826" s="4" t="n"/>
      <c r="C826" s="4" t="n"/>
      <c r="D826" s="4" t="n"/>
      <c r="E826" s="4" t="n"/>
      <c r="F826" s="4" t="n"/>
      <c r="G826" s="4" t="n"/>
      <c r="H826" s="4" t="n"/>
      <c r="I826" s="4" t="n"/>
      <c r="J826" s="4" t="n"/>
      <c r="K826" s="4" t="n"/>
      <c r="L826" s="4" t="n"/>
      <c r="M826" s="4" t="n"/>
      <c r="N826" s="4" t="n"/>
      <c r="O826" s="4" t="n"/>
      <c r="P826" s="4" t="n"/>
      <c r="Q826" s="4" t="n"/>
      <c r="R826" s="4" t="n"/>
    </row>
    <row r="827" ht="15.75" customHeight="1" s="108">
      <c r="A827" s="4" t="n"/>
      <c r="B827" s="4" t="n"/>
      <c r="C827" s="4" t="n"/>
      <c r="D827" s="4" t="n"/>
      <c r="E827" s="4" t="n"/>
      <c r="F827" s="4" t="n"/>
      <c r="G827" s="4" t="n"/>
      <c r="H827" s="4" t="n"/>
      <c r="I827" s="4" t="n"/>
      <c r="J827" s="4" t="n"/>
      <c r="K827" s="4" t="n"/>
      <c r="L827" s="4" t="n"/>
      <c r="M827" s="4" t="n"/>
      <c r="N827" s="4" t="n"/>
      <c r="O827" s="4" t="n"/>
      <c r="P827" s="4" t="n"/>
      <c r="Q827" s="4" t="n"/>
      <c r="R827" s="4" t="n"/>
    </row>
    <row r="828" ht="15.75" customHeight="1" s="108">
      <c r="A828" s="4" t="n"/>
      <c r="B828" s="4" t="n"/>
      <c r="C828" s="4" t="n"/>
      <c r="D828" s="4" t="n"/>
      <c r="E828" s="4" t="n"/>
      <c r="F828" s="4" t="n"/>
      <c r="G828" s="4" t="n"/>
      <c r="H828" s="4" t="n"/>
      <c r="I828" s="4" t="n"/>
      <c r="J828" s="4" t="n"/>
      <c r="K828" s="4" t="n"/>
      <c r="L828" s="4" t="n"/>
      <c r="M828" s="4" t="n"/>
      <c r="N828" s="4" t="n"/>
      <c r="O828" s="4" t="n"/>
      <c r="P828" s="4" t="n"/>
      <c r="Q828" s="4" t="n"/>
      <c r="R828" s="4" t="n"/>
    </row>
    <row r="829" ht="15.75" customHeight="1" s="108">
      <c r="A829" s="4" t="n"/>
      <c r="B829" s="4" t="n"/>
      <c r="C829" s="4" t="n"/>
      <c r="D829" s="4" t="n"/>
      <c r="E829" s="4" t="n"/>
      <c r="F829" s="4" t="n"/>
      <c r="G829" s="4" t="n"/>
      <c r="H829" s="4" t="n"/>
      <c r="I829" s="4" t="n"/>
      <c r="J829" s="4" t="n"/>
      <c r="K829" s="4" t="n"/>
      <c r="L829" s="4" t="n"/>
      <c r="M829" s="4" t="n"/>
      <c r="N829" s="4" t="n"/>
      <c r="O829" s="4" t="n"/>
      <c r="P829" s="4" t="n"/>
      <c r="Q829" s="4" t="n"/>
      <c r="R829" s="4" t="n"/>
    </row>
    <row r="830" ht="15.75" customHeight="1" s="108">
      <c r="A830" s="4" t="n"/>
      <c r="B830" s="4" t="n"/>
      <c r="C830" s="4" t="n"/>
      <c r="D830" s="4" t="n"/>
      <c r="E830" s="4" t="n"/>
      <c r="F830" s="4" t="n"/>
      <c r="G830" s="4" t="n"/>
      <c r="H830" s="4" t="n"/>
      <c r="I830" s="4" t="n"/>
      <c r="J830" s="4" t="n"/>
      <c r="K830" s="4" t="n"/>
      <c r="L830" s="4" t="n"/>
      <c r="M830" s="4" t="n"/>
      <c r="N830" s="4" t="n"/>
      <c r="O830" s="4" t="n"/>
      <c r="P830" s="4" t="n"/>
      <c r="Q830" s="4" t="n"/>
      <c r="R830" s="4" t="n"/>
    </row>
    <row r="831" ht="15.75" customHeight="1" s="108">
      <c r="A831" s="4" t="n"/>
      <c r="B831" s="4" t="n"/>
      <c r="C831" s="4" t="n"/>
      <c r="D831" s="4" t="n"/>
      <c r="E831" s="4" t="n"/>
      <c r="F831" s="4" t="n"/>
      <c r="G831" s="4" t="n"/>
      <c r="H831" s="4" t="n"/>
      <c r="I831" s="4" t="n"/>
      <c r="J831" s="4" t="n"/>
      <c r="K831" s="4" t="n"/>
      <c r="L831" s="4" t="n"/>
      <c r="M831" s="4" t="n"/>
      <c r="N831" s="4" t="n"/>
      <c r="O831" s="4" t="n"/>
      <c r="P831" s="4" t="n"/>
      <c r="Q831" s="4" t="n"/>
      <c r="R831" s="4" t="n"/>
    </row>
    <row r="832" ht="15.75" customHeight="1" s="108">
      <c r="A832" s="4" t="n"/>
      <c r="B832" s="4" t="n"/>
      <c r="C832" s="4" t="n"/>
      <c r="D832" s="4" t="n"/>
      <c r="E832" s="4" t="n"/>
      <c r="F832" s="4" t="n"/>
      <c r="G832" s="4" t="n"/>
      <c r="H832" s="4" t="n"/>
      <c r="I832" s="4" t="n"/>
      <c r="J832" s="4" t="n"/>
      <c r="K832" s="4" t="n"/>
      <c r="L832" s="4" t="n"/>
      <c r="M832" s="4" t="n"/>
      <c r="N832" s="4" t="n"/>
      <c r="O832" s="4" t="n"/>
      <c r="P832" s="4" t="n"/>
      <c r="Q832" s="4" t="n"/>
      <c r="R832" s="4" t="n"/>
    </row>
    <row r="833" ht="15.75" customHeight="1" s="108">
      <c r="A833" s="4" t="n"/>
      <c r="B833" s="4" t="n"/>
      <c r="C833" s="4" t="n"/>
      <c r="D833" s="4" t="n"/>
      <c r="E833" s="4" t="n"/>
      <c r="F833" s="4" t="n"/>
      <c r="G833" s="4" t="n"/>
      <c r="H833" s="4" t="n"/>
      <c r="I833" s="4" t="n"/>
      <c r="J833" s="4" t="n"/>
      <c r="K833" s="4" t="n"/>
      <c r="L833" s="4" t="n"/>
      <c r="M833" s="4" t="n"/>
      <c r="N833" s="4" t="n"/>
      <c r="O833" s="4" t="n"/>
      <c r="P833" s="4" t="n"/>
      <c r="Q833" s="4" t="n"/>
      <c r="R833" s="4" t="n"/>
    </row>
    <row r="834" ht="15.75" customHeight="1" s="108">
      <c r="A834" s="4" t="n"/>
      <c r="B834" s="4" t="n"/>
      <c r="C834" s="4" t="n"/>
      <c r="D834" s="4" t="n"/>
      <c r="E834" s="4" t="n"/>
      <c r="F834" s="4" t="n"/>
      <c r="G834" s="4" t="n"/>
      <c r="H834" s="4" t="n"/>
      <c r="I834" s="4" t="n"/>
      <c r="J834" s="4" t="n"/>
      <c r="K834" s="4" t="n"/>
      <c r="L834" s="4" t="n"/>
      <c r="M834" s="4" t="n"/>
      <c r="N834" s="4" t="n"/>
      <c r="O834" s="4" t="n"/>
      <c r="P834" s="4" t="n"/>
      <c r="Q834" s="4" t="n"/>
      <c r="R834" s="4" t="n"/>
    </row>
    <row r="835" ht="15.75" customHeight="1" s="108">
      <c r="A835" s="4" t="n"/>
      <c r="B835" s="4" t="n"/>
      <c r="C835" s="4" t="n"/>
      <c r="D835" s="4" t="n"/>
      <c r="E835" s="4" t="n"/>
      <c r="F835" s="4" t="n"/>
      <c r="G835" s="4" t="n"/>
      <c r="H835" s="4" t="n"/>
      <c r="I835" s="4" t="n"/>
      <c r="J835" s="4" t="n"/>
      <c r="K835" s="4" t="n"/>
      <c r="L835" s="4" t="n"/>
      <c r="M835" s="4" t="n"/>
      <c r="N835" s="4" t="n"/>
      <c r="O835" s="4" t="n"/>
      <c r="P835" s="4" t="n"/>
      <c r="Q835" s="4" t="n"/>
      <c r="R835" s="4" t="n"/>
    </row>
    <row r="836" ht="15.75" customHeight="1" s="108">
      <c r="A836" s="4" t="n"/>
      <c r="B836" s="4" t="n"/>
      <c r="C836" s="4" t="n"/>
      <c r="D836" s="4" t="n"/>
      <c r="E836" s="4" t="n"/>
      <c r="F836" s="4" t="n"/>
      <c r="G836" s="4" t="n"/>
      <c r="H836" s="4" t="n"/>
      <c r="I836" s="4" t="n"/>
      <c r="J836" s="4" t="n"/>
      <c r="K836" s="4" t="n"/>
      <c r="L836" s="4" t="n"/>
      <c r="M836" s="4" t="n"/>
      <c r="N836" s="4" t="n"/>
      <c r="O836" s="4" t="n"/>
      <c r="P836" s="4" t="n"/>
      <c r="Q836" s="4" t="n"/>
      <c r="R836" s="4" t="n"/>
    </row>
    <row r="837" ht="15.75" customHeight="1" s="108">
      <c r="A837" s="4" t="n"/>
      <c r="B837" s="4" t="n"/>
      <c r="C837" s="4" t="n"/>
      <c r="D837" s="4" t="n"/>
      <c r="E837" s="4" t="n"/>
      <c r="F837" s="4" t="n"/>
      <c r="G837" s="4" t="n"/>
      <c r="H837" s="4" t="n"/>
      <c r="I837" s="4" t="n"/>
      <c r="J837" s="4" t="n"/>
      <c r="K837" s="4" t="n"/>
      <c r="L837" s="4" t="n"/>
      <c r="M837" s="4" t="n"/>
      <c r="N837" s="4" t="n"/>
      <c r="O837" s="4" t="n"/>
      <c r="P837" s="4" t="n"/>
      <c r="Q837" s="4" t="n"/>
      <c r="R837" s="4" t="n"/>
    </row>
    <row r="838" ht="15.75" customHeight="1" s="108">
      <c r="A838" s="4" t="n"/>
      <c r="B838" s="4" t="n"/>
      <c r="C838" s="4" t="n"/>
      <c r="D838" s="4" t="n"/>
      <c r="E838" s="4" t="n"/>
      <c r="F838" s="4" t="n"/>
      <c r="G838" s="4" t="n"/>
      <c r="H838" s="4" t="n"/>
      <c r="I838" s="4" t="n"/>
      <c r="J838" s="4" t="n"/>
      <c r="K838" s="4" t="n"/>
      <c r="L838" s="4" t="n"/>
      <c r="M838" s="4" t="n"/>
      <c r="N838" s="4" t="n"/>
      <c r="O838" s="4" t="n"/>
      <c r="P838" s="4" t="n"/>
      <c r="Q838" s="4" t="n"/>
      <c r="R838" s="4" t="n"/>
    </row>
    <row r="839" ht="15.75" customHeight="1" s="108">
      <c r="A839" s="4" t="n"/>
      <c r="B839" s="4" t="n"/>
      <c r="C839" s="4" t="n"/>
      <c r="D839" s="4" t="n"/>
      <c r="E839" s="4" t="n"/>
      <c r="F839" s="4" t="n"/>
      <c r="G839" s="4" t="n"/>
      <c r="H839" s="4" t="n"/>
      <c r="I839" s="4" t="n"/>
      <c r="J839" s="4" t="n"/>
      <c r="K839" s="4" t="n"/>
      <c r="L839" s="4" t="n"/>
      <c r="M839" s="4" t="n"/>
      <c r="N839" s="4" t="n"/>
      <c r="O839" s="4" t="n"/>
      <c r="P839" s="4" t="n"/>
      <c r="Q839" s="4" t="n"/>
      <c r="R839" s="4" t="n"/>
    </row>
    <row r="840" ht="15.75" customHeight="1" s="108">
      <c r="A840" s="4" t="n"/>
      <c r="B840" s="4" t="n"/>
      <c r="C840" s="4" t="n"/>
      <c r="D840" s="4" t="n"/>
      <c r="E840" s="4" t="n"/>
      <c r="F840" s="4" t="n"/>
      <c r="G840" s="4" t="n"/>
      <c r="H840" s="4" t="n"/>
      <c r="I840" s="4" t="n"/>
      <c r="J840" s="4" t="n"/>
      <c r="K840" s="4" t="n"/>
      <c r="L840" s="4" t="n"/>
      <c r="M840" s="4" t="n"/>
      <c r="N840" s="4" t="n"/>
      <c r="O840" s="4" t="n"/>
      <c r="P840" s="4" t="n"/>
      <c r="Q840" s="4" t="n"/>
      <c r="R840" s="4" t="n"/>
    </row>
    <row r="841" ht="15.75" customHeight="1" s="108">
      <c r="A841" s="4" t="n"/>
      <c r="B841" s="4" t="n"/>
      <c r="C841" s="4" t="n"/>
      <c r="D841" s="4" t="n"/>
      <c r="E841" s="4" t="n"/>
      <c r="F841" s="4" t="n"/>
      <c r="G841" s="4" t="n"/>
      <c r="H841" s="4" t="n"/>
      <c r="I841" s="4" t="n"/>
      <c r="J841" s="4" t="n"/>
      <c r="K841" s="4" t="n"/>
      <c r="L841" s="4" t="n"/>
      <c r="M841" s="4" t="n"/>
      <c r="N841" s="4" t="n"/>
      <c r="O841" s="4" t="n"/>
      <c r="P841" s="4" t="n"/>
      <c r="Q841" s="4" t="n"/>
      <c r="R841" s="4" t="n"/>
    </row>
    <row r="842" ht="15.75" customHeight="1" s="108">
      <c r="A842" s="4" t="n"/>
      <c r="B842" s="4" t="n"/>
      <c r="C842" s="4" t="n"/>
      <c r="D842" s="4" t="n"/>
      <c r="E842" s="4" t="n"/>
      <c r="F842" s="4" t="n"/>
      <c r="G842" s="4" t="n"/>
      <c r="H842" s="4" t="n"/>
      <c r="I842" s="4" t="n"/>
      <c r="J842" s="4" t="n"/>
      <c r="K842" s="4" t="n"/>
      <c r="L842" s="4" t="n"/>
      <c r="M842" s="4" t="n"/>
      <c r="N842" s="4" t="n"/>
      <c r="O842" s="4" t="n"/>
      <c r="P842" s="4" t="n"/>
      <c r="Q842" s="4" t="n"/>
      <c r="R842" s="4" t="n"/>
    </row>
    <row r="843" ht="15.75" customHeight="1" s="108">
      <c r="A843" s="4" t="n"/>
      <c r="B843" s="4" t="n"/>
      <c r="C843" s="4" t="n"/>
      <c r="D843" s="4" t="n"/>
      <c r="E843" s="4" t="n"/>
      <c r="F843" s="4" t="n"/>
      <c r="G843" s="4" t="n"/>
      <c r="H843" s="4" t="n"/>
      <c r="I843" s="4" t="n"/>
      <c r="J843" s="4" t="n"/>
      <c r="K843" s="4" t="n"/>
      <c r="L843" s="4" t="n"/>
      <c r="M843" s="4" t="n"/>
      <c r="N843" s="4" t="n"/>
      <c r="O843" s="4" t="n"/>
      <c r="P843" s="4" t="n"/>
      <c r="Q843" s="4" t="n"/>
      <c r="R843" s="4" t="n"/>
    </row>
    <row r="844" ht="15.75" customHeight="1" s="108">
      <c r="A844" s="4" t="n"/>
      <c r="B844" s="4" t="n"/>
      <c r="C844" s="4" t="n"/>
      <c r="D844" s="4" t="n"/>
      <c r="E844" s="4" t="n"/>
      <c r="F844" s="4" t="n"/>
      <c r="G844" s="4" t="n"/>
      <c r="H844" s="4" t="n"/>
      <c r="I844" s="4" t="n"/>
      <c r="J844" s="4" t="n"/>
      <c r="K844" s="4" t="n"/>
      <c r="L844" s="4" t="n"/>
      <c r="M844" s="4" t="n"/>
      <c r="N844" s="4" t="n"/>
      <c r="O844" s="4" t="n"/>
      <c r="P844" s="4" t="n"/>
      <c r="Q844" s="4" t="n"/>
      <c r="R844" s="4" t="n"/>
    </row>
    <row r="845" ht="15.75" customHeight="1" s="108">
      <c r="A845" s="4" t="n"/>
      <c r="B845" s="4" t="n"/>
      <c r="C845" s="4" t="n"/>
      <c r="D845" s="4" t="n"/>
      <c r="E845" s="4" t="n"/>
      <c r="F845" s="4" t="n"/>
      <c r="G845" s="4" t="n"/>
      <c r="H845" s="4" t="n"/>
      <c r="I845" s="4" t="n"/>
      <c r="J845" s="4" t="n"/>
      <c r="K845" s="4" t="n"/>
      <c r="L845" s="4" t="n"/>
      <c r="M845" s="4" t="n"/>
      <c r="N845" s="4" t="n"/>
      <c r="O845" s="4" t="n"/>
      <c r="P845" s="4" t="n"/>
      <c r="Q845" s="4" t="n"/>
      <c r="R845" s="4" t="n"/>
    </row>
    <row r="846" ht="15.75" customHeight="1" s="108">
      <c r="A846" s="4" t="n"/>
      <c r="B846" s="4" t="n"/>
      <c r="C846" s="4" t="n"/>
      <c r="D846" s="4" t="n"/>
      <c r="E846" s="4" t="n"/>
      <c r="F846" s="4" t="n"/>
      <c r="G846" s="4" t="n"/>
      <c r="H846" s="4" t="n"/>
      <c r="I846" s="4" t="n"/>
      <c r="J846" s="4" t="n"/>
      <c r="K846" s="4" t="n"/>
      <c r="L846" s="4" t="n"/>
      <c r="M846" s="4" t="n"/>
      <c r="N846" s="4" t="n"/>
      <c r="O846" s="4" t="n"/>
      <c r="P846" s="4" t="n"/>
      <c r="Q846" s="4" t="n"/>
      <c r="R846" s="4" t="n"/>
    </row>
    <row r="847" ht="15.75" customHeight="1" s="108">
      <c r="A847" s="4" t="n"/>
      <c r="B847" s="4" t="n"/>
      <c r="C847" s="4" t="n"/>
      <c r="D847" s="4" t="n"/>
      <c r="E847" s="4" t="n"/>
      <c r="F847" s="4" t="n"/>
      <c r="G847" s="4" t="n"/>
      <c r="H847" s="4" t="n"/>
      <c r="I847" s="4" t="n"/>
      <c r="J847" s="4" t="n"/>
      <c r="K847" s="4" t="n"/>
      <c r="L847" s="4" t="n"/>
      <c r="M847" s="4" t="n"/>
      <c r="N847" s="4" t="n"/>
      <c r="O847" s="4" t="n"/>
      <c r="P847" s="4" t="n"/>
      <c r="Q847" s="4" t="n"/>
      <c r="R847" s="4" t="n"/>
    </row>
    <row r="848" ht="15.75" customHeight="1" s="108">
      <c r="A848" s="4" t="n"/>
      <c r="B848" s="4" t="n"/>
      <c r="C848" s="4" t="n"/>
      <c r="D848" s="4" t="n"/>
      <c r="E848" s="4" t="n"/>
      <c r="F848" s="4" t="n"/>
      <c r="G848" s="4" t="n"/>
      <c r="H848" s="4" t="n"/>
      <c r="I848" s="4" t="n"/>
      <c r="J848" s="4" t="n"/>
      <c r="K848" s="4" t="n"/>
      <c r="L848" s="4" t="n"/>
      <c r="M848" s="4" t="n"/>
      <c r="N848" s="4" t="n"/>
      <c r="O848" s="4" t="n"/>
      <c r="P848" s="4" t="n"/>
      <c r="Q848" s="4" t="n"/>
      <c r="R848" s="4" t="n"/>
    </row>
    <row r="849" ht="15.75" customHeight="1" s="108">
      <c r="A849" s="4" t="n"/>
      <c r="B849" s="4" t="n"/>
      <c r="C849" s="4" t="n"/>
      <c r="D849" s="4" t="n"/>
      <c r="E849" s="4" t="n"/>
      <c r="F849" s="4" t="n"/>
      <c r="G849" s="4" t="n"/>
      <c r="H849" s="4" t="n"/>
      <c r="I849" s="4" t="n"/>
      <c r="J849" s="4" t="n"/>
      <c r="K849" s="4" t="n"/>
      <c r="L849" s="4" t="n"/>
      <c r="M849" s="4" t="n"/>
      <c r="N849" s="4" t="n"/>
      <c r="O849" s="4" t="n"/>
      <c r="P849" s="4" t="n"/>
      <c r="Q849" s="4" t="n"/>
      <c r="R849" s="4" t="n"/>
    </row>
    <row r="850" ht="15.75" customHeight="1" s="108">
      <c r="A850" s="4" t="n"/>
      <c r="B850" s="4" t="n"/>
      <c r="C850" s="4" t="n"/>
      <c r="D850" s="4" t="n"/>
      <c r="E850" s="4" t="n"/>
      <c r="F850" s="4" t="n"/>
      <c r="G850" s="4" t="n"/>
      <c r="H850" s="4" t="n"/>
      <c r="I850" s="4" t="n"/>
      <c r="J850" s="4" t="n"/>
      <c r="K850" s="4" t="n"/>
      <c r="L850" s="4" t="n"/>
      <c r="M850" s="4" t="n"/>
      <c r="N850" s="4" t="n"/>
      <c r="O850" s="4" t="n"/>
      <c r="P850" s="4" t="n"/>
      <c r="Q850" s="4" t="n"/>
      <c r="R850" s="4" t="n"/>
    </row>
    <row r="851" ht="15.75" customHeight="1" s="108">
      <c r="A851" s="4" t="n"/>
      <c r="B851" s="4" t="n"/>
      <c r="C851" s="4" t="n"/>
      <c r="D851" s="4" t="n"/>
      <c r="E851" s="4" t="n"/>
      <c r="F851" s="4" t="n"/>
      <c r="G851" s="4" t="n"/>
      <c r="H851" s="4" t="n"/>
      <c r="I851" s="4" t="n"/>
      <c r="J851" s="4" t="n"/>
      <c r="K851" s="4" t="n"/>
      <c r="L851" s="4" t="n"/>
      <c r="M851" s="4" t="n"/>
      <c r="N851" s="4" t="n"/>
      <c r="O851" s="4" t="n"/>
      <c r="P851" s="4" t="n"/>
      <c r="Q851" s="4" t="n"/>
      <c r="R851" s="4" t="n"/>
    </row>
    <row r="852" ht="15.75" customHeight="1" s="108">
      <c r="A852" s="4" t="n"/>
      <c r="B852" s="4" t="n"/>
      <c r="C852" s="4" t="n"/>
      <c r="D852" s="4" t="n"/>
      <c r="E852" s="4" t="n"/>
      <c r="F852" s="4" t="n"/>
      <c r="G852" s="4" t="n"/>
      <c r="H852" s="4" t="n"/>
      <c r="I852" s="4" t="n"/>
      <c r="J852" s="4" t="n"/>
      <c r="K852" s="4" t="n"/>
      <c r="L852" s="4" t="n"/>
      <c r="M852" s="4" t="n"/>
      <c r="N852" s="4" t="n"/>
      <c r="O852" s="4" t="n"/>
      <c r="P852" s="4" t="n"/>
      <c r="Q852" s="4" t="n"/>
      <c r="R852" s="4" t="n"/>
    </row>
    <row r="853" ht="15.75" customHeight="1" s="108">
      <c r="A853" s="4" t="n"/>
      <c r="B853" s="4" t="n"/>
      <c r="C853" s="4" t="n"/>
      <c r="D853" s="4" t="n"/>
      <c r="E853" s="4" t="n"/>
      <c r="F853" s="4" t="n"/>
      <c r="G853" s="4" t="n"/>
      <c r="H853" s="4" t="n"/>
      <c r="I853" s="4" t="n"/>
      <c r="J853" s="4" t="n"/>
      <c r="K853" s="4" t="n"/>
      <c r="L853" s="4" t="n"/>
      <c r="M853" s="4" t="n"/>
      <c r="N853" s="4" t="n"/>
      <c r="O853" s="4" t="n"/>
      <c r="P853" s="4" t="n"/>
      <c r="Q853" s="4" t="n"/>
      <c r="R853" s="4" t="n"/>
    </row>
    <row r="854" ht="15.75" customHeight="1" s="108">
      <c r="A854" s="4" t="n"/>
      <c r="B854" s="4" t="n"/>
      <c r="C854" s="4" t="n"/>
      <c r="D854" s="4" t="n"/>
      <c r="E854" s="4" t="n"/>
      <c r="F854" s="4" t="n"/>
      <c r="G854" s="4" t="n"/>
      <c r="H854" s="4" t="n"/>
      <c r="I854" s="4" t="n"/>
      <c r="J854" s="4" t="n"/>
      <c r="K854" s="4" t="n"/>
      <c r="L854" s="4" t="n"/>
      <c r="M854" s="4" t="n"/>
      <c r="N854" s="4" t="n"/>
      <c r="O854" s="4" t="n"/>
      <c r="P854" s="4" t="n"/>
      <c r="Q854" s="4" t="n"/>
      <c r="R854" s="4" t="n"/>
    </row>
    <row r="855" ht="15.75" customHeight="1" s="108">
      <c r="A855" s="4" t="n"/>
      <c r="B855" s="4" t="n"/>
      <c r="C855" s="4" t="n"/>
      <c r="D855" s="4" t="n"/>
      <c r="E855" s="4" t="n"/>
      <c r="F855" s="4" t="n"/>
      <c r="G855" s="4" t="n"/>
      <c r="H855" s="4" t="n"/>
      <c r="I855" s="4" t="n"/>
      <c r="J855" s="4" t="n"/>
      <c r="K855" s="4" t="n"/>
      <c r="L855" s="4" t="n"/>
      <c r="M855" s="4" t="n"/>
      <c r="N855" s="4" t="n"/>
      <c r="O855" s="4" t="n"/>
      <c r="P855" s="4" t="n"/>
      <c r="Q855" s="4" t="n"/>
      <c r="R855" s="4" t="n"/>
    </row>
    <row r="856" ht="15.75" customHeight="1" s="108">
      <c r="A856" s="4" t="n"/>
      <c r="B856" s="4" t="n"/>
      <c r="C856" s="4" t="n"/>
      <c r="D856" s="4" t="n"/>
      <c r="E856" s="4" t="n"/>
      <c r="F856" s="4" t="n"/>
      <c r="G856" s="4" t="n"/>
      <c r="H856" s="4" t="n"/>
      <c r="I856" s="4" t="n"/>
      <c r="J856" s="4" t="n"/>
      <c r="K856" s="4" t="n"/>
      <c r="L856" s="4" t="n"/>
      <c r="M856" s="4" t="n"/>
      <c r="N856" s="4" t="n"/>
      <c r="O856" s="4" t="n"/>
      <c r="P856" s="4" t="n"/>
      <c r="Q856" s="4" t="n"/>
      <c r="R856" s="4" t="n"/>
    </row>
    <row r="857" ht="15.75" customHeight="1" s="108">
      <c r="A857" s="4" t="n"/>
      <c r="B857" s="4" t="n"/>
      <c r="C857" s="4" t="n"/>
      <c r="D857" s="4" t="n"/>
      <c r="E857" s="4" t="n"/>
      <c r="F857" s="4" t="n"/>
      <c r="G857" s="4" t="n"/>
      <c r="H857" s="4" t="n"/>
      <c r="I857" s="4" t="n"/>
      <c r="J857" s="4" t="n"/>
      <c r="K857" s="4" t="n"/>
      <c r="L857" s="4" t="n"/>
      <c r="M857" s="4" t="n"/>
      <c r="N857" s="4" t="n"/>
      <c r="O857" s="4" t="n"/>
      <c r="P857" s="4" t="n"/>
      <c r="Q857" s="4" t="n"/>
      <c r="R857" s="4" t="n"/>
    </row>
    <row r="858" ht="15.75" customHeight="1" s="108">
      <c r="A858" s="4" t="n"/>
      <c r="B858" s="4" t="n"/>
      <c r="C858" s="4" t="n"/>
      <c r="D858" s="4" t="n"/>
      <c r="E858" s="4" t="n"/>
      <c r="F858" s="4" t="n"/>
      <c r="G858" s="4" t="n"/>
      <c r="H858" s="4" t="n"/>
      <c r="I858" s="4" t="n"/>
      <c r="J858" s="4" t="n"/>
      <c r="K858" s="4" t="n"/>
      <c r="L858" s="4" t="n"/>
      <c r="M858" s="4" t="n"/>
      <c r="N858" s="4" t="n"/>
      <c r="O858" s="4" t="n"/>
      <c r="P858" s="4" t="n"/>
      <c r="Q858" s="4" t="n"/>
      <c r="R858" s="4" t="n"/>
    </row>
    <row r="859" ht="15.75" customHeight="1" s="108">
      <c r="A859" s="4" t="n"/>
      <c r="B859" s="4" t="n"/>
      <c r="C859" s="4" t="n"/>
      <c r="D859" s="4" t="n"/>
      <c r="E859" s="4" t="n"/>
      <c r="F859" s="4" t="n"/>
      <c r="G859" s="4" t="n"/>
      <c r="H859" s="4" t="n"/>
      <c r="I859" s="4" t="n"/>
      <c r="J859" s="4" t="n"/>
      <c r="K859" s="4" t="n"/>
      <c r="L859" s="4" t="n"/>
      <c r="M859" s="4" t="n"/>
      <c r="N859" s="4" t="n"/>
      <c r="O859" s="4" t="n"/>
      <c r="P859" s="4" t="n"/>
      <c r="Q859" s="4" t="n"/>
      <c r="R859" s="4" t="n"/>
    </row>
    <row r="860" ht="15.75" customHeight="1" s="108">
      <c r="A860" s="4" t="n"/>
      <c r="B860" s="4" t="n"/>
      <c r="C860" s="4" t="n"/>
      <c r="D860" s="4" t="n"/>
      <c r="E860" s="4" t="n"/>
      <c r="F860" s="4" t="n"/>
      <c r="G860" s="4" t="n"/>
      <c r="H860" s="4" t="n"/>
      <c r="I860" s="4" t="n"/>
      <c r="J860" s="4" t="n"/>
      <c r="K860" s="4" t="n"/>
      <c r="L860" s="4" t="n"/>
      <c r="M860" s="4" t="n"/>
      <c r="N860" s="4" t="n"/>
      <c r="O860" s="4" t="n"/>
      <c r="P860" s="4" t="n"/>
      <c r="Q860" s="4" t="n"/>
      <c r="R860" s="4" t="n"/>
    </row>
    <row r="861" ht="15.75" customHeight="1" s="108">
      <c r="A861" s="4" t="n"/>
      <c r="B861" s="4" t="n"/>
      <c r="C861" s="4" t="n"/>
      <c r="D861" s="4" t="n"/>
      <c r="E861" s="4" t="n"/>
      <c r="F861" s="4" t="n"/>
      <c r="G861" s="4" t="n"/>
      <c r="H861" s="4" t="n"/>
      <c r="I861" s="4" t="n"/>
      <c r="J861" s="4" t="n"/>
      <c r="K861" s="4" t="n"/>
      <c r="L861" s="4" t="n"/>
      <c r="M861" s="4" t="n"/>
      <c r="N861" s="4" t="n"/>
      <c r="O861" s="4" t="n"/>
      <c r="P861" s="4" t="n"/>
      <c r="Q861" s="4" t="n"/>
      <c r="R861" s="4" t="n"/>
    </row>
    <row r="862" ht="15.75" customHeight="1" s="108">
      <c r="A862" s="4" t="n"/>
      <c r="B862" s="4" t="n"/>
      <c r="C862" s="4" t="n"/>
      <c r="D862" s="4" t="n"/>
      <c r="E862" s="4" t="n"/>
      <c r="F862" s="4" t="n"/>
      <c r="G862" s="4" t="n"/>
      <c r="H862" s="4" t="n"/>
      <c r="I862" s="4" t="n"/>
      <c r="J862" s="4" t="n"/>
      <c r="K862" s="4" t="n"/>
      <c r="L862" s="4" t="n"/>
      <c r="M862" s="4" t="n"/>
      <c r="N862" s="4" t="n"/>
      <c r="O862" s="4" t="n"/>
      <c r="P862" s="4" t="n"/>
      <c r="Q862" s="4" t="n"/>
      <c r="R862" s="4" t="n"/>
    </row>
    <row r="863" ht="15.75" customHeight="1" s="108">
      <c r="A863" s="4" t="n"/>
      <c r="B863" s="4" t="n"/>
      <c r="C863" s="4" t="n"/>
      <c r="D863" s="4" t="n"/>
      <c r="E863" s="4" t="n"/>
      <c r="F863" s="4" t="n"/>
      <c r="G863" s="4" t="n"/>
      <c r="H863" s="4" t="n"/>
      <c r="I863" s="4" t="n"/>
      <c r="J863" s="4" t="n"/>
      <c r="K863" s="4" t="n"/>
      <c r="L863" s="4" t="n"/>
      <c r="M863" s="4" t="n"/>
      <c r="N863" s="4" t="n"/>
      <c r="O863" s="4" t="n"/>
      <c r="P863" s="4" t="n"/>
      <c r="Q863" s="4" t="n"/>
      <c r="R863" s="4" t="n"/>
    </row>
    <row r="864" ht="15.75" customHeight="1" s="108">
      <c r="A864" s="4" t="n"/>
      <c r="B864" s="4" t="n"/>
      <c r="C864" s="4" t="n"/>
      <c r="D864" s="4" t="n"/>
      <c r="E864" s="4" t="n"/>
      <c r="F864" s="4" t="n"/>
      <c r="G864" s="4" t="n"/>
      <c r="H864" s="4" t="n"/>
      <c r="I864" s="4" t="n"/>
      <c r="J864" s="4" t="n"/>
      <c r="K864" s="4" t="n"/>
      <c r="L864" s="4" t="n"/>
      <c r="M864" s="4" t="n"/>
      <c r="N864" s="4" t="n"/>
      <c r="O864" s="4" t="n"/>
      <c r="P864" s="4" t="n"/>
      <c r="Q864" s="4" t="n"/>
      <c r="R864" s="4" t="n"/>
    </row>
    <row r="865" ht="15.75" customHeight="1" s="108">
      <c r="A865" s="4" t="n"/>
      <c r="B865" s="4" t="n"/>
      <c r="C865" s="4" t="n"/>
      <c r="D865" s="4" t="n"/>
      <c r="E865" s="4" t="n"/>
      <c r="F865" s="4" t="n"/>
      <c r="G865" s="4" t="n"/>
      <c r="H865" s="4" t="n"/>
      <c r="I865" s="4" t="n"/>
      <c r="J865" s="4" t="n"/>
      <c r="K865" s="4" t="n"/>
      <c r="L865" s="4" t="n"/>
      <c r="M865" s="4" t="n"/>
      <c r="N865" s="4" t="n"/>
      <c r="O865" s="4" t="n"/>
      <c r="P865" s="4" t="n"/>
      <c r="Q865" s="4" t="n"/>
      <c r="R865" s="4" t="n"/>
    </row>
    <row r="866" ht="15.75" customHeight="1" s="108">
      <c r="A866" s="4" t="n"/>
      <c r="B866" s="4" t="n"/>
      <c r="C866" s="4" t="n"/>
      <c r="D866" s="4" t="n"/>
      <c r="E866" s="4" t="n"/>
      <c r="F866" s="4" t="n"/>
      <c r="G866" s="4" t="n"/>
      <c r="H866" s="4" t="n"/>
      <c r="I866" s="4" t="n"/>
      <c r="J866" s="4" t="n"/>
      <c r="K866" s="4" t="n"/>
      <c r="L866" s="4" t="n"/>
      <c r="M866" s="4" t="n"/>
      <c r="N866" s="4" t="n"/>
      <c r="O866" s="4" t="n"/>
      <c r="P866" s="4" t="n"/>
      <c r="Q866" s="4" t="n"/>
      <c r="R866" s="4" t="n"/>
    </row>
    <row r="867" ht="15.75" customHeight="1" s="108">
      <c r="A867" s="4" t="n"/>
      <c r="B867" s="4" t="n"/>
      <c r="C867" s="4" t="n"/>
      <c r="D867" s="4" t="n"/>
      <c r="E867" s="4" t="n"/>
      <c r="F867" s="4" t="n"/>
      <c r="G867" s="4" t="n"/>
      <c r="H867" s="4" t="n"/>
      <c r="I867" s="4" t="n"/>
      <c r="J867" s="4" t="n"/>
      <c r="K867" s="4" t="n"/>
      <c r="L867" s="4" t="n"/>
      <c r="M867" s="4" t="n"/>
      <c r="N867" s="4" t="n"/>
      <c r="O867" s="4" t="n"/>
      <c r="P867" s="4" t="n"/>
      <c r="Q867" s="4" t="n"/>
      <c r="R867" s="4" t="n"/>
    </row>
    <row r="868" ht="15.75" customHeight="1" s="108">
      <c r="A868" s="4" t="n"/>
      <c r="B868" s="4" t="n"/>
      <c r="C868" s="4" t="n"/>
      <c r="D868" s="4" t="n"/>
      <c r="E868" s="4" t="n"/>
      <c r="F868" s="4" t="n"/>
      <c r="G868" s="4" t="n"/>
      <c r="H868" s="4" t="n"/>
      <c r="I868" s="4" t="n"/>
      <c r="J868" s="4" t="n"/>
      <c r="K868" s="4" t="n"/>
      <c r="L868" s="4" t="n"/>
      <c r="M868" s="4" t="n"/>
      <c r="N868" s="4" t="n"/>
      <c r="O868" s="4" t="n"/>
      <c r="P868" s="4" t="n"/>
      <c r="Q868" s="4" t="n"/>
      <c r="R868" s="4" t="n"/>
    </row>
    <row r="869" ht="15.75" customHeight="1" s="108">
      <c r="A869" s="4" t="n"/>
      <c r="B869" s="4" t="n"/>
      <c r="C869" s="4" t="n"/>
      <c r="D869" s="4" t="n"/>
      <c r="E869" s="4" t="n"/>
      <c r="F869" s="4" t="n"/>
      <c r="G869" s="4" t="n"/>
      <c r="H869" s="4" t="n"/>
      <c r="I869" s="4" t="n"/>
      <c r="J869" s="4" t="n"/>
      <c r="K869" s="4" t="n"/>
      <c r="L869" s="4" t="n"/>
      <c r="M869" s="4" t="n"/>
      <c r="N869" s="4" t="n"/>
      <c r="O869" s="4" t="n"/>
      <c r="P869" s="4" t="n"/>
      <c r="Q869" s="4" t="n"/>
      <c r="R869" s="4" t="n"/>
    </row>
    <row r="870" ht="15.75" customHeight="1" s="108">
      <c r="A870" s="4" t="n"/>
      <c r="B870" s="4" t="n"/>
      <c r="C870" s="4" t="n"/>
      <c r="D870" s="4" t="n"/>
      <c r="E870" s="4" t="n"/>
      <c r="F870" s="4" t="n"/>
      <c r="G870" s="4" t="n"/>
      <c r="H870" s="4" t="n"/>
      <c r="I870" s="4" t="n"/>
      <c r="J870" s="4" t="n"/>
      <c r="K870" s="4" t="n"/>
      <c r="L870" s="4" t="n"/>
      <c r="M870" s="4" t="n"/>
      <c r="N870" s="4" t="n"/>
      <c r="O870" s="4" t="n"/>
      <c r="P870" s="4" t="n"/>
      <c r="Q870" s="4" t="n"/>
      <c r="R870" s="4" t="n"/>
    </row>
    <row r="871" ht="15.75" customHeight="1" s="108">
      <c r="A871" s="4" t="n"/>
      <c r="B871" s="4" t="n"/>
      <c r="C871" s="4" t="n"/>
      <c r="D871" s="4" t="n"/>
      <c r="E871" s="4" t="n"/>
      <c r="F871" s="4" t="n"/>
      <c r="G871" s="4" t="n"/>
      <c r="H871" s="4" t="n"/>
      <c r="I871" s="4" t="n"/>
      <c r="J871" s="4" t="n"/>
      <c r="K871" s="4" t="n"/>
      <c r="L871" s="4" t="n"/>
      <c r="M871" s="4" t="n"/>
      <c r="N871" s="4" t="n"/>
      <c r="O871" s="4" t="n"/>
      <c r="P871" s="4" t="n"/>
      <c r="Q871" s="4" t="n"/>
      <c r="R871" s="4" t="n"/>
    </row>
    <row r="872" ht="15.75" customHeight="1" s="108">
      <c r="A872" s="4" t="n"/>
      <c r="B872" s="4" t="n"/>
      <c r="C872" s="4" t="n"/>
      <c r="D872" s="4" t="n"/>
      <c r="E872" s="4" t="n"/>
      <c r="F872" s="4" t="n"/>
      <c r="G872" s="4" t="n"/>
      <c r="H872" s="4" t="n"/>
      <c r="I872" s="4" t="n"/>
      <c r="J872" s="4" t="n"/>
      <c r="K872" s="4" t="n"/>
      <c r="L872" s="4" t="n"/>
      <c r="M872" s="4" t="n"/>
      <c r="N872" s="4" t="n"/>
      <c r="O872" s="4" t="n"/>
      <c r="P872" s="4" t="n"/>
      <c r="Q872" s="4" t="n"/>
      <c r="R872" s="4" t="n"/>
    </row>
    <row r="873" ht="15.75" customHeight="1" s="108">
      <c r="A873" s="4" t="n"/>
      <c r="B873" s="4" t="n"/>
      <c r="C873" s="4" t="n"/>
      <c r="D873" s="4" t="n"/>
      <c r="E873" s="4" t="n"/>
      <c r="F873" s="4" t="n"/>
      <c r="G873" s="4" t="n"/>
      <c r="H873" s="4" t="n"/>
      <c r="I873" s="4" t="n"/>
      <c r="J873" s="4" t="n"/>
      <c r="K873" s="4" t="n"/>
      <c r="L873" s="4" t="n"/>
      <c r="M873" s="4" t="n"/>
      <c r="N873" s="4" t="n"/>
      <c r="O873" s="4" t="n"/>
      <c r="P873" s="4" t="n"/>
      <c r="Q873" s="4" t="n"/>
      <c r="R873" s="4" t="n"/>
    </row>
    <row r="874" ht="15.75" customHeight="1" s="108">
      <c r="A874" s="4" t="n"/>
      <c r="B874" s="4" t="n"/>
      <c r="C874" s="4" t="n"/>
      <c r="D874" s="4" t="n"/>
      <c r="E874" s="4" t="n"/>
      <c r="F874" s="4" t="n"/>
      <c r="G874" s="4" t="n"/>
      <c r="H874" s="4" t="n"/>
      <c r="I874" s="4" t="n"/>
      <c r="J874" s="4" t="n"/>
      <c r="K874" s="4" t="n"/>
      <c r="L874" s="4" t="n"/>
      <c r="M874" s="4" t="n"/>
      <c r="N874" s="4" t="n"/>
      <c r="O874" s="4" t="n"/>
      <c r="P874" s="4" t="n"/>
      <c r="Q874" s="4" t="n"/>
      <c r="R874" s="4" t="n"/>
    </row>
    <row r="875" ht="15.75" customHeight="1" s="108">
      <c r="A875" s="4" t="n"/>
      <c r="B875" s="4" t="n"/>
      <c r="C875" s="4" t="n"/>
      <c r="D875" s="4" t="n"/>
      <c r="E875" s="4" t="n"/>
      <c r="F875" s="4" t="n"/>
      <c r="G875" s="4" t="n"/>
      <c r="H875" s="4" t="n"/>
      <c r="I875" s="4" t="n"/>
      <c r="J875" s="4" t="n"/>
      <c r="K875" s="4" t="n"/>
      <c r="L875" s="4" t="n"/>
      <c r="M875" s="4" t="n"/>
      <c r="N875" s="4" t="n"/>
      <c r="O875" s="4" t="n"/>
      <c r="P875" s="4" t="n"/>
      <c r="Q875" s="4" t="n"/>
      <c r="R875" s="4" t="n"/>
    </row>
    <row r="876" ht="15.75" customHeight="1" s="108">
      <c r="A876" s="4" t="n"/>
      <c r="B876" s="4" t="n"/>
      <c r="C876" s="4" t="n"/>
      <c r="D876" s="4" t="n"/>
      <c r="E876" s="4" t="n"/>
      <c r="F876" s="4" t="n"/>
      <c r="G876" s="4" t="n"/>
      <c r="H876" s="4" t="n"/>
      <c r="I876" s="4" t="n"/>
      <c r="J876" s="4" t="n"/>
      <c r="K876" s="4" t="n"/>
      <c r="L876" s="4" t="n"/>
      <c r="M876" s="4" t="n"/>
      <c r="N876" s="4" t="n"/>
      <c r="O876" s="4" t="n"/>
      <c r="P876" s="4" t="n"/>
      <c r="Q876" s="4" t="n"/>
      <c r="R876" s="4" t="n"/>
    </row>
    <row r="877" ht="15.75" customHeight="1" s="108">
      <c r="A877" s="4" t="n"/>
      <c r="B877" s="4" t="n"/>
      <c r="C877" s="4" t="n"/>
      <c r="D877" s="4" t="n"/>
      <c r="E877" s="4" t="n"/>
      <c r="F877" s="4" t="n"/>
      <c r="G877" s="4" t="n"/>
      <c r="H877" s="4" t="n"/>
      <c r="I877" s="4" t="n"/>
      <c r="J877" s="4" t="n"/>
      <c r="K877" s="4" t="n"/>
      <c r="L877" s="4" t="n"/>
      <c r="M877" s="4" t="n"/>
      <c r="N877" s="4" t="n"/>
      <c r="O877" s="4" t="n"/>
      <c r="P877" s="4" t="n"/>
      <c r="Q877" s="4" t="n"/>
      <c r="R877" s="4" t="n"/>
    </row>
    <row r="878" ht="15.75" customHeight="1" s="108">
      <c r="A878" s="4" t="n"/>
      <c r="B878" s="4" t="n"/>
      <c r="C878" s="4" t="n"/>
      <c r="D878" s="4" t="n"/>
      <c r="E878" s="4" t="n"/>
      <c r="F878" s="4" t="n"/>
      <c r="G878" s="4" t="n"/>
      <c r="H878" s="4" t="n"/>
      <c r="I878" s="4" t="n"/>
      <c r="J878" s="4" t="n"/>
      <c r="K878" s="4" t="n"/>
      <c r="L878" s="4" t="n"/>
      <c r="M878" s="4" t="n"/>
      <c r="N878" s="4" t="n"/>
      <c r="O878" s="4" t="n"/>
      <c r="P878" s="4" t="n"/>
      <c r="Q878" s="4" t="n"/>
      <c r="R878" s="4" t="n"/>
    </row>
    <row r="879" ht="15.75" customHeight="1" s="108">
      <c r="A879" s="4" t="n"/>
      <c r="B879" s="4" t="n"/>
      <c r="C879" s="4" t="n"/>
      <c r="D879" s="4" t="n"/>
      <c r="E879" s="4" t="n"/>
      <c r="F879" s="4" t="n"/>
      <c r="G879" s="4" t="n"/>
      <c r="H879" s="4" t="n"/>
      <c r="I879" s="4" t="n"/>
      <c r="J879" s="4" t="n"/>
      <c r="K879" s="4" t="n"/>
      <c r="L879" s="4" t="n"/>
      <c r="M879" s="4" t="n"/>
      <c r="N879" s="4" t="n"/>
      <c r="O879" s="4" t="n"/>
      <c r="P879" s="4" t="n"/>
      <c r="Q879" s="4" t="n"/>
      <c r="R879" s="4" t="n"/>
    </row>
    <row r="880" ht="15.75" customHeight="1" s="108">
      <c r="A880" s="4" t="n"/>
      <c r="B880" s="4" t="n"/>
      <c r="C880" s="4" t="n"/>
      <c r="D880" s="4" t="n"/>
      <c r="E880" s="4" t="n"/>
      <c r="F880" s="4" t="n"/>
      <c r="G880" s="4" t="n"/>
      <c r="H880" s="4" t="n"/>
      <c r="I880" s="4" t="n"/>
      <c r="J880" s="4" t="n"/>
      <c r="K880" s="4" t="n"/>
      <c r="L880" s="4" t="n"/>
      <c r="M880" s="4" t="n"/>
      <c r="N880" s="4" t="n"/>
      <c r="O880" s="4" t="n"/>
      <c r="P880" s="4" t="n"/>
      <c r="Q880" s="4" t="n"/>
      <c r="R880" s="4" t="n"/>
    </row>
    <row r="881" ht="15.75" customHeight="1" s="108">
      <c r="A881" s="4" t="n"/>
      <c r="B881" s="4" t="n"/>
      <c r="C881" s="4" t="n"/>
      <c r="D881" s="4" t="n"/>
      <c r="E881" s="4" t="n"/>
      <c r="F881" s="4" t="n"/>
      <c r="G881" s="4" t="n"/>
      <c r="H881" s="4" t="n"/>
      <c r="I881" s="4" t="n"/>
      <c r="J881" s="4" t="n"/>
      <c r="K881" s="4" t="n"/>
      <c r="L881" s="4" t="n"/>
      <c r="M881" s="4" t="n"/>
      <c r="N881" s="4" t="n"/>
      <c r="O881" s="4" t="n"/>
      <c r="P881" s="4" t="n"/>
      <c r="Q881" s="4" t="n"/>
      <c r="R881" s="4" t="n"/>
    </row>
    <row r="882" ht="15.75" customHeight="1" s="108">
      <c r="A882" s="4" t="n"/>
      <c r="B882" s="4" t="n"/>
      <c r="C882" s="4" t="n"/>
      <c r="D882" s="4" t="n"/>
      <c r="E882" s="4" t="n"/>
      <c r="F882" s="4" t="n"/>
      <c r="G882" s="4" t="n"/>
      <c r="H882" s="4" t="n"/>
      <c r="I882" s="4" t="n"/>
      <c r="J882" s="4" t="n"/>
      <c r="K882" s="4" t="n"/>
      <c r="L882" s="4" t="n"/>
      <c r="M882" s="4" t="n"/>
      <c r="N882" s="4" t="n"/>
      <c r="O882" s="4" t="n"/>
      <c r="P882" s="4" t="n"/>
      <c r="Q882" s="4" t="n"/>
      <c r="R882" s="4" t="n"/>
    </row>
    <row r="883" ht="15.75" customHeight="1" s="108">
      <c r="A883" s="4" t="n"/>
      <c r="B883" s="4" t="n"/>
      <c r="C883" s="4" t="n"/>
      <c r="D883" s="4" t="n"/>
      <c r="E883" s="4" t="n"/>
      <c r="F883" s="4" t="n"/>
      <c r="G883" s="4" t="n"/>
      <c r="H883" s="4" t="n"/>
      <c r="I883" s="4" t="n"/>
      <c r="J883" s="4" t="n"/>
      <c r="K883" s="4" t="n"/>
      <c r="L883" s="4" t="n"/>
      <c r="M883" s="4" t="n"/>
      <c r="N883" s="4" t="n"/>
      <c r="O883" s="4" t="n"/>
      <c r="P883" s="4" t="n"/>
      <c r="Q883" s="4" t="n"/>
      <c r="R883" s="4" t="n"/>
    </row>
    <row r="884" ht="15.75" customHeight="1" s="108">
      <c r="A884" s="4" t="n"/>
      <c r="B884" s="4" t="n"/>
      <c r="C884" s="4" t="n"/>
      <c r="D884" s="4" t="n"/>
      <c r="E884" s="4" t="n"/>
      <c r="F884" s="4" t="n"/>
      <c r="G884" s="4" t="n"/>
      <c r="H884" s="4" t="n"/>
      <c r="I884" s="4" t="n"/>
      <c r="J884" s="4" t="n"/>
      <c r="K884" s="4" t="n"/>
      <c r="L884" s="4" t="n"/>
      <c r="M884" s="4" t="n"/>
      <c r="N884" s="4" t="n"/>
      <c r="O884" s="4" t="n"/>
      <c r="P884" s="4" t="n"/>
      <c r="Q884" s="4" t="n"/>
      <c r="R884" s="4" t="n"/>
    </row>
    <row r="885" ht="15.75" customHeight="1" s="108">
      <c r="A885" s="4" t="n"/>
      <c r="B885" s="4" t="n"/>
      <c r="C885" s="4" t="n"/>
      <c r="D885" s="4" t="n"/>
      <c r="E885" s="4" t="n"/>
      <c r="F885" s="4" t="n"/>
      <c r="G885" s="4" t="n"/>
      <c r="H885" s="4" t="n"/>
      <c r="I885" s="4" t="n"/>
      <c r="J885" s="4" t="n"/>
      <c r="K885" s="4" t="n"/>
      <c r="L885" s="4" t="n"/>
      <c r="M885" s="4" t="n"/>
      <c r="N885" s="4" t="n"/>
      <c r="O885" s="4" t="n"/>
      <c r="P885" s="4" t="n"/>
      <c r="Q885" s="4" t="n"/>
      <c r="R885" s="4" t="n"/>
    </row>
    <row r="886" ht="15.75" customHeight="1" s="108">
      <c r="A886" s="4" t="n"/>
      <c r="B886" s="4" t="n"/>
      <c r="C886" s="4" t="n"/>
      <c r="D886" s="4" t="n"/>
      <c r="E886" s="4" t="n"/>
      <c r="F886" s="4" t="n"/>
      <c r="G886" s="4" t="n"/>
      <c r="H886" s="4" t="n"/>
      <c r="I886" s="4" t="n"/>
      <c r="J886" s="4" t="n"/>
      <c r="K886" s="4" t="n"/>
      <c r="L886" s="4" t="n"/>
      <c r="M886" s="4" t="n"/>
      <c r="N886" s="4" t="n"/>
      <c r="O886" s="4" t="n"/>
      <c r="P886" s="4" t="n"/>
      <c r="Q886" s="4" t="n"/>
      <c r="R886" s="4" t="n"/>
    </row>
    <row r="887" ht="15.75" customHeight="1" s="108">
      <c r="A887" s="4" t="n"/>
      <c r="B887" s="4" t="n"/>
      <c r="C887" s="4" t="n"/>
      <c r="D887" s="4" t="n"/>
      <c r="E887" s="4" t="n"/>
      <c r="F887" s="4" t="n"/>
      <c r="G887" s="4" t="n"/>
      <c r="H887" s="4" t="n"/>
      <c r="I887" s="4" t="n"/>
      <c r="J887" s="4" t="n"/>
      <c r="K887" s="4" t="n"/>
      <c r="L887" s="4" t="n"/>
      <c r="M887" s="4" t="n"/>
      <c r="N887" s="4" t="n"/>
      <c r="O887" s="4" t="n"/>
      <c r="P887" s="4" t="n"/>
      <c r="Q887" s="4" t="n"/>
      <c r="R887" s="4" t="n"/>
    </row>
    <row r="888" ht="15.75" customHeight="1" s="108">
      <c r="A888" s="4" t="n"/>
      <c r="B888" s="4" t="n"/>
      <c r="C888" s="4" t="n"/>
      <c r="D888" s="4" t="n"/>
      <c r="E888" s="4" t="n"/>
      <c r="F888" s="4" t="n"/>
      <c r="G888" s="4" t="n"/>
      <c r="H888" s="4" t="n"/>
      <c r="I888" s="4" t="n"/>
      <c r="J888" s="4" t="n"/>
      <c r="K888" s="4" t="n"/>
      <c r="L888" s="4" t="n"/>
      <c r="M888" s="4" t="n"/>
      <c r="N888" s="4" t="n"/>
      <c r="O888" s="4" t="n"/>
      <c r="P888" s="4" t="n"/>
      <c r="Q888" s="4" t="n"/>
      <c r="R888" s="4" t="n"/>
    </row>
    <row r="889" ht="15.75" customHeight="1" s="108">
      <c r="A889" s="4" t="n"/>
      <c r="B889" s="4" t="n"/>
      <c r="C889" s="4" t="n"/>
      <c r="D889" s="4" t="n"/>
      <c r="E889" s="4" t="n"/>
      <c r="F889" s="4" t="n"/>
      <c r="G889" s="4" t="n"/>
      <c r="H889" s="4" t="n"/>
      <c r="I889" s="4" t="n"/>
      <c r="J889" s="4" t="n"/>
      <c r="K889" s="4" t="n"/>
      <c r="L889" s="4" t="n"/>
      <c r="M889" s="4" t="n"/>
      <c r="N889" s="4" t="n"/>
      <c r="O889" s="4" t="n"/>
      <c r="P889" s="4" t="n"/>
      <c r="Q889" s="4" t="n"/>
      <c r="R889" s="4" t="n"/>
    </row>
    <row r="890" ht="15.75" customHeight="1" s="108">
      <c r="A890" s="4" t="n"/>
      <c r="B890" s="4" t="n"/>
      <c r="C890" s="4" t="n"/>
      <c r="D890" s="4" t="n"/>
      <c r="E890" s="4" t="n"/>
      <c r="F890" s="4" t="n"/>
      <c r="G890" s="4" t="n"/>
      <c r="H890" s="4" t="n"/>
      <c r="I890" s="4" t="n"/>
      <c r="J890" s="4" t="n"/>
      <c r="K890" s="4" t="n"/>
      <c r="L890" s="4" t="n"/>
      <c r="M890" s="4" t="n"/>
      <c r="N890" s="4" t="n"/>
      <c r="O890" s="4" t="n"/>
      <c r="P890" s="4" t="n"/>
      <c r="Q890" s="4" t="n"/>
      <c r="R890" s="4" t="n"/>
    </row>
    <row r="891" ht="15.75" customHeight="1" s="108">
      <c r="A891" s="4" t="n"/>
      <c r="B891" s="4" t="n"/>
      <c r="C891" s="4" t="n"/>
      <c r="D891" s="4" t="n"/>
      <c r="E891" s="4" t="n"/>
      <c r="F891" s="4" t="n"/>
      <c r="G891" s="4" t="n"/>
      <c r="H891" s="4" t="n"/>
      <c r="I891" s="4" t="n"/>
      <c r="J891" s="4" t="n"/>
      <c r="K891" s="4" t="n"/>
      <c r="L891" s="4" t="n"/>
      <c r="M891" s="4" t="n"/>
      <c r="N891" s="4" t="n"/>
      <c r="O891" s="4" t="n"/>
      <c r="P891" s="4" t="n"/>
      <c r="Q891" s="4" t="n"/>
      <c r="R891" s="4" t="n"/>
    </row>
    <row r="892" ht="15.75" customHeight="1" s="108">
      <c r="A892" s="4" t="n"/>
      <c r="B892" s="4" t="n"/>
      <c r="C892" s="4" t="n"/>
      <c r="D892" s="4" t="n"/>
      <c r="E892" s="4" t="n"/>
      <c r="F892" s="4" t="n"/>
      <c r="G892" s="4" t="n"/>
      <c r="H892" s="4" t="n"/>
      <c r="I892" s="4" t="n"/>
      <c r="J892" s="4" t="n"/>
      <c r="K892" s="4" t="n"/>
      <c r="L892" s="4" t="n"/>
      <c r="M892" s="4" t="n"/>
      <c r="N892" s="4" t="n"/>
      <c r="O892" s="4" t="n"/>
      <c r="P892" s="4" t="n"/>
      <c r="Q892" s="4" t="n"/>
      <c r="R892" s="4" t="n"/>
    </row>
    <row r="893" ht="15.75" customHeight="1" s="108">
      <c r="A893" s="4" t="n"/>
      <c r="B893" s="4" t="n"/>
      <c r="C893" s="4" t="n"/>
      <c r="D893" s="4" t="n"/>
      <c r="E893" s="4" t="n"/>
      <c r="F893" s="4" t="n"/>
      <c r="G893" s="4" t="n"/>
      <c r="H893" s="4" t="n"/>
      <c r="I893" s="4" t="n"/>
      <c r="J893" s="4" t="n"/>
      <c r="K893" s="4" t="n"/>
      <c r="L893" s="4" t="n"/>
      <c r="M893" s="4" t="n"/>
      <c r="N893" s="4" t="n"/>
      <c r="O893" s="4" t="n"/>
      <c r="P893" s="4" t="n"/>
      <c r="Q893" s="4" t="n"/>
      <c r="R893" s="4" t="n"/>
    </row>
    <row r="894" ht="15.75" customHeight="1" s="108">
      <c r="A894" s="4" t="n"/>
      <c r="B894" s="4" t="n"/>
      <c r="C894" s="4" t="n"/>
      <c r="D894" s="4" t="n"/>
      <c r="E894" s="4" t="n"/>
      <c r="F894" s="4" t="n"/>
      <c r="G894" s="4" t="n"/>
      <c r="H894" s="4" t="n"/>
      <c r="I894" s="4" t="n"/>
      <c r="J894" s="4" t="n"/>
      <c r="K894" s="4" t="n"/>
      <c r="L894" s="4" t="n"/>
      <c r="M894" s="4" t="n"/>
      <c r="N894" s="4" t="n"/>
      <c r="O894" s="4" t="n"/>
      <c r="P894" s="4" t="n"/>
      <c r="Q894" s="4" t="n"/>
      <c r="R894" s="4" t="n"/>
    </row>
    <row r="895" ht="15.75" customHeight="1" s="108">
      <c r="A895" s="4" t="n"/>
      <c r="B895" s="4" t="n"/>
      <c r="C895" s="4" t="n"/>
      <c r="D895" s="4" t="n"/>
      <c r="E895" s="4" t="n"/>
      <c r="F895" s="4" t="n"/>
      <c r="G895" s="4" t="n"/>
      <c r="H895" s="4" t="n"/>
      <c r="I895" s="4" t="n"/>
      <c r="J895" s="4" t="n"/>
      <c r="K895" s="4" t="n"/>
      <c r="L895" s="4" t="n"/>
      <c r="M895" s="4" t="n"/>
      <c r="N895" s="4" t="n"/>
      <c r="O895" s="4" t="n"/>
      <c r="P895" s="4" t="n"/>
      <c r="Q895" s="4" t="n"/>
      <c r="R895" s="4" t="n"/>
    </row>
    <row r="896" ht="15.75" customHeight="1" s="108">
      <c r="A896" s="4" t="n"/>
      <c r="B896" s="4" t="n"/>
      <c r="C896" s="4" t="n"/>
      <c r="D896" s="4" t="n"/>
      <c r="E896" s="4" t="n"/>
      <c r="F896" s="4" t="n"/>
      <c r="G896" s="4" t="n"/>
      <c r="H896" s="4" t="n"/>
      <c r="I896" s="4" t="n"/>
      <c r="J896" s="4" t="n"/>
      <c r="K896" s="4" t="n"/>
      <c r="L896" s="4" t="n"/>
      <c r="M896" s="4" t="n"/>
      <c r="N896" s="4" t="n"/>
      <c r="O896" s="4" t="n"/>
      <c r="P896" s="4" t="n"/>
      <c r="Q896" s="4" t="n"/>
      <c r="R896" s="4" t="n"/>
    </row>
    <row r="897" ht="15.75" customHeight="1" s="108">
      <c r="A897" s="4" t="n"/>
      <c r="B897" s="4" t="n"/>
      <c r="C897" s="4" t="n"/>
      <c r="D897" s="4" t="n"/>
      <c r="E897" s="4" t="n"/>
      <c r="F897" s="4" t="n"/>
      <c r="G897" s="4" t="n"/>
      <c r="H897" s="4" t="n"/>
      <c r="I897" s="4" t="n"/>
      <c r="J897" s="4" t="n"/>
      <c r="K897" s="4" t="n"/>
      <c r="L897" s="4" t="n"/>
      <c r="M897" s="4" t="n"/>
      <c r="N897" s="4" t="n"/>
      <c r="O897" s="4" t="n"/>
      <c r="P897" s="4" t="n"/>
      <c r="Q897" s="4" t="n"/>
      <c r="R897" s="4" t="n"/>
    </row>
    <row r="898" ht="15.75" customHeight="1" s="108">
      <c r="A898" s="4" t="n"/>
      <c r="B898" s="4" t="n"/>
      <c r="C898" s="4" t="n"/>
      <c r="D898" s="4" t="n"/>
      <c r="E898" s="4" t="n"/>
      <c r="F898" s="4" t="n"/>
      <c r="G898" s="4" t="n"/>
      <c r="H898" s="4" t="n"/>
      <c r="I898" s="4" t="n"/>
      <c r="J898" s="4" t="n"/>
      <c r="K898" s="4" t="n"/>
      <c r="L898" s="4" t="n"/>
      <c r="M898" s="4" t="n"/>
      <c r="N898" s="4" t="n"/>
      <c r="O898" s="4" t="n"/>
      <c r="P898" s="4" t="n"/>
      <c r="Q898" s="4" t="n"/>
      <c r="R898" s="4" t="n"/>
    </row>
    <row r="899" ht="15.75" customHeight="1" s="108">
      <c r="A899" s="4" t="n"/>
      <c r="B899" s="4" t="n"/>
      <c r="C899" s="4" t="n"/>
      <c r="D899" s="4" t="n"/>
      <c r="E899" s="4" t="n"/>
      <c r="F899" s="4" t="n"/>
      <c r="G899" s="4" t="n"/>
      <c r="H899" s="4" t="n"/>
      <c r="I899" s="4" t="n"/>
      <c r="J899" s="4" t="n"/>
      <c r="K899" s="4" t="n"/>
      <c r="L899" s="4" t="n"/>
      <c r="M899" s="4" t="n"/>
      <c r="N899" s="4" t="n"/>
      <c r="O899" s="4" t="n"/>
      <c r="P899" s="4" t="n"/>
      <c r="Q899" s="4" t="n"/>
      <c r="R899" s="4" t="n"/>
    </row>
    <row r="900" ht="15.75" customHeight="1" s="108">
      <c r="A900" s="4" t="n"/>
      <c r="B900" s="4" t="n"/>
      <c r="C900" s="4" t="n"/>
      <c r="D900" s="4" t="n"/>
      <c r="E900" s="4" t="n"/>
      <c r="F900" s="4" t="n"/>
      <c r="G900" s="4" t="n"/>
      <c r="H900" s="4" t="n"/>
      <c r="I900" s="4" t="n"/>
      <c r="J900" s="4" t="n"/>
      <c r="K900" s="4" t="n"/>
      <c r="L900" s="4" t="n"/>
      <c r="M900" s="4" t="n"/>
      <c r="N900" s="4" t="n"/>
      <c r="O900" s="4" t="n"/>
      <c r="P900" s="4" t="n"/>
      <c r="Q900" s="4" t="n"/>
      <c r="R900" s="4" t="n"/>
    </row>
    <row r="901" ht="15.75" customHeight="1" s="108">
      <c r="A901" s="4" t="n"/>
      <c r="B901" s="4" t="n"/>
      <c r="C901" s="4" t="n"/>
      <c r="D901" s="4" t="n"/>
      <c r="E901" s="4" t="n"/>
      <c r="F901" s="4" t="n"/>
      <c r="G901" s="4" t="n"/>
      <c r="H901" s="4" t="n"/>
      <c r="I901" s="4" t="n"/>
      <c r="J901" s="4" t="n"/>
      <c r="K901" s="4" t="n"/>
      <c r="L901" s="4" t="n"/>
      <c r="M901" s="4" t="n"/>
      <c r="N901" s="4" t="n"/>
      <c r="O901" s="4" t="n"/>
      <c r="P901" s="4" t="n"/>
      <c r="Q901" s="4" t="n"/>
      <c r="R901" s="4" t="n"/>
    </row>
    <row r="902" ht="15.75" customHeight="1" s="108">
      <c r="A902" s="4" t="n"/>
      <c r="B902" s="4" t="n"/>
      <c r="C902" s="4" t="n"/>
      <c r="D902" s="4" t="n"/>
      <c r="E902" s="4" t="n"/>
      <c r="F902" s="4" t="n"/>
      <c r="G902" s="4" t="n"/>
      <c r="H902" s="4" t="n"/>
      <c r="I902" s="4" t="n"/>
      <c r="J902" s="4" t="n"/>
      <c r="K902" s="4" t="n"/>
      <c r="L902" s="4" t="n"/>
      <c r="M902" s="4" t="n"/>
      <c r="N902" s="4" t="n"/>
      <c r="O902" s="4" t="n"/>
      <c r="P902" s="4" t="n"/>
      <c r="Q902" s="4" t="n"/>
      <c r="R902" s="4" t="n"/>
    </row>
    <row r="903" ht="15.75" customHeight="1" s="108">
      <c r="A903" s="4" t="n"/>
      <c r="B903" s="4" t="n"/>
      <c r="C903" s="4" t="n"/>
      <c r="D903" s="4" t="n"/>
      <c r="E903" s="4" t="n"/>
      <c r="F903" s="4" t="n"/>
      <c r="G903" s="4" t="n"/>
      <c r="H903" s="4" t="n"/>
      <c r="I903" s="4" t="n"/>
      <c r="J903" s="4" t="n"/>
      <c r="K903" s="4" t="n"/>
      <c r="L903" s="4" t="n"/>
      <c r="M903" s="4" t="n"/>
      <c r="N903" s="4" t="n"/>
      <c r="O903" s="4" t="n"/>
      <c r="P903" s="4" t="n"/>
      <c r="Q903" s="4" t="n"/>
      <c r="R903" s="4" t="n"/>
    </row>
    <row r="904" ht="15.75" customHeight="1" s="108">
      <c r="A904" s="4" t="n"/>
      <c r="B904" s="4" t="n"/>
      <c r="C904" s="4" t="n"/>
      <c r="D904" s="4" t="n"/>
      <c r="E904" s="4" t="n"/>
      <c r="F904" s="4" t="n"/>
      <c r="G904" s="4" t="n"/>
      <c r="H904" s="4" t="n"/>
      <c r="I904" s="4" t="n"/>
      <c r="J904" s="4" t="n"/>
      <c r="K904" s="4" t="n"/>
      <c r="L904" s="4" t="n"/>
      <c r="M904" s="4" t="n"/>
      <c r="N904" s="4" t="n"/>
      <c r="O904" s="4" t="n"/>
      <c r="P904" s="4" t="n"/>
      <c r="Q904" s="4" t="n"/>
      <c r="R904" s="4" t="n"/>
    </row>
    <row r="905" ht="15.75" customHeight="1" s="108">
      <c r="A905" s="4" t="n"/>
      <c r="B905" s="4" t="n"/>
      <c r="C905" s="4" t="n"/>
      <c r="D905" s="4" t="n"/>
      <c r="E905" s="4" t="n"/>
      <c r="F905" s="4" t="n"/>
      <c r="G905" s="4" t="n"/>
      <c r="H905" s="4" t="n"/>
      <c r="I905" s="4" t="n"/>
      <c r="J905" s="4" t="n"/>
      <c r="K905" s="4" t="n"/>
      <c r="L905" s="4" t="n"/>
      <c r="M905" s="4" t="n"/>
      <c r="N905" s="4" t="n"/>
      <c r="O905" s="4" t="n"/>
      <c r="P905" s="4" t="n"/>
      <c r="Q905" s="4" t="n"/>
      <c r="R905" s="4" t="n"/>
    </row>
    <row r="906" ht="15.75" customHeight="1" s="108">
      <c r="A906" s="4" t="n"/>
      <c r="B906" s="4" t="n"/>
      <c r="C906" s="4" t="n"/>
      <c r="D906" s="4" t="n"/>
      <c r="E906" s="4" t="n"/>
      <c r="F906" s="4" t="n"/>
      <c r="G906" s="4" t="n"/>
      <c r="H906" s="4" t="n"/>
      <c r="I906" s="4" t="n"/>
      <c r="J906" s="4" t="n"/>
      <c r="K906" s="4" t="n"/>
      <c r="L906" s="4" t="n"/>
      <c r="M906" s="4" t="n"/>
      <c r="N906" s="4" t="n"/>
      <c r="O906" s="4" t="n"/>
      <c r="P906" s="4" t="n"/>
      <c r="Q906" s="4" t="n"/>
      <c r="R906" s="4" t="n"/>
    </row>
    <row r="907" ht="15.75" customHeight="1" s="108">
      <c r="A907" s="4" t="n"/>
      <c r="B907" s="4" t="n"/>
      <c r="C907" s="4" t="n"/>
      <c r="D907" s="4" t="n"/>
      <c r="E907" s="4" t="n"/>
      <c r="F907" s="4" t="n"/>
      <c r="G907" s="4" t="n"/>
      <c r="H907" s="4" t="n"/>
      <c r="I907" s="4" t="n"/>
      <c r="J907" s="4" t="n"/>
      <c r="K907" s="4" t="n"/>
      <c r="L907" s="4" t="n"/>
      <c r="M907" s="4" t="n"/>
      <c r="N907" s="4" t="n"/>
      <c r="O907" s="4" t="n"/>
      <c r="P907" s="4" t="n"/>
      <c r="Q907" s="4" t="n"/>
      <c r="R907" s="4" t="n"/>
    </row>
    <row r="908" ht="15.75" customHeight="1" s="108">
      <c r="A908" s="4" t="n"/>
      <c r="B908" s="4" t="n"/>
      <c r="C908" s="4" t="n"/>
      <c r="D908" s="4" t="n"/>
      <c r="E908" s="4" t="n"/>
      <c r="F908" s="4" t="n"/>
      <c r="G908" s="4" t="n"/>
      <c r="H908" s="4" t="n"/>
      <c r="I908" s="4" t="n"/>
      <c r="J908" s="4" t="n"/>
      <c r="K908" s="4" t="n"/>
      <c r="L908" s="4" t="n"/>
      <c r="M908" s="4" t="n"/>
      <c r="N908" s="4" t="n"/>
      <c r="O908" s="4" t="n"/>
      <c r="P908" s="4" t="n"/>
      <c r="Q908" s="4" t="n"/>
      <c r="R908" s="4" t="n"/>
    </row>
    <row r="909" ht="15.75" customHeight="1" s="108">
      <c r="A909" s="4" t="n"/>
      <c r="B909" s="4" t="n"/>
      <c r="C909" s="4" t="n"/>
      <c r="D909" s="4" t="n"/>
      <c r="E909" s="4" t="n"/>
      <c r="F909" s="4" t="n"/>
      <c r="G909" s="4" t="n"/>
      <c r="H909" s="4" t="n"/>
      <c r="I909" s="4" t="n"/>
      <c r="J909" s="4" t="n"/>
      <c r="K909" s="4" t="n"/>
      <c r="L909" s="4" t="n"/>
      <c r="M909" s="4" t="n"/>
      <c r="N909" s="4" t="n"/>
      <c r="O909" s="4" t="n"/>
      <c r="P909" s="4" t="n"/>
      <c r="Q909" s="4" t="n"/>
      <c r="R909" s="4" t="n"/>
    </row>
    <row r="910" ht="15.75" customHeight="1" s="108">
      <c r="A910" s="4" t="n"/>
      <c r="B910" s="4" t="n"/>
      <c r="C910" s="4" t="n"/>
      <c r="D910" s="4" t="n"/>
      <c r="E910" s="4" t="n"/>
      <c r="F910" s="4" t="n"/>
      <c r="G910" s="4" t="n"/>
      <c r="H910" s="4" t="n"/>
      <c r="I910" s="4" t="n"/>
      <c r="J910" s="4" t="n"/>
      <c r="K910" s="4" t="n"/>
      <c r="L910" s="4" t="n"/>
      <c r="M910" s="4" t="n"/>
      <c r="N910" s="4" t="n"/>
      <c r="O910" s="4" t="n"/>
      <c r="P910" s="4" t="n"/>
      <c r="Q910" s="4" t="n"/>
      <c r="R910" s="4" t="n"/>
    </row>
    <row r="911" ht="15.75" customHeight="1" s="108">
      <c r="A911" s="4" t="n"/>
      <c r="B911" s="4" t="n"/>
      <c r="C911" s="4" t="n"/>
      <c r="D911" s="4" t="n"/>
      <c r="E911" s="4" t="n"/>
      <c r="F911" s="4" t="n"/>
      <c r="G911" s="4" t="n"/>
      <c r="H911" s="4" t="n"/>
      <c r="I911" s="4" t="n"/>
      <c r="J911" s="4" t="n"/>
      <c r="K911" s="4" t="n"/>
      <c r="L911" s="4" t="n"/>
      <c r="M911" s="4" t="n"/>
      <c r="N911" s="4" t="n"/>
      <c r="O911" s="4" t="n"/>
      <c r="P911" s="4" t="n"/>
      <c r="Q911" s="4" t="n"/>
      <c r="R911" s="4" t="n"/>
    </row>
    <row r="912" ht="15.75" customHeight="1" s="108">
      <c r="A912" s="4" t="n"/>
      <c r="B912" s="4" t="n"/>
      <c r="C912" s="4" t="n"/>
      <c r="D912" s="4" t="n"/>
      <c r="E912" s="4" t="n"/>
      <c r="F912" s="4" t="n"/>
      <c r="G912" s="4" t="n"/>
      <c r="H912" s="4" t="n"/>
      <c r="I912" s="4" t="n"/>
      <c r="J912" s="4" t="n"/>
      <c r="K912" s="4" t="n"/>
      <c r="L912" s="4" t="n"/>
      <c r="M912" s="4" t="n"/>
      <c r="N912" s="4" t="n"/>
      <c r="O912" s="4" t="n"/>
      <c r="P912" s="4" t="n"/>
      <c r="Q912" s="4" t="n"/>
      <c r="R912" s="4" t="n"/>
    </row>
    <row r="913" ht="15.75" customHeight="1" s="108">
      <c r="A913" s="4" t="n"/>
      <c r="B913" s="4" t="n"/>
      <c r="C913" s="4" t="n"/>
      <c r="D913" s="4" t="n"/>
      <c r="E913" s="4" t="n"/>
      <c r="F913" s="4" t="n"/>
      <c r="G913" s="4" t="n"/>
      <c r="H913" s="4" t="n"/>
      <c r="I913" s="4" t="n"/>
      <c r="J913" s="4" t="n"/>
      <c r="K913" s="4" t="n"/>
      <c r="L913" s="4" t="n"/>
      <c r="M913" s="4" t="n"/>
      <c r="N913" s="4" t="n"/>
      <c r="O913" s="4" t="n"/>
      <c r="P913" s="4" t="n"/>
      <c r="Q913" s="4" t="n"/>
      <c r="R913" s="4" t="n"/>
    </row>
    <row r="914" ht="15.75" customHeight="1" s="108">
      <c r="A914" s="4" t="n"/>
      <c r="B914" s="4" t="n"/>
      <c r="C914" s="4" t="n"/>
      <c r="D914" s="4" t="n"/>
      <c r="E914" s="4" t="n"/>
      <c r="F914" s="4" t="n"/>
      <c r="G914" s="4" t="n"/>
      <c r="H914" s="4" t="n"/>
      <c r="I914" s="4" t="n"/>
      <c r="J914" s="4" t="n"/>
      <c r="K914" s="4" t="n"/>
      <c r="L914" s="4" t="n"/>
      <c r="M914" s="4" t="n"/>
      <c r="N914" s="4" t="n"/>
      <c r="O914" s="4" t="n"/>
      <c r="P914" s="4" t="n"/>
      <c r="Q914" s="4" t="n"/>
      <c r="R914" s="4" t="n"/>
    </row>
    <row r="915" ht="15.75" customHeight="1" s="108">
      <c r="A915" s="4" t="n"/>
      <c r="B915" s="4" t="n"/>
      <c r="C915" s="4" t="n"/>
      <c r="D915" s="4" t="n"/>
      <c r="E915" s="4" t="n"/>
      <c r="F915" s="4" t="n"/>
      <c r="G915" s="4" t="n"/>
      <c r="H915" s="4" t="n"/>
      <c r="I915" s="4" t="n"/>
      <c r="J915" s="4" t="n"/>
      <c r="K915" s="4" t="n"/>
      <c r="L915" s="4" t="n"/>
      <c r="M915" s="4" t="n"/>
      <c r="N915" s="4" t="n"/>
      <c r="O915" s="4" t="n"/>
      <c r="P915" s="4" t="n"/>
      <c r="Q915" s="4" t="n"/>
      <c r="R915" s="4" t="n"/>
    </row>
    <row r="916" ht="15.75" customHeight="1" s="108">
      <c r="A916" s="4" t="n"/>
      <c r="B916" s="4" t="n"/>
      <c r="C916" s="4" t="n"/>
      <c r="D916" s="4" t="n"/>
      <c r="E916" s="4" t="n"/>
      <c r="F916" s="4" t="n"/>
      <c r="G916" s="4" t="n"/>
      <c r="H916" s="4" t="n"/>
      <c r="I916" s="4" t="n"/>
      <c r="J916" s="4" t="n"/>
      <c r="K916" s="4" t="n"/>
      <c r="L916" s="4" t="n"/>
      <c r="M916" s="4" t="n"/>
      <c r="N916" s="4" t="n"/>
      <c r="O916" s="4" t="n"/>
      <c r="P916" s="4" t="n"/>
      <c r="Q916" s="4" t="n"/>
      <c r="R916" s="4" t="n"/>
    </row>
    <row r="917" ht="15.75" customHeight="1" s="108">
      <c r="A917" s="4" t="n"/>
      <c r="B917" s="4" t="n"/>
      <c r="C917" s="4" t="n"/>
      <c r="D917" s="4" t="n"/>
      <c r="E917" s="4" t="n"/>
      <c r="F917" s="4" t="n"/>
      <c r="G917" s="4" t="n"/>
      <c r="H917" s="4" t="n"/>
      <c r="I917" s="4" t="n"/>
      <c r="J917" s="4" t="n"/>
      <c r="K917" s="4" t="n"/>
      <c r="L917" s="4" t="n"/>
      <c r="M917" s="4" t="n"/>
      <c r="N917" s="4" t="n"/>
      <c r="O917" s="4" t="n"/>
      <c r="P917" s="4" t="n"/>
      <c r="Q917" s="4" t="n"/>
      <c r="R917" s="4" t="n"/>
    </row>
    <row r="918" ht="15.75" customHeight="1" s="108">
      <c r="A918" s="4" t="n"/>
      <c r="B918" s="4" t="n"/>
      <c r="C918" s="4" t="n"/>
      <c r="D918" s="4" t="n"/>
      <c r="E918" s="4" t="n"/>
      <c r="F918" s="4" t="n"/>
      <c r="G918" s="4" t="n"/>
      <c r="H918" s="4" t="n"/>
      <c r="I918" s="4" t="n"/>
      <c r="J918" s="4" t="n"/>
      <c r="K918" s="4" t="n"/>
      <c r="L918" s="4" t="n"/>
      <c r="M918" s="4" t="n"/>
      <c r="N918" s="4" t="n"/>
      <c r="O918" s="4" t="n"/>
      <c r="P918" s="4" t="n"/>
      <c r="Q918" s="4" t="n"/>
      <c r="R918" s="4" t="n"/>
    </row>
    <row r="919" ht="15.75" customHeight="1" s="108">
      <c r="A919" s="4" t="n"/>
      <c r="B919" s="4" t="n"/>
      <c r="C919" s="4" t="n"/>
      <c r="D919" s="4" t="n"/>
      <c r="E919" s="4" t="n"/>
      <c r="F919" s="4" t="n"/>
      <c r="G919" s="4" t="n"/>
      <c r="H919" s="4" t="n"/>
      <c r="I919" s="4" t="n"/>
      <c r="J919" s="4" t="n"/>
      <c r="K919" s="4" t="n"/>
      <c r="L919" s="4" t="n"/>
      <c r="M919" s="4" t="n"/>
      <c r="N919" s="4" t="n"/>
      <c r="O919" s="4" t="n"/>
      <c r="P919" s="4" t="n"/>
      <c r="Q919" s="4" t="n"/>
      <c r="R919" s="4" t="n"/>
    </row>
    <row r="920" ht="15.75" customHeight="1" s="108">
      <c r="A920" s="4" t="n"/>
      <c r="B920" s="4" t="n"/>
      <c r="C920" s="4" t="n"/>
      <c r="D920" s="4" t="n"/>
      <c r="E920" s="4" t="n"/>
      <c r="F920" s="4" t="n"/>
      <c r="G920" s="4" t="n"/>
      <c r="H920" s="4" t="n"/>
      <c r="I920" s="4" t="n"/>
      <c r="J920" s="4" t="n"/>
      <c r="K920" s="4" t="n"/>
      <c r="L920" s="4" t="n"/>
      <c r="M920" s="4" t="n"/>
      <c r="N920" s="4" t="n"/>
      <c r="O920" s="4" t="n"/>
      <c r="P920" s="4" t="n"/>
      <c r="Q920" s="4" t="n"/>
      <c r="R920" s="4" t="n"/>
    </row>
    <row r="921" ht="15.75" customHeight="1" s="108">
      <c r="A921" s="4" t="n"/>
      <c r="B921" s="4" t="n"/>
      <c r="C921" s="4" t="n"/>
      <c r="D921" s="4" t="n"/>
      <c r="E921" s="4" t="n"/>
      <c r="F921" s="4" t="n"/>
      <c r="G921" s="4" t="n"/>
      <c r="H921" s="4" t="n"/>
      <c r="I921" s="4" t="n"/>
      <c r="J921" s="4" t="n"/>
      <c r="K921" s="4" t="n"/>
      <c r="L921" s="4" t="n"/>
      <c r="M921" s="4" t="n"/>
      <c r="N921" s="4" t="n"/>
      <c r="O921" s="4" t="n"/>
      <c r="P921" s="4" t="n"/>
      <c r="Q921" s="4" t="n"/>
      <c r="R921" s="4" t="n"/>
    </row>
    <row r="922" ht="15.75" customHeight="1" s="108">
      <c r="A922" s="4" t="n"/>
      <c r="B922" s="4" t="n"/>
      <c r="C922" s="4" t="n"/>
      <c r="D922" s="4" t="n"/>
      <c r="E922" s="4" t="n"/>
      <c r="F922" s="4" t="n"/>
      <c r="G922" s="4" t="n"/>
      <c r="H922" s="4" t="n"/>
      <c r="I922" s="4" t="n"/>
      <c r="J922" s="4" t="n"/>
      <c r="K922" s="4" t="n"/>
      <c r="L922" s="4" t="n"/>
      <c r="M922" s="4" t="n"/>
      <c r="N922" s="4" t="n"/>
      <c r="O922" s="4" t="n"/>
      <c r="P922" s="4" t="n"/>
      <c r="Q922" s="4" t="n"/>
      <c r="R922" s="4" t="n"/>
    </row>
    <row r="923" ht="15.75" customHeight="1" s="108">
      <c r="A923" s="4" t="n"/>
      <c r="B923" s="4" t="n"/>
      <c r="C923" s="4" t="n"/>
      <c r="D923" s="4" t="n"/>
      <c r="E923" s="4" t="n"/>
      <c r="F923" s="4" t="n"/>
      <c r="G923" s="4" t="n"/>
      <c r="H923" s="4" t="n"/>
      <c r="I923" s="4" t="n"/>
      <c r="J923" s="4" t="n"/>
      <c r="K923" s="4" t="n"/>
      <c r="L923" s="4" t="n"/>
      <c r="M923" s="4" t="n"/>
      <c r="N923" s="4" t="n"/>
      <c r="O923" s="4" t="n"/>
      <c r="P923" s="4" t="n"/>
      <c r="Q923" s="4" t="n"/>
      <c r="R923" s="4" t="n"/>
    </row>
    <row r="924" ht="15.75" customHeight="1" s="108">
      <c r="A924" s="4" t="n"/>
      <c r="B924" s="4" t="n"/>
      <c r="C924" s="4" t="n"/>
      <c r="D924" s="4" t="n"/>
      <c r="E924" s="4" t="n"/>
      <c r="F924" s="4" t="n"/>
      <c r="G924" s="4" t="n"/>
      <c r="H924" s="4" t="n"/>
      <c r="I924" s="4" t="n"/>
      <c r="J924" s="4" t="n"/>
      <c r="K924" s="4" t="n"/>
      <c r="L924" s="4" t="n"/>
      <c r="M924" s="4" t="n"/>
      <c r="N924" s="4" t="n"/>
      <c r="O924" s="4" t="n"/>
      <c r="P924" s="4" t="n"/>
      <c r="Q924" s="4" t="n"/>
      <c r="R924" s="4" t="n"/>
    </row>
    <row r="925" ht="15.75" customHeight="1" s="108">
      <c r="A925" s="4" t="n"/>
      <c r="B925" s="4" t="n"/>
      <c r="C925" s="4" t="n"/>
      <c r="D925" s="4" t="n"/>
      <c r="E925" s="4" t="n"/>
      <c r="F925" s="4" t="n"/>
      <c r="G925" s="4" t="n"/>
      <c r="H925" s="4" t="n"/>
      <c r="I925" s="4" t="n"/>
      <c r="J925" s="4" t="n"/>
      <c r="K925" s="4" t="n"/>
      <c r="L925" s="4" t="n"/>
      <c r="M925" s="4" t="n"/>
      <c r="N925" s="4" t="n"/>
      <c r="O925" s="4" t="n"/>
      <c r="P925" s="4" t="n"/>
      <c r="Q925" s="4" t="n"/>
      <c r="R925" s="4" t="n"/>
    </row>
    <row r="926" ht="15.75" customHeight="1" s="108">
      <c r="A926" s="4" t="n"/>
      <c r="B926" s="4" t="n"/>
      <c r="C926" s="4" t="n"/>
      <c r="D926" s="4" t="n"/>
      <c r="E926" s="4" t="n"/>
      <c r="F926" s="4" t="n"/>
      <c r="G926" s="4" t="n"/>
      <c r="H926" s="4" t="n"/>
      <c r="I926" s="4" t="n"/>
      <c r="J926" s="4" t="n"/>
      <c r="K926" s="4" t="n"/>
      <c r="L926" s="4" t="n"/>
      <c r="M926" s="4" t="n"/>
      <c r="N926" s="4" t="n"/>
      <c r="O926" s="4" t="n"/>
      <c r="P926" s="4" t="n"/>
      <c r="Q926" s="4" t="n"/>
      <c r="R926" s="4" t="n"/>
    </row>
    <row r="927" ht="15.75" customHeight="1" s="108">
      <c r="A927" s="4" t="n"/>
      <c r="B927" s="4" t="n"/>
      <c r="C927" s="4" t="n"/>
      <c r="D927" s="4" t="n"/>
      <c r="E927" s="4" t="n"/>
      <c r="F927" s="4" t="n"/>
      <c r="G927" s="4" t="n"/>
      <c r="H927" s="4" t="n"/>
      <c r="I927" s="4" t="n"/>
      <c r="J927" s="4" t="n"/>
      <c r="K927" s="4" t="n"/>
      <c r="L927" s="4" t="n"/>
      <c r="M927" s="4" t="n"/>
      <c r="N927" s="4" t="n"/>
      <c r="O927" s="4" t="n"/>
      <c r="P927" s="4" t="n"/>
      <c r="Q927" s="4" t="n"/>
      <c r="R927" s="4" t="n"/>
    </row>
    <row r="928" ht="15.75" customHeight="1" s="108">
      <c r="A928" s="4" t="n"/>
      <c r="B928" s="4" t="n"/>
      <c r="C928" s="4" t="n"/>
      <c r="D928" s="4" t="n"/>
      <c r="E928" s="4" t="n"/>
      <c r="F928" s="4" t="n"/>
      <c r="G928" s="4" t="n"/>
      <c r="H928" s="4" t="n"/>
      <c r="I928" s="4" t="n"/>
      <c r="J928" s="4" t="n"/>
      <c r="K928" s="4" t="n"/>
      <c r="L928" s="4" t="n"/>
      <c r="M928" s="4" t="n"/>
      <c r="N928" s="4" t="n"/>
      <c r="O928" s="4" t="n"/>
      <c r="P928" s="4" t="n"/>
      <c r="Q928" s="4" t="n"/>
      <c r="R928" s="4" t="n"/>
    </row>
    <row r="929" ht="15.75" customHeight="1" s="108">
      <c r="A929" s="4" t="n"/>
      <c r="B929" s="4" t="n"/>
      <c r="C929" s="4" t="n"/>
      <c r="D929" s="4" t="n"/>
      <c r="E929" s="4" t="n"/>
      <c r="F929" s="4" t="n"/>
      <c r="G929" s="4" t="n"/>
      <c r="H929" s="4" t="n"/>
      <c r="I929" s="4" t="n"/>
      <c r="J929" s="4" t="n"/>
      <c r="K929" s="4" t="n"/>
      <c r="L929" s="4" t="n"/>
      <c r="M929" s="4" t="n"/>
      <c r="N929" s="4" t="n"/>
      <c r="O929" s="4" t="n"/>
      <c r="P929" s="4" t="n"/>
      <c r="Q929" s="4" t="n"/>
      <c r="R929" s="4" t="n"/>
    </row>
    <row r="930" ht="15.75" customHeight="1" s="108">
      <c r="A930" s="4" t="n"/>
      <c r="B930" s="4" t="n"/>
      <c r="C930" s="4" t="n"/>
      <c r="D930" s="4" t="n"/>
      <c r="E930" s="4" t="n"/>
      <c r="F930" s="4" t="n"/>
      <c r="G930" s="4" t="n"/>
      <c r="H930" s="4" t="n"/>
      <c r="I930" s="4" t="n"/>
      <c r="J930" s="4" t="n"/>
      <c r="K930" s="4" t="n"/>
      <c r="L930" s="4" t="n"/>
      <c r="M930" s="4" t="n"/>
      <c r="N930" s="4" t="n"/>
      <c r="O930" s="4" t="n"/>
      <c r="P930" s="4" t="n"/>
      <c r="Q930" s="4" t="n"/>
      <c r="R930" s="4" t="n"/>
    </row>
    <row r="931" ht="15.75" customHeight="1" s="108">
      <c r="A931" s="4" t="n"/>
      <c r="B931" s="4" t="n"/>
      <c r="C931" s="4" t="n"/>
      <c r="D931" s="4" t="n"/>
      <c r="E931" s="4" t="n"/>
      <c r="F931" s="4" t="n"/>
      <c r="G931" s="4" t="n"/>
      <c r="H931" s="4" t="n"/>
      <c r="I931" s="4" t="n"/>
      <c r="J931" s="4" t="n"/>
      <c r="K931" s="4" t="n"/>
      <c r="L931" s="4" t="n"/>
      <c r="M931" s="4" t="n"/>
      <c r="N931" s="4" t="n"/>
      <c r="O931" s="4" t="n"/>
      <c r="P931" s="4" t="n"/>
      <c r="Q931" s="4" t="n"/>
      <c r="R931" s="4" t="n"/>
    </row>
    <row r="932" ht="15.75" customHeight="1" s="108">
      <c r="A932" s="4" t="n"/>
      <c r="B932" s="4" t="n"/>
      <c r="C932" s="4" t="n"/>
      <c r="D932" s="4" t="n"/>
      <c r="E932" s="4" t="n"/>
      <c r="F932" s="4" t="n"/>
      <c r="G932" s="4" t="n"/>
      <c r="H932" s="4" t="n"/>
      <c r="I932" s="4" t="n"/>
      <c r="J932" s="4" t="n"/>
      <c r="K932" s="4" t="n"/>
      <c r="L932" s="4" t="n"/>
      <c r="M932" s="4" t="n"/>
      <c r="N932" s="4" t="n"/>
      <c r="O932" s="4" t="n"/>
      <c r="P932" s="4" t="n"/>
      <c r="Q932" s="4" t="n"/>
      <c r="R932" s="4" t="n"/>
    </row>
    <row r="933" ht="15.75" customHeight="1" s="108">
      <c r="A933" s="4" t="n"/>
      <c r="B933" s="4" t="n"/>
      <c r="C933" s="4" t="n"/>
      <c r="D933" s="4" t="n"/>
      <c r="E933" s="4" t="n"/>
      <c r="F933" s="4" t="n"/>
      <c r="G933" s="4" t="n"/>
      <c r="H933" s="4" t="n"/>
      <c r="I933" s="4" t="n"/>
      <c r="J933" s="4" t="n"/>
      <c r="K933" s="4" t="n"/>
      <c r="L933" s="4" t="n"/>
      <c r="M933" s="4" t="n"/>
      <c r="N933" s="4" t="n"/>
      <c r="O933" s="4" t="n"/>
      <c r="P933" s="4" t="n"/>
      <c r="Q933" s="4" t="n"/>
      <c r="R933" s="4" t="n"/>
    </row>
    <row r="934" ht="15.75" customHeight="1" s="108">
      <c r="A934" s="4" t="n"/>
      <c r="B934" s="4" t="n"/>
      <c r="C934" s="4" t="n"/>
      <c r="D934" s="4" t="n"/>
      <c r="E934" s="4" t="n"/>
      <c r="F934" s="4" t="n"/>
      <c r="G934" s="4" t="n"/>
      <c r="H934" s="4" t="n"/>
      <c r="I934" s="4" t="n"/>
      <c r="J934" s="4" t="n"/>
      <c r="K934" s="4" t="n"/>
      <c r="L934" s="4" t="n"/>
      <c r="M934" s="4" t="n"/>
      <c r="N934" s="4" t="n"/>
      <c r="O934" s="4" t="n"/>
      <c r="P934" s="4" t="n"/>
      <c r="Q934" s="4" t="n"/>
      <c r="R934" s="4" t="n"/>
    </row>
    <row r="935" ht="15.75" customHeight="1" s="108">
      <c r="A935" s="4" t="n"/>
      <c r="B935" s="4" t="n"/>
      <c r="C935" s="4" t="n"/>
      <c r="D935" s="4" t="n"/>
      <c r="E935" s="4" t="n"/>
      <c r="F935" s="4" t="n"/>
      <c r="G935" s="4" t="n"/>
      <c r="H935" s="4" t="n"/>
      <c r="I935" s="4" t="n"/>
      <c r="J935" s="4" t="n"/>
      <c r="K935" s="4" t="n"/>
      <c r="L935" s="4" t="n"/>
      <c r="M935" s="4" t="n"/>
      <c r="N935" s="4" t="n"/>
      <c r="O935" s="4" t="n"/>
      <c r="P935" s="4" t="n"/>
      <c r="Q935" s="4" t="n"/>
      <c r="R935" s="4" t="n"/>
    </row>
    <row r="936" ht="15.75" customHeight="1" s="108">
      <c r="A936" s="4" t="n"/>
      <c r="B936" s="4" t="n"/>
      <c r="C936" s="4" t="n"/>
      <c r="D936" s="4" t="n"/>
      <c r="E936" s="4" t="n"/>
      <c r="F936" s="4" t="n"/>
      <c r="G936" s="4" t="n"/>
      <c r="H936" s="4" t="n"/>
      <c r="I936" s="4" t="n"/>
      <c r="J936" s="4" t="n"/>
      <c r="K936" s="4" t="n"/>
      <c r="L936" s="4" t="n"/>
      <c r="M936" s="4" t="n"/>
      <c r="N936" s="4" t="n"/>
      <c r="O936" s="4" t="n"/>
      <c r="P936" s="4" t="n"/>
      <c r="Q936" s="4" t="n"/>
      <c r="R936" s="4" t="n"/>
    </row>
    <row r="937" ht="15.75" customHeight="1" s="108">
      <c r="A937" s="4" t="n"/>
      <c r="B937" s="4" t="n"/>
      <c r="C937" s="4" t="n"/>
      <c r="D937" s="4" t="n"/>
      <c r="E937" s="4" t="n"/>
      <c r="F937" s="4" t="n"/>
      <c r="G937" s="4" t="n"/>
      <c r="H937" s="4" t="n"/>
      <c r="I937" s="4" t="n"/>
      <c r="J937" s="4" t="n"/>
      <c r="K937" s="4" t="n"/>
      <c r="L937" s="4" t="n"/>
      <c r="M937" s="4" t="n"/>
      <c r="N937" s="4" t="n"/>
      <c r="O937" s="4" t="n"/>
      <c r="P937" s="4" t="n"/>
      <c r="Q937" s="4" t="n"/>
      <c r="R937" s="4" t="n"/>
    </row>
    <row r="938" ht="15.75" customHeight="1" s="108">
      <c r="A938" s="4" t="n"/>
      <c r="B938" s="4" t="n"/>
      <c r="C938" s="4" t="n"/>
      <c r="D938" s="4" t="n"/>
      <c r="E938" s="4" t="n"/>
      <c r="F938" s="4" t="n"/>
      <c r="G938" s="4" t="n"/>
      <c r="H938" s="4" t="n"/>
      <c r="I938" s="4" t="n"/>
      <c r="J938" s="4" t="n"/>
      <c r="K938" s="4" t="n"/>
      <c r="L938" s="4" t="n"/>
      <c r="M938" s="4" t="n"/>
      <c r="N938" s="4" t="n"/>
      <c r="O938" s="4" t="n"/>
      <c r="P938" s="4" t="n"/>
      <c r="Q938" s="4" t="n"/>
      <c r="R938" s="4" t="n"/>
    </row>
    <row r="939" ht="15.75" customHeight="1" s="108">
      <c r="A939" s="4" t="n"/>
      <c r="B939" s="4" t="n"/>
      <c r="C939" s="4" t="n"/>
      <c r="D939" s="4" t="n"/>
      <c r="E939" s="4" t="n"/>
      <c r="F939" s="4" t="n"/>
      <c r="G939" s="4" t="n"/>
      <c r="H939" s="4" t="n"/>
      <c r="I939" s="4" t="n"/>
      <c r="J939" s="4" t="n"/>
      <c r="K939" s="4" t="n"/>
      <c r="L939" s="4" t="n"/>
      <c r="M939" s="4" t="n"/>
      <c r="N939" s="4" t="n"/>
      <c r="O939" s="4" t="n"/>
      <c r="P939" s="4" t="n"/>
      <c r="Q939" s="4" t="n"/>
      <c r="R939" s="4" t="n"/>
    </row>
    <row r="940" ht="15.75" customHeight="1" s="108">
      <c r="A940" s="4" t="n"/>
      <c r="B940" s="4" t="n"/>
      <c r="C940" s="4" t="n"/>
      <c r="D940" s="4" t="n"/>
      <c r="E940" s="4" t="n"/>
      <c r="F940" s="4" t="n"/>
      <c r="G940" s="4" t="n"/>
      <c r="H940" s="4" t="n"/>
      <c r="I940" s="4" t="n"/>
      <c r="J940" s="4" t="n"/>
      <c r="K940" s="4" t="n"/>
      <c r="L940" s="4" t="n"/>
      <c r="M940" s="4" t="n"/>
      <c r="N940" s="4" t="n"/>
      <c r="O940" s="4" t="n"/>
      <c r="P940" s="4" t="n"/>
      <c r="Q940" s="4" t="n"/>
      <c r="R940" s="4" t="n"/>
    </row>
    <row r="941" ht="15.75" customHeight="1" s="108">
      <c r="A941" s="4" t="n"/>
      <c r="B941" s="4" t="n"/>
      <c r="C941" s="4" t="n"/>
      <c r="D941" s="4" t="n"/>
      <c r="E941" s="4" t="n"/>
      <c r="F941" s="4" t="n"/>
      <c r="G941" s="4" t="n"/>
      <c r="H941" s="4" t="n"/>
      <c r="I941" s="4" t="n"/>
      <c r="J941" s="4" t="n"/>
      <c r="K941" s="4" t="n"/>
      <c r="L941" s="4" t="n"/>
      <c r="M941" s="4" t="n"/>
      <c r="N941" s="4" t="n"/>
      <c r="O941" s="4" t="n"/>
      <c r="P941" s="4" t="n"/>
      <c r="Q941" s="4" t="n"/>
      <c r="R941" s="4" t="n"/>
    </row>
    <row r="942" ht="15.75" customHeight="1" s="108">
      <c r="A942" s="4" t="n"/>
      <c r="B942" s="4" t="n"/>
      <c r="C942" s="4" t="n"/>
      <c r="D942" s="4" t="n"/>
      <c r="E942" s="4" t="n"/>
      <c r="F942" s="4" t="n"/>
      <c r="G942" s="4" t="n"/>
      <c r="H942" s="4" t="n"/>
      <c r="I942" s="4" t="n"/>
      <c r="J942" s="4" t="n"/>
      <c r="K942" s="4" t="n"/>
      <c r="L942" s="4" t="n"/>
      <c r="M942" s="4" t="n"/>
      <c r="N942" s="4" t="n"/>
      <c r="O942" s="4" t="n"/>
      <c r="P942" s="4" t="n"/>
      <c r="Q942" s="4" t="n"/>
      <c r="R942" s="4" t="n"/>
    </row>
    <row r="943" ht="15.75" customHeight="1" s="108">
      <c r="A943" s="4" t="n"/>
      <c r="B943" s="4" t="n"/>
      <c r="C943" s="4" t="n"/>
      <c r="D943" s="4" t="n"/>
      <c r="E943" s="4" t="n"/>
      <c r="F943" s="4" t="n"/>
      <c r="G943" s="4" t="n"/>
      <c r="H943" s="4" t="n"/>
      <c r="I943" s="4" t="n"/>
      <c r="J943" s="4" t="n"/>
      <c r="K943" s="4" t="n"/>
      <c r="L943" s="4" t="n"/>
      <c r="M943" s="4" t="n"/>
      <c r="N943" s="4" t="n"/>
      <c r="O943" s="4" t="n"/>
      <c r="P943" s="4" t="n"/>
      <c r="Q943" s="4" t="n"/>
      <c r="R943" s="4" t="n"/>
    </row>
    <row r="944" ht="15.75" customHeight="1" s="108">
      <c r="A944" s="4" t="n"/>
      <c r="B944" s="4" t="n"/>
      <c r="C944" s="4" t="n"/>
      <c r="D944" s="4" t="n"/>
      <c r="E944" s="4" t="n"/>
      <c r="F944" s="4" t="n"/>
      <c r="G944" s="4" t="n"/>
      <c r="H944" s="4" t="n"/>
      <c r="I944" s="4" t="n"/>
      <c r="J944" s="4" t="n"/>
      <c r="K944" s="4" t="n"/>
      <c r="L944" s="4" t="n"/>
      <c r="M944" s="4" t="n"/>
      <c r="N944" s="4" t="n"/>
      <c r="O944" s="4" t="n"/>
      <c r="P944" s="4" t="n"/>
      <c r="Q944" s="4" t="n"/>
      <c r="R944" s="4" t="n"/>
    </row>
    <row r="945" ht="15.75" customHeight="1" s="108">
      <c r="A945" s="4" t="n"/>
      <c r="B945" s="4" t="n"/>
      <c r="C945" s="4" t="n"/>
      <c r="D945" s="4" t="n"/>
      <c r="E945" s="4" t="n"/>
      <c r="F945" s="4" t="n"/>
      <c r="G945" s="4" t="n"/>
      <c r="H945" s="4" t="n"/>
      <c r="I945" s="4" t="n"/>
      <c r="J945" s="4" t="n"/>
      <c r="K945" s="4" t="n"/>
      <c r="L945" s="4" t="n"/>
      <c r="M945" s="4" t="n"/>
      <c r="N945" s="4" t="n"/>
      <c r="O945" s="4" t="n"/>
      <c r="P945" s="4" t="n"/>
      <c r="Q945" s="4" t="n"/>
      <c r="R945" s="4" t="n"/>
    </row>
    <row r="946" ht="15.75" customHeight="1" s="108">
      <c r="A946" s="4" t="n"/>
      <c r="B946" s="4" t="n"/>
      <c r="C946" s="4" t="n"/>
      <c r="D946" s="4" t="n"/>
      <c r="E946" s="4" t="n"/>
      <c r="F946" s="4" t="n"/>
      <c r="G946" s="4" t="n"/>
      <c r="H946" s="4" t="n"/>
      <c r="I946" s="4" t="n"/>
      <c r="J946" s="4" t="n"/>
      <c r="K946" s="4" t="n"/>
      <c r="L946" s="4" t="n"/>
      <c r="M946" s="4" t="n"/>
      <c r="N946" s="4" t="n"/>
      <c r="O946" s="4" t="n"/>
      <c r="P946" s="4" t="n"/>
      <c r="Q946" s="4" t="n"/>
      <c r="R946" s="4" t="n"/>
    </row>
    <row r="947" ht="15.75" customHeight="1" s="108">
      <c r="A947" s="4" t="n"/>
      <c r="B947" s="4" t="n"/>
      <c r="C947" s="4" t="n"/>
      <c r="D947" s="4" t="n"/>
      <c r="E947" s="4" t="n"/>
      <c r="F947" s="4" t="n"/>
      <c r="G947" s="4" t="n"/>
      <c r="H947" s="4" t="n"/>
      <c r="I947" s="4" t="n"/>
      <c r="J947" s="4" t="n"/>
      <c r="K947" s="4" t="n"/>
      <c r="L947" s="4" t="n"/>
      <c r="M947" s="4" t="n"/>
      <c r="N947" s="4" t="n"/>
      <c r="O947" s="4" t="n"/>
      <c r="P947" s="4" t="n"/>
      <c r="Q947" s="4" t="n"/>
      <c r="R947" s="4" t="n"/>
    </row>
    <row r="948" ht="15.75" customHeight="1" s="108">
      <c r="A948" s="4" t="n"/>
      <c r="B948" s="4" t="n"/>
      <c r="C948" s="4" t="n"/>
      <c r="D948" s="4" t="n"/>
      <c r="E948" s="4" t="n"/>
      <c r="F948" s="4" t="n"/>
      <c r="G948" s="4" t="n"/>
      <c r="H948" s="4" t="n"/>
      <c r="I948" s="4" t="n"/>
      <c r="J948" s="4" t="n"/>
      <c r="K948" s="4" t="n"/>
      <c r="L948" s="4" t="n"/>
      <c r="M948" s="4" t="n"/>
      <c r="N948" s="4" t="n"/>
      <c r="O948" s="4" t="n"/>
      <c r="P948" s="4" t="n"/>
      <c r="Q948" s="4" t="n"/>
      <c r="R948" s="4" t="n"/>
    </row>
    <row r="949" ht="15.75" customHeight="1" s="108">
      <c r="A949" s="4" t="n"/>
      <c r="B949" s="4" t="n"/>
      <c r="C949" s="4" t="n"/>
      <c r="D949" s="4" t="n"/>
      <c r="E949" s="4" t="n"/>
      <c r="F949" s="4" t="n"/>
      <c r="G949" s="4" t="n"/>
      <c r="H949" s="4" t="n"/>
      <c r="I949" s="4" t="n"/>
      <c r="J949" s="4" t="n"/>
      <c r="K949" s="4" t="n"/>
      <c r="L949" s="4" t="n"/>
      <c r="M949" s="4" t="n"/>
      <c r="N949" s="4" t="n"/>
      <c r="O949" s="4" t="n"/>
      <c r="P949" s="4" t="n"/>
      <c r="Q949" s="4" t="n"/>
      <c r="R949" s="4" t="n"/>
    </row>
    <row r="950" ht="15.75" customHeight="1" s="108">
      <c r="A950" s="4" t="n"/>
      <c r="B950" s="4" t="n"/>
      <c r="C950" s="4" t="n"/>
      <c r="D950" s="4" t="n"/>
      <c r="E950" s="4" t="n"/>
      <c r="F950" s="4" t="n"/>
      <c r="G950" s="4" t="n"/>
      <c r="H950" s="4" t="n"/>
      <c r="I950" s="4" t="n"/>
      <c r="J950" s="4" t="n"/>
      <c r="K950" s="4" t="n"/>
      <c r="L950" s="4" t="n"/>
      <c r="M950" s="4" t="n"/>
      <c r="N950" s="4" t="n"/>
      <c r="O950" s="4" t="n"/>
      <c r="P950" s="4" t="n"/>
      <c r="Q950" s="4" t="n"/>
      <c r="R950" s="4" t="n"/>
    </row>
    <row r="951" ht="15.75" customHeight="1" s="108">
      <c r="A951" s="4" t="n"/>
      <c r="B951" s="4" t="n"/>
      <c r="C951" s="4" t="n"/>
      <c r="D951" s="4" t="n"/>
      <c r="E951" s="4" t="n"/>
      <c r="F951" s="4" t="n"/>
      <c r="G951" s="4" t="n"/>
      <c r="H951" s="4" t="n"/>
      <c r="I951" s="4" t="n"/>
      <c r="J951" s="4" t="n"/>
      <c r="K951" s="4" t="n"/>
      <c r="L951" s="4" t="n"/>
      <c r="M951" s="4" t="n"/>
      <c r="N951" s="4" t="n"/>
      <c r="O951" s="4" t="n"/>
      <c r="P951" s="4" t="n"/>
      <c r="Q951" s="4" t="n"/>
      <c r="R951" s="4" t="n"/>
    </row>
    <row r="952" ht="15.75" customHeight="1" s="108">
      <c r="A952" s="4" t="n"/>
      <c r="B952" s="4" t="n"/>
      <c r="C952" s="4" t="n"/>
      <c r="D952" s="4" t="n"/>
      <c r="E952" s="4" t="n"/>
      <c r="F952" s="4" t="n"/>
      <c r="G952" s="4" t="n"/>
      <c r="H952" s="4" t="n"/>
      <c r="I952" s="4" t="n"/>
      <c r="J952" s="4" t="n"/>
      <c r="K952" s="4" t="n"/>
      <c r="L952" s="4" t="n"/>
      <c r="M952" s="4" t="n"/>
      <c r="N952" s="4" t="n"/>
      <c r="O952" s="4" t="n"/>
      <c r="P952" s="4" t="n"/>
      <c r="Q952" s="4" t="n"/>
      <c r="R952" s="4" t="n"/>
    </row>
    <row r="953" ht="15.75" customHeight="1" s="108">
      <c r="A953" s="4" t="n"/>
      <c r="B953" s="4" t="n"/>
      <c r="C953" s="4" t="n"/>
      <c r="D953" s="4" t="n"/>
      <c r="E953" s="4" t="n"/>
      <c r="F953" s="4" t="n"/>
      <c r="G953" s="4" t="n"/>
      <c r="H953" s="4" t="n"/>
      <c r="I953" s="4" t="n"/>
      <c r="J953" s="4" t="n"/>
      <c r="K953" s="4" t="n"/>
      <c r="L953" s="4" t="n"/>
      <c r="M953" s="4" t="n"/>
      <c r="N953" s="4" t="n"/>
      <c r="O953" s="4" t="n"/>
      <c r="P953" s="4" t="n"/>
      <c r="Q953" s="4" t="n"/>
      <c r="R953" s="4" t="n"/>
    </row>
    <row r="954" ht="15.75" customHeight="1" s="108">
      <c r="A954" s="4" t="n"/>
      <c r="B954" s="4" t="n"/>
      <c r="C954" s="4" t="n"/>
      <c r="D954" s="4" t="n"/>
      <c r="E954" s="4" t="n"/>
      <c r="F954" s="4" t="n"/>
      <c r="G954" s="4" t="n"/>
      <c r="H954" s="4" t="n"/>
      <c r="I954" s="4" t="n"/>
      <c r="J954" s="4" t="n"/>
      <c r="K954" s="4" t="n"/>
      <c r="L954" s="4" t="n"/>
      <c r="M954" s="4" t="n"/>
      <c r="N954" s="4" t="n"/>
      <c r="O954" s="4" t="n"/>
      <c r="P954" s="4" t="n"/>
      <c r="Q954" s="4" t="n"/>
      <c r="R954" s="4" t="n"/>
    </row>
    <row r="955" ht="15.75" customHeight="1" s="108">
      <c r="A955" s="4" t="n"/>
      <c r="B955" s="4" t="n"/>
      <c r="C955" s="4" t="n"/>
      <c r="D955" s="4" t="n"/>
      <c r="E955" s="4" t="n"/>
      <c r="F955" s="4" t="n"/>
      <c r="G955" s="4" t="n"/>
      <c r="H955" s="4" t="n"/>
      <c r="I955" s="4" t="n"/>
      <c r="J955" s="4" t="n"/>
      <c r="K955" s="4" t="n"/>
      <c r="L955" s="4" t="n"/>
      <c r="M955" s="4" t="n"/>
      <c r="N955" s="4" t="n"/>
      <c r="O955" s="4" t="n"/>
      <c r="P955" s="4" t="n"/>
      <c r="Q955" s="4" t="n"/>
      <c r="R955" s="4" t="n"/>
    </row>
    <row r="956" ht="15.75" customHeight="1" s="108">
      <c r="A956" s="4" t="n"/>
      <c r="B956" s="4" t="n"/>
      <c r="C956" s="4" t="n"/>
      <c r="D956" s="4" t="n"/>
      <c r="E956" s="4" t="n"/>
      <c r="F956" s="4" t="n"/>
      <c r="G956" s="4" t="n"/>
      <c r="H956" s="4" t="n"/>
      <c r="I956" s="4" t="n"/>
      <c r="J956" s="4" t="n"/>
      <c r="K956" s="4" t="n"/>
      <c r="L956" s="4" t="n"/>
      <c r="M956" s="4" t="n"/>
      <c r="N956" s="4" t="n"/>
      <c r="O956" s="4" t="n"/>
      <c r="P956" s="4" t="n"/>
      <c r="Q956" s="4" t="n"/>
      <c r="R956" s="4" t="n"/>
    </row>
    <row r="957" ht="15.75" customHeight="1" s="108">
      <c r="A957" s="4" t="n"/>
      <c r="B957" s="4" t="n"/>
      <c r="C957" s="4" t="n"/>
      <c r="D957" s="4" t="n"/>
      <c r="E957" s="4" t="n"/>
      <c r="F957" s="4" t="n"/>
      <c r="G957" s="4" t="n"/>
      <c r="H957" s="4" t="n"/>
      <c r="I957" s="4" t="n"/>
      <c r="J957" s="4" t="n"/>
      <c r="K957" s="4" t="n"/>
      <c r="L957" s="4" t="n"/>
      <c r="M957" s="4" t="n"/>
      <c r="N957" s="4" t="n"/>
      <c r="O957" s="4" t="n"/>
      <c r="P957" s="4" t="n"/>
      <c r="Q957" s="4" t="n"/>
      <c r="R957" s="4" t="n"/>
    </row>
    <row r="958" ht="15.75" customHeight="1" s="108">
      <c r="A958" s="4" t="n"/>
      <c r="B958" s="4" t="n"/>
      <c r="C958" s="4" t="n"/>
      <c r="D958" s="4" t="n"/>
      <c r="E958" s="4" t="n"/>
      <c r="F958" s="4" t="n"/>
      <c r="G958" s="4" t="n"/>
      <c r="H958" s="4" t="n"/>
      <c r="I958" s="4" t="n"/>
      <c r="J958" s="4" t="n"/>
      <c r="K958" s="4" t="n"/>
      <c r="L958" s="4" t="n"/>
      <c r="M958" s="4" t="n"/>
      <c r="N958" s="4" t="n"/>
      <c r="O958" s="4" t="n"/>
      <c r="P958" s="4" t="n"/>
      <c r="Q958" s="4" t="n"/>
      <c r="R958" s="4" t="n"/>
    </row>
    <row r="959" ht="15.75" customHeight="1" s="108">
      <c r="A959" s="4" t="n"/>
      <c r="B959" s="4" t="n"/>
      <c r="C959" s="4" t="n"/>
      <c r="D959" s="4" t="n"/>
      <c r="E959" s="4" t="n"/>
      <c r="F959" s="4" t="n"/>
      <c r="G959" s="4" t="n"/>
      <c r="H959" s="4" t="n"/>
      <c r="I959" s="4" t="n"/>
      <c r="J959" s="4" t="n"/>
      <c r="K959" s="4" t="n"/>
      <c r="L959" s="4" t="n"/>
      <c r="M959" s="4" t="n"/>
      <c r="N959" s="4" t="n"/>
      <c r="O959" s="4" t="n"/>
      <c r="P959" s="4" t="n"/>
      <c r="Q959" s="4" t="n"/>
      <c r="R959" s="4" t="n"/>
    </row>
    <row r="960" ht="15.75" customHeight="1" s="108">
      <c r="A960" s="4" t="n"/>
      <c r="B960" s="4" t="n"/>
      <c r="C960" s="4" t="n"/>
      <c r="D960" s="4" t="n"/>
      <c r="E960" s="4" t="n"/>
      <c r="F960" s="4" t="n"/>
      <c r="G960" s="4" t="n"/>
      <c r="H960" s="4" t="n"/>
      <c r="I960" s="4" t="n"/>
      <c r="J960" s="4" t="n"/>
      <c r="K960" s="4" t="n"/>
      <c r="L960" s="4" t="n"/>
      <c r="M960" s="4" t="n"/>
      <c r="N960" s="4" t="n"/>
      <c r="O960" s="4" t="n"/>
      <c r="P960" s="4" t="n"/>
      <c r="Q960" s="4" t="n"/>
      <c r="R960" s="4" t="n"/>
    </row>
    <row r="961" ht="15.75" customHeight="1" s="108">
      <c r="A961" s="4" t="n"/>
      <c r="B961" s="4" t="n"/>
      <c r="C961" s="4" t="n"/>
      <c r="D961" s="4" t="n"/>
      <c r="E961" s="4" t="n"/>
      <c r="F961" s="4" t="n"/>
      <c r="G961" s="4" t="n"/>
      <c r="H961" s="4" t="n"/>
      <c r="I961" s="4" t="n"/>
      <c r="J961" s="4" t="n"/>
      <c r="K961" s="4" t="n"/>
      <c r="L961" s="4" t="n"/>
      <c r="M961" s="4" t="n"/>
      <c r="N961" s="4" t="n"/>
      <c r="O961" s="4" t="n"/>
      <c r="P961" s="4" t="n"/>
      <c r="Q961" s="4" t="n"/>
      <c r="R961" s="4" t="n"/>
    </row>
    <row r="962" ht="15.75" customHeight="1" s="108">
      <c r="A962" s="4" t="n"/>
      <c r="B962" s="4" t="n"/>
      <c r="C962" s="4" t="n"/>
      <c r="D962" s="4" t="n"/>
      <c r="E962" s="4" t="n"/>
      <c r="F962" s="4" t="n"/>
      <c r="G962" s="4" t="n"/>
      <c r="H962" s="4" t="n"/>
      <c r="I962" s="4" t="n"/>
      <c r="J962" s="4" t="n"/>
      <c r="K962" s="4" t="n"/>
      <c r="L962" s="4" t="n"/>
      <c r="M962" s="4" t="n"/>
      <c r="N962" s="4" t="n"/>
      <c r="O962" s="4" t="n"/>
      <c r="P962" s="4" t="n"/>
      <c r="Q962" s="4" t="n"/>
      <c r="R962" s="4" t="n"/>
    </row>
    <row r="963" ht="15.75" customHeight="1" s="108">
      <c r="A963" s="4" t="n"/>
      <c r="B963" s="4" t="n"/>
      <c r="C963" s="4" t="n"/>
      <c r="D963" s="4" t="n"/>
      <c r="E963" s="4" t="n"/>
      <c r="F963" s="4" t="n"/>
      <c r="G963" s="4" t="n"/>
      <c r="H963" s="4" t="n"/>
      <c r="I963" s="4" t="n"/>
      <c r="J963" s="4" t="n"/>
      <c r="K963" s="4" t="n"/>
      <c r="L963" s="4" t="n"/>
      <c r="M963" s="4" t="n"/>
      <c r="N963" s="4" t="n"/>
      <c r="O963" s="4" t="n"/>
      <c r="P963" s="4" t="n"/>
      <c r="Q963" s="4" t="n"/>
      <c r="R963" s="4" t="n"/>
    </row>
    <row r="964" ht="15.75" customHeight="1" s="108">
      <c r="A964" s="4" t="n"/>
      <c r="B964" s="4" t="n"/>
      <c r="C964" s="4" t="n"/>
      <c r="D964" s="4" t="n"/>
      <c r="E964" s="4" t="n"/>
      <c r="F964" s="4" t="n"/>
      <c r="G964" s="4" t="n"/>
      <c r="H964" s="4" t="n"/>
      <c r="I964" s="4" t="n"/>
      <c r="J964" s="4" t="n"/>
      <c r="K964" s="4" t="n"/>
      <c r="L964" s="4" t="n"/>
      <c r="M964" s="4" t="n"/>
      <c r="N964" s="4" t="n"/>
      <c r="O964" s="4" t="n"/>
      <c r="P964" s="4" t="n"/>
      <c r="Q964" s="4" t="n"/>
      <c r="R964" s="4" t="n"/>
    </row>
    <row r="965" ht="15.75" customHeight="1" s="108">
      <c r="A965" s="4" t="n"/>
      <c r="B965" s="4" t="n"/>
      <c r="C965" s="4" t="n"/>
      <c r="D965" s="4" t="n"/>
      <c r="E965" s="4" t="n"/>
      <c r="F965" s="4" t="n"/>
      <c r="G965" s="4" t="n"/>
      <c r="H965" s="4" t="n"/>
      <c r="I965" s="4" t="n"/>
      <c r="J965" s="4" t="n"/>
      <c r="K965" s="4" t="n"/>
      <c r="L965" s="4" t="n"/>
      <c r="M965" s="4" t="n"/>
      <c r="N965" s="4" t="n"/>
      <c r="O965" s="4" t="n"/>
      <c r="P965" s="4" t="n"/>
      <c r="Q965" s="4" t="n"/>
      <c r="R965" s="4" t="n"/>
    </row>
    <row r="966" ht="15.75" customHeight="1" s="108">
      <c r="A966" s="4" t="n"/>
      <c r="B966" s="4" t="n"/>
      <c r="C966" s="4" t="n"/>
      <c r="D966" s="4" t="n"/>
      <c r="E966" s="4" t="n"/>
      <c r="F966" s="4" t="n"/>
      <c r="G966" s="4" t="n"/>
      <c r="H966" s="4" t="n"/>
      <c r="I966" s="4" t="n"/>
      <c r="J966" s="4" t="n"/>
      <c r="K966" s="4" t="n"/>
      <c r="L966" s="4" t="n"/>
      <c r="M966" s="4" t="n"/>
      <c r="N966" s="4" t="n"/>
      <c r="O966" s="4" t="n"/>
      <c r="P966" s="4" t="n"/>
      <c r="Q966" s="4" t="n"/>
      <c r="R966" s="4" t="n"/>
    </row>
    <row r="967" ht="15.75" customHeight="1" s="108">
      <c r="A967" s="4" t="n"/>
      <c r="B967" s="4" t="n"/>
      <c r="C967" s="4" t="n"/>
      <c r="D967" s="4" t="n"/>
      <c r="E967" s="4" t="n"/>
      <c r="F967" s="4" t="n"/>
      <c r="G967" s="4" t="n"/>
      <c r="H967" s="4" t="n"/>
      <c r="I967" s="4" t="n"/>
      <c r="J967" s="4" t="n"/>
      <c r="K967" s="4" t="n"/>
      <c r="L967" s="4" t="n"/>
      <c r="M967" s="4" t="n"/>
      <c r="N967" s="4" t="n"/>
      <c r="O967" s="4" t="n"/>
      <c r="P967" s="4" t="n"/>
      <c r="Q967" s="4" t="n"/>
      <c r="R967" s="4" t="n"/>
    </row>
    <row r="968" ht="15.75" customHeight="1" s="108">
      <c r="A968" s="4" t="n"/>
      <c r="B968" s="4" t="n"/>
      <c r="C968" s="4" t="n"/>
      <c r="D968" s="4" t="n"/>
      <c r="E968" s="4" t="n"/>
      <c r="F968" s="4" t="n"/>
      <c r="G968" s="4" t="n"/>
      <c r="H968" s="4" t="n"/>
      <c r="I968" s="4" t="n"/>
      <c r="J968" s="4" t="n"/>
      <c r="K968" s="4" t="n"/>
      <c r="L968" s="4" t="n"/>
      <c r="M968" s="4" t="n"/>
      <c r="N968" s="4" t="n"/>
      <c r="O968" s="4" t="n"/>
      <c r="P968" s="4" t="n"/>
      <c r="Q968" s="4" t="n"/>
      <c r="R968" s="4" t="n"/>
    </row>
    <row r="969" ht="15.75" customHeight="1" s="108">
      <c r="A969" s="4" t="n"/>
      <c r="B969" s="4" t="n"/>
      <c r="C969" s="4" t="n"/>
      <c r="D969" s="4" t="n"/>
      <c r="E969" s="4" t="n"/>
      <c r="F969" s="4" t="n"/>
      <c r="G969" s="4" t="n"/>
      <c r="H969" s="4" t="n"/>
      <c r="I969" s="4" t="n"/>
      <c r="J969" s="4" t="n"/>
      <c r="K969" s="4" t="n"/>
      <c r="L969" s="4" t="n"/>
      <c r="M969" s="4" t="n"/>
      <c r="N969" s="4" t="n"/>
      <c r="O969" s="4" t="n"/>
      <c r="P969" s="4" t="n"/>
      <c r="Q969" s="4" t="n"/>
      <c r="R969" s="4" t="n"/>
    </row>
    <row r="970" ht="15.75" customHeight="1" s="108">
      <c r="A970" s="4" t="n"/>
      <c r="B970" s="4" t="n"/>
      <c r="C970" s="4" t="n"/>
      <c r="D970" s="4" t="n"/>
      <c r="E970" s="4" t="n"/>
      <c r="F970" s="4" t="n"/>
      <c r="G970" s="4" t="n"/>
      <c r="H970" s="4" t="n"/>
      <c r="I970" s="4" t="n"/>
      <c r="J970" s="4" t="n"/>
      <c r="K970" s="4" t="n"/>
      <c r="L970" s="4" t="n"/>
      <c r="M970" s="4" t="n"/>
      <c r="N970" s="4" t="n"/>
      <c r="O970" s="4" t="n"/>
      <c r="P970" s="4" t="n"/>
      <c r="Q970" s="4" t="n"/>
      <c r="R970" s="4" t="n"/>
    </row>
    <row r="971" ht="15.75" customHeight="1" s="108">
      <c r="A971" s="4" t="n"/>
      <c r="B971" s="4" t="n"/>
      <c r="C971" s="4" t="n"/>
      <c r="D971" s="4" t="n"/>
      <c r="E971" s="4" t="n"/>
      <c r="F971" s="4" t="n"/>
      <c r="G971" s="4" t="n"/>
      <c r="H971" s="4" t="n"/>
      <c r="I971" s="4" t="n"/>
      <c r="J971" s="4" t="n"/>
      <c r="K971" s="4" t="n"/>
      <c r="L971" s="4" t="n"/>
      <c r="M971" s="4" t="n"/>
      <c r="N971" s="4" t="n"/>
      <c r="O971" s="4" t="n"/>
      <c r="P971" s="4" t="n"/>
      <c r="Q971" s="4" t="n"/>
      <c r="R971" s="4" t="n"/>
    </row>
    <row r="972" ht="15.75" customHeight="1" s="108">
      <c r="A972" s="4" t="n"/>
      <c r="B972" s="4" t="n"/>
      <c r="C972" s="4" t="n"/>
      <c r="D972" s="4" t="n"/>
      <c r="E972" s="4" t="n"/>
      <c r="F972" s="4" t="n"/>
      <c r="G972" s="4" t="n"/>
      <c r="H972" s="4" t="n"/>
      <c r="I972" s="4" t="n"/>
      <c r="J972" s="4" t="n"/>
      <c r="K972" s="4" t="n"/>
      <c r="L972" s="4" t="n"/>
      <c r="M972" s="4" t="n"/>
      <c r="N972" s="4" t="n"/>
      <c r="O972" s="4" t="n"/>
      <c r="P972" s="4" t="n"/>
      <c r="Q972" s="4" t="n"/>
      <c r="R972" s="4" t="n"/>
    </row>
    <row r="973" ht="15.75" customHeight="1" s="108">
      <c r="A973" s="4" t="n"/>
      <c r="B973" s="4" t="n"/>
      <c r="C973" s="4" t="n"/>
      <c r="D973" s="4" t="n"/>
      <c r="E973" s="4" t="n"/>
      <c r="F973" s="4" t="n"/>
      <c r="G973" s="4" t="n"/>
      <c r="H973" s="4" t="n"/>
      <c r="I973" s="4" t="n"/>
      <c r="J973" s="4" t="n"/>
      <c r="K973" s="4" t="n"/>
      <c r="L973" s="4" t="n"/>
      <c r="M973" s="4" t="n"/>
      <c r="N973" s="4" t="n"/>
      <c r="O973" s="4" t="n"/>
      <c r="P973" s="4" t="n"/>
      <c r="Q973" s="4" t="n"/>
      <c r="R973" s="4" t="n"/>
    </row>
    <row r="974" ht="15.75" customHeight="1" s="108">
      <c r="A974" s="4" t="n"/>
      <c r="B974" s="4" t="n"/>
      <c r="C974" s="4" t="n"/>
      <c r="D974" s="4" t="n"/>
      <c r="E974" s="4" t="n"/>
      <c r="F974" s="4" t="n"/>
      <c r="G974" s="4" t="n"/>
      <c r="H974" s="4" t="n"/>
      <c r="I974" s="4" t="n"/>
      <c r="J974" s="4" t="n"/>
      <c r="K974" s="4" t="n"/>
      <c r="L974" s="4" t="n"/>
      <c r="M974" s="4" t="n"/>
      <c r="N974" s="4" t="n"/>
      <c r="O974" s="4" t="n"/>
      <c r="P974" s="4" t="n"/>
      <c r="Q974" s="4" t="n"/>
      <c r="R974" s="4" t="n"/>
    </row>
    <row r="975" ht="15.75" customHeight="1" s="108">
      <c r="A975" s="4" t="n"/>
      <c r="B975" s="4" t="n"/>
      <c r="C975" s="4" t="n"/>
      <c r="D975" s="4" t="n"/>
      <c r="E975" s="4" t="n"/>
      <c r="F975" s="4" t="n"/>
      <c r="G975" s="4" t="n"/>
      <c r="H975" s="4" t="n"/>
      <c r="I975" s="4" t="n"/>
      <c r="J975" s="4" t="n"/>
      <c r="K975" s="4" t="n"/>
      <c r="L975" s="4" t="n"/>
      <c r="M975" s="4" t="n"/>
      <c r="N975" s="4" t="n"/>
      <c r="O975" s="4" t="n"/>
      <c r="P975" s="4" t="n"/>
      <c r="Q975" s="4" t="n"/>
      <c r="R975" s="4" t="n"/>
    </row>
    <row r="976" ht="15.75" customHeight="1" s="108">
      <c r="A976" s="4" t="n"/>
      <c r="B976" s="4" t="n"/>
      <c r="C976" s="4" t="n"/>
      <c r="D976" s="4" t="n"/>
      <c r="E976" s="4" t="n"/>
      <c r="F976" s="4" t="n"/>
      <c r="G976" s="4" t="n"/>
      <c r="H976" s="4" t="n"/>
      <c r="I976" s="4" t="n"/>
      <c r="J976" s="4" t="n"/>
      <c r="K976" s="4" t="n"/>
      <c r="L976" s="4" t="n"/>
      <c r="M976" s="4" t="n"/>
      <c r="N976" s="4" t="n"/>
      <c r="O976" s="4" t="n"/>
      <c r="P976" s="4" t="n"/>
      <c r="Q976" s="4" t="n"/>
      <c r="R976" s="4" t="n"/>
    </row>
    <row r="977" ht="15.75" customHeight="1" s="108">
      <c r="A977" s="4" t="n"/>
      <c r="B977" s="4" t="n"/>
      <c r="C977" s="4" t="n"/>
      <c r="D977" s="4" t="n"/>
      <c r="E977" s="4" t="n"/>
      <c r="F977" s="4" t="n"/>
      <c r="G977" s="4" t="n"/>
      <c r="H977" s="4" t="n"/>
      <c r="I977" s="4" t="n"/>
      <c r="J977" s="4" t="n"/>
      <c r="K977" s="4" t="n"/>
      <c r="L977" s="4" t="n"/>
      <c r="M977" s="4" t="n"/>
      <c r="N977" s="4" t="n"/>
      <c r="O977" s="4" t="n"/>
      <c r="P977" s="4" t="n"/>
      <c r="Q977" s="4" t="n"/>
      <c r="R977" s="4" t="n"/>
    </row>
    <row r="978" ht="15.75" customHeight="1" s="108">
      <c r="A978" s="4" t="n"/>
      <c r="B978" s="4" t="n"/>
      <c r="C978" s="4" t="n"/>
      <c r="D978" s="4" t="n"/>
      <c r="E978" s="4" t="n"/>
      <c r="F978" s="4" t="n"/>
      <c r="G978" s="4" t="n"/>
      <c r="H978" s="4" t="n"/>
      <c r="I978" s="4" t="n"/>
      <c r="J978" s="4" t="n"/>
      <c r="K978" s="4" t="n"/>
      <c r="L978" s="4" t="n"/>
      <c r="M978" s="4" t="n"/>
      <c r="N978" s="4" t="n"/>
      <c r="O978" s="4" t="n"/>
      <c r="P978" s="4" t="n"/>
      <c r="Q978" s="4" t="n"/>
      <c r="R978" s="4" t="n"/>
    </row>
    <row r="979" ht="15.75" customHeight="1" s="108">
      <c r="A979" s="4" t="n"/>
      <c r="B979" s="4" t="n"/>
      <c r="C979" s="4" t="n"/>
      <c r="D979" s="4" t="n"/>
      <c r="E979" s="4" t="n"/>
      <c r="F979" s="4" t="n"/>
      <c r="G979" s="4" t="n"/>
      <c r="H979" s="4" t="n"/>
      <c r="I979" s="4" t="n"/>
      <c r="J979" s="4" t="n"/>
      <c r="K979" s="4" t="n"/>
      <c r="L979" s="4" t="n"/>
      <c r="M979" s="4" t="n"/>
      <c r="N979" s="4" t="n"/>
      <c r="O979" s="4" t="n"/>
      <c r="P979" s="4" t="n"/>
      <c r="Q979" s="4" t="n"/>
      <c r="R979" s="4" t="n"/>
    </row>
    <row r="980" ht="15.75" customHeight="1" s="108">
      <c r="A980" s="4" t="n"/>
      <c r="B980" s="4" t="n"/>
      <c r="C980" s="4" t="n"/>
      <c r="D980" s="4" t="n"/>
      <c r="E980" s="4" t="n"/>
      <c r="F980" s="4" t="n"/>
      <c r="G980" s="4" t="n"/>
      <c r="H980" s="4" t="n"/>
      <c r="I980" s="4" t="n"/>
      <c r="J980" s="4" t="n"/>
      <c r="K980" s="4" t="n"/>
      <c r="L980" s="4" t="n"/>
      <c r="M980" s="4" t="n"/>
      <c r="N980" s="4" t="n"/>
      <c r="O980" s="4" t="n"/>
      <c r="P980" s="4" t="n"/>
      <c r="Q980" s="4" t="n"/>
      <c r="R980" s="4" t="n"/>
    </row>
    <row r="981" ht="15.75" customHeight="1" s="108">
      <c r="A981" s="4" t="n"/>
      <c r="B981" s="4" t="n"/>
      <c r="C981" s="4" t="n"/>
      <c r="D981" s="4" t="n"/>
      <c r="E981" s="4" t="n"/>
      <c r="F981" s="4" t="n"/>
      <c r="G981" s="4" t="n"/>
      <c r="H981" s="4" t="n"/>
      <c r="I981" s="4" t="n"/>
      <c r="J981" s="4" t="n"/>
      <c r="K981" s="4" t="n"/>
      <c r="L981" s="4" t="n"/>
      <c r="M981" s="4" t="n"/>
      <c r="N981" s="4" t="n"/>
      <c r="O981" s="4" t="n"/>
      <c r="P981" s="4" t="n"/>
      <c r="Q981" s="4" t="n"/>
      <c r="R981" s="4" t="n"/>
    </row>
    <row r="982" ht="15.75" customHeight="1" s="108">
      <c r="A982" s="4" t="n"/>
      <c r="B982" s="4" t="n"/>
      <c r="C982" s="4" t="n"/>
      <c r="D982" s="4" t="n"/>
      <c r="E982" s="4" t="n"/>
      <c r="F982" s="4" t="n"/>
      <c r="G982" s="4" t="n"/>
      <c r="H982" s="4" t="n"/>
      <c r="I982" s="4" t="n"/>
      <c r="J982" s="4" t="n"/>
      <c r="K982" s="4" t="n"/>
      <c r="L982" s="4" t="n"/>
      <c r="M982" s="4" t="n"/>
      <c r="N982" s="4" t="n"/>
      <c r="O982" s="4" t="n"/>
      <c r="P982" s="4" t="n"/>
      <c r="Q982" s="4" t="n"/>
      <c r="R982" s="4" t="n"/>
    </row>
    <row r="983" ht="15.75" customHeight="1" s="108">
      <c r="A983" s="4" t="n"/>
      <c r="B983" s="4" t="n"/>
      <c r="C983" s="4" t="n"/>
      <c r="D983" s="4" t="n"/>
      <c r="E983" s="4" t="n"/>
      <c r="F983" s="4" t="n"/>
      <c r="G983" s="4" t="n"/>
      <c r="H983" s="4" t="n"/>
      <c r="I983" s="4" t="n"/>
      <c r="J983" s="4" t="n"/>
      <c r="K983" s="4" t="n"/>
      <c r="L983" s="4" t="n"/>
      <c r="M983" s="4" t="n"/>
      <c r="N983" s="4" t="n"/>
      <c r="O983" s="4" t="n"/>
      <c r="P983" s="4" t="n"/>
      <c r="Q983" s="4" t="n"/>
      <c r="R983" s="4" t="n"/>
    </row>
    <row r="984" ht="15.75" customHeight="1" s="108">
      <c r="A984" s="4" t="n"/>
      <c r="B984" s="4" t="n"/>
      <c r="C984" s="4" t="n"/>
      <c r="D984" s="4" t="n"/>
      <c r="E984" s="4" t="n"/>
      <c r="F984" s="4" t="n"/>
      <c r="G984" s="4" t="n"/>
      <c r="H984" s="4" t="n"/>
      <c r="I984" s="4" t="n"/>
      <c r="J984" s="4" t="n"/>
      <c r="K984" s="4" t="n"/>
      <c r="L984" s="4" t="n"/>
      <c r="M984" s="4" t="n"/>
      <c r="N984" s="4" t="n"/>
      <c r="O984" s="4" t="n"/>
      <c r="P984" s="4" t="n"/>
      <c r="Q984" s="4" t="n"/>
      <c r="R984" s="4" t="n"/>
    </row>
    <row r="985" ht="15.75" customHeight="1" s="108">
      <c r="A985" s="4" t="n"/>
      <c r="B985" s="4" t="n"/>
      <c r="C985" s="4" t="n"/>
      <c r="D985" s="4" t="n"/>
      <c r="E985" s="4" t="n"/>
      <c r="F985" s="4" t="n"/>
      <c r="G985" s="4" t="n"/>
      <c r="H985" s="4" t="n"/>
      <c r="I985" s="4" t="n"/>
      <c r="J985" s="4" t="n"/>
      <c r="K985" s="4" t="n"/>
      <c r="L985" s="4" t="n"/>
      <c r="M985" s="4" t="n"/>
      <c r="N985" s="4" t="n"/>
      <c r="O985" s="4" t="n"/>
      <c r="P985" s="4" t="n"/>
      <c r="Q985" s="4" t="n"/>
      <c r="R985" s="4" t="n"/>
    </row>
    <row r="986" ht="15.75" customHeight="1" s="108">
      <c r="A986" s="4" t="n"/>
      <c r="B986" s="4" t="n"/>
      <c r="C986" s="4" t="n"/>
      <c r="D986" s="4" t="n"/>
      <c r="E986" s="4" t="n"/>
      <c r="F986" s="4" t="n"/>
      <c r="G986" s="4" t="n"/>
      <c r="H986" s="4" t="n"/>
      <c r="I986" s="4" t="n"/>
      <c r="J986" s="4" t="n"/>
      <c r="K986" s="4" t="n"/>
      <c r="L986" s="4" t="n"/>
      <c r="M986" s="4" t="n"/>
      <c r="N986" s="4" t="n"/>
      <c r="O986" s="4" t="n"/>
      <c r="P986" s="4" t="n"/>
      <c r="Q986" s="4" t="n"/>
      <c r="R986" s="4" t="n"/>
    </row>
    <row r="987" ht="15.75" customHeight="1" s="108">
      <c r="A987" s="4" t="n"/>
      <c r="B987" s="4" t="n"/>
      <c r="C987" s="4" t="n"/>
      <c r="D987" s="4" t="n"/>
      <c r="E987" s="4" t="n"/>
      <c r="F987" s="4" t="n"/>
      <c r="G987" s="4" t="n"/>
      <c r="H987" s="4" t="n"/>
      <c r="I987" s="4" t="n"/>
      <c r="J987" s="4" t="n"/>
      <c r="K987" s="4" t="n"/>
      <c r="L987" s="4" t="n"/>
      <c r="M987" s="4" t="n"/>
      <c r="N987" s="4" t="n"/>
      <c r="O987" s="4" t="n"/>
      <c r="P987" s="4" t="n"/>
      <c r="Q987" s="4" t="n"/>
      <c r="R987" s="4" t="n"/>
    </row>
    <row r="988" ht="15.75" customHeight="1" s="108">
      <c r="A988" s="4" t="n"/>
      <c r="B988" s="4" t="n"/>
      <c r="C988" s="4" t="n"/>
      <c r="D988" s="4" t="n"/>
      <c r="E988" s="4" t="n"/>
      <c r="F988" s="4" t="n"/>
      <c r="G988" s="4" t="n"/>
      <c r="H988" s="4" t="n"/>
      <c r="I988" s="4" t="n"/>
      <c r="J988" s="4" t="n"/>
      <c r="K988" s="4" t="n"/>
      <c r="L988" s="4" t="n"/>
      <c r="M988" s="4" t="n"/>
      <c r="N988" s="4" t="n"/>
      <c r="O988" s="4" t="n"/>
      <c r="P988" s="4" t="n"/>
      <c r="Q988" s="4" t="n"/>
      <c r="R988" s="4" t="n"/>
    </row>
    <row r="989" ht="15.75" customHeight="1" s="108">
      <c r="A989" s="4" t="n"/>
      <c r="B989" s="4" t="n"/>
      <c r="C989" s="4" t="n"/>
      <c r="D989" s="4" t="n"/>
      <c r="E989" s="4" t="n"/>
      <c r="F989" s="4" t="n"/>
      <c r="G989" s="4" t="n"/>
      <c r="H989" s="4" t="n"/>
      <c r="I989" s="4" t="n"/>
      <c r="J989" s="4" t="n"/>
      <c r="K989" s="4" t="n"/>
      <c r="L989" s="4" t="n"/>
      <c r="M989" s="4" t="n"/>
      <c r="N989" s="4" t="n"/>
      <c r="O989" s="4" t="n"/>
      <c r="P989" s="4" t="n"/>
      <c r="Q989" s="4" t="n"/>
      <c r="R989" s="4" t="n"/>
    </row>
    <row r="990" ht="15.75" customHeight="1" s="108">
      <c r="A990" s="4" t="n"/>
      <c r="B990" s="4" t="n"/>
      <c r="C990" s="4" t="n"/>
      <c r="D990" s="4" t="n"/>
      <c r="E990" s="4" t="n"/>
      <c r="F990" s="4" t="n"/>
      <c r="G990" s="4" t="n"/>
      <c r="H990" s="4" t="n"/>
      <c r="I990" s="4" t="n"/>
      <c r="J990" s="4" t="n"/>
      <c r="K990" s="4" t="n"/>
      <c r="L990" s="4" t="n"/>
      <c r="M990" s="4" t="n"/>
      <c r="N990" s="4" t="n"/>
      <c r="O990" s="4" t="n"/>
      <c r="P990" s="4" t="n"/>
      <c r="Q990" s="4" t="n"/>
      <c r="R990" s="4" t="n"/>
    </row>
    <row r="991" ht="15.75" customHeight="1" s="108">
      <c r="A991" s="4" t="n"/>
      <c r="B991" s="4" t="n"/>
      <c r="C991" s="4" t="n"/>
      <c r="D991" s="4" t="n"/>
      <c r="E991" s="4" t="n"/>
      <c r="F991" s="4" t="n"/>
      <c r="G991" s="4" t="n"/>
      <c r="H991" s="4" t="n"/>
      <c r="I991" s="4" t="n"/>
      <c r="J991" s="4" t="n"/>
      <c r="K991" s="4" t="n"/>
      <c r="L991" s="4" t="n"/>
      <c r="M991" s="4" t="n"/>
      <c r="N991" s="4" t="n"/>
      <c r="O991" s="4" t="n"/>
      <c r="P991" s="4" t="n"/>
      <c r="Q991" s="4" t="n"/>
      <c r="R991" s="4" t="n"/>
    </row>
    <row r="992" ht="15.75" customHeight="1" s="108">
      <c r="A992" s="4" t="n"/>
      <c r="B992" s="4" t="n"/>
      <c r="C992" s="4" t="n"/>
      <c r="D992" s="4" t="n"/>
      <c r="E992" s="4" t="n"/>
      <c r="F992" s="4" t="n"/>
      <c r="G992" s="4" t="n"/>
      <c r="H992" s="4" t="n"/>
      <c r="I992" s="4" t="n"/>
      <c r="J992" s="4" t="n"/>
      <c r="K992" s="4" t="n"/>
      <c r="L992" s="4" t="n"/>
      <c r="M992" s="4" t="n"/>
      <c r="N992" s="4" t="n"/>
      <c r="O992" s="4" t="n"/>
      <c r="P992" s="4" t="n"/>
      <c r="Q992" s="4" t="n"/>
      <c r="R992" s="4" t="n"/>
    </row>
    <row r="993" ht="15.75" customHeight="1" s="108">
      <c r="A993" s="4" t="n"/>
      <c r="B993" s="4" t="n"/>
      <c r="C993" s="4" t="n"/>
      <c r="D993" s="4" t="n"/>
      <c r="E993" s="4" t="n"/>
      <c r="F993" s="4" t="n"/>
      <c r="G993" s="4" t="n"/>
      <c r="H993" s="4" t="n"/>
      <c r="I993" s="4" t="n"/>
      <c r="J993" s="4" t="n"/>
      <c r="K993" s="4" t="n"/>
      <c r="L993" s="4" t="n"/>
      <c r="M993" s="4" t="n"/>
      <c r="N993" s="4" t="n"/>
      <c r="O993" s="4" t="n"/>
      <c r="P993" s="4" t="n"/>
      <c r="Q993" s="4" t="n"/>
      <c r="R993" s="4" t="n"/>
    </row>
    <row r="994" ht="15.75" customHeight="1" s="108">
      <c r="A994" s="4" t="n"/>
      <c r="B994" s="4" t="n"/>
      <c r="C994" s="4" t="n"/>
      <c r="D994" s="4" t="n"/>
      <c r="E994" s="4" t="n"/>
      <c r="F994" s="4" t="n"/>
      <c r="G994" s="4" t="n"/>
      <c r="H994" s="4" t="n"/>
      <c r="I994" s="4" t="n"/>
      <c r="J994" s="4" t="n"/>
      <c r="K994" s="4" t="n"/>
      <c r="L994" s="4" t="n"/>
      <c r="M994" s="4" t="n"/>
      <c r="N994" s="4" t="n"/>
      <c r="O994" s="4" t="n"/>
      <c r="P994" s="4" t="n"/>
      <c r="Q994" s="4" t="n"/>
      <c r="R994" s="4" t="n"/>
    </row>
    <row r="995" ht="15.75" customHeight="1" s="108">
      <c r="A995" s="4" t="n"/>
      <c r="B995" s="4" t="n"/>
      <c r="C995" s="4" t="n"/>
      <c r="D995" s="4" t="n"/>
      <c r="E995" s="4" t="n"/>
      <c r="F995" s="4" t="n"/>
      <c r="G995" s="4" t="n"/>
      <c r="H995" s="4" t="n"/>
      <c r="I995" s="4" t="n"/>
      <c r="J995" s="4" t="n"/>
      <c r="K995" s="4" t="n"/>
      <c r="L995" s="4" t="n"/>
      <c r="M995" s="4" t="n"/>
      <c r="N995" s="4" t="n"/>
      <c r="O995" s="4" t="n"/>
      <c r="P995" s="4" t="n"/>
      <c r="Q995" s="4" t="n"/>
      <c r="R995" s="4" t="n"/>
    </row>
    <row r="996" ht="15.75" customHeight="1" s="108">
      <c r="A996" s="4" t="n"/>
      <c r="B996" s="4" t="n"/>
      <c r="C996" s="4" t="n"/>
      <c r="D996" s="4" t="n"/>
      <c r="E996" s="4" t="n"/>
      <c r="F996" s="4" t="n"/>
      <c r="G996" s="4" t="n"/>
      <c r="H996" s="4" t="n"/>
      <c r="I996" s="4" t="n"/>
      <c r="J996" s="4" t="n"/>
      <c r="K996" s="4" t="n"/>
      <c r="L996" s="4" t="n"/>
      <c r="M996" s="4" t="n"/>
      <c r="N996" s="4" t="n"/>
      <c r="O996" s="4" t="n"/>
      <c r="P996" s="4" t="n"/>
      <c r="Q996" s="4" t="n"/>
      <c r="R996" s="4" t="n"/>
    </row>
    <row r="997" ht="15.75" customHeight="1" s="108">
      <c r="A997" s="4" t="n"/>
      <c r="B997" s="4" t="n"/>
      <c r="C997" s="4" t="n"/>
      <c r="D997" s="4" t="n"/>
      <c r="E997" s="4" t="n"/>
      <c r="F997" s="4" t="n"/>
      <c r="G997" s="4" t="n"/>
      <c r="H997" s="4" t="n"/>
      <c r="I997" s="4" t="n"/>
      <c r="J997" s="4" t="n"/>
      <c r="K997" s="4" t="n"/>
      <c r="L997" s="4" t="n"/>
      <c r="M997" s="4" t="n"/>
      <c r="N997" s="4" t="n"/>
      <c r="O997" s="4" t="n"/>
      <c r="P997" s="4" t="n"/>
      <c r="Q997" s="4" t="n"/>
      <c r="R997" s="4" t="n"/>
    </row>
    <row r="998" ht="15.75" customHeight="1" s="108">
      <c r="A998" s="4" t="n"/>
      <c r="B998" s="4" t="n"/>
      <c r="C998" s="4" t="n"/>
      <c r="D998" s="4" t="n"/>
      <c r="E998" s="4" t="n"/>
      <c r="F998" s="4" t="n"/>
      <c r="G998" s="4" t="n"/>
      <c r="H998" s="4" t="n"/>
      <c r="I998" s="4" t="n"/>
      <c r="J998" s="4" t="n"/>
      <c r="K998" s="4" t="n"/>
      <c r="L998" s="4" t="n"/>
      <c r="M998" s="4" t="n"/>
      <c r="N998" s="4" t="n"/>
      <c r="O998" s="4" t="n"/>
      <c r="P998" s="4" t="n"/>
      <c r="Q998" s="4" t="n"/>
      <c r="R998" s="4" t="n"/>
    </row>
    <row r="999" ht="15.75" customHeight="1" s="108">
      <c r="A999" s="4" t="n"/>
      <c r="B999" s="4" t="n"/>
      <c r="C999" s="4" t="n"/>
      <c r="D999" s="4" t="n"/>
      <c r="E999" s="4" t="n"/>
      <c r="F999" s="4" t="n"/>
      <c r="G999" s="4" t="n"/>
      <c r="H999" s="4" t="n"/>
      <c r="I999" s="4" t="n"/>
      <c r="J999" s="4" t="n"/>
      <c r="K999" s="4" t="n"/>
      <c r="L999" s="4" t="n"/>
      <c r="M999" s="4" t="n"/>
      <c r="N999" s="4" t="n"/>
      <c r="O999" s="4" t="n"/>
      <c r="P999" s="4" t="n"/>
      <c r="Q999" s="4" t="n"/>
      <c r="R999" s="4" t="n"/>
    </row>
    <row r="1000" ht="15.75" customHeight="1" s="108">
      <c r="A1000" s="4" t="n"/>
      <c r="B1000" s="4" t="n"/>
      <c r="C1000" s="4" t="n"/>
      <c r="D1000" s="4" t="n"/>
      <c r="E1000" s="4" t="n"/>
      <c r="F1000" s="4" t="n"/>
      <c r="G1000" s="4" t="n"/>
      <c r="H1000" s="4" t="n"/>
      <c r="I1000" s="4" t="n"/>
      <c r="J1000" s="4" t="n"/>
      <c r="K1000" s="4" t="n"/>
      <c r="L1000" s="4" t="n"/>
      <c r="M1000" s="4" t="n"/>
      <c r="N1000" s="4" t="n"/>
      <c r="O1000" s="4" t="n"/>
      <c r="P1000" s="4" t="n"/>
      <c r="Q1000" s="4" t="n"/>
      <c r="R1000" s="4" t="n"/>
    </row>
  </sheetData>
  <mergeCells count="2">
    <mergeCell ref="A2:R2"/>
    <mergeCell ref="A1:R1"/>
  </mergeCells>
  <conditionalFormatting sqref="L5:L354">
    <cfRule type="colorScale" priority="1">
      <colorScale>
        <cfvo type="min"/>
        <cfvo type="percentile" val="50"/>
        <cfvo type="max"/>
        <color rgb="FFFCE8E6"/>
        <color rgb="FFFFF1B8"/>
        <color rgb="FFD9EAD3"/>
      </colorScale>
    </cfRule>
  </conditionalFormatting>
  <conditionalFormatting sqref="M5:M354">
    <cfRule type="expression" priority="2" dxfId="2">
      <formula>M5="Excellent"</formula>
    </cfRule>
    <cfRule type="expression" priority="3" dxfId="12">
      <formula>M5="Good"</formula>
    </cfRule>
    <cfRule type="expression" priority="4" dxfId="11">
      <formula>M5="Mixed"</formula>
    </cfRule>
    <cfRule type="expression" priority="5" dxfId="13">
      <formula>M5="Poor"</formula>
    </cfRule>
  </conditionalFormatting>
  <dataValidations count="3">
    <dataValidation sqref="I5:I500" showDropDown="0" showInputMessage="0" showErrorMessage="0" allowBlank="1" type="decimal">
      <formula1>0.0</formula1>
      <formula2>5.0</formula2>
    </dataValidation>
    <dataValidation sqref="D5:D500" showDropDown="0" showInputMessage="0" showErrorMessage="0" allowBlank="1" type="decimal">
      <formula1>1.0</formula1>
      <formula2>5.0</formula2>
    </dataValidation>
    <dataValidation sqref="E5:E500 K5:K500" showDropDown="0" showInputMessage="0" showErrorMessage="0" allowBlank="1" type="decimal">
      <formula1>0.0</formula1>
      <formula2>10.0</formula2>
    </dataValidation>
  </dataValidations>
  <pageMargins left="0.7" right="0.7" top="0.75" bottom="0.75" header="0" footer="0"/>
  <pageSetup orientation="landscape"/>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4:D32"/>
  <sheetViews>
    <sheetView workbookViewId="0">
      <selection activeCell="A1" sqref="A1"/>
    </sheetView>
  </sheetViews>
  <sheetFormatPr baseColWidth="8" defaultRowHeight="15"/>
  <sheetData>
    <row r="4">
      <c r="A4" s="0" t="inlineStr">
        <is>
          <t>Film ID</t>
        </is>
      </c>
      <c r="B4" s="0" t="inlineStr">
        <is>
          <t>Title</t>
        </is>
      </c>
      <c r="C4" s="0" t="inlineStr">
        <is>
          <t>Date Watched</t>
        </is>
      </c>
      <c r="D4" s="0" t="inlineStr">
        <is>
          <t>Rating at Time</t>
        </is>
      </c>
    </row>
    <row r="5">
      <c r="A5" s="0" t="inlineStr">
        <is>
          <t>F0214</t>
        </is>
      </c>
      <c r="B5" s="0" t="inlineStr">
        <is>
          <t>The Matrix</t>
        </is>
      </c>
      <c r="C5" s="0" t="inlineStr">
        <is>
          <t>2026-08-16</t>
        </is>
      </c>
      <c r="D5" s="0" t="n">
        <v>5</v>
      </c>
    </row>
    <row r="6">
      <c r="A6" s="0" t="inlineStr">
        <is>
          <t>F0065</t>
        </is>
      </c>
      <c r="B6" s="0" t="inlineStr">
        <is>
          <t>Chef</t>
        </is>
      </c>
      <c r="C6" s="0" t="inlineStr">
        <is>
          <t>2026-08-18</t>
        </is>
      </c>
      <c r="D6" s="0" t="n">
        <v>5</v>
      </c>
    </row>
    <row r="7">
      <c r="A7" s="0" t="inlineStr">
        <is>
          <t>F0235</t>
        </is>
      </c>
      <c r="B7" s="0" t="inlineStr">
        <is>
          <t>The Nice Guys</t>
        </is>
      </c>
      <c r="C7" s="0" t="inlineStr">
        <is>
          <t>2026-08-19</t>
        </is>
      </c>
      <c r="D7" s="0" t="n">
        <v>4</v>
      </c>
    </row>
    <row r="8">
      <c r="A8" s="0" t="inlineStr">
        <is>
          <t>F0007</t>
        </is>
      </c>
      <c r="B8" s="0" t="inlineStr">
        <is>
          <t>21 Jump Street</t>
        </is>
      </c>
      <c r="C8" s="0" t="inlineStr">
        <is>
          <t>2026-08-21</t>
        </is>
      </c>
      <c r="D8" s="0" t="n">
        <v>3</v>
      </c>
    </row>
    <row r="9">
      <c r="A9" s="0" t="inlineStr">
        <is>
          <t>F0007</t>
        </is>
      </c>
      <c r="B9" s="0" t="inlineStr">
        <is>
          <t>21 Jump Street</t>
        </is>
      </c>
      <c r="C9" s="0" t="inlineStr">
        <is>
          <t>2026-07-08</t>
        </is>
      </c>
      <c r="D9" s="0" t="n">
        <v>3</v>
      </c>
    </row>
    <row r="10">
      <c r="A10" s="0" t="inlineStr">
        <is>
          <t>F0008</t>
        </is>
      </c>
      <c r="B10" s="0" t="inlineStr">
        <is>
          <t>22 Jump Street</t>
        </is>
      </c>
      <c r="C10" s="0" t="inlineStr">
        <is>
          <t>2026-07-09</t>
        </is>
      </c>
      <c r="D10" s="0" t="n">
        <v>3</v>
      </c>
    </row>
    <row r="11">
      <c r="A11" s="0" t="inlineStr">
        <is>
          <t>F0303</t>
        </is>
      </c>
      <c r="B11" s="0" t="inlineStr">
        <is>
          <t>Superbad</t>
        </is>
      </c>
      <c r="C11" s="0" t="inlineStr">
        <is>
          <t>2026-08-22</t>
        </is>
      </c>
      <c r="D11" s="0" t="n">
        <v>3</v>
      </c>
    </row>
    <row r="12">
      <c r="A12" s="0" t="inlineStr">
        <is>
          <t>F0257</t>
        </is>
      </c>
      <c r="B12" s="0" t="inlineStr">
        <is>
          <t>The Prestige</t>
        </is>
      </c>
      <c r="C12" s="0" t="inlineStr">
        <is>
          <t>2026-08-22</t>
        </is>
      </c>
      <c r="D12" s="0" t="n">
        <v>4</v>
      </c>
    </row>
    <row r="13">
      <c r="A13" s="0" t="inlineStr">
        <is>
          <t>F0053</t>
        </is>
      </c>
      <c r="B13" s="0" t="inlineStr">
        <is>
          <t>The Bourne Identity</t>
        </is>
      </c>
      <c r="C13" s="0" t="inlineStr">
        <is>
          <t>2026-08-21</t>
        </is>
      </c>
      <c r="D13" s="0" t="n">
        <v>3</v>
      </c>
    </row>
    <row r="14">
      <c r="A14" s="0" t="inlineStr">
        <is>
          <t>F0344</t>
        </is>
      </c>
      <c r="B14" s="0" t="inlineStr">
        <is>
          <t>X-Men</t>
        </is>
      </c>
      <c r="C14" s="0" t="inlineStr">
        <is>
          <t>2026-08-25</t>
        </is>
      </c>
      <c r="D14" s="0" t="n">
        <v>4</v>
      </c>
    </row>
    <row r="15">
      <c r="A15" s="0" t="inlineStr">
        <is>
          <t>F0345</t>
        </is>
      </c>
      <c r="B15" s="0" t="inlineStr">
        <is>
          <t>X2: X-Men United</t>
        </is>
      </c>
      <c r="C15" s="0" t="inlineStr">
        <is>
          <t>2026-08-30</t>
        </is>
      </c>
      <c r="D15" s="0" t="n">
        <v>4</v>
      </c>
    </row>
    <row r="16">
      <c r="A16" s="0" t="inlineStr">
        <is>
          <t>F0345</t>
        </is>
      </c>
      <c r="B16" s="0" t="inlineStr">
        <is>
          <t>X2: X-Men United</t>
        </is>
      </c>
      <c r="C16" s="0" t="inlineStr">
        <is>
          <t>2026-08-29</t>
        </is>
      </c>
      <c r="D16" s="0" t="n">
        <v>4</v>
      </c>
    </row>
    <row r="17">
      <c r="A17" s="0" t="inlineStr">
        <is>
          <t>F0346</t>
        </is>
      </c>
      <c r="B17" s="0" t="inlineStr">
        <is>
          <t>X-Men: The Last Stand</t>
        </is>
      </c>
      <c r="C17" s="0" t="inlineStr">
        <is>
          <t>2026-08-29</t>
        </is>
      </c>
      <c r="D17" s="0" t="n">
        <v>1</v>
      </c>
    </row>
    <row r="18">
      <c r="A18" s="0" t="inlineStr">
        <is>
          <t>F0340</t>
        </is>
      </c>
      <c r="B18" s="0" t="inlineStr">
        <is>
          <t>X-Men: First Class</t>
        </is>
      </c>
      <c r="C18" s="0" t="inlineStr">
        <is>
          <t>2026-08-29</t>
        </is>
      </c>
      <c r="D18" s="0" t="n">
        <v>5</v>
      </c>
    </row>
    <row r="19">
      <c r="A19" s="0" t="inlineStr">
        <is>
          <t>F0341</t>
        </is>
      </c>
      <c r="B19" s="0" t="inlineStr">
        <is>
          <t>X-Men: Days of Future Past</t>
        </is>
      </c>
      <c r="C19" s="0" t="inlineStr">
        <is>
          <t>2026-08-30</t>
        </is>
      </c>
      <c r="D19" s="0" t="n">
        <v>4</v>
      </c>
    </row>
    <row r="20">
      <c r="A20" s="0" t="inlineStr">
        <is>
          <t>F0342</t>
        </is>
      </c>
      <c r="B20" s="0" t="inlineStr">
        <is>
          <t>X-Men: Apocalypse</t>
        </is>
      </c>
      <c r="C20" s="0" t="inlineStr">
        <is>
          <t>2026-09-01</t>
        </is>
      </c>
      <c r="D20" s="0" t="n">
        <v>3</v>
      </c>
    </row>
    <row r="21">
      <c r="A21" s="0" t="inlineStr">
        <is>
          <t>F0380</t>
        </is>
      </c>
      <c r="B21" s="0" t="inlineStr">
        <is>
          <t>X-men dark phoenix</t>
        </is>
      </c>
      <c r="C21" s="0" t="inlineStr">
        <is>
          <t>2026-09-02</t>
        </is>
      </c>
      <c r="D21" s="0" t="n">
        <v>2</v>
      </c>
    </row>
    <row r="22">
      <c r="A22" s="0" t="inlineStr">
        <is>
          <t>F0076</t>
        </is>
      </c>
      <c r="B22" s="0" t="inlineStr">
        <is>
          <t>Deadpool</t>
        </is>
      </c>
      <c r="C22" s="0" t="inlineStr">
        <is>
          <t>2026-09-03</t>
        </is>
      </c>
      <c r="D22" s="0" t="n">
        <v>5</v>
      </c>
    </row>
    <row r="23">
      <c r="A23" s="0" t="inlineStr">
        <is>
          <t>F0077</t>
        </is>
      </c>
      <c r="B23" s="0" t="inlineStr">
        <is>
          <t>Deadpool 2</t>
        </is>
      </c>
      <c r="C23" s="0" t="inlineStr">
        <is>
          <t>2026-09-05</t>
        </is>
      </c>
      <c r="D23" s="0" t="n">
        <v>5</v>
      </c>
    </row>
    <row r="24">
      <c r="A24" s="0" t="inlineStr">
        <is>
          <t>F0078</t>
        </is>
      </c>
      <c r="B24" s="0" t="inlineStr">
        <is>
          <t>Deadpool &amp; Wolverine</t>
        </is>
      </c>
      <c r="C24" s="0" t="inlineStr">
        <is>
          <t>2026-09-06</t>
        </is>
      </c>
      <c r="D24" s="0" t="n">
        <v>5</v>
      </c>
    </row>
    <row r="25">
      <c r="A25" s="0" t="inlineStr">
        <is>
          <t>F0054</t>
        </is>
      </c>
      <c r="B25" s="0" t="inlineStr">
        <is>
          <t>The Bourne Supremacy</t>
        </is>
      </c>
      <c r="C25" s="0" t="inlineStr">
        <is>
          <t>2026-09-13</t>
        </is>
      </c>
      <c r="D25" s="0" t="n">
        <v>4</v>
      </c>
    </row>
    <row r="26">
      <c r="A26" s="0" t="inlineStr">
        <is>
          <t>F0055</t>
        </is>
      </c>
      <c r="B26" s="0" t="inlineStr">
        <is>
          <t>The Bourne Ultimatum</t>
        </is>
      </c>
      <c r="C26" s="0" t="inlineStr">
        <is>
          <t>2026-09-14</t>
        </is>
      </c>
      <c r="D26" s="0" t="n">
        <v>4</v>
      </c>
    </row>
    <row r="27">
      <c r="A27" s="0" t="inlineStr">
        <is>
          <t>F0324</t>
        </is>
      </c>
      <c r="B27" s="0" t="inlineStr">
        <is>
          <t>Tropic Thunder</t>
        </is>
      </c>
      <c r="C27" s="0" t="inlineStr">
        <is>
          <t>2026-09-11</t>
        </is>
      </c>
      <c r="D27" s="0" t="n">
        <v>5</v>
      </c>
    </row>
    <row r="28">
      <c r="A28" s="0" t="inlineStr">
        <is>
          <t>F0022</t>
        </is>
      </c>
      <c r="B28" s="0" t="inlineStr">
        <is>
          <t>Anchorman: The Legend of Ron Burgundy</t>
        </is>
      </c>
      <c r="C28" s="0" t="inlineStr">
        <is>
          <t>2026-09-12</t>
        </is>
      </c>
      <c r="D28" s="0" t="n">
        <v>4</v>
      </c>
    </row>
    <row r="29">
      <c r="A29" s="0" t="inlineStr">
        <is>
          <t>F0056</t>
        </is>
      </c>
      <c r="B29" s="0" t="inlineStr">
        <is>
          <t>The Bourne Legacy</t>
        </is>
      </c>
      <c r="C29" s="0" t="inlineStr">
        <is>
          <t>2026-09-14</t>
        </is>
      </c>
      <c r="D29" s="0" t="n">
        <v>3</v>
      </c>
    </row>
    <row r="30">
      <c r="A30" s="0" t="inlineStr">
        <is>
          <t>F0358</t>
        </is>
      </c>
      <c r="B30" s="0" t="inlineStr">
        <is>
          <t>Jason bourne</t>
        </is>
      </c>
      <c r="C30" s="0" t="inlineStr">
        <is>
          <t>2026-09-14</t>
        </is>
      </c>
      <c r="D30" s="0" t="n">
        <v>3</v>
      </c>
    </row>
    <row r="31">
      <c r="A31" s="0" t="inlineStr">
        <is>
          <t>F0061</t>
        </is>
      </c>
      <c r="B31" s="0" t="inlineStr">
        <is>
          <t>Bumblebee</t>
        </is>
      </c>
      <c r="C31" s="0" t="inlineStr">
        <is>
          <t>2026-09-14</t>
        </is>
      </c>
      <c r="D31" s="0" t="n">
        <v>4</v>
      </c>
    </row>
    <row r="32">
      <c r="A32" t="inlineStr">
        <is>
          <t>F0321</t>
        </is>
      </c>
      <c r="B32" t="inlineStr">
        <is>
          <t>Transformers: Rise of the Beasts</t>
        </is>
      </c>
      <c r="C32" t="inlineStr">
        <is>
          <t>2026-09-14</t>
        </is>
      </c>
      <c r="D3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2026-08-07T19:37:50Z</dcterms:created>
  <dcterms:modified xsi:type="dcterms:W3CDTF">2026-09-14T21:39:44Z</dcterms:modified>
</cp:coreProperties>
</file>